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finellajianna/carbon-emissions/Data/Mindanao Regional Office/"/>
    </mc:Choice>
  </mc:AlternateContent>
  <xr:revisionPtr revIDLastSave="0" documentId="13_ncr:1_{05DB71DB-9455-B04E-8E8F-D20BFF7F4B0E}" xr6:coauthVersionLast="47" xr6:coauthVersionMax="47" xr10:uidLastSave="{00000000-0000-0000-0000-000000000000}"/>
  <bookViews>
    <workbookView xWindow="0" yWindow="740" windowWidth="29400" windowHeight="17100" tabRatio="781" activeTab="2" xr2:uid="{00000000-000D-0000-FFFF-FFFF00000000}"/>
  </bookViews>
  <sheets>
    <sheet name="Instructions" sheetId="1" r:id="rId1"/>
    <sheet name="1. Data Info and Summary" sheetId="37" r:id="rId2"/>
    <sheet name="2.1a Fuel - Buildings" sheetId="34" r:id="rId3"/>
    <sheet name="2.1b Fuel - Vehicles" sheetId="44" r:id="rId4"/>
    <sheet name="2.2 Refrigerants" sheetId="38" r:id="rId5"/>
    <sheet name="2.3a Electricity" sheetId="39" r:id="rId6"/>
    <sheet name="2.3b RE - Solar" sheetId="50" r:id="rId7"/>
    <sheet name="2.4 Water" sheetId="41" r:id="rId8"/>
    <sheet name="2.7 Waste Gases" sheetId="48" state="hidden" r:id="rId9"/>
    <sheet name="2.5 Waste" sheetId="40" r:id="rId10"/>
    <sheet name="3. Emissions Summary" sheetId="43" state="hidden" r:id="rId11"/>
    <sheet name="4. Dashboard" sheetId="51" state="hidden" r:id="rId12"/>
    <sheet name="dropdown" sheetId="30" state="hidden" r:id="rId13"/>
    <sheet name="Emission_Factors" sheetId="42" state="hidden" r:id="rId14"/>
    <sheet name="Change Log" sheetId="49" state="hidden" r:id="rId15"/>
    <sheet name="Sheet2" sheetId="45" state="hidden" r:id="rId16"/>
    <sheet name="Metrics" sheetId="9" state="hidden" r:id="rId17"/>
  </sheets>
  <externalReferences>
    <externalReference r:id="rId18"/>
  </externalReferences>
  <definedNames>
    <definedName name="Impact_flag">#REF!</definedName>
    <definedName name="Index">#REF!</definedName>
    <definedName name="IndexArray">#REF!</definedName>
    <definedName name="ja">#REF!</definedName>
    <definedName name="LatestChange">#REF!</definedName>
    <definedName name="LatestPerson">#REF!</definedName>
    <definedName name="LatestVersion">#REF!</definedName>
    <definedName name="materail1">#REF!</definedName>
    <definedName name="Material">#REF!</definedName>
    <definedName name="ModelName">#REF!</definedName>
    <definedName name="Quality_flag">#REF!</definedName>
    <definedName name="Risk_flag">#REF!</definedName>
    <definedName name="Slicer_Disposal_Method1">#N/A</definedName>
    <definedName name="Slicer_Facility_Account11">#N/A</definedName>
    <definedName name="Slicer_Facility_Account2">#N/A</definedName>
    <definedName name="Slicer_Fuel_Type11">#N/A</definedName>
    <definedName name="Slicer_Fuel_Type2">#N/A</definedName>
    <definedName name="Slicer_Month11">#N/A</definedName>
    <definedName name="Slicer_Month211">#N/A</definedName>
    <definedName name="Slicer_Month22">#N/A</definedName>
    <definedName name="Slicer_Month31">#N/A</definedName>
    <definedName name="Slicer_Month41">#N/A</definedName>
    <definedName name="Slicer_Month51">#N/A</definedName>
    <definedName name="Slicer_Month6">#N/A</definedName>
    <definedName name="Slicer_Quarter111">#N/A</definedName>
    <definedName name="Slicer_Quarter12">#N/A</definedName>
    <definedName name="Slicer_Quarter21">#N/A</definedName>
    <definedName name="Slicer_Quarter31">#N/A</definedName>
    <definedName name="Slicer_Quarter41">#N/A</definedName>
    <definedName name="Slicer_Quarter5">#N/A</definedName>
    <definedName name="Slicer_Source_Description11">#N/A</definedName>
    <definedName name="Slicer_Source_Description2">#N/A</definedName>
    <definedName name="Slicer_Source1">#N/A</definedName>
    <definedName name="Slicer_Utility_Provider1">#N/A</definedName>
    <definedName name="Slicer_Vehicle_Type1">#N/A</definedName>
    <definedName name="Slicer_Waste_Composition1">#N/A</definedName>
    <definedName name="Slicer_Water_Destination1">#N/A</definedName>
    <definedName name="Status_Checking">#REF!</definedName>
    <definedName name="Status_Overall">#REF!</definedName>
    <definedName name="Status_Update">#REF!</definedName>
    <definedName name="t_Water_supply">#REF!</definedName>
    <definedName name="t_Water_treatment">#REF!</definedName>
    <definedName name="Team">#REF!</definedName>
    <definedName name="Total_WTT_EF_Gen">[1]Calc2_UK_WTT_Elec!#REF!</definedName>
    <definedName name="Year_Reporting_WTT">[1]Calc2_UK_WTT_Elec!#REF!</definedName>
    <definedName name="YesNo">#REF!</definedName>
  </definedNames>
  <calcPr calcId="191029"/>
  <pivotCaches>
    <pivotCache cacheId="767" r:id="rId19"/>
    <pivotCache cacheId="768" r:id="rId20"/>
    <pivotCache cacheId="769" r:id="rId21"/>
    <pivotCache cacheId="770" r:id="rId22"/>
    <pivotCache cacheId="771" r:id="rId23"/>
    <pivotCache cacheId="779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34" l="1"/>
  <c r="N156" i="45"/>
  <c r="N155" i="45"/>
  <c r="N154" i="45"/>
  <c r="N153" i="45"/>
  <c r="N152" i="45"/>
  <c r="N151" i="45"/>
  <c r="N150" i="45"/>
  <c r="N149" i="45"/>
  <c r="N148" i="45"/>
  <c r="N147" i="45"/>
  <c r="N146" i="45"/>
  <c r="N145" i="45"/>
  <c r="N144" i="45"/>
  <c r="N143" i="45"/>
  <c r="N142" i="45"/>
  <c r="N141" i="45"/>
  <c r="N140" i="45"/>
  <c r="N139" i="45"/>
  <c r="N138" i="45"/>
  <c r="N137" i="45"/>
  <c r="N136" i="45"/>
  <c r="N135" i="45"/>
  <c r="N134" i="45"/>
  <c r="N133" i="45"/>
  <c r="N132" i="45"/>
  <c r="N131" i="45"/>
  <c r="N130" i="45"/>
  <c r="N129" i="45"/>
  <c r="N128" i="45"/>
  <c r="N127" i="45"/>
  <c r="N126" i="45"/>
  <c r="N125" i="45"/>
  <c r="N124" i="45"/>
  <c r="N123" i="45"/>
  <c r="N122" i="45"/>
  <c r="N121" i="45"/>
  <c r="N120" i="45"/>
  <c r="N119" i="45"/>
  <c r="N118" i="45"/>
  <c r="N117" i="45"/>
  <c r="N116" i="45"/>
  <c r="N115" i="45"/>
  <c r="N114" i="45"/>
  <c r="N113" i="45"/>
  <c r="N112" i="45"/>
  <c r="N111" i="45"/>
  <c r="N110" i="45"/>
  <c r="N109" i="45"/>
  <c r="N108" i="45"/>
  <c r="N107" i="45"/>
  <c r="N106" i="45"/>
  <c r="N105" i="45"/>
  <c r="N104" i="45"/>
  <c r="N103" i="45"/>
  <c r="N102" i="45"/>
  <c r="N101" i="45"/>
  <c r="N100" i="45"/>
  <c r="N99" i="45"/>
  <c r="N98" i="45"/>
  <c r="N97" i="45"/>
  <c r="N96" i="45"/>
  <c r="N95" i="45"/>
  <c r="N94" i="45"/>
  <c r="N93" i="45"/>
  <c r="N92" i="45"/>
  <c r="N91" i="45"/>
  <c r="N90" i="45"/>
  <c r="N89" i="45"/>
  <c r="N88" i="45"/>
  <c r="N87" i="45"/>
  <c r="N86" i="45"/>
  <c r="N85" i="45"/>
  <c r="N84" i="45"/>
  <c r="N83" i="45"/>
  <c r="N82" i="45"/>
  <c r="N81" i="45"/>
  <c r="N80" i="45"/>
  <c r="N79" i="45"/>
  <c r="N78" i="45"/>
  <c r="N77" i="45"/>
  <c r="N76" i="45"/>
  <c r="N75" i="45"/>
  <c r="N74" i="45"/>
  <c r="N73" i="45"/>
  <c r="N72" i="45"/>
  <c r="N71" i="45"/>
  <c r="N70" i="45"/>
  <c r="N69" i="45"/>
  <c r="N68" i="45"/>
  <c r="N67" i="45"/>
  <c r="N66" i="45"/>
  <c r="N65" i="45"/>
  <c r="N64" i="45"/>
  <c r="N63" i="45"/>
  <c r="N62" i="45"/>
  <c r="N61" i="45"/>
  <c r="N60" i="45"/>
  <c r="N59" i="45"/>
  <c r="N58" i="45"/>
  <c r="N57" i="45"/>
  <c r="N56" i="45"/>
  <c r="N55" i="45"/>
  <c r="N54" i="45"/>
  <c r="N53" i="45"/>
  <c r="N52" i="45"/>
  <c r="N51" i="45"/>
  <c r="N50" i="45"/>
  <c r="N49" i="45"/>
  <c r="N48" i="45"/>
  <c r="N47" i="45"/>
  <c r="N46" i="45"/>
  <c r="N45" i="45"/>
  <c r="N44" i="45"/>
  <c r="N43" i="45"/>
  <c r="N42" i="45"/>
  <c r="N41" i="45"/>
  <c r="N40" i="45"/>
  <c r="N39" i="45"/>
  <c r="N38" i="45"/>
  <c r="N37" i="45"/>
  <c r="N36" i="45"/>
  <c r="N35" i="45"/>
  <c r="N34" i="45"/>
  <c r="N33" i="45"/>
  <c r="N32" i="45"/>
  <c r="N31" i="45"/>
  <c r="N30" i="45"/>
  <c r="N29" i="45"/>
  <c r="N28" i="45"/>
  <c r="N27" i="45"/>
  <c r="N26" i="45"/>
  <c r="N25" i="45"/>
  <c r="N24" i="45"/>
  <c r="N23" i="45"/>
  <c r="N22" i="45"/>
  <c r="N21" i="45"/>
  <c r="N20" i="45"/>
  <c r="N19" i="45"/>
  <c r="N18" i="45"/>
  <c r="N17" i="45"/>
  <c r="N16" i="45"/>
  <c r="N15" i="45"/>
  <c r="N14" i="45"/>
  <c r="N13" i="45"/>
  <c r="N12" i="45"/>
  <c r="N11" i="45"/>
  <c r="N10" i="45"/>
  <c r="N9" i="45"/>
  <c r="N8" i="45"/>
  <c r="N7" i="45"/>
  <c r="N6" i="45"/>
  <c r="N5" i="45"/>
  <c r="N4" i="45"/>
  <c r="N3" i="45"/>
  <c r="N2" i="45"/>
  <c r="J24" i="43"/>
  <c r="J23" i="43"/>
  <c r="I23" i="43"/>
  <c r="G23" i="43"/>
  <c r="F23" i="43"/>
  <c r="E23" i="43"/>
  <c r="J22" i="43"/>
  <c r="I22" i="43"/>
  <c r="G22" i="43"/>
  <c r="F22" i="43"/>
  <c r="E22" i="43"/>
  <c r="E21" i="43"/>
  <c r="Q13" i="43"/>
  <c r="P13" i="43"/>
  <c r="N13" i="43"/>
  <c r="M13" i="43"/>
  <c r="N12" i="43"/>
  <c r="L12" i="43"/>
  <c r="C7" i="43"/>
  <c r="C6" i="43"/>
  <c r="K104" i="40"/>
  <c r="I104" i="40"/>
  <c r="K103" i="40"/>
  <c r="I103" i="40"/>
  <c r="K102" i="40"/>
  <c r="I102" i="40"/>
  <c r="K101" i="40"/>
  <c r="I101" i="40"/>
  <c r="K100" i="40"/>
  <c r="I100" i="40"/>
  <c r="K99" i="40"/>
  <c r="I99" i="40"/>
  <c r="K98" i="40"/>
  <c r="I98" i="40"/>
  <c r="K97" i="40"/>
  <c r="I97" i="40"/>
  <c r="K96" i="40"/>
  <c r="I96" i="40"/>
  <c r="K95" i="40"/>
  <c r="I95" i="40"/>
  <c r="K94" i="40"/>
  <c r="I94" i="40"/>
  <c r="K93" i="40"/>
  <c r="I93" i="40"/>
  <c r="K92" i="40"/>
  <c r="I92" i="40"/>
  <c r="K91" i="40"/>
  <c r="I91" i="40"/>
  <c r="K90" i="40"/>
  <c r="I90" i="40"/>
  <c r="K89" i="40"/>
  <c r="I89" i="40"/>
  <c r="K88" i="40"/>
  <c r="I88" i="40"/>
  <c r="K87" i="40"/>
  <c r="I87" i="40"/>
  <c r="K86" i="40"/>
  <c r="I86" i="40"/>
  <c r="K85" i="40"/>
  <c r="I85" i="40"/>
  <c r="K84" i="40"/>
  <c r="I84" i="40"/>
  <c r="K83" i="40"/>
  <c r="I83" i="40"/>
  <c r="K82" i="40"/>
  <c r="I82" i="40"/>
  <c r="K81" i="40"/>
  <c r="I81" i="40"/>
  <c r="K80" i="40"/>
  <c r="I80" i="40"/>
  <c r="K79" i="40"/>
  <c r="I79" i="40"/>
  <c r="K78" i="40"/>
  <c r="I78" i="40"/>
  <c r="K77" i="40"/>
  <c r="I77" i="40"/>
  <c r="K76" i="40"/>
  <c r="I76" i="40"/>
  <c r="K75" i="40"/>
  <c r="I75" i="40"/>
  <c r="K74" i="40"/>
  <c r="I74" i="40"/>
  <c r="K73" i="40"/>
  <c r="I73" i="40"/>
  <c r="K72" i="40"/>
  <c r="I72" i="40"/>
  <c r="K71" i="40"/>
  <c r="I71" i="40"/>
  <c r="K70" i="40"/>
  <c r="I70" i="40"/>
  <c r="K69" i="40"/>
  <c r="I69" i="40"/>
  <c r="K68" i="40"/>
  <c r="I68" i="40"/>
  <c r="K67" i="40"/>
  <c r="I67" i="40"/>
  <c r="K66" i="40"/>
  <c r="I66" i="40"/>
  <c r="K65" i="40"/>
  <c r="I65" i="40"/>
  <c r="K64" i="40"/>
  <c r="I64" i="40"/>
  <c r="K63" i="40"/>
  <c r="I63" i="40"/>
  <c r="K62" i="40"/>
  <c r="I62" i="40"/>
  <c r="K61" i="40"/>
  <c r="I61" i="40"/>
  <c r="K60" i="40"/>
  <c r="I60" i="40"/>
  <c r="K59" i="40"/>
  <c r="I59" i="40"/>
  <c r="K58" i="40"/>
  <c r="I58" i="40"/>
  <c r="K57" i="40"/>
  <c r="I57" i="40"/>
  <c r="K56" i="40"/>
  <c r="I56" i="40"/>
  <c r="K55" i="40"/>
  <c r="I55" i="40"/>
  <c r="K54" i="40"/>
  <c r="I54" i="40"/>
  <c r="K53" i="40"/>
  <c r="I53" i="40"/>
  <c r="K52" i="40"/>
  <c r="I52" i="40"/>
  <c r="K51" i="40"/>
  <c r="I51" i="40"/>
  <c r="K50" i="40"/>
  <c r="I50" i="40"/>
  <c r="K49" i="40"/>
  <c r="I49" i="40"/>
  <c r="K48" i="40"/>
  <c r="I48" i="40"/>
  <c r="K47" i="40"/>
  <c r="I47" i="40"/>
  <c r="K46" i="40"/>
  <c r="I46" i="40"/>
  <c r="K45" i="40"/>
  <c r="I45" i="40"/>
  <c r="K44" i="40"/>
  <c r="I44" i="40"/>
  <c r="K43" i="40"/>
  <c r="I43" i="40"/>
  <c r="K42" i="40"/>
  <c r="I42" i="40"/>
  <c r="K41" i="40"/>
  <c r="I41" i="40"/>
  <c r="K40" i="40"/>
  <c r="I40" i="40"/>
  <c r="K39" i="40"/>
  <c r="I39" i="40"/>
  <c r="K38" i="40"/>
  <c r="I38" i="40"/>
  <c r="K37" i="40"/>
  <c r="I37" i="40"/>
  <c r="K36" i="40"/>
  <c r="I36" i="40"/>
  <c r="K35" i="40"/>
  <c r="I35" i="40"/>
  <c r="K34" i="40"/>
  <c r="I34" i="40"/>
  <c r="K33" i="40"/>
  <c r="I33" i="40"/>
  <c r="K32" i="40"/>
  <c r="I32" i="40"/>
  <c r="K31" i="40"/>
  <c r="I31" i="40"/>
  <c r="K30" i="40"/>
  <c r="I30" i="40"/>
  <c r="K29" i="40"/>
  <c r="I29" i="40"/>
  <c r="K28" i="40"/>
  <c r="I28" i="40"/>
  <c r="K27" i="40"/>
  <c r="I27" i="40"/>
  <c r="K26" i="40"/>
  <c r="I26" i="40"/>
  <c r="K25" i="40"/>
  <c r="I25" i="40"/>
  <c r="K24" i="40"/>
  <c r="I24" i="40"/>
  <c r="K23" i="40"/>
  <c r="I23" i="40"/>
  <c r="K22" i="40"/>
  <c r="I22" i="40"/>
  <c r="K21" i="40"/>
  <c r="I21" i="40"/>
  <c r="K20" i="40"/>
  <c r="I20" i="40"/>
  <c r="K19" i="40"/>
  <c r="I19" i="40"/>
  <c r="K18" i="40"/>
  <c r="I18" i="40"/>
  <c r="K17" i="40"/>
  <c r="I17" i="40"/>
  <c r="K16" i="40"/>
  <c r="I16" i="40"/>
  <c r="G16" i="40"/>
  <c r="F16" i="40"/>
  <c r="E16" i="40"/>
  <c r="D16" i="40"/>
  <c r="B16" i="40"/>
  <c r="K15" i="40"/>
  <c r="I15" i="40"/>
  <c r="G15" i="40"/>
  <c r="F15" i="40"/>
  <c r="E15" i="40"/>
  <c r="D15" i="40"/>
  <c r="B15" i="40"/>
  <c r="K14" i="40"/>
  <c r="I14" i="40"/>
  <c r="G14" i="40"/>
  <c r="F14" i="40"/>
  <c r="E14" i="40"/>
  <c r="D14" i="40"/>
  <c r="B14" i="40"/>
  <c r="K13" i="40"/>
  <c r="I13" i="40"/>
  <c r="G13" i="40"/>
  <c r="F13" i="40"/>
  <c r="E13" i="40"/>
  <c r="D13" i="40"/>
  <c r="B13" i="40"/>
  <c r="K12" i="40"/>
  <c r="I12" i="40"/>
  <c r="G12" i="40"/>
  <c r="F12" i="40"/>
  <c r="E12" i="40"/>
  <c r="D12" i="40"/>
  <c r="B12" i="40"/>
  <c r="K11" i="40"/>
  <c r="I11" i="40"/>
  <c r="G11" i="40"/>
  <c r="F11" i="40"/>
  <c r="E11" i="40"/>
  <c r="D11" i="40"/>
  <c r="B11" i="40"/>
  <c r="K10" i="40"/>
  <c r="I10" i="40"/>
  <c r="K9" i="40"/>
  <c r="I9" i="40"/>
  <c r="K8" i="40"/>
  <c r="I8" i="40"/>
  <c r="D4" i="40"/>
  <c r="B4" i="40"/>
  <c r="O30" i="48"/>
  <c r="L30" i="48"/>
  <c r="K30" i="48"/>
  <c r="O29" i="48"/>
  <c r="L29" i="48"/>
  <c r="K29" i="48"/>
  <c r="O28" i="48"/>
  <c r="N28" i="48"/>
  <c r="L28" i="48"/>
  <c r="O27" i="48"/>
  <c r="N27" i="48"/>
  <c r="L27" i="48"/>
  <c r="O26" i="48"/>
  <c r="N26" i="48"/>
  <c r="L26" i="48"/>
  <c r="O25" i="48"/>
  <c r="N25" i="48"/>
  <c r="L25" i="48"/>
  <c r="O24" i="48"/>
  <c r="N24" i="48"/>
  <c r="L24" i="48"/>
  <c r="O23" i="48"/>
  <c r="N23" i="48"/>
  <c r="L23" i="48"/>
  <c r="O22" i="48"/>
  <c r="N22" i="48"/>
  <c r="L22" i="48"/>
  <c r="O21" i="48"/>
  <c r="N21" i="48"/>
  <c r="L21" i="48"/>
  <c r="O20" i="48"/>
  <c r="N20" i="48"/>
  <c r="L20" i="48"/>
  <c r="O19" i="48"/>
  <c r="N19" i="48"/>
  <c r="L19" i="48"/>
  <c r="O18" i="48"/>
  <c r="N18" i="48"/>
  <c r="L18" i="48"/>
  <c r="B18" i="48"/>
  <c r="O17" i="48"/>
  <c r="N17" i="48"/>
  <c r="L17" i="48"/>
  <c r="O16" i="48"/>
  <c r="N16" i="48"/>
  <c r="L16" i="48"/>
  <c r="G16" i="48"/>
  <c r="F16" i="48"/>
  <c r="E16" i="48"/>
  <c r="D16" i="48"/>
  <c r="O15" i="48"/>
  <c r="N15" i="48"/>
  <c r="L15" i="48"/>
  <c r="O14" i="48"/>
  <c r="N14" i="48"/>
  <c r="L14" i="48"/>
  <c r="O13" i="48"/>
  <c r="N13" i="48"/>
  <c r="L13" i="48"/>
  <c r="D4" i="48"/>
  <c r="B4" i="48"/>
  <c r="R107" i="41"/>
  <c r="P107" i="41"/>
  <c r="K107" i="41"/>
  <c r="I107" i="41"/>
  <c r="R106" i="41"/>
  <c r="P106" i="41"/>
  <c r="K106" i="41"/>
  <c r="I106" i="41"/>
  <c r="R105" i="41"/>
  <c r="P105" i="41"/>
  <c r="K105" i="41"/>
  <c r="I105" i="41"/>
  <c r="R104" i="41"/>
  <c r="P104" i="41"/>
  <c r="K104" i="41"/>
  <c r="I104" i="41"/>
  <c r="R103" i="41"/>
  <c r="P103" i="41"/>
  <c r="K103" i="41"/>
  <c r="I103" i="41"/>
  <c r="R102" i="41"/>
  <c r="P102" i="41"/>
  <c r="K102" i="41"/>
  <c r="I102" i="41"/>
  <c r="R101" i="41"/>
  <c r="P101" i="41"/>
  <c r="K101" i="41"/>
  <c r="I101" i="41"/>
  <c r="R100" i="41"/>
  <c r="P100" i="41"/>
  <c r="K100" i="41"/>
  <c r="I100" i="41"/>
  <c r="R99" i="41"/>
  <c r="P99" i="41"/>
  <c r="K99" i="41"/>
  <c r="I99" i="41"/>
  <c r="R98" i="41"/>
  <c r="P98" i="41"/>
  <c r="K98" i="41"/>
  <c r="I98" i="41"/>
  <c r="R97" i="41"/>
  <c r="P97" i="41"/>
  <c r="K97" i="41"/>
  <c r="I97" i="41"/>
  <c r="R96" i="41"/>
  <c r="P96" i="41"/>
  <c r="K96" i="41"/>
  <c r="I96" i="41"/>
  <c r="R95" i="41"/>
  <c r="P95" i="41"/>
  <c r="K95" i="41"/>
  <c r="I95" i="41"/>
  <c r="R94" i="41"/>
  <c r="P94" i="41"/>
  <c r="K94" i="41"/>
  <c r="I94" i="41"/>
  <c r="R93" i="41"/>
  <c r="P93" i="41"/>
  <c r="K93" i="41"/>
  <c r="I93" i="41"/>
  <c r="R92" i="41"/>
  <c r="P92" i="41"/>
  <c r="K92" i="41"/>
  <c r="I92" i="41"/>
  <c r="R91" i="41"/>
  <c r="P91" i="41"/>
  <c r="K91" i="41"/>
  <c r="I91" i="41"/>
  <c r="R90" i="41"/>
  <c r="P90" i="41"/>
  <c r="K90" i="41"/>
  <c r="I90" i="41"/>
  <c r="R89" i="41"/>
  <c r="P89" i="41"/>
  <c r="K89" i="41"/>
  <c r="I89" i="41"/>
  <c r="R88" i="41"/>
  <c r="P88" i="41"/>
  <c r="K88" i="41"/>
  <c r="I88" i="41"/>
  <c r="R87" i="41"/>
  <c r="P87" i="41"/>
  <c r="K87" i="41"/>
  <c r="I87" i="41"/>
  <c r="R86" i="41"/>
  <c r="P86" i="41"/>
  <c r="K86" i="41"/>
  <c r="I86" i="41"/>
  <c r="R85" i="41"/>
  <c r="P85" i="41"/>
  <c r="K85" i="41"/>
  <c r="I85" i="41"/>
  <c r="R84" i="41"/>
  <c r="P84" i="41"/>
  <c r="K84" i="41"/>
  <c r="I84" i="41"/>
  <c r="R83" i="41"/>
  <c r="P83" i="41"/>
  <c r="K83" i="41"/>
  <c r="I83" i="41"/>
  <c r="R82" i="41"/>
  <c r="P82" i="41"/>
  <c r="K82" i="41"/>
  <c r="I82" i="41"/>
  <c r="R81" i="41"/>
  <c r="P81" i="41"/>
  <c r="K81" i="41"/>
  <c r="I81" i="41"/>
  <c r="R80" i="41"/>
  <c r="P80" i="41"/>
  <c r="K80" i="41"/>
  <c r="I80" i="41"/>
  <c r="R79" i="41"/>
  <c r="P79" i="41"/>
  <c r="K79" i="41"/>
  <c r="I79" i="41"/>
  <c r="R78" i="41"/>
  <c r="P78" i="41"/>
  <c r="K78" i="41"/>
  <c r="I78" i="41"/>
  <c r="R77" i="41"/>
  <c r="P77" i="41"/>
  <c r="K77" i="41"/>
  <c r="I77" i="41"/>
  <c r="R76" i="41"/>
  <c r="P76" i="41"/>
  <c r="K76" i="41"/>
  <c r="I76" i="41"/>
  <c r="R75" i="41"/>
  <c r="P75" i="41"/>
  <c r="K75" i="41"/>
  <c r="I75" i="41"/>
  <c r="R74" i="41"/>
  <c r="P74" i="41"/>
  <c r="K74" i="41"/>
  <c r="I74" i="41"/>
  <c r="R73" i="41"/>
  <c r="P73" i="41"/>
  <c r="K73" i="41"/>
  <c r="I73" i="41"/>
  <c r="R72" i="41"/>
  <c r="P72" i="41"/>
  <c r="K72" i="41"/>
  <c r="I72" i="41"/>
  <c r="R71" i="41"/>
  <c r="P71" i="41"/>
  <c r="K71" i="41"/>
  <c r="I71" i="41"/>
  <c r="R70" i="41"/>
  <c r="P70" i="41"/>
  <c r="K70" i="41"/>
  <c r="I70" i="41"/>
  <c r="R69" i="41"/>
  <c r="P69" i="41"/>
  <c r="K69" i="41"/>
  <c r="I69" i="41"/>
  <c r="R68" i="41"/>
  <c r="P68" i="41"/>
  <c r="K68" i="41"/>
  <c r="I68" i="41"/>
  <c r="R67" i="41"/>
  <c r="P67" i="41"/>
  <c r="K67" i="41"/>
  <c r="I67" i="41"/>
  <c r="R66" i="41"/>
  <c r="P66" i="41"/>
  <c r="K66" i="41"/>
  <c r="I66" i="41"/>
  <c r="R65" i="41"/>
  <c r="P65" i="41"/>
  <c r="K65" i="41"/>
  <c r="I65" i="41"/>
  <c r="R64" i="41"/>
  <c r="P64" i="41"/>
  <c r="K64" i="41"/>
  <c r="I64" i="41"/>
  <c r="R63" i="41"/>
  <c r="P63" i="41"/>
  <c r="K63" i="41"/>
  <c r="I63" i="41"/>
  <c r="R62" i="41"/>
  <c r="P62" i="41"/>
  <c r="K62" i="41"/>
  <c r="I62" i="41"/>
  <c r="R61" i="41"/>
  <c r="P61" i="41"/>
  <c r="K61" i="41"/>
  <c r="I61" i="41"/>
  <c r="R60" i="41"/>
  <c r="P60" i="41"/>
  <c r="K60" i="41"/>
  <c r="I60" i="41"/>
  <c r="R59" i="41"/>
  <c r="P59" i="41"/>
  <c r="K59" i="41"/>
  <c r="I59" i="41"/>
  <c r="R58" i="41"/>
  <c r="P58" i="41"/>
  <c r="K58" i="41"/>
  <c r="I58" i="41"/>
  <c r="R57" i="41"/>
  <c r="P57" i="41"/>
  <c r="K57" i="41"/>
  <c r="I57" i="41"/>
  <c r="R56" i="41"/>
  <c r="P56" i="41"/>
  <c r="K56" i="41"/>
  <c r="I56" i="41"/>
  <c r="R55" i="41"/>
  <c r="P55" i="41"/>
  <c r="K55" i="41"/>
  <c r="I55" i="41"/>
  <c r="R54" i="41"/>
  <c r="P54" i="41"/>
  <c r="K54" i="41"/>
  <c r="I54" i="41"/>
  <c r="R53" i="41"/>
  <c r="P53" i="41"/>
  <c r="K53" i="41"/>
  <c r="I53" i="41"/>
  <c r="R52" i="41"/>
  <c r="P52" i="41"/>
  <c r="K52" i="41"/>
  <c r="I52" i="41"/>
  <c r="R51" i="41"/>
  <c r="P51" i="41"/>
  <c r="K51" i="41"/>
  <c r="I51" i="41"/>
  <c r="R50" i="41"/>
  <c r="P50" i="41"/>
  <c r="K50" i="41"/>
  <c r="I50" i="41"/>
  <c r="R49" i="41"/>
  <c r="P49" i="41"/>
  <c r="K49" i="41"/>
  <c r="I49" i="41"/>
  <c r="R48" i="41"/>
  <c r="P48" i="41"/>
  <c r="K48" i="41"/>
  <c r="I48" i="41"/>
  <c r="R47" i="41"/>
  <c r="P47" i="41"/>
  <c r="K47" i="41"/>
  <c r="I47" i="41"/>
  <c r="R46" i="41"/>
  <c r="P46" i="41"/>
  <c r="K46" i="41"/>
  <c r="I46" i="41"/>
  <c r="R45" i="41"/>
  <c r="P45" i="41"/>
  <c r="K45" i="41"/>
  <c r="I45" i="41"/>
  <c r="R44" i="41"/>
  <c r="P44" i="41"/>
  <c r="K44" i="41"/>
  <c r="I44" i="41"/>
  <c r="R43" i="41"/>
  <c r="P43" i="41"/>
  <c r="K43" i="41"/>
  <c r="I43" i="41"/>
  <c r="R42" i="41"/>
  <c r="P42" i="41"/>
  <c r="K42" i="41"/>
  <c r="I42" i="41"/>
  <c r="R41" i="41"/>
  <c r="P41" i="41"/>
  <c r="K41" i="41"/>
  <c r="I41" i="41"/>
  <c r="R40" i="41"/>
  <c r="P40" i="41"/>
  <c r="K40" i="41"/>
  <c r="I40" i="41"/>
  <c r="R39" i="41"/>
  <c r="P39" i="41"/>
  <c r="K39" i="41"/>
  <c r="I39" i="41"/>
  <c r="R38" i="41"/>
  <c r="P38" i="41"/>
  <c r="K38" i="41"/>
  <c r="I38" i="41"/>
  <c r="R37" i="41"/>
  <c r="P37" i="41"/>
  <c r="K37" i="41"/>
  <c r="I37" i="41"/>
  <c r="V36" i="41"/>
  <c r="R36" i="41"/>
  <c r="P36" i="41"/>
  <c r="K36" i="41"/>
  <c r="I36" i="41"/>
  <c r="V35" i="41"/>
  <c r="R35" i="41"/>
  <c r="P35" i="41"/>
  <c r="K35" i="41"/>
  <c r="I35" i="41"/>
  <c r="V34" i="41"/>
  <c r="R34" i="41"/>
  <c r="P34" i="41"/>
  <c r="K34" i="41"/>
  <c r="I34" i="41"/>
  <c r="V33" i="41"/>
  <c r="R33" i="41"/>
  <c r="P33" i="41"/>
  <c r="K33" i="41"/>
  <c r="I33" i="41"/>
  <c r="V32" i="41"/>
  <c r="R32" i="41"/>
  <c r="P32" i="41"/>
  <c r="K32" i="41"/>
  <c r="I32" i="41"/>
  <c r="V31" i="41"/>
  <c r="R31" i="41"/>
  <c r="P31" i="41"/>
  <c r="K31" i="41"/>
  <c r="I31" i="41"/>
  <c r="V30" i="41"/>
  <c r="R30" i="41"/>
  <c r="P30" i="41"/>
  <c r="K30" i="41"/>
  <c r="I30" i="41"/>
  <c r="V29" i="41"/>
  <c r="R29" i="41"/>
  <c r="P29" i="41"/>
  <c r="K29" i="41"/>
  <c r="I29" i="41"/>
  <c r="V28" i="41"/>
  <c r="R28" i="41"/>
  <c r="P28" i="41"/>
  <c r="K28" i="41"/>
  <c r="I28" i="41"/>
  <c r="V27" i="41"/>
  <c r="R27" i="41"/>
  <c r="P27" i="41"/>
  <c r="K27" i="41"/>
  <c r="I27" i="41"/>
  <c r="V26" i="41"/>
  <c r="R26" i="41"/>
  <c r="P26" i="41"/>
  <c r="O26" i="41"/>
  <c r="K26" i="41"/>
  <c r="I26" i="41"/>
  <c r="V25" i="41"/>
  <c r="R25" i="41"/>
  <c r="P25" i="41"/>
  <c r="O25" i="41"/>
  <c r="K25" i="41"/>
  <c r="I25" i="41"/>
  <c r="V24" i="41"/>
  <c r="R24" i="41"/>
  <c r="P24" i="41"/>
  <c r="O24" i="41"/>
  <c r="K24" i="41"/>
  <c r="I24" i="41"/>
  <c r="V23" i="41"/>
  <c r="R23" i="41"/>
  <c r="P23" i="41"/>
  <c r="O23" i="41"/>
  <c r="K23" i="41"/>
  <c r="I23" i="41"/>
  <c r="V22" i="41"/>
  <c r="R22" i="41"/>
  <c r="P22" i="41"/>
  <c r="O22" i="41"/>
  <c r="K22" i="41"/>
  <c r="I22" i="41"/>
  <c r="V21" i="41"/>
  <c r="R21" i="41"/>
  <c r="P21" i="41"/>
  <c r="O21" i="41"/>
  <c r="K21" i="41"/>
  <c r="I21" i="41"/>
  <c r="V20" i="41"/>
  <c r="R20" i="41"/>
  <c r="P20" i="41"/>
  <c r="O20" i="41"/>
  <c r="K20" i="41"/>
  <c r="I20" i="41"/>
  <c r="V19" i="41"/>
  <c r="R19" i="41"/>
  <c r="P19" i="41"/>
  <c r="O19" i="41"/>
  <c r="K19" i="41"/>
  <c r="I19" i="41"/>
  <c r="V18" i="41"/>
  <c r="R18" i="41"/>
  <c r="P18" i="41"/>
  <c r="O18" i="41"/>
  <c r="K18" i="41"/>
  <c r="I18" i="41"/>
  <c r="R17" i="41"/>
  <c r="P17" i="41"/>
  <c r="O17" i="41"/>
  <c r="K17" i="41"/>
  <c r="I17" i="41"/>
  <c r="R16" i="41"/>
  <c r="P16" i="41"/>
  <c r="O16" i="41"/>
  <c r="K16" i="41"/>
  <c r="I16" i="41"/>
  <c r="R15" i="41"/>
  <c r="P15" i="41"/>
  <c r="O15" i="41"/>
  <c r="K15" i="41"/>
  <c r="I15" i="41"/>
  <c r="R14" i="41"/>
  <c r="P14" i="41"/>
  <c r="O14" i="41"/>
  <c r="K14" i="41"/>
  <c r="I14" i="41"/>
  <c r="R13" i="41"/>
  <c r="P13" i="41"/>
  <c r="O13" i="41"/>
  <c r="K13" i="41"/>
  <c r="I13" i="41"/>
  <c r="G13" i="41"/>
  <c r="F13" i="41"/>
  <c r="E13" i="41"/>
  <c r="D13" i="41"/>
  <c r="R12" i="41"/>
  <c r="P12" i="41"/>
  <c r="O12" i="41"/>
  <c r="K12" i="41"/>
  <c r="I12" i="41"/>
  <c r="G12" i="41"/>
  <c r="F12" i="41"/>
  <c r="E12" i="41"/>
  <c r="D12" i="41"/>
  <c r="R11" i="41"/>
  <c r="P11" i="41"/>
  <c r="K11" i="41"/>
  <c r="I11" i="41"/>
  <c r="G11" i="41"/>
  <c r="F11" i="41"/>
  <c r="E11" i="41"/>
  <c r="D11" i="41"/>
  <c r="R10" i="41"/>
  <c r="P10" i="41"/>
  <c r="K10" i="41"/>
  <c r="I10" i="41"/>
  <c r="R9" i="41"/>
  <c r="P9" i="41"/>
  <c r="K9" i="41"/>
  <c r="I9" i="41"/>
  <c r="R8" i="41"/>
  <c r="P8" i="41"/>
  <c r="K8" i="41"/>
  <c r="I8" i="41"/>
  <c r="D4" i="41"/>
  <c r="B4" i="41"/>
  <c r="K106" i="50"/>
  <c r="I106" i="50"/>
  <c r="K105" i="50"/>
  <c r="I105" i="50"/>
  <c r="K104" i="50"/>
  <c r="I104" i="50"/>
  <c r="K103" i="50"/>
  <c r="I103" i="50"/>
  <c r="K102" i="50"/>
  <c r="I102" i="50"/>
  <c r="K101" i="50"/>
  <c r="I101" i="50"/>
  <c r="K100" i="50"/>
  <c r="I100" i="50"/>
  <c r="K99" i="50"/>
  <c r="I99" i="50"/>
  <c r="K98" i="50"/>
  <c r="I98" i="50"/>
  <c r="K97" i="50"/>
  <c r="I97" i="50"/>
  <c r="K96" i="50"/>
  <c r="I96" i="50"/>
  <c r="K95" i="50"/>
  <c r="I95" i="50"/>
  <c r="K94" i="50"/>
  <c r="I94" i="50"/>
  <c r="K93" i="50"/>
  <c r="I93" i="50"/>
  <c r="K92" i="50"/>
  <c r="I92" i="50"/>
  <c r="K91" i="50"/>
  <c r="I91" i="50"/>
  <c r="K90" i="50"/>
  <c r="I90" i="50"/>
  <c r="K89" i="50"/>
  <c r="I89" i="50"/>
  <c r="K88" i="50"/>
  <c r="I88" i="50"/>
  <c r="K87" i="50"/>
  <c r="I87" i="50"/>
  <c r="K86" i="50"/>
  <c r="I86" i="50"/>
  <c r="K85" i="50"/>
  <c r="I85" i="50"/>
  <c r="K84" i="50"/>
  <c r="I84" i="50"/>
  <c r="K83" i="50"/>
  <c r="I83" i="50"/>
  <c r="K82" i="50"/>
  <c r="I82" i="50"/>
  <c r="K81" i="50"/>
  <c r="I81" i="50"/>
  <c r="K80" i="50"/>
  <c r="I80" i="50"/>
  <c r="K79" i="50"/>
  <c r="I79" i="50"/>
  <c r="K78" i="50"/>
  <c r="I78" i="50"/>
  <c r="K77" i="50"/>
  <c r="I77" i="50"/>
  <c r="K76" i="50"/>
  <c r="I76" i="50"/>
  <c r="K75" i="50"/>
  <c r="I75" i="50"/>
  <c r="K74" i="50"/>
  <c r="I74" i="50"/>
  <c r="K73" i="50"/>
  <c r="I73" i="50"/>
  <c r="K72" i="50"/>
  <c r="I72" i="50"/>
  <c r="K71" i="50"/>
  <c r="I71" i="50"/>
  <c r="K70" i="50"/>
  <c r="I70" i="50"/>
  <c r="K69" i="50"/>
  <c r="I69" i="50"/>
  <c r="K68" i="50"/>
  <c r="I68" i="50"/>
  <c r="K67" i="50"/>
  <c r="I67" i="50"/>
  <c r="K66" i="50"/>
  <c r="I66" i="50"/>
  <c r="K65" i="50"/>
  <c r="I65" i="50"/>
  <c r="K64" i="50"/>
  <c r="I64" i="50"/>
  <c r="K63" i="50"/>
  <c r="I63" i="50"/>
  <c r="K62" i="50"/>
  <c r="I62" i="50"/>
  <c r="K61" i="50"/>
  <c r="I61" i="50"/>
  <c r="K60" i="50"/>
  <c r="I60" i="50"/>
  <c r="K59" i="50"/>
  <c r="I59" i="50"/>
  <c r="K58" i="50"/>
  <c r="I58" i="50"/>
  <c r="K57" i="50"/>
  <c r="I57" i="50"/>
  <c r="K56" i="50"/>
  <c r="I56" i="50"/>
  <c r="K55" i="50"/>
  <c r="I55" i="50"/>
  <c r="K54" i="50"/>
  <c r="I54" i="50"/>
  <c r="K53" i="50"/>
  <c r="I53" i="50"/>
  <c r="K52" i="50"/>
  <c r="I52" i="50"/>
  <c r="K51" i="50"/>
  <c r="I51" i="50"/>
  <c r="K50" i="50"/>
  <c r="I50" i="50"/>
  <c r="K49" i="50"/>
  <c r="I49" i="50"/>
  <c r="K48" i="50"/>
  <c r="I48" i="50"/>
  <c r="K47" i="50"/>
  <c r="I47" i="50"/>
  <c r="K46" i="50"/>
  <c r="I46" i="50"/>
  <c r="K45" i="50"/>
  <c r="I45" i="50"/>
  <c r="K44" i="50"/>
  <c r="I44" i="50"/>
  <c r="K43" i="50"/>
  <c r="I43" i="50"/>
  <c r="K42" i="50"/>
  <c r="I42" i="50"/>
  <c r="K41" i="50"/>
  <c r="I41" i="50"/>
  <c r="K40" i="50"/>
  <c r="I40" i="50"/>
  <c r="K39" i="50"/>
  <c r="I39" i="50"/>
  <c r="K38" i="50"/>
  <c r="I38" i="50"/>
  <c r="K37" i="50"/>
  <c r="I37" i="50"/>
  <c r="K36" i="50"/>
  <c r="I36" i="50"/>
  <c r="K35" i="50"/>
  <c r="I35" i="50"/>
  <c r="K34" i="50"/>
  <c r="I34" i="50"/>
  <c r="K33" i="50"/>
  <c r="I33" i="50"/>
  <c r="K32" i="50"/>
  <c r="I32" i="50"/>
  <c r="K31" i="50"/>
  <c r="I31" i="50"/>
  <c r="K30" i="50"/>
  <c r="I30" i="50"/>
  <c r="K29" i="50"/>
  <c r="I29" i="50"/>
  <c r="K28" i="50"/>
  <c r="I28" i="50"/>
  <c r="K27" i="50"/>
  <c r="I27" i="50"/>
  <c r="K26" i="50"/>
  <c r="I26" i="50"/>
  <c r="K25" i="50"/>
  <c r="I25" i="50"/>
  <c r="K24" i="50"/>
  <c r="I24" i="50"/>
  <c r="K23" i="50"/>
  <c r="I23" i="50"/>
  <c r="K22" i="50"/>
  <c r="I22" i="50"/>
  <c r="K21" i="50"/>
  <c r="I21" i="50"/>
  <c r="K20" i="50"/>
  <c r="I20" i="50"/>
  <c r="K19" i="50"/>
  <c r="I19" i="50"/>
  <c r="K18" i="50"/>
  <c r="I18" i="50"/>
  <c r="K17" i="50"/>
  <c r="I17" i="50"/>
  <c r="K16" i="50"/>
  <c r="I16" i="50"/>
  <c r="K15" i="50"/>
  <c r="I15" i="50"/>
  <c r="K14" i="50"/>
  <c r="I14" i="50"/>
  <c r="K13" i="50"/>
  <c r="I13" i="50"/>
  <c r="K12" i="50"/>
  <c r="I12" i="50"/>
  <c r="G12" i="50"/>
  <c r="F12" i="50"/>
  <c r="E12" i="50"/>
  <c r="D12" i="50"/>
  <c r="K11" i="50"/>
  <c r="I11" i="50"/>
  <c r="G11" i="50"/>
  <c r="F11" i="50"/>
  <c r="E11" i="50"/>
  <c r="D11" i="50"/>
  <c r="K10" i="50"/>
  <c r="I10" i="50"/>
  <c r="K9" i="50"/>
  <c r="I9" i="50"/>
  <c r="K8" i="50"/>
  <c r="I8" i="50"/>
  <c r="K7" i="50"/>
  <c r="I7" i="50"/>
  <c r="D4" i="50"/>
  <c r="B4" i="50"/>
  <c r="K107" i="39"/>
  <c r="I107" i="39"/>
  <c r="K106" i="39"/>
  <c r="I106" i="39"/>
  <c r="K105" i="39"/>
  <c r="I105" i="39"/>
  <c r="K104" i="39"/>
  <c r="I104" i="39"/>
  <c r="K103" i="39"/>
  <c r="I103" i="39"/>
  <c r="K102" i="39"/>
  <c r="I102" i="39"/>
  <c r="K101" i="39"/>
  <c r="I101" i="39"/>
  <c r="K100" i="39"/>
  <c r="I100" i="39"/>
  <c r="K99" i="39"/>
  <c r="I99" i="39"/>
  <c r="K98" i="39"/>
  <c r="I98" i="39"/>
  <c r="K97" i="39"/>
  <c r="I97" i="39"/>
  <c r="K96" i="39"/>
  <c r="I96" i="39"/>
  <c r="K95" i="39"/>
  <c r="I95" i="39"/>
  <c r="K94" i="39"/>
  <c r="I94" i="39"/>
  <c r="K93" i="39"/>
  <c r="I93" i="39"/>
  <c r="K92" i="39"/>
  <c r="I92" i="39"/>
  <c r="K91" i="39"/>
  <c r="I91" i="39"/>
  <c r="K90" i="39"/>
  <c r="I90" i="39"/>
  <c r="K89" i="39"/>
  <c r="I89" i="39"/>
  <c r="K88" i="39"/>
  <c r="I88" i="39"/>
  <c r="K87" i="39"/>
  <c r="I87" i="39"/>
  <c r="K86" i="39"/>
  <c r="I86" i="39"/>
  <c r="K85" i="39"/>
  <c r="I85" i="39"/>
  <c r="K84" i="39"/>
  <c r="I84" i="39"/>
  <c r="K83" i="39"/>
  <c r="I83" i="39"/>
  <c r="K82" i="39"/>
  <c r="I82" i="39"/>
  <c r="K81" i="39"/>
  <c r="I81" i="39"/>
  <c r="K80" i="39"/>
  <c r="I80" i="39"/>
  <c r="K79" i="39"/>
  <c r="I79" i="39"/>
  <c r="K78" i="39"/>
  <c r="I78" i="39"/>
  <c r="K77" i="39"/>
  <c r="I77" i="39"/>
  <c r="K76" i="39"/>
  <c r="I76" i="39"/>
  <c r="K75" i="39"/>
  <c r="I75" i="39"/>
  <c r="K74" i="39"/>
  <c r="I74" i="39"/>
  <c r="K73" i="39"/>
  <c r="I73" i="39"/>
  <c r="K72" i="39"/>
  <c r="I72" i="39"/>
  <c r="K71" i="39"/>
  <c r="I71" i="39"/>
  <c r="K70" i="39"/>
  <c r="I70" i="39"/>
  <c r="K69" i="39"/>
  <c r="I69" i="39"/>
  <c r="K68" i="39"/>
  <c r="I68" i="39"/>
  <c r="K67" i="39"/>
  <c r="I67" i="39"/>
  <c r="K66" i="39"/>
  <c r="I66" i="39"/>
  <c r="K65" i="39"/>
  <c r="I65" i="39"/>
  <c r="K64" i="39"/>
  <c r="I64" i="39"/>
  <c r="K63" i="39"/>
  <c r="I63" i="39"/>
  <c r="K62" i="39"/>
  <c r="I62" i="39"/>
  <c r="K61" i="39"/>
  <c r="I61" i="39"/>
  <c r="K60" i="39"/>
  <c r="I60" i="39"/>
  <c r="K59" i="39"/>
  <c r="I59" i="39"/>
  <c r="K58" i="39"/>
  <c r="I58" i="39"/>
  <c r="K57" i="39"/>
  <c r="I57" i="39"/>
  <c r="K56" i="39"/>
  <c r="I56" i="39"/>
  <c r="K55" i="39"/>
  <c r="I55" i="39"/>
  <c r="K54" i="39"/>
  <c r="I54" i="39"/>
  <c r="K53" i="39"/>
  <c r="I53" i="39"/>
  <c r="K52" i="39"/>
  <c r="I52" i="39"/>
  <c r="K51" i="39"/>
  <c r="I51" i="39"/>
  <c r="K50" i="39"/>
  <c r="I50" i="39"/>
  <c r="K49" i="39"/>
  <c r="I49" i="39"/>
  <c r="K48" i="39"/>
  <c r="I48" i="39"/>
  <c r="K47" i="39"/>
  <c r="I47" i="39"/>
  <c r="K46" i="39"/>
  <c r="I46" i="39"/>
  <c r="K45" i="39"/>
  <c r="I45" i="39"/>
  <c r="K44" i="39"/>
  <c r="I44" i="39"/>
  <c r="K43" i="39"/>
  <c r="I43" i="39"/>
  <c r="K42" i="39"/>
  <c r="I42" i="39"/>
  <c r="K41" i="39"/>
  <c r="I41" i="39"/>
  <c r="K40" i="39"/>
  <c r="I40" i="39"/>
  <c r="K39" i="39"/>
  <c r="I39" i="39"/>
  <c r="K38" i="39"/>
  <c r="I38" i="39"/>
  <c r="K37" i="39"/>
  <c r="I37" i="39"/>
  <c r="K36" i="39"/>
  <c r="I36" i="39"/>
  <c r="K35" i="39"/>
  <c r="I35" i="39"/>
  <c r="K34" i="39"/>
  <c r="I34" i="39"/>
  <c r="K33" i="39"/>
  <c r="I33" i="39"/>
  <c r="K32" i="39"/>
  <c r="I32" i="39"/>
  <c r="K31" i="39"/>
  <c r="I31" i="39"/>
  <c r="P30" i="39"/>
  <c r="K30" i="39"/>
  <c r="I30" i="39"/>
  <c r="P29" i="39"/>
  <c r="K29" i="39"/>
  <c r="I29" i="39"/>
  <c r="P28" i="39"/>
  <c r="K28" i="39"/>
  <c r="I28" i="39"/>
  <c r="P27" i="39"/>
  <c r="K27" i="39"/>
  <c r="I27" i="39"/>
  <c r="P26" i="39"/>
  <c r="K26" i="39"/>
  <c r="I26" i="39"/>
  <c r="P25" i="39"/>
  <c r="K25" i="39"/>
  <c r="I25" i="39"/>
  <c r="K24" i="39"/>
  <c r="I24" i="39"/>
  <c r="K23" i="39"/>
  <c r="I23" i="39"/>
  <c r="K22" i="39"/>
  <c r="I22" i="39"/>
  <c r="K21" i="39"/>
  <c r="I21" i="39"/>
  <c r="K20" i="39"/>
  <c r="I20" i="39"/>
  <c r="K19" i="39"/>
  <c r="I19" i="39"/>
  <c r="K18" i="39"/>
  <c r="I18" i="39"/>
  <c r="K17" i="39"/>
  <c r="K16" i="39"/>
  <c r="K15" i="39"/>
  <c r="K14" i="39"/>
  <c r="K13" i="39"/>
  <c r="G13" i="39"/>
  <c r="F13" i="39"/>
  <c r="E13" i="39"/>
  <c r="D13" i="39"/>
  <c r="K12" i="39"/>
  <c r="G12" i="39"/>
  <c r="F12" i="39"/>
  <c r="E12" i="39"/>
  <c r="D12" i="39"/>
  <c r="K11" i="39"/>
  <c r="K10" i="39"/>
  <c r="K9" i="39"/>
  <c r="K8" i="39"/>
  <c r="I8" i="39"/>
  <c r="D4" i="39"/>
  <c r="B4" i="39"/>
  <c r="V107" i="38"/>
  <c r="I107" i="38"/>
  <c r="V106" i="38"/>
  <c r="I106" i="38"/>
  <c r="V105" i="38"/>
  <c r="I105" i="38"/>
  <c r="V104" i="38"/>
  <c r="I104" i="38"/>
  <c r="V103" i="38"/>
  <c r="I103" i="38"/>
  <c r="V102" i="38"/>
  <c r="I102" i="38"/>
  <c r="V101" i="38"/>
  <c r="I101" i="38"/>
  <c r="V100" i="38"/>
  <c r="I100" i="38"/>
  <c r="V99" i="38"/>
  <c r="I99" i="38"/>
  <c r="V98" i="38"/>
  <c r="I98" i="38"/>
  <c r="V97" i="38"/>
  <c r="I97" i="38"/>
  <c r="V96" i="38"/>
  <c r="I96" i="38"/>
  <c r="V95" i="38"/>
  <c r="I95" i="38"/>
  <c r="V94" i="38"/>
  <c r="I94" i="38"/>
  <c r="V93" i="38"/>
  <c r="I93" i="38"/>
  <c r="V92" i="38"/>
  <c r="I92" i="38"/>
  <c r="V91" i="38"/>
  <c r="I91" i="38"/>
  <c r="V90" i="38"/>
  <c r="I90" i="38"/>
  <c r="V89" i="38"/>
  <c r="I89" i="38"/>
  <c r="V88" i="38"/>
  <c r="I88" i="38"/>
  <c r="V87" i="38"/>
  <c r="I87" i="38"/>
  <c r="V86" i="38"/>
  <c r="I86" i="38"/>
  <c r="V85" i="38"/>
  <c r="I85" i="38"/>
  <c r="V84" i="38"/>
  <c r="I84" i="38"/>
  <c r="V83" i="38"/>
  <c r="I83" i="38"/>
  <c r="V82" i="38"/>
  <c r="I82" i="38"/>
  <c r="V81" i="38"/>
  <c r="I81" i="38"/>
  <c r="V80" i="38"/>
  <c r="I80" i="38"/>
  <c r="V79" i="38"/>
  <c r="I79" i="38"/>
  <c r="V78" i="38"/>
  <c r="I78" i="38"/>
  <c r="V77" i="38"/>
  <c r="I77" i="38"/>
  <c r="V76" i="38"/>
  <c r="I76" i="38"/>
  <c r="V75" i="38"/>
  <c r="I75" i="38"/>
  <c r="V74" i="38"/>
  <c r="I74" i="38"/>
  <c r="V73" i="38"/>
  <c r="I73" i="38"/>
  <c r="V72" i="38"/>
  <c r="I72" i="38"/>
  <c r="V71" i="38"/>
  <c r="I71" i="38"/>
  <c r="V70" i="38"/>
  <c r="I70" i="38"/>
  <c r="V69" i="38"/>
  <c r="I69" i="38"/>
  <c r="V68" i="38"/>
  <c r="I68" i="38"/>
  <c r="V67" i="38"/>
  <c r="I67" i="38"/>
  <c r="V66" i="38"/>
  <c r="I66" i="38"/>
  <c r="V65" i="38"/>
  <c r="I65" i="38"/>
  <c r="V64" i="38"/>
  <c r="I64" i="38"/>
  <c r="V63" i="38"/>
  <c r="I63" i="38"/>
  <c r="V62" i="38"/>
  <c r="I62" i="38"/>
  <c r="V61" i="38"/>
  <c r="I61" i="38"/>
  <c r="V60" i="38"/>
  <c r="I60" i="38"/>
  <c r="V59" i="38"/>
  <c r="I59" i="38"/>
  <c r="V58" i="38"/>
  <c r="I58" i="38"/>
  <c r="V57" i="38"/>
  <c r="I57" i="38"/>
  <c r="V56" i="38"/>
  <c r="I56" i="38"/>
  <c r="V55" i="38"/>
  <c r="I55" i="38"/>
  <c r="V54" i="38"/>
  <c r="I54" i="38"/>
  <c r="V53" i="38"/>
  <c r="I53" i="38"/>
  <c r="V52" i="38"/>
  <c r="I52" i="38"/>
  <c r="V51" i="38"/>
  <c r="I51" i="38"/>
  <c r="V50" i="38"/>
  <c r="I50" i="38"/>
  <c r="V49" i="38"/>
  <c r="I49" i="38"/>
  <c r="V48" i="38"/>
  <c r="I48" i="38"/>
  <c r="V47" i="38"/>
  <c r="I47" i="38"/>
  <c r="V46" i="38"/>
  <c r="I46" i="38"/>
  <c r="V45" i="38"/>
  <c r="I45" i="38"/>
  <c r="V44" i="38"/>
  <c r="I44" i="38"/>
  <c r="V43" i="38"/>
  <c r="I43" i="38"/>
  <c r="V42" i="38"/>
  <c r="I42" i="38"/>
  <c r="V41" i="38"/>
  <c r="I41" i="38"/>
  <c r="V40" i="38"/>
  <c r="I40" i="38"/>
  <c r="V39" i="38"/>
  <c r="I39" i="38"/>
  <c r="V38" i="38"/>
  <c r="I38" i="38"/>
  <c r="V37" i="38"/>
  <c r="I37" i="38"/>
  <c r="V36" i="38"/>
  <c r="I36" i="38"/>
  <c r="V35" i="38"/>
  <c r="I35" i="38"/>
  <c r="V34" i="38"/>
  <c r="I34" i="38"/>
  <c r="V33" i="38"/>
  <c r="I33" i="38"/>
  <c r="V32" i="38"/>
  <c r="I32" i="38"/>
  <c r="V31" i="38"/>
  <c r="I31" i="38"/>
  <c r="V30" i="38"/>
  <c r="I30" i="38"/>
  <c r="V29" i="38"/>
  <c r="I29" i="38"/>
  <c r="V28" i="38"/>
  <c r="I28" i="38"/>
  <c r="V27" i="38"/>
  <c r="I27" i="38"/>
  <c r="V26" i="38"/>
  <c r="I26" i="38"/>
  <c r="V25" i="38"/>
  <c r="I25" i="38"/>
  <c r="V24" i="38"/>
  <c r="I24" i="38"/>
  <c r="V23" i="38"/>
  <c r="I23" i="38"/>
  <c r="V22" i="38"/>
  <c r="I22" i="38"/>
  <c r="V21" i="38"/>
  <c r="I21" i="38"/>
  <c r="V20" i="38"/>
  <c r="I20" i="38"/>
  <c r="V19" i="38"/>
  <c r="I19" i="38"/>
  <c r="V18" i="38"/>
  <c r="I18" i="38"/>
  <c r="V17" i="38"/>
  <c r="I17" i="38"/>
  <c r="V16" i="38"/>
  <c r="I16" i="38"/>
  <c r="V15" i="38"/>
  <c r="I15" i="38"/>
  <c r="V14" i="38"/>
  <c r="I14" i="38"/>
  <c r="G14" i="38"/>
  <c r="F14" i="38"/>
  <c r="E14" i="38"/>
  <c r="D14" i="38"/>
  <c r="V13" i="38"/>
  <c r="I13" i="38"/>
  <c r="G13" i="38"/>
  <c r="F13" i="38"/>
  <c r="E13" i="38"/>
  <c r="D13" i="38"/>
  <c r="V12" i="38"/>
  <c r="I12" i="38"/>
  <c r="G12" i="38"/>
  <c r="F12" i="38"/>
  <c r="E12" i="38"/>
  <c r="D12" i="38"/>
  <c r="V11" i="38"/>
  <c r="I11" i="38"/>
  <c r="G11" i="38"/>
  <c r="F11" i="38"/>
  <c r="E11" i="38"/>
  <c r="D11" i="38"/>
  <c r="V10" i="38"/>
  <c r="I10" i="38"/>
  <c r="B10" i="38"/>
  <c r="V9" i="38"/>
  <c r="I9" i="38"/>
  <c r="D4" i="38"/>
  <c r="B4" i="38"/>
  <c r="Q106" i="44"/>
  <c r="O106" i="44"/>
  <c r="M106" i="44"/>
  <c r="I106" i="44"/>
  <c r="Q105" i="44"/>
  <c r="O105" i="44"/>
  <c r="M105" i="44"/>
  <c r="I105" i="44"/>
  <c r="Q104" i="44"/>
  <c r="O104" i="44"/>
  <c r="M104" i="44"/>
  <c r="I104" i="44"/>
  <c r="Q103" i="44"/>
  <c r="O103" i="44"/>
  <c r="M103" i="44"/>
  <c r="I103" i="44"/>
  <c r="Q102" i="44"/>
  <c r="O102" i="44"/>
  <c r="M102" i="44"/>
  <c r="I102" i="44"/>
  <c r="Q101" i="44"/>
  <c r="O101" i="44"/>
  <c r="M101" i="44"/>
  <c r="I101" i="44"/>
  <c r="Q100" i="44"/>
  <c r="O100" i="44"/>
  <c r="M100" i="44"/>
  <c r="I100" i="44"/>
  <c r="Q99" i="44"/>
  <c r="O99" i="44"/>
  <c r="M99" i="44"/>
  <c r="I99" i="44"/>
  <c r="Q98" i="44"/>
  <c r="O98" i="44"/>
  <c r="M98" i="44"/>
  <c r="I98" i="44"/>
  <c r="Q97" i="44"/>
  <c r="O97" i="44"/>
  <c r="M97" i="44"/>
  <c r="I97" i="44"/>
  <c r="Q96" i="44"/>
  <c r="O96" i="44"/>
  <c r="M96" i="44"/>
  <c r="I96" i="44"/>
  <c r="Q95" i="44"/>
  <c r="O95" i="44"/>
  <c r="M95" i="44"/>
  <c r="I95" i="44"/>
  <c r="Q94" i="44"/>
  <c r="O94" i="44"/>
  <c r="M94" i="44"/>
  <c r="I94" i="44"/>
  <c r="Q93" i="44"/>
  <c r="O93" i="44"/>
  <c r="M93" i="44"/>
  <c r="I93" i="44"/>
  <c r="Q92" i="44"/>
  <c r="O92" i="44"/>
  <c r="M92" i="44"/>
  <c r="I92" i="44"/>
  <c r="Q91" i="44"/>
  <c r="O91" i="44"/>
  <c r="M91" i="44"/>
  <c r="I91" i="44"/>
  <c r="Q90" i="44"/>
  <c r="O90" i="44"/>
  <c r="M90" i="44"/>
  <c r="I90" i="44"/>
  <c r="Q89" i="44"/>
  <c r="O89" i="44"/>
  <c r="M89" i="44"/>
  <c r="I89" i="44"/>
  <c r="Q88" i="44"/>
  <c r="O88" i="44"/>
  <c r="M88" i="44"/>
  <c r="I88" i="44"/>
  <c r="Q87" i="44"/>
  <c r="O87" i="44"/>
  <c r="M87" i="44"/>
  <c r="I87" i="44"/>
  <c r="Q86" i="44"/>
  <c r="O86" i="44"/>
  <c r="M86" i="44"/>
  <c r="I86" i="44"/>
  <c r="Q85" i="44"/>
  <c r="O85" i="44"/>
  <c r="M85" i="44"/>
  <c r="I85" i="44"/>
  <c r="Q84" i="44"/>
  <c r="O84" i="44"/>
  <c r="M84" i="44"/>
  <c r="I84" i="44"/>
  <c r="Q83" i="44"/>
  <c r="O83" i="44"/>
  <c r="M83" i="44"/>
  <c r="I83" i="44"/>
  <c r="Q82" i="44"/>
  <c r="O82" i="44"/>
  <c r="M82" i="44"/>
  <c r="I82" i="44"/>
  <c r="Q81" i="44"/>
  <c r="O81" i="44"/>
  <c r="M81" i="44"/>
  <c r="I81" i="44"/>
  <c r="Q80" i="44"/>
  <c r="O80" i="44"/>
  <c r="M80" i="44"/>
  <c r="I80" i="44"/>
  <c r="Q79" i="44"/>
  <c r="O79" i="44"/>
  <c r="M79" i="44"/>
  <c r="I79" i="44"/>
  <c r="Q78" i="44"/>
  <c r="O78" i="44"/>
  <c r="M78" i="44"/>
  <c r="I78" i="44"/>
  <c r="Q77" i="44"/>
  <c r="O77" i="44"/>
  <c r="M77" i="44"/>
  <c r="I77" i="44"/>
  <c r="Q76" i="44"/>
  <c r="O76" i="44"/>
  <c r="M76" i="44"/>
  <c r="I76" i="44"/>
  <c r="Q75" i="44"/>
  <c r="O75" i="44"/>
  <c r="M75" i="44"/>
  <c r="I75" i="44"/>
  <c r="Q74" i="44"/>
  <c r="O74" i="44"/>
  <c r="M74" i="44"/>
  <c r="I74" i="44"/>
  <c r="Q73" i="44"/>
  <c r="O73" i="44"/>
  <c r="M73" i="44"/>
  <c r="I73" i="44"/>
  <c r="Q72" i="44"/>
  <c r="O72" i="44"/>
  <c r="M72" i="44"/>
  <c r="I72" i="44"/>
  <c r="Q71" i="44"/>
  <c r="O71" i="44"/>
  <c r="M71" i="44"/>
  <c r="I71" i="44"/>
  <c r="Q70" i="44"/>
  <c r="O70" i="44"/>
  <c r="M70" i="44"/>
  <c r="I70" i="44"/>
  <c r="Q69" i="44"/>
  <c r="O69" i="44"/>
  <c r="M69" i="44"/>
  <c r="I69" i="44"/>
  <c r="Q68" i="44"/>
  <c r="O68" i="44"/>
  <c r="M68" i="44"/>
  <c r="I68" i="44"/>
  <c r="Q67" i="44"/>
  <c r="O67" i="44"/>
  <c r="M67" i="44"/>
  <c r="I67" i="44"/>
  <c r="Q66" i="44"/>
  <c r="O66" i="44"/>
  <c r="M66" i="44"/>
  <c r="I66" i="44"/>
  <c r="Q65" i="44"/>
  <c r="O65" i="44"/>
  <c r="M65" i="44"/>
  <c r="I65" i="44"/>
  <c r="Q64" i="44"/>
  <c r="O64" i="44"/>
  <c r="M64" i="44"/>
  <c r="I64" i="44"/>
  <c r="Q63" i="44"/>
  <c r="O63" i="44"/>
  <c r="M63" i="44"/>
  <c r="I63" i="44"/>
  <c r="Q62" i="44"/>
  <c r="O62" i="44"/>
  <c r="M62" i="44"/>
  <c r="I62" i="44"/>
  <c r="Q61" i="44"/>
  <c r="O61" i="44"/>
  <c r="M61" i="44"/>
  <c r="I61" i="44"/>
  <c r="Q60" i="44"/>
  <c r="O60" i="44"/>
  <c r="M60" i="44"/>
  <c r="I60" i="44"/>
  <c r="Q59" i="44"/>
  <c r="O59" i="44"/>
  <c r="M59" i="44"/>
  <c r="I59" i="44"/>
  <c r="Q58" i="44"/>
  <c r="O58" i="44"/>
  <c r="M58" i="44"/>
  <c r="I58" i="44"/>
  <c r="Q57" i="44"/>
  <c r="O57" i="44"/>
  <c r="M57" i="44"/>
  <c r="I57" i="44"/>
  <c r="Q56" i="44"/>
  <c r="O56" i="44"/>
  <c r="M56" i="44"/>
  <c r="I56" i="44"/>
  <c r="Q55" i="44"/>
  <c r="O55" i="44"/>
  <c r="M55" i="44"/>
  <c r="I55" i="44"/>
  <c r="Q54" i="44"/>
  <c r="O54" i="44"/>
  <c r="M54" i="44"/>
  <c r="I54" i="44"/>
  <c r="Q53" i="44"/>
  <c r="O53" i="44"/>
  <c r="M53" i="44"/>
  <c r="I53" i="44"/>
  <c r="Q52" i="44"/>
  <c r="O52" i="44"/>
  <c r="M52" i="44"/>
  <c r="I52" i="44"/>
  <c r="Q51" i="44"/>
  <c r="O51" i="44"/>
  <c r="M51" i="44"/>
  <c r="I51" i="44"/>
  <c r="Q50" i="44"/>
  <c r="O50" i="44"/>
  <c r="M50" i="44"/>
  <c r="I50" i="44"/>
  <c r="Q49" i="44"/>
  <c r="O49" i="44"/>
  <c r="M49" i="44"/>
  <c r="I49" i="44"/>
  <c r="Q48" i="44"/>
  <c r="P48" i="44"/>
  <c r="O48" i="44"/>
  <c r="M48" i="44"/>
  <c r="I48" i="44"/>
  <c r="Q47" i="44"/>
  <c r="P47" i="44"/>
  <c r="O47" i="44"/>
  <c r="M47" i="44"/>
  <c r="I47" i="44"/>
  <c r="Q46" i="44"/>
  <c r="P46" i="44"/>
  <c r="O46" i="44"/>
  <c r="M46" i="44"/>
  <c r="I46" i="44"/>
  <c r="Q45" i="44"/>
  <c r="P45" i="44"/>
  <c r="O45" i="44"/>
  <c r="M45" i="44"/>
  <c r="I45" i="44"/>
  <c r="Q44" i="44"/>
  <c r="P44" i="44"/>
  <c r="O44" i="44"/>
  <c r="M44" i="44"/>
  <c r="I44" i="44"/>
  <c r="Q43" i="44"/>
  <c r="P43" i="44"/>
  <c r="O43" i="44"/>
  <c r="M43" i="44"/>
  <c r="I43" i="44"/>
  <c r="Q42" i="44"/>
  <c r="P42" i="44"/>
  <c r="O42" i="44"/>
  <c r="M42" i="44"/>
  <c r="I42" i="44"/>
  <c r="Q41" i="44"/>
  <c r="P41" i="44"/>
  <c r="O41" i="44"/>
  <c r="M41" i="44"/>
  <c r="I41" i="44"/>
  <c r="Q40" i="44"/>
  <c r="P40" i="44"/>
  <c r="O40" i="44"/>
  <c r="M40" i="44"/>
  <c r="I40" i="44"/>
  <c r="Q39" i="44"/>
  <c r="P39" i="44"/>
  <c r="O39" i="44"/>
  <c r="M39" i="44"/>
  <c r="I39" i="44"/>
  <c r="Q38" i="44"/>
  <c r="P38" i="44"/>
  <c r="O38" i="44"/>
  <c r="M38" i="44"/>
  <c r="I38" i="44"/>
  <c r="Q37" i="44"/>
  <c r="P37" i="44"/>
  <c r="O37" i="44"/>
  <c r="M37" i="44"/>
  <c r="I37" i="44"/>
  <c r="Q36" i="44"/>
  <c r="P36" i="44"/>
  <c r="O36" i="44"/>
  <c r="M36" i="44"/>
  <c r="I36" i="44"/>
  <c r="Q35" i="44"/>
  <c r="P35" i="44"/>
  <c r="O35" i="44"/>
  <c r="M35" i="44"/>
  <c r="I35" i="44"/>
  <c r="Q34" i="44"/>
  <c r="P34" i="44"/>
  <c r="O34" i="44"/>
  <c r="M34" i="44"/>
  <c r="I34" i="44"/>
  <c r="Q33" i="44"/>
  <c r="P33" i="44"/>
  <c r="O33" i="44"/>
  <c r="M33" i="44"/>
  <c r="I33" i="44"/>
  <c r="Q32" i="44"/>
  <c r="P32" i="44"/>
  <c r="O32" i="44"/>
  <c r="M32" i="44"/>
  <c r="I32" i="44"/>
  <c r="Q31" i="44"/>
  <c r="P31" i="44"/>
  <c r="O31" i="44"/>
  <c r="M31" i="44"/>
  <c r="I31" i="44"/>
  <c r="Q30" i="44"/>
  <c r="P30" i="44"/>
  <c r="O30" i="44"/>
  <c r="M30" i="44"/>
  <c r="I30" i="44"/>
  <c r="Q29" i="44"/>
  <c r="P29" i="44"/>
  <c r="O29" i="44"/>
  <c r="M29" i="44"/>
  <c r="I29" i="44"/>
  <c r="Q28" i="44"/>
  <c r="P28" i="44"/>
  <c r="O28" i="44"/>
  <c r="M28" i="44"/>
  <c r="I28" i="44"/>
  <c r="Q27" i="44"/>
  <c r="P27" i="44"/>
  <c r="O27" i="44"/>
  <c r="M27" i="44"/>
  <c r="I27" i="44"/>
  <c r="Q26" i="44"/>
  <c r="P26" i="44"/>
  <c r="O26" i="44"/>
  <c r="M26" i="44"/>
  <c r="I26" i="44"/>
  <c r="Q25" i="44"/>
  <c r="P25" i="44"/>
  <c r="O25" i="44"/>
  <c r="M25" i="44"/>
  <c r="I25" i="44"/>
  <c r="Q24" i="44"/>
  <c r="P24" i="44"/>
  <c r="O24" i="44"/>
  <c r="M24" i="44"/>
  <c r="I24" i="44"/>
  <c r="Q23" i="44"/>
  <c r="P23" i="44"/>
  <c r="O23" i="44"/>
  <c r="M23" i="44"/>
  <c r="I23" i="44"/>
  <c r="Q22" i="44"/>
  <c r="P22" i="44"/>
  <c r="O22" i="44"/>
  <c r="M22" i="44"/>
  <c r="I22" i="44"/>
  <c r="Q21" i="44"/>
  <c r="P21" i="44"/>
  <c r="O21" i="44"/>
  <c r="M21" i="44"/>
  <c r="I21" i="44"/>
  <c r="Q20" i="44"/>
  <c r="P20" i="44"/>
  <c r="O20" i="44"/>
  <c r="M20" i="44"/>
  <c r="I20" i="44"/>
  <c r="Q19" i="44"/>
  <c r="P19" i="44"/>
  <c r="O19" i="44"/>
  <c r="M19" i="44"/>
  <c r="I19" i="44"/>
  <c r="Q18" i="44"/>
  <c r="P18" i="44"/>
  <c r="O18" i="44"/>
  <c r="M18" i="44"/>
  <c r="I18" i="44"/>
  <c r="Q17" i="44"/>
  <c r="P17" i="44"/>
  <c r="O17" i="44"/>
  <c r="M17" i="44"/>
  <c r="I17" i="44"/>
  <c r="Q16" i="44"/>
  <c r="P16" i="44"/>
  <c r="O16" i="44"/>
  <c r="M16" i="44"/>
  <c r="I16" i="44"/>
  <c r="Q15" i="44"/>
  <c r="P15" i="44"/>
  <c r="O15" i="44"/>
  <c r="M15" i="44"/>
  <c r="I15" i="44"/>
  <c r="Z14" i="44"/>
  <c r="Y14" i="44"/>
  <c r="Q14" i="44"/>
  <c r="P14" i="44"/>
  <c r="O14" i="44"/>
  <c r="M14" i="44"/>
  <c r="I14" i="44"/>
  <c r="Z13" i="44"/>
  <c r="Y13" i="44"/>
  <c r="Q13" i="44"/>
  <c r="P13" i="44"/>
  <c r="O13" i="44"/>
  <c r="M13" i="44"/>
  <c r="I13" i="44"/>
  <c r="Z12" i="44"/>
  <c r="Y12" i="44"/>
  <c r="Q12" i="44"/>
  <c r="P12" i="44"/>
  <c r="O12" i="44"/>
  <c r="M12" i="44"/>
  <c r="I12" i="44"/>
  <c r="G12" i="44"/>
  <c r="F12" i="44"/>
  <c r="E12" i="44"/>
  <c r="D12" i="44"/>
  <c r="C12" i="44"/>
  <c r="B12" i="44"/>
  <c r="Z11" i="44"/>
  <c r="Y11" i="44"/>
  <c r="Q11" i="44"/>
  <c r="P11" i="44"/>
  <c r="O11" i="44"/>
  <c r="M11" i="44"/>
  <c r="I11" i="44"/>
  <c r="G11" i="44"/>
  <c r="F11" i="44"/>
  <c r="E11" i="44"/>
  <c r="D11" i="44"/>
  <c r="C11" i="44"/>
  <c r="B11" i="44"/>
  <c r="Z10" i="44"/>
  <c r="Y10" i="44"/>
  <c r="Q10" i="44"/>
  <c r="P10" i="44"/>
  <c r="O10" i="44"/>
  <c r="M10" i="44"/>
  <c r="I10" i="44"/>
  <c r="Z9" i="44"/>
  <c r="Y9" i="44"/>
  <c r="Q9" i="44"/>
  <c r="P9" i="44"/>
  <c r="O9" i="44"/>
  <c r="M9" i="44"/>
  <c r="I9" i="44"/>
  <c r="Z8" i="44"/>
  <c r="Y8" i="44"/>
  <c r="Q8" i="44"/>
  <c r="P8" i="44"/>
  <c r="M8" i="44"/>
  <c r="I8" i="44"/>
  <c r="Z7" i="44"/>
  <c r="Y7" i="44"/>
  <c r="Q7" i="44"/>
  <c r="P7" i="44"/>
  <c r="O7" i="44"/>
  <c r="M7" i="44"/>
  <c r="I7" i="44"/>
  <c r="D4" i="44"/>
  <c r="B4" i="44"/>
  <c r="F15" i="34"/>
  <c r="D15" i="34"/>
  <c r="C15" i="34"/>
  <c r="B15" i="34"/>
  <c r="E15" i="34" s="1"/>
  <c r="D14" i="34"/>
  <c r="C14" i="34"/>
  <c r="B14" i="34"/>
  <c r="G14" i="34" s="1"/>
  <c r="C13" i="34"/>
  <c r="B13" i="34"/>
  <c r="F13" i="34" s="1"/>
  <c r="F12" i="34"/>
  <c r="E12" i="34"/>
  <c r="C12" i="34"/>
  <c r="B12" i="34"/>
  <c r="F11" i="34"/>
  <c r="D11" i="34"/>
  <c r="C11" i="34"/>
  <c r="D18" i="37" s="1"/>
  <c r="G13" i="43" s="1"/>
  <c r="B11" i="34"/>
  <c r="E11" i="34" s="1"/>
  <c r="L8" i="34"/>
  <c r="N7" i="34"/>
  <c r="L7" i="34"/>
  <c r="D12" i="34" s="1"/>
  <c r="I7" i="34"/>
  <c r="D4" i="34"/>
  <c r="B4" i="34"/>
  <c r="E49" i="37"/>
  <c r="D49" i="37"/>
  <c r="C49" i="37"/>
  <c r="E48" i="37"/>
  <c r="D48" i="37"/>
  <c r="C48" i="37"/>
  <c r="E47" i="37"/>
  <c r="D47" i="37"/>
  <c r="C47" i="37"/>
  <c r="E46" i="37"/>
  <c r="D46" i="37"/>
  <c r="C46" i="37"/>
  <c r="E45" i="37"/>
  <c r="D45" i="37"/>
  <c r="C45" i="37"/>
  <c r="E44" i="37"/>
  <c r="D44" i="37"/>
  <c r="C44" i="37"/>
  <c r="D43" i="37"/>
  <c r="C43" i="37"/>
  <c r="E40" i="37"/>
  <c r="D40" i="37"/>
  <c r="C40" i="37"/>
  <c r="E39" i="37"/>
  <c r="D39" i="37"/>
  <c r="C39" i="37"/>
  <c r="D38" i="37"/>
  <c r="C38" i="37"/>
  <c r="E35" i="37"/>
  <c r="D35" i="37"/>
  <c r="C35" i="37"/>
  <c r="D34" i="37"/>
  <c r="C34" i="37"/>
  <c r="E31" i="37"/>
  <c r="D31" i="37"/>
  <c r="C31" i="37"/>
  <c r="D30" i="37"/>
  <c r="C30" i="37"/>
  <c r="E27" i="37"/>
  <c r="D27" i="37"/>
  <c r="C27" i="37"/>
  <c r="E26" i="37"/>
  <c r="D26" i="37"/>
  <c r="C26" i="37"/>
  <c r="D25" i="37"/>
  <c r="C25" i="37"/>
  <c r="D22" i="37"/>
  <c r="G17" i="43" s="1"/>
  <c r="C22" i="37"/>
  <c r="E17" i="43" s="1"/>
  <c r="I17" i="43" s="1"/>
  <c r="D21" i="37"/>
  <c r="G16" i="43" s="1"/>
  <c r="D20" i="37"/>
  <c r="G15" i="43" s="1"/>
  <c r="D19" i="37"/>
  <c r="G14" i="43" s="1"/>
  <c r="C19" i="37"/>
  <c r="E14" i="43" s="1"/>
  <c r="I14" i="43" s="1"/>
  <c r="C18" i="37"/>
  <c r="E13" i="43" s="1"/>
  <c r="I13" i="43" s="1"/>
  <c r="D17" i="37"/>
  <c r="C17" i="37"/>
  <c r="E12" i="43" s="1"/>
  <c r="G14" i="37" a="1"/>
  <c r="G14" i="37"/>
  <c r="F14" i="37" a="1"/>
  <c r="F14" i="37"/>
  <c r="E14" i="37" a="1"/>
  <c r="E14" i="37"/>
  <c r="D14" i="37" a="1"/>
  <c r="D14" i="37"/>
  <c r="G13" i="37"/>
  <c r="F13" i="37"/>
  <c r="E13" i="37"/>
  <c r="D13" i="37"/>
  <c r="G12" i="37"/>
  <c r="F12" i="37"/>
  <c r="E12" i="37"/>
  <c r="D12" i="37"/>
  <c r="G11" i="37" a="1"/>
  <c r="G11" i="37"/>
  <c r="F11" i="37" a="1"/>
  <c r="F11" i="37"/>
  <c r="E11" i="37" a="1"/>
  <c r="E11" i="37"/>
  <c r="D11" i="37" a="1"/>
  <c r="D11" i="37"/>
  <c r="G10" i="37" a="1"/>
  <c r="G10" i="37"/>
  <c r="F10" i="37" a="1"/>
  <c r="F10" i="37"/>
  <c r="D10" i="37" a="1"/>
  <c r="D10" i="37"/>
  <c r="G9" i="37" a="1"/>
  <c r="G9" i="37"/>
  <c r="F9" i="37" a="1"/>
  <c r="F9" i="37"/>
  <c r="D118" i="1"/>
  <c r="D117" i="1"/>
  <c r="D104" i="1"/>
  <c r="D78" i="1"/>
  <c r="D77" i="1"/>
  <c r="D76" i="1"/>
  <c r="D75" i="1"/>
  <c r="D74" i="1"/>
  <c r="D73" i="1"/>
  <c r="D68" i="1"/>
  <c r="D67" i="1"/>
  <c r="D66" i="1"/>
  <c r="D65" i="1"/>
  <c r="D64" i="1"/>
  <c r="D63" i="1"/>
  <c r="D62" i="1"/>
  <c r="D61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2" i="1"/>
  <c r="D41" i="1"/>
  <c r="D36" i="1"/>
  <c r="D35" i="1"/>
  <c r="D34" i="1"/>
  <c r="D33" i="1"/>
  <c r="D32" i="1"/>
  <c r="D31" i="1"/>
  <c r="D30" i="1"/>
  <c r="D29" i="1"/>
  <c r="D28" i="1"/>
  <c r="D27" i="1"/>
  <c r="D26" i="1"/>
  <c r="D21" i="1"/>
  <c r="D20" i="1"/>
  <c r="D19" i="1"/>
  <c r="D18" i="1"/>
  <c r="D17" i="1"/>
  <c r="D16" i="1"/>
  <c r="D15" i="1"/>
  <c r="D14" i="1"/>
  <c r="D9" i="1"/>
  <c r="D8" i="1"/>
  <c r="D7" i="1"/>
  <c r="G13" i="34" l="1"/>
  <c r="C20" i="37"/>
  <c r="E15" i="43" s="1"/>
  <c r="I15" i="43" s="1"/>
  <c r="G12" i="34"/>
  <c r="E19" i="37" s="1"/>
  <c r="F14" i="43" s="1"/>
  <c r="J14" i="43" s="1"/>
  <c r="C21" i="37"/>
  <c r="E16" i="43" s="1"/>
  <c r="I16" i="43" s="1"/>
  <c r="D13" i="34"/>
  <c r="F14" i="34"/>
  <c r="F8" i="37" s="1" a="1"/>
  <c r="F8" i="37" s="1"/>
  <c r="G11" i="34"/>
  <c r="E18" i="37" s="1"/>
  <c r="F13" i="43" s="1"/>
  <c r="J13" i="43" s="1"/>
  <c r="E14" i="34"/>
  <c r="E21" i="37" s="1"/>
  <c r="F16" i="43" s="1"/>
  <c r="J16" i="43" s="1"/>
  <c r="G15" i="34"/>
  <c r="E22" i="37" s="1"/>
  <c r="F17" i="43" s="1"/>
  <c r="J17" i="43" s="1"/>
  <c r="E13" i="34"/>
  <c r="E8" i="37" s="1" a="1"/>
  <c r="E8" i="37" s="1"/>
  <c r="E20" i="37" l="1"/>
  <c r="F15" i="43" s="1"/>
  <c r="J15" i="43" s="1"/>
  <c r="J18" i="4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<sst xmlns="http://schemas.openxmlformats.org/spreadsheetml/2006/main" count="7794" uniqueCount="1785">
  <si>
    <t>INSTRUCTIONS</t>
  </si>
  <si>
    <t>Instructions for each Sheet (Link)</t>
  </si>
  <si>
    <t>1. Data Info and Summary</t>
  </si>
  <si>
    <t>No</t>
  </si>
  <si>
    <t>Data</t>
  </si>
  <si>
    <t>Description</t>
  </si>
  <si>
    <t>Response Format</t>
  </si>
  <si>
    <t>Example/s</t>
  </si>
  <si>
    <t>2.1a Fuel - Buildings</t>
  </si>
  <si>
    <t>BSP Facility</t>
  </si>
  <si>
    <t>Your BSP branch/office</t>
  </si>
  <si>
    <t>Text (dropdown)</t>
  </si>
  <si>
    <t>Head Office</t>
  </si>
  <si>
    <t>2.1b Fuel - Vehicles</t>
  </si>
  <si>
    <t>Reporting Year</t>
  </si>
  <si>
    <t>Year covered</t>
  </si>
  <si>
    <t>Number (dropdown)</t>
  </si>
  <si>
    <t>2.2 Refrigerants</t>
  </si>
  <si>
    <t>Covered Quarters</t>
  </si>
  <si>
    <t>Auto populated table indicating the reporting quarters covered by the submission</t>
  </si>
  <si>
    <t>Text (auto)</t>
  </si>
  <si>
    <t>X</t>
  </si>
  <si>
    <t>2.3 Electricity</t>
  </si>
  <si>
    <t>Summary</t>
  </si>
  <si>
    <t>No input needed. This part of the sheet is automated.</t>
  </si>
  <si>
    <t>Number (auto)</t>
  </si>
  <si>
    <t>-</t>
  </si>
  <si>
    <t>2.3b RE - Solar</t>
  </si>
  <si>
    <t>2.4 Water</t>
  </si>
  <si>
    <t>2.5 Waste</t>
  </si>
  <si>
    <t>Information</t>
  </si>
  <si>
    <t>No input needed. This part of the sheet is linked to '1. Data Info and Summary'.</t>
  </si>
  <si>
    <t>Text (auto), Number (auto)</t>
  </si>
  <si>
    <t>Head Office, 2024</t>
  </si>
  <si>
    <t>Summary of Fuel Consumption</t>
  </si>
  <si>
    <t>Number (Column I)</t>
  </si>
  <si>
    <t>Fuel Type</t>
  </si>
  <si>
    <r>
      <rPr>
        <sz val="11"/>
        <color theme="1"/>
        <rFont val="Calibri"/>
        <family val="2"/>
        <scheme val="minor"/>
      </rPr>
      <t xml:space="preserve">Select the appropriate fuel type from the dropdown list:
</t>
    </r>
    <r>
      <rPr>
        <b/>
        <sz val="11"/>
        <color theme="1"/>
        <rFont val="Calibri"/>
        <family val="2"/>
        <scheme val="minor"/>
      </rPr>
      <t>1. Diesel - Standby generator sets
2. Diesel - Others
3. Gasoline - Others
4. LPG - Heating and cooking
5. Compressed natural gas</t>
    </r>
  </si>
  <si>
    <t>Diesel - Standby generator sets</t>
  </si>
  <si>
    <t>Legend</t>
  </si>
  <si>
    <t>Month</t>
  </si>
  <si>
    <t>Month when the fuel was consumed</t>
  </si>
  <si>
    <t>Aug</t>
  </si>
  <si>
    <t>White Fill - Text input</t>
  </si>
  <si>
    <t>Quarter</t>
  </si>
  <si>
    <t xml:space="preserve">No input needed. </t>
  </si>
  <si>
    <t>Q1</t>
  </si>
  <si>
    <t>Light Blue Fill - Dropdown input</t>
  </si>
  <si>
    <t>Consumption</t>
  </si>
  <si>
    <t>Amount of fuel consumed per Fuel Type for the whole BSP facility</t>
  </si>
  <si>
    <t>Number (2 decimal points)</t>
  </si>
  <si>
    <t>Grey - Automated / No input (locked)</t>
  </si>
  <si>
    <t>Unit</t>
  </si>
  <si>
    <t>No input needed. Input will be based on 'Fuel Type'</t>
  </si>
  <si>
    <t>Liters</t>
  </si>
  <si>
    <t>Remarks</t>
  </si>
  <si>
    <t>Any relevant information that can provide more clarity on the data or that you think will be useful to the Sustainability Office (e.g., equipment name, generator set model)</t>
  </si>
  <si>
    <t>Text</t>
  </si>
  <si>
    <t>Cummins Model No. 603 DFGB Diesel Engine Generator Set No. 1</t>
  </si>
  <si>
    <t>Vehicle Type</t>
  </si>
  <si>
    <r>
      <rPr>
        <sz val="11"/>
        <color rgb="FF000000"/>
        <rFont val="Calibri"/>
        <family val="2"/>
        <scheme val="minor"/>
      </rPr>
      <t xml:space="preserve">Select the appropriate vehicle type from the dropdown list:
</t>
    </r>
    <r>
      <rPr>
        <b/>
        <sz val="11"/>
        <color rgb="FF000000"/>
        <rFont val="Calibri"/>
        <family val="2"/>
        <scheme val="minor"/>
      </rPr>
      <t>1. Armored vehicles
2. Sedan
3. Multi-purpose vehicles 
4. Sport utility vehicles (SUV)
5. Vans
6. Mini bus/coaster
7. Hybrid-Sedan
8. Hybrid-SUV
9. Others</t>
    </r>
  </si>
  <si>
    <t>Service Vehicles</t>
  </si>
  <si>
    <r>
      <rPr>
        <sz val="11"/>
        <color theme="1"/>
        <rFont val="Calibri"/>
        <family val="2"/>
        <scheme val="minor"/>
      </rPr>
      <t xml:space="preserve">Select the appropriate fuel type from the dropdown list:
</t>
    </r>
    <r>
      <rPr>
        <b/>
        <sz val="11"/>
        <color theme="1"/>
        <rFont val="Calibri"/>
        <family val="2"/>
        <scheme val="minor"/>
      </rPr>
      <t>1. Diesel - Transport vehicles
2. Gasoline - Transport vehicles</t>
    </r>
  </si>
  <si>
    <t>Diesel - Transport vehicles</t>
  </si>
  <si>
    <t>Total kilometers travelled</t>
  </si>
  <si>
    <t>Total distance travelled by the vehicle(s) for the given month, in kilometers</t>
  </si>
  <si>
    <t>Number (2 decimal places)</t>
  </si>
  <si>
    <t>Unit2</t>
  </si>
  <si>
    <t>No input needed.</t>
  </si>
  <si>
    <t>Kilometers</t>
  </si>
  <si>
    <t>Any relevant information that can provide more clarity on the data or that you think will be useful to the Sustainability Office</t>
  </si>
  <si>
    <t>Summary of Refrigerant Use</t>
  </si>
  <si>
    <t>Location</t>
  </si>
  <si>
    <t>Location of the refrigerant-containing unit</t>
  </si>
  <si>
    <t>Five-storey building</t>
  </si>
  <si>
    <t>Equipment Category</t>
  </si>
  <si>
    <r>
      <rPr>
        <sz val="11"/>
        <color theme="1"/>
        <rFont val="Calibri"/>
        <family val="2"/>
        <scheme val="minor"/>
      </rPr>
      <t xml:space="preserve">Select the appropriate equipment category: 
</t>
    </r>
    <r>
      <rPr>
        <b/>
        <sz val="11"/>
        <color theme="1"/>
        <rFont val="Calibri"/>
        <family val="2"/>
        <scheme val="minor"/>
      </rPr>
      <t>1. Domestic Refrigeration</t>
    </r>
    <r>
      <rPr>
        <sz val="11"/>
        <color theme="1"/>
        <rFont val="Calibri"/>
        <family val="2"/>
        <scheme val="minor"/>
      </rPr>
      <t xml:space="preserve"> - e.g., Pantry refrigerator in executive lounge or staff pantry
</t>
    </r>
    <r>
      <rPr>
        <b/>
        <sz val="11"/>
        <color theme="1"/>
        <rFont val="Calibri"/>
        <family val="2"/>
        <scheme val="minor"/>
      </rPr>
      <t>2. Chillers</t>
    </r>
    <r>
      <rPr>
        <sz val="11"/>
        <color theme="1"/>
        <rFont val="Calibri"/>
        <family val="2"/>
        <scheme val="minor"/>
      </rPr>
      <t xml:space="preserve"> - e.g., Chillers in HVAC systems
</t>
    </r>
    <r>
      <rPr>
        <b/>
        <sz val="11"/>
        <color theme="1"/>
        <rFont val="Calibri"/>
        <family val="2"/>
        <scheme val="minor"/>
      </rPr>
      <t>3. Residential and Commercial Airconditioning, incl. Heat Pumps</t>
    </r>
    <r>
      <rPr>
        <sz val="11"/>
        <color theme="1"/>
        <rFont val="Calibri"/>
        <family val="2"/>
        <scheme val="minor"/>
      </rPr>
      <t xml:space="preserve"> - e.g., Split-type or centralized AC in BSP offices, meeting rooms, data centers
</t>
    </r>
    <r>
      <rPr>
        <b/>
        <sz val="11"/>
        <color theme="1"/>
        <rFont val="Calibri"/>
        <family val="2"/>
        <scheme val="minor"/>
      </rPr>
      <t>4. Mobile Air Conditioners</t>
    </r>
    <r>
      <rPr>
        <sz val="11"/>
        <color theme="1"/>
        <rFont val="Calibri"/>
        <family val="2"/>
        <scheme val="minor"/>
      </rPr>
      <t xml:space="preserve"> - e.g., Vehicle A/C in BSP armored vans or service vehicles
</t>
    </r>
    <r>
      <rPr>
        <b/>
        <sz val="11"/>
        <color theme="1"/>
        <rFont val="Calibri"/>
        <family val="2"/>
        <scheme val="minor"/>
      </rPr>
      <t>5. Others</t>
    </r>
  </si>
  <si>
    <t>Residential and Commercial Airconditioning, incl. Heat Pumps</t>
  </si>
  <si>
    <t>No. of Units</t>
  </si>
  <si>
    <t>Total number of refrigerant-containing units of the same specification</t>
  </si>
  <si>
    <t>Number</t>
  </si>
  <si>
    <t>Refrigerant</t>
  </si>
  <si>
    <t>Select the type of refrigerant used</t>
  </si>
  <si>
    <t>R-410A</t>
  </si>
  <si>
    <t>Equipment Status</t>
  </si>
  <si>
    <r>
      <rPr>
        <sz val="11"/>
        <color theme="1"/>
        <rFont val="Calibri"/>
        <family val="2"/>
        <scheme val="minor"/>
      </rPr>
      <t xml:space="preserve">Select the status of the equipment as of the reporting period:
</t>
    </r>
    <r>
      <rPr>
        <b/>
        <sz val="11"/>
        <color theme="1"/>
        <rFont val="Calibri"/>
        <family val="2"/>
        <scheme val="minor"/>
      </rPr>
      <t>1. New installation</t>
    </r>
    <r>
      <rPr>
        <sz val="11"/>
        <color theme="1"/>
        <rFont val="Calibri"/>
        <family val="2"/>
        <scheme val="minor"/>
      </rPr>
      <t xml:space="preserve"> – recently installed
</t>
    </r>
    <r>
      <rPr>
        <b/>
        <sz val="11"/>
        <color theme="1"/>
        <rFont val="Calibri"/>
        <family val="2"/>
        <scheme val="minor"/>
      </rPr>
      <t>2. In operation</t>
    </r>
    <r>
      <rPr>
        <sz val="11"/>
        <color theme="1"/>
        <rFont val="Calibri"/>
        <family val="2"/>
        <scheme val="minor"/>
      </rPr>
      <t xml:space="preserve"> – actively used and maintained
</t>
    </r>
    <r>
      <rPr>
        <b/>
        <sz val="11"/>
        <color theme="1"/>
        <rFont val="Calibri"/>
        <family val="2"/>
        <scheme val="minor"/>
      </rPr>
      <t>3. Disposed</t>
    </r>
    <r>
      <rPr>
        <sz val="11"/>
        <color theme="1"/>
        <rFont val="Calibri"/>
        <family val="2"/>
        <scheme val="minor"/>
      </rPr>
      <t xml:space="preserve"> – decommissioned or permanently taken out of use</t>
    </r>
  </si>
  <si>
    <t>Disposed</t>
  </si>
  <si>
    <t>Month purchased</t>
  </si>
  <si>
    <t>Month when the equipment/refrigerant was purchased/installed</t>
  </si>
  <si>
    <t>Feb</t>
  </si>
  <si>
    <t>Charge (kg)</t>
  </si>
  <si>
    <t>Actual or estimated refrigerant charge per unit, in kilograms
Provide total consumed for the reporting period</t>
  </si>
  <si>
    <t>Month Recharged</t>
  </si>
  <si>
    <t>Month of most recent recharge/refilled</t>
  </si>
  <si>
    <t>Recharge</t>
  </si>
  <si>
    <t>Total sum of the refrigerant added to the unit/s, in kilograms</t>
  </si>
  <si>
    <t>Month Disposed</t>
  </si>
  <si>
    <t>Month when the unit was disposed</t>
  </si>
  <si>
    <t>Capacity</t>
  </si>
  <si>
    <t>Total sum of the full capacity for all units, in kilograms</t>
  </si>
  <si>
    <t>Recovered (kg)</t>
  </si>
  <si>
    <t>Total measured refrigerant charge recovered at the time of disposal, in kilograms</t>
  </si>
  <si>
    <t>Window ACU, XYZ Building</t>
  </si>
  <si>
    <t>2.3a Electricity</t>
  </si>
  <si>
    <t>Summary of Electricity Consumption</t>
  </si>
  <si>
    <t>Month when the electricity was consumed (first month if 2-month billing period)</t>
  </si>
  <si>
    <t>Consumption (kWh)</t>
  </si>
  <si>
    <t>Power consumption, in kWh (of the whole BSP facility)</t>
  </si>
  <si>
    <t>Cost (PHP)</t>
  </si>
  <si>
    <t>Cost of electricity consumption, in PHP</t>
  </si>
  <si>
    <t>Utility Provider</t>
  </si>
  <si>
    <t>Your distribution utility or electric cooperative.</t>
  </si>
  <si>
    <t>MERALCO</t>
  </si>
  <si>
    <t>Billing period: Aug 11 - Sep 10</t>
  </si>
  <si>
    <t>2.3b Renewable Energy - Solar (if applicable)</t>
  </si>
  <si>
    <t>Solar Energy Generated (kWh)</t>
  </si>
  <si>
    <t>Power generated, in kWh</t>
  </si>
  <si>
    <t>Operational Energy Demand (kWh)</t>
  </si>
  <si>
    <t>Energy demand, in kWh</t>
  </si>
  <si>
    <t>Summary of Water Consumption</t>
  </si>
  <si>
    <t>Water Intake</t>
  </si>
  <si>
    <t>Month when water was consumed (first month if 2-month billing period)</t>
  </si>
  <si>
    <t>Source</t>
  </si>
  <si>
    <r>
      <rPr>
        <sz val="11"/>
        <color theme="1"/>
        <rFont val="Calibri"/>
        <family val="2"/>
        <scheme val="minor"/>
      </rPr>
      <t xml:space="preserve">Select the water source from the dropdown list:
</t>
    </r>
    <r>
      <rPr>
        <b/>
        <sz val="11"/>
        <color theme="1"/>
        <rFont val="Calibri"/>
        <family val="2"/>
        <scheme val="minor"/>
      </rPr>
      <t>1. Third-party Water
2. Collected Rainwater
3. Recycled Water
4. Industrial Process Water
5. Other Source</t>
    </r>
  </si>
  <si>
    <t>Third-party Water</t>
  </si>
  <si>
    <t>Volume (m3)</t>
  </si>
  <si>
    <t>Volume of water consumed, in cubic meters (of the whole BSP facility)</t>
  </si>
  <si>
    <t>Billing period: Aug 15 - Sep 14</t>
  </si>
  <si>
    <t>Water Discharge</t>
  </si>
  <si>
    <t>Month when water was discharged</t>
  </si>
  <si>
    <t>Volume of water discharged, in cubic meters (of the whole BSP facility)</t>
  </si>
  <si>
    <t>Water Destination</t>
  </si>
  <si>
    <r>
      <rPr>
        <sz val="11"/>
        <color theme="1"/>
        <rFont val="Calibri"/>
        <family val="2"/>
        <scheme val="minor"/>
      </rPr>
      <t xml:space="preserve">Select the destination of water consumed:
</t>
    </r>
    <r>
      <rPr>
        <b/>
        <sz val="11"/>
        <color theme="1"/>
        <rFont val="Calibri"/>
        <family val="2"/>
        <scheme val="minor"/>
      </rPr>
      <t>1. Onsite Treatment Facility
2. External Treatment Facility
3. Others</t>
    </r>
  </si>
  <si>
    <t>External Treatment Facility</t>
  </si>
  <si>
    <t>Summary of Waste Disposed/Recovered</t>
  </si>
  <si>
    <t>Waste Disposal and Recovery</t>
  </si>
  <si>
    <t>Month when waste was disposed/recovered</t>
  </si>
  <si>
    <t>Waste Composition</t>
  </si>
  <si>
    <r>
      <rPr>
        <b/>
        <sz val="11"/>
        <color rgb="FF000000"/>
        <rFont val="Calibri"/>
        <family val="2"/>
      </rPr>
      <t xml:space="preserve">Categorization of waste:
</t>
    </r>
    <r>
      <rPr>
        <sz val="11"/>
        <color rgb="FF000000"/>
        <rFont val="Calibri"/>
        <family val="2"/>
      </rPr>
      <t xml:space="preserve">1. </t>
    </r>
    <r>
      <rPr>
        <b/>
        <sz val="11"/>
        <color rgb="FF000000"/>
        <rFont val="Calibri"/>
        <family val="2"/>
      </rPr>
      <t xml:space="preserve">Compostable </t>
    </r>
    <r>
      <rPr>
        <sz val="11"/>
        <color rgb="FF000000"/>
        <rFont val="Calibri"/>
        <family val="2"/>
      </rPr>
      <t xml:space="preserve">- organic waste that can be broken down to compost such as leftover foods, twigs, and leaves
2. </t>
    </r>
    <r>
      <rPr>
        <b/>
        <sz val="11"/>
        <color rgb="FF000000"/>
        <rFont val="Calibri"/>
        <family val="2"/>
      </rPr>
      <t>Recyclable</t>
    </r>
    <r>
      <rPr>
        <sz val="11"/>
        <color rgb="FF000000"/>
        <rFont val="Calibri"/>
        <family val="2"/>
      </rPr>
      <t xml:space="preserve"> - waste that are either saleable, or non-saleable but can be processed and reused
3.</t>
    </r>
    <r>
      <rPr>
        <b/>
        <sz val="11"/>
        <color rgb="FF000000"/>
        <rFont val="Calibri"/>
        <family val="2"/>
      </rPr>
      <t xml:space="preserve"> Security</t>
    </r>
    <r>
      <rPr>
        <sz val="11"/>
        <color rgb="FF000000"/>
        <rFont val="Calibri"/>
        <family val="2"/>
      </rPr>
      <t xml:space="preserve"> - non-hazardous waste generated from currency production operations
4. </t>
    </r>
    <r>
      <rPr>
        <b/>
        <sz val="11"/>
        <color rgb="FF000000"/>
        <rFont val="Calibri"/>
        <family val="2"/>
      </rPr>
      <t>Hazardou</t>
    </r>
    <r>
      <rPr>
        <sz val="11"/>
        <color rgb="FF000000"/>
        <rFont val="Calibri"/>
        <family val="2"/>
      </rPr>
      <t xml:space="preserve">s - wastes containing hazardous substances that are no longer recyclable such as inks and ink-contamindated materials, and waste from electrical and electronic equipment
5. </t>
    </r>
    <r>
      <rPr>
        <b/>
        <sz val="11"/>
        <color rgb="FF000000"/>
        <rFont val="Calibri"/>
        <family val="2"/>
      </rPr>
      <t>Infectious</t>
    </r>
    <r>
      <rPr>
        <sz val="11"/>
        <color rgb="FF000000"/>
        <rFont val="Calibri"/>
        <family val="2"/>
      </rPr>
      <t xml:space="preserve"> - contaminated health care wastes
6. </t>
    </r>
    <r>
      <rPr>
        <b/>
        <sz val="11"/>
        <color rgb="FF000000"/>
        <rFont val="Calibri"/>
        <family val="2"/>
      </rPr>
      <t>Residual</t>
    </r>
    <r>
      <rPr>
        <sz val="11"/>
        <color rgb="FF000000"/>
        <rFont val="Calibri"/>
        <family val="2"/>
      </rPr>
      <t>/</t>
    </r>
    <r>
      <rPr>
        <b/>
        <sz val="11"/>
        <color rgb="FF000000"/>
        <rFont val="Calibri"/>
        <family val="2"/>
      </rPr>
      <t>Landfill</t>
    </r>
    <r>
      <rPr>
        <sz val="11"/>
        <color rgb="FF000000"/>
        <rFont val="Calibri"/>
        <family val="2"/>
      </rPr>
      <t xml:space="preserve"> - other non-compostable and non-recyclable waste</t>
    </r>
  </si>
  <si>
    <t>Compostable</t>
  </si>
  <si>
    <t>Weight (kg)</t>
  </si>
  <si>
    <t>Weight of waste generated, in kilograms</t>
  </si>
  <si>
    <t>Disposal/Recovery Method</t>
  </si>
  <si>
    <r>
      <rPr>
        <sz val="11"/>
        <color rgb="FF000000"/>
        <rFont val="Calibri"/>
        <family val="2"/>
        <scheme val="minor"/>
      </rPr>
      <t xml:space="preserve">Select the waste disposal/recovery method:
</t>
    </r>
    <r>
      <rPr>
        <b/>
        <sz val="11"/>
        <color rgb="FF000000"/>
        <rFont val="Calibri"/>
        <family val="2"/>
        <scheme val="minor"/>
      </rPr>
      <t>1. LGU garbage collection
2. Waste treatment company
3. Recycling service provider
4. Composting
5. In-house recycling/repurposing
6. Auction/Donation
7. Others</t>
    </r>
  </si>
  <si>
    <t>LGU Garbage Collection</t>
  </si>
  <si>
    <t>3. Emissions Summary</t>
  </si>
  <si>
    <t>Emissions Summary</t>
  </si>
  <si>
    <t>No input needed. This part of the sheet is automated--computed based summary data, e.g. fuel, electricity.</t>
  </si>
  <si>
    <t>Mindanao Regional Office</t>
  </si>
  <si>
    <t>SUMMARY</t>
  </si>
  <si>
    <t>Q2</t>
  </si>
  <si>
    <t>Q3</t>
  </si>
  <si>
    <t>Q4</t>
  </si>
  <si>
    <t>Fuel - Buildings</t>
  </si>
  <si>
    <t>Fuel - Vehicles</t>
  </si>
  <si>
    <t>Refrigerants</t>
  </si>
  <si>
    <t>Electricity</t>
  </si>
  <si>
    <t>Renewable Energy - Solar</t>
  </si>
  <si>
    <t>Water</t>
  </si>
  <si>
    <t>Waste</t>
  </si>
  <si>
    <t>FUEL - BUILDINGS</t>
  </si>
  <si>
    <t>Total</t>
  </si>
  <si>
    <t>FUEL - VEHICLES</t>
  </si>
  <si>
    <t>ELECTRICITY</t>
  </si>
  <si>
    <t>RENEWABLE ENERGY - SOLAR</t>
  </si>
  <si>
    <t>WATER</t>
  </si>
  <si>
    <t>WASTE</t>
  </si>
  <si>
    <t>Disposed/
Recovered</t>
  </si>
  <si>
    <t>Fuel Consumption - Buildings (Additional note/s)</t>
  </si>
  <si>
    <t>Year</t>
  </si>
  <si>
    <t>Report</t>
  </si>
  <si>
    <t>This form is patterned after DOE's Monthly Fuel Consumption Report.</t>
  </si>
  <si>
    <t>FUEL</t>
  </si>
  <si>
    <t>Preparer</t>
  </si>
  <si>
    <t>JEROME LOWE J. OCHIA</t>
  </si>
  <si>
    <t>No.</t>
  </si>
  <si>
    <t>Date Submitted</t>
  </si>
  <si>
    <t>Mar</t>
  </si>
  <si>
    <t>January to March fuel consumption</t>
  </si>
  <si>
    <t>Jun</t>
  </si>
  <si>
    <t>April to June fuel consumption</t>
  </si>
  <si>
    <t>Text input</t>
  </si>
  <si>
    <t>Dropdown input</t>
  </si>
  <si>
    <t>Automated / No input</t>
  </si>
  <si>
    <t>add more rows if necessary</t>
  </si>
  <si>
    <t>Monthly Fuel Consumption - Fuel (Additional note/s)</t>
  </si>
  <si>
    <t>FLAVIANO A. SAROL</t>
  </si>
  <si>
    <t>Total kilometers travelled (all vehicles)</t>
  </si>
  <si>
    <t>KM/L</t>
  </si>
  <si>
    <t xml:space="preserve">Van  </t>
  </si>
  <si>
    <t>Jan</t>
  </si>
  <si>
    <t>NISSAN NV350</t>
  </si>
  <si>
    <t>Multi-Purpose Vehicle</t>
  </si>
  <si>
    <t>JAN</t>
  </si>
  <si>
    <t>TOYOTA INNOVA 134115</t>
  </si>
  <si>
    <t>TOYOTA INNOVA sla 1026</t>
  </si>
  <si>
    <t>TOYOTA GRANDIA SLA 1052</t>
  </si>
  <si>
    <t>Armored Vehicle</t>
  </si>
  <si>
    <t>FORD ARMORED VAN 131210</t>
  </si>
  <si>
    <t>FORD ARMORED TRUCK 131206</t>
  </si>
  <si>
    <t>FORD ARMORED VAN 419354</t>
  </si>
  <si>
    <t>mar</t>
  </si>
  <si>
    <t>apr</t>
  </si>
  <si>
    <t>may</t>
  </si>
  <si>
    <t>MAY</t>
  </si>
  <si>
    <t>JUN</t>
  </si>
  <si>
    <t>jun</t>
  </si>
  <si>
    <t>Refrigerant Use  (Additional note/s)</t>
  </si>
  <si>
    <t>REFRIGERANTS</t>
  </si>
  <si>
    <t>DALE JOHN E. BALAGA</t>
  </si>
  <si>
    <t>New</t>
  </si>
  <si>
    <t>In Operation</t>
  </si>
  <si>
    <t>Month Purchased</t>
  </si>
  <si>
    <t>Recharge (kg)</t>
  </si>
  <si>
    <t>Capacity (kg)</t>
  </si>
  <si>
    <t>BSP MRO- Office Building</t>
  </si>
  <si>
    <t>Residential and Commercial A/C, including Heat Pumps</t>
  </si>
  <si>
    <t>R134A</t>
  </si>
  <si>
    <t>In operation</t>
  </si>
  <si>
    <t>New installation</t>
  </si>
  <si>
    <t>No. of units</t>
  </si>
  <si>
    <t>Default no input, can change to white or blue</t>
  </si>
  <si>
    <t>Description and Examples of Equipment Categories</t>
  </si>
  <si>
    <t>Category</t>
  </si>
  <si>
    <t>Examples</t>
  </si>
  <si>
    <t>Domestic Refrigeration</t>
  </si>
  <si>
    <t>Refrigeration appliances typically found in household settings.</t>
  </si>
  <si>
    <t>Pantry refrigerator in executive lounge or staff pantry</t>
  </si>
  <si>
    <t>Chillers</t>
  </si>
  <si>
    <t>Systems producing chilled water for cooling large spaces or industrial processes.</t>
  </si>
  <si>
    <t>Chillers in HVAC systems</t>
  </si>
  <si>
    <t>Air-conditioning and heat pump systems used in residential and commercial buildings.</t>
  </si>
  <si>
    <t>Split-type or centralized AC in BSP offices, meeting rooms, data centers</t>
  </si>
  <si>
    <t>Mobile Air Conditioners</t>
  </si>
  <si>
    <t>Air-conditioning systems installed in vehicles for occupant cooling.</t>
  </si>
  <si>
    <t>Vehicle A/C in BSP armored vans or service vehicles</t>
  </si>
  <si>
    <t>Electricity Consumption (Additional note/s)</t>
  </si>
  <si>
    <t>DLPC</t>
  </si>
  <si>
    <t>MRO has 2 electric meters</t>
  </si>
  <si>
    <t>Apr</t>
  </si>
  <si>
    <t>Quantity</t>
  </si>
  <si>
    <t>Kilowatt-hour</t>
  </si>
  <si>
    <t>May</t>
  </si>
  <si>
    <t>Renewable Energy Generation (Additional note/s)</t>
  </si>
  <si>
    <t>Accomplish this sheet only if the BSP facility has solar panels.</t>
  </si>
  <si>
    <t>RENEWABLE ENERGY</t>
  </si>
  <si>
    <t>Operational Energy Demand - One Shift (kWH)</t>
  </si>
  <si>
    <t>NONE</t>
  </si>
  <si>
    <t>Summary of Solar Energy Generated</t>
  </si>
  <si>
    <t>Energy</t>
  </si>
  <si>
    <t>Water (Additional note/s)</t>
  </si>
  <si>
    <t>If billing/metering period covers 2 months, input Month 1.</t>
  </si>
  <si>
    <t>Example: Mar 15-Apr 14, input Mar. You may indicate in the remarks column the full billing/metering period.</t>
  </si>
  <si>
    <t>Volume2 (m3)</t>
  </si>
  <si>
    <t>Davao City Water District</t>
  </si>
  <si>
    <t>Others</t>
  </si>
  <si>
    <t>Davao City sewer drains going to rivers</t>
  </si>
  <si>
    <t>Summary of Water Use</t>
  </si>
  <si>
    <t>Cubic meters</t>
  </si>
  <si>
    <t>Direct Emissions from Waste Gas Streams</t>
  </si>
  <si>
    <t xml:space="preserve">1.  This tool is designed to apply the CO2 emission factor calculation methodology for a gas waste stream as provided in the Climate Leaders Program - Direct Emissions from </t>
  </si>
  <si>
    <t>WASTE GASES</t>
  </si>
  <si>
    <t>Stationary Combustion Sources Guidance Document (May 2008). This tool can also be used to approximate emissions for other combustion sources such as gas welding and gas metal cutting.</t>
  </si>
  <si>
    <r>
      <rPr>
        <b/>
        <i/>
        <sz val="10"/>
        <color theme="1"/>
        <rFont val="Calibri"/>
        <family val="2"/>
        <scheme val="minor"/>
      </rPr>
      <t xml:space="preserve">Instructions: </t>
    </r>
    <r>
      <rPr>
        <i/>
        <sz val="10"/>
        <color theme="1"/>
        <rFont val="Calibri"/>
        <family val="2"/>
        <scheme val="minor"/>
      </rPr>
      <t xml:space="preserve">  Enter molar fraction (as a percentage) for each gas component in the Data Entry table.
</t>
    </r>
  </si>
  <si>
    <t>Author/s</t>
  </si>
  <si>
    <t>Approver</t>
  </si>
  <si>
    <t>Enter total amount waste gas stream combusted in the green cell on the DATA ENTRY section</t>
  </si>
  <si>
    <t>Email Address</t>
  </si>
  <si>
    <t>Date Accomplished</t>
  </si>
  <si>
    <t>Data Entry</t>
  </si>
  <si>
    <t>Data Entry Table</t>
  </si>
  <si>
    <t>Waste Stream Gas Combusted</t>
  </si>
  <si>
    <t>Component</t>
  </si>
  <si>
    <t>Chemical Formula</t>
  </si>
  <si>
    <t>Molar Fraction (%)</t>
  </si>
  <si>
    <r>
      <rPr>
        <b/>
        <sz val="10"/>
        <color theme="0"/>
        <rFont val="Calibri"/>
        <family val="2"/>
        <scheme val="minor"/>
      </rPr>
      <t>Total Moles (kg-mole/m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</si>
  <si>
    <t>Molecular Weight</t>
  </si>
  <si>
    <t>Percent Carbon (%)</t>
  </si>
  <si>
    <r>
      <rPr>
        <b/>
        <sz val="10"/>
        <color theme="0"/>
        <rFont val="Calibri"/>
        <family val="2"/>
        <scheme val="minor"/>
      </rPr>
      <t>Carbon Content(kg/m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</si>
  <si>
    <r>
      <rPr>
        <sz val="9"/>
        <color theme="1"/>
        <rFont val="Calibri"/>
        <family val="2"/>
        <scheme val="minor"/>
      </rPr>
      <t>m</t>
    </r>
    <r>
      <rPr>
        <vertAlign val="superscript"/>
        <sz val="10"/>
        <rFont val="Arial"/>
        <family val="2"/>
      </rPr>
      <t>3</t>
    </r>
  </si>
  <si>
    <t>Carbon Monoxide</t>
  </si>
  <si>
    <t>CO</t>
  </si>
  <si>
    <t>Gas total no. of moles per unit volume</t>
  </si>
  <si>
    <t>Carbon Dioxide</t>
  </si>
  <si>
    <r>
      <rPr>
        <sz val="9"/>
        <color theme="1"/>
        <rFont val="Calibri"/>
        <family val="2"/>
        <scheme val="minor"/>
      </rPr>
      <t>CO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 xml:space="preserve"> </t>
    </r>
  </si>
  <si>
    <t>kg·mol/m³</t>
  </si>
  <si>
    <t>Methane</t>
  </si>
  <si>
    <r>
      <rPr>
        <sz val="9"/>
        <color theme="1"/>
        <rFont val="Calibri"/>
        <family val="2"/>
        <scheme val="minor"/>
      </rPr>
      <t>CH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 xml:space="preserve"> </t>
    </r>
  </si>
  <si>
    <t>Acetylene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</si>
  <si>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 xml:space="preserve"> </t>
    </r>
  </si>
  <si>
    <t>Total CO2 (kg)</t>
  </si>
  <si>
    <t>Oxidation Factor</t>
  </si>
  <si>
    <t>Ethylene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</si>
  <si>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 xml:space="preserve"> </t>
    </r>
  </si>
  <si>
    <t>%</t>
  </si>
  <si>
    <t>Ethane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</si>
  <si>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 xml:space="preserve"> </t>
    </r>
  </si>
  <si>
    <t>If oxidation factor is not known, use 100% as default value</t>
  </si>
  <si>
    <t>Propylene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</si>
  <si>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 xml:space="preserve"> </t>
    </r>
  </si>
  <si>
    <t>Propane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</si>
  <si>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 xml:space="preserve"> </t>
    </r>
  </si>
  <si>
    <t>n-Butane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</si>
  <si>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10</t>
    </r>
    <r>
      <rPr>
        <sz val="9"/>
        <color theme="1"/>
        <rFont val="Calibri"/>
        <family val="2"/>
        <scheme val="minor"/>
      </rPr>
      <t xml:space="preserve"> </t>
    </r>
  </si>
  <si>
    <t>Benzene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</si>
  <si>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 xml:space="preserve"> </t>
    </r>
  </si>
  <si>
    <t>Hexane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</si>
  <si>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14</t>
    </r>
    <r>
      <rPr>
        <sz val="9"/>
        <color theme="1"/>
        <rFont val="Calibri"/>
        <family val="2"/>
        <scheme val="minor"/>
      </rPr>
      <t xml:space="preserve"> </t>
    </r>
  </si>
  <si>
    <t>Toluene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</si>
  <si>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7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 xml:space="preserve"> </t>
    </r>
  </si>
  <si>
    <t>Octane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</si>
  <si>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18</t>
    </r>
    <r>
      <rPr>
        <sz val="9"/>
        <color theme="1"/>
        <rFont val="Calibri"/>
        <family val="2"/>
        <scheme val="minor"/>
      </rPr>
      <t xml:space="preserve"> </t>
    </r>
  </si>
  <si>
    <t>Ethanol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</si>
  <si>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5</t>
    </r>
    <r>
      <rPr>
        <sz val="9"/>
        <color theme="1"/>
        <rFont val="Calibri"/>
        <family val="2"/>
        <scheme val="minor"/>
      </rPr>
      <t>OH</t>
    </r>
  </si>
  <si>
    <t>Acetone</t>
  </si>
  <si>
    <r>
      <rPr>
        <sz val="9"/>
        <color theme="1"/>
        <rFont val="Calibri"/>
        <family val="2"/>
        <scheme val="minor"/>
      </rPr>
      <t>CH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>COCH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 xml:space="preserve"> </t>
    </r>
  </si>
  <si>
    <t>Tetrahydrofuran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</si>
  <si>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>O</t>
    </r>
  </si>
  <si>
    <t>Other non-carbon</t>
  </si>
  <si>
    <t>Monthly Waste Disposal (Additional note/s)</t>
  </si>
  <si>
    <t>Waste Disposal</t>
  </si>
  <si>
    <t>LGU garbage collection</t>
  </si>
  <si>
    <t>Waste Composition is Compostable and Recyclable. Includes currency shredded notes.</t>
  </si>
  <si>
    <t>Kilograms</t>
  </si>
  <si>
    <t>Hazardous</t>
  </si>
  <si>
    <t>Waste treatment company</t>
  </si>
  <si>
    <t>EMISSIONS SUMMARY (DO NOT EDIT)</t>
  </si>
  <si>
    <t>SCOPE 1 (DIRECT EMISSIONS)</t>
  </si>
  <si>
    <t>SCOPE 2 (INDIRECT EMISSIONS)</t>
  </si>
  <si>
    <t>STATIONARY COMBUSTION</t>
  </si>
  <si>
    <t>SCOPE 2 - ELECTRICITY</t>
  </si>
  <si>
    <t>Amount</t>
  </si>
  <si>
    <t>EF</t>
  </si>
  <si>
    <t>kg CO2e</t>
  </si>
  <si>
    <t>TOTAL</t>
  </si>
  <si>
    <t>MOBILE COMBUSTION</t>
  </si>
  <si>
    <t>(All)</t>
  </si>
  <si>
    <t>Sum of Consumption</t>
  </si>
  <si>
    <t>Row Labels</t>
  </si>
  <si>
    <t>Grand Total</t>
  </si>
  <si>
    <t>Diesel - Others</t>
  </si>
  <si>
    <t>(blank)</t>
  </si>
  <si>
    <t>Sum of Consumption (kWh)</t>
  </si>
  <si>
    <t>Column Labels</t>
  </si>
  <si>
    <t>Building 2</t>
  </si>
  <si>
    <t>Building 3</t>
  </si>
  <si>
    <t>Building 1</t>
  </si>
  <si>
    <t>RE</t>
  </si>
  <si>
    <t>Water Intake -Sum of Volume (m3)</t>
  </si>
  <si>
    <t>Recycled Water</t>
  </si>
  <si>
    <t>Building 4</t>
  </si>
  <si>
    <t>Collected Rainwater</t>
  </si>
  <si>
    <t>Water Discharge - Sum of Volume (m3)</t>
  </si>
  <si>
    <t>Reuse (e.g., irrigation, flushing, among others)</t>
  </si>
  <si>
    <t>Sum of Weight (kg)</t>
  </si>
  <si>
    <t>Non-biodegradable</t>
  </si>
  <si>
    <t>N/A</t>
  </si>
  <si>
    <t>Biodegradable</t>
  </si>
  <si>
    <t>Recyclable</t>
  </si>
  <si>
    <t>Disposal</t>
  </si>
  <si>
    <t>Type</t>
  </si>
  <si>
    <t>Recovery</t>
  </si>
  <si>
    <t>Onsite or Offsite</t>
  </si>
  <si>
    <t>Facility Type/Operations</t>
  </si>
  <si>
    <t>Fuel Type - Stationary</t>
  </si>
  <si>
    <t>Q</t>
  </si>
  <si>
    <t>Y/N</t>
  </si>
  <si>
    <t>Equipment Lifecycle Stage</t>
  </si>
  <si>
    <t>Water Source</t>
  </si>
  <si>
    <t>Treatment</t>
  </si>
  <si>
    <t>Category (Ref)</t>
  </si>
  <si>
    <t>DU</t>
  </si>
  <si>
    <t>D</t>
  </si>
  <si>
    <t>Recycling service provider</t>
  </si>
  <si>
    <t>Onsite</t>
  </si>
  <si>
    <t>Bacolod Branch</t>
  </si>
  <si>
    <t>Visayas</t>
  </si>
  <si>
    <t>Office</t>
  </si>
  <si>
    <t>Yes</t>
  </si>
  <si>
    <t>Onsite Treatment Facility</t>
  </si>
  <si>
    <t>Y</t>
  </si>
  <si>
    <t>ABRECO</t>
  </si>
  <si>
    <t>R</t>
  </si>
  <si>
    <t>Composting</t>
  </si>
  <si>
    <t>Offsite</t>
  </si>
  <si>
    <t>Batac Branch</t>
  </si>
  <si>
    <t>North Luzon</t>
  </si>
  <si>
    <t>R141B</t>
  </si>
  <si>
    <t>N</t>
  </si>
  <si>
    <t>Sedan</t>
  </si>
  <si>
    <t>AEC</t>
  </si>
  <si>
    <t>Infectious</t>
  </si>
  <si>
    <t>Recycling Service Provider</t>
  </si>
  <si>
    <t>In-house recycling/repurposing</t>
  </si>
  <si>
    <t>Butuan Branch</t>
  </si>
  <si>
    <t>Mindanao</t>
  </si>
  <si>
    <t>Gasoline - Others</t>
  </si>
  <si>
    <t>R22</t>
  </si>
  <si>
    <t>AKELCO</t>
  </si>
  <si>
    <t>Security</t>
  </si>
  <si>
    <t>Incineration with energy recovery</t>
  </si>
  <si>
    <t>Cabanatuan Branch</t>
  </si>
  <si>
    <t>LPG - Heating and cooking</t>
  </si>
  <si>
    <t>R32</t>
  </si>
  <si>
    <t>Industrial Process Water</t>
  </si>
  <si>
    <t>Sport Utility Vehicle  (SUV)</t>
  </si>
  <si>
    <t>ALECO/APEC</t>
  </si>
  <si>
    <t>In-house recyling/repurposing</t>
  </si>
  <si>
    <t>Cagayan De Oro Branch</t>
  </si>
  <si>
    <t>Compressed natural gas</t>
  </si>
  <si>
    <t>R410A</t>
  </si>
  <si>
    <t>ANECO</t>
  </si>
  <si>
    <t>Residual/Landfill</t>
  </si>
  <si>
    <t>Auction/Donation</t>
  </si>
  <si>
    <t>Cotabato Branch</t>
  </si>
  <si>
    <t>Mini Bus/Coaster</t>
  </si>
  <si>
    <t>ANTECO</t>
  </si>
  <si>
    <t>Dagupan Branch</t>
  </si>
  <si>
    <t>Jul</t>
  </si>
  <si>
    <t>Hybrid-Sedan</t>
  </si>
  <si>
    <t>ASELCO</t>
  </si>
  <si>
    <t>Dumaguete Branch</t>
  </si>
  <si>
    <t>Hybrid-SUV</t>
  </si>
  <si>
    <t>AURELCO</t>
  </si>
  <si>
    <t>General Santos Branch</t>
  </si>
  <si>
    <t>Sep</t>
  </si>
  <si>
    <t>BANELCO</t>
  </si>
  <si>
    <t>Metro Manila</t>
  </si>
  <si>
    <t>Oct</t>
  </si>
  <si>
    <t>BASELCO</t>
  </si>
  <si>
    <t>Iloilo Branch</t>
  </si>
  <si>
    <t>Fuel Type - Mobile</t>
  </si>
  <si>
    <t>Nov</t>
  </si>
  <si>
    <t>BATANELCO</t>
  </si>
  <si>
    <t>La Union Branch</t>
  </si>
  <si>
    <t>Dec</t>
  </si>
  <si>
    <t>BATELEC I</t>
  </si>
  <si>
    <t>Legazpi Branch</t>
  </si>
  <si>
    <t>South Luzon</t>
  </si>
  <si>
    <t>Gasoline - Transport vehicles</t>
  </si>
  <si>
    <t>BATELEC II</t>
  </si>
  <si>
    <t>Lucena Branch</t>
  </si>
  <si>
    <t>BENECO</t>
  </si>
  <si>
    <t>BEZ</t>
  </si>
  <si>
    <t>North Luzon Regional Office</t>
  </si>
  <si>
    <t>BILECO</t>
  </si>
  <si>
    <t>Ozamiz Branch</t>
  </si>
  <si>
    <t>BISELCO</t>
  </si>
  <si>
    <t>Puerto Princesa Branch</t>
  </si>
  <si>
    <t>BLCI</t>
  </si>
  <si>
    <t>Roxas Branch</t>
  </si>
  <si>
    <t>BOHECO I</t>
  </si>
  <si>
    <t>San Fernando Branch</t>
  </si>
  <si>
    <t>BOHECO II</t>
  </si>
  <si>
    <t>Security Plant Complex</t>
  </si>
  <si>
    <t>Bumbaran</t>
  </si>
  <si>
    <t>South Luzon Regional Office</t>
  </si>
  <si>
    <t>BUSECO</t>
  </si>
  <si>
    <t>Tacloban Branch</t>
  </si>
  <si>
    <t>CAGELCO I</t>
  </si>
  <si>
    <t>Tuguegarao Branch</t>
  </si>
  <si>
    <t>CAGELCO II</t>
  </si>
  <si>
    <t>Visayas Regional Office</t>
  </si>
  <si>
    <t>CAMELCO</t>
  </si>
  <si>
    <t>Zamboanga Branch</t>
  </si>
  <si>
    <t>CANORECO</t>
  </si>
  <si>
    <t>CAPELCO</t>
  </si>
  <si>
    <t>CASELCO</t>
  </si>
  <si>
    <t>CASURECO I</t>
  </si>
  <si>
    <t>CASURECO II</t>
  </si>
  <si>
    <t>CASURECO III</t>
  </si>
  <si>
    <t>CASURECO IV</t>
  </si>
  <si>
    <t>CEBECO I</t>
  </si>
  <si>
    <t>CEBECO II</t>
  </si>
  <si>
    <t>CEBECO III</t>
  </si>
  <si>
    <t>CEDC</t>
  </si>
  <si>
    <t>CELCO</t>
  </si>
  <si>
    <t>CELCOR</t>
  </si>
  <si>
    <t>CENECO</t>
  </si>
  <si>
    <t>CENPELCO</t>
  </si>
  <si>
    <t>CEPALCO</t>
  </si>
  <si>
    <t>CLPC</t>
  </si>
  <si>
    <t>Concepcion</t>
  </si>
  <si>
    <t>Corcuera</t>
  </si>
  <si>
    <t>COTELCO</t>
  </si>
  <si>
    <t>COTELCO - PPALMA</t>
  </si>
  <si>
    <t>DANECO</t>
  </si>
  <si>
    <t>DASURECO</t>
  </si>
  <si>
    <t>DECORP</t>
  </si>
  <si>
    <t>DIELCO</t>
  </si>
  <si>
    <t>DORECO</t>
  </si>
  <si>
    <t>DORELCO</t>
  </si>
  <si>
    <t>ESAMELCO</t>
  </si>
  <si>
    <t>FBPC</t>
  </si>
  <si>
    <t>FIBECO</t>
  </si>
  <si>
    <t>FICELCO</t>
  </si>
  <si>
    <t>FLECO</t>
  </si>
  <si>
    <t>GUIMELCO</t>
  </si>
  <si>
    <t>HFMPC</t>
  </si>
  <si>
    <t>IEC</t>
  </si>
  <si>
    <t>IFELCO</t>
  </si>
  <si>
    <t>ILECO I</t>
  </si>
  <si>
    <t>ILECO II</t>
  </si>
  <si>
    <t>ILECO III</t>
  </si>
  <si>
    <t>ILPI</t>
  </si>
  <si>
    <t>INEC</t>
  </si>
  <si>
    <t>ISECO</t>
  </si>
  <si>
    <t>ISELCO I</t>
  </si>
  <si>
    <t>ISELCO II</t>
  </si>
  <si>
    <t>KAELCO</t>
  </si>
  <si>
    <t>LANECO</t>
  </si>
  <si>
    <t>LASURECO</t>
  </si>
  <si>
    <t>LEYECO II</t>
  </si>
  <si>
    <t>LEYECO III</t>
  </si>
  <si>
    <t>LEYECO IV</t>
  </si>
  <si>
    <t>LEYECO V</t>
  </si>
  <si>
    <t>LEZ</t>
  </si>
  <si>
    <t>LUBELCO</t>
  </si>
  <si>
    <t>LUECO</t>
  </si>
  <si>
    <t>LUELCO</t>
  </si>
  <si>
    <t>MAGELCO</t>
  </si>
  <si>
    <t>MALVEZ</t>
  </si>
  <si>
    <t>MARELCO</t>
  </si>
  <si>
    <t>MASELCO</t>
  </si>
  <si>
    <t>MECO</t>
  </si>
  <si>
    <t>MEPC</t>
  </si>
  <si>
    <t>MEZ</t>
  </si>
  <si>
    <t>MMPC</t>
  </si>
  <si>
    <t>MOELCI I</t>
  </si>
  <si>
    <t>MOELCI II</t>
  </si>
  <si>
    <t>MOPRECO</t>
  </si>
  <si>
    <t>MORESCO I</t>
  </si>
  <si>
    <t>MORESCO II</t>
  </si>
  <si>
    <t>NEECO I</t>
  </si>
  <si>
    <t>NEECO II-AREA 1</t>
  </si>
  <si>
    <t>NEECO II-AREA 2</t>
  </si>
  <si>
    <t>NEPC</t>
  </si>
  <si>
    <t>NOCECO</t>
  </si>
  <si>
    <t>NORDECO</t>
  </si>
  <si>
    <t>NONECO</t>
  </si>
  <si>
    <t>NORECO I</t>
  </si>
  <si>
    <t>NORECO II</t>
  </si>
  <si>
    <t>NORSAMELCO</t>
  </si>
  <si>
    <t>NUVELCO</t>
  </si>
  <si>
    <t>OEDC</t>
  </si>
  <si>
    <t>OMECO</t>
  </si>
  <si>
    <t>ORMECO</t>
  </si>
  <si>
    <t>PALECO</t>
  </si>
  <si>
    <t>PAMES</t>
  </si>
  <si>
    <t>PANELCO I</t>
  </si>
  <si>
    <t>PANELCO III</t>
  </si>
  <si>
    <t>PELCO I</t>
  </si>
  <si>
    <t>PELCO II</t>
  </si>
  <si>
    <t>PELCO III</t>
  </si>
  <si>
    <t>PENELCO</t>
  </si>
  <si>
    <t>PRESCO</t>
  </si>
  <si>
    <t>PROSIELCO</t>
  </si>
  <si>
    <t>QUEZELCO I</t>
  </si>
  <si>
    <t>QUEZELCO II</t>
  </si>
  <si>
    <t>QUIRELCO</t>
  </si>
  <si>
    <t>ROMELCO</t>
  </si>
  <si>
    <t>SAJELCO</t>
  </si>
  <si>
    <t>SAMELCO I</t>
  </si>
  <si>
    <t>SAMELCO II</t>
  </si>
  <si>
    <t>SEZ</t>
  </si>
  <si>
    <t>SFELAPCO</t>
  </si>
  <si>
    <t>SIARELCO</t>
  </si>
  <si>
    <t>SIASELCO</t>
  </si>
  <si>
    <t>SOCOTECO I</t>
  </si>
  <si>
    <t>SOCOTECO II</t>
  </si>
  <si>
    <t>SOLECO</t>
  </si>
  <si>
    <t>SORECO I</t>
  </si>
  <si>
    <t>SORECO II</t>
  </si>
  <si>
    <t>SUKELCO</t>
  </si>
  <si>
    <t>SULECO</t>
  </si>
  <si>
    <t>SURNECO</t>
  </si>
  <si>
    <t>SURSECO I</t>
  </si>
  <si>
    <t>SURSECO II</t>
  </si>
  <si>
    <t>TARELCO I</t>
  </si>
  <si>
    <t>TARELCO II</t>
  </si>
  <si>
    <t>TAWELCO</t>
  </si>
  <si>
    <t>TEI</t>
  </si>
  <si>
    <t>TIELCO</t>
  </si>
  <si>
    <t>TISELCO</t>
  </si>
  <si>
    <t>VECO</t>
  </si>
  <si>
    <t>ZAMCELCO</t>
  </si>
  <si>
    <t>ZAMECO I</t>
  </si>
  <si>
    <t>ZAMECO II</t>
  </si>
  <si>
    <t>ZAMSURECO I</t>
  </si>
  <si>
    <t>ZAMSURECO II</t>
  </si>
  <si>
    <t>ZANECO</t>
  </si>
  <si>
    <t>Fuel Type (VLOOKUP)</t>
  </si>
  <si>
    <t>Energy Source</t>
  </si>
  <si>
    <t>Emission Factor (kg CO2e per unit)</t>
  </si>
  <si>
    <t>Source/Notes</t>
  </si>
  <si>
    <t>Stationary Combustion</t>
  </si>
  <si>
    <t>Diesel</t>
  </si>
  <si>
    <t>Litre</t>
  </si>
  <si>
    <t>Default IPCC</t>
  </si>
  <si>
    <t>Gasoline</t>
  </si>
  <si>
    <t>LPG</t>
  </si>
  <si>
    <t>kg</t>
  </si>
  <si>
    <t>Natural Gas</t>
  </si>
  <si>
    <t>m3</t>
  </si>
  <si>
    <t>Mobile Combustion</t>
  </si>
  <si>
    <t>Philippine Grid 2022</t>
  </si>
  <si>
    <t>kWh</t>
  </si>
  <si>
    <t>DOE 2022 EF (placeholder)</t>
  </si>
  <si>
    <t>Fugitive</t>
  </si>
  <si>
    <t>R-134a</t>
  </si>
  <si>
    <t>IPCC AR5 GWP</t>
  </si>
  <si>
    <t>R-410a</t>
  </si>
  <si>
    <t>Shipping fuel</t>
  </si>
  <si>
    <t>Molecular Weights</t>
  </si>
  <si>
    <t>Element</t>
  </si>
  <si>
    <t>Atomic Weight</t>
  </si>
  <si>
    <t>Carbon</t>
  </si>
  <si>
    <t>Timestamp</t>
  </si>
  <si>
    <t>User</t>
  </si>
  <si>
    <t>Sheet</t>
  </si>
  <si>
    <t xml:space="preserve">Cell </t>
  </si>
  <si>
    <t>New Value</t>
  </si>
  <si>
    <t>Microsoft Office User</t>
  </si>
  <si>
    <t>4. Dashboard</t>
  </si>
  <si>
    <t>$81:$101</t>
  </si>
  <si>
    <t>$81:$97</t>
  </si>
  <si>
    <t>$B$81:$R$98</t>
  </si>
  <si>
    <t>$A$81:$Q$98</t>
  </si>
  <si>
    <t>$A$105:$F$105</t>
  </si>
  <si>
    <t>$A$105</t>
  </si>
  <si>
    <t>$A$107:$U$138</t>
  </si>
  <si>
    <t>$104:$104</t>
  </si>
  <si>
    <t>$A$141:$F$141</t>
  </si>
  <si>
    <t>$A$141</t>
  </si>
  <si>
    <t>$A$142:$P$162</t>
  </si>
  <si>
    <t>$A$142:$Q$162</t>
  </si>
  <si>
    <t>$A$143:$P$163</t>
  </si>
  <si>
    <t>Instructions</t>
  </si>
  <si>
    <t>$26:$26</t>
  </si>
  <si>
    <t>$27:$27</t>
  </si>
  <si>
    <t>$26:$30</t>
  </si>
  <si>
    <t>$26:$34</t>
  </si>
  <si>
    <t>$D$27:$H$37</t>
  </si>
  <si>
    <t>$38:$43</t>
  </si>
  <si>
    <t>$35:$35</t>
  </si>
  <si>
    <t>$D$35:$H$35</t>
  </si>
  <si>
    <t>$E$32</t>
  </si>
  <si>
    <t>Facility</t>
  </si>
  <si>
    <t>$F$32</t>
  </si>
  <si>
    <t>Facility Name/Code/Number</t>
  </si>
  <si>
    <t>$33:$33</t>
  </si>
  <si>
    <t>$E$33</t>
  </si>
  <si>
    <t>Facility Type</t>
  </si>
  <si>
    <t>$D$32:$D$39</t>
  </si>
  <si>
    <t>$F$33</t>
  </si>
  <si>
    <t>Select the appropriate type of facility:
1. Office
2. Production Area</t>
  </si>
  <si>
    <t>$G$33</t>
  </si>
  <si>
    <t>$H$33</t>
  </si>
  <si>
    <t>Production Area</t>
  </si>
  <si>
    <t>$L$39:$L$47</t>
  </si>
  <si>
    <t>dropdown</t>
  </si>
  <si>
    <t>$X$4</t>
  </si>
  <si>
    <t>$X$5:$X$9</t>
  </si>
  <si>
    <t>$N$5</t>
  </si>
  <si>
    <t>Select the appropriate type of facility:
1. Office</t>
  </si>
  <si>
    <t>$K$40</t>
  </si>
  <si>
    <t>$K$40:$K$47</t>
  </si>
  <si>
    <t>$B$13:$I$21</t>
  </si>
  <si>
    <t>$A$27:$H$35</t>
  </si>
  <si>
    <t>$B$13:$H$21</t>
  </si>
  <si>
    <t>2.3b RE</t>
  </si>
  <si>
    <t>$B$12:$H$20</t>
  </si>
  <si>
    <t>$A$81:$G$89</t>
  </si>
  <si>
    <t>$A$56:$G$64</t>
  </si>
  <si>
    <t>2.6 Waste</t>
  </si>
  <si>
    <t>$B$12:$G$30</t>
  </si>
  <si>
    <t>$A$143:$F$161</t>
  </si>
  <si>
    <t>$B$15:$G$23</t>
  </si>
  <si>
    <t>$A$4:$F$12</t>
  </si>
  <si>
    <t>2.5 Water</t>
  </si>
  <si>
    <t>$B$30:$F$42</t>
  </si>
  <si>
    <t>$A$123:$E$135</t>
  </si>
  <si>
    <t>$B$13:$F$25</t>
  </si>
  <si>
    <t>$A$106:$E$118</t>
  </si>
  <si>
    <t>$O$8</t>
  </si>
  <si>
    <t>$P$17:$P$23</t>
  </si>
  <si>
    <t>$I$25:$Q$147</t>
  </si>
  <si>
    <t>$I$19:$I$147</t>
  </si>
  <si>
    <t>$I$18:$I$147</t>
  </si>
  <si>
    <t>$117:$147</t>
  </si>
  <si>
    <t>$I$118</t>
  </si>
  <si>
    <t>$J$18:$L$116</t>
  </si>
  <si>
    <t>$M$18:$M$116</t>
  </si>
  <si>
    <t>$N$17:$N$116</t>
  </si>
  <si>
    <t>$P$16</t>
  </si>
  <si>
    <t>$I$4:$J$6</t>
  </si>
  <si>
    <t>$15:$15</t>
  </si>
  <si>
    <t>$14:$14</t>
  </si>
  <si>
    <t>$J$16</t>
  </si>
  <si>
    <t>s</t>
  </si>
  <si>
    <t>$J$17</t>
  </si>
  <si>
    <t>$J$18</t>
  </si>
  <si>
    <t>$J$19</t>
  </si>
  <si>
    <t>$J$20</t>
  </si>
  <si>
    <t>$J$21</t>
  </si>
  <si>
    <t>$J$16:$J$21</t>
  </si>
  <si>
    <t>$O$16:$O$114</t>
  </si>
  <si>
    <t>$B$14:$G$20</t>
  </si>
  <si>
    <t>$I$6:$N$12</t>
  </si>
  <si>
    <t>$F$6:$K$12</t>
  </si>
  <si>
    <t>$B$23:$B$26</t>
  </si>
  <si>
    <t>$M$6:$M$9</t>
  </si>
  <si>
    <t>2.1a Fuel - Buildings (2)</t>
  </si>
  <si>
    <t>$S$14:$W$31</t>
  </si>
  <si>
    <t>$I$14:$Q$116</t>
  </si>
  <si>
    <t>$V$14:$AD$116</t>
  </si>
  <si>
    <t>$A$14:$I$116</t>
  </si>
  <si>
    <t>$A:$A</t>
  </si>
  <si>
    <t>$C$2:$H$4</t>
  </si>
  <si>
    <t>$B$2:$G$4</t>
  </si>
  <si>
    <t>$C$7:$D$7</t>
  </si>
  <si>
    <t>$B$7:$C$7</t>
  </si>
  <si>
    <t>$B$8:$C$8</t>
  </si>
  <si>
    <t>$B$9:$C$9</t>
  </si>
  <si>
    <t>$B$10:$C$10</t>
  </si>
  <si>
    <t>$B$11:$C$11</t>
  </si>
  <si>
    <t>$G$6:$L$12</t>
  </si>
  <si>
    <t>$L$16:$Q$22</t>
  </si>
  <si>
    <t>$F$3:$F$4</t>
  </si>
  <si>
    <t>$E$3:$E$4</t>
  </si>
  <si>
    <t>$J$2:$S$4</t>
  </si>
  <si>
    <t>$G$2:$P$4</t>
  </si>
  <si>
    <t>Fuel Consumption - Buildings</t>
  </si>
  <si>
    <t>$B$6:$C$11</t>
  </si>
  <si>
    <t>$B$16:$C$21</t>
  </si>
  <si>
    <t>$B$6:$G$12</t>
  </si>
  <si>
    <t>$B$16:$C$26</t>
  </si>
  <si>
    <t>$B$14:$C$24</t>
  </si>
  <si>
    <t>$R:$R</t>
  </si>
  <si>
    <t>$I$6:$Q$108</t>
  </si>
  <si>
    <t>$C$15:$G$15</t>
  </si>
  <si>
    <t>$C$16:$G$16</t>
  </si>
  <si>
    <t>$C$17:$G$17</t>
  </si>
  <si>
    <t>$C$18:$G$18</t>
  </si>
  <si>
    <t>$C$19:$G$19</t>
  </si>
  <si>
    <t>$B$26:$G$32</t>
  </si>
  <si>
    <t>$B$21:$B$24</t>
  </si>
  <si>
    <t>$B$34:$B$37</t>
  </si>
  <si>
    <t>$B$14:$G$19</t>
  </si>
  <si>
    <t>$B$6:$G$11</t>
  </si>
  <si>
    <t>$B$26:$G$37</t>
  </si>
  <si>
    <t>$B$13:$G$24</t>
  </si>
  <si>
    <t>$K:$K</t>
  </si>
  <si>
    <t>$J$6</t>
  </si>
  <si>
    <t>Emission Source</t>
  </si>
  <si>
    <t>$D$33:$D$38</t>
  </si>
  <si>
    <t>xxx</t>
  </si>
  <si>
    <t>$13:$13</t>
  </si>
  <si>
    <t>$I$4:$R$7</t>
  </si>
  <si>
    <t>$C$7:$G$7</t>
  </si>
  <si>
    <t>$C$8:$G$8</t>
  </si>
  <si>
    <t>$C$9:$G$9</t>
  </si>
  <si>
    <t>$C$10:$G$10</t>
  </si>
  <si>
    <t>$C$11:$G$11</t>
  </si>
  <si>
    <t>$I$13:$R$33</t>
  </si>
  <si>
    <t>$I$6:$R$26</t>
  </si>
  <si>
    <t>$B$14:$G$23</t>
  </si>
  <si>
    <t>$B$13:$G$22</t>
  </si>
  <si>
    <t>$I$6:$R$30</t>
  </si>
  <si>
    <t>$R$31:$R$35</t>
  </si>
  <si>
    <t>$R$36:$R$45</t>
  </si>
  <si>
    <t>$R$46:$R$77</t>
  </si>
  <si>
    <t>$I$12:$I$77</t>
  </si>
  <si>
    <t>$J$12</t>
  </si>
  <si>
    <t>$J$11:$J$77</t>
  </si>
  <si>
    <t>$I$11:$I$77</t>
  </si>
  <si>
    <t>$R$78:$R$85</t>
  </si>
  <si>
    <t>$R$86:$R$109</t>
  </si>
  <si>
    <t>$J$76:$J$109</t>
  </si>
  <si>
    <t>$107:$109</t>
  </si>
  <si>
    <t>$I$108</t>
  </si>
  <si>
    <t>$J$12:$J$106</t>
  </si>
  <si>
    <t>$M$7:$M$106</t>
  </si>
  <si>
    <t>Kar Lyle A. Constantino</t>
  </si>
  <si>
    <t>$A$27:$G$35</t>
  </si>
  <si>
    <t>$A$4:$C$9</t>
  </si>
  <si>
    <t>$H$32</t>
  </si>
  <si>
    <t>Basement Power Center (5-storey building)</t>
  </si>
  <si>
    <t>$B$18:$B$21</t>
  </si>
  <si>
    <t>$B$14:$B$17</t>
  </si>
  <si>
    <t>Basement Power Center, New Power Center Building</t>
  </si>
  <si>
    <t>$F$38</t>
  </si>
  <si>
    <t xml:space="preserve">Any relevant information that can provide more clarity on the data or that you think will be useful to the Sustainability Office (e.g., </t>
  </si>
  <si>
    <t>Any relevant information that can provide more clarity on the data or that you think will be useful to the Sustainability Office (e.g., equipment name of generator set)</t>
  </si>
  <si>
    <t>$H$38</t>
  </si>
  <si>
    <t xml:space="preserve">Cummins </t>
  </si>
  <si>
    <t>Location where fuel was consumed</t>
  </si>
  <si>
    <t>Any relevant information that can provide more clarity on the data or that you think will be useful to the Sustainability Office (e.g., equipment name or generator set model)</t>
  </si>
  <si>
    <t>$B$20:$B$24</t>
  </si>
  <si>
    <t>$B$19:$B$23</t>
  </si>
  <si>
    <t>$I$14:$Y$29</t>
  </si>
  <si>
    <t>$I$7:$Y$22</t>
  </si>
  <si>
    <t>$C$5</t>
  </si>
  <si>
    <t>$M$7</t>
  </si>
  <si>
    <t>Equipment Lifecycle Stage as of 0</t>
  </si>
  <si>
    <t>Equipment Lifecycle Stage as of Year 0</t>
  </si>
  <si>
    <t>$D$4</t>
  </si>
  <si>
    <t>$AE$13:$AG$20</t>
  </si>
  <si>
    <t>$B$25:$D$32</t>
  </si>
  <si>
    <t>$D$26:$D$32</t>
  </si>
  <si>
    <t>$E$26:$E$32</t>
  </si>
  <si>
    <t>$32:$32</t>
  </si>
  <si>
    <t>$B$29:$G$31</t>
  </si>
  <si>
    <t>$B$30:$G$32</t>
  </si>
  <si>
    <t>$B$30</t>
  </si>
  <si>
    <t>$B$31:$G$32</t>
  </si>
  <si>
    <t>$B$32:$G$33</t>
  </si>
  <si>
    <t>$B$33:$G$33</t>
  </si>
  <si>
    <t>$B$34:$G$34</t>
  </si>
  <si>
    <t>$I$22:$Y$117</t>
  </si>
  <si>
    <t>$I$10</t>
  </si>
  <si>
    <t>$J$10</t>
  </si>
  <si>
    <t>$J$10:$J$117</t>
  </si>
  <si>
    <t>$109:$117</t>
  </si>
  <si>
    <t>$J$10:$J$108</t>
  </si>
  <si>
    <t>$I$110</t>
  </si>
  <si>
    <t>$B$20:$B$23</t>
  </si>
  <si>
    <t>$B$19:$B$22</t>
  </si>
  <si>
    <t>$I$23:$P$116</t>
  </si>
  <si>
    <t>$J$15:$J$116</t>
  </si>
  <si>
    <t>$108:$116</t>
  </si>
  <si>
    <t>$J$17:$J$107</t>
  </si>
  <si>
    <t>$I$109</t>
  </si>
  <si>
    <t>$I$15</t>
  </si>
  <si>
    <t>$I$16:$P$30</t>
  </si>
  <si>
    <t>$I$6:$P$20</t>
  </si>
  <si>
    <t>$I$2</t>
  </si>
  <si>
    <t>Electricity Consumption  (Additional note/s)</t>
  </si>
  <si>
    <t>Monthly Waste Generation (Additional note/s)</t>
  </si>
  <si>
    <t>$I$16:$Q$27</t>
  </si>
  <si>
    <t>$I$6:$Q$17</t>
  </si>
  <si>
    <t>$14:$15</t>
  </si>
  <si>
    <t>$I$14:$Q$25</t>
  </si>
  <si>
    <t>$B$14:$G$37</t>
  </si>
  <si>
    <t>$B$13:$G$36</t>
  </si>
  <si>
    <t>Summary of Waste Disposed</t>
  </si>
  <si>
    <t>$I$16:$Y$36</t>
  </si>
  <si>
    <t>$I$6:$Y$26</t>
  </si>
  <si>
    <t>$Z:$Z</t>
  </si>
  <si>
    <t>$F$21</t>
  </si>
  <si>
    <t>Purchase any industrial gases for use in your business (gases may be purchased for use in manufacturing, testing, or laboratories)</t>
  </si>
  <si>
    <t>$O:$O</t>
  </si>
  <si>
    <t>$P:$Q</t>
  </si>
  <si>
    <t>$B$23:$G$32</t>
  </si>
  <si>
    <t>$23:$23</t>
  </si>
  <si>
    <t>$B$7:$G$12</t>
  </si>
  <si>
    <t>$I$6:$O$20</t>
  </si>
  <si>
    <t>$I$5:$O$19</t>
  </si>
  <si>
    <t>$N$6</t>
  </si>
  <si>
    <t>$M$6</t>
  </si>
  <si>
    <t>$B$23:$G$31</t>
  </si>
  <si>
    <t>$B$13:$G$21</t>
  </si>
  <si>
    <t>$B$17:$B$20</t>
  </si>
  <si>
    <t>$I$6:$O$107</t>
  </si>
  <si>
    <t>$J$14:$J$107</t>
  </si>
  <si>
    <t>$I$21:$I$107</t>
  </si>
  <si>
    <t>$107:$107</t>
  </si>
  <si>
    <t>$J$15:$J$106</t>
  </si>
  <si>
    <t>$B$13</t>
  </si>
  <si>
    <t>$B$15:$G$24</t>
  </si>
  <si>
    <t>$S$7:$Y$107</t>
  </si>
  <si>
    <t>$I$7:$O$107</t>
  </si>
  <si>
    <t>$J$12:$J$107</t>
  </si>
  <si>
    <t>$I$6:$Q$107</t>
  </si>
  <si>
    <t>$M:$M</t>
  </si>
  <si>
    <t>$R$13:$U$45</t>
  </si>
  <si>
    <t>$19:$20</t>
  </si>
  <si>
    <t>$R$15:$T$45</t>
  </si>
  <si>
    <t>$26:$27</t>
  </si>
  <si>
    <t>$K$7:$K$103</t>
  </si>
  <si>
    <t>$R:$Y</t>
  </si>
  <si>
    <t>$V:$V</t>
  </si>
  <si>
    <t>$AK$5</t>
  </si>
  <si>
    <t>$AK$5:$AK$8</t>
  </si>
  <si>
    <t>$AK$6</t>
  </si>
  <si>
    <t xml:space="preserve">Sport Utility Vehicle  </t>
  </si>
  <si>
    <t>$AK$7</t>
  </si>
  <si>
    <t>$AK$8</t>
  </si>
  <si>
    <t xml:space="preserve">	
Mini Bus</t>
  </si>
  <si>
    <t>\Mini Bus</t>
  </si>
  <si>
    <t>Mini Bus</t>
  </si>
  <si>
    <t>$AK$9</t>
  </si>
  <si>
    <t>$F$116</t>
  </si>
  <si>
    <t>Categorization of waste:
1. Compostable - organic waste that can be broken down to compost such as leftover foods, twigs, and leaves
2. Recyclable - waste that are either saleable, or non-saleable but can be processed and reused
3. Infectious - contaminated health care wastes
4. Security - non-hazardous waste generated from currency production operations
5. Hazardous - wastes containing hazardous substances that are no longer recyclable such as inks and ink-contamindated materials, and waste from electrical and electronic equipment
6. Residual - other non-compostable and non-recyclable waste</t>
  </si>
  <si>
    <t>Categorization of waste:
1. Compostable - organic waste that can be broken down to compost such as leftover foods, twigs, and leaves
2. Recyclable - waste that are either saleable, or non-saleable but can be processed and reused
3. Security - non-hazardous waste generated from currency production operations
4. Hazardous - wastes containing hazardous substances that are no longer recyclable such as inks and ink-contamindated materials, and waste from electrical and electronic equipment
5. Infectious - contaminated health care wastes
6. Residual - other non-compostable and non-recyclable waste</t>
  </si>
  <si>
    <t>$F$117</t>
  </si>
  <si>
    <t>$B$4:$B$9</t>
  </si>
  <si>
    <t>$B$4</t>
  </si>
  <si>
    <t>$D$8</t>
  </si>
  <si>
    <t>$G$8</t>
  </si>
  <si>
    <t>$N$10</t>
  </si>
  <si>
    <t>$F$106</t>
  </si>
  <si>
    <t>Select the destination of water consumed:
1. Onsite Treatment Facility
2. External Treatment Facility
3. Reuse
4. Untreated</t>
  </si>
  <si>
    <t>Select the destination of water consumed:
1. Onsite Treatment Facility
2. External Treatment Facility
3. Untreated
4. Others</t>
  </si>
  <si>
    <t>Select the destination of water consumed:
1. Onsite Treatment Facility
2. External Treatment Facility
3. Others</t>
  </si>
  <si>
    <t>$AG$6</t>
  </si>
  <si>
    <t>Other</t>
  </si>
  <si>
    <t>$AG$7</t>
  </si>
  <si>
    <t>$AE$8</t>
  </si>
  <si>
    <t>$B$32</t>
  </si>
  <si>
    <t>$B$31</t>
  </si>
  <si>
    <t>$B$23</t>
  </si>
  <si>
    <t>Default no input, can change to white</t>
  </si>
  <si>
    <t>$F$67</t>
  </si>
  <si>
    <t xml:space="preserve">Name of the building or </t>
  </si>
  <si>
    <t>Name of the building or bill</t>
  </si>
  <si>
    <t>Name of what is being billed</t>
  </si>
  <si>
    <t>Name of what is being billed (e.g., customer name in bill, xxx)</t>
  </si>
  <si>
    <t>Name or identifier of what is being billed (e.g., customer name or location as reflected in the electricity bill)</t>
  </si>
  <si>
    <t>$D$75</t>
  </si>
  <si>
    <t>$B$7:$C$14</t>
  </si>
  <si>
    <t>$E$12:$E$15</t>
  </si>
  <si>
    <t>$E$4:$I$10</t>
  </si>
  <si>
    <t>$B$8:$F$14</t>
  </si>
  <si>
    <t>$K$7:$R$28</t>
  </si>
  <si>
    <t>$K$24:$R$45</t>
  </si>
  <si>
    <t>$K$7:$O$13</t>
  </si>
  <si>
    <t>$K$15:$R$36</t>
  </si>
  <si>
    <t>$E:$I</t>
  </si>
  <si>
    <t>$J$15:$M$20</t>
  </si>
  <si>
    <t>$F$38:$I$43</t>
  </si>
  <si>
    <t>$E:$E</t>
  </si>
  <si>
    <t>$B$4:$C$5</t>
  </si>
  <si>
    <t>$E$1:$F$2</t>
  </si>
  <si>
    <t>$B:$C</t>
  </si>
  <si>
    <t>$D$8:$H$12</t>
  </si>
  <si>
    <t>$D$8:$H$9</t>
  </si>
  <si>
    <t>$D$10:$H$14</t>
  </si>
  <si>
    <t>$F$13</t>
  </si>
  <si>
    <t>$D$16:$H$126</t>
  </si>
  <si>
    <t>$D$11:$H$121</t>
  </si>
  <si>
    <t>$1:$1</t>
  </si>
  <si>
    <t>$6:$6</t>
  </si>
  <si>
    <t>$H:$J</t>
  </si>
  <si>
    <t>$M$13</t>
  </si>
  <si>
    <t>$F$48</t>
  </si>
  <si>
    <t xml:space="preserve">Actual or estimated refrigerant charge per unit, in kilograms
</t>
  </si>
  <si>
    <t>Actual or estimated refrigerant charge per unit, in kilograms
Provide total consumed in a year</t>
  </si>
  <si>
    <t>Actual or estimated refrigerant charge per unit, in kilograms
Provide total consumed for the year</t>
  </si>
  <si>
    <t>$M$12</t>
  </si>
  <si>
    <t>$M$14</t>
  </si>
  <si>
    <t>$P$13</t>
  </si>
  <si>
    <t>$N$9</t>
  </si>
  <si>
    <t>$F$62</t>
  </si>
  <si>
    <t>Name or identifier of what is being billed (e.g., customer name as reflected in the electricity bill or building name)</t>
  </si>
  <si>
    <t>Name or identifier of unit being billed (e.g., customer name as reflected in the electricity bill or building name)</t>
  </si>
  <si>
    <t>$F$89</t>
  </si>
  <si>
    <t>$F$97</t>
  </si>
  <si>
    <t>$E$75</t>
  </si>
  <si>
    <t>$J:$J</t>
  </si>
  <si>
    <t>$I$7</t>
  </si>
  <si>
    <t>$I$8:$I$106</t>
  </si>
  <si>
    <t>$I$8</t>
  </si>
  <si>
    <t>$N$8</t>
  </si>
  <si>
    <t>$E$89</t>
  </si>
  <si>
    <t>Facility/Building</t>
  </si>
  <si>
    <t>$E$97</t>
  </si>
  <si>
    <t>$E$62</t>
  </si>
  <si>
    <t>$I$9:$I$106</t>
  </si>
  <si>
    <t>$75:$75</t>
  </si>
  <si>
    <t>$F$29</t>
  </si>
  <si>
    <t>Vehicles that fall within organizational boundary such as:
1. Armored vehicles
2. Multi-purpose vehicles 
3. Sport utility vehicles 
4. Vans
5. Mini bus
6. Others</t>
  </si>
  <si>
    <t>$J$7</t>
  </si>
  <si>
    <t>$K$15:$K$22</t>
  </si>
  <si>
    <t>$S$15:$S$32</t>
  </si>
  <si>
    <t>$A$27:$D$35</t>
  </si>
  <si>
    <t>$K$7</t>
  </si>
  <si>
    <t>$L$7</t>
  </si>
  <si>
    <t>State</t>
  </si>
  <si>
    <t>$I$9:$V$9</t>
  </si>
  <si>
    <t>$I$9:$V$108</t>
  </si>
  <si>
    <t>$I$10:$V$109</t>
  </si>
  <si>
    <t>$O$7</t>
  </si>
  <si>
    <t>Column1</t>
  </si>
  <si>
    <t>$P$7</t>
  </si>
  <si>
    <t>Column2</t>
  </si>
  <si>
    <t>$R$7</t>
  </si>
  <si>
    <t>Column3</t>
  </si>
  <si>
    <t>$T$7</t>
  </si>
  <si>
    <t>Column4</t>
  </si>
  <si>
    <t>$U$7</t>
  </si>
  <si>
    <t>Column5</t>
  </si>
  <si>
    <t>$N:$N</t>
  </si>
  <si>
    <t>$I$108:$V$108</t>
  </si>
  <si>
    <t>$W:$W</t>
  </si>
  <si>
    <t>$W$7</t>
  </si>
  <si>
    <t>$T$9:$T$107</t>
  </si>
  <si>
    <t>$R$10:$R$107</t>
  </si>
  <si>
    <t>$R$9</t>
  </si>
  <si>
    <t>$M$9</t>
  </si>
  <si>
    <t>$P$10</t>
  </si>
  <si>
    <t>$P$9</t>
  </si>
  <si>
    <t>$M$10</t>
  </si>
  <si>
    <t>$M$11</t>
  </si>
  <si>
    <t>$T$9</t>
  </si>
  <si>
    <t>$U$9</t>
  </si>
  <si>
    <t>$V$9</t>
  </si>
  <si>
    <t>$M$16</t>
  </si>
  <si>
    <t>$W$9</t>
  </si>
  <si>
    <t>$L$8</t>
  </si>
  <si>
    <t>$W$108</t>
  </si>
  <si>
    <t>$W$9:$W$107</t>
  </si>
  <si>
    <t>$T$16</t>
  </si>
  <si>
    <t>$D$15</t>
  </si>
  <si>
    <t>$D$16</t>
  </si>
  <si>
    <t>$B$15</t>
  </si>
  <si>
    <t>$B$16</t>
  </si>
  <si>
    <t>Existing</t>
  </si>
  <si>
    <t>$B$17</t>
  </si>
  <si>
    <t>New Installation</t>
  </si>
  <si>
    <t>$L$10</t>
  </si>
  <si>
    <t>$K$10</t>
  </si>
  <si>
    <t>$O$10</t>
  </si>
  <si>
    <t>$E$15:$G$15</t>
  </si>
  <si>
    <t>$E$15</t>
  </si>
  <si>
    <t>$D$15:$D$17</t>
  </si>
  <si>
    <t>$D$15:$E$15</t>
  </si>
  <si>
    <t>$E$15:$E$17</t>
  </si>
  <si>
    <t>$F$15</t>
  </si>
  <si>
    <t>$F$16</t>
  </si>
  <si>
    <t>$E$16</t>
  </si>
  <si>
    <t>$E$17</t>
  </si>
  <si>
    <t>$F$15:$F$17</t>
  </si>
  <si>
    <t>$G$15:$G$17</t>
  </si>
  <si>
    <t>$G$15</t>
  </si>
  <si>
    <t>$G$16</t>
  </si>
  <si>
    <t>$K$9</t>
  </si>
  <si>
    <t>$D$17</t>
  </si>
  <si>
    <t>$D$15:$G$15</t>
  </si>
  <si>
    <t>$J$11</t>
  </si>
  <si>
    <t>$K$11</t>
  </si>
  <si>
    <t>$L$11</t>
  </si>
  <si>
    <t>$R$11</t>
  </si>
  <si>
    <t>$K$12</t>
  </si>
  <si>
    <t>$L$12</t>
  </si>
  <si>
    <t>$O$12</t>
  </si>
  <si>
    <t>$I$108:$X$108</t>
  </si>
  <si>
    <t>$Y$13:$Y$29</t>
  </si>
  <si>
    <t>$AF$13:$AF$23</t>
  </si>
  <si>
    <t>$I$3:$AE$5</t>
  </si>
  <si>
    <t>$R$8</t>
  </si>
  <si>
    <t>$T$8</t>
  </si>
  <si>
    <t>$E$47</t>
  </si>
  <si>
    <t>$F$47</t>
  </si>
  <si>
    <t>Select the current (as of reporting year) state of the equipment:
1. New installation – recently installed
2. In operation – actively used and maintained
3. Disposed – decommissioned or permanently taken out of use</t>
  </si>
  <si>
    <t>$E$49</t>
  </si>
  <si>
    <t>$F$49</t>
  </si>
  <si>
    <t>Monthwhen equipment/refrigerant was purchased/installed</t>
  </si>
  <si>
    <t>$48:$48</t>
  </si>
  <si>
    <t>$D$48:$H$48</t>
  </si>
  <si>
    <t>$D$50</t>
  </si>
  <si>
    <t>$E$50</t>
  </si>
  <si>
    <t>$F$50</t>
  </si>
  <si>
    <t>Sum of the full capacity for all units</t>
  </si>
  <si>
    <t>$Q:$Q</t>
  </si>
  <si>
    <t>$50:$50</t>
  </si>
  <si>
    <t>$D$49</t>
  </si>
  <si>
    <t>$D$49:$D$55</t>
  </si>
  <si>
    <t>$D$49:$D$54</t>
  </si>
  <si>
    <t>$51:$51</t>
  </si>
  <si>
    <t>$E$51</t>
  </si>
  <si>
    <t>$F$51</t>
  </si>
  <si>
    <t>Gas added to the unit, in kilograms</t>
  </si>
  <si>
    <t>$G$51:$H$51</t>
  </si>
  <si>
    <t>$G$48:$H$48</t>
  </si>
  <si>
    <t>$52:$52</t>
  </si>
  <si>
    <t>$D$50:$D$53</t>
  </si>
  <si>
    <t>$53:$53</t>
  </si>
  <si>
    <t>$E$53</t>
  </si>
  <si>
    <t>$F$53</t>
  </si>
  <si>
    <t>$D$52:$D$55</t>
  </si>
  <si>
    <t>$G$53:$H$53</t>
  </si>
  <si>
    <t>$D$73:$D$78</t>
  </si>
  <si>
    <t>$B$20:$G$31</t>
  </si>
  <si>
    <t>$B$22:$G$33</t>
  </si>
  <si>
    <t>Summary of Waste Recovered</t>
  </si>
  <si>
    <t>$B$18:$B$19</t>
  </si>
  <si>
    <t>$B$19:$B$20</t>
  </si>
  <si>
    <t>$C$18:$C$20</t>
  </si>
  <si>
    <t>$D$15:$D$20</t>
  </si>
  <si>
    <t>$D$19</t>
  </si>
  <si>
    <t>$E$15:$E$20</t>
  </si>
  <si>
    <t>$L$9</t>
  </si>
  <si>
    <t>Residual</t>
  </si>
  <si>
    <t>$L$13</t>
  </si>
  <si>
    <t>$L$14</t>
  </si>
  <si>
    <t>$F$15:$F$20</t>
  </si>
  <si>
    <t>$F$17</t>
  </si>
  <si>
    <t>$F$20</t>
  </si>
  <si>
    <t>$G$15:$G$20</t>
  </si>
  <si>
    <t>$G$17</t>
  </si>
  <si>
    <t>Select the appropriate vehicle type from the dropdown list:
1. Armored vehicles
2. Multi-purpose vehicles 
3. Sport utility vehicles 
4. Vans
5. Mini bus
6. Others</t>
  </si>
  <si>
    <t>$34:$34</t>
  </si>
  <si>
    <t>$D$34:$D$36</t>
  </si>
  <si>
    <t>$X:$AD</t>
  </si>
  <si>
    <t>$S$16</t>
  </si>
  <si>
    <t>$Q$2</t>
  </si>
  <si>
    <t>Monthly Waste Recovery Methods (Additional note/s)</t>
  </si>
  <si>
    <t>$D$107</t>
  </si>
  <si>
    <t>$E$105</t>
  </si>
  <si>
    <t>$E$106</t>
  </si>
  <si>
    <t>$I$6:$W$105</t>
  </si>
  <si>
    <t>$I$7:$W$106</t>
  </si>
  <si>
    <t>$I$6</t>
  </si>
  <si>
    <t>$Q$6:$W$6</t>
  </si>
  <si>
    <t>$Q$6</t>
  </si>
  <si>
    <t>Waste Recovery</t>
  </si>
  <si>
    <t>$E$107</t>
  </si>
  <si>
    <t>$E$113</t>
  </si>
  <si>
    <t>Disposal Method</t>
  </si>
  <si>
    <t>$E$112</t>
  </si>
  <si>
    <t>$115:$122</t>
  </si>
  <si>
    <t>$D$108:$D$114</t>
  </si>
  <si>
    <t>$D$115</t>
  </si>
  <si>
    <t>$D$116:$D$122</t>
  </si>
  <si>
    <t>$E$108</t>
  </si>
  <si>
    <t>$E$114</t>
  </si>
  <si>
    <t>$E$116:$E$122</t>
  </si>
  <si>
    <t>$E$121</t>
  </si>
  <si>
    <t>Recovert Method</t>
  </si>
  <si>
    <t>Recovery Method</t>
  </si>
  <si>
    <t>$F$113</t>
  </si>
  <si>
    <t>Select the Disposal method:
1. LGU garbage collection
2. Other disposal operations
Recovery:
1. Recycling service provider
2. Composting
4. In-house recycling/repurposing
5. Incineration with energy recovery</t>
  </si>
  <si>
    <t>Select the Disposal method:
1. LGU garbage collection
2. Other disposal operations</t>
  </si>
  <si>
    <t>Select the waste disposal method:
1. LGU garbage collection
2. Other disposal operations</t>
  </si>
  <si>
    <t>$F$121</t>
  </si>
  <si>
    <t>Recovery:
1. Recycling service provider
2. Composting
4. In-house recycling/repurposing
5. Incineration with energy recovery</t>
  </si>
  <si>
    <t>Select the waste recovery method:
1. Recycling service provider
2. Composting
4. In-house recycling/repurposing
5. Incineration with energy recovery</t>
  </si>
  <si>
    <t>$J$113:$J$117</t>
  </si>
  <si>
    <t xml:space="preserve">Select the waste disposal method:
1. LGU garbage collection
2. Waste treatment company
3. </t>
  </si>
  <si>
    <t>$J$115</t>
  </si>
  <si>
    <t>Incineration (w/o energy recovery)</t>
  </si>
  <si>
    <t>Select the waste disposal method:
1. LGU garbage collection
2. Waste treatment company
3. Incineration (w/o energy recovery)</t>
  </si>
  <si>
    <t xml:space="preserve">Select the waste disposal method:
1. LGU garbage collection
2. Waste treatment company
3. Incineration (w/o energy recovery)
</t>
  </si>
  <si>
    <t>$J$116</t>
  </si>
  <si>
    <t>Select the waste disposal method:
1. LGU garbage collection
2. Waste treatment company
3. Incineration (w/o energy recovery)
4. Auction/Donation
5. Others</t>
  </si>
  <si>
    <t>$J$111:$J$120</t>
  </si>
  <si>
    <t>Select the waste disposal method:
1. LGU garbage collection
2. Waste treatment company
3. Incineration (w/o energy recovery)
4. Auction/Donation
5. Others</t>
  </si>
  <si>
    <t>Select the waste recovery method:
1. Recycling service provider
2. Composting
4. In-house recycling/repurposing
5. Incineration with energy recovery</t>
  </si>
  <si>
    <t>$J$114:$J$118</t>
  </si>
  <si>
    <t>Select the waste recovery method:
1. Recycling service provider
2. Composting
4. In-house recycling/repurposing
5. Incineration with energy recovery
6. Others</t>
  </si>
  <si>
    <t>Select the waste recovery method:
1. Recycling service provider
2. Composting
3. In-house recycling/repurposing
4. Incineration with energy recovery
5. Others</t>
  </si>
  <si>
    <t>$J$113:$J$119</t>
  </si>
  <si>
    <t>$D$56</t>
  </si>
  <si>
    <t>$S$16:$U$16</t>
  </si>
  <si>
    <t>$E$46</t>
  </si>
  <si>
    <t>$F$46</t>
  </si>
  <si>
    <t>Select the current (as of reporting year) status of the equipment:
1. New installation – recently installed
2. In operation – actively used and maintained
3. Disposed – decommissioned or permanently taken out of use</t>
  </si>
  <si>
    <t>Select the status of the equipment as of the reporting period:
1. New installation – recently installed
2. In operation – actively used and maintained
3. Disposed – decommissioned or permanently taken out of use</t>
  </si>
  <si>
    <t>$Q$8</t>
  </si>
  <si>
    <t>$S$8</t>
  </si>
  <si>
    <t>$D$12:$D$13</t>
  </si>
  <si>
    <t>x</t>
  </si>
  <si>
    <t>$D$13</t>
  </si>
  <si>
    <t>$D$13:$G$13</t>
  </si>
  <si>
    <t>$B$28</t>
  </si>
  <si>
    <t>$B$30:$B$33</t>
  </si>
  <si>
    <t>$B$32:$B$35</t>
  </si>
  <si>
    <t>$B$28:$B$29</t>
  </si>
  <si>
    <t>$C$27:$C$29</t>
  </si>
  <si>
    <t>$D$24</t>
  </si>
  <si>
    <t>$D$24:$G$24</t>
  </si>
  <si>
    <t>$E$24</t>
  </si>
  <si>
    <t>$D$24:$D$29</t>
  </si>
  <si>
    <t>$D$25</t>
  </si>
  <si>
    <t>$D$26</t>
  </si>
  <si>
    <t>$E$24:$G$24</t>
  </si>
  <si>
    <t>$F$24</t>
  </si>
  <si>
    <t>$E$24:$E$29</t>
  </si>
  <si>
    <t>$F$24:$F$29</t>
  </si>
  <si>
    <t>$G$24:$G$29</t>
  </si>
  <si>
    <t>$G$26</t>
  </si>
  <si>
    <t>$E$25</t>
  </si>
  <si>
    <t>$E$26</t>
  </si>
  <si>
    <t>$E$25:$G$25</t>
  </si>
  <si>
    <t>$F$25</t>
  </si>
  <si>
    <t>$E$26:$G$26</t>
  </si>
  <si>
    <t>$E$27:$G$27</t>
  </si>
  <si>
    <t>$E$28:$G$29</t>
  </si>
  <si>
    <t>$E$28</t>
  </si>
  <si>
    <t>$E$29</t>
  </si>
  <si>
    <t>$G$28</t>
  </si>
  <si>
    <t>$Q$8:$Y$17</t>
  </si>
  <si>
    <t>$I$8:$O$18</t>
  </si>
  <si>
    <t>$E$26:$J$28</t>
  </si>
  <si>
    <t>$E$26:$J$30</t>
  </si>
  <si>
    <t>$AK$10</t>
  </si>
  <si>
    <t>EV-Sedan</t>
  </si>
  <si>
    <t>$AK$11</t>
  </si>
  <si>
    <t>EV-SUV</t>
  </si>
  <si>
    <t>$B$16:$B$19</t>
  </si>
  <si>
    <t>$B$10:$B$17</t>
  </si>
  <si>
    <t>$B$11:$B$18</t>
  </si>
  <si>
    <t>$B$15:$B$18</t>
  </si>
  <si>
    <t>$B$10</t>
  </si>
  <si>
    <t>$F$19</t>
  </si>
  <si>
    <t>Amount of fuel consumed for the whole BSP facility</t>
  </si>
  <si>
    <t>EV/Hybrid-Sedan</t>
  </si>
  <si>
    <t>EV/Hybrid-SUV</t>
  </si>
  <si>
    <t>$F$28</t>
  </si>
  <si>
    <t>Select the appropriate vehicle type from the dropdown list:
1. Armored vehicles
2. Multi-purpose vehicles 
3. Sport utility vehicles 
4. Vans
5. Mini bus
6. EV/Hybrid-Sedan
7. Battery Electric Vehicle (BEV)
8. Others</t>
  </si>
  <si>
    <t>Select the appropriate vehicle type from the dropdown list:
1. Armored vehicles
2. Multi-purpose vehicles 
3. Sport utility vehicles (SUV)
4. Vans
5. Mini bus
6. EV/Hybrid-Sedan
7. EV/Hybrid-SUV
8. Others</t>
  </si>
  <si>
    <t>Select the appropriate vehicle type from the dropdown list:
1. Armored vehicles
2. Sedan
2. Multi-purpose vehicles 
3. Sport utility vehicles (SUV)
4. Vans
5. Mini bus
6. EV/Hybrid-Sedan
7. EV/Hybrid-SUV
8. Others</t>
  </si>
  <si>
    <t>Select the appropriate vehicle type from the dropdown list:
1. Armored vehicles
2. Sedan
3. Multi-purpose vehicles 
4. Sport utility vehicles (SUV)
5. Vans
6. Mini bus
7. EV/Hybrid-Sedan
8. EV/Hybrid-SUV
9. Others</t>
  </si>
  <si>
    <t>Amount of fuel consumed per fuel type for the whole BSP facility</t>
  </si>
  <si>
    <t>Select the appropriate vehicle type from the dropdown list:
1. Armored vehicles
2. Sedan
3. Multi-purpose vehicles 
4. Sport utility vehicles (SUV)
5. Vans
6. Mini bus/coaster
7. Hybrid-Sedan
8. Hybrid-SUV
9. Others</t>
  </si>
  <si>
    <t>$A$27:$E$35</t>
  </si>
  <si>
    <t>$J$9</t>
  </si>
  <si>
    <t>$F$65</t>
  </si>
  <si>
    <t>$F$91</t>
  </si>
  <si>
    <t>$B$9</t>
  </si>
  <si>
    <t>$F$110</t>
  </si>
  <si>
    <t>Categorization of waste:
1. Compostable - organic waste that can be broken down to compost such as leftover foods, twigs, and leaves
2. Recyclable - waste that are either saleable, or non-saleable but can be processed and reused
3. Security - non-hazardous waste generated from currency production operations
4. Hazardous - wastes containing hazardous substances that are no longer recyclable such as inks and ink-contamindated materials, and waste from electrical and electronic equipment
5. Infectious - contaminated health care wastes
6. Residual/Landfill - other non-compostable and non-recyclable waste</t>
  </si>
  <si>
    <t>$32:$34</t>
  </si>
  <si>
    <t>$31:$31</t>
  </si>
  <si>
    <t>$32:$36</t>
  </si>
  <si>
    <t>$C$32</t>
  </si>
  <si>
    <t>$C$33</t>
  </si>
  <si>
    <t>$D$34</t>
  </si>
  <si>
    <t>$C$34</t>
  </si>
  <si>
    <t>$D$33</t>
  </si>
  <si>
    <t>$E$34</t>
  </si>
  <si>
    <t>$12:$12</t>
  </si>
  <si>
    <t>$C$12</t>
  </si>
  <si>
    <t>$D$12</t>
  </si>
  <si>
    <t>$D$12:$G$12</t>
  </si>
  <si>
    <t>$C$48:$E$48</t>
  </si>
  <si>
    <t>$C$49:$E$49</t>
  </si>
  <si>
    <t>$D$70</t>
  </si>
  <si>
    <t>2.3b Renewable Energy - Solar</t>
  </si>
  <si>
    <t>$P:$P</t>
  </si>
  <si>
    <t>$P$2:$P$110</t>
  </si>
  <si>
    <t>$O$2:$O$4</t>
  </si>
  <si>
    <t>$O$5</t>
  </si>
  <si>
    <t>$I$8:$I$23</t>
  </si>
  <si>
    <t>$K$8:$K$23</t>
  </si>
  <si>
    <t>$I$9</t>
  </si>
  <si>
    <t>$I$9:$I$104</t>
  </si>
  <si>
    <t>$B$6</t>
  </si>
  <si>
    <t>$D$3:$G$3</t>
  </si>
  <si>
    <t>$F$111</t>
  </si>
  <si>
    <t>Select the waste disposal/recovery method:
1. LGU garbage collection
2. Waste treatment company
3. Recycling service provider
4. Composting
5. In-house recycling/repurposing
6. Auction/Donation
7. Others</t>
  </si>
  <si>
    <t>$I$3</t>
  </si>
  <si>
    <t>$I$4</t>
  </si>
  <si>
    <t>Accomplish this sheet only if the BSP facility has solar panels</t>
  </si>
  <si>
    <t>$E$43</t>
  </si>
  <si>
    <t>$A$27:$C$33</t>
  </si>
  <si>
    <t>$B$5:$B$12</t>
  </si>
  <si>
    <t>$B$7</t>
  </si>
  <si>
    <t>Dale John E. Balaga</t>
  </si>
  <si>
    <t>$O$19</t>
  </si>
  <si>
    <t>$J$8</t>
  </si>
  <si>
    <t>$M$8</t>
  </si>
  <si>
    <t>$D$2</t>
  </si>
  <si>
    <t>$D$3</t>
  </si>
  <si>
    <t>$E$10</t>
  </si>
  <si>
    <t>$K$8</t>
  </si>
  <si>
    <t>$O$9</t>
  </si>
  <si>
    <t>$O$9:$P$9,$Q$9:$R$9</t>
  </si>
  <si>
    <t>$O$7:$O$9</t>
  </si>
  <si>
    <t>$O$17</t>
  </si>
  <si>
    <t>Flaviano A. Sarol</t>
  </si>
  <si>
    <t>$N$7</t>
  </si>
  <si>
    <t>2.1b Fuel - Vehicles jan</t>
  </si>
  <si>
    <t>jan</t>
  </si>
  <si>
    <t>$J$14</t>
  </si>
  <si>
    <t>$K$14</t>
  </si>
  <si>
    <t>$N$14</t>
  </si>
  <si>
    <t>$N$11</t>
  </si>
  <si>
    <t>$N$12</t>
  </si>
  <si>
    <t>$N$13</t>
  </si>
  <si>
    <t>TOYOTA INNOVA</t>
  </si>
  <si>
    <t>$R$10</t>
  </si>
  <si>
    <t>TOYOTA GRANDIA</t>
  </si>
  <si>
    <t>FORD ARMORED VAN</t>
  </si>
  <si>
    <t>$R$12</t>
  </si>
  <si>
    <t>FORD ARMORED TRUCK</t>
  </si>
  <si>
    <t>$R$13</t>
  </si>
  <si>
    <t>$R$14</t>
  </si>
  <si>
    <t>ISUZU CROSSWIND</t>
  </si>
  <si>
    <t>$S$6</t>
  </si>
  <si>
    <t>$J$16:$L$23</t>
  </si>
  <si>
    <t>$J$15:$L$22</t>
  </si>
  <si>
    <t>$L$15</t>
  </si>
  <si>
    <t>FEB</t>
  </si>
  <si>
    <t>$L$16</t>
  </si>
  <si>
    <t>$L$17</t>
  </si>
  <si>
    <t>$L$18</t>
  </si>
  <si>
    <t>$L$19</t>
  </si>
  <si>
    <t>$L$20</t>
  </si>
  <si>
    <t>$L$21</t>
  </si>
  <si>
    <t>$L$22</t>
  </si>
  <si>
    <t>$N$22</t>
  </si>
  <si>
    <t>$N$15</t>
  </si>
  <si>
    <t>$N$16</t>
  </si>
  <si>
    <t>$N$17</t>
  </si>
  <si>
    <t>$N$18</t>
  </si>
  <si>
    <t>$N$19</t>
  </si>
  <si>
    <t>$N$20</t>
  </si>
  <si>
    <t>$N$21</t>
  </si>
  <si>
    <t>$R$15:$R$22</t>
  </si>
  <si>
    <t>$R$23:$R$30</t>
  </si>
  <si>
    <t>$R$31:$R$38</t>
  </si>
  <si>
    <t>$R$39:$R$46</t>
  </si>
  <si>
    <t>$R$47:$R$54</t>
  </si>
  <si>
    <t>$R$55:$R$62</t>
  </si>
  <si>
    <t>$R$63:$R$70</t>
  </si>
  <si>
    <t>$R$71:$R$78</t>
  </si>
  <si>
    <t>$J$23:$K$30</t>
  </si>
  <si>
    <t>$J$31:$K$38</t>
  </si>
  <si>
    <t>$J$39:$K$46</t>
  </si>
  <si>
    <t>$J$47:$K$54</t>
  </si>
  <si>
    <t>$J$55:$K$62</t>
  </si>
  <si>
    <t>$J$63:$K$70</t>
  </si>
  <si>
    <t>$J$71:$K$78</t>
  </si>
  <si>
    <t>$J$79:$K$86</t>
  </si>
  <si>
    <t>$J$87:$K$94</t>
  </si>
  <si>
    <t>$J$95:$K$102</t>
  </si>
  <si>
    <t>$J$103:$K$110</t>
  </si>
  <si>
    <t>$L$23</t>
  </si>
  <si>
    <t>$L$24</t>
  </si>
  <si>
    <t>$L$25</t>
  </si>
  <si>
    <t>$L$26</t>
  </si>
  <si>
    <t>$L$27</t>
  </si>
  <si>
    <t>$L$28</t>
  </si>
  <si>
    <t>$L$29</t>
  </si>
  <si>
    <t>$L$30</t>
  </si>
  <si>
    <t>$L$31</t>
  </si>
  <si>
    <t>$L$32</t>
  </si>
  <si>
    <t>$L$33</t>
  </si>
  <si>
    <t>$L$34</t>
  </si>
  <si>
    <t>$L$35</t>
  </si>
  <si>
    <t>$L$36</t>
  </si>
  <si>
    <t>$L$37</t>
  </si>
  <si>
    <t>$L$38</t>
  </si>
  <si>
    <t>$L$39</t>
  </si>
  <si>
    <t>$L$47</t>
  </si>
  <si>
    <t>$L$55</t>
  </si>
  <si>
    <t>jul</t>
  </si>
  <si>
    <t>$L$63</t>
  </si>
  <si>
    <t>$L$71</t>
  </si>
  <si>
    <t>sep</t>
  </si>
  <si>
    <t>$L$79</t>
  </si>
  <si>
    <t>oct</t>
  </si>
  <si>
    <t>$L$87</t>
  </si>
  <si>
    <t>nov</t>
  </si>
  <si>
    <t>$L$94</t>
  </si>
  <si>
    <t>dec</t>
  </si>
  <si>
    <t>$L$40</t>
  </si>
  <si>
    <t>$L$41</t>
  </si>
  <si>
    <t>$L$42</t>
  </si>
  <si>
    <t>$L$43</t>
  </si>
  <si>
    <t>$L$44</t>
  </si>
  <si>
    <t>$L$45</t>
  </si>
  <si>
    <t>$L$46</t>
  </si>
  <si>
    <t>$L$48</t>
  </si>
  <si>
    <t>$L$49</t>
  </si>
  <si>
    <t>$L$50</t>
  </si>
  <si>
    <t>$L$51</t>
  </si>
  <si>
    <t>$L$52</t>
  </si>
  <si>
    <t>$L$53</t>
  </si>
  <si>
    <t>$L$54</t>
  </si>
  <si>
    <t>$L$56</t>
  </si>
  <si>
    <t>$L$57</t>
  </si>
  <si>
    <t>$L$58</t>
  </si>
  <si>
    <t>$L$59</t>
  </si>
  <si>
    <t>$L$60</t>
  </si>
  <si>
    <t>$L$61</t>
  </si>
  <si>
    <t>$L$62</t>
  </si>
  <si>
    <t>$L$64</t>
  </si>
  <si>
    <t>$L$65</t>
  </si>
  <si>
    <t>$L$66</t>
  </si>
  <si>
    <t>$L$67</t>
  </si>
  <si>
    <t>$L$68</t>
  </si>
  <si>
    <t>$L$69</t>
  </si>
  <si>
    <t>$L$70</t>
  </si>
  <si>
    <t>$L$72</t>
  </si>
  <si>
    <t>$L$73</t>
  </si>
  <si>
    <t>$L$74</t>
  </si>
  <si>
    <t>$L$75</t>
  </si>
  <si>
    <t>$L$76</t>
  </si>
  <si>
    <t>$L$77</t>
  </si>
  <si>
    <t>$L$78</t>
  </si>
  <si>
    <t>$L$80</t>
  </si>
  <si>
    <t>$L$81</t>
  </si>
  <si>
    <t>$L$82</t>
  </si>
  <si>
    <t>$L$83</t>
  </si>
  <si>
    <t>$L$84</t>
  </si>
  <si>
    <t>$L$85</t>
  </si>
  <si>
    <t>$L$86</t>
  </si>
  <si>
    <t>$L$88</t>
  </si>
  <si>
    <t>$L$89</t>
  </si>
  <si>
    <t>$L$90</t>
  </si>
  <si>
    <t>$L$91</t>
  </si>
  <si>
    <t>$L$92:$L$93</t>
  </si>
  <si>
    <t>$L$92</t>
  </si>
  <si>
    <t>$L$92:$L$94</t>
  </si>
  <si>
    <t>$L$95</t>
  </si>
  <si>
    <t>$L$96:$L$102</t>
  </si>
  <si>
    <t>$R$79:$R$86</t>
  </si>
  <si>
    <t>$R$87:$R$102</t>
  </si>
  <si>
    <t>$N$23</t>
  </si>
  <si>
    <t>$N$24</t>
  </si>
  <si>
    <t>$N$25</t>
  </si>
  <si>
    <t>$N$26</t>
  </si>
  <si>
    <t>$N$27</t>
  </si>
  <si>
    <t>$N$28</t>
  </si>
  <si>
    <t>$N$30</t>
  </si>
  <si>
    <t>$N$23:$N$27</t>
  </si>
  <si>
    <t>o</t>
  </si>
  <si>
    <t>$N$29</t>
  </si>
  <si>
    <t>$N$31</t>
  </si>
  <si>
    <t>$N$32</t>
  </si>
  <si>
    <t>$N$33</t>
  </si>
  <si>
    <t>$N$34</t>
  </si>
  <si>
    <t>$N$31:$N$33</t>
  </si>
  <si>
    <t>$N$38</t>
  </si>
  <si>
    <t>$N$35</t>
  </si>
  <si>
    <t>$N$36</t>
  </si>
  <si>
    <t>$N$37</t>
  </si>
  <si>
    <t>$N$46</t>
  </si>
  <si>
    <t>$N$39</t>
  </si>
  <si>
    <t>$N$40</t>
  </si>
  <si>
    <t>$N$41</t>
  </si>
  <si>
    <t>$N$42</t>
  </si>
  <si>
    <t>$N$43</t>
  </si>
  <si>
    <t>$N$44</t>
  </si>
  <si>
    <t>$N$45</t>
  </si>
  <si>
    <t>$N$54</t>
  </si>
  <si>
    <t>$N$47</t>
  </si>
  <si>
    <t>$N$48</t>
  </si>
  <si>
    <t>$N$49</t>
  </si>
  <si>
    <t>$N$50</t>
  </si>
  <si>
    <t>$N$51</t>
  </si>
  <si>
    <t>$N$52</t>
  </si>
  <si>
    <t>$N$53</t>
  </si>
  <si>
    <t>$N$62</t>
  </si>
  <si>
    <t>$N$55</t>
  </si>
  <si>
    <t>$N$56</t>
  </si>
  <si>
    <t>$N$57</t>
  </si>
  <si>
    <t>$N$58</t>
  </si>
  <si>
    <t>$N$59</t>
  </si>
  <si>
    <t>$N$60</t>
  </si>
  <si>
    <t>$N$61</t>
  </si>
  <si>
    <t>$N$63</t>
  </si>
  <si>
    <t>$N$55:$N$62</t>
  </si>
  <si>
    <t>$N$70</t>
  </si>
  <si>
    <t>$N$64</t>
  </si>
  <si>
    <t>$N$65</t>
  </si>
  <si>
    <t>$N$66</t>
  </si>
  <si>
    <t>$N$67</t>
  </si>
  <si>
    <t>$N$68</t>
  </si>
  <si>
    <t>$N$69</t>
  </si>
  <si>
    <t>$N$71</t>
  </si>
  <si>
    <t>$N$72</t>
  </si>
  <si>
    <t>$N$73</t>
  </si>
  <si>
    <t>$N$74</t>
  </si>
  <si>
    <t>$N$75</t>
  </si>
  <si>
    <t>$N$76</t>
  </si>
  <si>
    <t>$N$77</t>
  </si>
  <si>
    <t>$N$78</t>
  </si>
  <si>
    <t>$N$86</t>
  </si>
  <si>
    <t>$N$79</t>
  </si>
  <si>
    <t>$N$80</t>
  </si>
  <si>
    <t>$N$81</t>
  </si>
  <si>
    <t>$N$82</t>
  </si>
  <si>
    <t>$N$83</t>
  </si>
  <si>
    <t>$N$84</t>
  </si>
  <si>
    <t>$N$85</t>
  </si>
  <si>
    <t>$N$87</t>
  </si>
  <si>
    <t>$N$88</t>
  </si>
  <si>
    <t>$N$89</t>
  </si>
  <si>
    <t>$N$90</t>
  </si>
  <si>
    <t>$N$91</t>
  </si>
  <si>
    <t>$N$92</t>
  </si>
  <si>
    <t>$N$93</t>
  </si>
  <si>
    <t>$N$94</t>
  </si>
  <si>
    <t>$N$102</t>
  </si>
  <si>
    <t>$N$95</t>
  </si>
  <si>
    <t>$N$96</t>
  </si>
  <si>
    <t>$N$97</t>
  </si>
  <si>
    <t>$N$98</t>
  </si>
  <si>
    <t>$N$99</t>
  </si>
  <si>
    <t>$N$100</t>
  </si>
  <si>
    <t>$N$101</t>
  </si>
  <si>
    <t>$S$7</t>
  </si>
  <si>
    <t>$S$9</t>
  </si>
  <si>
    <t>$S$10</t>
  </si>
  <si>
    <t>13km/l</t>
  </si>
  <si>
    <t>$S$7:$S$11</t>
  </si>
  <si>
    <t>$S$14</t>
  </si>
  <si>
    <t>11,5</t>
  </si>
  <si>
    <t>$S$7:$S$15</t>
  </si>
  <si>
    <t>$S$13</t>
  </si>
  <si>
    <t>$T$14</t>
  </si>
  <si>
    <t>$T$10</t>
  </si>
  <si>
    <t>$T$12</t>
  </si>
  <si>
    <t>$T$13</t>
  </si>
  <si>
    <t>$U$14</t>
  </si>
  <si>
    <t>$U$8</t>
  </si>
  <si>
    <t>$U$10</t>
  </si>
  <si>
    <t>$U$12</t>
  </si>
  <si>
    <t>$U$13</t>
  </si>
  <si>
    <t>ISUZU CROSSWIND sKE 410</t>
  </si>
  <si>
    <t>$V$14</t>
  </si>
  <si>
    <t>$V$7</t>
  </si>
  <si>
    <t>$V$8</t>
  </si>
  <si>
    <t>$V$10</t>
  </si>
  <si>
    <t>$V$12</t>
  </si>
  <si>
    <t>$W$8</t>
  </si>
  <si>
    <t>$W$10</t>
  </si>
  <si>
    <t>$W$12</t>
  </si>
  <si>
    <t>$W$13</t>
  </si>
  <si>
    <t>$X$7</t>
  </si>
  <si>
    <t>$X$8</t>
  </si>
  <si>
    <t>$X$9</t>
  </si>
  <si>
    <t>$X$10</t>
  </si>
  <si>
    <t>$X$12</t>
  </si>
  <si>
    <t>$X$13</t>
  </si>
  <si>
    <t>$Y$7</t>
  </si>
  <si>
    <t>$Z$7</t>
  </si>
  <si>
    <t>$Y$8:$Y$13</t>
  </si>
  <si>
    <t>$Z$8:$Z$13</t>
  </si>
  <si>
    <t>$Z$8</t>
  </si>
  <si>
    <t>$Z$9</t>
  </si>
  <si>
    <t>$Z$10</t>
  </si>
  <si>
    <t>$Z$11</t>
  </si>
  <si>
    <t>$Z$12</t>
  </si>
  <si>
    <t>$Z$13</t>
  </si>
  <si>
    <t>$Z$14</t>
  </si>
  <si>
    <t>$Y$14</t>
  </si>
  <si>
    <t>$Z$6</t>
  </si>
  <si>
    <t>$Z$15:$Z$22</t>
  </si>
  <si>
    <t>$Z$23:$Z$30</t>
  </si>
  <si>
    <t>$Z$31:$Z$38</t>
  </si>
  <si>
    <t>$Z$39:$Z$46</t>
  </si>
  <si>
    <t>$Z$47:$Z$54</t>
  </si>
  <si>
    <t>$Z$55:$Z$62</t>
  </si>
  <si>
    <t>$Z$63:$Z$70</t>
  </si>
  <si>
    <t>$Z$71:$Z$78</t>
  </si>
  <si>
    <t>$Z$79:$Z$86</t>
  </si>
  <si>
    <t>$Z$87:$Z$94</t>
  </si>
  <si>
    <t>$Z$95:$Z$102</t>
  </si>
  <si>
    <t>$J$54,$J$46,$J$38,$J$30,$J$22,$J$14,$J$62,$J$70,$J$78,$J$86,$J$94,$J$102</t>
  </si>
  <si>
    <t>$J$14:$J$20</t>
  </si>
  <si>
    <t>$J$21:$J$27</t>
  </si>
  <si>
    <t>$J$28:$J$29</t>
  </si>
  <si>
    <t>$J$28:$J$34</t>
  </si>
  <si>
    <t>$J$35:$J$37</t>
  </si>
  <si>
    <t>$J$35:$J$41</t>
  </si>
  <si>
    <t>$J$42:$J$45</t>
  </si>
  <si>
    <t>$J$42:$J$48</t>
  </si>
  <si>
    <t>$J$49:$J$53</t>
  </si>
  <si>
    <t>$J$49:$J$55</t>
  </si>
  <si>
    <t>$J$56:$J$61</t>
  </si>
  <si>
    <t>$J$56:$J$62</t>
  </si>
  <si>
    <t>$J$63:$J$69</t>
  </si>
  <si>
    <t>$J$71</t>
  </si>
  <si>
    <t>$J$70:$J$101</t>
  </si>
  <si>
    <t>$L$56:$L$103</t>
  </si>
  <si>
    <t>$N$7:$N$105</t>
  </si>
  <si>
    <t>$R$14:$R$103</t>
  </si>
  <si>
    <t>$R$14:$R$20</t>
  </si>
  <si>
    <t>$R$21:$R$27</t>
  </si>
  <si>
    <t>$R$28:$R$34</t>
  </si>
  <si>
    <t>$R$35:$R$41</t>
  </si>
  <si>
    <t>$R$42:$R$48</t>
  </si>
  <si>
    <t>$R$49:$R$55</t>
  </si>
  <si>
    <t>$K$56:$K$103</t>
  </si>
  <si>
    <t>$P$56:$P$106</t>
  </si>
  <si>
    <t>$J$49:$L$55</t>
  </si>
  <si>
    <t>$P$49:$P$55</t>
  </si>
  <si>
    <t>$D$9</t>
  </si>
  <si>
    <t>$E$9</t>
  </si>
  <si>
    <t>Distribution Utility</t>
  </si>
  <si>
    <t>Grid</t>
  </si>
  <si>
    <t>Region</t>
  </si>
  <si>
    <t>Abra Electric Cooperative, Inc.</t>
  </si>
  <si>
    <t>EC-CDA</t>
  </si>
  <si>
    <t>Luzon</t>
  </si>
  <si>
    <t>CAR</t>
  </si>
  <si>
    <t>Angeles Electric Corporation</t>
  </si>
  <si>
    <t>PIOU</t>
  </si>
  <si>
    <t>Region 3</t>
  </si>
  <si>
    <t>Aklan Electric Cooperative, Inc.</t>
  </si>
  <si>
    <t>NEA-EC</t>
  </si>
  <si>
    <t>Region 6</t>
  </si>
  <si>
    <t>Albay Electric Cooperative, Inc./Albay Power Energy Corporation</t>
  </si>
  <si>
    <t>Region 5</t>
  </si>
  <si>
    <t>Agusan del Norte Electric Cooperative, Inc.</t>
  </si>
  <si>
    <t>CARAGA</t>
  </si>
  <si>
    <t>Antique Electric Cooperative, Inc.</t>
  </si>
  <si>
    <t>Agusan del Sur Electric Cooperative, Inc.</t>
  </si>
  <si>
    <t>Aurora Electric Cooperative, Inc.</t>
  </si>
  <si>
    <t>Bantayan Electric Cooperative, Inc.</t>
  </si>
  <si>
    <t>SPUG-EC</t>
  </si>
  <si>
    <t>Region 7</t>
  </si>
  <si>
    <t>Banton/ROMELCO</t>
  </si>
  <si>
    <t>Banton Electric System/Romblon Electric Cooperative, Inc.</t>
  </si>
  <si>
    <t>LGUOU</t>
  </si>
  <si>
    <t>Region 4B</t>
  </si>
  <si>
    <t>Basilan Electric Cooperative, Inc.</t>
  </si>
  <si>
    <t>ARMM</t>
  </si>
  <si>
    <t>Batanes Electric Cooperative, Inc.</t>
  </si>
  <si>
    <t>Region 2</t>
  </si>
  <si>
    <t>Batangas I Electric Cooperative, Inc.</t>
  </si>
  <si>
    <t>Region 4A</t>
  </si>
  <si>
    <t>Batangas II Electric Cooperative, Inc.</t>
  </si>
  <si>
    <t>Benguet Electric Cooperative, Inc.</t>
  </si>
  <si>
    <t>Balamban Enerzone Corporation</t>
  </si>
  <si>
    <t>Biliran Electric Cooperative, Inc.</t>
  </si>
  <si>
    <t>Region 8</t>
  </si>
  <si>
    <t>Busuanga Island Electric Cooperative, Inc</t>
  </si>
  <si>
    <t>Bohol Light Company, Inc.</t>
  </si>
  <si>
    <t>Bohol I Electric Cooperative, Inc.</t>
  </si>
  <si>
    <t>Bohol II Electric Cooperative, Inc.</t>
  </si>
  <si>
    <t>Bumbaran Electric Cooperative, Inc.</t>
  </si>
  <si>
    <t>Bukidnon II Electric Cooperative, Inc.</t>
  </si>
  <si>
    <t>Region 10</t>
  </si>
  <si>
    <t>Cagayan I Electric Cooperative, Inc.</t>
  </si>
  <si>
    <t>Cagayan II Electric Cooperative, Inc.</t>
  </si>
  <si>
    <t>Camiguin Electric Cooperative, Inc.</t>
  </si>
  <si>
    <t>Camarines Norte Electric Cooperative, Inc</t>
  </si>
  <si>
    <t>Capiz Electric Cooperative, Inc.</t>
  </si>
  <si>
    <t>Cagayan de Sulu Electric Cooperative, Inc.</t>
  </si>
  <si>
    <t>Camarines Sur I Electric Cooperative, Inc</t>
  </si>
  <si>
    <t>Camarines Sur II Electric Cooperative, Inc</t>
  </si>
  <si>
    <t>Camarines Sur III Electric Cooperative, Inc</t>
  </si>
  <si>
    <t>Camarines Sur IV Electric Cooperative, Inc</t>
  </si>
  <si>
    <t>Cebu I Electric Cooperative, Inc.</t>
  </si>
  <si>
    <t>Cebu II Electric Cooperative, Inc.</t>
  </si>
  <si>
    <t>Cebu III Electric Cooperative, Inc.</t>
  </si>
  <si>
    <t>Clark Electric Distribution Corporation</t>
  </si>
  <si>
    <t>Camotes Electric Cooperative, Inc.</t>
  </si>
  <si>
    <t>Cabanatuan Electric Corporation</t>
  </si>
  <si>
    <t>Central Negros Electric Cooperative, Inc.</t>
  </si>
  <si>
    <t>Central Pangasinan Electric Cooperative, Inc.</t>
  </si>
  <si>
    <t>Region 1</t>
  </si>
  <si>
    <t>Cagayan Electric Power and Light Company, Inc.</t>
  </si>
  <si>
    <t>Cotabato Light and Power Company</t>
  </si>
  <si>
    <t>Region 12</t>
  </si>
  <si>
    <t>Concepcion Electric System</t>
  </si>
  <si>
    <t>Corcuera Electric System</t>
  </si>
  <si>
    <t>Cotabato Electric Cooperative, Inc.</t>
  </si>
  <si>
    <t>Cotabato Electric Cooperative, Inc. - PPALMA</t>
  </si>
  <si>
    <t>Davao del Norte Electric Cooperative, Inc.</t>
  </si>
  <si>
    <t>Region 11</t>
  </si>
  <si>
    <t>Davao del Sur Electric Cooperative, Inc.</t>
  </si>
  <si>
    <t>Dagupan Electric Corporation</t>
  </si>
  <si>
    <t>Dinagat Island Electric Cooperative, Inc.</t>
  </si>
  <si>
    <t>Davao Light and Power Company</t>
  </si>
  <si>
    <t>Davao Oriental Electric Cooperative, Inc.</t>
  </si>
  <si>
    <t>Don Orestes Romualdez, Electric Cooperative, Inc.</t>
  </si>
  <si>
    <t>Eastern Samar Electric Cooperative, Inc.</t>
  </si>
  <si>
    <t>First Bay Power Corporation</t>
  </si>
  <si>
    <t>First Bukidnon Electric Cooperative, Inc.</t>
  </si>
  <si>
    <t>First Catanduanes Electric Cooperative, Inc.</t>
  </si>
  <si>
    <t>First Laguna Electric Cooperative, Inc.</t>
  </si>
  <si>
    <t>Guimaras Electric Cooperative, Inc.</t>
  </si>
  <si>
    <t>Hilabaan Fishermen's Multi-Purpose Cooperative</t>
  </si>
  <si>
    <t>MPC</t>
  </si>
  <si>
    <t>IEEC</t>
  </si>
  <si>
    <t>Ibaan Electric and Engineering Corporation</t>
  </si>
  <si>
    <t>Ifugao Electric Cooperative, Inc.</t>
  </si>
  <si>
    <t>Iloilo I Electric Cooperative, Inc.</t>
  </si>
  <si>
    <t>Iloilo II Electric Cooperative, Inc.</t>
  </si>
  <si>
    <t>Iloilo III Electric Cooperative, Inc.</t>
  </si>
  <si>
    <t>Iligan Light and Power, Inc.</t>
  </si>
  <si>
    <t>Ilocos Norte Electric Cooperative, Inc.</t>
  </si>
  <si>
    <t>Ilocos Sur Electric Cooperative, Inc.</t>
  </si>
  <si>
    <t>Isabela I Electric Cooperative, Inc.</t>
  </si>
  <si>
    <t>Isabela II Electric Cooperative, Inc.</t>
  </si>
  <si>
    <t>Kalinga-Apayao Electric Cooperative, Inc.</t>
  </si>
  <si>
    <t>Lanao del Norte Electric Cooperative, Inc.</t>
  </si>
  <si>
    <t>Lanao del Sur Electric Cooperative, Inc.</t>
  </si>
  <si>
    <t>Leyte II Electric Cooperative, Inc.</t>
  </si>
  <si>
    <t>Leyte III Electric Cooperative, Inc.</t>
  </si>
  <si>
    <t>Leyte IV Electric Cooperative, Inc.</t>
  </si>
  <si>
    <t>Leyte V Electric Cooperative, Inc.</t>
  </si>
  <si>
    <t>Lima Enerzone Corporation</t>
  </si>
  <si>
    <t>Region IV A</t>
  </si>
  <si>
    <t>Lubang Electric Cooperative, Inc</t>
  </si>
  <si>
    <t>La Union Electric Company, Inc.</t>
  </si>
  <si>
    <t>La Union Electric Cooperative, Inc.</t>
  </si>
  <si>
    <t>Maguindanao Electric Cooperative, Inc.</t>
  </si>
  <si>
    <t>Marinduque Electric Cooperative, Inc</t>
  </si>
  <si>
    <t>Masbate Electric Cooperative, Inc</t>
  </si>
  <si>
    <t>Mactan Electric Company, Inc.</t>
  </si>
  <si>
    <t>More Electric and Power Corporation</t>
  </si>
  <si>
    <t>Manila Electric Company</t>
  </si>
  <si>
    <t>NCR</t>
  </si>
  <si>
    <t>Mactan Enerzone Corporation</t>
  </si>
  <si>
    <t>Maripipi Multi-Purpose Electric Cooperative</t>
  </si>
  <si>
    <t>Misamis Occidental I Electric Cooperative, Inc.</t>
  </si>
  <si>
    <t>Misamis Occidental II Electric Cooperative, Inc.</t>
  </si>
  <si>
    <t>Mountain Province Electric Cooperative, Inc.</t>
  </si>
  <si>
    <t>Misamis Oriental I Rural Electric Cooperative, Inc.</t>
  </si>
  <si>
    <t>Misamis Oriental II Electric Cooperative, Inc.</t>
  </si>
  <si>
    <t>Nueva Ecija I Electric Cooperative, Inc.</t>
  </si>
  <si>
    <t>Nueva Ecija II Electric Cooperative, Inc.(Area 1)</t>
  </si>
  <si>
    <t>Nueva Ecija II Electric Cooperative, Inc.(Area 2)</t>
  </si>
  <si>
    <t>Negros Occidental Electric Cooperative, Inc.</t>
  </si>
  <si>
    <t>Northern Negros Electric Cooperative, Inc.</t>
  </si>
  <si>
    <t>Negros Oriental I Electric Cooperative, Inc.</t>
  </si>
  <si>
    <t>Negros Oriental II Electric Cooperative, Inc.</t>
  </si>
  <si>
    <t>Northern Samar Electric Cooperative, Inc.</t>
  </si>
  <si>
    <t>Nueva Vizcaya Electric Cooperative, Inc.</t>
  </si>
  <si>
    <t>Olongapo Electricity Distribution Company, Inc.</t>
  </si>
  <si>
    <t>Occidental Mindoro Electric Cooperative, Inc</t>
  </si>
  <si>
    <t>Oriental Mindoro Electric Cooperative, Inc</t>
  </si>
  <si>
    <t>Palawan Electric Cooperative, Inc</t>
  </si>
  <si>
    <t>SPUG-EC CDA</t>
  </si>
  <si>
    <t>Pantabangan Municipal Electric System</t>
  </si>
  <si>
    <t>Pangasinan I Electric Cooperative, Inc.</t>
  </si>
  <si>
    <t>Pangasinan III Electric Cooperative, Inc.</t>
  </si>
  <si>
    <t>Pampanga I Electric Cooperative, Inc.</t>
  </si>
  <si>
    <t>Pampanga II Electric Cooperative, Inc.</t>
  </si>
  <si>
    <t>Pampanga III Electric Cooperative, Inc.</t>
  </si>
  <si>
    <t>Peninsula Electric Cooperative, Inc.</t>
  </si>
  <si>
    <t>Pampanga Rural Electric Service Cooperative, Inc.</t>
  </si>
  <si>
    <t>Province of Siquijor Electric Cooperative, Inc.</t>
  </si>
  <si>
    <t>Quezon I Electric Cooperative, Inc</t>
  </si>
  <si>
    <t>Quezon II Electric Cooperative, Inc</t>
  </si>
  <si>
    <t>Quirino Electric Cooperative, Inc.</t>
  </si>
  <si>
    <t>Romblon Electric Cooperative, Inc</t>
  </si>
  <si>
    <t>San Jose City Electric Cooperative, Inc.</t>
  </si>
  <si>
    <t>Samar I Electric Cooperative, Inc.</t>
  </si>
  <si>
    <t>Samar II Electric Cooperative, Inc.</t>
  </si>
  <si>
    <t>Subic Enerzone Corporation</t>
  </si>
  <si>
    <t>San Fernando Electric and Power Company, Inc.</t>
  </si>
  <si>
    <t>Siargao Electric Cooperative, Inc.</t>
  </si>
  <si>
    <t>Siasi Electric Cooperative, Inc.</t>
  </si>
  <si>
    <t>South Cotabato I Electric Cooperative, Inc.</t>
  </si>
  <si>
    <t>South Cotabato II Electric Cooperative, Inc.</t>
  </si>
  <si>
    <t>Southern Leyte Electric Cooperative, Inc.</t>
  </si>
  <si>
    <t>Sorsogon I Electric Cooperative, Inc</t>
  </si>
  <si>
    <t>Sorsogon II Electric Cooperative, Inc</t>
  </si>
  <si>
    <t>Sultan Kudarat Electric Cooperative, Inc.</t>
  </si>
  <si>
    <t>Sulu Electric Cooperative, Inc.</t>
  </si>
  <si>
    <t>Surigao del Norte Electric Cooperative, Inc.</t>
  </si>
  <si>
    <t>Surigao del Sur I Electric Cooperative, Inc.</t>
  </si>
  <si>
    <t>Surigao del Sur II Electric Cooperative, Inc.</t>
  </si>
  <si>
    <t>Tarlac I Electric Cooperative, Inc.</t>
  </si>
  <si>
    <t>Tarlac II Electric Cooperative, Inc.</t>
  </si>
  <si>
    <t>Tawi-tawi Electric Cooperative, Inc.</t>
  </si>
  <si>
    <t>Tarlac Electric, Inc</t>
  </si>
  <si>
    <t>Tabas Island Electric Cooperative, Inc</t>
  </si>
  <si>
    <t>Ticao Island Electric Cooperative, Inc.</t>
  </si>
  <si>
    <t>Visayan Electric Company, Inc.</t>
  </si>
  <si>
    <t>Zamboanga City Electric Cooperative, Inc.</t>
  </si>
  <si>
    <t>Region 9</t>
  </si>
  <si>
    <t>Zambales I Electric Cooperative, Inc.</t>
  </si>
  <si>
    <t>Zambales II Electric Cooperative, Inc.</t>
  </si>
  <si>
    <t>Zamboanga del Sur I Electric Cooperative, Inc.</t>
  </si>
  <si>
    <t>Zamboanga del Sur II Electric Cooperative, Inc.</t>
  </si>
  <si>
    <t>Zamboanga del Norte Electric Cooperative, Inc.</t>
  </si>
  <si>
    <t>GRI</t>
  </si>
  <si>
    <t>GRI Metrics</t>
  </si>
  <si>
    <t xml:space="preserve">Sample Report Metrics (Givaudan) </t>
  </si>
  <si>
    <t>Fuel</t>
  </si>
  <si>
    <t>305: Emissions p.669</t>
  </si>
  <si>
    <t>same as Givaudan</t>
  </si>
  <si>
    <r>
      <rPr>
        <b/>
        <sz val="11"/>
        <color theme="1"/>
        <rFont val="Calibri"/>
        <family val="2"/>
        <scheme val="minor"/>
      </rPr>
      <t>Scope 1</t>
    </r>
    <r>
      <rPr>
        <sz val="11"/>
        <color theme="1"/>
        <rFont val="Calibri"/>
        <family val="2"/>
        <scheme val="minor"/>
      </rPr>
      <t xml:space="preserve">
From direct energy sources
From biogenic sources
</t>
    </r>
    <r>
      <rPr>
        <b/>
        <sz val="11"/>
        <color theme="1"/>
        <rFont val="Calibri"/>
        <family val="2"/>
        <scheme val="minor"/>
      </rPr>
      <t>Scope 2</t>
    </r>
    <r>
      <rPr>
        <sz val="11"/>
        <color theme="1"/>
        <rFont val="Calibri"/>
        <family val="2"/>
        <scheme val="minor"/>
      </rPr>
      <t xml:space="preserve">
From indirect energy sources
From biogenic sources
</t>
    </r>
    <r>
      <rPr>
        <b/>
        <sz val="11"/>
        <color theme="1"/>
        <rFont val="Calibri"/>
        <family val="2"/>
        <scheme val="minor"/>
      </rPr>
      <t>Scope 3</t>
    </r>
    <r>
      <rPr>
        <sz val="11"/>
        <color theme="1"/>
        <rFont val="Calibri"/>
        <family val="2"/>
        <scheme val="minor"/>
      </rPr>
      <t xml:space="preserve">
Purchased good and services - Raw materials, Other Indirect materials &amp; services categories (excluding existing categories), Packaging
Capital goods
Fuel- and energy-related activities
Upstream transportation and distribution
Waste generated in operations
Business travel
Employee commuting
Downstream transportation and distribution - Outbound product to customers, Outbound intercompany deliveries</t>
    </r>
  </si>
  <si>
    <t>p.78</t>
  </si>
  <si>
    <t>302: Energy p. 616</t>
  </si>
  <si>
    <t xml:space="preserve">Note: If the organization generates electricity from a nonrenewable or renewable fuel source and then consumes the generated electricity, the energy consumption shall be counted once under fuel consumption.
</t>
  </si>
  <si>
    <r>
      <rPr>
        <b/>
        <sz val="11"/>
        <color theme="1"/>
        <rFont val="Calibri"/>
        <family val="2"/>
        <scheme val="minor"/>
      </rPr>
      <t>Energy</t>
    </r>
    <r>
      <rPr>
        <sz val="11"/>
        <color theme="1"/>
        <rFont val="Calibri"/>
        <family val="2"/>
        <scheme val="minor"/>
      </rPr>
      <t xml:space="preserve">
Direct energy consumption primary sources
Indirect energy: purchased electricity and steam
</t>
    </r>
    <r>
      <rPr>
        <b/>
        <sz val="11"/>
        <color theme="1"/>
        <rFont val="Calibri"/>
        <family val="2"/>
        <scheme val="minor"/>
      </rPr>
      <t>Energy efficiency</t>
    </r>
    <r>
      <rPr>
        <sz val="11"/>
        <color theme="1"/>
        <rFont val="Calibri"/>
        <family val="2"/>
        <scheme val="minor"/>
      </rPr>
      <t xml:space="preserve">
Direct energy efficiency
Indirect energy efficiency</t>
    </r>
  </si>
  <si>
    <t>303: Water and Effluents p. 632</t>
  </si>
  <si>
    <t>Identify water source and discharge</t>
  </si>
  <si>
    <r>
      <rPr>
        <b/>
        <sz val="11"/>
        <color theme="1"/>
        <rFont val="Calibri"/>
        <family val="2"/>
        <scheme val="minor"/>
      </rPr>
      <t xml:space="preserve">Water Intake
</t>
    </r>
    <r>
      <rPr>
        <sz val="11"/>
        <color theme="1"/>
        <rFont val="Calibri"/>
        <family val="2"/>
        <scheme val="minor"/>
      </rPr>
      <t xml:space="preserve">Surface water
Groundwater
Seawater
Third-party water - purchased water
Rainwater collected and stored by the reporting organization
Third-party water - wastewater from another organization
</t>
    </r>
    <r>
      <rPr>
        <b/>
        <sz val="11"/>
        <color theme="1"/>
        <rFont val="Calibri"/>
        <family val="2"/>
        <scheme val="minor"/>
      </rPr>
      <t xml:space="preserve">Water discharge
</t>
    </r>
    <r>
      <rPr>
        <sz val="11"/>
        <color theme="1"/>
        <rFont val="Calibri"/>
        <family val="2"/>
        <scheme val="minor"/>
      </rPr>
      <t xml:space="preserve">To the environment w/o biological treatment
To the environment after biological treatment
To external treatment facility w/o pre-treatment
To external treatment facility with pre-treatment
Water consumption
COD load of water discharged to the environment
</t>
    </r>
  </si>
  <si>
    <t>306: Waste p. 703</t>
  </si>
  <si>
    <r>
      <rPr>
        <b/>
        <sz val="11"/>
        <color theme="1"/>
        <rFont val="Calibri"/>
        <family val="2"/>
        <scheme val="minor"/>
      </rPr>
      <t>Hazardous waste</t>
    </r>
    <r>
      <rPr>
        <sz val="11"/>
        <color theme="1"/>
        <rFont val="Calibri"/>
        <family val="2"/>
        <scheme val="minor"/>
      </rPr>
      <t xml:space="preserve">
Preparation for reuse
Recycling
Other recovery operations
Incinerated - without energy recovery offsite, with energy recovery
Landfilled
</t>
    </r>
    <r>
      <rPr>
        <b/>
        <sz val="11"/>
        <color theme="1"/>
        <rFont val="Calibri"/>
        <family val="2"/>
        <scheme val="minor"/>
      </rPr>
      <t xml:space="preserve">Non-hazardous waste
</t>
    </r>
    <r>
      <rPr>
        <sz val="11"/>
        <color theme="1"/>
        <rFont val="Calibri"/>
        <family val="2"/>
        <scheme val="minor"/>
      </rPr>
      <t>Preparation for reuse
Recycling - Recycling, Composted, Biogas production
Other recovery operations
Incinerated - without energy recovery, with energy recovery
Landfilled</t>
    </r>
  </si>
  <si>
    <t>$A$27:$E$39</t>
  </si>
  <si>
    <t>$N$7:$N$8</t>
  </si>
  <si>
    <t>$I$9:$O$106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</si>
</sst>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8" formatCode="_-* #,##0.00\ _€_-;\-* #,##0.00\ _€_-;_-* &quot;-&quot;??\ _€_-;_-@_-"/>
    <numFmt numFmtId="169" formatCode="0.00;[Red]0.00"/>
    <numFmt numFmtId="170" formatCode="&quot;₱&quot;#,##0.00"/>
    <numFmt numFmtId="171" formatCode="dd\-mmm\-yy"/>
    <numFmt numFmtId="172" formatCode="dd\-mmm"/>
    <numFmt numFmtId="173" formatCode="0.0000"/>
    <numFmt numFmtId="174" formatCode="#,##0.0000"/>
  </numFmts>
  <fonts count="46" x14ac:knownFonts="1">
    <font>
      <sz val="11"/>
      <color theme="1"/>
      <name val="Calibri"/>
      <charset val="134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0A0A0A"/>
      <name val="Helvetica Neue"/>
      <family val="2"/>
    </font>
    <font>
      <sz val="16"/>
      <color rgb="FF0A0A0A"/>
      <name val="Helvetica Neue"/>
      <family val="2"/>
    </font>
    <font>
      <sz val="16"/>
      <color rgb="FF265892"/>
      <name val="Helvetica Neue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0"/>
      <color theme="0" tint="-0.1499679555650502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vertAlign val="subscript"/>
      <sz val="9"/>
      <name val="Arial"/>
      <family val="2"/>
    </font>
    <font>
      <b/>
      <vertAlign val="superscript"/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Calibri"/>
      <family val="2"/>
    </font>
    <font>
      <vertAlign val="superscript"/>
      <sz val="10"/>
      <name val="Arial"/>
      <family val="2"/>
    </font>
    <font>
      <sz val="11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62C3E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7567"/>
        <bgColor indexed="64"/>
      </patternFill>
    </fill>
    <fill>
      <patternFill patternType="solid">
        <fgColor rgb="FF9079EF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66">
    <border>
      <left/>
      <right/>
      <top/>
      <bottom/>
      <diagonal/>
    </border>
    <border>
      <left style="dotted">
        <color theme="2" tint="-0.499984740745262"/>
      </left>
      <right style="dotted">
        <color theme="2" tint="-0.499984740745262"/>
      </right>
      <top style="dotted">
        <color theme="2" tint="-0.499984740745262"/>
      </top>
      <bottom style="dotted">
        <color theme="2" tint="-0.499984740745262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dotted">
        <color theme="2" tint="-0.499984740745262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theme="2" tint="-0.499984740745262"/>
      </left>
      <right/>
      <top style="dotted">
        <color theme="2" tint="-0.499984740745262"/>
      </top>
      <bottom style="dotted">
        <color theme="2" tint="-0.499984740745262"/>
      </bottom>
      <diagonal/>
    </border>
    <border>
      <left/>
      <right/>
      <top style="dotted">
        <color theme="2" tint="-0.499984740745262"/>
      </top>
      <bottom style="dotted">
        <color theme="2" tint="-0.499984740745262"/>
      </bottom>
      <diagonal/>
    </border>
    <border>
      <left/>
      <right style="dotted">
        <color theme="2" tint="-0.499984740745262"/>
      </right>
      <top style="dotted">
        <color theme="2" tint="-0.499984740745262"/>
      </top>
      <bottom style="dotted">
        <color theme="2" tint="-0.499984740745262"/>
      </bottom>
      <diagonal/>
    </border>
    <border>
      <left/>
      <right style="dotted">
        <color theme="2" tint="-0.499984740745262"/>
      </right>
      <top/>
      <bottom/>
      <diagonal/>
    </border>
    <border>
      <left style="dotted">
        <color theme="2" tint="-0.499984740745262"/>
      </left>
      <right/>
      <top/>
      <bottom style="dotted">
        <color theme="2" tint="-0.499984740745262"/>
      </bottom>
      <diagonal/>
    </border>
    <border>
      <left/>
      <right/>
      <top/>
      <bottom style="dotted">
        <color theme="2" tint="-0.499984740745262"/>
      </bottom>
      <diagonal/>
    </border>
    <border>
      <left/>
      <right style="dotted">
        <color theme="2" tint="-0.499984740745262"/>
      </right>
      <top/>
      <bottom style="dotted">
        <color theme="2" tint="-0.499984740745262"/>
      </bottom>
      <diagonal/>
    </border>
    <border>
      <left style="dotted">
        <color theme="2" tint="-0.499984740745262"/>
      </left>
      <right style="dotted">
        <color theme="2" tint="-0.499984740745262"/>
      </right>
      <top/>
      <bottom style="dotted">
        <color theme="2" tint="-0.499984740745262"/>
      </bottom>
      <diagonal/>
    </border>
    <border>
      <left style="dotted">
        <color theme="2" tint="-0.499984740745262"/>
      </left>
      <right style="dotted">
        <color theme="2" tint="-0.499984740745262"/>
      </right>
      <top/>
      <bottom/>
      <diagonal/>
    </border>
    <border>
      <left/>
      <right style="dotted">
        <color theme="2" tint="-0.499984740745262"/>
      </right>
      <top style="dotted">
        <color theme="2" tint="-0.499984740745262"/>
      </top>
      <bottom/>
      <diagonal/>
    </border>
    <border>
      <left style="dotted">
        <color theme="2" tint="-0.499984740745262"/>
      </left>
      <right style="dotted">
        <color theme="2" tint="-0.499984740745262"/>
      </right>
      <top style="dotted">
        <color theme="2" tint="-0.499984740745262"/>
      </top>
      <bottom/>
      <diagonal/>
    </border>
    <border>
      <left style="dotted">
        <color theme="2" tint="-0.499984740745262"/>
      </left>
      <right/>
      <top style="dotted">
        <color theme="2" tint="-0.499984740745262"/>
      </top>
      <bottom/>
      <diagonal/>
    </border>
    <border>
      <left/>
      <right/>
      <top style="dotted">
        <color theme="2" tint="-0.499984740745262"/>
      </top>
      <bottom/>
      <diagonal/>
    </border>
    <border>
      <left style="dashed">
        <color theme="0" tint="-0.34998626667073579"/>
      </left>
      <right/>
      <top style="dashed">
        <color theme="0" tint="-0.34998626667073579"/>
      </top>
      <bottom/>
      <diagonal/>
    </border>
    <border>
      <left/>
      <right/>
      <top style="dashed">
        <color theme="0" tint="-0.34998626667073579"/>
      </top>
      <bottom/>
      <diagonal/>
    </border>
    <border>
      <left/>
      <right style="dashed">
        <color theme="0" tint="-0.34998626667073579"/>
      </right>
      <top style="dashed">
        <color theme="0" tint="-0.34998626667073579"/>
      </top>
      <bottom/>
      <diagonal/>
    </border>
    <border>
      <left style="dashed">
        <color theme="0" tint="-0.34998626667073579"/>
      </left>
      <right/>
      <top/>
      <bottom/>
      <diagonal/>
    </border>
    <border>
      <left/>
      <right style="dashed">
        <color theme="0" tint="-0.34998626667073579"/>
      </right>
      <top/>
      <bottom/>
      <diagonal/>
    </border>
    <border>
      <left style="dashed">
        <color theme="0" tint="-0.34998626667073579"/>
      </left>
      <right/>
      <top/>
      <bottom style="dashed">
        <color theme="0" tint="-0.34998626667073579"/>
      </bottom>
      <diagonal/>
    </border>
    <border>
      <left/>
      <right/>
      <top/>
      <bottom style="dashed">
        <color theme="0" tint="-0.34998626667073579"/>
      </bottom>
      <diagonal/>
    </border>
    <border>
      <left/>
      <right style="dashed">
        <color theme="0" tint="-0.34998626667073579"/>
      </right>
      <top/>
      <bottom style="dashed">
        <color theme="0" tint="-0.34998626667073579"/>
      </bottom>
      <diagonal/>
    </border>
    <border>
      <left style="dotted">
        <color theme="2" tint="-0.499984740745262"/>
      </left>
      <right/>
      <top style="dotted">
        <color theme="2" tint="-0.499984740745262"/>
      </top>
      <bottom style="dashed">
        <color theme="0" tint="-0.34998626667073579"/>
      </bottom>
      <diagonal/>
    </border>
    <border>
      <left/>
      <right/>
      <top style="dotted">
        <color theme="2" tint="-0.499984740745262"/>
      </top>
      <bottom style="dashed">
        <color theme="0" tint="-0.34998626667073579"/>
      </bottom>
      <diagonal/>
    </border>
    <border>
      <left/>
      <right style="dotted">
        <color theme="2" tint="-0.499984740745262"/>
      </right>
      <top style="dotted">
        <color theme="2" tint="-0.499984740745262"/>
      </top>
      <bottom style="dashed">
        <color theme="0" tint="-0.34998626667073579"/>
      </bottom>
      <diagonal/>
    </border>
    <border>
      <left/>
      <right/>
      <top style="dotted">
        <color rgb="FF757171"/>
      </top>
      <bottom style="dotted">
        <color theme="2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tted">
        <color theme="2" tint="-0.499984740745262"/>
      </right>
      <top style="dashed">
        <color theme="0" tint="-0.34998626667073579"/>
      </top>
      <bottom/>
      <diagonal/>
    </border>
    <border>
      <left/>
      <right style="dotted">
        <color theme="2" tint="-0.499984740745262"/>
      </right>
      <top/>
      <bottom style="dashed">
        <color theme="0" tint="-0.34998626667073579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/>
      <diagonal/>
    </border>
    <border>
      <left style="dashed">
        <color theme="0" tint="-0.499984740745262"/>
      </left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otted">
        <color theme="2" tint="-0.499984740745262"/>
      </right>
      <top style="dashed">
        <color auto="1"/>
      </top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otted">
        <color theme="2" tint="-0.499984740745262"/>
      </right>
      <top/>
      <bottom style="dashed">
        <color auto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/>
      <right style="dotted">
        <color rgb="FF000000"/>
      </right>
      <top style="dotted">
        <color theme="2" tint="-0.499984740745262"/>
      </top>
      <bottom style="dotted">
        <color theme="2" tint="-0.499984740745262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/>
      <bottom/>
      <diagonal/>
    </border>
    <border>
      <left/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7">
    <xf numFmtId="0" fontId="0" fillId="0" borderId="0"/>
    <xf numFmtId="9" fontId="45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37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/>
    <xf numFmtId="9" fontId="37" fillId="0" borderId="0" applyFont="0" applyFill="0" applyBorder="0" applyAlignment="0" applyProtection="0"/>
  </cellStyleXfs>
  <cellXfs count="46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wrapText="1"/>
    </xf>
    <xf numFmtId="0" fontId="1" fillId="0" borderId="0" xfId="0" applyFont="1" applyAlignment="1">
      <alignment vertical="top"/>
    </xf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2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2" borderId="1" xfId="0" applyFont="1" applyFill="1" applyBorder="1" applyAlignment="1">
      <alignment horizontal="left"/>
    </xf>
    <xf numFmtId="0" fontId="0" fillId="0" borderId="1" xfId="0" applyBorder="1"/>
    <xf numFmtId="0" fontId="1" fillId="3" borderId="0" xfId="0" applyFont="1" applyFill="1" applyAlignment="1">
      <alignment horizontal="center"/>
    </xf>
    <xf numFmtId="22" fontId="0" fillId="0" borderId="0" xfId="0" applyNumberFormat="1"/>
    <xf numFmtId="0" fontId="8" fillId="0" borderId="1" xfId="0" applyFont="1" applyBorder="1"/>
    <xf numFmtId="0" fontId="9" fillId="4" borderId="0" xfId="0" applyFont="1" applyFill="1"/>
    <xf numFmtId="0" fontId="0" fillId="4" borderId="0" xfId="0" applyFill="1"/>
    <xf numFmtId="0" fontId="0" fillId="5" borderId="2" xfId="0" applyFill="1" applyBorder="1"/>
    <xf numFmtId="0" fontId="0" fillId="5" borderId="3" xfId="0" applyFill="1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/>
    </xf>
    <xf numFmtId="0" fontId="7" fillId="2" borderId="6" xfId="0" applyFont="1" applyFill="1" applyBorder="1" applyAlignment="1">
      <alignment horizontal="left"/>
    </xf>
    <xf numFmtId="0" fontId="7" fillId="2" borderId="7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0" fillId="0" borderId="8" xfId="0" applyBorder="1"/>
    <xf numFmtId="0" fontId="8" fillId="0" borderId="0" xfId="0" applyFont="1"/>
    <xf numFmtId="0" fontId="0" fillId="0" borderId="1" xfId="0" applyBorder="1" applyAlignment="1">
      <alignment horizontal="left"/>
    </xf>
    <xf numFmtId="0" fontId="10" fillId="0" borderId="1" xfId="0" applyFont="1" applyBorder="1" applyAlignment="1">
      <alignment horizontal="left"/>
    </xf>
    <xf numFmtId="0" fontId="0" fillId="0" borderId="1" xfId="0" applyBorder="1" applyAlignment="1">
      <alignment wrapText="1"/>
    </xf>
    <xf numFmtId="0" fontId="11" fillId="6" borderId="0" xfId="0" applyFont="1" applyFill="1" applyProtection="1">
      <protection locked="0"/>
    </xf>
    <xf numFmtId="0" fontId="12" fillId="7" borderId="9" xfId="0" applyFont="1" applyFill="1" applyBorder="1"/>
    <xf numFmtId="0" fontId="11" fillId="7" borderId="10" xfId="0" applyFont="1" applyFill="1" applyBorder="1"/>
    <xf numFmtId="0" fontId="11" fillId="6" borderId="0" xfId="0" applyFont="1" applyFill="1" applyAlignment="1">
      <alignment horizontal="center"/>
    </xf>
    <xf numFmtId="0" fontId="11" fillId="6" borderId="0" xfId="0" applyFont="1" applyFill="1"/>
    <xf numFmtId="169" fontId="0" fillId="0" borderId="0" xfId="0" applyNumberFormat="1"/>
    <xf numFmtId="0" fontId="0" fillId="0" borderId="0" xfId="0" applyAlignment="1">
      <alignment horizontal="left" indent="1"/>
    </xf>
    <xf numFmtId="0" fontId="11" fillId="0" borderId="0" xfId="0" applyFont="1" applyAlignment="1">
      <alignment horizontal="left"/>
    </xf>
    <xf numFmtId="0" fontId="11" fillId="0" borderId="0" xfId="0" applyFont="1"/>
    <xf numFmtId="0" fontId="11" fillId="6" borderId="0" xfId="0" applyFont="1" applyFill="1" applyAlignment="1" applyProtection="1">
      <alignment horizontal="center"/>
      <protection locked="0"/>
    </xf>
    <xf numFmtId="4" fontId="11" fillId="6" borderId="0" xfId="0" applyNumberFormat="1" applyFont="1" applyFill="1" applyProtection="1">
      <protection locked="0"/>
    </xf>
    <xf numFmtId="170" fontId="11" fillId="6" borderId="0" xfId="0" applyNumberFormat="1" applyFont="1" applyFill="1" applyProtection="1">
      <protection locked="0"/>
    </xf>
    <xf numFmtId="170" fontId="11" fillId="6" borderId="0" xfId="0" applyNumberFormat="1" applyFont="1" applyFill="1" applyAlignment="1" applyProtection="1">
      <alignment horizontal="center" vertical="center"/>
      <protection locked="0"/>
    </xf>
    <xf numFmtId="0" fontId="13" fillId="6" borderId="0" xfId="0" applyFont="1" applyFill="1" applyProtection="1">
      <protection hidden="1"/>
    </xf>
    <xf numFmtId="0" fontId="14" fillId="6" borderId="0" xfId="0" applyFont="1" applyFill="1"/>
    <xf numFmtId="0" fontId="11" fillId="6" borderId="0" xfId="0" applyFont="1" applyFill="1" applyAlignment="1">
      <alignment horizontal="left"/>
    </xf>
    <xf numFmtId="4" fontId="0" fillId="0" borderId="0" xfId="0" applyNumberFormat="1"/>
    <xf numFmtId="0" fontId="15" fillId="6" borderId="0" xfId="0" applyFont="1" applyFill="1" applyAlignment="1">
      <alignment vertical="center"/>
    </xf>
    <xf numFmtId="0" fontId="15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right" vertical="center"/>
    </xf>
    <xf numFmtId="0" fontId="15" fillId="6" borderId="0" xfId="0" applyFont="1" applyFill="1" applyAlignment="1">
      <alignment horizontal="center" vertical="center"/>
    </xf>
    <xf numFmtId="0" fontId="12" fillId="8" borderId="9" xfId="0" applyFont="1" applyFill="1" applyBorder="1" applyAlignment="1">
      <alignment vertical="center"/>
    </xf>
    <xf numFmtId="0" fontId="15" fillId="9" borderId="1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0" fontId="12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vertical="center"/>
    </xf>
    <xf numFmtId="0" fontId="15" fillId="13" borderId="0" xfId="0" applyFont="1" applyFill="1" applyAlignment="1">
      <alignment vertical="center"/>
    </xf>
    <xf numFmtId="4" fontId="15" fillId="13" borderId="0" xfId="0" applyNumberFormat="1" applyFont="1" applyFill="1" applyAlignment="1">
      <alignment horizontal="right" vertical="center"/>
    </xf>
    <xf numFmtId="0" fontId="12" fillId="13" borderId="0" xfId="0" applyFont="1" applyFill="1" applyAlignment="1">
      <alignment vertical="center"/>
    </xf>
    <xf numFmtId="0" fontId="12" fillId="3" borderId="0" xfId="0" applyFont="1" applyFill="1" applyAlignment="1">
      <alignment horizontal="right" vertical="center"/>
    </xf>
    <xf numFmtId="0" fontId="15" fillId="13" borderId="0" xfId="0" applyFont="1" applyFill="1" applyAlignment="1">
      <alignment horizontal="center" vertical="center"/>
    </xf>
    <xf numFmtId="4" fontId="15" fillId="13" borderId="0" xfId="0" applyNumberFormat="1" applyFont="1" applyFill="1" applyAlignment="1">
      <alignment vertical="center"/>
    </xf>
    <xf numFmtId="4" fontId="12" fillId="13" borderId="0" xfId="0" applyNumberFormat="1" applyFont="1" applyFill="1" applyAlignment="1">
      <alignment vertical="center"/>
    </xf>
    <xf numFmtId="0" fontId="13" fillId="6" borderId="0" xfId="0" applyFont="1" applyFill="1" applyAlignment="1" applyProtection="1">
      <alignment horizontal="left"/>
      <protection hidden="1"/>
    </xf>
    <xf numFmtId="0" fontId="12" fillId="14" borderId="9" xfId="0" applyFont="1" applyFill="1" applyBorder="1"/>
    <xf numFmtId="0" fontId="11" fillId="14" borderId="10" xfId="0" applyFont="1" applyFill="1" applyBorder="1"/>
    <xf numFmtId="0" fontId="11" fillId="14" borderId="11" xfId="0" applyFont="1" applyFill="1" applyBorder="1"/>
    <xf numFmtId="0" fontId="18" fillId="11" borderId="6" xfId="0" applyFont="1" applyFill="1" applyBorder="1"/>
    <xf numFmtId="0" fontId="18" fillId="11" borderId="0" xfId="0" applyFont="1" applyFill="1"/>
    <xf numFmtId="0" fontId="18" fillId="11" borderId="0" xfId="0" applyFont="1" applyFill="1" applyAlignment="1">
      <alignment horizontal="left"/>
    </xf>
    <xf numFmtId="0" fontId="18" fillId="11" borderId="12" xfId="0" applyFont="1" applyFill="1" applyBorder="1"/>
    <xf numFmtId="0" fontId="11" fillId="13" borderId="13" xfId="0" applyFont="1" applyFill="1" applyBorder="1" applyAlignment="1">
      <alignment horizontal="left"/>
    </xf>
    <xf numFmtId="0" fontId="11" fillId="13" borderId="14" xfId="0" applyFont="1" applyFill="1" applyBorder="1"/>
    <xf numFmtId="0" fontId="11" fillId="13" borderId="14" xfId="0" applyFont="1" applyFill="1" applyBorder="1" applyAlignment="1">
      <alignment horizontal="left"/>
    </xf>
    <xf numFmtId="0" fontId="11" fillId="13" borderId="15" xfId="0" applyFont="1" applyFill="1" applyBorder="1"/>
    <xf numFmtId="0" fontId="18" fillId="8" borderId="9" xfId="0" applyFont="1" applyFill="1" applyBorder="1" applyAlignment="1" applyProtection="1">
      <alignment horizontal="left" vertical="center"/>
      <protection locked="0"/>
    </xf>
    <xf numFmtId="0" fontId="18" fillId="14" borderId="1" xfId="0" applyFont="1" applyFill="1" applyBorder="1"/>
    <xf numFmtId="0" fontId="18" fillId="11" borderId="1" xfId="0" applyFont="1" applyFill="1" applyBorder="1"/>
    <xf numFmtId="0" fontId="18" fillId="11" borderId="1" xfId="0" applyFont="1" applyFill="1" applyBorder="1" applyAlignment="1">
      <alignment horizontal="center"/>
    </xf>
    <xf numFmtId="0" fontId="11" fillId="13" borderId="1" xfId="0" applyFont="1" applyFill="1" applyBorder="1"/>
    <xf numFmtId="4" fontId="11" fillId="13" borderId="1" xfId="0" applyNumberFormat="1" applyFont="1" applyFill="1" applyBorder="1"/>
    <xf numFmtId="0" fontId="0" fillId="6" borderId="0" xfId="0" applyFill="1"/>
    <xf numFmtId="0" fontId="18" fillId="8" borderId="1" xfId="0" applyFont="1" applyFill="1" applyBorder="1"/>
    <xf numFmtId="0" fontId="11" fillId="6" borderId="1" xfId="0" applyFont="1" applyFill="1" applyBorder="1"/>
    <xf numFmtId="0" fontId="11" fillId="9" borderId="1" xfId="0" applyFont="1" applyFill="1" applyBorder="1"/>
    <xf numFmtId="0" fontId="19" fillId="15" borderId="9" xfId="0" applyFont="1" applyFill="1" applyBorder="1" applyAlignment="1">
      <alignment horizontal="left"/>
    </xf>
    <xf numFmtId="0" fontId="20" fillId="15" borderId="10" xfId="0" applyFont="1" applyFill="1" applyBorder="1" applyAlignment="1" applyProtection="1">
      <alignment horizontal="center"/>
      <protection locked="0"/>
    </xf>
    <xf numFmtId="0" fontId="20" fillId="15" borderId="10" xfId="0" applyFont="1" applyFill="1" applyBorder="1" applyProtection="1">
      <protection locked="0"/>
    </xf>
    <xf numFmtId="4" fontId="20" fillId="15" borderId="10" xfId="0" applyNumberFormat="1" applyFont="1" applyFill="1" applyBorder="1" applyProtection="1">
      <protection locked="0"/>
    </xf>
    <xf numFmtId="0" fontId="20" fillId="15" borderId="11" xfId="0" applyFont="1" applyFill="1" applyBorder="1" applyProtection="1">
      <protection locked="0"/>
    </xf>
    <xf numFmtId="0" fontId="11" fillId="6" borderId="6" xfId="0" applyFont="1" applyFill="1" applyBorder="1" applyAlignment="1">
      <alignment horizontal="left"/>
    </xf>
    <xf numFmtId="0" fontId="11" fillId="6" borderId="12" xfId="0" applyFont="1" applyFill="1" applyBorder="1" applyProtection="1">
      <protection locked="0"/>
    </xf>
    <xf numFmtId="0" fontId="11" fillId="6" borderId="13" xfId="0" applyFont="1" applyFill="1" applyBorder="1" applyAlignment="1">
      <alignment horizontal="center"/>
    </xf>
    <xf numFmtId="0" fontId="11" fillId="6" borderId="14" xfId="0" applyFont="1" applyFill="1" applyBorder="1" applyAlignment="1" applyProtection="1">
      <alignment horizontal="center"/>
      <protection locked="0"/>
    </xf>
    <xf numFmtId="0" fontId="11" fillId="6" borderId="14" xfId="0" applyFont="1" applyFill="1" applyBorder="1" applyProtection="1">
      <protection locked="0"/>
    </xf>
    <xf numFmtId="4" fontId="11" fillId="6" borderId="14" xfId="0" applyNumberFormat="1" applyFont="1" applyFill="1" applyBorder="1" applyProtection="1">
      <protection locked="0"/>
    </xf>
    <xf numFmtId="0" fontId="11" fillId="6" borderId="15" xfId="0" applyFont="1" applyFill="1" applyBorder="1" applyProtection="1">
      <protection locked="0"/>
    </xf>
    <xf numFmtId="0" fontId="18" fillId="3" borderId="0" xfId="0" applyFont="1" applyFill="1" applyAlignment="1">
      <alignment horizontal="left"/>
    </xf>
    <xf numFmtId="0" fontId="11" fillId="3" borderId="0" xfId="0" applyFont="1" applyFill="1" applyAlignment="1" applyProtection="1">
      <alignment horizontal="left"/>
      <protection locked="0"/>
    </xf>
    <xf numFmtId="4" fontId="11" fillId="3" borderId="0" xfId="0" applyNumberFormat="1" applyFont="1" applyFill="1" applyAlignment="1" applyProtection="1">
      <alignment horizontal="left"/>
      <protection locked="0"/>
    </xf>
    <xf numFmtId="0" fontId="18" fillId="16" borderId="15" xfId="0" applyFont="1" applyFill="1" applyBorder="1" applyAlignment="1">
      <alignment horizontal="center" vertical="center"/>
    </xf>
    <xf numFmtId="0" fontId="18" fillId="16" borderId="16" xfId="0" applyFont="1" applyFill="1" applyBorder="1" applyAlignment="1" applyProtection="1">
      <alignment horizontal="center" vertical="center"/>
      <protection locked="0"/>
    </xf>
    <xf numFmtId="4" fontId="18" fillId="16" borderId="16" xfId="0" applyNumberFormat="1" applyFont="1" applyFill="1" applyBorder="1" applyAlignment="1" applyProtection="1">
      <alignment horizontal="center" vertical="center"/>
      <protection locked="0"/>
    </xf>
    <xf numFmtId="4" fontId="18" fillId="16" borderId="17" xfId="0" applyNumberFormat="1" applyFont="1" applyFill="1" applyBorder="1" applyAlignment="1" applyProtection="1">
      <alignment horizontal="center" vertical="center" wrapText="1"/>
      <protection locked="0"/>
    </xf>
    <xf numFmtId="0" fontId="18" fillId="16" borderId="14" xfId="0" applyFont="1" applyFill="1" applyBorder="1" applyAlignment="1" applyProtection="1">
      <alignment horizontal="center" vertical="center"/>
      <protection locked="0"/>
    </xf>
    <xf numFmtId="0" fontId="11" fillId="13" borderId="11" xfId="0" applyFont="1" applyFill="1" applyBorder="1" applyAlignment="1">
      <alignment horizontal="center"/>
    </xf>
    <xf numFmtId="0" fontId="11" fillId="9" borderId="1" xfId="0" applyFont="1" applyFill="1" applyBorder="1" applyAlignment="1" applyProtection="1">
      <alignment horizontal="center"/>
      <protection locked="0"/>
    </xf>
    <xf numFmtId="0" fontId="11" fillId="9" borderId="1" xfId="0" applyFont="1" applyFill="1" applyBorder="1" applyProtection="1">
      <protection locked="0"/>
    </xf>
    <xf numFmtId="4" fontId="11" fillId="6" borderId="1" xfId="0" applyNumberFormat="1" applyFont="1" applyFill="1" applyBorder="1" applyProtection="1">
      <protection locked="0"/>
    </xf>
    <xf numFmtId="0" fontId="11" fillId="6" borderId="9" xfId="0" applyFont="1" applyFill="1" applyBorder="1" applyProtection="1">
      <protection locked="0"/>
    </xf>
    <xf numFmtId="0" fontId="11" fillId="13" borderId="18" xfId="0" applyFont="1" applyFill="1" applyBorder="1" applyAlignment="1">
      <alignment horizontal="center"/>
    </xf>
    <xf numFmtId="0" fontId="11" fillId="9" borderId="19" xfId="0" applyFont="1" applyFill="1" applyBorder="1" applyAlignment="1" applyProtection="1">
      <alignment horizontal="center"/>
      <protection locked="0"/>
    </xf>
    <xf numFmtId="0" fontId="11" fillId="9" borderId="19" xfId="0" applyFont="1" applyFill="1" applyBorder="1" applyProtection="1">
      <protection locked="0"/>
    </xf>
    <xf numFmtId="4" fontId="11" fillId="6" borderId="19" xfId="0" applyNumberFormat="1" applyFont="1" applyFill="1" applyBorder="1" applyProtection="1">
      <protection locked="0"/>
    </xf>
    <xf numFmtId="0" fontId="11" fillId="6" borderId="20" xfId="0" applyFont="1" applyFill="1" applyBorder="1" applyProtection="1">
      <protection locked="0"/>
    </xf>
    <xf numFmtId="0" fontId="21" fillId="6" borderId="0" xfId="0" applyFont="1" applyFill="1" applyAlignment="1">
      <alignment horizontal="left"/>
    </xf>
    <xf numFmtId="0" fontId="11" fillId="6" borderId="1" xfId="0" applyFont="1" applyFill="1" applyBorder="1" applyAlignment="1" applyProtection="1">
      <alignment horizontal="left" vertical="center"/>
      <protection locked="0"/>
    </xf>
    <xf numFmtId="172" fontId="11" fillId="6" borderId="1" xfId="0" applyNumberFormat="1" applyFont="1" applyFill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72" fontId="11" fillId="0" borderId="0" xfId="0" applyNumberFormat="1" applyFont="1" applyAlignment="1" applyProtection="1">
      <alignment horizontal="left" vertical="center"/>
      <protection locked="0"/>
    </xf>
    <xf numFmtId="172" fontId="11" fillId="6" borderId="0" xfId="0" applyNumberFormat="1" applyFont="1" applyFill="1" applyAlignment="1" applyProtection="1">
      <alignment horizontal="left" vertical="center"/>
      <protection locked="0"/>
    </xf>
    <xf numFmtId="0" fontId="22" fillId="8" borderId="1" xfId="0" applyFont="1" applyFill="1" applyBorder="1"/>
    <xf numFmtId="0" fontId="23" fillId="17" borderId="1" xfId="0" applyFont="1" applyFill="1" applyBorder="1"/>
    <xf numFmtId="0" fontId="11" fillId="17" borderId="9" xfId="0" applyFont="1" applyFill="1" applyBorder="1" applyProtection="1">
      <protection locked="0"/>
    </xf>
    <xf numFmtId="0" fontId="11" fillId="17" borderId="11" xfId="0" applyFont="1" applyFill="1" applyBorder="1" applyProtection="1">
      <protection locked="0"/>
    </xf>
    <xf numFmtId="0" fontId="23" fillId="6" borderId="1" xfId="0" applyFont="1" applyFill="1" applyBorder="1"/>
    <xf numFmtId="0" fontId="23" fillId="9" borderId="1" xfId="0" applyFont="1" applyFill="1" applyBorder="1"/>
    <xf numFmtId="0" fontId="23" fillId="13" borderId="1" xfId="0" applyFont="1" applyFill="1" applyBorder="1"/>
    <xf numFmtId="173" fontId="11" fillId="13" borderId="9" xfId="0" applyNumberFormat="1" applyFont="1" applyFill="1" applyBorder="1" applyProtection="1">
      <protection locked="0"/>
    </xf>
    <xf numFmtId="0" fontId="11" fillId="13" borderId="11" xfId="0" applyFont="1" applyFill="1" applyBorder="1" applyProtection="1">
      <protection locked="0"/>
    </xf>
    <xf numFmtId="0" fontId="20" fillId="6" borderId="0" xfId="0" applyFont="1" applyFill="1" applyAlignment="1">
      <alignment horizontal="center"/>
    </xf>
    <xf numFmtId="2" fontId="1" fillId="13" borderId="0" xfId="0" applyNumberFormat="1" applyFont="1" applyFill="1" applyAlignment="1">
      <alignment horizontal="center"/>
    </xf>
    <xf numFmtId="9" fontId="11" fillId="17" borderId="9" xfId="1" applyFont="1" applyFill="1" applyBorder="1" applyProtection="1">
      <protection locked="0"/>
    </xf>
    <xf numFmtId="0" fontId="21" fillId="6" borderId="0" xfId="0" applyFont="1" applyFill="1"/>
    <xf numFmtId="0" fontId="18" fillId="18" borderId="20" xfId="0" applyFont="1" applyFill="1" applyBorder="1" applyAlignment="1">
      <alignment horizontal="left"/>
    </xf>
    <xf numFmtId="0" fontId="11" fillId="18" borderId="21" xfId="0" applyFont="1" applyFill="1" applyBorder="1" applyProtection="1">
      <protection locked="0"/>
    </xf>
    <xf numFmtId="0" fontId="11" fillId="18" borderId="21" xfId="0" applyFont="1" applyFill="1" applyBorder="1" applyAlignment="1" applyProtection="1">
      <alignment horizontal="center"/>
      <protection locked="0"/>
    </xf>
    <xf numFmtId="4" fontId="11" fillId="18" borderId="21" xfId="0" applyNumberFormat="1" applyFont="1" applyFill="1" applyBorder="1" applyProtection="1">
      <protection locked="0"/>
    </xf>
    <xf numFmtId="170" fontId="11" fillId="18" borderId="21" xfId="0" applyNumberFormat="1" applyFont="1" applyFill="1" applyBorder="1" applyProtection="1">
      <protection locked="0"/>
    </xf>
    <xf numFmtId="170" fontId="11" fillId="18" borderId="21" xfId="0" applyNumberFormat="1" applyFont="1" applyFill="1" applyBorder="1" applyAlignment="1" applyProtection="1">
      <alignment horizontal="center" vertical="center"/>
      <protection locked="0"/>
    </xf>
    <xf numFmtId="0" fontId="11" fillId="18" borderId="18" xfId="0" applyFont="1" applyFill="1" applyBorder="1" applyProtection="1">
      <protection locked="0"/>
    </xf>
    <xf numFmtId="0" fontId="11" fillId="6" borderId="22" xfId="0" applyFont="1" applyFill="1" applyBorder="1" applyAlignment="1">
      <alignment horizontal="left"/>
    </xf>
    <xf numFmtId="0" fontId="11" fillId="6" borderId="23" xfId="0" applyFont="1" applyFill="1" applyBorder="1" applyProtection="1">
      <protection locked="0"/>
    </xf>
    <xf numFmtId="0" fontId="11" fillId="6" borderId="23" xfId="0" applyFont="1" applyFill="1" applyBorder="1" applyAlignment="1" applyProtection="1">
      <alignment horizontal="center"/>
      <protection locked="0"/>
    </xf>
    <xf numFmtId="4" fontId="11" fillId="6" borderId="23" xfId="0" applyNumberFormat="1" applyFont="1" applyFill="1" applyBorder="1" applyProtection="1">
      <protection locked="0"/>
    </xf>
    <xf numFmtId="170" fontId="11" fillId="6" borderId="23" xfId="0" applyNumberFormat="1" applyFont="1" applyFill="1" applyBorder="1" applyProtection="1">
      <protection locked="0"/>
    </xf>
    <xf numFmtId="170" fontId="11" fillId="6" borderId="23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Protection="1">
      <protection locked="0"/>
    </xf>
    <xf numFmtId="0" fontId="11" fillId="6" borderId="25" xfId="0" applyFont="1" applyFill="1" applyBorder="1" applyAlignment="1">
      <alignment horizontal="left"/>
    </xf>
    <xf numFmtId="0" fontId="11" fillId="6" borderId="26" xfId="0" applyFont="1" applyFill="1" applyBorder="1" applyProtection="1">
      <protection locked="0"/>
    </xf>
    <xf numFmtId="0" fontId="21" fillId="6" borderId="25" xfId="0" applyFont="1" applyFill="1" applyBorder="1" applyAlignment="1">
      <alignment horizontal="left"/>
    </xf>
    <xf numFmtId="0" fontId="21" fillId="6" borderId="27" xfId="0" applyFont="1" applyFill="1" applyBorder="1" applyAlignment="1">
      <alignment horizontal="left"/>
    </xf>
    <xf numFmtId="0" fontId="11" fillId="6" borderId="28" xfId="0" applyFont="1" applyFill="1" applyBorder="1" applyProtection="1">
      <protection locked="0"/>
    </xf>
    <xf numFmtId="0" fontId="11" fillId="6" borderId="28" xfId="0" applyFont="1" applyFill="1" applyBorder="1" applyAlignment="1" applyProtection="1">
      <alignment horizontal="center"/>
      <protection locked="0"/>
    </xf>
    <xf numFmtId="4" fontId="11" fillId="6" borderId="28" xfId="0" applyNumberFormat="1" applyFont="1" applyFill="1" applyBorder="1" applyProtection="1">
      <protection locked="0"/>
    </xf>
    <xf numFmtId="170" fontId="11" fillId="6" borderId="28" xfId="0" applyNumberFormat="1" applyFont="1" applyFill="1" applyBorder="1" applyProtection="1">
      <protection locked="0"/>
    </xf>
    <xf numFmtId="170" fontId="11" fillId="6" borderId="28" xfId="0" applyNumberFormat="1" applyFont="1" applyFill="1" applyBorder="1" applyAlignment="1" applyProtection="1">
      <alignment horizontal="center" vertical="center"/>
      <protection locked="0"/>
    </xf>
    <xf numFmtId="0" fontId="11" fillId="6" borderId="29" xfId="0" applyFont="1" applyFill="1" applyBorder="1" applyProtection="1">
      <protection locked="0"/>
    </xf>
    <xf numFmtId="0" fontId="24" fillId="6" borderId="0" xfId="0" applyFont="1" applyFill="1" applyAlignment="1">
      <alignment horizontal="left"/>
    </xf>
    <xf numFmtId="0" fontId="18" fillId="19" borderId="15" xfId="0" applyFont="1" applyFill="1" applyBorder="1" applyAlignment="1">
      <alignment horizontal="center" vertical="center"/>
    </xf>
    <xf numFmtId="0" fontId="18" fillId="19" borderId="16" xfId="0" applyFont="1" applyFill="1" applyBorder="1" applyAlignment="1" applyProtection="1">
      <alignment horizontal="center" vertical="center"/>
      <protection locked="0"/>
    </xf>
    <xf numFmtId="0" fontId="19" fillId="19" borderId="16" xfId="0" applyFont="1" applyFill="1" applyBorder="1" applyAlignment="1" applyProtection="1">
      <alignment horizontal="center" vertical="center"/>
      <protection locked="0"/>
    </xf>
    <xf numFmtId="170" fontId="18" fillId="19" borderId="16" xfId="0" applyNumberFormat="1" applyFont="1" applyFill="1" applyBorder="1" applyAlignment="1" applyProtection="1">
      <alignment horizontal="center" vertical="center"/>
      <protection locked="0"/>
    </xf>
    <xf numFmtId="170" fontId="18" fillId="19" borderId="17" xfId="0" applyNumberFormat="1" applyFont="1" applyFill="1" applyBorder="1" applyAlignment="1" applyProtection="1">
      <alignment horizontal="center" vertical="center"/>
      <protection locked="0"/>
    </xf>
    <xf numFmtId="170" fontId="19" fillId="19" borderId="17" xfId="0" applyNumberFormat="1" applyFont="1" applyFill="1" applyBorder="1" applyAlignment="1" applyProtection="1">
      <alignment horizontal="center" vertical="center"/>
      <protection locked="0"/>
    </xf>
    <xf numFmtId="0" fontId="23" fillId="13" borderId="11" xfId="0" applyFont="1" applyFill="1" applyBorder="1" applyAlignment="1">
      <alignment horizontal="center"/>
    </xf>
    <xf numFmtId="9" fontId="23" fillId="17" borderId="1" xfId="1" applyFont="1" applyFill="1" applyBorder="1" applyProtection="1">
      <protection locked="0"/>
    </xf>
    <xf numFmtId="174" fontId="23" fillId="13" borderId="1" xfId="0" applyNumberFormat="1" applyFont="1" applyFill="1" applyBorder="1" applyAlignment="1" applyProtection="1">
      <alignment horizontal="center"/>
      <protection locked="0"/>
    </xf>
    <xf numFmtId="1" fontId="23" fillId="17" borderId="1" xfId="0" applyNumberFormat="1" applyFont="1" applyFill="1" applyBorder="1" applyAlignment="1" applyProtection="1">
      <alignment horizontal="center"/>
      <protection locked="0"/>
    </xf>
    <xf numFmtId="9" fontId="23" fillId="9" borderId="1" xfId="1" applyFont="1" applyFill="1" applyBorder="1" applyAlignment="1" applyProtection="1">
      <alignment horizontal="center" vertical="center"/>
      <protection locked="0"/>
    </xf>
    <xf numFmtId="2" fontId="23" fillId="6" borderId="1" xfId="0" applyNumberFormat="1" applyFont="1" applyFill="1" applyBorder="1" applyAlignment="1" applyProtection="1">
      <alignment horizontal="center"/>
      <protection locked="0"/>
    </xf>
    <xf numFmtId="4" fontId="23" fillId="13" borderId="1" xfId="0" applyNumberFormat="1" applyFont="1" applyFill="1" applyBorder="1" applyAlignment="1" applyProtection="1">
      <alignment horizontal="center"/>
      <protection locked="0"/>
    </xf>
    <xf numFmtId="9" fontId="23" fillId="13" borderId="1" xfId="1" applyFont="1" applyFill="1" applyBorder="1" applyProtection="1">
      <protection locked="0"/>
    </xf>
    <xf numFmtId="1" fontId="23" fillId="13" borderId="1" xfId="0" applyNumberFormat="1" applyFont="1" applyFill="1" applyBorder="1" applyAlignment="1" applyProtection="1">
      <alignment horizontal="center"/>
      <protection locked="0"/>
    </xf>
    <xf numFmtId="9" fontId="23" fillId="13" borderId="1" xfId="1" applyFont="1" applyFill="1" applyBorder="1" applyAlignment="1" applyProtection="1">
      <alignment horizontal="center" vertical="center"/>
      <protection locked="0"/>
    </xf>
    <xf numFmtId="2" fontId="23" fillId="13" borderId="1" xfId="0" applyNumberFormat="1" applyFont="1" applyFill="1" applyBorder="1" applyAlignment="1" applyProtection="1">
      <alignment horizontal="center"/>
      <protection locked="0"/>
    </xf>
    <xf numFmtId="0" fontId="22" fillId="13" borderId="11" xfId="0" applyFont="1" applyFill="1" applyBorder="1" applyAlignment="1">
      <alignment horizontal="center"/>
    </xf>
    <xf numFmtId="0" fontId="22" fillId="13" borderId="11" xfId="0" applyFont="1" applyFill="1" applyBorder="1" applyAlignment="1" applyProtection="1">
      <alignment horizontal="center"/>
      <protection locked="0"/>
    </xf>
    <xf numFmtId="9" fontId="22" fillId="13" borderId="11" xfId="1" applyFont="1" applyFill="1" applyBorder="1" applyAlignment="1">
      <alignment horizontal="right"/>
    </xf>
    <xf numFmtId="4" fontId="22" fillId="13" borderId="1" xfId="0" applyNumberFormat="1" applyFont="1" applyFill="1" applyBorder="1" applyAlignment="1" applyProtection="1">
      <alignment horizontal="center"/>
      <protection locked="0"/>
    </xf>
    <xf numFmtId="170" fontId="22" fillId="13" borderId="1" xfId="0" applyNumberFormat="1" applyFont="1" applyFill="1" applyBorder="1" applyAlignment="1" applyProtection="1">
      <alignment horizontal="center"/>
      <protection locked="0"/>
    </xf>
    <xf numFmtId="9" fontId="22" fillId="13" borderId="1" xfId="1" applyFont="1" applyFill="1" applyBorder="1" applyAlignment="1" applyProtection="1">
      <alignment horizontal="center" vertical="center"/>
      <protection locked="0"/>
    </xf>
    <xf numFmtId="2" fontId="22" fillId="13" borderId="1" xfId="0" applyNumberFormat="1" applyFont="1" applyFill="1" applyBorder="1" applyAlignment="1" applyProtection="1">
      <alignment horizontal="center"/>
      <protection locked="0"/>
    </xf>
    <xf numFmtId="0" fontId="19" fillId="20" borderId="9" xfId="0" applyFont="1" applyFill="1" applyBorder="1" applyAlignment="1">
      <alignment horizontal="left"/>
    </xf>
    <xf numFmtId="0" fontId="19" fillId="20" borderId="10" xfId="0" applyFont="1" applyFill="1" applyBorder="1" applyAlignment="1" applyProtection="1">
      <alignment horizontal="left"/>
      <protection locked="0"/>
    </xf>
    <xf numFmtId="0" fontId="20" fillId="20" borderId="10" xfId="0" applyFont="1" applyFill="1" applyBorder="1" applyAlignment="1" applyProtection="1">
      <alignment horizontal="center"/>
      <protection locked="0"/>
    </xf>
    <xf numFmtId="4" fontId="20" fillId="20" borderId="10" xfId="0" applyNumberFormat="1" applyFont="1" applyFill="1" applyBorder="1" applyProtection="1">
      <protection locked="0"/>
    </xf>
    <xf numFmtId="0" fontId="11" fillId="20" borderId="10" xfId="0" applyFont="1" applyFill="1" applyBorder="1" applyProtection="1">
      <protection locked="0"/>
    </xf>
    <xf numFmtId="0" fontId="11" fillId="6" borderId="0" xfId="0" applyFont="1" applyFill="1" applyAlignment="1" applyProtection="1">
      <alignment horizontal="left"/>
      <protection locked="0"/>
    </xf>
    <xf numFmtId="0" fontId="21" fillId="6" borderId="13" xfId="0" applyFont="1" applyFill="1" applyBorder="1" applyAlignment="1">
      <alignment horizontal="left"/>
    </xf>
    <xf numFmtId="0" fontId="21" fillId="6" borderId="14" xfId="0" applyFont="1" applyFill="1" applyBorder="1" applyAlignment="1" applyProtection="1">
      <alignment horizontal="left"/>
      <protection locked="0"/>
    </xf>
    <xf numFmtId="0" fontId="21" fillId="6" borderId="0" xfId="0" applyFont="1" applyFill="1" applyAlignment="1" applyProtection="1">
      <alignment horizontal="left"/>
      <protection locked="0"/>
    </xf>
    <xf numFmtId="0" fontId="18" fillId="7" borderId="1" xfId="0" applyFont="1" applyFill="1" applyBorder="1" applyAlignment="1">
      <alignment vertical="center"/>
    </xf>
    <xf numFmtId="0" fontId="18" fillId="7" borderId="1" xfId="0" applyFont="1" applyFill="1" applyBorder="1" applyAlignment="1" applyProtection="1">
      <alignment vertical="center"/>
      <protection locked="0"/>
    </xf>
    <xf numFmtId="4" fontId="18" fillId="7" borderId="1" xfId="0" applyNumberFormat="1" applyFont="1" applyFill="1" applyBorder="1" applyAlignment="1" applyProtection="1">
      <alignment vertical="center" wrapText="1"/>
      <protection locked="0"/>
    </xf>
    <xf numFmtId="4" fontId="18" fillId="16" borderId="16" xfId="0" applyNumberFormat="1" applyFont="1" applyFill="1" applyBorder="1" applyAlignment="1" applyProtection="1">
      <alignment horizontal="center" vertical="center" wrapText="1"/>
      <protection locked="0"/>
    </xf>
    <xf numFmtId="0" fontId="13" fillId="6" borderId="0" xfId="0" applyFont="1" applyFill="1" applyAlignment="1" applyProtection="1">
      <alignment horizontal="center" vertical="center"/>
      <protection hidden="1"/>
    </xf>
    <xf numFmtId="0" fontId="11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/>
    </xf>
    <xf numFmtId="0" fontId="11" fillId="20" borderId="10" xfId="0" applyFont="1" applyFill="1" applyBorder="1"/>
    <xf numFmtId="4" fontId="11" fillId="20" borderId="10" xfId="0" applyNumberFormat="1" applyFont="1" applyFill="1" applyBorder="1" applyProtection="1">
      <protection locked="0"/>
    </xf>
    <xf numFmtId="0" fontId="11" fillId="20" borderId="11" xfId="0" applyFont="1" applyFill="1" applyBorder="1" applyAlignment="1" applyProtection="1">
      <alignment horizontal="center"/>
      <protection locked="0"/>
    </xf>
    <xf numFmtId="0" fontId="11" fillId="6" borderId="12" xfId="0" applyFont="1" applyFill="1" applyBorder="1" applyAlignment="1" applyProtection="1">
      <alignment horizontal="center"/>
      <protection locked="0"/>
    </xf>
    <xf numFmtId="0" fontId="11" fillId="6" borderId="14" xfId="0" applyFont="1" applyFill="1" applyBorder="1"/>
    <xf numFmtId="0" fontId="11" fillId="6" borderId="15" xfId="0" applyFont="1" applyFill="1" applyBorder="1" applyAlignment="1" applyProtection="1">
      <alignment horizontal="center"/>
      <protection locked="0"/>
    </xf>
    <xf numFmtId="4" fontId="18" fillId="16" borderId="16" xfId="0" applyNumberFormat="1" applyFont="1" applyFill="1" applyBorder="1" applyAlignment="1" applyProtection="1">
      <alignment horizontal="center" wrapText="1"/>
      <protection locked="0"/>
    </xf>
    <xf numFmtId="0" fontId="18" fillId="16" borderId="14" xfId="0" applyFont="1" applyFill="1" applyBorder="1" applyAlignment="1" applyProtection="1">
      <alignment horizontal="center"/>
      <protection locked="0"/>
    </xf>
    <xf numFmtId="4" fontId="11" fillId="9" borderId="1" xfId="0" applyNumberFormat="1" applyFont="1" applyFill="1" applyBorder="1" applyProtection="1">
      <protection locked="0"/>
    </xf>
    <xf numFmtId="4" fontId="11" fillId="9" borderId="19" xfId="0" applyNumberFormat="1" applyFont="1" applyFill="1" applyBorder="1" applyProtection="1">
      <protection locked="0"/>
    </xf>
    <xf numFmtId="0" fontId="11" fillId="6" borderId="9" xfId="0" applyFont="1" applyFill="1" applyBorder="1" applyAlignment="1" applyProtection="1">
      <alignment horizontal="center"/>
      <protection locked="0"/>
    </xf>
    <xf numFmtId="0" fontId="11" fillId="6" borderId="20" xfId="0" applyFont="1" applyFill="1" applyBorder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" fillId="14" borderId="1" xfId="0" applyFont="1" applyFill="1" applyBorder="1"/>
    <xf numFmtId="0" fontId="18" fillId="18" borderId="30" xfId="0" applyFont="1" applyFill="1" applyBorder="1" applyAlignment="1">
      <alignment horizontal="left"/>
    </xf>
    <xf numFmtId="0" fontId="11" fillId="18" borderId="31" xfId="0" applyFont="1" applyFill="1" applyBorder="1" applyAlignment="1" applyProtection="1">
      <alignment horizontal="center"/>
      <protection locked="0"/>
    </xf>
    <xf numFmtId="4" fontId="11" fillId="18" borderId="31" xfId="0" applyNumberFormat="1" applyFont="1" applyFill="1" applyBorder="1" applyProtection="1">
      <protection locked="0"/>
    </xf>
    <xf numFmtId="170" fontId="11" fillId="18" borderId="32" xfId="0" applyNumberFormat="1" applyFont="1" applyFill="1" applyBorder="1" applyProtection="1">
      <protection locked="0"/>
    </xf>
    <xf numFmtId="0" fontId="11" fillId="6" borderId="22" xfId="0" applyFont="1" applyFill="1" applyBorder="1" applyProtection="1">
      <protection locked="0"/>
    </xf>
    <xf numFmtId="0" fontId="11" fillId="6" borderId="27" xfId="0" applyFont="1" applyFill="1" applyBorder="1" applyProtection="1">
      <protection locked="0"/>
    </xf>
    <xf numFmtId="4" fontId="19" fillId="16" borderId="33" xfId="0" applyNumberFormat="1" applyFont="1" applyFill="1" applyBorder="1" applyAlignment="1">
      <alignment horizontal="center" vertical="center" wrapText="1"/>
    </xf>
    <xf numFmtId="0" fontId="18" fillId="6" borderId="0" xfId="0" applyFont="1" applyFill="1" applyProtection="1">
      <protection locked="0"/>
    </xf>
    <xf numFmtId="4" fontId="11" fillId="6" borderId="9" xfId="0" applyNumberFormat="1" applyFont="1" applyFill="1" applyBorder="1" applyProtection="1">
      <protection locked="0"/>
    </xf>
    <xf numFmtId="0" fontId="14" fillId="0" borderId="0" xfId="0" applyFont="1"/>
    <xf numFmtId="4" fontId="11" fillId="6" borderId="20" xfId="0" applyNumberFormat="1" applyFont="1" applyFill="1" applyBorder="1" applyProtection="1">
      <protection locked="0"/>
    </xf>
    <xf numFmtId="170" fontId="11" fillId="6" borderId="9" xfId="0" applyNumberFormat="1" applyFont="1" applyFill="1" applyBorder="1" applyProtection="1">
      <protection locked="0"/>
    </xf>
    <xf numFmtId="0" fontId="11" fillId="6" borderId="25" xfId="0" applyFont="1" applyFill="1" applyBorder="1" applyAlignment="1">
      <alignment horizontal="center"/>
    </xf>
    <xf numFmtId="0" fontId="21" fillId="6" borderId="0" xfId="0" applyFont="1" applyFill="1" applyAlignment="1">
      <alignment horizontal="left" vertical="center"/>
    </xf>
    <xf numFmtId="0" fontId="11" fillId="6" borderId="27" xfId="0" applyFont="1" applyFill="1" applyBorder="1" applyAlignment="1">
      <alignment horizontal="center"/>
    </xf>
    <xf numFmtId="0" fontId="21" fillId="6" borderId="28" xfId="0" applyFont="1" applyFill="1" applyBorder="1" applyAlignment="1">
      <alignment horizontal="left" vertical="center"/>
    </xf>
    <xf numFmtId="170" fontId="18" fillId="16" borderId="16" xfId="0" applyNumberFormat="1" applyFont="1" applyFill="1" applyBorder="1" applyAlignment="1" applyProtection="1">
      <alignment horizontal="center" vertical="center"/>
      <protection locked="0"/>
    </xf>
    <xf numFmtId="170" fontId="18" fillId="16" borderId="17" xfId="0" applyNumberFormat="1" applyFont="1" applyFill="1" applyBorder="1" applyAlignment="1" applyProtection="1">
      <alignment horizontal="center" vertical="center"/>
      <protection locked="0"/>
    </xf>
    <xf numFmtId="170" fontId="11" fillId="6" borderId="1" xfId="0" applyNumberFormat="1" applyFont="1" applyFill="1" applyBorder="1" applyProtection="1">
      <protection locked="0"/>
    </xf>
    <xf numFmtId="170" fontId="11" fillId="9" borderId="1" xfId="0" applyNumberFormat="1" applyFont="1" applyFill="1" applyBorder="1" applyAlignment="1" applyProtection="1">
      <alignment horizontal="center" vertical="center"/>
      <protection locked="0"/>
    </xf>
    <xf numFmtId="170" fontId="11" fillId="6" borderId="19" xfId="0" applyNumberFormat="1" applyFont="1" applyFill="1" applyBorder="1" applyProtection="1">
      <protection locked="0"/>
    </xf>
    <xf numFmtId="170" fontId="11" fillId="9" borderId="19" xfId="0" applyNumberFormat="1" applyFont="1" applyFill="1" applyBorder="1" applyAlignment="1" applyProtection="1">
      <alignment horizontal="center" vertical="center"/>
      <protection locked="0"/>
    </xf>
    <xf numFmtId="3" fontId="11" fillId="6" borderId="0" xfId="0" applyNumberFormat="1" applyFont="1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4" fillId="6" borderId="0" xfId="0" applyFont="1" applyFill="1" applyAlignment="1">
      <alignment vertical="center"/>
    </xf>
    <xf numFmtId="0" fontId="11" fillId="6" borderId="0" xfId="0" applyFont="1" applyFill="1" applyAlignment="1">
      <alignment vertical="center"/>
    </xf>
    <xf numFmtId="0" fontId="18" fillId="14" borderId="9" xfId="0" applyFont="1" applyFill="1" applyBorder="1"/>
    <xf numFmtId="4" fontId="18" fillId="11" borderId="1" xfId="0" applyNumberFormat="1" applyFont="1" applyFill="1" applyBorder="1"/>
    <xf numFmtId="3" fontId="11" fillId="13" borderId="1" xfId="0" applyNumberFormat="1" applyFont="1" applyFill="1" applyBorder="1" applyAlignment="1">
      <alignment horizontal="center"/>
    </xf>
    <xf numFmtId="0" fontId="20" fillId="6" borderId="0" xfId="0" applyFont="1" applyFill="1" applyAlignment="1">
      <alignment horizontal="center" vertical="center"/>
    </xf>
    <xf numFmtId="0" fontId="25" fillId="21" borderId="1" xfId="0" applyFont="1" applyFill="1" applyBorder="1" applyAlignment="1">
      <alignment wrapText="1"/>
    </xf>
    <xf numFmtId="0" fontId="26" fillId="6" borderId="0" xfId="0" applyFont="1" applyFill="1" applyAlignment="1">
      <alignment vertical="center"/>
    </xf>
    <xf numFmtId="0" fontId="19" fillId="22" borderId="9" xfId="0" applyFont="1" applyFill="1" applyBorder="1" applyAlignment="1">
      <alignment horizontal="left"/>
    </xf>
    <xf numFmtId="0" fontId="20" fillId="22" borderId="10" xfId="0" applyFont="1" applyFill="1" applyBorder="1" applyProtection="1">
      <protection locked="0"/>
    </xf>
    <xf numFmtId="3" fontId="20" fillId="22" borderId="10" xfId="0" applyNumberFormat="1" applyFont="1" applyFill="1" applyBorder="1" applyAlignment="1" applyProtection="1">
      <alignment horizontal="center"/>
      <protection locked="0"/>
    </xf>
    <xf numFmtId="0" fontId="20" fillId="22" borderId="10" xfId="0" applyFont="1" applyFill="1" applyBorder="1" applyAlignment="1" applyProtection="1">
      <alignment horizontal="center"/>
      <protection locked="0"/>
    </xf>
    <xf numFmtId="0" fontId="29" fillId="6" borderId="22" xfId="0" applyFont="1" applyFill="1" applyBorder="1" applyAlignment="1">
      <alignment horizontal="left" vertical="center"/>
    </xf>
    <xf numFmtId="0" fontId="29" fillId="6" borderId="23" xfId="0" applyFont="1" applyFill="1" applyBorder="1" applyAlignment="1" applyProtection="1">
      <alignment horizontal="center" vertical="center"/>
      <protection locked="0"/>
    </xf>
    <xf numFmtId="3" fontId="29" fillId="6" borderId="23" xfId="0" applyNumberFormat="1" applyFont="1" applyFill="1" applyBorder="1" applyAlignment="1" applyProtection="1">
      <alignment horizontal="center" vertical="center"/>
      <protection locked="0"/>
    </xf>
    <xf numFmtId="0" fontId="29" fillId="6" borderId="23" xfId="0" applyFont="1" applyFill="1" applyBorder="1" applyAlignment="1" applyProtection="1">
      <alignment horizontal="center" vertical="center" wrapText="1"/>
      <protection locked="0"/>
    </xf>
    <xf numFmtId="0" fontId="29" fillId="6" borderId="25" xfId="0" applyFont="1" applyFill="1" applyBorder="1" applyAlignment="1">
      <alignment horizontal="center" vertical="center"/>
    </xf>
    <xf numFmtId="0" fontId="29" fillId="6" borderId="0" xfId="0" applyFont="1" applyFill="1" applyAlignment="1" applyProtection="1">
      <alignment horizontal="center" vertical="center"/>
      <protection locked="0"/>
    </xf>
    <xf numFmtId="3" fontId="29" fillId="6" borderId="0" xfId="0" applyNumberFormat="1" applyFont="1" applyFill="1" applyAlignment="1" applyProtection="1">
      <alignment horizontal="center" vertical="center"/>
      <protection locked="0"/>
    </xf>
    <xf numFmtId="0" fontId="29" fillId="6" borderId="0" xfId="0" applyFont="1" applyFill="1" applyAlignment="1" applyProtection="1">
      <alignment horizontal="center" vertical="center" wrapText="1"/>
      <protection locked="0"/>
    </xf>
    <xf numFmtId="0" fontId="29" fillId="6" borderId="27" xfId="0" applyFont="1" applyFill="1" applyBorder="1" applyAlignment="1">
      <alignment horizontal="center"/>
    </xf>
    <xf numFmtId="0" fontId="29" fillId="6" borderId="28" xfId="0" applyFont="1" applyFill="1" applyBorder="1" applyProtection="1">
      <protection locked="0"/>
    </xf>
    <xf numFmtId="3" fontId="29" fillId="6" borderId="28" xfId="0" applyNumberFormat="1" applyFont="1" applyFill="1" applyBorder="1" applyAlignment="1" applyProtection="1">
      <alignment horizontal="center"/>
      <protection locked="0"/>
    </xf>
    <xf numFmtId="0" fontId="29" fillId="6" borderId="28" xfId="0" applyFont="1" applyFill="1" applyBorder="1" applyAlignment="1" applyProtection="1">
      <alignment horizontal="center"/>
      <protection locked="0"/>
    </xf>
    <xf numFmtId="0" fontId="18" fillId="23" borderId="34" xfId="0" applyFont="1" applyFill="1" applyBorder="1" applyAlignment="1">
      <alignment horizontal="left" vertical="center"/>
    </xf>
    <xf numFmtId="0" fontId="18" fillId="23" borderId="34" xfId="0" applyFont="1" applyFill="1" applyBorder="1" applyAlignment="1">
      <alignment horizontal="center" vertical="center"/>
    </xf>
    <xf numFmtId="0" fontId="18" fillId="23" borderId="34" xfId="0" applyFont="1" applyFill="1" applyBorder="1" applyAlignment="1" applyProtection="1">
      <alignment horizontal="center" vertical="center"/>
      <protection locked="0"/>
    </xf>
    <xf numFmtId="3" fontId="18" fillId="23" borderId="35" xfId="0" applyNumberFormat="1" applyFont="1" applyFill="1" applyBorder="1" applyAlignment="1" applyProtection="1">
      <alignment horizontal="center" vertical="center"/>
      <protection locked="0"/>
    </xf>
    <xf numFmtId="0" fontId="18" fillId="23" borderId="36" xfId="0" applyFont="1" applyFill="1" applyBorder="1" applyAlignment="1">
      <alignment horizontal="center" vertical="center"/>
    </xf>
    <xf numFmtId="0" fontId="18" fillId="23" borderId="36" xfId="0" applyFont="1" applyFill="1" applyBorder="1" applyAlignment="1" applyProtection="1">
      <alignment horizontal="center" vertical="center"/>
      <protection locked="0"/>
    </xf>
    <xf numFmtId="0" fontId="18" fillId="23" borderId="37" xfId="0" applyFont="1" applyFill="1" applyBorder="1" applyAlignment="1" applyProtection="1">
      <alignment horizontal="center" vertical="center" wrapText="1"/>
      <protection locked="0"/>
    </xf>
    <xf numFmtId="0" fontId="11" fillId="13" borderId="16" xfId="0" applyFont="1" applyFill="1" applyBorder="1" applyAlignment="1">
      <alignment horizontal="center"/>
    </xf>
    <xf numFmtId="0" fontId="11" fillId="6" borderId="16" xfId="0" applyFont="1" applyFill="1" applyBorder="1" applyAlignment="1" applyProtection="1">
      <alignment horizontal="left"/>
      <protection locked="0"/>
    </xf>
    <xf numFmtId="0" fontId="11" fillId="9" borderId="16" xfId="0" applyFont="1" applyFill="1" applyBorder="1" applyProtection="1">
      <protection locked="0"/>
    </xf>
    <xf numFmtId="0" fontId="11" fillId="6" borderId="16" xfId="0" applyFont="1" applyFill="1" applyBorder="1" applyProtection="1">
      <protection locked="0"/>
    </xf>
    <xf numFmtId="0" fontId="11" fillId="9" borderId="13" xfId="0" applyFont="1" applyFill="1" applyBorder="1" applyProtection="1">
      <protection locked="0"/>
    </xf>
    <xf numFmtId="0" fontId="11" fillId="9" borderId="38" xfId="0" applyFont="1" applyFill="1" applyBorder="1" applyProtection="1">
      <protection locked="0"/>
    </xf>
    <xf numFmtId="0" fontId="11" fillId="12" borderId="0" xfId="0" applyFont="1" applyFill="1" applyProtection="1">
      <protection locked="0"/>
    </xf>
    <xf numFmtId="3" fontId="11" fillId="12" borderId="0" xfId="0" applyNumberFormat="1" applyFont="1" applyFill="1" applyAlignment="1" applyProtection="1">
      <alignment horizontal="center"/>
      <protection locked="0"/>
    </xf>
    <xf numFmtId="0" fontId="11" fillId="6" borderId="1" xfId="0" applyFont="1" applyFill="1" applyBorder="1" applyAlignment="1" applyProtection="1">
      <alignment horizontal="center"/>
      <protection locked="0"/>
    </xf>
    <xf numFmtId="0" fontId="11" fillId="6" borderId="1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11" fillId="9" borderId="35" xfId="0" applyFont="1" applyFill="1" applyBorder="1" applyProtection="1">
      <protection locked="0"/>
    </xf>
    <xf numFmtId="0" fontId="20" fillId="22" borderId="11" xfId="0" applyFont="1" applyFill="1" applyBorder="1" applyAlignment="1" applyProtection="1">
      <alignment horizontal="center"/>
      <protection locked="0"/>
    </xf>
    <xf numFmtId="4" fontId="29" fillId="6" borderId="23" xfId="0" applyNumberFormat="1" applyFont="1" applyFill="1" applyBorder="1" applyAlignment="1" applyProtection="1">
      <alignment horizontal="center" vertical="center"/>
      <protection locked="0"/>
    </xf>
    <xf numFmtId="0" fontId="0" fillId="6" borderId="23" xfId="0" applyFill="1" applyBorder="1" applyAlignment="1">
      <alignment vertical="center"/>
    </xf>
    <xf numFmtId="0" fontId="29" fillId="6" borderId="23" xfId="0" applyFont="1" applyFill="1" applyBorder="1" applyAlignment="1" applyProtection="1">
      <alignment horizontal="center"/>
      <protection locked="0"/>
    </xf>
    <xf numFmtId="0" fontId="29" fillId="6" borderId="39" xfId="0" applyFont="1" applyFill="1" applyBorder="1" applyAlignment="1" applyProtection="1">
      <alignment horizontal="center"/>
      <protection locked="0"/>
    </xf>
    <xf numFmtId="4" fontId="29" fillId="6" borderId="0" xfId="0" applyNumberFormat="1" applyFont="1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center"/>
    </xf>
    <xf numFmtId="0" fontId="29" fillId="6" borderId="0" xfId="0" applyFont="1" applyFill="1" applyAlignment="1" applyProtection="1">
      <alignment horizontal="center"/>
      <protection locked="0"/>
    </xf>
    <xf numFmtId="0" fontId="29" fillId="6" borderId="12" xfId="0" applyFont="1" applyFill="1" applyBorder="1" applyAlignment="1" applyProtection="1">
      <alignment horizontal="center"/>
      <protection locked="0"/>
    </xf>
    <xf numFmtId="4" fontId="29" fillId="6" borderId="28" xfId="0" applyNumberFormat="1" applyFont="1" applyFill="1" applyBorder="1" applyAlignment="1" applyProtection="1">
      <alignment horizontal="center"/>
      <protection locked="0"/>
    </xf>
    <xf numFmtId="0" fontId="29" fillId="6" borderId="40" xfId="0" applyFont="1" applyFill="1" applyBorder="1" applyAlignment="1" applyProtection="1">
      <alignment horizontal="center"/>
      <protection locked="0"/>
    </xf>
    <xf numFmtId="4" fontId="18" fillId="23" borderId="34" xfId="0" applyNumberFormat="1" applyFont="1" applyFill="1" applyBorder="1" applyAlignment="1" applyProtection="1">
      <alignment horizontal="center" vertical="center"/>
      <protection locked="0"/>
    </xf>
    <xf numFmtId="4" fontId="18" fillId="23" borderId="44" xfId="0" applyNumberFormat="1" applyFont="1" applyFill="1" applyBorder="1" applyAlignment="1" applyProtection="1">
      <alignment horizontal="center" vertical="center" wrapText="1"/>
      <protection locked="0"/>
    </xf>
    <xf numFmtId="4" fontId="18" fillId="23" borderId="44" xfId="0" applyNumberFormat="1" applyFont="1" applyFill="1" applyBorder="1" applyAlignment="1" applyProtection="1">
      <alignment horizontal="center" vertical="center"/>
      <protection locked="0"/>
    </xf>
    <xf numFmtId="4" fontId="18" fillId="23" borderId="45" xfId="0" applyNumberFormat="1" applyFont="1" applyFill="1" applyBorder="1" applyAlignment="1" applyProtection="1">
      <alignment horizontal="center" vertical="center"/>
      <protection locked="0"/>
    </xf>
    <xf numFmtId="0" fontId="11" fillId="12" borderId="0" xfId="0" applyFont="1" applyFill="1" applyAlignment="1" applyProtection="1">
      <alignment horizontal="center"/>
      <protection locked="0"/>
    </xf>
    <xf numFmtId="0" fontId="11" fillId="13" borderId="15" xfId="0" applyFont="1" applyFill="1" applyBorder="1" applyAlignment="1">
      <alignment horizontal="center"/>
    </xf>
    <xf numFmtId="0" fontId="11" fillId="13" borderId="6" xfId="0" applyFont="1" applyFill="1" applyBorder="1" applyAlignment="1">
      <alignment horizontal="left"/>
    </xf>
    <xf numFmtId="0" fontId="11" fillId="13" borderId="0" xfId="0" applyFont="1" applyFill="1"/>
    <xf numFmtId="0" fontId="11" fillId="13" borderId="12" xfId="0" applyFont="1" applyFill="1" applyBorder="1"/>
    <xf numFmtId="0" fontId="19" fillId="24" borderId="20" xfId="0" applyFont="1" applyFill="1" applyBorder="1" applyAlignment="1">
      <alignment horizontal="left"/>
    </xf>
    <xf numFmtId="0" fontId="20" fillId="24" borderId="21" xfId="0" applyFont="1" applyFill="1" applyBorder="1" applyProtection="1">
      <protection locked="0"/>
    </xf>
    <xf numFmtId="0" fontId="20" fillId="24" borderId="21" xfId="0" applyFont="1" applyFill="1" applyBorder="1" applyAlignment="1" applyProtection="1">
      <alignment horizontal="center"/>
      <protection locked="0"/>
    </xf>
    <xf numFmtId="4" fontId="20" fillId="24" borderId="21" xfId="0" applyNumberFormat="1" applyFont="1" applyFill="1" applyBorder="1" applyProtection="1">
      <protection locked="0"/>
    </xf>
    <xf numFmtId="0" fontId="20" fillId="24" borderId="21" xfId="0" applyFont="1" applyFill="1" applyBorder="1"/>
    <xf numFmtId="0" fontId="11" fillId="6" borderId="23" xfId="0" applyFont="1" applyFill="1" applyBorder="1"/>
    <xf numFmtId="0" fontId="11" fillId="6" borderId="27" xfId="0" applyFont="1" applyFill="1" applyBorder="1" applyAlignment="1">
      <alignment horizontal="left"/>
    </xf>
    <xf numFmtId="0" fontId="11" fillId="6" borderId="28" xfId="0" applyFont="1" applyFill="1" applyBorder="1"/>
    <xf numFmtId="0" fontId="21" fillId="6" borderId="23" xfId="0" applyFont="1" applyFill="1" applyBorder="1" applyAlignment="1">
      <alignment horizontal="left" vertical="center"/>
    </xf>
    <xf numFmtId="0" fontId="18" fillId="25" borderId="15" xfId="0" applyFont="1" applyFill="1" applyBorder="1" applyAlignment="1">
      <alignment horizontal="center" vertical="center"/>
    </xf>
    <xf numFmtId="0" fontId="18" fillId="25" borderId="16" xfId="0" applyFont="1" applyFill="1" applyBorder="1" applyAlignment="1" applyProtection="1">
      <alignment horizontal="center" vertical="center"/>
      <protection locked="0"/>
    </xf>
    <xf numFmtId="4" fontId="18" fillId="25" borderId="16" xfId="0" applyNumberFormat="1" applyFont="1" applyFill="1" applyBorder="1" applyAlignment="1" applyProtection="1">
      <alignment horizontal="center" vertical="center" wrapText="1"/>
      <protection locked="0"/>
    </xf>
    <xf numFmtId="0" fontId="18" fillId="25" borderId="13" xfId="0" applyFont="1" applyFill="1" applyBorder="1" applyAlignment="1">
      <alignment horizontal="center" vertical="center"/>
    </xf>
    <xf numFmtId="0" fontId="11" fillId="13" borderId="19" xfId="0" applyFont="1" applyFill="1" applyBorder="1"/>
    <xf numFmtId="4" fontId="20" fillId="24" borderId="18" xfId="0" applyNumberFormat="1" applyFont="1" applyFill="1" applyBorder="1" applyProtection="1">
      <protection locked="0"/>
    </xf>
    <xf numFmtId="4" fontId="11" fillId="6" borderId="39" xfId="0" applyNumberFormat="1" applyFont="1" applyFill="1" applyBorder="1" applyProtection="1">
      <protection locked="0"/>
    </xf>
    <xf numFmtId="4" fontId="11" fillId="6" borderId="40" xfId="0" applyNumberFormat="1" applyFont="1" applyFill="1" applyBorder="1" applyProtection="1">
      <protection locked="0"/>
    </xf>
    <xf numFmtId="0" fontId="18" fillId="25" borderId="14" xfId="0" applyFont="1" applyFill="1" applyBorder="1" applyAlignment="1" applyProtection="1">
      <alignment horizontal="center" vertical="center"/>
      <protection locked="0"/>
    </xf>
    <xf numFmtId="0" fontId="12" fillId="7" borderId="46" xfId="0" applyFont="1" applyFill="1" applyBorder="1"/>
    <xf numFmtId="0" fontId="18" fillId="7" borderId="47" xfId="0" applyFont="1" applyFill="1" applyBorder="1"/>
    <xf numFmtId="0" fontId="18" fillId="7" borderId="48" xfId="0" applyFont="1" applyFill="1" applyBorder="1"/>
    <xf numFmtId="0" fontId="11" fillId="6" borderId="49" xfId="0" applyFont="1" applyFill="1" applyBorder="1" applyAlignment="1">
      <alignment horizontal="left"/>
    </xf>
    <xf numFmtId="0" fontId="11" fillId="6" borderId="50" xfId="0" applyFont="1" applyFill="1" applyBorder="1" applyProtection="1">
      <protection locked="0"/>
    </xf>
    <xf numFmtId="0" fontId="11" fillId="6" borderId="50" xfId="0" applyFont="1" applyFill="1" applyBorder="1" applyAlignment="1" applyProtection="1">
      <alignment horizontal="center"/>
      <protection locked="0"/>
    </xf>
    <xf numFmtId="4" fontId="11" fillId="6" borderId="51" xfId="0" applyNumberFormat="1" applyFont="1" applyFill="1" applyBorder="1" applyProtection="1">
      <protection locked="0"/>
    </xf>
    <xf numFmtId="0" fontId="20" fillId="0" borderId="0" xfId="0" applyFont="1"/>
    <xf numFmtId="0" fontId="11" fillId="6" borderId="52" xfId="0" applyFont="1" applyFill="1" applyBorder="1" applyAlignment="1">
      <alignment horizontal="left"/>
    </xf>
    <xf numFmtId="0" fontId="11" fillId="6" borderId="53" xfId="0" applyFont="1" applyFill="1" applyBorder="1" applyProtection="1">
      <protection locked="0"/>
    </xf>
    <xf numFmtId="0" fontId="11" fillId="6" borderId="53" xfId="0" applyFont="1" applyFill="1" applyBorder="1" applyAlignment="1" applyProtection="1">
      <alignment horizontal="center"/>
      <protection locked="0"/>
    </xf>
    <xf numFmtId="4" fontId="11" fillId="6" borderId="54" xfId="0" applyNumberFormat="1" applyFont="1" applyFill="1" applyBorder="1" applyProtection="1">
      <protection locked="0"/>
    </xf>
    <xf numFmtId="0" fontId="18" fillId="25" borderId="1" xfId="0" applyFont="1" applyFill="1" applyBorder="1" applyAlignment="1">
      <alignment horizontal="center"/>
    </xf>
    <xf numFmtId="0" fontId="15" fillId="6" borderId="0" xfId="0" applyFont="1" applyFill="1" applyAlignment="1" applyProtection="1">
      <alignment vertical="center"/>
      <protection locked="0"/>
    </xf>
    <xf numFmtId="0" fontId="12" fillId="8" borderId="9" xfId="0" applyFont="1" applyFill="1" applyBorder="1" applyAlignment="1" applyProtection="1">
      <alignment horizontal="left" vertical="center"/>
      <protection locked="0"/>
    </xf>
    <xf numFmtId="0" fontId="12" fillId="8" borderId="55" xfId="0" applyFont="1" applyFill="1" applyBorder="1" applyAlignment="1">
      <alignment vertical="center"/>
    </xf>
    <xf numFmtId="0" fontId="12" fillId="8" borderId="55" xfId="0" applyFont="1" applyFill="1" applyBorder="1" applyAlignment="1">
      <alignment horizontal="center" vertical="center"/>
    </xf>
    <xf numFmtId="0" fontId="12" fillId="13" borderId="56" xfId="0" applyFont="1" applyFill="1" applyBorder="1" applyAlignment="1">
      <alignment vertical="center"/>
    </xf>
    <xf numFmtId="0" fontId="15" fillId="13" borderId="55" xfId="0" applyFont="1" applyFill="1" applyBorder="1" applyAlignment="1">
      <alignment horizontal="center" vertical="center"/>
    </xf>
    <xf numFmtId="0" fontId="15" fillId="13" borderId="56" xfId="0" applyFont="1" applyFill="1" applyBorder="1" applyAlignment="1">
      <alignment horizontal="center" vertical="center"/>
    </xf>
    <xf numFmtId="0" fontId="12" fillId="13" borderId="55" xfId="0" applyFont="1" applyFill="1" applyBorder="1" applyAlignment="1">
      <alignment vertical="center"/>
    </xf>
    <xf numFmtId="0" fontId="12" fillId="11" borderId="9" xfId="0" applyFont="1" applyFill="1" applyBorder="1" applyAlignment="1">
      <alignment horizontal="left" vertical="center"/>
    </xf>
    <xf numFmtId="0" fontId="12" fillId="11" borderId="10" xfId="0" applyFont="1" applyFill="1" applyBorder="1" applyAlignment="1">
      <alignment horizontal="left" vertical="center"/>
    </xf>
    <xf numFmtId="0" fontId="12" fillId="11" borderId="1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/>
    </xf>
    <xf numFmtId="0" fontId="12" fillId="7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vertical="center"/>
    </xf>
    <xf numFmtId="4" fontId="15" fillId="13" borderId="1" xfId="0" applyNumberFormat="1" applyFont="1" applyFill="1" applyBorder="1" applyAlignment="1">
      <alignment horizontal="right" vertical="center"/>
    </xf>
    <xf numFmtId="4" fontId="15" fillId="13" borderId="1" xfId="0" applyNumberFormat="1" applyFont="1" applyFill="1" applyBorder="1" applyAlignment="1">
      <alignment vertical="center"/>
    </xf>
    <xf numFmtId="0" fontId="12" fillId="7" borderId="1" xfId="0" applyFont="1" applyFill="1" applyBorder="1" applyAlignment="1">
      <alignment horizontal="right" vertical="center"/>
    </xf>
    <xf numFmtId="4" fontId="12" fillId="7" borderId="1" xfId="0" applyNumberFormat="1" applyFont="1" applyFill="1" applyBorder="1" applyAlignment="1">
      <alignment vertical="center"/>
    </xf>
    <xf numFmtId="0" fontId="12" fillId="11" borderId="57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16" fillId="0" borderId="0" xfId="0" applyFont="1"/>
    <xf numFmtId="0" fontId="1" fillId="7" borderId="55" xfId="0" applyFont="1" applyFill="1" applyBorder="1"/>
    <xf numFmtId="0" fontId="30" fillId="12" borderId="58" xfId="0" applyFont="1" applyFill="1" applyBorder="1" applyAlignment="1">
      <alignment vertical="center"/>
    </xf>
    <xf numFmtId="0" fontId="31" fillId="12" borderId="59" xfId="0" applyFont="1" applyFill="1" applyBorder="1" applyAlignment="1">
      <alignment vertical="center"/>
    </xf>
    <xf numFmtId="0" fontId="31" fillId="12" borderId="59" xfId="0" applyFont="1" applyFill="1" applyBorder="1" applyAlignment="1">
      <alignment vertical="center" wrapText="1"/>
    </xf>
    <xf numFmtId="0" fontId="31" fillId="12" borderId="60" xfId="0" applyFont="1" applyFill="1" applyBorder="1" applyAlignment="1">
      <alignment horizontal="left" vertical="center"/>
    </xf>
    <xf numFmtId="0" fontId="32" fillId="12" borderId="61" xfId="2" applyFont="1" applyFill="1" applyBorder="1" applyAlignment="1">
      <alignment vertical="top"/>
    </xf>
    <xf numFmtId="0" fontId="1" fillId="26" borderId="55" xfId="0" applyFont="1" applyFill="1" applyBorder="1" applyAlignment="1">
      <alignment horizontal="center" vertical="center"/>
    </xf>
    <xf numFmtId="0" fontId="1" fillId="26" borderId="55" xfId="0" applyFont="1" applyFill="1" applyBorder="1" applyAlignment="1">
      <alignment vertical="center"/>
    </xf>
    <xf numFmtId="0" fontId="1" fillId="26" borderId="55" xfId="0" applyFont="1" applyFill="1" applyBorder="1" applyAlignment="1">
      <alignment vertical="center" wrapText="1"/>
    </xf>
    <xf numFmtId="0" fontId="1" fillId="26" borderId="55" xfId="0" applyFont="1" applyFill="1" applyBorder="1" applyAlignment="1">
      <alignment horizontal="left" vertical="center"/>
    </xf>
    <xf numFmtId="0" fontId="32" fillId="27" borderId="62" xfId="2" applyFont="1" applyFill="1" applyBorder="1" applyAlignment="1">
      <alignment vertical="top"/>
    </xf>
    <xf numFmtId="0" fontId="0" fillId="0" borderId="55" xfId="0" applyBorder="1" applyAlignment="1">
      <alignment horizontal="center"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vertical="center" wrapText="1"/>
    </xf>
    <xf numFmtId="0" fontId="0" fillId="9" borderId="55" xfId="0" applyFill="1" applyBorder="1" applyAlignment="1">
      <alignment vertical="center"/>
    </xf>
    <xf numFmtId="0" fontId="0" fillId="9" borderId="55" xfId="0" applyFill="1" applyBorder="1" applyAlignment="1">
      <alignment horizontal="left" vertical="center"/>
    </xf>
    <xf numFmtId="0" fontId="32" fillId="28" borderId="62" xfId="2" applyFont="1" applyFill="1" applyBorder="1" applyAlignment="1">
      <alignment vertical="top"/>
    </xf>
    <xf numFmtId="0" fontId="0" fillId="0" borderId="61" xfId="0" applyBorder="1" applyAlignment="1">
      <alignment horizontal="center" vertical="center"/>
    </xf>
    <xf numFmtId="0" fontId="0" fillId="0" borderId="61" xfId="0" applyBorder="1" applyAlignment="1">
      <alignment vertical="center"/>
    </xf>
    <xf numFmtId="0" fontId="0" fillId="3" borderId="61" xfId="0" applyFill="1" applyBorder="1" applyAlignment="1">
      <alignment vertical="center"/>
    </xf>
    <xf numFmtId="0" fontId="0" fillId="3" borderId="61" xfId="0" applyFill="1" applyBorder="1" applyAlignment="1">
      <alignment horizontal="left" vertical="center"/>
    </xf>
    <xf numFmtId="0" fontId="32" fillId="29" borderId="62" xfId="2" applyFont="1" applyFill="1" applyBorder="1" applyAlignment="1">
      <alignment vertical="top"/>
    </xf>
    <xf numFmtId="0" fontId="0" fillId="3" borderId="55" xfId="0" applyFill="1" applyBorder="1" applyAlignment="1">
      <alignment vertical="center"/>
    </xf>
    <xf numFmtId="0" fontId="0" fillId="3" borderId="55" xfId="0" applyFill="1" applyBorder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vertical="center" wrapText="1"/>
    </xf>
    <xf numFmtId="172" fontId="0" fillId="6" borderId="0" xfId="0" applyNumberFormat="1" applyFill="1" applyAlignment="1">
      <alignment horizontal="left" vertical="center"/>
    </xf>
    <xf numFmtId="0" fontId="32" fillId="20" borderId="62" xfId="2" applyFont="1" applyFill="1" applyBorder="1" applyAlignment="1">
      <alignment vertical="top"/>
    </xf>
    <xf numFmtId="0" fontId="33" fillId="27" borderId="58" xfId="0" applyFont="1" applyFill="1" applyBorder="1" applyAlignment="1">
      <alignment vertical="center"/>
    </xf>
    <xf numFmtId="0" fontId="1" fillId="27" borderId="59" xfId="0" applyFont="1" applyFill="1" applyBorder="1" applyAlignment="1">
      <alignment vertical="center"/>
    </xf>
    <xf numFmtId="0" fontId="1" fillId="27" borderId="59" xfId="0" applyFont="1" applyFill="1" applyBorder="1" applyAlignment="1">
      <alignment vertical="center" wrapText="1"/>
    </xf>
    <xf numFmtId="0" fontId="1" fillId="27" borderId="60" xfId="0" applyFont="1" applyFill="1" applyBorder="1" applyAlignment="1">
      <alignment horizontal="left" vertical="center"/>
    </xf>
    <xf numFmtId="0" fontId="32" fillId="30" borderId="62" xfId="2" applyFont="1" applyFill="1" applyBorder="1" applyAlignment="1">
      <alignment vertical="top"/>
    </xf>
    <xf numFmtId="0" fontId="0" fillId="9" borderId="55" xfId="0" applyFill="1" applyBorder="1" applyAlignment="1">
      <alignment horizontal="left" vertical="center" wrapText="1"/>
    </xf>
    <xf numFmtId="0" fontId="1" fillId="7" borderId="55" xfId="0" applyFont="1" applyFill="1" applyBorder="1" applyAlignment="1" applyProtection="1">
      <alignment vertical="center"/>
      <protection locked="0"/>
    </xf>
    <xf numFmtId="0" fontId="0" fillId="6" borderId="61" xfId="0" applyFill="1" applyBorder="1" applyAlignment="1" applyProtection="1">
      <alignment vertical="center"/>
      <protection locked="0"/>
    </xf>
    <xf numFmtId="0" fontId="0" fillId="9" borderId="62" xfId="0" applyFill="1" applyBorder="1" applyAlignment="1" applyProtection="1">
      <alignment vertical="center"/>
      <protection locked="0"/>
    </xf>
    <xf numFmtId="0" fontId="0" fillId="0" borderId="55" xfId="0" applyBorder="1" applyAlignment="1">
      <alignment horizontal="left" vertical="center"/>
    </xf>
    <xf numFmtId="0" fontId="0" fillId="3" borderId="56" xfId="0" applyFill="1" applyBorder="1" applyAlignment="1" applyProtection="1">
      <alignment vertical="center"/>
      <protection locked="0"/>
    </xf>
    <xf numFmtId="0" fontId="0" fillId="0" borderId="55" xfId="0" applyBorder="1" applyAlignment="1">
      <alignment horizontal="left" vertical="center" wrapText="1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vertical="center"/>
    </xf>
    <xf numFmtId="0" fontId="0" fillId="0" borderId="59" xfId="0" applyBorder="1" applyAlignment="1">
      <alignment vertical="center" wrapText="1"/>
    </xf>
    <xf numFmtId="0" fontId="0" fillId="0" borderId="60" xfId="0" applyBorder="1" applyAlignment="1">
      <alignment horizontal="left" vertical="center" wrapText="1"/>
    </xf>
    <xf numFmtId="0" fontId="34" fillId="0" borderId="55" xfId="0" applyFont="1" applyBorder="1" applyAlignment="1">
      <alignment vertical="center" wrapText="1"/>
    </xf>
    <xf numFmtId="0" fontId="0" fillId="6" borderId="55" xfId="0" applyFill="1" applyBorder="1" applyAlignment="1">
      <alignment vertical="center"/>
    </xf>
    <xf numFmtId="0" fontId="33" fillId="28" borderId="0" xfId="0" applyFont="1" applyFill="1" applyAlignment="1">
      <alignment vertical="center"/>
    </xf>
    <xf numFmtId="0" fontId="1" fillId="28" borderId="0" xfId="0" applyFont="1" applyFill="1" applyAlignment="1">
      <alignment vertical="center"/>
    </xf>
    <xf numFmtId="0" fontId="1" fillId="28" borderId="0" xfId="0" applyFont="1" applyFill="1" applyAlignment="1">
      <alignment vertical="center" wrapText="1"/>
    </xf>
    <xf numFmtId="0" fontId="1" fillId="28" borderId="0" xfId="0" applyFont="1" applyFill="1" applyAlignment="1">
      <alignment horizontal="left" vertical="center"/>
    </xf>
    <xf numFmtId="0" fontId="0" fillId="6" borderId="55" xfId="0" applyFill="1" applyBorder="1" applyAlignment="1">
      <alignment horizontal="left" vertical="center"/>
    </xf>
    <xf numFmtId="0" fontId="0" fillId="6" borderId="55" xfId="0" applyFill="1" applyBorder="1" applyAlignment="1">
      <alignment vertical="center" wrapText="1"/>
    </xf>
    <xf numFmtId="2" fontId="0" fillId="6" borderId="55" xfId="0" applyNumberFormat="1" applyFill="1" applyBorder="1" applyAlignment="1">
      <alignment horizontal="left" vertical="center"/>
    </xf>
    <xf numFmtId="0" fontId="34" fillId="6" borderId="55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3" fillId="29" borderId="58" xfId="0" applyFont="1" applyFill="1" applyBorder="1" applyAlignment="1">
      <alignment vertical="center"/>
    </xf>
    <xf numFmtId="0" fontId="1" fillId="29" borderId="59" xfId="0" applyFont="1" applyFill="1" applyBorder="1" applyAlignment="1">
      <alignment vertical="center"/>
    </xf>
    <xf numFmtId="0" fontId="1" fillId="29" borderId="59" xfId="0" applyFont="1" applyFill="1" applyBorder="1" applyAlignment="1">
      <alignment vertical="center" wrapText="1"/>
    </xf>
    <xf numFmtId="0" fontId="1" fillId="29" borderId="60" xfId="0" applyFont="1" applyFill="1" applyBorder="1" applyAlignment="1">
      <alignment horizontal="left" vertical="center"/>
    </xf>
    <xf numFmtId="4" fontId="0" fillId="0" borderId="55" xfId="0" applyNumberFormat="1" applyBorder="1" applyAlignment="1">
      <alignment horizontal="left" vertical="center" wrapText="1"/>
    </xf>
    <xf numFmtId="0" fontId="1" fillId="0" borderId="63" xfId="0" applyFont="1" applyBorder="1" applyAlignment="1">
      <alignment horizontal="center" vertical="center"/>
    </xf>
    <xf numFmtId="0" fontId="0" fillId="0" borderId="59" xfId="0" applyBorder="1" applyAlignment="1">
      <alignment horizontal="left" vertical="center"/>
    </xf>
    <xf numFmtId="0" fontId="33" fillId="20" borderId="58" xfId="0" applyFont="1" applyFill="1" applyBorder="1" applyAlignment="1">
      <alignment vertical="center"/>
    </xf>
    <xf numFmtId="0" fontId="1" fillId="20" borderId="59" xfId="0" applyFont="1" applyFill="1" applyBorder="1" applyAlignment="1">
      <alignment vertical="center"/>
    </xf>
    <xf numFmtId="0" fontId="1" fillId="20" borderId="59" xfId="0" applyFont="1" applyFill="1" applyBorder="1" applyAlignment="1">
      <alignment vertical="center" wrapText="1"/>
    </xf>
    <xf numFmtId="0" fontId="1" fillId="20" borderId="60" xfId="0" applyFont="1" applyFill="1" applyBorder="1" applyAlignment="1">
      <alignment horizontal="left" vertical="center"/>
    </xf>
    <xf numFmtId="0" fontId="0" fillId="0" borderId="64" xfId="0" applyBorder="1" applyAlignment="1">
      <alignment horizontal="left" vertical="center" wrapText="1"/>
    </xf>
    <xf numFmtId="0" fontId="0" fillId="0" borderId="63" xfId="0" applyBorder="1" applyAlignment="1">
      <alignment horizontal="left" vertical="center" wrapText="1"/>
    </xf>
    <xf numFmtId="0" fontId="0" fillId="0" borderId="65" xfId="0" applyBorder="1" applyAlignment="1">
      <alignment horizontal="left" vertical="center" wrapText="1"/>
    </xf>
    <xf numFmtId="0" fontId="0" fillId="0" borderId="55" xfId="0" applyBorder="1" applyAlignment="1">
      <alignment horizontal="left" vertical="center" indent="3"/>
    </xf>
    <xf numFmtId="0" fontId="0" fillId="0" borderId="55" xfId="0" applyBorder="1" applyAlignment="1">
      <alignment horizontal="left" vertical="center" wrapText="1" indent="3"/>
    </xf>
    <xf numFmtId="0" fontId="33" fillId="30" borderId="58" xfId="0" applyFont="1" applyFill="1" applyBorder="1" applyAlignment="1">
      <alignment vertical="center"/>
    </xf>
    <xf numFmtId="0" fontId="1" fillId="30" borderId="59" xfId="0" applyFont="1" applyFill="1" applyBorder="1" applyAlignment="1">
      <alignment vertical="center"/>
    </xf>
    <xf numFmtId="0" fontId="1" fillId="30" borderId="59" xfId="0" applyFont="1" applyFill="1" applyBorder="1" applyAlignment="1">
      <alignment vertical="center" wrapText="1"/>
    </xf>
    <xf numFmtId="0" fontId="1" fillId="30" borderId="60" xfId="0" applyFont="1" applyFill="1" applyBorder="1" applyAlignment="1">
      <alignment horizontal="left" vertical="center"/>
    </xf>
    <xf numFmtId="0" fontId="35" fillId="0" borderId="0" xfId="0" applyFont="1" applyAlignment="1">
      <alignment wrapText="1"/>
    </xf>
    <xf numFmtId="0" fontId="0" fillId="0" borderId="64" xfId="0" applyBorder="1" applyAlignment="1">
      <alignment horizontal="left" vertical="center" wrapText="1" indent="3"/>
    </xf>
    <xf numFmtId="0" fontId="0" fillId="0" borderId="64" xfId="0" applyBorder="1" applyAlignment="1">
      <alignment horizontal="left" vertical="center" indent="3"/>
    </xf>
    <xf numFmtId="0" fontId="33" fillId="31" borderId="58" xfId="0" applyFont="1" applyFill="1" applyBorder="1" applyAlignment="1">
      <alignment vertical="center"/>
    </xf>
    <xf numFmtId="0" fontId="1" fillId="31" borderId="59" xfId="0" applyFont="1" applyFill="1" applyBorder="1" applyAlignment="1">
      <alignment vertical="center"/>
    </xf>
    <xf numFmtId="0" fontId="1" fillId="31" borderId="59" xfId="0" applyFont="1" applyFill="1" applyBorder="1" applyAlignment="1">
      <alignment vertical="center" wrapText="1"/>
    </xf>
    <xf numFmtId="0" fontId="1" fillId="31" borderId="60" xfId="0" applyFont="1" applyFill="1" applyBorder="1" applyAlignment="1">
      <alignment horizontal="left" vertical="center"/>
    </xf>
    <xf numFmtId="0" fontId="0" fillId="0" borderId="61" xfId="0" quotePrefix="1" applyBorder="1" applyAlignment="1">
      <alignment vertical="center" wrapText="1"/>
    </xf>
    <xf numFmtId="0" fontId="15" fillId="9" borderId="9" xfId="0" applyFont="1" applyFill="1" applyBorder="1" applyAlignment="1" applyProtection="1">
      <alignment horizontal="center" vertical="center"/>
      <protection locked="0"/>
    </xf>
    <xf numFmtId="0" fontId="15" fillId="9" borderId="10" xfId="0" applyFont="1" applyFill="1" applyBorder="1" applyAlignment="1" applyProtection="1">
      <alignment horizontal="center" vertical="center"/>
      <protection locked="0"/>
    </xf>
    <xf numFmtId="0" fontId="15" fillId="9" borderId="11" xfId="0" applyFont="1" applyFill="1" applyBorder="1" applyAlignment="1" applyProtection="1">
      <alignment horizontal="center" vertical="center"/>
      <protection locked="0"/>
    </xf>
    <xf numFmtId="0" fontId="16" fillId="8" borderId="0" xfId="0" applyFont="1" applyFill="1" applyAlignment="1">
      <alignment horizontal="center" vertical="center"/>
    </xf>
    <xf numFmtId="0" fontId="11" fillId="6" borderId="9" xfId="0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6" borderId="11" xfId="0" applyFont="1" applyFill="1" applyBorder="1" applyAlignment="1" applyProtection="1">
      <alignment horizontal="center" vertical="center"/>
      <protection locked="0"/>
    </xf>
    <xf numFmtId="171" fontId="11" fillId="6" borderId="9" xfId="0" applyNumberFormat="1" applyFont="1" applyFill="1" applyBorder="1" applyAlignment="1" applyProtection="1">
      <alignment horizontal="center" vertical="center"/>
      <protection locked="0"/>
    </xf>
    <xf numFmtId="3" fontId="18" fillId="23" borderId="35" xfId="0" applyNumberFormat="1" applyFont="1" applyFill="1" applyBorder="1" applyAlignment="1" applyProtection="1">
      <alignment horizontal="center" vertical="center"/>
      <protection locked="0"/>
    </xf>
    <xf numFmtId="0" fontId="18" fillId="23" borderId="41" xfId="0" applyFont="1" applyFill="1" applyBorder="1" applyAlignment="1" applyProtection="1">
      <alignment horizontal="center" vertical="center"/>
      <protection locked="0"/>
    </xf>
    <xf numFmtId="0" fontId="18" fillId="23" borderId="42" xfId="0" applyFont="1" applyFill="1" applyBorder="1" applyAlignment="1" applyProtection="1">
      <alignment horizontal="center" vertical="center"/>
      <protection locked="0"/>
    </xf>
    <xf numFmtId="4" fontId="18" fillId="23" borderId="43" xfId="0" applyNumberFormat="1" applyFont="1" applyFill="1" applyBorder="1" applyAlignment="1" applyProtection="1">
      <alignment horizontal="center" vertical="center"/>
      <protection locked="0"/>
    </xf>
    <xf numFmtId="4" fontId="18" fillId="23" borderId="41" xfId="0" applyNumberFormat="1" applyFont="1" applyFill="1" applyBorder="1" applyAlignment="1" applyProtection="1">
      <alignment horizontal="center" vertical="center"/>
      <protection locked="0"/>
    </xf>
    <xf numFmtId="0" fontId="27" fillId="8" borderId="19" xfId="0" applyFont="1" applyFill="1" applyBorder="1" applyAlignment="1">
      <alignment horizontal="center" vertical="center" wrapText="1"/>
    </xf>
    <xf numFmtId="0" fontId="27" fillId="8" borderId="16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center" wrapText="1"/>
    </xf>
    <xf numFmtId="0" fontId="27" fillId="8" borderId="6" xfId="0" applyFont="1" applyFill="1" applyBorder="1" applyAlignment="1">
      <alignment horizontal="center" vertical="center" wrapText="1"/>
    </xf>
    <xf numFmtId="0" fontId="27" fillId="8" borderId="1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12" fillId="11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0" fillId="0" borderId="0" xfId="0" pivotButton="1"/>
  </cellXfs>
  <cellStyles count="7">
    <cellStyle name="Comma 2" xfId="3" xr:uid="{00000000-0005-0000-0000-000031000000}"/>
    <cellStyle name="Hyperlink" xfId="2" builtinId="8"/>
    <cellStyle name="Hyperlink 2" xfId="4" xr:uid="{00000000-0005-0000-0000-000032000000}"/>
    <cellStyle name="Normal" xfId="0" builtinId="0"/>
    <cellStyle name="Normal 2" xfId="5" xr:uid="{00000000-0005-0000-0000-000033000000}"/>
    <cellStyle name="Percent" xfId="1" builtinId="5"/>
    <cellStyle name="Percent 2" xfId="6" xr:uid="{00000000-0005-0000-0000-000034000000}"/>
  </cellStyles>
  <dxfs count="90">
    <dxf>
      <fill>
        <patternFill patternType="solid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7" formatCode="m/d/yy\ h:mm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2" formatCode="0.00"/>
      <fill>
        <patternFill patternType="solid">
          <bgColor theme="0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13" formatCode="0%"/>
      <fill>
        <patternFill patternType="solid">
          <bgColor theme="8" tint="0.79995117038483843"/>
        </patternFill>
      </fill>
      <alignment horizontal="center" vertic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170" formatCode="&quot;₱&quot;#,##0.00"/>
      <fill>
        <patternFill patternType="solid">
          <bgColor theme="0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4" formatCode="#,##0.00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170" formatCode="&quot;₱&quot;#,##0.00"/>
      <fill>
        <patternFill patternType="solid">
          <bgColor theme="8" tint="0.79995117038483843"/>
        </patternFill>
      </fill>
      <alignment horizontal="center" vertic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170" formatCode="&quot;₱&quot;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/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3" formatCode="#,##0"/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</dxfs>
  <tableStyles count="0" defaultTableStyle="TableStyleMedium2" defaultPivotStyle="PivotStyleLight16"/>
  <colors>
    <mruColors>
      <color rgb="FFFB7567"/>
      <color rgb="FF9079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7/relationships/slicerCache" Target="slicerCaches/slicerCache2.xml"/><Relationship Id="rId39" Type="http://schemas.microsoft.com/office/2007/relationships/slicerCache" Target="slicerCaches/slicerCache15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10.xml"/><Relationship Id="rId42" Type="http://schemas.microsoft.com/office/2007/relationships/slicerCache" Target="slicerCaches/slicerCache18.xml"/><Relationship Id="rId47" Type="http://schemas.microsoft.com/office/2007/relationships/slicerCache" Target="slicerCaches/slicerCache23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5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8.xml"/><Relationship Id="rId37" Type="http://schemas.microsoft.com/office/2007/relationships/slicerCache" Target="slicerCaches/slicerCache13.xml"/><Relationship Id="rId40" Type="http://schemas.microsoft.com/office/2007/relationships/slicerCache" Target="slicerCaches/slicerCache16.xml"/><Relationship Id="rId45" Type="http://schemas.microsoft.com/office/2007/relationships/slicerCache" Target="slicerCaches/slicerCache21.xml"/><Relationship Id="rId53" Type="http://schemas.openxmlformats.org/officeDocument/2006/relationships/sheetMetadata" Target="metadata.xml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microsoft.com/office/2007/relationships/slicerCache" Target="slicerCaches/slicerCache11.xml"/><Relationship Id="rId43" Type="http://schemas.microsoft.com/office/2007/relationships/slicerCache" Target="slicerCaches/slicerCache19.xml"/><Relationship Id="rId48" Type="http://schemas.microsoft.com/office/2007/relationships/slicerCache" Target="slicerCaches/slicerCache24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microsoft.com/office/2007/relationships/slicerCache" Target="slicerCaches/slicerCache9.xml"/><Relationship Id="rId38" Type="http://schemas.microsoft.com/office/2007/relationships/slicerCache" Target="slicerCaches/slicerCache14.xml"/><Relationship Id="rId46" Type="http://schemas.microsoft.com/office/2007/relationships/slicerCache" Target="slicerCaches/slicerCache22.xml"/><Relationship Id="rId59" Type="http://schemas.microsoft.com/office/2006/relationships/vbaProject" Target="vbaProject.bin"/><Relationship Id="rId20" Type="http://schemas.openxmlformats.org/officeDocument/2006/relationships/pivotCacheDefinition" Target="pivotCache/pivotCacheDefinition2.xml"/><Relationship Id="rId41" Type="http://schemas.microsoft.com/office/2007/relationships/slicerCache" Target="slicerCaches/slicerCache17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4.xml"/><Relationship Id="rId36" Type="http://schemas.microsoft.com/office/2007/relationships/slicerCache" Target="slicerCaches/slicerCache12.xml"/><Relationship Id="rId49" Type="http://schemas.microsoft.com/office/2007/relationships/slicerCache" Target="slicerCaches/slicerCache25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7.xml"/><Relationship Id="rId44" Type="http://schemas.microsoft.com/office/2007/relationships/slicerCache" Target="slicerCaches/slicerCache20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3F-C746-A79D-FDDB6F53C41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3F-C746-A79D-FDDB6F53C41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C3F-C746-A79D-FDDB6F53C41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AC3F-C746-A79D-FDDB6F53C410}"/>
            </c:ext>
          </c:extLst>
        </c:ser>
        <c:ser>
          <c:idx val="1"/>
          <c:order val="1"/>
          <c:tx>
            <c:v>Series2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C3F-C746-A79D-FDDB6F53C41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C3F-C746-A79D-FDDB6F53C41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C3F-C746-A79D-FDDB6F53C41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3F-C746-A79D-FDDB6F53C410}"/>
            </c:ext>
          </c:extLst>
        </c:ser>
        <c:ser>
          <c:idx val="2"/>
          <c:order val="2"/>
          <c:tx>
            <c:v>Series3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C3F-C746-A79D-FDDB6F53C41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C3F-C746-A79D-FDDB6F53C41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C3F-C746-A79D-FDDB6F53C41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AC3F-C746-A79D-FDDB6F53C410}"/>
            </c:ext>
          </c:extLst>
        </c:ser>
        <c:ser>
          <c:idx val="3"/>
          <c:order val="3"/>
          <c:tx>
            <c:v>Series4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AC3F-C746-A79D-FDDB6F53C41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C3F-C746-A79D-FDDB6F53C41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AC3F-C746-A79D-FDDB6F53C41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100</c:v>
              </c:pt>
              <c:pt idx="2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1B-AC3F-C746-A79D-FDDB6F53C41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fb690b51-8604-41a2-8470-e06eba2a701e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5C-2A41-AE62-3B95F6A0A5B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C5C-2A41-AE62-3B95F6A0A5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3C5C-2A41-AE62-3B95F6A0A5BD}"/>
            </c:ext>
          </c:extLst>
        </c:ser>
        <c:ser>
          <c:idx val="1"/>
          <c:order val="1"/>
          <c:tx>
            <c:v>Series2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C5C-2A41-AE62-3B95F6A0A5B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C5C-2A41-AE62-3B95F6A0A5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1500</c:v>
              </c:pt>
            </c:numLit>
          </c:val>
          <c:extLst>
            <c:ext xmlns:c16="http://schemas.microsoft.com/office/drawing/2014/chart" uri="{C3380CC4-5D6E-409C-BE32-E72D297353CC}">
              <c16:uniqueId val="{00000009-3C5C-2A41-AE62-3B95F6A0A5BD}"/>
            </c:ext>
          </c:extLst>
        </c:ser>
        <c:ser>
          <c:idx val="2"/>
          <c:order val="2"/>
          <c:tx>
            <c:v>Series3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C5C-2A41-AE62-3B95F6A0A5B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C5C-2A41-AE62-3B95F6A0A5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0E-3C5C-2A41-AE62-3B95F6A0A5BD}"/>
            </c:ext>
          </c:extLst>
        </c:ser>
        <c:ser>
          <c:idx val="3"/>
          <c:order val="3"/>
          <c:tx>
            <c:v>Series4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C5C-2A41-AE62-3B95F6A0A5B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3C5C-2A41-AE62-3B95F6A0A5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1000</c:v>
              </c:pt>
            </c:numLit>
          </c:val>
          <c:extLst>
            <c:ext xmlns:c16="http://schemas.microsoft.com/office/drawing/2014/chart" uri="{C3380CC4-5D6E-409C-BE32-E72D297353CC}">
              <c16:uniqueId val="{00000013-3C5C-2A41-AE62-3B95F6A0A5BD}"/>
            </c:ext>
          </c:extLst>
        </c:ser>
        <c:ser>
          <c:idx val="4"/>
          <c:order val="4"/>
          <c:tx>
            <c:v>Series5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3C5C-2A41-AE62-3B95F6A0A5B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3C5C-2A41-AE62-3B95F6A0A5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18-3C5C-2A41-AE62-3B95F6A0A5BD}"/>
            </c:ext>
          </c:extLst>
        </c:ser>
        <c:ser>
          <c:idx val="5"/>
          <c:order val="5"/>
          <c:tx>
            <c:v>Series6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3C5C-2A41-AE62-3B95F6A0A5B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3C5C-2A41-AE62-3B95F6A0A5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D-3C5C-2A41-AE62-3B95F6A0A5B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6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d011559d-6229-4609-8b90-0462f0c0b8e9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717642923757301"/>
          <c:y val="0.127244498257778"/>
          <c:w val="0.62587601977720797"/>
          <c:h val="0.7375822768096680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44-F644-8B85-5C91DEE8490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44-F644-8B85-5C91DEE8490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44-F644-8B85-5C91DEE8490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44-F644-8B85-5C91DEE849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4144-F644-8B85-5C91DEE84907}"/>
            </c:ext>
          </c:extLst>
        </c:ser>
        <c:ser>
          <c:idx val="1"/>
          <c:order val="1"/>
          <c:tx>
            <c:v>Q1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144-F644-8B85-5C91DEE8490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144-F644-8B85-5C91DEE8490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144-F644-8B85-5C91DEE8490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144-F644-8B85-5C91DEE849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0</c:v>
              </c:pt>
              <c:pt idx="2">
                <c:v>0</c:v>
              </c:pt>
              <c:pt idx="3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11-4144-F644-8B85-5C91DEE84907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144-F644-8B85-5C91DEE8490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144-F644-8B85-5C91DEE8490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144-F644-8B85-5C91DEE8490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144-F644-8B85-5C91DEE849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2000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4144-F644-8B85-5C91DEE84907}"/>
            </c:ext>
          </c:extLst>
        </c:ser>
        <c:ser>
          <c:idx val="3"/>
          <c:order val="3"/>
          <c:tx>
            <c:v>Q4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4144-F644-8B85-5C91DEE8490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4144-F644-8B85-5C91DEE8490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4144-F644-8B85-5C91DEE8490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4144-F644-8B85-5C91DEE849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1700</c:v>
              </c:pt>
              <c:pt idx="2">
                <c:v>0</c:v>
              </c:pt>
              <c:pt idx="3">
                <c:v>5000</c:v>
              </c:pt>
            </c:numLit>
          </c:val>
          <c:extLst>
            <c:ext xmlns:c16="http://schemas.microsoft.com/office/drawing/2014/chart" uri="{C3380CC4-5D6E-409C-BE32-E72D297353CC}">
              <c16:uniqueId val="{00000023-4144-F644-8B85-5C91DEE84907}"/>
            </c:ext>
          </c:extLst>
        </c:ser>
        <c:ser>
          <c:idx val="4"/>
          <c:order val="4"/>
          <c:tx>
            <c:v>Q2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4144-F644-8B85-5C91DEE8490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4144-F644-8B85-5C91DEE8490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4144-F644-8B85-5C91DEE8490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4144-F644-8B85-5C91DEE849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4000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C-4144-F644-8B85-5C91DEE8490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6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9cd40c85-78bf-447d-9d38-66437fc48a76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E50-584D-91F4-16CB9C7AC6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E50-584D-91F4-16CB9C7AC6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E50-584D-91F4-16CB9C7AC6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E50-584D-91F4-16CB9C7AC6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5E50-584D-91F4-16CB9C7AC6F7}"/>
            </c:ext>
          </c:extLst>
        </c:ser>
        <c:ser>
          <c:idx val="1"/>
          <c:order val="1"/>
          <c:tx>
            <c:v>Q1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E50-584D-91F4-16CB9C7AC6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E50-584D-91F4-16CB9C7AC6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E50-584D-91F4-16CB9C7AC6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E50-584D-91F4-16CB9C7AC6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0</c:v>
              </c:pt>
              <c:pt idx="2">
                <c:v>0</c:v>
              </c:pt>
              <c:pt idx="3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11-5E50-584D-91F4-16CB9C7AC6F7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E50-584D-91F4-16CB9C7AC6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E50-584D-91F4-16CB9C7AC6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E50-584D-91F4-16CB9C7AC6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5E50-584D-91F4-16CB9C7AC6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2000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5E50-584D-91F4-16CB9C7AC6F7}"/>
            </c:ext>
          </c:extLst>
        </c:ser>
        <c:ser>
          <c:idx val="3"/>
          <c:order val="3"/>
          <c:tx>
            <c:v>Q4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5E50-584D-91F4-16CB9C7AC6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5E50-584D-91F4-16CB9C7AC6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5E50-584D-91F4-16CB9C7AC6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5E50-584D-91F4-16CB9C7AC6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1700</c:v>
              </c:pt>
              <c:pt idx="2">
                <c:v>0</c:v>
              </c:pt>
              <c:pt idx="3">
                <c:v>5000</c:v>
              </c:pt>
            </c:numLit>
          </c:val>
          <c:extLst>
            <c:ext xmlns:c16="http://schemas.microsoft.com/office/drawing/2014/chart" uri="{C3380CC4-5D6E-409C-BE32-E72D297353CC}">
              <c16:uniqueId val="{00000023-5E50-584D-91F4-16CB9C7AC6F7}"/>
            </c:ext>
          </c:extLst>
        </c:ser>
        <c:ser>
          <c:idx val="4"/>
          <c:order val="4"/>
          <c:tx>
            <c:v>Q2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5E50-584D-91F4-16CB9C7AC6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5E50-584D-91F4-16CB9C7AC6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5E50-584D-91F4-16CB9C7AC6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5E50-584D-91F4-16CB9C7AC6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4000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C-5E50-584D-91F4-16CB9C7AC6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6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41da02a-c32d-4988-9a7e-fb792f352328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Q1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48F-2C42-A863-3CA7A3B7FCF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48F-2C42-A863-3CA7A3B7FCF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48F-2C42-A863-3CA7A3B7FCF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48F-2C42-A863-3CA7A3B7FCF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48F-2C42-A863-3CA7A3B7FCF9}"/>
              </c:ext>
            </c:extLst>
          </c:dPt>
          <c:dLbls>
            <c:dLbl>
              <c:idx val="1"/>
              <c:layout>
                <c:manualLayout>
                  <c:x val="-3.3320266133600701E-2"/>
                  <c:y val="-4.6498906909554501E-2"/>
                </c:manualLayout>
              </c:layout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8F-2C42-A863-3CA7A3B7FCF9}"/>
                </c:ext>
              </c:extLst>
            </c:dLbl>
            <c:dLbl>
              <c:idx val="2"/>
              <c:layout>
                <c:manualLayout>
                  <c:x val="3.3320266133600701E-2"/>
                  <c:y val="5.5798688291465399E-2"/>
                </c:manualLayout>
              </c:layout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48F-2C42-A863-3CA7A3B7FC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Third-party Water</c:v>
              </c:pt>
              <c:pt idx="1">
                <c:v>Building 3 Recycled Water</c:v>
              </c:pt>
              <c:pt idx="2">
                <c:v>Building 3 Third-party Water</c:v>
              </c:pt>
              <c:pt idx="3">
                <c:v>Building 4 Collected Rainwater</c:v>
              </c:pt>
              <c:pt idx="4">
                <c:v>Building 4 Recycled Water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300</c:v>
              </c:pt>
              <c:pt idx="2">
                <c:v>500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E48F-2C42-A863-3CA7A3B7FCF9}"/>
            </c:ext>
          </c:extLst>
        </c:ser>
        <c:ser>
          <c:idx val="1"/>
          <c:order val="1"/>
          <c:tx>
            <c:v>Q2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48F-2C42-A863-3CA7A3B7FCF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48F-2C42-A863-3CA7A3B7FCF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48F-2C42-A863-3CA7A3B7FCF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E48F-2C42-A863-3CA7A3B7FCF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48F-2C42-A863-3CA7A3B7FC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Third-party Water</c:v>
              </c:pt>
              <c:pt idx="1">
                <c:v>Building 3 Recycled Water</c:v>
              </c:pt>
              <c:pt idx="2">
                <c:v>Building 3 Third-party Water</c:v>
              </c:pt>
              <c:pt idx="3">
                <c:v>Building 4 Collected Rainwater</c:v>
              </c:pt>
              <c:pt idx="4">
                <c:v>Building 4 Recycled Water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150</c:v>
              </c:pt>
              <c:pt idx="4">
                <c:v>200</c:v>
              </c:pt>
            </c:numLit>
          </c:val>
          <c:extLst>
            <c:ext xmlns:c16="http://schemas.microsoft.com/office/drawing/2014/chart" uri="{C3380CC4-5D6E-409C-BE32-E72D297353CC}">
              <c16:uniqueId val="{00000015-E48F-2C42-A863-3CA7A3B7FCF9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48F-2C42-A863-3CA7A3B7FCF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48F-2C42-A863-3CA7A3B7FCF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48F-2C42-A863-3CA7A3B7FCF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48F-2C42-A863-3CA7A3B7FCF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48F-2C42-A863-3CA7A3B7FCF9}"/>
              </c:ext>
            </c:extLst>
          </c:dPt>
          <c:dLbls>
            <c:dLbl>
              <c:idx val="0"/>
              <c:layout>
                <c:manualLayout>
                  <c:x val="0.12772768684546901"/>
                  <c:y val="-2.3249453454777299E-2"/>
                </c:manualLayout>
              </c:layout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48F-2C42-A863-3CA7A3B7FC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Third-party Water</c:v>
              </c:pt>
              <c:pt idx="1">
                <c:v>Building 3 Recycled Water</c:v>
              </c:pt>
              <c:pt idx="2">
                <c:v>Building 3 Third-party Water</c:v>
              </c:pt>
              <c:pt idx="3">
                <c:v>Building 4 Collected Rainwater</c:v>
              </c:pt>
              <c:pt idx="4">
                <c:v>Building 4 Recycled Water</c:v>
              </c:pt>
            </c:strLit>
          </c:cat>
          <c:val>
            <c:numLit>
              <c:formatCode>General</c:formatCode>
              <c:ptCount val="5"/>
              <c:pt idx="0">
                <c:v>200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0-E48F-2C42-A863-3CA7A3B7FCF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57d311dc-8139-4ee8-9b2d-47fd5fef2e86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Q1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AF-824C-8D06-515FE2A26F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FAF-824C-8D06-515FE2A26F9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FAF-824C-8D06-515FE2A26F9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FAF-824C-8D06-515FE2A26F9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FAF-824C-8D06-515FE2A26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External Treatment Facility</c:v>
              </c:pt>
              <c:pt idx="1">
                <c:v>Building 3 External Treatment Facility</c:v>
              </c:pt>
              <c:pt idx="2">
                <c:v>Building 3 Reuse (e.g., irrigation, flushing, among others)</c:v>
              </c:pt>
              <c:pt idx="3">
                <c:v>Building 4 External Treatment Facility</c:v>
              </c:pt>
              <c:pt idx="4">
                <c:v>Building 4 Reuse (e.g., irrigation, flushing, among others)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120</c:v>
              </c:pt>
            </c:numLit>
          </c:val>
          <c:extLst>
            <c:ext xmlns:c16="http://schemas.microsoft.com/office/drawing/2014/chart" uri="{C3380CC4-5D6E-409C-BE32-E72D297353CC}">
              <c16:uniqueId val="{0000000A-2FAF-824C-8D06-515FE2A26F90}"/>
            </c:ext>
          </c:extLst>
        </c:ser>
        <c:ser>
          <c:idx val="1"/>
          <c:order val="1"/>
          <c:tx>
            <c:v>Q2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FAF-824C-8D06-515FE2A26F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FAF-824C-8D06-515FE2A26F9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2FAF-824C-8D06-515FE2A26F9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FAF-824C-8D06-515FE2A26F9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2FAF-824C-8D06-515FE2A26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External Treatment Facility</c:v>
              </c:pt>
              <c:pt idx="1">
                <c:v>Building 3 External Treatment Facility</c:v>
              </c:pt>
              <c:pt idx="2">
                <c:v>Building 3 Reuse (e.g., irrigation, flushing, among others)</c:v>
              </c:pt>
              <c:pt idx="3">
                <c:v>Building 4 External Treatment Facility</c:v>
              </c:pt>
              <c:pt idx="4">
                <c:v>Building 4 Reuse (e.g., irrigation, flushing, among others)</c:v>
              </c:pt>
            </c:strLit>
          </c:cat>
          <c:val>
            <c:numLit>
              <c:formatCode>General</c:formatCode>
              <c:ptCount val="5"/>
              <c:pt idx="0">
                <c:v>140</c:v>
              </c:pt>
              <c:pt idx="1">
                <c:v>200</c:v>
              </c:pt>
              <c:pt idx="2">
                <c:v>200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2FAF-824C-8D06-515FE2A26F90}"/>
            </c:ext>
          </c:extLst>
        </c:ser>
        <c:ser>
          <c:idx val="2"/>
          <c:order val="2"/>
          <c:tx>
            <c:v>Q4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FAF-824C-8D06-515FE2A26F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FAF-824C-8D06-515FE2A26F9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FAF-824C-8D06-515FE2A26F9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FAF-824C-8D06-515FE2A26F9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2FAF-824C-8D06-515FE2A26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External Treatment Facility</c:v>
              </c:pt>
              <c:pt idx="1">
                <c:v>Building 3 External Treatment Facility</c:v>
              </c:pt>
              <c:pt idx="2">
                <c:v>Building 3 Reuse (e.g., irrigation, flushing, among others)</c:v>
              </c:pt>
              <c:pt idx="3">
                <c:v>Building 4 External Treatment Facility</c:v>
              </c:pt>
              <c:pt idx="4">
                <c:v>Building 4 Reuse (e.g., irrigation, flushing, among others)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130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0-2FAF-824C-8D06-515FE2A26F9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3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8b3d4751-499d-48fc-8808-595f477ca106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Q1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D6-5E4A-85E8-3A23EC55F2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D6-5E4A-85E8-3A23EC55F2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DD6-5E4A-85E8-3A23EC55F2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DD6-5E4A-85E8-3A23EC55F232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500</c:v>
              </c:pt>
              <c:pt idx="2">
                <c:v>0</c:v>
              </c:pt>
              <c:pt idx="3">
                <c:v>500</c:v>
              </c:pt>
            </c:numLit>
          </c:val>
          <c:extLst>
            <c:ext xmlns:c16="http://schemas.microsoft.com/office/drawing/2014/chart" uri="{C3380CC4-5D6E-409C-BE32-E72D297353CC}">
              <c16:uniqueId val="{00000008-8DD6-5E4A-85E8-3A23EC55F232}"/>
            </c:ext>
          </c:extLst>
        </c:ser>
        <c:ser>
          <c:idx val="1"/>
          <c:order val="1"/>
          <c:tx>
            <c:v>Q2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DD6-5E4A-85E8-3A23EC55F2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DD6-5E4A-85E8-3A23EC55F2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8DD6-5E4A-85E8-3A23EC55F2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DD6-5E4A-85E8-3A23EC55F232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700</c:v>
              </c:pt>
              <c:pt idx="1">
                <c:v>0</c:v>
              </c:pt>
              <c:pt idx="2">
                <c:v>500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8DD6-5E4A-85E8-3A23EC55F232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DD6-5E4A-85E8-3A23EC55F2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DD6-5E4A-85E8-3A23EC55F2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8DD6-5E4A-85E8-3A23EC55F2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8DD6-5E4A-85E8-3A23EC55F232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8DD6-5E4A-85E8-3A23EC55F232}"/>
            </c:ext>
          </c:extLst>
        </c:ser>
        <c:ser>
          <c:idx val="3"/>
          <c:order val="3"/>
          <c:tx>
            <c:v>Q4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8DD6-5E4A-85E8-3A23EC55F2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8DD6-5E4A-85E8-3A23EC55F2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8DD6-5E4A-85E8-3A23EC55F2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8DD6-5E4A-85E8-3A23EC55F232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500</c:v>
              </c:pt>
              <c:pt idx="1">
                <c:v>750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3-8DD6-5E4A-85E8-3A23EC55F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e972a5ae-50e4-4c6f-b5b7-d79d0be1872a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520032</xdr:colOff>
      <xdr:row>3</xdr:row>
      <xdr:rowOff>45050</xdr:rowOff>
    </xdr:from>
    <xdr:to>
      <xdr:col>10</xdr:col>
      <xdr:colOff>515800</xdr:colOff>
      <xdr:row>16</xdr:row>
      <xdr:rowOff>4376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uel Type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 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98130" y="663575"/>
              <a:ext cx="758190" cy="2435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11</xdr:col>
      <xdr:colOff>97143</xdr:colOff>
      <xdr:row>3</xdr:row>
      <xdr:rowOff>53251</xdr:rowOff>
    </xdr:from>
    <xdr:to>
      <xdr:col>12</xdr:col>
      <xdr:colOff>96028</xdr:colOff>
      <xdr:row>16</xdr:row>
      <xdr:rowOff>7559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nth 7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7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99220" y="671830"/>
              <a:ext cx="761365" cy="24307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756798</xdr:colOff>
      <xdr:row>2</xdr:row>
      <xdr:rowOff>73940</xdr:rowOff>
    </xdr:from>
    <xdr:to>
      <xdr:col>18</xdr:col>
      <xdr:colOff>727153</xdr:colOff>
      <xdr:row>20</xdr:row>
      <xdr:rowOff>149627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120926</xdr:colOff>
      <xdr:row>27</xdr:row>
      <xdr:rowOff>57977</xdr:rowOff>
    </xdr:from>
    <xdr:to>
      <xdr:col>8</xdr:col>
      <xdr:colOff>1504675</xdr:colOff>
      <xdr:row>40</xdr:row>
      <xdr:rowOff>79676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Vehicle Type 1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le Type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84875" y="5296535"/>
              <a:ext cx="1393825" cy="2498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1541669</xdr:colOff>
      <xdr:row>27</xdr:row>
      <xdr:rowOff>62395</xdr:rowOff>
    </xdr:from>
    <xdr:to>
      <xdr:col>9</xdr:col>
      <xdr:colOff>1655968</xdr:colOff>
      <xdr:row>40</xdr:row>
      <xdr:rowOff>80781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Fuel Type 3">
              <a:extLst>
                <a:ext uri="{FF2B5EF4-FFF2-40B4-BE49-F238E27FC236}">
                  <a16:creationId xmlns:a16="http://schemas.microsoft.com/office/drawing/2014/main" id="{00000000-0008-0000-0B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 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78700" y="5300980"/>
              <a:ext cx="762000" cy="24949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678070</xdr:colOff>
      <xdr:row>27</xdr:row>
      <xdr:rowOff>45831</xdr:rowOff>
    </xdr:from>
    <xdr:to>
      <xdr:col>14</xdr:col>
      <xdr:colOff>673653</xdr:colOff>
      <xdr:row>40</xdr:row>
      <xdr:rowOff>57467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onth 8">
              <a:extLst>
                <a:ext uri="{FF2B5EF4-FFF2-40B4-BE49-F238E27FC236}">
                  <a16:creationId xmlns:a16="http://schemas.microsoft.com/office/drawing/2014/main" id="{00000000-0008-0000-0B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8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42245" y="5284470"/>
              <a:ext cx="1519555" cy="24879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1704009</xdr:colOff>
      <xdr:row>27</xdr:row>
      <xdr:rowOff>56321</xdr:rowOff>
    </xdr:from>
    <xdr:to>
      <xdr:col>12</xdr:col>
      <xdr:colOff>588617</xdr:colOff>
      <xdr:row>40</xdr:row>
      <xdr:rowOff>52742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Quarter 6">
              <a:extLst>
                <a:ext uri="{FF2B5EF4-FFF2-40B4-BE49-F238E27FC236}">
                  <a16:creationId xmlns:a16="http://schemas.microsoft.com/office/drawing/2014/main" id="{00000000-0008-0000-0B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6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40700" y="5294630"/>
              <a:ext cx="2112010" cy="2473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14</xdr:col>
      <xdr:colOff>804332</xdr:colOff>
      <xdr:row>26</xdr:row>
      <xdr:rowOff>8466</xdr:rowOff>
    </xdr:from>
    <xdr:to>
      <xdr:col>20</xdr:col>
      <xdr:colOff>266700</xdr:colOff>
      <xdr:row>46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78127</xdr:colOff>
      <xdr:row>56</xdr:row>
      <xdr:rowOff>176921</xdr:rowOff>
    </xdr:from>
    <xdr:to>
      <xdr:col>12</xdr:col>
      <xdr:colOff>127720</xdr:colOff>
      <xdr:row>69</xdr:row>
      <xdr:rowOff>168300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ource Description 2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rce Description 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18805" y="10972800"/>
              <a:ext cx="1573530" cy="2454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6</xdr:col>
      <xdr:colOff>151037</xdr:colOff>
      <xdr:row>57</xdr:row>
      <xdr:rowOff>4619</xdr:rowOff>
    </xdr:from>
    <xdr:to>
      <xdr:col>8</xdr:col>
      <xdr:colOff>317500</xdr:colOff>
      <xdr:row>69</xdr:row>
      <xdr:rowOff>173798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Month 9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9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62245" y="10977245"/>
              <a:ext cx="1671955" cy="24549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508000</xdr:colOff>
      <xdr:row>56</xdr:row>
      <xdr:rowOff>177134</xdr:rowOff>
    </xdr:from>
    <xdr:to>
      <xdr:col>9</xdr:col>
      <xdr:colOff>736600</xdr:colOff>
      <xdr:row>69</xdr:row>
      <xdr:rowOff>166596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Quarter 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7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24700" y="10972800"/>
              <a:ext cx="990600" cy="2452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320858</xdr:colOff>
      <xdr:row>56</xdr:row>
      <xdr:rowOff>166576</xdr:rowOff>
    </xdr:from>
    <xdr:to>
      <xdr:col>14</xdr:col>
      <xdr:colOff>38100</xdr:colOff>
      <xdr:row>69</xdr:row>
      <xdr:rowOff>157955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Utility Provider 1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tility Provider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85375" y="10972800"/>
              <a:ext cx="1241425" cy="2443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14</xdr:col>
      <xdr:colOff>301242</xdr:colOff>
      <xdr:row>56</xdr:row>
      <xdr:rowOff>174533</xdr:rowOff>
    </xdr:from>
    <xdr:to>
      <xdr:col>18</xdr:col>
      <xdr:colOff>774699</xdr:colOff>
      <xdr:row>73</xdr:row>
      <xdr:rowOff>152400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586127</xdr:colOff>
      <xdr:row>81</xdr:row>
      <xdr:rowOff>164221</xdr:rowOff>
    </xdr:from>
    <xdr:to>
      <xdr:col>12</xdr:col>
      <xdr:colOff>635720</xdr:colOff>
      <xdr:row>94</xdr:row>
      <xdr:rowOff>155600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ource Description 3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rce Description 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26805" y="15754350"/>
              <a:ext cx="1573530" cy="244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6</xdr:col>
      <xdr:colOff>151037</xdr:colOff>
      <xdr:row>82</xdr:row>
      <xdr:rowOff>4619</xdr:rowOff>
    </xdr:from>
    <xdr:to>
      <xdr:col>8</xdr:col>
      <xdr:colOff>814717</xdr:colOff>
      <xdr:row>94</xdr:row>
      <xdr:rowOff>173798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Month 10">
              <a:extLst>
                <a:ext uri="{FF2B5EF4-FFF2-40B4-BE49-F238E27FC236}">
                  <a16:creationId xmlns:a16="http://schemas.microsoft.com/office/drawing/2014/main" id="{00000000-0008-0000-0B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0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62245" y="15758795"/>
              <a:ext cx="2116455" cy="24549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2038</xdr:colOff>
      <xdr:row>81</xdr:row>
      <xdr:rowOff>177134</xdr:rowOff>
    </xdr:from>
    <xdr:to>
      <xdr:col>10</xdr:col>
      <xdr:colOff>469900</xdr:colOff>
      <xdr:row>94</xdr:row>
      <xdr:rowOff>166596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Quarter 8">
              <a:extLst>
                <a:ext uri="{FF2B5EF4-FFF2-40B4-BE49-F238E27FC236}">
                  <a16:creationId xmlns:a16="http://schemas.microsoft.com/office/drawing/2014/main" id="{00000000-0008-0000-0B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8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80605" y="15754350"/>
              <a:ext cx="1229995" cy="2452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821942</xdr:colOff>
      <xdr:row>82</xdr:row>
      <xdr:rowOff>9433</xdr:rowOff>
    </xdr:from>
    <xdr:to>
      <xdr:col>18</xdr:col>
      <xdr:colOff>279400</xdr:colOff>
      <xdr:row>101</xdr:row>
      <xdr:rowOff>50800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38101</xdr:colOff>
      <xdr:row>107</xdr:row>
      <xdr:rowOff>0</xdr:rowOff>
    </xdr:from>
    <xdr:to>
      <xdr:col>8</xdr:col>
      <xdr:colOff>913926</xdr:colOff>
      <xdr:row>119</xdr:row>
      <xdr:rowOff>178037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Month 11">
              <a:extLst>
                <a:ext uri="{FF2B5EF4-FFF2-40B4-BE49-F238E27FC236}">
                  <a16:creationId xmlns:a16="http://schemas.microsoft.com/office/drawing/2014/main" id="{00000000-0008-0000-0B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02325" y="20564475"/>
              <a:ext cx="1476375" cy="246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1003300</xdr:colOff>
      <xdr:row>107</xdr:row>
      <xdr:rowOff>12700</xdr:rowOff>
    </xdr:from>
    <xdr:to>
      <xdr:col>10</xdr:col>
      <xdr:colOff>101600</xdr:colOff>
      <xdr:row>119</xdr:row>
      <xdr:rowOff>164036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Quarter 9">
              <a:extLst>
                <a:ext uri="{FF2B5EF4-FFF2-40B4-BE49-F238E27FC236}">
                  <a16:creationId xmlns:a16="http://schemas.microsoft.com/office/drawing/2014/main" id="{00000000-0008-0000-0B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9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78700" y="20577175"/>
              <a:ext cx="863600" cy="24371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11</xdr:col>
      <xdr:colOff>964093</xdr:colOff>
      <xdr:row>107</xdr:row>
      <xdr:rowOff>18922</xdr:rowOff>
    </xdr:from>
    <xdr:to>
      <xdr:col>13</xdr:col>
      <xdr:colOff>139700</xdr:colOff>
      <xdr:row>119</xdr:row>
      <xdr:rowOff>167812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Source 1">
              <a:extLst>
                <a:ext uri="{FF2B5EF4-FFF2-40B4-BE49-F238E27FC236}">
                  <a16:creationId xmlns:a16="http://schemas.microsoft.com/office/drawing/2014/main" id="{00000000-0008-0000-0B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rce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4700" y="20582890"/>
              <a:ext cx="901700" cy="2435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10</xdr:col>
      <xdr:colOff>210560</xdr:colOff>
      <xdr:row>107</xdr:row>
      <xdr:rowOff>13768</xdr:rowOff>
    </xdr:from>
    <xdr:to>
      <xdr:col>11</xdr:col>
      <xdr:colOff>829733</xdr:colOff>
      <xdr:row>119</xdr:row>
      <xdr:rowOff>164867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Facility/Account 2">
              <a:extLst>
                <a:ext uri="{FF2B5EF4-FFF2-40B4-BE49-F238E27FC236}">
                  <a16:creationId xmlns:a16="http://schemas.microsoft.com/office/drawing/2014/main" id="{00000000-0008-0000-0B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ility/Account 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50885" y="20577810"/>
              <a:ext cx="1313815" cy="24371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13</xdr:col>
      <xdr:colOff>314512</xdr:colOff>
      <xdr:row>105</xdr:row>
      <xdr:rowOff>132977</xdr:rowOff>
    </xdr:from>
    <xdr:to>
      <xdr:col>20</xdr:col>
      <xdr:colOff>186765</xdr:colOff>
      <xdr:row>119</xdr:row>
      <xdr:rowOff>171824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346635</xdr:colOff>
      <xdr:row>123</xdr:row>
      <xdr:rowOff>169582</xdr:rowOff>
    </xdr:from>
    <xdr:to>
      <xdr:col>11</xdr:col>
      <xdr:colOff>1066800</xdr:colOff>
      <xdr:row>136</xdr:row>
      <xdr:rowOff>77128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Facility/Account 3">
              <a:extLst>
                <a:ext uri="{FF2B5EF4-FFF2-40B4-BE49-F238E27FC236}">
                  <a16:creationId xmlns:a16="http://schemas.microsoft.com/office/drawing/2014/main" id="{00000000-0008-0000-0B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ility/Account 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86775" y="23782020"/>
              <a:ext cx="1177925" cy="23837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6</xdr:col>
      <xdr:colOff>146175</xdr:colOff>
      <xdr:row>123</xdr:row>
      <xdr:rowOff>129488</xdr:rowOff>
    </xdr:from>
    <xdr:to>
      <xdr:col>8</xdr:col>
      <xdr:colOff>948267</xdr:colOff>
      <xdr:row>136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Month 12">
              <a:extLst>
                <a:ext uri="{FF2B5EF4-FFF2-40B4-BE49-F238E27FC236}">
                  <a16:creationId xmlns:a16="http://schemas.microsoft.com/office/drawing/2014/main" id="{00000000-0008-0000-0B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23741380"/>
              <a:ext cx="2120900" cy="24149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1024965</xdr:colOff>
      <xdr:row>123</xdr:row>
      <xdr:rowOff>150906</xdr:rowOff>
    </xdr:from>
    <xdr:to>
      <xdr:col>10</xdr:col>
      <xdr:colOff>266701</xdr:colOff>
      <xdr:row>136</xdr:row>
      <xdr:rowOff>58452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Quarter 10"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10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78700" y="23762970"/>
              <a:ext cx="1028700" cy="238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11</xdr:col>
      <xdr:colOff>1145988</xdr:colOff>
      <xdr:row>124</xdr:row>
      <xdr:rowOff>746</xdr:rowOff>
    </xdr:from>
    <xdr:to>
      <xdr:col>13</xdr:col>
      <xdr:colOff>317500</xdr:colOff>
      <xdr:row>136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Water Destination 1"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ater Destination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4700" y="23803610"/>
              <a:ext cx="1079500" cy="23234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13</xdr:col>
      <xdr:colOff>473766</xdr:colOff>
      <xdr:row>121</xdr:row>
      <xdr:rowOff>41781</xdr:rowOff>
    </xdr:from>
    <xdr:to>
      <xdr:col>20</xdr:col>
      <xdr:colOff>347318</xdr:colOff>
      <xdr:row>136</xdr:row>
      <xdr:rowOff>24111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292100</xdr:colOff>
      <xdr:row>144</xdr:row>
      <xdr:rowOff>12700</xdr:rowOff>
    </xdr:from>
    <xdr:to>
      <xdr:col>8</xdr:col>
      <xdr:colOff>508000</xdr:colOff>
      <xdr:row>156</xdr:row>
      <xdr:rowOff>155569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Month 13"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6325" y="27673300"/>
              <a:ext cx="968375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622300</xdr:colOff>
      <xdr:row>144</xdr:row>
      <xdr:rowOff>25400</xdr:rowOff>
    </xdr:from>
    <xdr:to>
      <xdr:col>9</xdr:col>
      <xdr:colOff>838200</xdr:colOff>
      <xdr:row>156</xdr:row>
      <xdr:rowOff>168269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Quarter 11">
              <a:extLst>
                <a:ext uri="{FF2B5EF4-FFF2-40B4-BE49-F238E27FC236}">
                  <a16:creationId xmlns:a16="http://schemas.microsoft.com/office/drawing/2014/main" id="{00000000-0008-0000-0B00-00002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1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39000" y="27686000"/>
              <a:ext cx="901700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914400</xdr:colOff>
      <xdr:row>144</xdr:row>
      <xdr:rowOff>50800</xdr:rowOff>
    </xdr:from>
    <xdr:to>
      <xdr:col>10</xdr:col>
      <xdr:colOff>1130300</xdr:colOff>
      <xdr:row>157</xdr:row>
      <xdr:rowOff>3169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Waste Composition 1">
              <a:extLst>
                <a:ext uri="{FF2B5EF4-FFF2-40B4-BE49-F238E27FC236}">
                  <a16:creationId xmlns:a16="http://schemas.microsoft.com/office/drawing/2014/main" id="{00000000-0008-0000-0B00-00002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aste Composition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40700" y="27711400"/>
              <a:ext cx="762000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10</xdr:col>
      <xdr:colOff>1231900</xdr:colOff>
      <xdr:row>144</xdr:row>
      <xdr:rowOff>50800</xdr:rowOff>
    </xdr:from>
    <xdr:to>
      <xdr:col>11</xdr:col>
      <xdr:colOff>1562100</xdr:colOff>
      <xdr:row>157</xdr:row>
      <xdr:rowOff>3169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Disposal Method 1">
              <a:extLst>
                <a:ext uri="{FF2B5EF4-FFF2-40B4-BE49-F238E27FC236}">
                  <a16:creationId xmlns:a16="http://schemas.microsoft.com/office/drawing/2014/main" id="{00000000-0008-0000-0B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al Method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02700" y="27711400"/>
              <a:ext cx="762000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13</xdr:col>
      <xdr:colOff>821266</xdr:colOff>
      <xdr:row>144</xdr:row>
      <xdr:rowOff>135466</xdr:rowOff>
    </xdr:from>
    <xdr:to>
      <xdr:col>19</xdr:col>
      <xdr:colOff>647699</xdr:colOff>
      <xdr:row>164</xdr:row>
      <xdr:rowOff>50799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bspgovph-my.sharepoint.com/projects/Defra%20GHG%20Conversion%20Factors/2018%20Update/Electricity/UK%20Elec/GHG%20CF_UK%20Electricity_2018_MAST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T notes_Temp"/>
      <sheetName val="QA_Index"/>
      <sheetName val="Version&amp;Issue_Log"/>
      <sheetName val="Update_Checklist"/>
      <sheetName val="DataSources"/>
      <sheetName val="QC_Checklist"/>
      <sheetName val="RAW1_NAEI GHG"/>
      <sheetName val="RAW2_DUKES Table 5.6"/>
      <sheetName val="RAW3_DUKES Table 5.1.2"/>
      <sheetName val="RAW4_DUKES Table 5A"/>
      <sheetName val="RAW5_GWP Factors"/>
      <sheetName val="RAW6_Benchmark Data"/>
      <sheetName val="RAW7_DUKES Autogen"/>
      <sheetName val="OtherAssumptions"/>
      <sheetName val="Calc1_UK_Elec"/>
      <sheetName val="Calc1a_OtherT_EF"/>
      <sheetName val="Calc2_UK_WTT_Elec"/>
      <sheetName val="MethodPaper"/>
      <sheetName val="LinkedInOutput"/>
      <sheetName val="Benchmark"/>
      <sheetName val="UK electricity"/>
      <sheetName val="Transmission and distribution"/>
      <sheetName val="WTT- UK &amp; overseas elec"/>
      <sheetName val="Conversions"/>
      <sheetName val="Verification-Validation"/>
      <sheetName val="Lookups"/>
      <sheetName val="GHG CF_UK Electricity_2018_MA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100" xr:uid="{00000000-000A-0000-FFFF-FFFF00000000}">
  <cacheSource type="worksheet">
    <worksheetSource name="water_in"/>
  </cacheSource>
  <cacheFields count="7">
    <cacheField name="No." numFmtId="0">
      <sharedItems containsSemiMixedTypes="0" containsNonDate="0" containsString="0"/>
    </cacheField>
    <cacheField name="Facility/Account" numFmtId="0">
      <sharedItems containsBlank="1" count="4">
        <s v="Building 3"/>
        <s v="Building 4"/>
        <s v="Building 1"/>
        <m/>
      </sharedItems>
    </cacheField>
    <cacheField name="Month" numFmtId="0">
      <sharedItems containsBlank="1" count="6">
        <s v="Jan"/>
        <s v="Apr"/>
        <s v="Feb"/>
        <s v="Jul"/>
        <s v="Jun"/>
        <m/>
      </sharedItems>
    </cacheField>
    <cacheField name="Quarter" numFmtId="0">
      <sharedItems count="4">
        <s v="Q1"/>
        <s v="Q2"/>
        <s v="Q3"/>
        <s v=""/>
      </sharedItems>
    </cacheField>
    <cacheField name="Source" numFmtId="0">
      <sharedItems containsBlank="1" count="4">
        <s v="Third-party Water"/>
        <s v="Recycled Water"/>
        <s v="Collected Rainwater"/>
        <m/>
      </sharedItems>
    </cacheField>
    <cacheField name="Volume (m3)" numFmtId="4">
      <sharedItems containsSemiMixedTypes="0" containsNonDate="0" containsString="0"/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100" xr:uid="{00000000-000A-0000-FFFF-FFFF01000000}">
  <cacheSource type="worksheet">
    <worksheetSource name="water_out"/>
  </cacheSource>
  <cacheFields count="7">
    <cacheField name="No." numFmtId="0">
      <sharedItems containsSemiMixedTypes="0" containsNonDate="0" containsString="0"/>
    </cacheField>
    <cacheField name="Facility/Account" numFmtId="0">
      <sharedItems containsBlank="1" count="4">
        <s v="Building 3"/>
        <s v="Building 4"/>
        <s v="Building 1"/>
        <m/>
      </sharedItems>
    </cacheField>
    <cacheField name="Month" numFmtId="0">
      <sharedItems containsBlank="1" count="6">
        <s v="May"/>
        <s v="Feb"/>
        <s v="Apr"/>
        <s v="Jun"/>
        <s v="Oct"/>
        <m/>
      </sharedItems>
    </cacheField>
    <cacheField name="Quarter" numFmtId="0">
      <sharedItems count="4">
        <s v="Q2"/>
        <s v="Q1"/>
        <s v="Q4"/>
        <s v=""/>
      </sharedItems>
    </cacheField>
    <cacheField name="Volume (m3)" numFmtId="4">
      <sharedItems containsSemiMixedTypes="0" containsNonDate="0" containsString="0"/>
    </cacheField>
    <cacheField name="Water Destination" numFmtId="4">
      <sharedItems containsBlank="1" count="3">
        <s v="External Treatment Facility"/>
        <s v="Reuse (e.g., irrigation, flushing, among others)"/>
        <m/>
      </sharedItems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100" xr:uid="{00000000-000A-0000-FFFF-FFFF02000000}">
  <cacheSource type="worksheet">
    <worksheetSource name="Fuel_Blg"/>
  </cacheSource>
  <cacheFields count="8">
    <cacheField name="No." numFmtId="0">
      <sharedItems containsSemiMixedTypes="0" containsNonDate="0" containsString="0"/>
    </cacheField>
    <cacheField name="Location" numFmtId="0">
      <sharedItems containsSemiMixedTypes="0" containsNonDate="0" containsString="0"/>
    </cacheField>
    <cacheField name="Fuel Type" numFmtId="0">
      <sharedItems containsBlank="1" count="4">
        <s v="Diesel - Standby generator sets"/>
        <s v="Diesel - Others"/>
        <m/>
        <s v="LPG - Heating and cooking" u="1"/>
      </sharedItems>
    </cacheField>
    <cacheField name="Month" numFmtId="0">
      <sharedItems containsBlank="1" count="6">
        <s v="Dec"/>
        <s v="Aug"/>
        <m/>
        <s v="Mar" u="1"/>
        <s v="Feb" u="1"/>
        <s v="Apr" u="1"/>
      </sharedItems>
    </cacheField>
    <cacheField name="Quarter" numFmtId="0">
      <sharedItems count="6">
        <s v="Q4"/>
        <s v="Q3"/>
        <s v=""/>
        <s v="Q1" u="1"/>
        <s v="Q2" u="1"/>
        <e v="#N/A" u="1"/>
      </sharedItems>
    </cacheField>
    <cacheField name="Consumption" numFmtId="4">
      <sharedItems containsSemiMixedTypes="0" containsNonDate="0" containsString="0"/>
    </cacheField>
    <cacheField name="Unit" numFmtId="0">
      <sharedItems containsSemiMixedTypes="0" containsNonDate="0" containsString="0"/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97" xr:uid="{00000000-000A-0000-FFFF-FFFF03000000}">
  <cacheSource type="worksheet">
    <worksheetSource name="Waste"/>
  </cacheSource>
  <cacheFields count="7">
    <cacheField name="No." numFmtId="0">
      <sharedItems containsSemiMixedTypes="0" containsNonDate="0" containsString="0"/>
    </cacheField>
    <cacheField name="Month" numFmtId="0">
      <sharedItems containsBlank="1" count="8">
        <s v="Jan"/>
        <s v="Feb"/>
        <s v="May"/>
        <s v="Nov"/>
        <s v="Sep"/>
        <s v="Oct"/>
        <s v="Jun"/>
        <m/>
      </sharedItems>
    </cacheField>
    <cacheField name="Quarter" numFmtId="0">
      <sharedItems count="5">
        <s v="Q1"/>
        <s v="Q2"/>
        <s v="Q4"/>
        <s v="Q3"/>
        <s v=""/>
      </sharedItems>
    </cacheField>
    <cacheField name="Waste Composition" numFmtId="0">
      <sharedItems containsBlank="1" count="5">
        <s v="Hazardous"/>
        <s v="Biodegradable"/>
        <s v="Recyclable"/>
        <s v="Non-biodegradable"/>
        <m/>
      </sharedItems>
    </cacheField>
    <cacheField name="Weight (kg)" numFmtId="4">
      <sharedItems containsSemiMixedTypes="0" containsNonDate="0" containsString="0"/>
    </cacheField>
    <cacheField name="Disposal Method" numFmtId="0">
      <sharedItems containsBlank="1" count="4">
        <s v="Waste treatment company"/>
        <s v="N/A"/>
        <s v="LGU garbage collection"/>
        <m/>
      </sharedItems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1111102" createdVersion="8" refreshedVersion="8" minRefreshableVersion="3" recordCount="100" xr:uid="{00000000-000A-0000-FFFF-FFFF04000000}">
  <cacheSource type="worksheet">
    <worksheetSource name="Electricity"/>
  </cacheSource>
  <cacheFields count="8">
    <cacheField name="No." numFmtId="0">
      <sharedItems containsSemiMixedTypes="0" containsNonDate="0" containsString="0"/>
    </cacheField>
    <cacheField name="Source Description" numFmtId="0">
      <sharedItems containsBlank="1" count="4">
        <s v="Building 2"/>
        <s v="Building 3"/>
        <s v="Building 1"/>
        <m/>
      </sharedItems>
    </cacheField>
    <cacheField name="Month" numFmtId="0">
      <sharedItems containsBlank="1" count="8">
        <s v="Jan"/>
        <s v="Sep"/>
        <s v="Oct"/>
        <s v="Dec"/>
        <s v="Nov"/>
        <s v="Mar"/>
        <s v="Apr"/>
        <m/>
      </sharedItems>
    </cacheField>
    <cacheField name="Quarter" numFmtId="0">
      <sharedItems count="5">
        <s v="Q1"/>
        <s v="Q3"/>
        <s v="Q4"/>
        <s v="Q2"/>
        <s v=""/>
      </sharedItems>
    </cacheField>
    <cacheField name="Consumption (kWh)" numFmtId="4">
      <sharedItems containsSemiMixedTypes="0" containsNonDate="0" containsString="0"/>
    </cacheField>
    <cacheField name="Cost (PHP)" numFmtId="170">
      <sharedItems containsSemiMixedTypes="0" containsNonDate="0" containsString="0"/>
    </cacheField>
    <cacheField name="Utility Provider" numFmtId="170">
      <sharedItems containsBlank="1" count="2">
        <s v="MERALCO"/>
        <m/>
      </sharedItems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5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5916.912978935186" createdVersion="8" refreshedVersion="8" minRefreshableVersion="3" recordCount="100" xr:uid="{00000000-000A-0000-FFFF-FFFF05000000}">
  <cacheSource type="worksheet">
    <worksheetSource name="Fuel_Veh"/>
  </cacheSource>
  <cacheFields count="10">
    <cacheField name="No." numFmtId="0">
      <sharedItems containsMixedTypes="1" containsNumber="1" containsInteger="1" minValue="1" maxValue="42"/>
    </cacheField>
    <cacheField name="Vehicle Type" numFmtId="0">
      <sharedItems containsBlank="1" count="11">
        <s v="Van  "/>
        <s v="Multi-Purpose Vehicle"/>
        <s v="Armored Vehicle"/>
        <m/>
        <s v="Armored Vehicles" u="1"/>
        <s v="Motorbike" u="1"/>
        <s v="Passenger Car" u="1"/>
        <s v="Service Vehicles" u="1"/>
        <s v="Large Truck" u="1"/>
        <s v="Small Truck" u="1"/>
        <s v="Large Bus" u="1"/>
      </sharedItems>
    </cacheField>
    <cacheField name="Fuel Type" numFmtId="0">
      <sharedItems containsBlank="1" count="4">
        <s v="Diesel - Transport vehicles"/>
        <m/>
        <s v="Gasoline - Transport vehicles" u="1"/>
        <s v="LPG" u="1"/>
      </sharedItems>
    </cacheField>
    <cacheField name="Month" numFmtId="0">
      <sharedItems containsBlank="1" count="13">
        <s v="Jan"/>
        <s v="Feb"/>
        <s v="mar"/>
        <s v="apr"/>
        <s v="may"/>
        <s v="JUN"/>
        <m/>
        <s v="jul" u="1"/>
        <s v="Aug" u="1"/>
        <s v="sep" u="1"/>
        <s v="oct" u="1"/>
        <s v="nov" u="1"/>
        <s v="dec" u="1"/>
      </sharedItems>
    </cacheField>
    <cacheField name="Quarter" numFmtId="0">
      <sharedItems containsBlank="1" count="6">
        <s v="Q1"/>
        <s v="Q2"/>
        <s v=""/>
        <s v="Q3" u="1"/>
        <s v="Q4" u="1"/>
        <m u="1"/>
      </sharedItems>
    </cacheField>
    <cacheField name="Consumption" numFmtId="4">
      <sharedItems containsString="0" containsBlank="1" containsNumber="1" minValue="0" maxValue="204.19"/>
    </cacheField>
    <cacheField name="Unit" numFmtId="0">
      <sharedItems containsBlank="1"/>
    </cacheField>
    <cacheField name="Total kilometers travelled (all vehicles)" numFmtId="4">
      <sharedItems containsString="0" containsBlank="1" containsNumber="1" minValue="0" maxValue="825.27711428571399"/>
    </cacheField>
    <cacheField name="Unit2" numFmtId="0">
      <sharedItems/>
    </cacheField>
    <cacheField name="Remarks" numFmtId="0">
      <sharedItems containsBlank="1"/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x v="0"/>
    <n v="500"/>
    <m/>
  </r>
  <r>
    <n v="2"/>
    <x v="1"/>
    <x v="1"/>
    <x v="1"/>
    <x v="1"/>
    <n v="200"/>
    <m/>
  </r>
  <r>
    <n v="3"/>
    <x v="0"/>
    <x v="2"/>
    <x v="0"/>
    <x v="1"/>
    <n v="300"/>
    <m/>
  </r>
  <r>
    <n v="4"/>
    <x v="2"/>
    <x v="3"/>
    <x v="2"/>
    <x v="0"/>
    <n v="200"/>
    <m/>
  </r>
  <r>
    <s v=""/>
    <x v="3"/>
    <x v="4"/>
    <x v="1"/>
    <x v="2"/>
    <n v="150"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n v="200"/>
    <x v="0"/>
    <m/>
  </r>
  <r>
    <n v="2"/>
    <x v="1"/>
    <x v="1"/>
    <x v="1"/>
    <n v="120"/>
    <x v="1"/>
    <m/>
  </r>
  <r>
    <n v="3"/>
    <x v="0"/>
    <x v="2"/>
    <x v="0"/>
    <n v="200"/>
    <x v="1"/>
    <m/>
  </r>
  <r>
    <n v="4"/>
    <x v="2"/>
    <x v="3"/>
    <x v="0"/>
    <n v="140"/>
    <x v="0"/>
    <m/>
  </r>
  <r>
    <n v="5"/>
    <x v="1"/>
    <x v="4"/>
    <x v="2"/>
    <n v="130"/>
    <x v="0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BSP Building 1"/>
    <x v="0"/>
    <x v="0"/>
    <x v="0"/>
    <n v="100"/>
    <s v="Liters"/>
    <m/>
  </r>
  <r>
    <n v="2"/>
    <s v="BSP Building 2"/>
    <x v="1"/>
    <x v="1"/>
    <x v="1"/>
    <m/>
    <s v="Liters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n v="1"/>
    <x v="0"/>
    <x v="0"/>
    <x v="0"/>
    <n v="1000"/>
    <x v="0"/>
    <m/>
  </r>
  <r>
    <n v="2"/>
    <x v="1"/>
    <x v="0"/>
    <x v="0"/>
    <n v="200"/>
    <x v="0"/>
    <m/>
  </r>
  <r>
    <n v="3"/>
    <x v="0"/>
    <x v="0"/>
    <x v="1"/>
    <n v="500"/>
    <x v="1"/>
    <m/>
  </r>
  <r>
    <n v="4"/>
    <x v="2"/>
    <x v="1"/>
    <x v="2"/>
    <n v="500"/>
    <x v="1"/>
    <m/>
  </r>
  <r>
    <n v="5"/>
    <x v="3"/>
    <x v="2"/>
    <x v="1"/>
    <n v="750"/>
    <x v="1"/>
    <m/>
  </r>
  <r>
    <n v="6"/>
    <x v="4"/>
    <x v="3"/>
    <x v="3"/>
    <n v="1000"/>
    <x v="2"/>
    <m/>
  </r>
  <r>
    <n v="7"/>
    <x v="5"/>
    <x v="2"/>
    <x v="3"/>
    <n v="500"/>
    <x v="2"/>
    <m/>
  </r>
  <r>
    <n v="8"/>
    <x v="6"/>
    <x v="1"/>
    <x v="3"/>
    <n v="700"/>
    <x v="2"/>
    <m/>
  </r>
  <r>
    <s v=""/>
    <x v="7"/>
    <x v="0"/>
    <x v="0"/>
    <n v="500"/>
    <x v="1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n v="1000"/>
    <n v="500"/>
    <x v="0"/>
    <m/>
  </r>
  <r>
    <n v="2"/>
    <x v="0"/>
    <x v="1"/>
    <x v="1"/>
    <n v="2000"/>
    <n v="400"/>
    <x v="0"/>
    <m/>
  </r>
  <r>
    <n v="3"/>
    <x v="1"/>
    <x v="2"/>
    <x v="2"/>
    <n v="1200"/>
    <n v="1000"/>
    <x v="0"/>
    <m/>
  </r>
  <r>
    <n v="4"/>
    <x v="1"/>
    <x v="3"/>
    <x v="2"/>
    <n v="500"/>
    <n v="300"/>
    <x v="0"/>
    <m/>
  </r>
  <r>
    <n v="5"/>
    <x v="0"/>
    <x v="4"/>
    <x v="2"/>
    <n v="1000"/>
    <n v="500"/>
    <x v="0"/>
    <m/>
  </r>
  <r>
    <n v="6"/>
    <x v="2"/>
    <x v="5"/>
    <x v="0"/>
    <n v="2000"/>
    <n v="700"/>
    <x v="0"/>
    <m/>
  </r>
  <r>
    <n v="7"/>
    <x v="2"/>
    <x v="4"/>
    <x v="2"/>
    <n v="3000"/>
    <n v="8000"/>
    <x v="0"/>
    <m/>
  </r>
  <r>
    <n v="8"/>
    <x v="0"/>
    <x v="6"/>
    <x v="3"/>
    <n v="4000"/>
    <n v="900"/>
    <x v="0"/>
    <m/>
  </r>
  <r>
    <n v="9"/>
    <x v="0"/>
    <x v="4"/>
    <x v="2"/>
    <n v="2000"/>
    <n v="100"/>
    <x v="0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x v="0"/>
    <n v="44.09"/>
    <s v="Liters"/>
    <n v="208.215025"/>
    <s v="Kilometers"/>
    <s v="NISSAN NV350"/>
  </r>
  <r>
    <n v="2"/>
    <x v="1"/>
    <x v="0"/>
    <x v="0"/>
    <x v="0"/>
    <n v="0"/>
    <m/>
    <n v="0"/>
    <s v="Kilometers"/>
    <s v="TOYOTA INNOVA 134115"/>
  </r>
  <r>
    <n v="3"/>
    <x v="1"/>
    <x v="0"/>
    <x v="0"/>
    <x v="0"/>
    <n v="91.5"/>
    <s v="Liters"/>
    <n v="616.97142857142899"/>
    <s v="Kilometers"/>
    <s v="TOYOTA INNOVA sla 1026"/>
  </r>
  <r>
    <n v="4"/>
    <x v="0"/>
    <x v="0"/>
    <x v="0"/>
    <x v="0"/>
    <n v="54.53"/>
    <s v="Liters"/>
    <n v="397.05630000000002"/>
    <s v="Kilometers"/>
    <s v="TOYOTA GRANDIA SLA 1052"/>
  </r>
  <r>
    <n v="5"/>
    <x v="2"/>
    <x v="0"/>
    <x v="0"/>
    <x v="0"/>
    <n v="0"/>
    <s v="Liters"/>
    <n v="0"/>
    <s v="Kilometers"/>
    <s v="FORD ARMORED VAN 131210"/>
  </r>
  <r>
    <n v="6"/>
    <x v="2"/>
    <x v="0"/>
    <x v="0"/>
    <x v="0"/>
    <n v="0"/>
    <s v="Liters"/>
    <n v="0"/>
    <s v="Kilometers"/>
    <s v="FORD ARMORED TRUCK 131206"/>
  </r>
  <r>
    <n v="7"/>
    <x v="2"/>
    <x v="0"/>
    <x v="0"/>
    <x v="0"/>
    <n v="0"/>
    <s v="Liters"/>
    <n v="0"/>
    <s v="Kilometers"/>
    <s v="FORD ARMORED VAN 419354"/>
  </r>
  <r>
    <n v="8"/>
    <x v="0"/>
    <x v="0"/>
    <x v="1"/>
    <x v="0"/>
    <n v="0"/>
    <s v="Liters"/>
    <n v="0"/>
    <s v="Kilometers"/>
    <s v="NISSAN NV350"/>
  </r>
  <r>
    <n v="9"/>
    <x v="1"/>
    <x v="0"/>
    <x v="1"/>
    <x v="0"/>
    <n v="78.78"/>
    <s v="Liters"/>
    <n v="372.03854999999999"/>
    <s v="Kilometers"/>
    <s v="TOYOTA INNOVA 134115"/>
  </r>
  <r>
    <n v="10"/>
    <x v="1"/>
    <x v="0"/>
    <x v="1"/>
    <x v="0"/>
    <n v="100.95"/>
    <s v="Liters"/>
    <n v="676.50921428571405"/>
    <s v="Kilometers"/>
    <s v="TOYOTA INNOVA sla 1026"/>
  </r>
  <r>
    <n v="11"/>
    <x v="0"/>
    <x v="0"/>
    <x v="1"/>
    <x v="0"/>
    <n v="22.52"/>
    <s v="Liters"/>
    <n v="151.84914285714299"/>
    <s v="Kilometers"/>
    <s v="TOYOTA GRANDIA SLA 1052"/>
  </r>
  <r>
    <n v="12"/>
    <x v="2"/>
    <x v="0"/>
    <x v="1"/>
    <x v="0"/>
    <n v="113.34"/>
    <s v="Liters"/>
    <n v="825.27711428571399"/>
    <s v="Kilometers"/>
    <s v="FORD ARMORED VAN 131210"/>
  </r>
  <r>
    <n v="13"/>
    <x v="2"/>
    <x v="0"/>
    <x v="1"/>
    <x v="0"/>
    <n v="0"/>
    <s v="Liters"/>
    <n v="0"/>
    <s v="Kilometers"/>
    <s v="FORD ARMORED TRUCK 131206"/>
  </r>
  <r>
    <n v="14"/>
    <x v="2"/>
    <x v="0"/>
    <x v="1"/>
    <x v="0"/>
    <n v="0"/>
    <s v="Liters"/>
    <n v="0"/>
    <s v="Kilometers"/>
    <s v="FORD ARMORED VAN 419354"/>
  </r>
  <r>
    <n v="15"/>
    <x v="0"/>
    <x v="0"/>
    <x v="2"/>
    <x v="0"/>
    <n v="40.380000000000003"/>
    <s v="Liters"/>
    <n v="41.187600000000003"/>
    <s v="Kilometers"/>
    <s v="NISSAN NV350"/>
  </r>
  <r>
    <n v="16"/>
    <x v="1"/>
    <x v="0"/>
    <x v="2"/>
    <x v="0"/>
    <n v="98.51"/>
    <s v="Liters"/>
    <n v="513.48337500000002"/>
    <s v="Kilometers"/>
    <s v="TOYOTA INNOVA 134115"/>
  </r>
  <r>
    <n v="17"/>
    <x v="1"/>
    <x v="0"/>
    <x v="2"/>
    <x v="0"/>
    <n v="121.53"/>
    <s v="Liters"/>
    <n v="573.92542500000002"/>
    <s v="Kilometers"/>
    <s v="TOYOTA INNOVA sla 1026"/>
  </r>
  <r>
    <n v="18"/>
    <x v="0"/>
    <x v="0"/>
    <x v="2"/>
    <x v="0"/>
    <n v="88.91"/>
    <s v="Liters"/>
    <n v="595.82401428571404"/>
    <s v="Kilometers"/>
    <s v="TOYOTA GRANDIA SLA 1052"/>
  </r>
  <r>
    <n v="19"/>
    <x v="2"/>
    <x v="0"/>
    <x v="2"/>
    <x v="0"/>
    <n v="0"/>
    <s v="Liters"/>
    <n v="0"/>
    <s v="Kilometers"/>
    <s v="FORD ARMORED VAN 131210"/>
  </r>
  <r>
    <n v="20"/>
    <x v="2"/>
    <x v="0"/>
    <x v="2"/>
    <x v="0"/>
    <n v="0"/>
    <s v="Liters"/>
    <n v="0"/>
    <s v="Kilometers"/>
    <s v="FORD ARMORED TRUCK 131206"/>
  </r>
  <r>
    <n v="21"/>
    <x v="2"/>
    <x v="0"/>
    <x v="2"/>
    <x v="0"/>
    <n v="0"/>
    <s v="Liters"/>
    <n v="0"/>
    <s v="Kilometers"/>
    <s v="FORD ARMORED VAN 419354"/>
  </r>
  <r>
    <n v="22"/>
    <x v="0"/>
    <x v="0"/>
    <x v="3"/>
    <x v="1"/>
    <n v="43.26"/>
    <s v="Liters"/>
    <n v="100.1469"/>
    <s v="Kilometers"/>
    <s v="NISSAN NV350"/>
  </r>
  <r>
    <n v="23"/>
    <x v="1"/>
    <x v="0"/>
    <x v="3"/>
    <x v="1"/>
    <n v="115.28"/>
    <s v="Liters"/>
    <n v="117.5856"/>
    <s v="Kilometers"/>
    <s v="TOYOTA INNOVA 134115"/>
  </r>
  <r>
    <n v="24"/>
    <x v="1"/>
    <x v="0"/>
    <x v="3"/>
    <x v="1"/>
    <n v="82.75"/>
    <s v="Liters"/>
    <n v="431.33437500000002"/>
    <s v="Kilometers"/>
    <s v="TOYOTA INNOVA sla 1026"/>
  </r>
  <r>
    <n v="25"/>
    <x v="0"/>
    <x v="0"/>
    <x v="3"/>
    <x v="1"/>
    <n v="80.66"/>
    <s v="Liters"/>
    <n v="380.91685000000001"/>
    <s v="Kilometers"/>
    <s v="TOYOTA GRANDIA SLA 1052"/>
  </r>
  <r>
    <n v="26"/>
    <x v="2"/>
    <x v="0"/>
    <x v="3"/>
    <x v="1"/>
    <n v="46.25"/>
    <s v="Liters"/>
    <n v="309.94107142857098"/>
    <s v="Kilometers"/>
    <s v="FORD ARMORED VAN 131210"/>
  </r>
  <r>
    <n v="27"/>
    <x v="2"/>
    <x v="0"/>
    <x v="3"/>
    <x v="1"/>
    <n v="90.33"/>
    <s v="Liters"/>
    <n v="609.08228571428594"/>
    <s v="Kilometers"/>
    <s v="FORD ARMORED TRUCK 131206"/>
  </r>
  <r>
    <n v="28"/>
    <x v="2"/>
    <x v="0"/>
    <x v="3"/>
    <x v="1"/>
    <n v="0"/>
    <s v="Liters"/>
    <n v="0"/>
    <s v="Kilometers"/>
    <s v="FORD ARMORED VAN 419354"/>
  </r>
  <r>
    <n v="29"/>
    <x v="0"/>
    <x v="0"/>
    <x v="4"/>
    <x v="1"/>
    <n v="44.81"/>
    <s v="Liters"/>
    <n v="45.706200000000003"/>
    <s v="Kilometers"/>
    <s v="NISSAN NV350"/>
  </r>
  <r>
    <n v="30"/>
    <x v="1"/>
    <x v="0"/>
    <x v="4"/>
    <x v="1"/>
    <n v="40.21"/>
    <s v="Liters"/>
    <n v="93.086150000000004"/>
    <s v="Kilometers"/>
    <s v="TOYOTA INNOVA 134115"/>
  </r>
  <r>
    <n v="31"/>
    <x v="1"/>
    <x v="0"/>
    <x v="4"/>
    <x v="1"/>
    <n v="92.78"/>
    <s v="Liters"/>
    <n v="94.635599999999997"/>
    <s v="Kilometers"/>
    <s v="TOYOTA INNOVA sla 1026"/>
  </r>
  <r>
    <n v="32"/>
    <x v="0"/>
    <x v="0"/>
    <x v="4"/>
    <x v="1"/>
    <n v="125.78"/>
    <s v="Liters"/>
    <n v="655.62824999999998"/>
    <s v="Kilometers"/>
    <s v="TOYOTA GRANDIA SLA 1052"/>
  </r>
  <r>
    <n v="33"/>
    <x v="2"/>
    <x v="0"/>
    <x v="4"/>
    <x v="1"/>
    <n v="0"/>
    <s v="Liters"/>
    <n v="0"/>
    <s v="Kilometers"/>
    <s v="FORD ARMORED VAN 131210"/>
  </r>
  <r>
    <n v="34"/>
    <x v="2"/>
    <x v="0"/>
    <x v="4"/>
    <x v="1"/>
    <n v="0"/>
    <s v="Liters"/>
    <n v="0"/>
    <s v="Kilometers"/>
    <s v="FORD ARMORED TRUCK 131206"/>
  </r>
  <r>
    <n v="35"/>
    <x v="2"/>
    <x v="0"/>
    <x v="4"/>
    <x v="1"/>
    <n v="0"/>
    <s v="Liters"/>
    <n v="0"/>
    <s v="Kilometers"/>
    <s v="FORD ARMORED VAN 419354"/>
  </r>
  <r>
    <n v="36"/>
    <x v="0"/>
    <x v="0"/>
    <x v="5"/>
    <x v="1"/>
    <n v="29.57"/>
    <s v="Liters"/>
    <n v="215.31184285714301"/>
    <s v="Kilometers"/>
    <s v="NISSAN NV350"/>
  </r>
  <r>
    <n v="37"/>
    <x v="1"/>
    <x v="0"/>
    <x v="5"/>
    <x v="1"/>
    <n v="204.19"/>
    <s v="Liters"/>
    <n v="208.27379999999999"/>
    <s v="Kilometers"/>
    <s v="TOYOTA INNOVA 134115"/>
  </r>
  <r>
    <n v="38"/>
    <x v="1"/>
    <x v="0"/>
    <x v="5"/>
    <x v="1"/>
    <n v="93.27"/>
    <s v="Liters"/>
    <n v="215.92005"/>
    <s v="Kilometers"/>
    <s v="TOYOTA INNOVA sla 1026"/>
  </r>
  <r>
    <n v="39"/>
    <x v="0"/>
    <x v="0"/>
    <x v="5"/>
    <x v="1"/>
    <n v="96"/>
    <s v="Liters"/>
    <n v="97.92"/>
    <s v="Kilometers"/>
    <s v="TOYOTA GRANDIA SLA 1052"/>
  </r>
  <r>
    <n v="40"/>
    <x v="2"/>
    <x v="0"/>
    <x v="5"/>
    <x v="1"/>
    <n v="0"/>
    <s v="Liters"/>
    <n v="0"/>
    <s v="Kilometers"/>
    <s v="FORD ARMORED VAN 131210"/>
  </r>
  <r>
    <n v="41"/>
    <x v="2"/>
    <x v="0"/>
    <x v="5"/>
    <x v="1"/>
    <n v="0"/>
    <s v="Liters"/>
    <n v="0"/>
    <s v="Kilometers"/>
    <s v="FORD ARMORED TRUCK 131206"/>
  </r>
  <r>
    <n v="42"/>
    <x v="2"/>
    <x v="0"/>
    <x v="5"/>
    <x v="1"/>
    <n v="0"/>
    <s v="Liters"/>
    <n v="0"/>
    <s v="Kilometers"/>
    <s v="FORD ARMORED VAN 419354"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6000000}" name="PivotTable1" cacheId="769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6:D10" firstHeaderRow="1" firstDataRow="2" firstDataCol="1" rowPageCount="1" colPageCount="1"/>
  <pivotFields count="8">
    <pivotField showAll="0"/>
    <pivotField showAll="0"/>
    <pivotField axis="axisRow" showAll="0">
      <items count="5">
        <item x="1"/>
        <item x="0"/>
        <item x="2"/>
        <item m="1" x="3"/>
        <item t="default"/>
      </items>
    </pivotField>
    <pivotField axis="axisPage" multipleItemSelectionAllowed="1" showAll="0">
      <items count="7">
        <item x="0"/>
        <item x="2"/>
        <item m="1" x="3"/>
        <item m="1" x="4"/>
        <item m="1" x="5"/>
        <item x="1"/>
        <item t="default"/>
      </items>
    </pivotField>
    <pivotField axis="axisCol" multipleItemSelectionAllowed="1" showAll="0">
      <items count="7">
        <item m="1" x="3"/>
        <item m="1" x="4"/>
        <item x="1"/>
        <item x="0"/>
        <item h="1" m="1" x="5"/>
        <item h="1" x="2"/>
        <item t="default"/>
      </items>
    </pivotField>
    <pivotField dataField="1"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4"/>
  </colFields>
  <colItems count="3">
    <i>
      <x v="2"/>
    </i>
    <i>
      <x v="3"/>
    </i>
    <i t="grand">
      <x/>
    </i>
  </colItems>
  <pageFields count="1">
    <pageField fld="3" hier="0"/>
  </pageFields>
  <dataFields count="1">
    <dataField name="Sum of Consumption" fld="5" baseField="0" baseItem="0" numFmtId="16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5000000}" name="PivotTable6" cacheId="768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125:E135" firstHeaderRow="1" firstDataRow="2" firstDataCol="1" rowPageCount="1" colPageCount="1"/>
  <pivotFields count="7">
    <pivotField showAll="0"/>
    <pivotField axis="axisRow" showAll="0">
      <items count="5">
        <item x="2"/>
        <item x="0"/>
        <item x="1"/>
        <item x="3"/>
        <item t="default"/>
      </items>
    </pivotField>
    <pivotField axis="axisPage" showAll="0">
      <items count="7">
        <item x="1"/>
        <item x="2"/>
        <item x="0"/>
        <item x="3"/>
        <item x="4"/>
        <item x="5"/>
        <item t="default"/>
      </items>
    </pivotField>
    <pivotField axis="axisCol" showAll="0">
      <items count="5">
        <item h="1" x="3"/>
        <item x="1"/>
        <item x="0"/>
        <item x="2"/>
        <item t="default"/>
      </items>
    </pivotField>
    <pivotField dataField="1" showAll="0"/>
    <pivotField axis="axisRow" showAll="0">
      <items count="4">
        <item x="0"/>
        <item x="1"/>
        <item x="2"/>
        <item t="default"/>
      </items>
    </pivotField>
    <pivotField showAll="0"/>
  </pivotFields>
  <rowFields count="2">
    <field x="1"/>
    <field x="5"/>
  </rowFields>
  <rowItems count="9">
    <i>
      <x/>
    </i>
    <i r="1">
      <x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3"/>
  </colFields>
  <colItems count="4">
    <i>
      <x v="1"/>
    </i>
    <i>
      <x v="2"/>
    </i>
    <i>
      <x v="3"/>
    </i>
    <i t="grand">
      <x/>
    </i>
  </colItems>
  <pageFields count="1">
    <pageField fld="2" hier="0"/>
  </pageFields>
  <dataFields count="1">
    <dataField name="Water Discharge - Sum of Volume (m3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4" cacheId="771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58:G64" firstHeaderRow="1" firstDataRow="2" firstDataCol="1" rowPageCount="1" colPageCount="1"/>
  <pivotFields count="8">
    <pivotField showAll="0"/>
    <pivotField axis="axisRow" showAll="0">
      <items count="5">
        <item x="0"/>
        <item x="1"/>
        <item x="3"/>
        <item x="2"/>
        <item t="default"/>
      </items>
    </pivotField>
    <pivotField axis="axisPage" showAll="0">
      <items count="9">
        <item x="0"/>
        <item x="1"/>
        <item x="2"/>
        <item x="7"/>
        <item x="3"/>
        <item x="4"/>
        <item x="5"/>
        <item x="6"/>
        <item t="default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dataField="1" showAll="0"/>
    <pivotField showAll="0"/>
    <pivotField showAll="0">
      <items count="3">
        <item x="0"/>
        <item x="1"/>
        <item t="default"/>
      </items>
    </pivotField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0"/>
  </pageFields>
  <dataFields count="1">
    <dataField name="Sum of Consumption (kWh)" fld="4" baseField="0" baseItem="0" numFmtId="16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9" cacheId="77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145:F153" firstHeaderRow="1" firstDataRow="2" firstDataCol="1" rowPageCount="1" colPageCount="1"/>
  <pivotFields count="7">
    <pivotField showAll="0"/>
    <pivotField axis="axisPage" showAll="0">
      <items count="9">
        <item x="0"/>
        <item x="1"/>
        <item x="2"/>
        <item x="6"/>
        <item x="4"/>
        <item x="5"/>
        <item x="3"/>
        <item x="7"/>
        <item t="default"/>
      </items>
    </pivotField>
    <pivotField axis="axisCol" showAll="0">
      <items count="6">
        <item h="1" x="4"/>
        <item x="0"/>
        <item x="1"/>
        <item x="3"/>
        <item x="2"/>
        <item t="default"/>
      </items>
    </pivotField>
    <pivotField axis="axisRow" showAll="0">
      <items count="6">
        <item x="1"/>
        <item x="0"/>
        <item x="3"/>
        <item x="2"/>
        <item x="4"/>
        <item t="default"/>
      </items>
    </pivotField>
    <pivotField dataField="1" showAll="0"/>
    <pivotField axis="axisRow" showAll="0">
      <items count="5">
        <item x="2"/>
        <item x="1"/>
        <item h="1" x="3"/>
        <item h="1" x="0"/>
        <item t="default"/>
      </items>
    </pivotField>
    <pivotField showAll="0"/>
  </pivotFields>
  <rowFields count="2">
    <field x="5"/>
    <field x="3"/>
  </rowFields>
  <rowItems count="7">
    <i>
      <x/>
    </i>
    <i r="1">
      <x v="2"/>
    </i>
    <i>
      <x v="1"/>
    </i>
    <i r="1">
      <x/>
    </i>
    <i r="1">
      <x v="1"/>
    </i>
    <i r="1">
      <x v="3"/>
    </i>
    <i t="grand">
      <x/>
    </i>
  </rowItems>
  <colFields count="1">
    <field x="2"/>
  </colFields>
  <colItems count="5">
    <i>
      <x v="1"/>
    </i>
    <i>
      <x v="2"/>
    </i>
    <i>
      <x v="3"/>
    </i>
    <i>
      <x v="4"/>
    </i>
    <i t="grand">
      <x/>
    </i>
  </colItems>
  <pageFields count="1">
    <pageField fld="1" hier="0"/>
  </pageFields>
  <dataFields count="1">
    <dataField name="Sum of Weight (kg)" fld="4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" cacheId="779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29:E39" firstHeaderRow="1" firstDataRow="2" firstDataCol="1" rowPageCount="1" colPageCount="1"/>
  <pivotFields count="10">
    <pivotField showAll="0"/>
    <pivotField axis="axisRow" showAll="0">
      <items count="12">
        <item m="1" x="4"/>
        <item m="1" x="7"/>
        <item x="3"/>
        <item m="1" x="6"/>
        <item m="1" x="9"/>
        <item m="1" x="10"/>
        <item m="1" x="8"/>
        <item m="1" x="5"/>
        <item x="2"/>
        <item x="0"/>
        <item x="1"/>
        <item t="default"/>
      </items>
    </pivotField>
    <pivotField axis="axisRow" showAll="0">
      <items count="5">
        <item x="0"/>
        <item m="1" x="2"/>
        <item x="1"/>
        <item m="1" x="3"/>
        <item t="default"/>
      </items>
    </pivotField>
    <pivotField axis="axisPage" showAll="0">
      <items count="14">
        <item x="0"/>
        <item x="1"/>
        <item m="1" x="10"/>
        <item x="6"/>
        <item x="4"/>
        <item m="1" x="9"/>
        <item x="2"/>
        <item x="3"/>
        <item x="5"/>
        <item m="1" x="7"/>
        <item m="1" x="8"/>
        <item m="1" x="11"/>
        <item m="1" x="12"/>
        <item t="default"/>
      </items>
    </pivotField>
    <pivotField axis="axisCol" showAll="0">
      <items count="7">
        <item x="2"/>
        <item x="0"/>
        <item m="1" x="4"/>
        <item x="1"/>
        <item m="1" x="3"/>
        <item m="1" x="5"/>
        <item t="default"/>
      </items>
    </pivotField>
    <pivotField dataField="1" showAll="0"/>
    <pivotField showAll="0"/>
    <pivotField showAll="0"/>
    <pivotField showAll="0"/>
    <pivotField showAll="0"/>
  </pivotFields>
  <rowFields count="2">
    <field x="1"/>
    <field x="2"/>
  </rowFields>
  <rowItems count="9">
    <i>
      <x v="2"/>
    </i>
    <i r="1">
      <x v="2"/>
    </i>
    <i>
      <x v="8"/>
    </i>
    <i r="1">
      <x/>
    </i>
    <i>
      <x v="9"/>
    </i>
    <i r="1">
      <x/>
    </i>
    <i>
      <x v="10"/>
    </i>
    <i r="1">
      <x/>
    </i>
    <i t="grand">
      <x/>
    </i>
  </rowItems>
  <colFields count="1">
    <field x="4"/>
  </colFields>
  <colItems count="4">
    <i>
      <x/>
    </i>
    <i>
      <x v="1"/>
    </i>
    <i>
      <x v="3"/>
    </i>
    <i t="grand">
      <x/>
    </i>
  </colItems>
  <pageFields count="1">
    <pageField fld="3" hier="0"/>
  </pageFields>
  <dataFields count="1">
    <dataField name="Sum of Consumption" fld="5" baseField="0" baseItem="0" numFmtId="16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7" cacheId="767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108:E119" firstHeaderRow="1" firstDataRow="2" firstDataCol="1" rowPageCount="1" colPageCount="1"/>
  <pivotFields count="7">
    <pivotField showAll="0"/>
    <pivotField axis="axisRow" showAll="0">
      <items count="5">
        <item x="2"/>
        <item x="0"/>
        <item x="1"/>
        <item x="3"/>
        <item t="default"/>
      </items>
    </pivotField>
    <pivotField axis="axisPage" showAll="0">
      <items count="7">
        <item x="0"/>
        <item x="2"/>
        <item x="1"/>
        <item x="4"/>
        <item x="3"/>
        <item x="5"/>
        <item t="default"/>
      </items>
    </pivotField>
    <pivotField axis="axisCol" showAll="0">
      <items count="5">
        <item h="1" x="3"/>
        <item x="0"/>
        <item x="1"/>
        <item x="2"/>
        <item t="default"/>
      </items>
    </pivotField>
    <pivotField axis="axisRow" showAll="0">
      <items count="5">
        <item x="2"/>
        <item x="1"/>
        <item x="0"/>
        <item x="3"/>
        <item t="default"/>
      </items>
    </pivotField>
    <pivotField dataField="1" showAll="0"/>
    <pivotField showAll="0"/>
  </pivotFields>
  <rowFields count="2">
    <field x="1"/>
    <field x="4"/>
  </rowFields>
  <rowItems count="10">
    <i>
      <x/>
    </i>
    <i r="1">
      <x v="2"/>
    </i>
    <i>
      <x v="1"/>
    </i>
    <i r="1">
      <x v="1"/>
    </i>
    <i r="1">
      <x v="2"/>
    </i>
    <i>
      <x v="2"/>
    </i>
    <i r="1">
      <x v="1"/>
    </i>
    <i>
      <x v="3"/>
    </i>
    <i r="1">
      <x/>
    </i>
    <i t="grand">
      <x/>
    </i>
  </rowItems>
  <colFields count="1">
    <field x="3"/>
  </colFields>
  <colItems count="4">
    <i>
      <x v="1"/>
    </i>
    <i>
      <x v="2"/>
    </i>
    <i>
      <x v="3"/>
    </i>
    <i t="grand">
      <x/>
    </i>
  </colItems>
  <pageFields count="1">
    <pageField fld="2" hier="0"/>
  </pageFields>
  <dataFields count="1">
    <dataField name="Water Intake -Sum of Volume (m3)" fld="5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5" cacheId="771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83:G89" firstHeaderRow="1" firstDataRow="2" firstDataCol="1" rowPageCount="1" colPageCount="1"/>
  <pivotFields count="8">
    <pivotField showAll="0"/>
    <pivotField axis="axisRow" showAll="0">
      <items count="5">
        <item x="0"/>
        <item x="1"/>
        <item x="3"/>
        <item x="2"/>
        <item t="default"/>
      </items>
    </pivotField>
    <pivotField axis="axisPage" showAll="0">
      <items count="9">
        <item x="0"/>
        <item x="1"/>
        <item x="2"/>
        <item x="7"/>
        <item x="3"/>
        <item x="4"/>
        <item x="5"/>
        <item x="6"/>
        <item t="default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dataField="1"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0"/>
  </pageFields>
  <dataFields count="1">
    <dataField name="Sum of Consumption (kWh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uel_Type2" xr10:uid="{00000000-0013-0000-FFFF-FFFF01000000}" sourceName="Fuel Type">
  <pivotTables>
    <pivotTable tabId="51" name="PivotTable1"/>
  </pivotTables>
  <data>
    <tabular pivotCacheId="3">
      <items count="4">
        <i x="0" s="1"/>
        <i x="1" s="1" nd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6" xr10:uid="{00000000-0013-0000-FFFF-FFFF02000000}" sourceName="Month">
  <pivotTables>
    <pivotTable tabId="51" name="PivotTable1"/>
  </pivotTables>
  <data>
    <tabular pivotCacheId="3">
      <items count="6">
        <i x="0" s="1"/>
        <i x="4" s="1" nd="1"/>
        <i x="3" s="1" nd="1"/>
        <i x="5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Vehicle_Type1" xr10:uid="{00000000-0013-0000-FFFF-FFFF03000000}" sourceName="Vehicle Type">
  <pivotTables>
    <pivotTable tabId="51" name="PivotTable2"/>
  </pivotTables>
  <data>
    <tabular pivotCacheId="6">
      <items count="11">
        <i x="2" s="1"/>
        <i x="1" s="1"/>
        <i x="0" s="1"/>
        <i x="4" s="1" nd="1"/>
        <i x="10" s="1" nd="1"/>
        <i x="8" s="1" nd="1"/>
        <i x="5" s="1" nd="1"/>
        <i x="6" s="1" nd="1"/>
        <i x="7" s="1" nd="1"/>
        <i x="9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uel_Type11" xr10:uid="{00000000-0013-0000-FFFF-FFFF04000000}" sourceName="Fuel Type">
  <pivotTables>
    <pivotTable tabId="51" name="PivotTable2"/>
  </pivotTables>
  <data>
    <tabular pivotCacheId="6">
      <items count="4">
        <i x="0" s="1"/>
        <i x="2" s="1" nd="1"/>
        <i x="3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11" xr10:uid="{00000000-0013-0000-FFFF-FFFF05000000}" sourceName="Month">
  <pivotTables>
    <pivotTable tabId="51" name="PivotTable2"/>
  </pivotTables>
  <data>
    <tabular pivotCacheId="6">
      <items count="13">
        <i x="0" s="1"/>
        <i x="1" s="1"/>
        <i x="2" s="1"/>
        <i x="3" s="1"/>
        <i x="4" s="1"/>
        <i x="5" s="1"/>
        <i x="7" s="1" nd="1"/>
        <i x="8" s="1" nd="1"/>
        <i x="9" s="1" nd="1"/>
        <i x="10" s="1" nd="1"/>
        <i x="11" s="1" nd="1"/>
        <i x="12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5" xr10:uid="{00000000-0013-0000-FFFF-FFFF06000000}" sourceName="Quarter">
  <pivotTables>
    <pivotTable tabId="51" name="PivotTable2"/>
  </pivotTables>
  <data>
    <tabular pivotCacheId="6">
      <items count="6">
        <i x="0" s="1"/>
        <i x="1" s="1"/>
        <i x="2" s="1" nd="1"/>
        <i x="3" s="1" nd="1"/>
        <i x="4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ource_Description2" xr10:uid="{00000000-0013-0000-FFFF-FFFF07000000}" sourceName="Source Description">
  <pivotTables>
    <pivotTable tabId="51" name="PivotTable4"/>
  </pivotTables>
  <data>
    <tabular pivotCacheId="5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22" xr10:uid="{00000000-0013-0000-FFFF-FFFF08000000}" sourceName="Month">
  <pivotTables>
    <pivotTable tabId="51" name="PivotTable4"/>
  </pivotTables>
  <data>
    <tabular pivotCacheId="5">
      <items count="8">
        <i x="0" s="1"/>
        <i x="5" s="1"/>
        <i x="6" s="1"/>
        <i x="1" s="1"/>
        <i x="2" s="1"/>
        <i x="4" s="1"/>
        <i x="3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12" xr10:uid="{00000000-0013-0000-FFFF-FFFF09000000}" sourceName="Quarter">
  <pivotTables>
    <pivotTable tabId="51" name="PivotTable4"/>
  </pivotTables>
  <data>
    <tabular pivotCacheId="5">
      <items count="5">
        <i x="0" s="1"/>
        <i x="3" s="1"/>
        <i x="1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Utility_Provider1" xr10:uid="{00000000-0013-0000-FFFF-FFFF0A000000}" sourceName="Utility Provider">
  <pivotTables>
    <pivotTable tabId="51" name="PivotTable4"/>
  </pivotTables>
  <data>
    <tabular pivotCacheId="5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ource_Description11" xr10:uid="{00000000-0013-0000-FFFF-FFFF0B000000}" sourceName="Source Description">
  <pivotTables>
    <pivotTable tabId="51" name="PivotTable5"/>
  </pivotTables>
  <data>
    <tabular pivotCacheId="5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211" xr10:uid="{00000000-0013-0000-FFFF-FFFF0C000000}" sourceName="Month">
  <pivotTables>
    <pivotTable tabId="51" name="PivotTable5"/>
  </pivotTables>
  <data>
    <tabular pivotCacheId="5">
      <items count="8">
        <i x="0" s="1"/>
        <i x="5" s="1"/>
        <i x="6" s="1"/>
        <i x="1" s="1"/>
        <i x="2" s="1"/>
        <i x="4" s="1"/>
        <i x="3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111" xr10:uid="{00000000-0013-0000-FFFF-FFFF0D000000}" sourceName="Quarter">
  <pivotTables>
    <pivotTable tabId="51" name="PivotTable5"/>
  </pivotTables>
  <data>
    <tabular pivotCacheId="5">
      <items count="5">
        <i x="0" s="1"/>
        <i x="3" s="1"/>
        <i x="1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31" xr10:uid="{00000000-0013-0000-FFFF-FFFF0E000000}" sourceName="Month">
  <pivotTables>
    <pivotTable tabId="51" name="PivotTable7"/>
  </pivotTables>
  <data>
    <tabular pivotCacheId="1">
      <items count="6">
        <i x="0" s="1"/>
        <i x="2" s="1"/>
        <i x="1" s="1"/>
        <i x="4" s="1"/>
        <i x="3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21" xr10:uid="{00000000-0013-0000-FFFF-FFFF0F000000}" sourceName="Quarter">
  <pivotTables>
    <pivotTable tabId="51" name="PivotTable7"/>
  </pivotTables>
  <data>
    <tabular pivotCacheId="1">
      <items count="4">
        <i x="0" s="1"/>
        <i x="1" s="1"/>
        <i x="2" s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ource1" xr10:uid="{00000000-0013-0000-FFFF-FFFF10000000}" sourceName="Source">
  <pivotTables>
    <pivotTable tabId="51" name="PivotTable7"/>
  </pivotTables>
  <data>
    <tabular pivotCacheId="1">
      <items count="4">
        <i x="2" s="1"/>
        <i x="1" s="1"/>
        <i x="0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acility_Account2" xr10:uid="{00000000-0013-0000-FFFF-FFFF11000000}" sourceName="Facility/Account">
  <pivotTables>
    <pivotTable tabId="51" name="PivotTable7"/>
  </pivotTables>
  <data>
    <tabular pivotCacheId="1">
      <items count="4">
        <i x="2" s="1"/>
        <i x="0" s="1"/>
        <i x="1" s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acility_Account11" xr10:uid="{00000000-0013-0000-FFFF-FFFF12000000}" sourceName="Facility/Account">
  <pivotTables>
    <pivotTable tabId="51" name="PivotTable6"/>
  </pivotTables>
  <data>
    <tabular pivotCacheId="2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41" xr10:uid="{00000000-0013-0000-FFFF-FFFF13000000}" sourceName="Month">
  <pivotTables>
    <pivotTable tabId="51" name="PivotTable6"/>
  </pivotTables>
  <data>
    <tabular pivotCacheId="2">
      <items count="6">
        <i x="1" s="1"/>
        <i x="2" s="1"/>
        <i x="0" s="1"/>
        <i x="3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31" xr10:uid="{00000000-0013-0000-FFFF-FFFF14000000}" sourceName="Quarter">
  <pivotTables>
    <pivotTable tabId="51" name="PivotTable6"/>
  </pivotTables>
  <data>
    <tabular pivotCacheId="2">
      <items count="4">
        <i x="1" s="1"/>
        <i x="0" s="1"/>
        <i x="2" s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Water_Destination1" xr10:uid="{00000000-0013-0000-FFFF-FFFF15000000}" sourceName="Water Destination">
  <pivotTables>
    <pivotTable tabId="51" name="PivotTable6"/>
  </pivotTables>
  <data>
    <tabular pivotCacheId="2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51" xr10:uid="{00000000-0013-0000-FFFF-FFFF16000000}" sourceName="Month">
  <pivotTables>
    <pivotTable tabId="51" name="PivotTable9"/>
  </pivotTables>
  <data>
    <tabular pivotCacheId="4">
      <items count="8">
        <i x="0" s="1"/>
        <i x="2" s="1"/>
        <i x="6" s="1"/>
        <i x="4" s="1"/>
        <i x="5" s="1"/>
        <i x="3" s="1"/>
        <i x="7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41" xr10:uid="{00000000-0013-0000-FFFF-FFFF17000000}" sourceName="Quarter">
  <pivotTables>
    <pivotTable tabId="51" name="PivotTable9"/>
  </pivotTables>
  <data>
    <tabular pivotCacheId="4">
      <items count="5">
        <i x="0" s="1"/>
        <i x="1" s="1"/>
        <i x="3" s="1"/>
        <i x="2" s="1"/>
        <i x="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Waste_Composition1" xr10:uid="{00000000-0013-0000-FFFF-FFFF18000000}" sourceName="Waste Composition">
  <pivotTables>
    <pivotTable tabId="51" name="PivotTable9"/>
  </pivotTables>
  <data>
    <tabular pivotCacheId="4">
      <items count="5">
        <i x="1" s="1"/>
        <i x="0" s="1"/>
        <i x="3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Disposal_Method1" xr10:uid="{00000000-0013-0000-FFFF-FFFF19000000}" sourceName="Disposal Method">
  <pivotTables>
    <pivotTable tabId="51" name="PivotTable9"/>
  </pivotTables>
  <data>
    <tabular pivotCacheId="4">
      <items count="4">
        <i x="2" s="1"/>
        <i x="1" s="1"/>
        <i x="0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uel Type 2" xr10:uid="{00000000-0014-0000-FFFF-FFFF01000000}" cache="Slicer_Fuel_Type2" caption="Fuel Type" rowHeight="230716"/>
  <slicer name="Month 7" xr10:uid="{00000000-0014-0000-FFFF-FFFF02000000}" cache="Slicer_Month6" caption="Month" rowHeight="230716"/>
  <slicer name="Vehicle Type 1" xr10:uid="{00000000-0014-0000-FFFF-FFFF03000000}" cache="Slicer_Vehicle_Type1" caption="Vehicle Type" rowHeight="230716"/>
  <slicer name="Fuel Type 3" xr10:uid="{00000000-0014-0000-FFFF-FFFF04000000}" cache="Slicer_Fuel_Type11" caption="Fuel Type" rowHeight="230716"/>
  <slicer name="Month 8" xr10:uid="{00000000-0014-0000-FFFF-FFFF05000000}" cache="Slicer_Month11" caption="Month" rowHeight="230716"/>
  <slicer name="Quarter 6" xr10:uid="{00000000-0014-0000-FFFF-FFFF06000000}" cache="Slicer_Quarter5" caption="Quarter" rowHeight="230716"/>
  <slicer name="Source Description 2" xr10:uid="{00000000-0014-0000-FFFF-FFFF07000000}" cache="Slicer_Source_Description2" caption="Source Description" rowHeight="230716"/>
  <slicer name="Month 9" xr10:uid="{00000000-0014-0000-FFFF-FFFF08000000}" cache="Slicer_Month22" caption="Month" rowHeight="230716"/>
  <slicer name="Quarter 7" xr10:uid="{00000000-0014-0000-FFFF-FFFF09000000}" cache="Slicer_Quarter12" caption="Quarter" rowHeight="230716"/>
  <slicer name="Utility Provider 1" xr10:uid="{00000000-0014-0000-FFFF-FFFF0A000000}" cache="Slicer_Utility_Provider1" caption="Utility Provider" rowHeight="230716"/>
  <slicer name="Source Description 3" xr10:uid="{00000000-0014-0000-FFFF-FFFF0B000000}" cache="Slicer_Source_Description11" caption="Source Description" rowHeight="230716"/>
  <slicer name="Month 10" xr10:uid="{00000000-0014-0000-FFFF-FFFF0C000000}" cache="Slicer_Month211" caption="Month" rowHeight="230716"/>
  <slicer name="Quarter 8" xr10:uid="{00000000-0014-0000-FFFF-FFFF0D000000}" cache="Slicer_Quarter111" caption="Quarter" rowHeight="230716"/>
  <slicer name="Month 11" xr10:uid="{00000000-0014-0000-FFFF-FFFF0E000000}" cache="Slicer_Month31" caption="Month" rowHeight="230716"/>
  <slicer name="Quarter 9" xr10:uid="{00000000-0014-0000-FFFF-FFFF0F000000}" cache="Slicer_Quarter21" caption="Quarter" rowHeight="230716"/>
  <slicer name="Source 1" xr10:uid="{00000000-0014-0000-FFFF-FFFF10000000}" cache="Slicer_Source1" caption="Source" rowHeight="230716"/>
  <slicer name="Facility/Account 2" xr10:uid="{00000000-0014-0000-FFFF-FFFF11000000}" cache="Slicer_Facility_Account2" caption="Facility/Account" rowHeight="230716"/>
  <slicer name="Facility/Account 3" xr10:uid="{00000000-0014-0000-FFFF-FFFF12000000}" cache="Slicer_Facility_Account11" caption="Facility/Account" rowHeight="230716"/>
  <slicer name="Month 12" xr10:uid="{00000000-0014-0000-FFFF-FFFF13000000}" cache="Slicer_Month41" caption="Month" rowHeight="230716"/>
  <slicer name="Quarter 10" xr10:uid="{00000000-0014-0000-FFFF-FFFF14000000}" cache="Slicer_Quarter31" caption="Quarter" rowHeight="230716"/>
  <slicer name="Water Destination 1" xr10:uid="{00000000-0014-0000-FFFF-FFFF15000000}" cache="Slicer_Water_Destination1" caption="Water Destination" rowHeight="230716"/>
  <slicer name="Month 13" xr10:uid="{00000000-0014-0000-FFFF-FFFF16000000}" cache="Slicer_Month51" caption="Month" rowHeight="230716"/>
  <slicer name="Quarter 11" xr10:uid="{00000000-0014-0000-FFFF-FFFF17000000}" cache="Slicer_Quarter41" caption="Quarter" rowHeight="230716"/>
  <slicer name="Waste Composition 1" xr10:uid="{00000000-0014-0000-FFFF-FFFF18000000}" cache="Slicer_Waste_Composition1" caption="Waste Composition" rowHeight="230716"/>
  <slicer name="Disposal Method 1" xr10:uid="{00000000-0014-0000-FFFF-FFFF19000000}" cache="Slicer_Disposal_Method1" caption="Disposal Method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Fuel_Blg" displayName="Fuel_Blg" ref="I6:O8" totalsRowShown="0">
  <autoFilter ref="I6:O8" xr:uid="{00000000-0009-0000-0100-000003000000}"/>
  <tableColumns count="7">
    <tableColumn id="1" xr3:uid="{00000000-0010-0000-0000-000001000000}" name="No." dataDxfId="89">
      <calculatedColumnFormula>IF(#REF!="","",$I7+1)</calculatedColumnFormula>
    </tableColumn>
    <tableColumn id="5" xr3:uid="{00000000-0010-0000-0000-000005000000}" name="Fuel Type" dataDxfId="88"/>
    <tableColumn id="6" xr3:uid="{00000000-0010-0000-0000-000006000000}" name="Month" dataDxfId="87"/>
    <tableColumn id="7" xr3:uid="{00000000-0010-0000-0000-000007000000}" name="Quarter" dataDxfId="86">
      <calculatedColumnFormula>IF(Fuel_Blg[[#This Row],[Month]]&lt;&gt;"",VLOOKUP(Fuel_Blg[[#This Row],[Month]],dropdown!$S$4:$T$15,2,FALSE),"")</calculatedColumnFormula>
    </tableColumn>
    <tableColumn id="8" xr3:uid="{00000000-0010-0000-0000-000008000000}" name="Consumption" dataDxfId="85"/>
    <tableColumn id="9" xr3:uid="{00000000-0010-0000-0000-000009000000}" name="Unit" dataDxfId="84">
      <calculatedColumnFormula>IF($J7="","",VLOOKUP($J7,dropdown!$P$3:$Q$8,2,FALSE))</calculatedColumnFormula>
    </tableColumn>
    <tableColumn id="10" xr3:uid="{00000000-0010-0000-0000-00000A000000}" name="Remarks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Fuel_Veh" displayName="Fuel_Veh" ref="I6:R106" totalsRowShown="0">
  <autoFilter ref="I6:R106" xr:uid="{00000000-0009-0000-0100-000004000000}"/>
  <tableColumns count="10">
    <tableColumn id="1" xr3:uid="{00000000-0010-0000-0100-000001000000}" name="No." dataDxfId="82">
      <calculatedColumnFormula>IF($J7="","",$I6+1)</calculatedColumnFormula>
    </tableColumn>
    <tableColumn id="2" xr3:uid="{00000000-0010-0000-0100-000002000000}" name="Vehicle Type" dataDxfId="81"/>
    <tableColumn id="3" xr3:uid="{00000000-0010-0000-0100-000003000000}" name="Fuel Type" dataDxfId="80"/>
    <tableColumn id="4" xr3:uid="{00000000-0010-0000-0100-000004000000}" name="Month" dataDxfId="79"/>
    <tableColumn id="10" xr3:uid="{00000000-0010-0000-0100-00000A000000}" name="Quarter" dataDxfId="78">
      <calculatedColumnFormula>IF(Fuel_Veh[[#This Row],[Month]]&lt;&gt;"",VLOOKUP(Fuel_Veh[[#This Row],[Month]],dropdown!$S$4:$T$15,2,FALSE),"")</calculatedColumnFormula>
    </tableColumn>
    <tableColumn id="5" xr3:uid="{00000000-0010-0000-0100-000005000000}" name="Consumption" dataDxfId="77"/>
    <tableColumn id="7" xr3:uid="{00000000-0010-0000-0100-000007000000}" name="Unit" dataDxfId="76">
      <calculatedColumnFormula>IF($K7="","",VLOOKUP($K7,dropdown!$P$14:$Q$18,2,FALSE))</calculatedColumnFormula>
    </tableColumn>
    <tableColumn id="8" xr3:uid="{00000000-0010-0000-0100-000008000000}" name="Total kilometers travelled (all vehicles)" dataDxfId="75">
      <calculatedColumnFormula>Fuel_Veh[[#This Row],[Consumption]]*Z7</calculatedColumnFormula>
    </tableColumn>
    <tableColumn id="6" xr3:uid="{00000000-0010-0000-0100-000006000000}" name="Unit2" dataDxfId="74">
      <calculatedColumnFormula>IF($P7="","","Kilometers")</calculatedColumnFormula>
    </tableColumn>
    <tableColumn id="9" xr3:uid="{00000000-0010-0000-0100-000009000000}" name="Remarks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Refrigerants" displayName="Refrigerants" ref="I8:W107" totalsRowShown="0">
  <autoFilter ref="I8:W107" xr:uid="{00000000-0009-0000-0100-000001000000}"/>
  <tableColumns count="15">
    <tableColumn id="1" xr3:uid="{00000000-0010-0000-0200-000001000000}" name="No." dataDxfId="72">
      <calculatedColumnFormula>IF($K9="","",$I8+1)</calculatedColumnFormula>
    </tableColumn>
    <tableColumn id="2" xr3:uid="{00000000-0010-0000-0200-000002000000}" name="Location" dataDxfId="71"/>
    <tableColumn id="3" xr3:uid="{00000000-0010-0000-0200-000003000000}" name="Equipment Category" dataDxfId="70"/>
    <tableColumn id="4" xr3:uid="{00000000-0010-0000-0200-000004000000}" name="No. of Units" dataDxfId="69"/>
    <tableColumn id="5" xr3:uid="{00000000-0010-0000-0200-000005000000}" name="Refrigerant" dataDxfId="68"/>
    <tableColumn id="6" xr3:uid="{00000000-0010-0000-0200-000006000000}" name="Equipment Status" dataDxfId="67"/>
    <tableColumn id="7" xr3:uid="{00000000-0010-0000-0200-000007000000}" name="Month Purchased" dataDxfId="66"/>
    <tableColumn id="8" xr3:uid="{00000000-0010-0000-0200-000008000000}" name="Charge (kg)" dataDxfId="65"/>
    <tableColumn id="9" xr3:uid="{00000000-0010-0000-0200-000009000000}" name="Month Recharged" dataDxfId="64"/>
    <tableColumn id="10" xr3:uid="{00000000-0010-0000-0200-00000A000000}" name="Recharge (kg)" dataDxfId="63"/>
    <tableColumn id="11" xr3:uid="{00000000-0010-0000-0200-00000B000000}" name="Month Disposed" dataDxfId="62"/>
    <tableColumn id="12" xr3:uid="{00000000-0010-0000-0200-00000C000000}" name="Capacity (kg)" dataDxfId="61"/>
    <tableColumn id="13" xr3:uid="{00000000-0010-0000-0200-00000D000000}" name="Recovered (kg)" dataDxfId="60"/>
    <tableColumn id="14" xr3:uid="{00000000-0010-0000-0200-00000E000000}" name="Quarter" dataDxfId="59">
      <calculatedColumnFormula>IFERROR(VLOOKUP($O9,dropdown!$S$4:$T$15,2,FALSE),IFERROR(VLOOKUP($Q9,dropdown!$S$4:$T$15,2,FALSE),IFERROR(VLOOKUP($S9,dropdown!$S$4:$T$15,2,FALSE),"")))</calculatedColumnFormula>
    </tableColumn>
    <tableColumn id="15" xr3:uid="{00000000-0010-0000-0200-00000F000000}" name="Remarks" dataDxfId="5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Electricity" displayName="Electricity" ref="I7:O107" totalsRowShown="0">
  <autoFilter ref="I7:O107" xr:uid="{00000000-0009-0000-0100-000007000000}"/>
  <tableColumns count="7">
    <tableColumn id="1" xr3:uid="{00000000-0010-0000-0300-000001000000}" name="No." dataDxfId="57">
      <calculatedColumnFormula>IF($L8="","",$I7+1)</calculatedColumnFormula>
    </tableColumn>
    <tableColumn id="3" xr3:uid="{00000000-0010-0000-0300-000003000000}" name="Month" dataDxfId="56"/>
    <tableColumn id="8" xr3:uid="{00000000-0010-0000-0300-000008000000}" name="Quarter" dataDxfId="55">
      <calculatedColumnFormula>IF(Electricity[[#This Row],[Month]]&lt;&gt;"",VLOOKUP(Electricity[[#This Row],[Month]],dropdown!$S$4:$T$15,2,FALSE),"")</calculatedColumnFormula>
    </tableColumn>
    <tableColumn id="4" xr3:uid="{00000000-0010-0000-0300-000004000000}" name="Consumption (kWh)" dataDxfId="54"/>
    <tableColumn id="5" xr3:uid="{00000000-0010-0000-0300-000005000000}" name="Cost (PHP)" dataDxfId="53"/>
    <tableColumn id="6" xr3:uid="{00000000-0010-0000-0300-000006000000}" name="Utility Provider" dataDxfId="52"/>
    <tableColumn id="7" xr3:uid="{00000000-0010-0000-0300-000007000000}" name="Remarks" data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lectricity6" displayName="Electricity6" ref="I6:N106" totalsRowShown="0">
  <autoFilter ref="I6:N106" xr:uid="{00000000-0009-0000-0100-000005000000}"/>
  <tableColumns count="6">
    <tableColumn id="1" xr3:uid="{00000000-0010-0000-0400-000001000000}" name="No." dataDxfId="50">
      <calculatedColumnFormula>IF(Electricity6[[#This Row],[Month]]="","",1)</calculatedColumnFormula>
    </tableColumn>
    <tableColumn id="3" xr3:uid="{00000000-0010-0000-0400-000003000000}" name="Month" dataDxfId="49"/>
    <tableColumn id="8" xr3:uid="{00000000-0010-0000-0400-000008000000}" name="Quarter" dataDxfId="48">
      <calculatedColumnFormula>IF(Electricity6[[#This Row],[Month]]&lt;&gt;"",VLOOKUP(Electricity6[[#This Row],[Month]],dropdown!$S$4:$T$15,2,FALSE),"")</calculatedColumnFormula>
    </tableColumn>
    <tableColumn id="4" xr3:uid="{00000000-0010-0000-0400-000004000000}" name="Solar Energy Generated (kWh)" dataDxfId="47"/>
    <tableColumn id="6" xr3:uid="{00000000-0010-0000-0400-000006000000}" name="Operational Energy Demand - One Shift (kWH)" dataDxfId="46"/>
    <tableColumn id="7" xr3:uid="{00000000-0010-0000-0400-000007000000}" name="Remarks" dataDxfId="4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water_in" displayName="water_in" ref="I7:N107" totalsRowShown="0">
  <autoFilter ref="I7:N107" xr:uid="{00000000-0009-0000-0100-000009000000}"/>
  <tableColumns count="6">
    <tableColumn id="1" xr3:uid="{00000000-0010-0000-0500-000001000000}" name="No." dataDxfId="44">
      <calculatedColumnFormula>IF(#REF!="","",$I7+1)</calculatedColumnFormula>
    </tableColumn>
    <tableColumn id="3" xr3:uid="{00000000-0010-0000-0500-000003000000}" name="Month" dataDxfId="43"/>
    <tableColumn id="4" xr3:uid="{00000000-0010-0000-0500-000004000000}" name="Quarter" dataDxfId="42">
      <calculatedColumnFormula>IF(water_in[[#This Row],[Month]]&lt;&gt;"",VLOOKUP(water_in[[#This Row],[Month]],dropdown!$S$4:$T$15,2,FALSE),"")</calculatedColumnFormula>
    </tableColumn>
    <tableColumn id="5" xr3:uid="{00000000-0010-0000-0500-000005000000}" name="Source" dataDxfId="41"/>
    <tableColumn id="6" xr3:uid="{00000000-0010-0000-0500-000006000000}" name="Volume (m3)" dataDxfId="40"/>
    <tableColumn id="7" xr3:uid="{00000000-0010-0000-0500-000007000000}" name="Remarks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water_out" displayName="water_out" ref="P7:U107" totalsRowShown="0">
  <autoFilter ref="P7:U107" xr:uid="{00000000-0009-0000-0100-00000A000000}"/>
  <tableColumns count="6">
    <tableColumn id="1" xr3:uid="{00000000-0010-0000-0600-000001000000}" name="No." dataDxfId="38">
      <calculatedColumnFormula>IF(#REF!="","",$P7+1)</calculatedColumnFormula>
    </tableColumn>
    <tableColumn id="3" xr3:uid="{00000000-0010-0000-0600-000003000000}" name="Month" dataDxfId="37"/>
    <tableColumn id="4" xr3:uid="{00000000-0010-0000-0600-000004000000}" name="Quarter" dataDxfId="36">
      <calculatedColumnFormula>IF(water_out[[#This Row],[Month]]&lt;&gt;"",VLOOKUP(water_out[[#This Row],[Month]],dropdown!$S$4:$T$15,2,FALSE),"")</calculatedColumnFormula>
    </tableColumn>
    <tableColumn id="6" xr3:uid="{00000000-0010-0000-0600-000006000000}" name="Water Destination" dataDxfId="35"/>
    <tableColumn id="2" xr3:uid="{00000000-0010-0000-0600-000002000000}" name="Volume2 (m3)" dataDxfId="34"/>
    <tableColumn id="8" xr3:uid="{00000000-0010-0000-0600-000008000000}" name="Remarks" dataDxfId="3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Waste_Gases" displayName="Waste_Gases" ref="I12:O30" totalsRowShown="0">
  <autoFilter ref="I12:O30" xr:uid="{00000000-0009-0000-0100-000006000000}"/>
  <tableColumns count="7">
    <tableColumn id="1" xr3:uid="{00000000-0010-0000-0700-000001000000}" name="Component" dataDxfId="32"/>
    <tableColumn id="2" xr3:uid="{00000000-0010-0000-0700-000002000000}" name="Chemical Formula" dataDxfId="31"/>
    <tableColumn id="3" xr3:uid="{00000000-0010-0000-0700-000003000000}" name="Molar Fraction (%)" dataDxfId="30"/>
    <tableColumn id="4" xr3:uid="{00000000-0010-0000-0700-000004000000}" name="Total Moles (kg-mole/m3)" dataDxfId="29">
      <calculatedColumnFormula>IF(Waste_Gases[[#This Row],[Molar Fraction (%)]]=0,"",Waste_Gases[[#This Row],[Molar Fraction (%)]]*$D$15)</calculatedColumnFormula>
    </tableColumn>
    <tableColumn id="5" xr3:uid="{00000000-0010-0000-0700-000005000000}" name="Molecular Weight" dataDxfId="28"/>
    <tableColumn id="6" xr3:uid="{00000000-0010-0000-0700-000006000000}" name="Percent Carbon (%)" dataDxfId="27">
      <calculatedColumnFormula>Emission_Factors!$B$17/Waste_Gases[[#This Row],[Molecular Weight]]</calculatedColumnFormula>
    </tableColumn>
    <tableColumn id="7" xr3:uid="{00000000-0010-0000-0700-000007000000}" name="Carbon Content(kg/m3)" dataDxfId="26">
      <calculatedColumnFormula>IF(Waste_Gases[[#This Row],[Molar Fraction (%)]]=0,"",Waste_Gases[[#This Row],[Total Moles (kg-mole/m3)]]*Waste_Gases[[#This Row],[Molecular Weight]]*Waste_Gases[[#This Row],[Percent Carbon (%)]])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Waste" displayName="Waste" ref="I7:O104" totalsRowShown="0">
  <autoFilter ref="I7:O104" xr:uid="{00000000-0009-0000-0100-000008000000}"/>
  <tableColumns count="7">
    <tableColumn id="1" xr3:uid="{00000000-0010-0000-0800-000001000000}" name="No." dataDxfId="25">
      <calculatedColumnFormula>IF($J8="","",$I7+1)</calculatedColumnFormula>
    </tableColumn>
    <tableColumn id="2" xr3:uid="{00000000-0010-0000-0800-000002000000}" name="Month" dataDxfId="24"/>
    <tableColumn id="3" xr3:uid="{00000000-0010-0000-0800-000003000000}" name="Quarter" dataDxfId="23">
      <calculatedColumnFormula>IF(Waste[[#This Row],[Month]]&lt;&gt;"",VLOOKUP(Waste[[#This Row],[Month]],dropdown!$S$4:$T$15,2,FALSE),"")</calculatedColumnFormula>
    </tableColumn>
    <tableColumn id="4" xr3:uid="{00000000-0010-0000-0800-000004000000}" name="Waste Composition" dataDxfId="22"/>
    <tableColumn id="5" xr3:uid="{00000000-0010-0000-0800-000005000000}" name="Weight (kg)" dataDxfId="21"/>
    <tableColumn id="6" xr3:uid="{00000000-0010-0000-0800-000006000000}" name="Disposal/Recovery Method" dataDxfId="20"/>
    <tableColumn id="7" xr3:uid="{00000000-0010-0000-0800-000007000000}" name="Remarks" dataDxfId="1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Change_log" displayName="Change_log" ref="A1:E1438" totalsRowShown="0">
  <autoFilter ref="A1:E1438" xr:uid="{00000000-0009-0000-0100-000002000000}"/>
  <tableColumns count="5">
    <tableColumn id="1" xr3:uid="{00000000-0010-0000-0900-000001000000}" name="Timestamp" dataDxfId="18"/>
    <tableColumn id="2" xr3:uid="{00000000-0010-0000-0900-000002000000}" name="User"/>
    <tableColumn id="3" xr3:uid="{00000000-0010-0000-0900-000003000000}" name="Sheet"/>
    <tableColumn id="4" xr3:uid="{00000000-0010-0000-0900-000004000000}" name="Cell "/>
    <tableColumn id="5" xr3:uid="{00000000-0010-0000-0900-000005000000}" name="New Valu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gacy.doe.gov.ph/ducsp/ilpi" TargetMode="External"/><Relationship Id="rId21" Type="http://schemas.openxmlformats.org/officeDocument/2006/relationships/hyperlink" Target="https://legacy.doe.gov.ph/ducsp/profile/batanelco" TargetMode="External"/><Relationship Id="rId42" Type="http://schemas.openxmlformats.org/officeDocument/2006/relationships/hyperlink" Target="https://legacy.doe.gov.ph/ducsp/zameco-ii" TargetMode="External"/><Relationship Id="rId63" Type="http://schemas.openxmlformats.org/officeDocument/2006/relationships/hyperlink" Target="https://legacy.doe.gov.ph/ducsp/profile/canoreco" TargetMode="External"/><Relationship Id="rId84" Type="http://schemas.openxmlformats.org/officeDocument/2006/relationships/hyperlink" Target="https://legacy.doe.gov.ph/ducsp/profile/bez" TargetMode="External"/><Relationship Id="rId138" Type="http://schemas.openxmlformats.org/officeDocument/2006/relationships/hyperlink" Target="https://legacy.doe.gov.ph/ducsp/profile/siarelco" TargetMode="External"/><Relationship Id="rId107" Type="http://schemas.openxmlformats.org/officeDocument/2006/relationships/hyperlink" Target="https://legacy.doe.gov.ph/ducsp/samelco-i" TargetMode="External"/><Relationship Id="rId11" Type="http://schemas.openxmlformats.org/officeDocument/2006/relationships/hyperlink" Target="https://legacy.doe.gov.ph/ducsp/iseco" TargetMode="External"/><Relationship Id="rId32" Type="http://schemas.openxmlformats.org/officeDocument/2006/relationships/hyperlink" Target="https://legacy.doe.gov.ph/ducsp/profile/neeco-ii-area-2" TargetMode="External"/><Relationship Id="rId53" Type="http://schemas.openxmlformats.org/officeDocument/2006/relationships/hyperlink" Target="https://legacy.doe.gov.ph/ducsp/marelco" TargetMode="External"/><Relationship Id="rId74" Type="http://schemas.openxmlformats.org/officeDocument/2006/relationships/hyperlink" Target="https://legacy.doe.gov.ph/ducsp/profile/akelco" TargetMode="External"/><Relationship Id="rId128" Type="http://schemas.openxmlformats.org/officeDocument/2006/relationships/hyperlink" Target="https://legacy.doe.gov.ph/ducsp/profile/dasureco" TargetMode="External"/><Relationship Id="rId149" Type="http://schemas.openxmlformats.org/officeDocument/2006/relationships/hyperlink" Target="https://legacy.doe.gov.ph/ducsp/tawelco" TargetMode="External"/><Relationship Id="rId5" Type="http://schemas.openxmlformats.org/officeDocument/2006/relationships/hyperlink" Target="https://legacy.doe.gov.ph/ducsp/mopreco" TargetMode="External"/><Relationship Id="rId95" Type="http://schemas.openxmlformats.org/officeDocument/2006/relationships/hyperlink" Target="https://legacy.doe.gov.ph/ducsp/noreco-ii" TargetMode="External"/><Relationship Id="rId22" Type="http://schemas.openxmlformats.org/officeDocument/2006/relationships/hyperlink" Target="https://legacy.doe.gov.ph/ducsp/profile/aec" TargetMode="External"/><Relationship Id="rId27" Type="http://schemas.openxmlformats.org/officeDocument/2006/relationships/hyperlink" Target="https://legacy.doe.gov.ph/ducsp/sfelapco" TargetMode="External"/><Relationship Id="rId43" Type="http://schemas.openxmlformats.org/officeDocument/2006/relationships/hyperlink" Target="https://legacy.doe.gov.ph/ducsp/pames" TargetMode="External"/><Relationship Id="rId48" Type="http://schemas.openxmlformats.org/officeDocument/2006/relationships/hyperlink" Target="https://legacy.doe.gov.ph/ducsp/quezelco-i" TargetMode="External"/><Relationship Id="rId64" Type="http://schemas.openxmlformats.org/officeDocument/2006/relationships/hyperlink" Target="https://legacy.doe.gov.ph/ducsp/profile/casureco-i" TargetMode="External"/><Relationship Id="rId69" Type="http://schemas.openxmlformats.org/officeDocument/2006/relationships/hyperlink" Target="https://legacy.doe.gov.ph/ducsp/profile/soreco-ii" TargetMode="External"/><Relationship Id="rId113" Type="http://schemas.openxmlformats.org/officeDocument/2006/relationships/hyperlink" Target="https://legacy.doe.gov.ph/ducsp/zamsureco-i" TargetMode="External"/><Relationship Id="rId118" Type="http://schemas.openxmlformats.org/officeDocument/2006/relationships/hyperlink" Target="https://legacy.doe.gov.ph/ducsp/profile/buseco" TargetMode="External"/><Relationship Id="rId134" Type="http://schemas.openxmlformats.org/officeDocument/2006/relationships/hyperlink" Target="https://legacy.doe.gov.ph/ducsp/socoteco-ii" TargetMode="External"/><Relationship Id="rId139" Type="http://schemas.openxmlformats.org/officeDocument/2006/relationships/hyperlink" Target="https://legacy.doe.gov.ph/ducsp/surneco" TargetMode="External"/><Relationship Id="rId80" Type="http://schemas.openxmlformats.org/officeDocument/2006/relationships/hyperlink" Target="https://legacy.doe.gov.ph/ducsp/ileco-ii" TargetMode="External"/><Relationship Id="rId85" Type="http://schemas.openxmlformats.org/officeDocument/2006/relationships/hyperlink" Target="https://legacy.doe.gov.ph/ducsp/profile/blci" TargetMode="External"/><Relationship Id="rId150" Type="http://schemas.openxmlformats.org/officeDocument/2006/relationships/hyperlink" Target="https://legacy.doe.gov.ph/ducsp/profile/bumbaran" TargetMode="External"/><Relationship Id="rId155" Type="http://schemas.openxmlformats.org/officeDocument/2006/relationships/hyperlink" Target="https://legacy.doe.gov.ph/duprofile?order=field_du_type&amp;sort=asc" TargetMode="External"/><Relationship Id="rId12" Type="http://schemas.openxmlformats.org/officeDocument/2006/relationships/hyperlink" Target="https://legacy.doe.gov.ph/ducsp/luelco" TargetMode="External"/><Relationship Id="rId17" Type="http://schemas.openxmlformats.org/officeDocument/2006/relationships/hyperlink" Target="https://legacy.doe.gov.ph/ducsp/iselco-i" TargetMode="External"/><Relationship Id="rId33" Type="http://schemas.openxmlformats.org/officeDocument/2006/relationships/hyperlink" Target="https://legacy.doe.gov.ph/ducsp/profile/pelco-i" TargetMode="External"/><Relationship Id="rId38" Type="http://schemas.openxmlformats.org/officeDocument/2006/relationships/hyperlink" Target="https://legacy.doe.gov.ph/ducsp/sajelco" TargetMode="External"/><Relationship Id="rId59" Type="http://schemas.openxmlformats.org/officeDocument/2006/relationships/hyperlink" Target="https://legacy.doe.gov.ph/ducsp/profile/bantonromelco" TargetMode="External"/><Relationship Id="rId103" Type="http://schemas.openxmlformats.org/officeDocument/2006/relationships/hyperlink" Target="https://legacy.doe.gov.ph/ducsp/leyeco-iii" TargetMode="External"/><Relationship Id="rId108" Type="http://schemas.openxmlformats.org/officeDocument/2006/relationships/hyperlink" Target="https://legacy.doe.gov.ph/ducsp/samelco-ii" TargetMode="External"/><Relationship Id="rId124" Type="http://schemas.openxmlformats.org/officeDocument/2006/relationships/hyperlink" Target="https://legacy.doe.gov.ph/ducsp/moresco-i" TargetMode="External"/><Relationship Id="rId129" Type="http://schemas.openxmlformats.org/officeDocument/2006/relationships/hyperlink" Target="https://legacy.doe.gov.ph/ducsp/doreco" TargetMode="External"/><Relationship Id="rId54" Type="http://schemas.openxmlformats.org/officeDocument/2006/relationships/hyperlink" Target="https://legacy.doe.gov.ph/ducsp/omeco" TargetMode="External"/><Relationship Id="rId70" Type="http://schemas.openxmlformats.org/officeDocument/2006/relationships/hyperlink" Target="https://legacy.doe.gov.ph/ducsp/ficelco" TargetMode="External"/><Relationship Id="rId75" Type="http://schemas.openxmlformats.org/officeDocument/2006/relationships/hyperlink" Target="https://legacy.doe.gov.ph/ducsp/profile/anteco" TargetMode="External"/><Relationship Id="rId91" Type="http://schemas.openxmlformats.org/officeDocument/2006/relationships/hyperlink" Target="https://legacy.doe.gov.ph/ducsp/profile/cebeco-i" TargetMode="External"/><Relationship Id="rId96" Type="http://schemas.openxmlformats.org/officeDocument/2006/relationships/hyperlink" Target="https://legacy.doe.gov.ph/ducsp/profile/banelco" TargetMode="External"/><Relationship Id="rId140" Type="http://schemas.openxmlformats.org/officeDocument/2006/relationships/hyperlink" Target="https://legacy.doe.gov.ph/ducsp/surseco-i" TargetMode="External"/><Relationship Id="rId145" Type="http://schemas.openxmlformats.org/officeDocument/2006/relationships/hyperlink" Target="https://legacy.doe.gov.ph/ducsp/profile/baselco" TargetMode="External"/><Relationship Id="rId1" Type="http://schemas.openxmlformats.org/officeDocument/2006/relationships/hyperlink" Target="https://legacy.doe.gov.ph/ducsp/profile/meralco" TargetMode="External"/><Relationship Id="rId6" Type="http://schemas.openxmlformats.org/officeDocument/2006/relationships/hyperlink" Target="https://legacy.doe.gov.ph/ducsp/profile/abreco" TargetMode="External"/><Relationship Id="rId23" Type="http://schemas.openxmlformats.org/officeDocument/2006/relationships/hyperlink" Target="https://legacy.doe.gov.ph/ducsp/cedc" TargetMode="External"/><Relationship Id="rId28" Type="http://schemas.openxmlformats.org/officeDocument/2006/relationships/hyperlink" Target="https://legacy.doe.gov.ph/ducsp/tei" TargetMode="External"/><Relationship Id="rId49" Type="http://schemas.openxmlformats.org/officeDocument/2006/relationships/hyperlink" Target="https://legacy.doe.gov.ph/ducsp/quezelco-ii" TargetMode="External"/><Relationship Id="rId114" Type="http://schemas.openxmlformats.org/officeDocument/2006/relationships/hyperlink" Target="https://legacy.doe.gov.ph/ducsp/zamsureco-ii" TargetMode="External"/><Relationship Id="rId119" Type="http://schemas.openxmlformats.org/officeDocument/2006/relationships/hyperlink" Target="https://legacy.doe.gov.ph/ducsp/profile/camelco" TargetMode="External"/><Relationship Id="rId44" Type="http://schemas.openxmlformats.org/officeDocument/2006/relationships/hyperlink" Target="https://legacy.doe.gov.ph/ducsp/ieec" TargetMode="External"/><Relationship Id="rId60" Type="http://schemas.openxmlformats.org/officeDocument/2006/relationships/hyperlink" Target="https://legacy.doe.gov.ph/ducsp/concepcion" TargetMode="External"/><Relationship Id="rId65" Type="http://schemas.openxmlformats.org/officeDocument/2006/relationships/hyperlink" Target="https://legacy.doe.gov.ph/ducsp/profile/casureco-ii" TargetMode="External"/><Relationship Id="rId81" Type="http://schemas.openxmlformats.org/officeDocument/2006/relationships/hyperlink" Target="https://legacy.doe.gov.ph/ducsp/ileco-iii" TargetMode="External"/><Relationship Id="rId86" Type="http://schemas.openxmlformats.org/officeDocument/2006/relationships/hyperlink" Target="https://legacy.doe.gov.ph/ducsp/meco" TargetMode="External"/><Relationship Id="rId130" Type="http://schemas.openxmlformats.org/officeDocument/2006/relationships/hyperlink" Target="https://legacy.doe.gov.ph/ducsp/profile/clpc" TargetMode="External"/><Relationship Id="rId135" Type="http://schemas.openxmlformats.org/officeDocument/2006/relationships/hyperlink" Target="https://legacy.doe.gov.ph/ducsp/sukelco" TargetMode="External"/><Relationship Id="rId151" Type="http://schemas.openxmlformats.org/officeDocument/2006/relationships/hyperlink" Target="https://legacy.doe.gov.ph/ducsp/profile/lez" TargetMode="External"/><Relationship Id="rId156" Type="http://schemas.openxmlformats.org/officeDocument/2006/relationships/hyperlink" Target="https://legacy.doe.gov.ph/duprofile?order=title&amp;sort=asc" TargetMode="External"/><Relationship Id="rId13" Type="http://schemas.openxmlformats.org/officeDocument/2006/relationships/hyperlink" Target="https://legacy.doe.gov.ph/ducsp/panelco-i" TargetMode="External"/><Relationship Id="rId18" Type="http://schemas.openxmlformats.org/officeDocument/2006/relationships/hyperlink" Target="https://legacy.doe.gov.ph/ducsp/iselco-ii" TargetMode="External"/><Relationship Id="rId39" Type="http://schemas.openxmlformats.org/officeDocument/2006/relationships/hyperlink" Target="https://legacy.doe.gov.ph/ducsp/profile/tarelco-i" TargetMode="External"/><Relationship Id="rId109" Type="http://schemas.openxmlformats.org/officeDocument/2006/relationships/hyperlink" Target="https://legacy.doe.gov.ph/ducsp/soleco" TargetMode="External"/><Relationship Id="rId34" Type="http://schemas.openxmlformats.org/officeDocument/2006/relationships/hyperlink" Target="https://legacy.doe.gov.ph/ducsp/profile/pelco-ii" TargetMode="External"/><Relationship Id="rId50" Type="http://schemas.openxmlformats.org/officeDocument/2006/relationships/hyperlink" Target="https://legacy.doe.gov.ph/ducsp/fbpc" TargetMode="External"/><Relationship Id="rId55" Type="http://schemas.openxmlformats.org/officeDocument/2006/relationships/hyperlink" Target="https://legacy.doe.gov.ph/ducsp/ormeco" TargetMode="External"/><Relationship Id="rId76" Type="http://schemas.openxmlformats.org/officeDocument/2006/relationships/hyperlink" Target="https://legacy.doe.gov.ph/ducsp/profile/capelco" TargetMode="External"/><Relationship Id="rId97" Type="http://schemas.openxmlformats.org/officeDocument/2006/relationships/hyperlink" Target="https://legacy.doe.gov.ph/ducsp/profile/celco" TargetMode="External"/><Relationship Id="rId104" Type="http://schemas.openxmlformats.org/officeDocument/2006/relationships/hyperlink" Target="https://legacy.doe.gov.ph/ducsp/leyeco-iv" TargetMode="External"/><Relationship Id="rId120" Type="http://schemas.openxmlformats.org/officeDocument/2006/relationships/hyperlink" Target="https://legacy.doe.gov.ph/ducsp/profile/fibeco" TargetMode="External"/><Relationship Id="rId125" Type="http://schemas.openxmlformats.org/officeDocument/2006/relationships/hyperlink" Target="https://legacy.doe.gov.ph/ducsp/moresco-ii" TargetMode="External"/><Relationship Id="rId141" Type="http://schemas.openxmlformats.org/officeDocument/2006/relationships/hyperlink" Target="https://legacy.doe.gov.ph/ducsp/surseco-ii" TargetMode="External"/><Relationship Id="rId146" Type="http://schemas.openxmlformats.org/officeDocument/2006/relationships/hyperlink" Target="https://legacy.doe.gov.ph/ducsp/caselco" TargetMode="External"/><Relationship Id="rId7" Type="http://schemas.openxmlformats.org/officeDocument/2006/relationships/hyperlink" Target="https://legacy.doe.gov.ph/ducsp/profile/decorp" TargetMode="External"/><Relationship Id="rId71" Type="http://schemas.openxmlformats.org/officeDocument/2006/relationships/hyperlink" Target="https://legacy.doe.gov.ph/ducsp/maselco" TargetMode="External"/><Relationship Id="rId92" Type="http://schemas.openxmlformats.org/officeDocument/2006/relationships/hyperlink" Target="https://legacy.doe.gov.ph/ducsp/profile/cebeco-ii" TargetMode="External"/><Relationship Id="rId2" Type="http://schemas.openxmlformats.org/officeDocument/2006/relationships/hyperlink" Target="https://legacy.doe.gov.ph/ducsp/profile/beneco" TargetMode="External"/><Relationship Id="rId29" Type="http://schemas.openxmlformats.org/officeDocument/2006/relationships/hyperlink" Target="https://legacy.doe.gov.ph/ducsp/profile/aurelco" TargetMode="External"/><Relationship Id="rId24" Type="http://schemas.openxmlformats.org/officeDocument/2006/relationships/hyperlink" Target="https://legacy.doe.gov.ph/ducsp/profile/celcor" TargetMode="External"/><Relationship Id="rId40" Type="http://schemas.openxmlformats.org/officeDocument/2006/relationships/hyperlink" Target="https://legacy.doe.gov.ph/ducsp/profile/tarelco-ii" TargetMode="External"/><Relationship Id="rId45" Type="http://schemas.openxmlformats.org/officeDocument/2006/relationships/hyperlink" Target="https://legacy.doe.gov.ph/ducsp/profile/batelec-i" TargetMode="External"/><Relationship Id="rId66" Type="http://schemas.openxmlformats.org/officeDocument/2006/relationships/hyperlink" Target="https://legacy.doe.gov.ph/ducsp/profile/casureco-iii" TargetMode="External"/><Relationship Id="rId87" Type="http://schemas.openxmlformats.org/officeDocument/2006/relationships/hyperlink" Target="https://legacy.doe.gov.ph/ducsp/mez" TargetMode="External"/><Relationship Id="rId110" Type="http://schemas.openxmlformats.org/officeDocument/2006/relationships/hyperlink" Target="https://legacy.doe.gov.ph/ducsp/hfmpc" TargetMode="External"/><Relationship Id="rId115" Type="http://schemas.openxmlformats.org/officeDocument/2006/relationships/hyperlink" Target="https://legacy.doe.gov.ph/ducsp/zaneco" TargetMode="External"/><Relationship Id="rId131" Type="http://schemas.openxmlformats.org/officeDocument/2006/relationships/hyperlink" Target="https://legacy.doe.gov.ph/ducsp/profile/cotelco" TargetMode="External"/><Relationship Id="rId136" Type="http://schemas.openxmlformats.org/officeDocument/2006/relationships/hyperlink" Target="https://legacy.doe.gov.ph/ducsp/profile/aneco" TargetMode="External"/><Relationship Id="rId61" Type="http://schemas.openxmlformats.org/officeDocument/2006/relationships/hyperlink" Target="https://legacy.doe.gov.ph/ducsp/corcuera" TargetMode="External"/><Relationship Id="rId82" Type="http://schemas.openxmlformats.org/officeDocument/2006/relationships/hyperlink" Target="https://legacy.doe.gov.ph/ducsp/profile/noneco" TargetMode="External"/><Relationship Id="rId152" Type="http://schemas.openxmlformats.org/officeDocument/2006/relationships/hyperlink" Target="https://legacy.doe.gov.ph/ducsp/profile/malvez" TargetMode="External"/><Relationship Id="rId19" Type="http://schemas.openxmlformats.org/officeDocument/2006/relationships/hyperlink" Target="https://legacy.doe.gov.ph/ducsp/nuvelco" TargetMode="External"/><Relationship Id="rId14" Type="http://schemas.openxmlformats.org/officeDocument/2006/relationships/hyperlink" Target="https://legacy.doe.gov.ph/ducsp/panelco-iii" TargetMode="External"/><Relationship Id="rId30" Type="http://schemas.openxmlformats.org/officeDocument/2006/relationships/hyperlink" Target="https://legacy.doe.gov.ph/ducsp/neeco-i" TargetMode="External"/><Relationship Id="rId35" Type="http://schemas.openxmlformats.org/officeDocument/2006/relationships/hyperlink" Target="https://legacy.doe.gov.ph/ducsp/pelco-iii" TargetMode="External"/><Relationship Id="rId56" Type="http://schemas.openxmlformats.org/officeDocument/2006/relationships/hyperlink" Target="https://legacy.doe.gov.ph/ducsp/paleco" TargetMode="External"/><Relationship Id="rId77" Type="http://schemas.openxmlformats.org/officeDocument/2006/relationships/hyperlink" Target="https://legacy.doe.gov.ph/ducsp/profile/ceneco" TargetMode="External"/><Relationship Id="rId100" Type="http://schemas.openxmlformats.org/officeDocument/2006/relationships/hyperlink" Target="https://legacy.doe.gov.ph/ducsp/dorelco" TargetMode="External"/><Relationship Id="rId105" Type="http://schemas.openxmlformats.org/officeDocument/2006/relationships/hyperlink" Target="https://legacy.doe.gov.ph/ducsp/leyeco-v" TargetMode="External"/><Relationship Id="rId126" Type="http://schemas.openxmlformats.org/officeDocument/2006/relationships/hyperlink" Target="https://legacy.doe.gov.ph/ducsp/dlpc" TargetMode="External"/><Relationship Id="rId147" Type="http://schemas.openxmlformats.org/officeDocument/2006/relationships/hyperlink" Target="https://legacy.doe.gov.ph/ducsp/profile/siaselco" TargetMode="External"/><Relationship Id="rId8" Type="http://schemas.openxmlformats.org/officeDocument/2006/relationships/hyperlink" Target="https://legacy.doe.gov.ph/ducsp/lueco" TargetMode="External"/><Relationship Id="rId51" Type="http://schemas.openxmlformats.org/officeDocument/2006/relationships/hyperlink" Target="https://legacy.doe.gov.ph/ducsp/profile/biselco" TargetMode="External"/><Relationship Id="rId72" Type="http://schemas.openxmlformats.org/officeDocument/2006/relationships/hyperlink" Target="https://legacy.doe.gov.ph/ducsp/tiselco" TargetMode="External"/><Relationship Id="rId93" Type="http://schemas.openxmlformats.org/officeDocument/2006/relationships/hyperlink" Target="https://legacy.doe.gov.ph/ducsp/profile/cebeco-iii" TargetMode="External"/><Relationship Id="rId98" Type="http://schemas.openxmlformats.org/officeDocument/2006/relationships/hyperlink" Target="https://legacy.doe.gov.ph/ducsp/prosielco" TargetMode="External"/><Relationship Id="rId121" Type="http://schemas.openxmlformats.org/officeDocument/2006/relationships/hyperlink" Target="https://legacy.doe.gov.ph/ducsp/laneco" TargetMode="External"/><Relationship Id="rId142" Type="http://schemas.openxmlformats.org/officeDocument/2006/relationships/hyperlink" Target="https://legacy.doe.gov.ph/ducsp/profile/dielco" TargetMode="External"/><Relationship Id="rId3" Type="http://schemas.openxmlformats.org/officeDocument/2006/relationships/hyperlink" Target="https://legacy.doe.gov.ph/ducsp/ifelco" TargetMode="External"/><Relationship Id="rId25" Type="http://schemas.openxmlformats.org/officeDocument/2006/relationships/hyperlink" Target="https://legacy.doe.gov.ph/ducsp/oedc" TargetMode="External"/><Relationship Id="rId46" Type="http://schemas.openxmlformats.org/officeDocument/2006/relationships/hyperlink" Target="https://legacy.doe.gov.ph/ducsp/profile/batelec-ii" TargetMode="External"/><Relationship Id="rId67" Type="http://schemas.openxmlformats.org/officeDocument/2006/relationships/hyperlink" Target="https://legacy.doe.gov.ph/ducsp/profile/casureco-iv" TargetMode="External"/><Relationship Id="rId116" Type="http://schemas.openxmlformats.org/officeDocument/2006/relationships/hyperlink" Target="https://legacy.doe.gov.ph/ducsp/profile/cepalco" TargetMode="External"/><Relationship Id="rId137" Type="http://schemas.openxmlformats.org/officeDocument/2006/relationships/hyperlink" Target="https://legacy.doe.gov.ph/ducsp/profile/aselco" TargetMode="External"/><Relationship Id="rId20" Type="http://schemas.openxmlformats.org/officeDocument/2006/relationships/hyperlink" Target="https://legacy.doe.gov.ph/ducsp/quirelco" TargetMode="External"/><Relationship Id="rId41" Type="http://schemas.openxmlformats.org/officeDocument/2006/relationships/hyperlink" Target="https://legacy.doe.gov.ph/ducsp/zameco-i" TargetMode="External"/><Relationship Id="rId62" Type="http://schemas.openxmlformats.org/officeDocument/2006/relationships/hyperlink" Target="https://legacy.doe.gov.ph/ducsp/profile/alecoapec" TargetMode="External"/><Relationship Id="rId83" Type="http://schemas.openxmlformats.org/officeDocument/2006/relationships/hyperlink" Target="https://legacy.doe.gov.ph/ducsp/noceco" TargetMode="External"/><Relationship Id="rId88" Type="http://schemas.openxmlformats.org/officeDocument/2006/relationships/hyperlink" Target="https://legacy.doe.gov.ph/ducsp/veco" TargetMode="External"/><Relationship Id="rId111" Type="http://schemas.openxmlformats.org/officeDocument/2006/relationships/hyperlink" Target="https://legacy.doe.gov.ph/ducsp/mmpc" TargetMode="External"/><Relationship Id="rId132" Type="http://schemas.openxmlformats.org/officeDocument/2006/relationships/hyperlink" Target="https://legacy.doe.gov.ph/ducsp/cotelco-ppalma" TargetMode="External"/><Relationship Id="rId153" Type="http://schemas.openxmlformats.org/officeDocument/2006/relationships/hyperlink" Target="https://legacy.doe.gov.ph/duprofile?order=field_du_region&amp;sort=asc" TargetMode="External"/><Relationship Id="rId15" Type="http://schemas.openxmlformats.org/officeDocument/2006/relationships/hyperlink" Target="https://legacy.doe.gov.ph/ducsp/profile/cagelco-i" TargetMode="External"/><Relationship Id="rId36" Type="http://schemas.openxmlformats.org/officeDocument/2006/relationships/hyperlink" Target="https://legacy.doe.gov.ph/ducsp/penelco" TargetMode="External"/><Relationship Id="rId57" Type="http://schemas.openxmlformats.org/officeDocument/2006/relationships/hyperlink" Target="https://legacy.doe.gov.ph/ducsp/romelco" TargetMode="External"/><Relationship Id="rId106" Type="http://schemas.openxmlformats.org/officeDocument/2006/relationships/hyperlink" Target="https://legacy.doe.gov.ph/ducsp/norsamelco" TargetMode="External"/><Relationship Id="rId127" Type="http://schemas.openxmlformats.org/officeDocument/2006/relationships/hyperlink" Target="https://legacy.doe.gov.ph/ducsp/profile/daneco" TargetMode="External"/><Relationship Id="rId10" Type="http://schemas.openxmlformats.org/officeDocument/2006/relationships/hyperlink" Target="https://legacy.doe.gov.ph/ducsp/inec" TargetMode="External"/><Relationship Id="rId31" Type="http://schemas.openxmlformats.org/officeDocument/2006/relationships/hyperlink" Target="https://legacy.doe.gov.ph/ducsp/profile/neeco-ii-area-1" TargetMode="External"/><Relationship Id="rId52" Type="http://schemas.openxmlformats.org/officeDocument/2006/relationships/hyperlink" Target="https://legacy.doe.gov.ph/ducsp/lubelco" TargetMode="External"/><Relationship Id="rId73" Type="http://schemas.openxmlformats.org/officeDocument/2006/relationships/hyperlink" Target="https://legacy.doe.gov.ph/ducsp/profile/mepc" TargetMode="External"/><Relationship Id="rId78" Type="http://schemas.openxmlformats.org/officeDocument/2006/relationships/hyperlink" Target="https://legacy.doe.gov.ph/ducsp/guimelco" TargetMode="External"/><Relationship Id="rId94" Type="http://schemas.openxmlformats.org/officeDocument/2006/relationships/hyperlink" Target="https://legacy.doe.gov.ph/ducsp/profile/noreco-i" TargetMode="External"/><Relationship Id="rId99" Type="http://schemas.openxmlformats.org/officeDocument/2006/relationships/hyperlink" Target="https://legacy.doe.gov.ph/ducsp/profile/bileco" TargetMode="External"/><Relationship Id="rId101" Type="http://schemas.openxmlformats.org/officeDocument/2006/relationships/hyperlink" Target="https://legacy.doe.gov.ph/ducsp/esamelco" TargetMode="External"/><Relationship Id="rId122" Type="http://schemas.openxmlformats.org/officeDocument/2006/relationships/hyperlink" Target="https://legacy.doe.gov.ph/ducsp/moelci-i" TargetMode="External"/><Relationship Id="rId143" Type="http://schemas.openxmlformats.org/officeDocument/2006/relationships/hyperlink" Target="https://legacy.doe.gov.ph/ducsp/lasureco" TargetMode="External"/><Relationship Id="rId148" Type="http://schemas.openxmlformats.org/officeDocument/2006/relationships/hyperlink" Target="https://legacy.doe.gov.ph/ducsp/suleco" TargetMode="External"/><Relationship Id="rId4" Type="http://schemas.openxmlformats.org/officeDocument/2006/relationships/hyperlink" Target="https://legacy.doe.gov.ph/ducsp/kaelco" TargetMode="External"/><Relationship Id="rId9" Type="http://schemas.openxmlformats.org/officeDocument/2006/relationships/hyperlink" Target="https://legacy.doe.gov.ph/ducsp/profile/cenpelco" TargetMode="External"/><Relationship Id="rId26" Type="http://schemas.openxmlformats.org/officeDocument/2006/relationships/hyperlink" Target="https://legacy.doe.gov.ph/ducsp/sez" TargetMode="External"/><Relationship Id="rId47" Type="http://schemas.openxmlformats.org/officeDocument/2006/relationships/hyperlink" Target="https://legacy.doe.gov.ph/ducsp/profile/fleco" TargetMode="External"/><Relationship Id="rId68" Type="http://schemas.openxmlformats.org/officeDocument/2006/relationships/hyperlink" Target="https://legacy.doe.gov.ph/ducsp/soreco-i" TargetMode="External"/><Relationship Id="rId89" Type="http://schemas.openxmlformats.org/officeDocument/2006/relationships/hyperlink" Target="https://legacy.doe.gov.ph/ducsp/profile/boheco-i" TargetMode="External"/><Relationship Id="rId112" Type="http://schemas.openxmlformats.org/officeDocument/2006/relationships/hyperlink" Target="https://legacy.doe.gov.ph/ducsp/zamcelco" TargetMode="External"/><Relationship Id="rId133" Type="http://schemas.openxmlformats.org/officeDocument/2006/relationships/hyperlink" Target="https://legacy.doe.gov.ph/ducsp/profile/socoteco-i" TargetMode="External"/><Relationship Id="rId154" Type="http://schemas.openxmlformats.org/officeDocument/2006/relationships/hyperlink" Target="https://legacy.doe.gov.ph/duprofile?order=field_du_group&amp;sort=asc" TargetMode="External"/><Relationship Id="rId16" Type="http://schemas.openxmlformats.org/officeDocument/2006/relationships/hyperlink" Target="https://legacy.doe.gov.ph/ducsp/profile/cagelco-ii" TargetMode="External"/><Relationship Id="rId37" Type="http://schemas.openxmlformats.org/officeDocument/2006/relationships/hyperlink" Target="https://legacy.doe.gov.ph/ducsp/presco" TargetMode="External"/><Relationship Id="rId58" Type="http://schemas.openxmlformats.org/officeDocument/2006/relationships/hyperlink" Target="https://legacy.doe.gov.ph/ducsp/tielco" TargetMode="External"/><Relationship Id="rId79" Type="http://schemas.openxmlformats.org/officeDocument/2006/relationships/hyperlink" Target="https://legacy.doe.gov.ph/ducsp/ileco-i" TargetMode="External"/><Relationship Id="rId102" Type="http://schemas.openxmlformats.org/officeDocument/2006/relationships/hyperlink" Target="https://legacy.doe.gov.ph/ducsp/leyeco-ii" TargetMode="External"/><Relationship Id="rId123" Type="http://schemas.openxmlformats.org/officeDocument/2006/relationships/hyperlink" Target="https://legacy.doe.gov.ph/ducsp/moelci-ii" TargetMode="External"/><Relationship Id="rId144" Type="http://schemas.openxmlformats.org/officeDocument/2006/relationships/hyperlink" Target="https://legacy.doe.gov.ph/ducsp/magelco" TargetMode="External"/><Relationship Id="rId90" Type="http://schemas.openxmlformats.org/officeDocument/2006/relationships/hyperlink" Target="https://legacy.doe.gov.ph/ducsp/profile/boheco-i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8"/>
  <sheetViews>
    <sheetView showGridLines="0" topLeftCell="C25" workbookViewId="0">
      <selection activeCell="F34" sqref="F34"/>
    </sheetView>
  </sheetViews>
  <sheetFormatPr baseColWidth="10" defaultColWidth="8.83203125" defaultRowHeight="15" x14ac:dyDescent="0.2"/>
  <cols>
    <col min="1" max="1" width="2.83203125" customWidth="1"/>
    <col min="2" max="2" width="48.5" customWidth="1"/>
    <col min="3" max="3" width="2.83203125" customWidth="1"/>
    <col min="4" max="4" width="6.6640625" style="353" customWidth="1"/>
    <col min="5" max="5" width="27.83203125" style="353" customWidth="1"/>
    <col min="6" max="6" width="75.1640625" style="354" customWidth="1"/>
    <col min="7" max="7" width="27.1640625" style="353" customWidth="1"/>
    <col min="8" max="8" width="27.1640625" style="355" customWidth="1"/>
    <col min="10" max="10" width="44.83203125" customWidth="1"/>
  </cols>
  <sheetData>
    <row r="2" spans="2:8" ht="24" x14ac:dyDescent="0.3">
      <c r="B2" s="356" t="s">
        <v>0</v>
      </c>
    </row>
    <row r="4" spans="2:8" ht="16" x14ac:dyDescent="0.2">
      <c r="B4" s="357" t="s">
        <v>1</v>
      </c>
      <c r="D4" s="358" t="s">
        <v>2</v>
      </c>
      <c r="E4" s="359"/>
      <c r="F4" s="360"/>
      <c r="G4" s="359"/>
      <c r="H4" s="361"/>
    </row>
    <row r="5" spans="2:8" ht="16" x14ac:dyDescent="0.2">
      <c r="B5" s="362" t="s">
        <v>2</v>
      </c>
      <c r="D5" s="363" t="s">
        <v>3</v>
      </c>
      <c r="E5" s="364" t="s">
        <v>4</v>
      </c>
      <c r="F5" s="365" t="s">
        <v>5</v>
      </c>
      <c r="G5" s="364" t="s">
        <v>6</v>
      </c>
      <c r="H5" s="366" t="s">
        <v>7</v>
      </c>
    </row>
    <row r="6" spans="2:8" ht="16" x14ac:dyDescent="0.2">
      <c r="B6" s="367" t="s">
        <v>8</v>
      </c>
      <c r="D6" s="368">
        <v>1</v>
      </c>
      <c r="E6" s="369" t="s">
        <v>9</v>
      </c>
      <c r="F6" s="370" t="s">
        <v>10</v>
      </c>
      <c r="G6" s="371" t="s">
        <v>11</v>
      </c>
      <c r="H6" s="372" t="s">
        <v>12</v>
      </c>
    </row>
    <row r="7" spans="2:8" ht="16" x14ac:dyDescent="0.2">
      <c r="B7" s="367" t="s">
        <v>13</v>
      </c>
      <c r="D7" s="368">
        <f>D6+1</f>
        <v>2</v>
      </c>
      <c r="E7" s="369" t="s">
        <v>14</v>
      </c>
      <c r="F7" s="370" t="s">
        <v>15</v>
      </c>
      <c r="G7" s="371" t="s">
        <v>16</v>
      </c>
      <c r="H7" s="372">
        <v>2024</v>
      </c>
    </row>
    <row r="8" spans="2:8" ht="16" x14ac:dyDescent="0.2">
      <c r="B8" s="373" t="s">
        <v>17</v>
      </c>
      <c r="D8" s="374">
        <f>D7+1</f>
        <v>3</v>
      </c>
      <c r="E8" s="375" t="s">
        <v>18</v>
      </c>
      <c r="F8" s="440" t="s">
        <v>19</v>
      </c>
      <c r="G8" s="376" t="s">
        <v>20</v>
      </c>
      <c r="H8" s="377" t="s">
        <v>21</v>
      </c>
    </row>
    <row r="9" spans="2:8" ht="16" x14ac:dyDescent="0.2">
      <c r="B9" s="378" t="s">
        <v>22</v>
      </c>
      <c r="D9" s="368">
        <f>D8+1</f>
        <v>4</v>
      </c>
      <c r="E9" s="370" t="s">
        <v>23</v>
      </c>
      <c r="F9" s="370" t="s">
        <v>24</v>
      </c>
      <c r="G9" s="379" t="s">
        <v>25</v>
      </c>
      <c r="H9" s="380" t="s">
        <v>26</v>
      </c>
    </row>
    <row r="10" spans="2:8" x14ac:dyDescent="0.2">
      <c r="B10" s="378" t="s">
        <v>27</v>
      </c>
      <c r="D10" s="381"/>
      <c r="E10" s="382"/>
      <c r="F10" s="382"/>
      <c r="G10" s="288"/>
      <c r="H10" s="383"/>
    </row>
    <row r="11" spans="2:8" ht="16" x14ac:dyDescent="0.2">
      <c r="B11" s="384" t="s">
        <v>28</v>
      </c>
      <c r="D11" s="385" t="s">
        <v>8</v>
      </c>
      <c r="E11" s="386"/>
      <c r="F11" s="387"/>
      <c r="G11" s="386"/>
      <c r="H11" s="388"/>
    </row>
    <row r="12" spans="2:8" ht="16" x14ac:dyDescent="0.2">
      <c r="B12" s="389" t="s">
        <v>29</v>
      </c>
      <c r="D12" s="363" t="s">
        <v>3</v>
      </c>
      <c r="E12" s="364" t="s">
        <v>4</v>
      </c>
      <c r="F12" s="365" t="s">
        <v>5</v>
      </c>
      <c r="G12" s="364" t="s">
        <v>6</v>
      </c>
      <c r="H12" s="366" t="s">
        <v>7</v>
      </c>
    </row>
    <row r="13" spans="2:8" ht="16" x14ac:dyDescent="0.2">
      <c r="D13" s="368">
        <v>1</v>
      </c>
      <c r="E13" s="369" t="s">
        <v>30</v>
      </c>
      <c r="F13" s="370" t="s">
        <v>31</v>
      </c>
      <c r="G13" s="379" t="s">
        <v>32</v>
      </c>
      <c r="H13" s="380" t="s">
        <v>33</v>
      </c>
    </row>
    <row r="14" spans="2:8" ht="16" x14ac:dyDescent="0.2">
      <c r="D14" s="368">
        <f t="shared" ref="D14:D21" si="0">D13+1</f>
        <v>2</v>
      </c>
      <c r="E14" s="370" t="s">
        <v>34</v>
      </c>
      <c r="F14" s="370" t="s">
        <v>24</v>
      </c>
      <c r="G14" s="379" t="s">
        <v>25</v>
      </c>
      <c r="H14" s="380" t="s">
        <v>26</v>
      </c>
    </row>
    <row r="15" spans="2:8" ht="16" x14ac:dyDescent="0.2">
      <c r="D15" s="368">
        <f t="shared" si="0"/>
        <v>3</v>
      </c>
      <c r="E15" s="369" t="s">
        <v>35</v>
      </c>
      <c r="F15" s="370" t="s">
        <v>24</v>
      </c>
      <c r="G15" s="379" t="s">
        <v>25</v>
      </c>
      <c r="H15" s="380">
        <v>1</v>
      </c>
    </row>
    <row r="16" spans="2:8" ht="112" x14ac:dyDescent="0.2">
      <c r="D16" s="368">
        <f t="shared" si="0"/>
        <v>4</v>
      </c>
      <c r="E16" s="369" t="s">
        <v>36</v>
      </c>
      <c r="F16" s="370" t="s">
        <v>37</v>
      </c>
      <c r="G16" s="371" t="s">
        <v>11</v>
      </c>
      <c r="H16" s="390" t="s">
        <v>38</v>
      </c>
    </row>
    <row r="17" spans="2:8" ht="16" x14ac:dyDescent="0.2">
      <c r="B17" s="391" t="s">
        <v>39</v>
      </c>
      <c r="D17" s="368">
        <f t="shared" si="0"/>
        <v>5</v>
      </c>
      <c r="E17" s="369" t="s">
        <v>40</v>
      </c>
      <c r="F17" s="370" t="s">
        <v>41</v>
      </c>
      <c r="G17" s="371" t="s">
        <v>11</v>
      </c>
      <c r="H17" s="372" t="s">
        <v>42</v>
      </c>
    </row>
    <row r="18" spans="2:8" ht="16" x14ac:dyDescent="0.2">
      <c r="B18" s="392" t="s">
        <v>43</v>
      </c>
      <c r="D18" s="368">
        <f t="shared" si="0"/>
        <v>6</v>
      </c>
      <c r="E18" s="369" t="s">
        <v>44</v>
      </c>
      <c r="F18" s="370" t="s">
        <v>45</v>
      </c>
      <c r="G18" s="379" t="s">
        <v>20</v>
      </c>
      <c r="H18" s="379" t="s">
        <v>46</v>
      </c>
    </row>
    <row r="19" spans="2:8" ht="16" x14ac:dyDescent="0.2">
      <c r="B19" s="393" t="s">
        <v>47</v>
      </c>
      <c r="D19" s="368">
        <f t="shared" si="0"/>
        <v>7</v>
      </c>
      <c r="E19" s="369" t="s">
        <v>48</v>
      </c>
      <c r="F19" s="370" t="s">
        <v>49</v>
      </c>
      <c r="G19" s="369" t="s">
        <v>50</v>
      </c>
      <c r="H19" s="394">
        <v>400.24</v>
      </c>
    </row>
    <row r="20" spans="2:8" ht="16" x14ac:dyDescent="0.2">
      <c r="B20" s="395" t="s">
        <v>51</v>
      </c>
      <c r="D20" s="368">
        <f t="shared" si="0"/>
        <v>8</v>
      </c>
      <c r="E20" s="369" t="s">
        <v>52</v>
      </c>
      <c r="F20" s="370" t="s">
        <v>53</v>
      </c>
      <c r="G20" s="379" t="s">
        <v>20</v>
      </c>
      <c r="H20" s="380" t="s">
        <v>54</v>
      </c>
    </row>
    <row r="21" spans="2:8" ht="32" x14ac:dyDescent="0.2">
      <c r="D21" s="368">
        <f t="shared" si="0"/>
        <v>9</v>
      </c>
      <c r="E21" s="369" t="s">
        <v>55</v>
      </c>
      <c r="F21" s="370" t="s">
        <v>56</v>
      </c>
      <c r="G21" s="369" t="s">
        <v>57</v>
      </c>
      <c r="H21" s="396" t="s">
        <v>58</v>
      </c>
    </row>
    <row r="22" spans="2:8" x14ac:dyDescent="0.2">
      <c r="D22" s="397"/>
      <c r="E22" s="398"/>
      <c r="F22" s="399"/>
      <c r="G22" s="398"/>
      <c r="H22" s="400"/>
    </row>
    <row r="23" spans="2:8" ht="16" x14ac:dyDescent="0.2">
      <c r="D23" s="385" t="s">
        <v>13</v>
      </c>
      <c r="E23" s="386"/>
      <c r="F23" s="387"/>
      <c r="G23" s="386"/>
      <c r="H23" s="388"/>
    </row>
    <row r="24" spans="2:8" ht="16" x14ac:dyDescent="0.2">
      <c r="D24" s="363" t="s">
        <v>3</v>
      </c>
      <c r="E24" s="364" t="s">
        <v>4</v>
      </c>
      <c r="F24" s="365" t="s">
        <v>5</v>
      </c>
      <c r="G24" s="364" t="s">
        <v>6</v>
      </c>
      <c r="H24" s="366" t="s">
        <v>7</v>
      </c>
    </row>
    <row r="25" spans="2:8" ht="16" x14ac:dyDescent="0.2">
      <c r="D25" s="368">
        <v>1</v>
      </c>
      <c r="E25" s="369" t="s">
        <v>30</v>
      </c>
      <c r="F25" s="370" t="s">
        <v>31</v>
      </c>
      <c r="G25" s="379" t="s">
        <v>32</v>
      </c>
      <c r="H25" s="380" t="s">
        <v>33</v>
      </c>
    </row>
    <row r="26" spans="2:8" ht="16" x14ac:dyDescent="0.2">
      <c r="D26" s="368">
        <f t="shared" ref="D26:D36" si="1">D25+1</f>
        <v>2</v>
      </c>
      <c r="E26" s="370" t="s">
        <v>34</v>
      </c>
      <c r="F26" s="370" t="s">
        <v>24</v>
      </c>
      <c r="G26" s="379" t="s">
        <v>25</v>
      </c>
      <c r="H26" s="380" t="s">
        <v>26</v>
      </c>
    </row>
    <row r="27" spans="2:8" ht="16" x14ac:dyDescent="0.2">
      <c r="D27" s="368">
        <f t="shared" si="1"/>
        <v>3</v>
      </c>
      <c r="E27" s="369" t="s">
        <v>35</v>
      </c>
      <c r="F27" s="370" t="s">
        <v>24</v>
      </c>
      <c r="G27" s="379" t="s">
        <v>25</v>
      </c>
      <c r="H27" s="380">
        <v>1</v>
      </c>
    </row>
    <row r="28" spans="2:8" ht="186" customHeight="1" x14ac:dyDescent="0.2">
      <c r="D28" s="368">
        <f t="shared" si="1"/>
        <v>4</v>
      </c>
      <c r="E28" s="370" t="s">
        <v>59</v>
      </c>
      <c r="F28" s="401" t="s">
        <v>60</v>
      </c>
      <c r="G28" s="371" t="s">
        <v>11</v>
      </c>
      <c r="H28" s="390" t="s">
        <v>61</v>
      </c>
    </row>
    <row r="29" spans="2:8" ht="64" x14ac:dyDescent="0.2">
      <c r="D29" s="368">
        <f t="shared" si="1"/>
        <v>5</v>
      </c>
      <c r="E29" s="369" t="s">
        <v>36</v>
      </c>
      <c r="F29" s="370" t="s">
        <v>62</v>
      </c>
      <c r="G29" s="371" t="s">
        <v>11</v>
      </c>
      <c r="H29" s="390" t="s">
        <v>63</v>
      </c>
    </row>
    <row r="30" spans="2:8" ht="16" x14ac:dyDescent="0.2">
      <c r="D30" s="368">
        <f t="shared" si="1"/>
        <v>6</v>
      </c>
      <c r="E30" s="369" t="s">
        <v>40</v>
      </c>
      <c r="F30" s="370" t="s">
        <v>41</v>
      </c>
      <c r="G30" s="371" t="s">
        <v>11</v>
      </c>
      <c r="H30" s="372" t="s">
        <v>42</v>
      </c>
    </row>
    <row r="31" spans="2:8" ht="16" x14ac:dyDescent="0.2">
      <c r="D31" s="368">
        <f t="shared" si="1"/>
        <v>7</v>
      </c>
      <c r="E31" s="369" t="s">
        <v>44</v>
      </c>
      <c r="F31" s="370" t="s">
        <v>45</v>
      </c>
      <c r="G31" s="379" t="s">
        <v>20</v>
      </c>
      <c r="H31" s="379" t="s">
        <v>46</v>
      </c>
    </row>
    <row r="32" spans="2:8" ht="16" x14ac:dyDescent="0.2">
      <c r="D32" s="368">
        <f t="shared" si="1"/>
        <v>8</v>
      </c>
      <c r="E32" s="369" t="s">
        <v>48</v>
      </c>
      <c r="F32" s="370" t="s">
        <v>49</v>
      </c>
      <c r="G32" s="369" t="s">
        <v>50</v>
      </c>
      <c r="H32" s="394">
        <v>400.24</v>
      </c>
    </row>
    <row r="33" spans="4:8" ht="16" x14ac:dyDescent="0.2">
      <c r="D33" s="368">
        <f t="shared" si="1"/>
        <v>9</v>
      </c>
      <c r="E33" s="369" t="s">
        <v>52</v>
      </c>
      <c r="F33" s="370" t="s">
        <v>53</v>
      </c>
      <c r="G33" s="379" t="s">
        <v>20</v>
      </c>
      <c r="H33" s="380" t="s">
        <v>54</v>
      </c>
    </row>
    <row r="34" spans="4:8" ht="16" x14ac:dyDescent="0.2">
      <c r="D34" s="368">
        <f t="shared" si="1"/>
        <v>10</v>
      </c>
      <c r="E34" s="370" t="s">
        <v>64</v>
      </c>
      <c r="F34" s="370" t="s">
        <v>65</v>
      </c>
      <c r="G34" s="402" t="s">
        <v>66</v>
      </c>
      <c r="H34" s="394">
        <v>58.96</v>
      </c>
    </row>
    <row r="35" spans="4:8" ht="16" x14ac:dyDescent="0.2">
      <c r="D35" s="368">
        <f t="shared" si="1"/>
        <v>11</v>
      </c>
      <c r="E35" s="370" t="s">
        <v>67</v>
      </c>
      <c r="F35" s="370" t="s">
        <v>68</v>
      </c>
      <c r="G35" s="379" t="s">
        <v>20</v>
      </c>
      <c r="H35" s="380" t="s">
        <v>69</v>
      </c>
    </row>
    <row r="36" spans="4:8" ht="32" x14ac:dyDescent="0.2">
      <c r="D36" s="368">
        <f t="shared" si="1"/>
        <v>12</v>
      </c>
      <c r="E36" s="369" t="s">
        <v>55</v>
      </c>
      <c r="F36" s="370" t="s">
        <v>70</v>
      </c>
      <c r="G36" s="369" t="s">
        <v>57</v>
      </c>
      <c r="H36" s="396" t="s">
        <v>26</v>
      </c>
    </row>
    <row r="38" spans="4:8" ht="16" x14ac:dyDescent="0.2">
      <c r="D38" s="403" t="s">
        <v>17</v>
      </c>
      <c r="E38" s="404"/>
      <c r="F38" s="405"/>
      <c r="G38" s="404"/>
      <c r="H38" s="406"/>
    </row>
    <row r="39" spans="4:8" ht="16" x14ac:dyDescent="0.2">
      <c r="D39" s="363" t="s">
        <v>3</v>
      </c>
      <c r="E39" s="364" t="s">
        <v>4</v>
      </c>
      <c r="F39" s="365" t="s">
        <v>5</v>
      </c>
      <c r="G39" s="364" t="s">
        <v>6</v>
      </c>
      <c r="H39" s="366" t="s">
        <v>7</v>
      </c>
    </row>
    <row r="40" spans="4:8" ht="16" x14ac:dyDescent="0.2">
      <c r="D40" s="368">
        <v>1</v>
      </c>
      <c r="E40" s="369" t="s">
        <v>30</v>
      </c>
      <c r="F40" s="370" t="s">
        <v>31</v>
      </c>
      <c r="G40" s="379" t="s">
        <v>32</v>
      </c>
      <c r="H40" s="380" t="s">
        <v>33</v>
      </c>
    </row>
    <row r="41" spans="4:8" ht="16" x14ac:dyDescent="0.2">
      <c r="D41" s="368">
        <f>D40+1</f>
        <v>2</v>
      </c>
      <c r="E41" s="369" t="s">
        <v>71</v>
      </c>
      <c r="F41" s="370" t="s">
        <v>24</v>
      </c>
      <c r="G41" s="379" t="s">
        <v>25</v>
      </c>
      <c r="H41" s="380" t="s">
        <v>26</v>
      </c>
    </row>
    <row r="42" spans="4:8" ht="16" x14ac:dyDescent="0.2">
      <c r="D42" s="368">
        <f t="shared" ref="D42:D49" si="2">D41+1</f>
        <v>3</v>
      </c>
      <c r="E42" s="369" t="s">
        <v>35</v>
      </c>
      <c r="F42" s="370" t="s">
        <v>24</v>
      </c>
      <c r="G42" s="379" t="s">
        <v>25</v>
      </c>
      <c r="H42" s="380">
        <v>1</v>
      </c>
    </row>
    <row r="43" spans="4:8" ht="16" x14ac:dyDescent="0.2">
      <c r="D43" s="368">
        <v>4</v>
      </c>
      <c r="E43" s="369" t="s">
        <v>72</v>
      </c>
      <c r="F43" s="370" t="s">
        <v>73</v>
      </c>
      <c r="G43" s="402" t="s">
        <v>57</v>
      </c>
      <c r="H43" s="396" t="s">
        <v>74</v>
      </c>
    </row>
    <row r="44" spans="4:8" ht="128" x14ac:dyDescent="0.2">
      <c r="D44" s="368">
        <f>D43+1</f>
        <v>5</v>
      </c>
      <c r="E44" s="369" t="s">
        <v>75</v>
      </c>
      <c r="F44" s="370" t="s">
        <v>76</v>
      </c>
      <c r="G44" s="371" t="s">
        <v>11</v>
      </c>
      <c r="H44" s="390" t="s">
        <v>77</v>
      </c>
    </row>
    <row r="45" spans="4:8" ht="16" x14ac:dyDescent="0.2">
      <c r="D45" s="368">
        <f t="shared" si="2"/>
        <v>6</v>
      </c>
      <c r="E45" s="369" t="s">
        <v>78</v>
      </c>
      <c r="F45" s="370" t="s">
        <v>79</v>
      </c>
      <c r="G45" s="402" t="s">
        <v>80</v>
      </c>
      <c r="H45" s="407">
        <v>9</v>
      </c>
    </row>
    <row r="46" spans="4:8" ht="16" x14ac:dyDescent="0.2">
      <c r="D46" s="368">
        <f t="shared" si="2"/>
        <v>7</v>
      </c>
      <c r="E46" s="369" t="s">
        <v>81</v>
      </c>
      <c r="F46" s="370" t="s">
        <v>82</v>
      </c>
      <c r="G46" s="371" t="s">
        <v>11</v>
      </c>
      <c r="H46" s="372" t="s">
        <v>83</v>
      </c>
    </row>
    <row r="47" spans="4:8" ht="80" x14ac:dyDescent="0.2">
      <c r="D47" s="368">
        <f t="shared" si="2"/>
        <v>8</v>
      </c>
      <c r="E47" s="370" t="s">
        <v>84</v>
      </c>
      <c r="F47" s="370" t="s">
        <v>85</v>
      </c>
      <c r="G47" s="371" t="s">
        <v>11</v>
      </c>
      <c r="H47" s="372" t="s">
        <v>86</v>
      </c>
    </row>
    <row r="48" spans="4:8" ht="16" x14ac:dyDescent="0.2">
      <c r="D48" s="368">
        <f t="shared" si="2"/>
        <v>9</v>
      </c>
      <c r="E48" s="408" t="s">
        <v>87</v>
      </c>
      <c r="F48" s="408" t="s">
        <v>88</v>
      </c>
      <c r="G48" s="371" t="s">
        <v>11</v>
      </c>
      <c r="H48" s="372" t="s">
        <v>89</v>
      </c>
    </row>
    <row r="49" spans="4:8" ht="48" x14ac:dyDescent="0.2">
      <c r="D49" s="368">
        <f t="shared" si="2"/>
        <v>10</v>
      </c>
      <c r="E49" s="408" t="s">
        <v>90</v>
      </c>
      <c r="F49" s="408" t="s">
        <v>91</v>
      </c>
      <c r="G49" s="402" t="s">
        <v>66</v>
      </c>
      <c r="H49" s="409">
        <v>13.4</v>
      </c>
    </row>
    <row r="50" spans="4:8" ht="16" x14ac:dyDescent="0.2">
      <c r="D50" s="368">
        <f t="shared" ref="D50:D56" si="3">D49+1</f>
        <v>11</v>
      </c>
      <c r="E50" s="402" t="s">
        <v>92</v>
      </c>
      <c r="F50" s="410" t="s">
        <v>93</v>
      </c>
      <c r="G50" s="371" t="s">
        <v>11</v>
      </c>
      <c r="H50" s="372" t="s">
        <v>89</v>
      </c>
    </row>
    <row r="51" spans="4:8" ht="16" x14ac:dyDescent="0.2">
      <c r="D51" s="368">
        <f t="shared" si="3"/>
        <v>12</v>
      </c>
      <c r="E51" s="402" t="s">
        <v>94</v>
      </c>
      <c r="F51" s="408" t="s">
        <v>95</v>
      </c>
      <c r="G51" s="402" t="s">
        <v>66</v>
      </c>
      <c r="H51" s="409">
        <v>13.4</v>
      </c>
    </row>
    <row r="52" spans="4:8" ht="16" x14ac:dyDescent="0.2">
      <c r="D52" s="368">
        <f t="shared" si="3"/>
        <v>13</v>
      </c>
      <c r="E52" s="408" t="s">
        <v>96</v>
      </c>
      <c r="F52" s="408" t="s">
        <v>97</v>
      </c>
      <c r="G52" s="371" t="s">
        <v>11</v>
      </c>
      <c r="H52" s="372" t="s">
        <v>42</v>
      </c>
    </row>
    <row r="53" spans="4:8" ht="16" x14ac:dyDescent="0.2">
      <c r="D53" s="368">
        <f t="shared" si="3"/>
        <v>14</v>
      </c>
      <c r="E53" s="408" t="s">
        <v>98</v>
      </c>
      <c r="F53" s="408" t="s">
        <v>99</v>
      </c>
      <c r="G53" s="402" t="s">
        <v>66</v>
      </c>
      <c r="H53" s="409">
        <v>13.4</v>
      </c>
    </row>
    <row r="54" spans="4:8" ht="16" x14ac:dyDescent="0.2">
      <c r="D54" s="368">
        <f t="shared" si="3"/>
        <v>15</v>
      </c>
      <c r="E54" s="402" t="s">
        <v>100</v>
      </c>
      <c r="F54" s="408" t="s">
        <v>101</v>
      </c>
      <c r="G54" s="402" t="s">
        <v>66</v>
      </c>
      <c r="H54" s="407">
        <v>5.67</v>
      </c>
    </row>
    <row r="55" spans="4:8" ht="16" x14ac:dyDescent="0.2">
      <c r="D55" s="368">
        <f t="shared" si="3"/>
        <v>16</v>
      </c>
      <c r="E55" s="369" t="s">
        <v>44</v>
      </c>
      <c r="F55" s="370" t="s">
        <v>45</v>
      </c>
      <c r="G55" s="379" t="s">
        <v>20</v>
      </c>
      <c r="H55" s="379" t="s">
        <v>46</v>
      </c>
    </row>
    <row r="56" spans="4:8" ht="32" x14ac:dyDescent="0.2">
      <c r="D56" s="368">
        <f t="shared" si="3"/>
        <v>17</v>
      </c>
      <c r="E56" s="402" t="s">
        <v>55</v>
      </c>
      <c r="F56" s="408" t="s">
        <v>70</v>
      </c>
      <c r="G56" s="402" t="s">
        <v>57</v>
      </c>
      <c r="H56" s="396" t="s">
        <v>102</v>
      </c>
    </row>
    <row r="57" spans="4:8" x14ac:dyDescent="0.2">
      <c r="D57" s="411"/>
      <c r="E57" s="412"/>
      <c r="F57" s="412"/>
      <c r="G57" s="412"/>
      <c r="H57" s="412"/>
    </row>
    <row r="58" spans="4:8" ht="16" x14ac:dyDescent="0.2">
      <c r="D58" s="413" t="s">
        <v>103</v>
      </c>
      <c r="E58" s="414"/>
      <c r="F58" s="415"/>
      <c r="G58" s="414"/>
      <c r="H58" s="416"/>
    </row>
    <row r="59" spans="4:8" ht="16" x14ac:dyDescent="0.2">
      <c r="D59" s="363" t="s">
        <v>3</v>
      </c>
      <c r="E59" s="364" t="s">
        <v>4</v>
      </c>
      <c r="F59" s="365" t="s">
        <v>5</v>
      </c>
      <c r="G59" s="364" t="s">
        <v>6</v>
      </c>
      <c r="H59" s="366" t="s">
        <v>7</v>
      </c>
    </row>
    <row r="60" spans="4:8" ht="16" x14ac:dyDescent="0.2">
      <c r="D60" s="368">
        <v>1</v>
      </c>
      <c r="E60" s="369" t="s">
        <v>30</v>
      </c>
      <c r="F60" s="370" t="s">
        <v>31</v>
      </c>
      <c r="G60" s="379" t="s">
        <v>32</v>
      </c>
      <c r="H60" s="380" t="s">
        <v>33</v>
      </c>
    </row>
    <row r="61" spans="4:8" ht="32" x14ac:dyDescent="0.2">
      <c r="D61" s="368">
        <f t="shared" ref="D61:D68" si="4">D60+1</f>
        <v>2</v>
      </c>
      <c r="E61" s="370" t="s">
        <v>104</v>
      </c>
      <c r="F61" s="370" t="s">
        <v>24</v>
      </c>
      <c r="G61" s="379" t="s">
        <v>25</v>
      </c>
      <c r="H61" s="380" t="s">
        <v>26</v>
      </c>
    </row>
    <row r="62" spans="4:8" ht="16" x14ac:dyDescent="0.2">
      <c r="D62" s="368">
        <f t="shared" si="4"/>
        <v>3</v>
      </c>
      <c r="E62" s="369" t="s">
        <v>35</v>
      </c>
      <c r="F62" s="370" t="s">
        <v>24</v>
      </c>
      <c r="G62" s="379" t="s">
        <v>25</v>
      </c>
      <c r="H62" s="380">
        <v>1</v>
      </c>
    </row>
    <row r="63" spans="4:8" ht="16" x14ac:dyDescent="0.2">
      <c r="D63" s="368">
        <f t="shared" si="4"/>
        <v>4</v>
      </c>
      <c r="E63" s="370" t="s">
        <v>40</v>
      </c>
      <c r="F63" s="370" t="s">
        <v>105</v>
      </c>
      <c r="G63" s="371" t="s">
        <v>11</v>
      </c>
      <c r="H63" s="372" t="s">
        <v>42</v>
      </c>
    </row>
    <row r="64" spans="4:8" ht="16" x14ac:dyDescent="0.2">
      <c r="D64" s="368">
        <f t="shared" si="4"/>
        <v>5</v>
      </c>
      <c r="E64" s="369" t="s">
        <v>44</v>
      </c>
      <c r="F64" s="370" t="s">
        <v>45</v>
      </c>
      <c r="G64" s="379" t="s">
        <v>20</v>
      </c>
      <c r="H64" s="379" t="s">
        <v>46</v>
      </c>
    </row>
    <row r="65" spans="4:8" ht="16" x14ac:dyDescent="0.2">
      <c r="D65" s="368">
        <f t="shared" si="4"/>
        <v>6</v>
      </c>
      <c r="E65" s="370" t="s">
        <v>106</v>
      </c>
      <c r="F65" s="370" t="s">
        <v>107</v>
      </c>
      <c r="G65" s="402" t="s">
        <v>66</v>
      </c>
      <c r="H65" s="417">
        <v>1234.56</v>
      </c>
    </row>
    <row r="66" spans="4:8" ht="16" x14ac:dyDescent="0.2">
      <c r="D66" s="368">
        <f t="shared" si="4"/>
        <v>7</v>
      </c>
      <c r="E66" s="370" t="s">
        <v>108</v>
      </c>
      <c r="F66" s="370" t="s">
        <v>109</v>
      </c>
      <c r="G66" s="402" t="s">
        <v>66</v>
      </c>
      <c r="H66" s="417">
        <v>87654.32</v>
      </c>
    </row>
    <row r="67" spans="4:8" ht="16" x14ac:dyDescent="0.2">
      <c r="D67" s="368">
        <f t="shared" si="4"/>
        <v>8</v>
      </c>
      <c r="E67" s="370" t="s">
        <v>110</v>
      </c>
      <c r="F67" s="370" t="s">
        <v>111</v>
      </c>
      <c r="G67" s="371" t="s">
        <v>11</v>
      </c>
      <c r="H67" s="372" t="s">
        <v>112</v>
      </c>
    </row>
    <row r="68" spans="4:8" ht="32" x14ac:dyDescent="0.2">
      <c r="D68" s="368">
        <f t="shared" si="4"/>
        <v>9</v>
      </c>
      <c r="E68" s="394" t="s">
        <v>55</v>
      </c>
      <c r="F68" s="370" t="s">
        <v>70</v>
      </c>
      <c r="G68" s="369" t="s">
        <v>57</v>
      </c>
      <c r="H68" s="394" t="s">
        <v>113</v>
      </c>
    </row>
    <row r="69" spans="4:8" x14ac:dyDescent="0.2">
      <c r="D69" s="418"/>
      <c r="E69" s="419"/>
      <c r="F69" s="399"/>
      <c r="G69" s="398"/>
      <c r="H69" s="419"/>
    </row>
    <row r="70" spans="4:8" ht="16" x14ac:dyDescent="0.2">
      <c r="D70" s="413" t="s">
        <v>114</v>
      </c>
      <c r="E70" s="414"/>
      <c r="F70" s="415"/>
      <c r="G70" s="414"/>
      <c r="H70" s="416"/>
    </row>
    <row r="71" spans="4:8" ht="16" x14ac:dyDescent="0.2">
      <c r="D71" s="363" t="s">
        <v>3</v>
      </c>
      <c r="E71" s="364" t="s">
        <v>4</v>
      </c>
      <c r="F71" s="365" t="s">
        <v>5</v>
      </c>
      <c r="G71" s="364" t="s">
        <v>6</v>
      </c>
      <c r="H71" s="366" t="s">
        <v>7</v>
      </c>
    </row>
    <row r="72" spans="4:8" ht="16" x14ac:dyDescent="0.2">
      <c r="D72" s="368">
        <v>1</v>
      </c>
      <c r="E72" s="369" t="s">
        <v>30</v>
      </c>
      <c r="F72" s="370" t="s">
        <v>31</v>
      </c>
      <c r="G72" s="379" t="s">
        <v>32</v>
      </c>
      <c r="H72" s="380" t="s">
        <v>33</v>
      </c>
    </row>
    <row r="73" spans="4:8" ht="32" x14ac:dyDescent="0.2">
      <c r="D73" s="368">
        <f t="shared" ref="D73:D78" si="5">D72+1</f>
        <v>2</v>
      </c>
      <c r="E73" s="370" t="s">
        <v>104</v>
      </c>
      <c r="F73" s="370" t="s">
        <v>24</v>
      </c>
      <c r="G73" s="379" t="s">
        <v>25</v>
      </c>
      <c r="H73" s="380" t="s">
        <v>26</v>
      </c>
    </row>
    <row r="74" spans="4:8" ht="16" x14ac:dyDescent="0.2">
      <c r="D74" s="368">
        <f t="shared" si="5"/>
        <v>3</v>
      </c>
      <c r="E74" s="369" t="s">
        <v>35</v>
      </c>
      <c r="F74" s="370" t="s">
        <v>24</v>
      </c>
      <c r="G74" s="379" t="s">
        <v>25</v>
      </c>
      <c r="H74" s="380">
        <v>1</v>
      </c>
    </row>
    <row r="75" spans="4:8" ht="16" x14ac:dyDescent="0.2">
      <c r="D75" s="368">
        <f t="shared" si="5"/>
        <v>4</v>
      </c>
      <c r="E75" s="370" t="s">
        <v>40</v>
      </c>
      <c r="F75" s="370" t="s">
        <v>105</v>
      </c>
      <c r="G75" s="371" t="s">
        <v>11</v>
      </c>
      <c r="H75" s="372" t="s">
        <v>42</v>
      </c>
    </row>
    <row r="76" spans="4:8" ht="16" x14ac:dyDescent="0.2">
      <c r="D76" s="368">
        <f t="shared" si="5"/>
        <v>5</v>
      </c>
      <c r="E76" s="369" t="s">
        <v>44</v>
      </c>
      <c r="F76" s="370" t="s">
        <v>45</v>
      </c>
      <c r="G76" s="379" t="s">
        <v>20</v>
      </c>
      <c r="H76" s="379" t="s">
        <v>46</v>
      </c>
    </row>
    <row r="77" spans="4:8" ht="16" x14ac:dyDescent="0.2">
      <c r="D77" s="368">
        <f t="shared" si="5"/>
        <v>6</v>
      </c>
      <c r="E77" s="370" t="s">
        <v>115</v>
      </c>
      <c r="F77" s="370" t="s">
        <v>116</v>
      </c>
      <c r="G77" s="402" t="s">
        <v>66</v>
      </c>
      <c r="H77" s="417">
        <v>1234.56</v>
      </c>
    </row>
    <row r="78" spans="4:8" ht="16" x14ac:dyDescent="0.2">
      <c r="D78" s="368">
        <f t="shared" si="5"/>
        <v>7</v>
      </c>
      <c r="E78" s="370" t="s">
        <v>117</v>
      </c>
      <c r="F78" s="370" t="s">
        <v>118</v>
      </c>
      <c r="G78" s="402" t="s">
        <v>66</v>
      </c>
      <c r="H78" s="417">
        <v>1234.56</v>
      </c>
    </row>
    <row r="79" spans="4:8" ht="32" x14ac:dyDescent="0.2">
      <c r="D79" s="368">
        <v>9</v>
      </c>
      <c r="E79" s="394" t="s">
        <v>55</v>
      </c>
      <c r="F79" s="370" t="s">
        <v>70</v>
      </c>
      <c r="G79" s="369" t="s">
        <v>57</v>
      </c>
      <c r="H79" s="394" t="s">
        <v>113</v>
      </c>
    </row>
    <row r="81" spans="4:8" ht="16" x14ac:dyDescent="0.2">
      <c r="D81" s="420" t="s">
        <v>28</v>
      </c>
      <c r="E81" s="421"/>
      <c r="F81" s="422"/>
      <c r="G81" s="421"/>
      <c r="H81" s="423"/>
    </row>
    <row r="82" spans="4:8" ht="16" x14ac:dyDescent="0.2">
      <c r="D82" s="363" t="s">
        <v>3</v>
      </c>
      <c r="E82" s="364" t="s">
        <v>4</v>
      </c>
      <c r="F82" s="365" t="s">
        <v>5</v>
      </c>
      <c r="G82" s="364" t="s">
        <v>6</v>
      </c>
      <c r="H82" s="366" t="s">
        <v>7</v>
      </c>
    </row>
    <row r="83" spans="4:8" x14ac:dyDescent="0.2">
      <c r="D83" s="363"/>
      <c r="E83" s="364"/>
      <c r="F83" s="365"/>
      <c r="G83" s="364"/>
      <c r="H83" s="366"/>
    </row>
    <row r="84" spans="4:8" ht="16" x14ac:dyDescent="0.2">
      <c r="D84" s="368">
        <v>1</v>
      </c>
      <c r="E84" s="369" t="s">
        <v>30</v>
      </c>
      <c r="F84" s="370" t="s">
        <v>31</v>
      </c>
      <c r="G84" s="379" t="s">
        <v>32</v>
      </c>
      <c r="H84" s="380" t="s">
        <v>33</v>
      </c>
    </row>
    <row r="85" spans="4:8" ht="16" x14ac:dyDescent="0.2">
      <c r="D85" s="368">
        <v>2</v>
      </c>
      <c r="E85" s="370" t="s">
        <v>119</v>
      </c>
      <c r="F85" s="370" t="s">
        <v>24</v>
      </c>
      <c r="G85" s="379" t="s">
        <v>25</v>
      </c>
      <c r="H85" s="380" t="s">
        <v>26</v>
      </c>
    </row>
    <row r="86" spans="4:8" ht="16" x14ac:dyDescent="0.2">
      <c r="D86" s="368">
        <v>3</v>
      </c>
      <c r="E86" s="424" t="s">
        <v>120</v>
      </c>
      <c r="F86" s="425"/>
      <c r="G86" s="425"/>
      <c r="H86" s="426"/>
    </row>
    <row r="87" spans="4:8" ht="16" x14ac:dyDescent="0.2">
      <c r="D87" s="368"/>
      <c r="E87" s="427" t="s">
        <v>35</v>
      </c>
      <c r="F87" s="370" t="s">
        <v>24</v>
      </c>
      <c r="G87" s="379" t="s">
        <v>25</v>
      </c>
      <c r="H87" s="380">
        <v>1</v>
      </c>
    </row>
    <row r="88" spans="4:8" ht="16" x14ac:dyDescent="0.2">
      <c r="D88" s="368"/>
      <c r="E88" s="428" t="s">
        <v>40</v>
      </c>
      <c r="F88" s="370" t="s">
        <v>121</v>
      </c>
      <c r="G88" s="371" t="s">
        <v>11</v>
      </c>
      <c r="H88" s="372" t="s">
        <v>42</v>
      </c>
    </row>
    <row r="89" spans="4:8" ht="16" x14ac:dyDescent="0.2">
      <c r="D89" s="368"/>
      <c r="E89" s="427" t="s">
        <v>44</v>
      </c>
      <c r="F89" s="370" t="s">
        <v>45</v>
      </c>
      <c r="G89" s="379" t="s">
        <v>20</v>
      </c>
      <c r="H89" s="379" t="s">
        <v>46</v>
      </c>
    </row>
    <row r="90" spans="4:8" ht="112" x14ac:dyDescent="0.2">
      <c r="D90" s="368"/>
      <c r="E90" s="428" t="s">
        <v>122</v>
      </c>
      <c r="F90" s="370" t="s">
        <v>123</v>
      </c>
      <c r="G90" s="371" t="s">
        <v>11</v>
      </c>
      <c r="H90" s="372" t="s">
        <v>124</v>
      </c>
    </row>
    <row r="91" spans="4:8" ht="16" x14ac:dyDescent="0.2">
      <c r="D91" s="368"/>
      <c r="E91" s="428" t="s">
        <v>125</v>
      </c>
      <c r="F91" s="370" t="s">
        <v>126</v>
      </c>
      <c r="G91" s="402" t="s">
        <v>66</v>
      </c>
      <c r="H91" s="417">
        <v>678.89</v>
      </c>
    </row>
    <row r="92" spans="4:8" ht="32" x14ac:dyDescent="0.2">
      <c r="D92" s="368"/>
      <c r="E92" s="428" t="s">
        <v>55</v>
      </c>
      <c r="F92" s="370" t="s">
        <v>70</v>
      </c>
      <c r="G92" s="369" t="s">
        <v>57</v>
      </c>
      <c r="H92" s="417" t="s">
        <v>127</v>
      </c>
    </row>
    <row r="93" spans="4:8" ht="16" x14ac:dyDescent="0.2">
      <c r="D93" s="368">
        <v>4</v>
      </c>
      <c r="E93" s="424" t="s">
        <v>128</v>
      </c>
      <c r="F93" s="425"/>
      <c r="G93" s="425"/>
      <c r="H93" s="426"/>
    </row>
    <row r="94" spans="4:8" ht="16" x14ac:dyDescent="0.2">
      <c r="D94" s="368"/>
      <c r="E94" s="427" t="s">
        <v>35</v>
      </c>
      <c r="F94" s="370" t="s">
        <v>24</v>
      </c>
      <c r="G94" s="379" t="s">
        <v>25</v>
      </c>
      <c r="H94" s="380">
        <v>1</v>
      </c>
    </row>
    <row r="95" spans="4:8" ht="16" x14ac:dyDescent="0.2">
      <c r="D95" s="368"/>
      <c r="E95" s="428" t="s">
        <v>40</v>
      </c>
      <c r="F95" s="370" t="s">
        <v>129</v>
      </c>
      <c r="G95" s="371" t="s">
        <v>11</v>
      </c>
      <c r="H95" s="372" t="s">
        <v>42</v>
      </c>
    </row>
    <row r="96" spans="4:8" ht="16" x14ac:dyDescent="0.2">
      <c r="D96" s="368"/>
      <c r="E96" s="427" t="s">
        <v>44</v>
      </c>
      <c r="F96" s="370" t="s">
        <v>45</v>
      </c>
      <c r="G96" s="379" t="s">
        <v>20</v>
      </c>
      <c r="H96" s="379" t="s">
        <v>46</v>
      </c>
    </row>
    <row r="97" spans="4:8" ht="16" x14ac:dyDescent="0.2">
      <c r="D97" s="368"/>
      <c r="E97" s="428" t="s">
        <v>125</v>
      </c>
      <c r="F97" s="370" t="s">
        <v>130</v>
      </c>
      <c r="G97" s="402" t="s">
        <v>66</v>
      </c>
      <c r="H97" s="417">
        <v>678.89</v>
      </c>
    </row>
    <row r="98" spans="4:8" ht="80" x14ac:dyDescent="0.2">
      <c r="D98" s="368"/>
      <c r="E98" s="428" t="s">
        <v>131</v>
      </c>
      <c r="F98" s="370" t="s">
        <v>132</v>
      </c>
      <c r="G98" s="371" t="s">
        <v>11</v>
      </c>
      <c r="H98" s="372" t="s">
        <v>133</v>
      </c>
    </row>
    <row r="99" spans="4:8" ht="32" x14ac:dyDescent="0.2">
      <c r="D99" s="368"/>
      <c r="E99" s="427" t="s">
        <v>55</v>
      </c>
      <c r="F99" s="370" t="s">
        <v>70</v>
      </c>
      <c r="G99" s="369" t="s">
        <v>57</v>
      </c>
      <c r="H99" s="394"/>
    </row>
    <row r="101" spans="4:8" ht="16" x14ac:dyDescent="0.2">
      <c r="D101" s="429" t="s">
        <v>29</v>
      </c>
      <c r="E101" s="430"/>
      <c r="F101" s="431"/>
      <c r="G101" s="430"/>
      <c r="H101" s="432"/>
    </row>
    <row r="102" spans="4:8" ht="16" x14ac:dyDescent="0.2">
      <c r="D102" s="363" t="s">
        <v>3</v>
      </c>
      <c r="E102" s="364" t="s">
        <v>4</v>
      </c>
      <c r="F102" s="365" t="s">
        <v>5</v>
      </c>
      <c r="G102" s="364" t="s">
        <v>6</v>
      </c>
      <c r="H102" s="366" t="s">
        <v>7</v>
      </c>
    </row>
    <row r="103" spans="4:8" ht="16" x14ac:dyDescent="0.2">
      <c r="D103" s="368">
        <v>1</v>
      </c>
      <c r="E103" s="369" t="s">
        <v>30</v>
      </c>
      <c r="F103" s="370" t="s">
        <v>31</v>
      </c>
      <c r="G103" s="379" t="s">
        <v>32</v>
      </c>
      <c r="H103" s="380" t="s">
        <v>33</v>
      </c>
    </row>
    <row r="104" spans="4:8" ht="32" x14ac:dyDescent="0.2">
      <c r="D104" s="368">
        <f>D103+1</f>
        <v>2</v>
      </c>
      <c r="E104" s="370" t="s">
        <v>134</v>
      </c>
      <c r="F104" s="370" t="s">
        <v>24</v>
      </c>
      <c r="G104" s="379" t="s">
        <v>25</v>
      </c>
      <c r="H104" s="380" t="s">
        <v>26</v>
      </c>
    </row>
    <row r="105" spans="4:8" ht="16" x14ac:dyDescent="0.2">
      <c r="D105" s="368">
        <v>3</v>
      </c>
      <c r="E105" s="370" t="s">
        <v>135</v>
      </c>
      <c r="F105" s="370"/>
      <c r="G105" s="379"/>
      <c r="H105" s="380"/>
    </row>
    <row r="106" spans="4:8" ht="16" x14ac:dyDescent="0.2">
      <c r="D106" s="368"/>
      <c r="E106" s="427" t="s">
        <v>35</v>
      </c>
      <c r="F106" s="370" t="s">
        <v>24</v>
      </c>
      <c r="G106" s="379" t="s">
        <v>25</v>
      </c>
      <c r="H106" s="380">
        <v>1</v>
      </c>
    </row>
    <row r="107" spans="4:8" ht="16" x14ac:dyDescent="0.2">
      <c r="D107" s="368"/>
      <c r="E107" s="428" t="s">
        <v>40</v>
      </c>
      <c r="F107" s="370" t="s">
        <v>136</v>
      </c>
      <c r="G107" s="371" t="s">
        <v>11</v>
      </c>
      <c r="H107" s="372" t="s">
        <v>42</v>
      </c>
    </row>
    <row r="108" spans="4:8" ht="16" x14ac:dyDescent="0.2">
      <c r="D108" s="368"/>
      <c r="E108" s="427" t="s">
        <v>44</v>
      </c>
      <c r="F108" s="370" t="s">
        <v>45</v>
      </c>
      <c r="G108" s="379" t="s">
        <v>20</v>
      </c>
      <c r="H108" s="379" t="s">
        <v>46</v>
      </c>
    </row>
    <row r="109" spans="4:8" ht="160" x14ac:dyDescent="0.2">
      <c r="D109" s="368"/>
      <c r="E109" s="428" t="s">
        <v>137</v>
      </c>
      <c r="F109" s="433" t="s">
        <v>138</v>
      </c>
      <c r="G109" s="371" t="s">
        <v>11</v>
      </c>
      <c r="H109" s="372" t="s">
        <v>139</v>
      </c>
    </row>
    <row r="110" spans="4:8" ht="16" x14ac:dyDescent="0.2">
      <c r="D110" s="368"/>
      <c r="E110" s="428" t="s">
        <v>140</v>
      </c>
      <c r="F110" s="370" t="s">
        <v>141</v>
      </c>
      <c r="G110" s="402" t="s">
        <v>66</v>
      </c>
      <c r="H110" s="417">
        <v>456.98</v>
      </c>
    </row>
    <row r="111" spans="4:8" ht="144" x14ac:dyDescent="0.2">
      <c r="D111" s="368"/>
      <c r="E111" s="434" t="s">
        <v>142</v>
      </c>
      <c r="F111" s="401" t="s">
        <v>143</v>
      </c>
      <c r="G111" s="371" t="s">
        <v>11</v>
      </c>
      <c r="H111" s="372" t="s">
        <v>144</v>
      </c>
    </row>
    <row r="112" spans="4:8" ht="32" x14ac:dyDescent="0.2">
      <c r="D112" s="368"/>
      <c r="E112" s="435" t="s">
        <v>55</v>
      </c>
      <c r="F112" s="370" t="s">
        <v>70</v>
      </c>
      <c r="G112" s="369" t="s">
        <v>57</v>
      </c>
      <c r="H112" s="394"/>
    </row>
    <row r="113" spans="4:8" x14ac:dyDescent="0.2">
      <c r="D113" s="411"/>
    </row>
    <row r="114" spans="4:8" ht="16" hidden="1" x14ac:dyDescent="0.2">
      <c r="D114" s="436" t="s">
        <v>145</v>
      </c>
      <c r="E114" s="437"/>
      <c r="F114" s="438"/>
      <c r="G114" s="437"/>
      <c r="H114" s="439"/>
    </row>
    <row r="115" spans="4:8" ht="16" hidden="1" x14ac:dyDescent="0.2">
      <c r="D115" s="363" t="s">
        <v>3</v>
      </c>
      <c r="E115" s="364" t="s">
        <v>4</v>
      </c>
      <c r="F115" s="365" t="s">
        <v>5</v>
      </c>
      <c r="G115" s="364" t="s">
        <v>6</v>
      </c>
      <c r="H115" s="366" t="s">
        <v>7</v>
      </c>
    </row>
    <row r="116" spans="4:8" ht="16" hidden="1" x14ac:dyDescent="0.2">
      <c r="D116" s="368">
        <v>1</v>
      </c>
      <c r="E116" s="369" t="s">
        <v>9</v>
      </c>
      <c r="F116" s="370" t="s">
        <v>31</v>
      </c>
      <c r="G116" s="379" t="s">
        <v>32</v>
      </c>
      <c r="H116" s="380" t="s">
        <v>12</v>
      </c>
    </row>
    <row r="117" spans="4:8" ht="16" hidden="1" x14ac:dyDescent="0.2">
      <c r="D117" s="368">
        <f t="shared" ref="D117:D118" si="6">D116+1</f>
        <v>2</v>
      </c>
      <c r="E117" s="370" t="s">
        <v>14</v>
      </c>
      <c r="F117" s="370" t="s">
        <v>24</v>
      </c>
      <c r="G117" s="379" t="s">
        <v>25</v>
      </c>
      <c r="H117" s="380">
        <v>2024</v>
      </c>
    </row>
    <row r="118" spans="4:8" ht="32" hidden="1" x14ac:dyDescent="0.2">
      <c r="D118" s="368">
        <f t="shared" si="6"/>
        <v>3</v>
      </c>
      <c r="E118" s="370" t="s">
        <v>146</v>
      </c>
      <c r="F118" s="370" t="s">
        <v>147</v>
      </c>
      <c r="G118" s="379" t="s">
        <v>25</v>
      </c>
      <c r="H118" s="380" t="s">
        <v>26</v>
      </c>
    </row>
  </sheetData>
  <hyperlinks>
    <hyperlink ref="B5" location="Instructions!D4" display="1. Data Info and Summary" xr:uid="{00000000-0004-0000-0000-000000000000}"/>
    <hyperlink ref="B8" location="Instructions!D38" display="2.2 Refrigerants" xr:uid="{00000000-0004-0000-0000-000001000000}"/>
    <hyperlink ref="B7" location="Instructions!D23" display="2.1b Fuel - Vehicles" xr:uid="{00000000-0004-0000-0000-000002000000}"/>
    <hyperlink ref="B9" location="Instructions!D58" display="2.3 Electricity" xr:uid="{00000000-0004-0000-0000-000003000000}"/>
    <hyperlink ref="B11" location="Instructions!D81" display="2.4 Water" xr:uid="{00000000-0004-0000-0000-000004000000}"/>
    <hyperlink ref="B12" location="Instructions!D101" display="2.5 Waste" xr:uid="{00000000-0004-0000-0000-000005000000}"/>
    <hyperlink ref="B6" location="Instructions!D11" display="2.1a Fuel - Buildings" xr:uid="{00000000-0004-0000-0000-000006000000}"/>
    <hyperlink ref="B10" location="Instructions!D70" display="2.3b RE - Solar" xr:uid="{00000000-0004-0000-0000-000007000000}"/>
  </hyperlinks>
  <pageMargins left="0.7" right="0.7" top="0.75" bottom="0.75" header="0.3" footer="0.3"/>
  <headerFooter>
    <oddFooter>&amp;L
&amp;1#&amp;"Calibri"&amp;11&amp;K000000 Classification: GENERAL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499984740745262"/>
  </sheetPr>
  <dimension ref="A2:G49"/>
  <sheetViews>
    <sheetView topLeftCell="C1" zoomScale="88" zoomScaleNormal="88" workbookViewId="0">
      <selection activeCell="H18" sqref="H18"/>
    </sheetView>
  </sheetViews>
  <sheetFormatPr baseColWidth="10" defaultColWidth="10.83203125" defaultRowHeight="19" x14ac:dyDescent="0.2"/>
  <cols>
    <col min="1" max="1" width="4.83203125" style="333" customWidth="1"/>
    <col min="2" max="2" width="3.1640625" style="48" customWidth="1"/>
    <col min="3" max="3" width="43.1640625" style="48" customWidth="1"/>
    <col min="4" max="7" width="17" style="48" customWidth="1"/>
    <col min="8" max="16384" width="10.83203125" style="48"/>
  </cols>
  <sheetData>
    <row r="2" spans="3:7" x14ac:dyDescent="0.2">
      <c r="C2" s="334" t="s">
        <v>9</v>
      </c>
      <c r="D2" s="441" t="s">
        <v>148</v>
      </c>
      <c r="E2" s="442"/>
      <c r="F2" s="442"/>
      <c r="G2" s="443"/>
    </row>
    <row r="3" spans="3:7" x14ac:dyDescent="0.2">
      <c r="C3" s="334" t="s">
        <v>14</v>
      </c>
      <c r="D3" s="441">
        <v>2025</v>
      </c>
      <c r="E3" s="442"/>
      <c r="F3" s="442"/>
      <c r="G3" s="443"/>
    </row>
    <row r="5" spans="3:7" ht="19" customHeight="1" x14ac:dyDescent="0.2">
      <c r="C5" s="444" t="s">
        <v>149</v>
      </c>
      <c r="D5" s="444"/>
      <c r="E5" s="444"/>
      <c r="F5" s="444"/>
      <c r="G5" s="444"/>
    </row>
    <row r="7" spans="3:7" x14ac:dyDescent="0.2">
      <c r="C7" s="335" t="s">
        <v>18</v>
      </c>
      <c r="D7" s="336" t="s">
        <v>46</v>
      </c>
      <c r="E7" s="336" t="s">
        <v>150</v>
      </c>
      <c r="F7" s="336" t="s">
        <v>151</v>
      </c>
      <c r="G7" s="336" t="s">
        <v>152</v>
      </c>
    </row>
    <row r="8" spans="3:7" x14ac:dyDescent="0.2">
      <c r="C8" s="337" t="s">
        <v>153</v>
      </c>
      <c r="D8" s="338">
        <v>1500</v>
      </c>
      <c r="E8" s="339" t="str" cm="1">
        <f t="array" ref="E8">IF(SUMPRODUCT(--('2.1a Fuel - Buildings'!E11:E15&gt;0))&gt;0,"x","")</f>
        <v>x</v>
      </c>
      <c r="F8" s="339" t="str" cm="1">
        <f t="array" ref="F8">IF(SUMPRODUCT(--('2.1a Fuel - Buildings'!F11:F15&gt;0))&gt;0,"x","")</f>
        <v/>
      </c>
      <c r="G8" s="339"/>
    </row>
    <row r="9" spans="3:7" x14ac:dyDescent="0.2">
      <c r="C9" s="340" t="s">
        <v>154</v>
      </c>
      <c r="D9" s="338">
        <v>855.04</v>
      </c>
      <c r="E9" s="338">
        <v>1185.1400000000001</v>
      </c>
      <c r="F9" s="338" t="str" cm="1">
        <f t="array" ref="F9">IF(SUMPRODUCT(--('2.1b Fuel - Vehicles'!F11:F12&gt;0))&gt;0,"x","")</f>
        <v/>
      </c>
      <c r="G9" s="338" t="str" cm="1">
        <f t="array" ref="G9">IF(SUMPRODUCT(--('2.1b Fuel - Vehicles'!G11:G12&gt;0))&gt;0,"x","")</f>
        <v/>
      </c>
    </row>
    <row r="10" spans="3:7" x14ac:dyDescent="0.2">
      <c r="C10" s="340" t="s">
        <v>155</v>
      </c>
      <c r="D10" s="338" t="str" cm="1">
        <f t="array" ref="D10">IF(SUMPRODUCT(--('2.2 Refrigerants'!D11:D13&gt;0))&gt;0,"x","")</f>
        <v>x</v>
      </c>
      <c r="E10" s="338">
        <v>2</v>
      </c>
      <c r="F10" s="338" t="str" cm="1">
        <f t="array" ref="F10">IF(SUMPRODUCT(--('2.2 Refrigerants'!F11:F13&gt;0))&gt;0,"x","")</f>
        <v/>
      </c>
      <c r="G10" s="338" t="str" cm="1">
        <f t="array" ref="G10">IF(SUMPRODUCT(--('2.2 Refrigerants'!G11:G13&gt;0))&gt;0,"x","")</f>
        <v/>
      </c>
    </row>
    <row r="11" spans="3:7" x14ac:dyDescent="0.2">
      <c r="C11" s="340" t="s">
        <v>156</v>
      </c>
      <c r="D11" s="338" t="str" cm="1">
        <f t="array" ref="D11">IF(SUMPRODUCT(--('2.3a Electricity'!D12:D12&gt;0))&gt;0,"x","")</f>
        <v>x</v>
      </c>
      <c r="E11" s="338" t="str" cm="1">
        <f t="array" ref="E11">IF(SUMPRODUCT(--('2.3a Electricity'!E12:E12&gt;0))&gt;0,"x","")</f>
        <v>x</v>
      </c>
      <c r="F11" s="338" t="str" cm="1">
        <f t="array" ref="F11">IF(SUMPRODUCT(--('2.3a Electricity'!F12:F12&gt;0))&gt;0,"x","")</f>
        <v/>
      </c>
      <c r="G11" s="338" t="str" cm="1">
        <f t="array" ref="G11">IF(SUMPRODUCT(--('2.3a Electricity'!G12:G12&gt;0))&gt;0,"x","")</f>
        <v/>
      </c>
    </row>
    <row r="12" spans="3:7" x14ac:dyDescent="0.2">
      <c r="C12" s="340" t="s">
        <v>157</v>
      </c>
      <c r="D12" s="338" t="str">
        <f>IF('2.3b RE - Solar'!D11&lt;&gt;0,"x","")</f>
        <v/>
      </c>
      <c r="E12" s="338" t="str">
        <f>IF('2.3b RE - Solar'!E11&lt;&gt;0,"x","")</f>
        <v/>
      </c>
      <c r="F12" s="338" t="str">
        <f>IF('2.3b RE - Solar'!F11&lt;&gt;0,"x","")</f>
        <v/>
      </c>
      <c r="G12" s="338" t="str">
        <f>IF('2.3b RE - Solar'!G11&lt;&gt;0,"x","")</f>
        <v/>
      </c>
    </row>
    <row r="13" spans="3:7" x14ac:dyDescent="0.2">
      <c r="C13" s="340" t="s">
        <v>158</v>
      </c>
      <c r="D13" s="338" t="str">
        <f>IF(SUM('2.4 Water'!D11:D12)&lt;&gt;0,"x","")</f>
        <v>x</v>
      </c>
      <c r="E13" s="338" t="str">
        <f>IF(SUM('2.4 Water'!E11:E12)&lt;&gt;0,"x","")</f>
        <v>x</v>
      </c>
      <c r="F13" s="338" t="str">
        <f>IF(SUM('2.4 Water'!F11:F12)&lt;&gt;0,"x","")</f>
        <v/>
      </c>
      <c r="G13" s="338" t="str">
        <f>IF(SUM('2.4 Water'!G11:G12)&lt;&gt;0,"x","")</f>
        <v/>
      </c>
    </row>
    <row r="14" spans="3:7" x14ac:dyDescent="0.2">
      <c r="C14" s="340" t="s">
        <v>159</v>
      </c>
      <c r="D14" s="338" t="str" cm="1">
        <f t="array" ref="D14">IF(SUMPRODUCT(--('2.5 Waste'!D11:D16&gt;0))&gt;0,"x","")</f>
        <v>x</v>
      </c>
      <c r="E14" s="338" t="str" cm="1">
        <f t="array" ref="E14">IF(SUMPRODUCT(--('2.5 Waste'!E11:E16&gt;0))&gt;0,"x","")</f>
        <v>x</v>
      </c>
      <c r="F14" s="338" t="str" cm="1">
        <f t="array" ref="F14">IF(SUMPRODUCT(--('2.5 Waste'!F11:F16&gt;0))&gt;0,"x","")</f>
        <v/>
      </c>
      <c r="G14" s="338" t="str" cm="1">
        <f t="array" ref="G14">IF(SUMPRODUCT(--('2.5 Waste'!G11:G16&gt;0))&gt;0,"x","")</f>
        <v/>
      </c>
    </row>
    <row r="16" spans="3:7" x14ac:dyDescent="0.2">
      <c r="C16" s="341" t="s">
        <v>160</v>
      </c>
      <c r="D16" s="342"/>
      <c r="E16" s="343"/>
    </row>
    <row r="17" spans="3:5" x14ac:dyDescent="0.2">
      <c r="C17" s="344" t="str">
        <f>'2.1a Fuel - Buildings'!B10</f>
        <v>Fuel Type</v>
      </c>
      <c r="D17" s="344" t="str">
        <f>'2.1a Fuel - Buildings'!C10</f>
        <v>Unit</v>
      </c>
      <c r="E17" s="345" t="s">
        <v>161</v>
      </c>
    </row>
    <row r="18" spans="3:5" x14ac:dyDescent="0.2">
      <c r="C18" s="346" t="str">
        <f>'2.1a Fuel - Buildings'!B11</f>
        <v>Diesel - Standby generator sets</v>
      </c>
      <c r="D18" s="346" t="str">
        <f>'2.1a Fuel - Buildings'!C11</f>
        <v>Liters</v>
      </c>
      <c r="E18" s="347">
        <f>SUM('2.1a Fuel - Buildings'!$D$11:$G$11)</f>
        <v>1104.71</v>
      </c>
    </row>
    <row r="19" spans="3:5" x14ac:dyDescent="0.2">
      <c r="C19" s="346" t="str">
        <f>'2.1a Fuel - Buildings'!B12</f>
        <v>Diesel - Others</v>
      </c>
      <c r="D19" s="346" t="str">
        <f>'2.1a Fuel - Buildings'!C12</f>
        <v>Liters</v>
      </c>
      <c r="E19" s="347">
        <f>SUM('2.1a Fuel - Buildings'!$D$12:$G$12)</f>
        <v>0</v>
      </c>
    </row>
    <row r="20" spans="3:5" x14ac:dyDescent="0.2">
      <c r="C20" s="346" t="str">
        <f>'2.1a Fuel - Buildings'!B13</f>
        <v>Gasoline - Others</v>
      </c>
      <c r="D20" s="346" t="str">
        <f>'2.1a Fuel - Buildings'!C13</f>
        <v>Liters</v>
      </c>
      <c r="E20" s="347">
        <f>SUM('2.1a Fuel - Buildings'!$D$13:$G$13)</f>
        <v>0</v>
      </c>
    </row>
    <row r="21" spans="3:5" x14ac:dyDescent="0.2">
      <c r="C21" s="346" t="str">
        <f>'2.1a Fuel - Buildings'!B14</f>
        <v>LPG - Heating and cooking</v>
      </c>
      <c r="D21" s="346" t="str">
        <f>'2.1a Fuel - Buildings'!C14</f>
        <v>Kilograms</v>
      </c>
      <c r="E21" s="347">
        <f>SUM('2.1a Fuel - Buildings'!$D$14:$G$14)</f>
        <v>0</v>
      </c>
    </row>
    <row r="22" spans="3:5" x14ac:dyDescent="0.2">
      <c r="C22" s="346" t="str">
        <f>'2.1a Fuel - Buildings'!B15</f>
        <v>Compressed natural gas</v>
      </c>
      <c r="D22" s="346" t="str">
        <f>'2.1a Fuel - Buildings'!C15</f>
        <v>Cubic meters</v>
      </c>
      <c r="E22" s="347">
        <f>SUM('2.1a Fuel - Buildings'!$D$15:$G$15)</f>
        <v>0</v>
      </c>
    </row>
    <row r="23" spans="3:5" x14ac:dyDescent="0.2">
      <c r="E23" s="50"/>
    </row>
    <row r="24" spans="3:5" x14ac:dyDescent="0.2">
      <c r="C24" s="341" t="s">
        <v>162</v>
      </c>
      <c r="D24" s="342"/>
      <c r="E24" s="343"/>
    </row>
    <row r="25" spans="3:5" x14ac:dyDescent="0.2">
      <c r="C25" s="344" t="str">
        <f>'2.1b Fuel - Vehicles'!B10</f>
        <v>Fuel Type</v>
      </c>
      <c r="D25" s="344" t="str">
        <f>'2.1b Fuel - Vehicles'!C10</f>
        <v>Unit</v>
      </c>
      <c r="E25" s="344" t="s">
        <v>161</v>
      </c>
    </row>
    <row r="26" spans="3:5" x14ac:dyDescent="0.2">
      <c r="C26" s="346" t="str">
        <f>'2.1b Fuel - Vehicles'!B11</f>
        <v>Diesel - Transport vehicles</v>
      </c>
      <c r="D26" s="346" t="str">
        <f>'2.1b Fuel - Vehicles'!C11</f>
        <v>Liters</v>
      </c>
      <c r="E26" s="348">
        <f>SUM('2.1b Fuel - Vehicles'!$D11:$G11)</f>
        <v>2040.18</v>
      </c>
    </row>
    <row r="27" spans="3:5" x14ac:dyDescent="0.2">
      <c r="C27" s="346" t="str">
        <f>'2.1b Fuel - Vehicles'!B12</f>
        <v>Gasoline - Transport vehicles</v>
      </c>
      <c r="D27" s="346" t="str">
        <f>'2.1b Fuel - Vehicles'!C12</f>
        <v>Liters</v>
      </c>
      <c r="E27" s="348">
        <f>SUM('2.1b Fuel - Vehicles'!$D12:$G12)</f>
        <v>0</v>
      </c>
    </row>
    <row r="28" spans="3:5" x14ac:dyDescent="0.2">
      <c r="E28" s="50"/>
    </row>
    <row r="29" spans="3:5" x14ac:dyDescent="0.2">
      <c r="C29" s="341" t="s">
        <v>163</v>
      </c>
      <c r="D29" s="342"/>
      <c r="E29" s="343"/>
    </row>
    <row r="30" spans="3:5" x14ac:dyDescent="0.2">
      <c r="C30" s="344" t="str">
        <f>'2.3a Electricity'!B11</f>
        <v>Electricity</v>
      </c>
      <c r="D30" s="344" t="str">
        <f>'2.3a Electricity'!C11</f>
        <v>Unit</v>
      </c>
      <c r="E30" s="349" t="s">
        <v>161</v>
      </c>
    </row>
    <row r="31" spans="3:5" x14ac:dyDescent="0.2">
      <c r="C31" s="346" t="str">
        <f>'2.3a Electricity'!B12</f>
        <v>Quantity</v>
      </c>
      <c r="D31" s="346" t="str">
        <f>'2.3a Electricity'!C12</f>
        <v>Kilowatt-hour</v>
      </c>
      <c r="E31" s="347">
        <f>SUM('2.3a Electricity'!$D$12:$G$12)</f>
        <v>502316</v>
      </c>
    </row>
    <row r="32" spans="3:5" x14ac:dyDescent="0.2">
      <c r="E32" s="50"/>
    </row>
    <row r="33" spans="3:5" x14ac:dyDescent="0.2">
      <c r="C33" s="341" t="s">
        <v>164</v>
      </c>
      <c r="D33" s="342"/>
      <c r="E33" s="343"/>
    </row>
    <row r="34" spans="3:5" x14ac:dyDescent="0.2">
      <c r="C34" s="350" t="str">
        <f>'2.3b RE - Solar'!B9</f>
        <v>Summary of Solar Energy Generated</v>
      </c>
      <c r="D34" s="344" t="str">
        <f>'2.3b RE - Solar'!C10</f>
        <v>Unit</v>
      </c>
      <c r="E34" s="349" t="s">
        <v>161</v>
      </c>
    </row>
    <row r="35" spans="3:5" x14ac:dyDescent="0.2">
      <c r="C35" s="346" t="str">
        <f>'2.3b RE - Solar'!B11</f>
        <v>Quantity</v>
      </c>
      <c r="D35" s="346" t="str">
        <f>'2.3b RE - Solar'!C11</f>
        <v>Kilowatt-hour</v>
      </c>
      <c r="E35" s="347">
        <f>SUM('2.3b RE - Solar'!D11:G11)</f>
        <v>0</v>
      </c>
    </row>
    <row r="36" spans="3:5" x14ac:dyDescent="0.2">
      <c r="E36" s="50"/>
    </row>
    <row r="37" spans="3:5" x14ac:dyDescent="0.2">
      <c r="C37" s="341" t="s">
        <v>165</v>
      </c>
      <c r="D37" s="342"/>
      <c r="E37" s="343"/>
    </row>
    <row r="38" spans="3:5" x14ac:dyDescent="0.2">
      <c r="C38" s="344" t="str">
        <f>'2.4 Water'!B10</f>
        <v>Water</v>
      </c>
      <c r="D38" s="344" t="str">
        <f>'2.4 Water'!C10</f>
        <v>Unit</v>
      </c>
      <c r="E38" s="349" t="s">
        <v>161</v>
      </c>
    </row>
    <row r="39" spans="3:5" x14ac:dyDescent="0.2">
      <c r="C39" s="346" t="str">
        <f>'2.4 Water'!B11</f>
        <v>Water Intake</v>
      </c>
      <c r="D39" s="346" t="str">
        <f>'2.4 Water'!C11</f>
        <v>Cubic meters</v>
      </c>
      <c r="E39" s="347">
        <f>SUM('2.4 Water'!$D$11:$G$11)</f>
        <v>6815</v>
      </c>
    </row>
    <row r="40" spans="3:5" x14ac:dyDescent="0.2">
      <c r="C40" s="346" t="str">
        <f>'2.4 Water'!B12</f>
        <v>Water Discharge</v>
      </c>
      <c r="D40" s="346" t="str">
        <f>'2.4 Water'!C12</f>
        <v>Cubic meters</v>
      </c>
      <c r="E40" s="347">
        <f>SUM('2.4 Water'!$D$12:$G$12)</f>
        <v>6815</v>
      </c>
    </row>
    <row r="42" spans="3:5" x14ac:dyDescent="0.2">
      <c r="C42" s="341" t="s">
        <v>166</v>
      </c>
      <c r="D42" s="342"/>
      <c r="E42" s="351"/>
    </row>
    <row r="43" spans="3:5" ht="40" x14ac:dyDescent="0.2">
      <c r="C43" s="344" t="str">
        <f>'2.5 Waste'!B10</f>
        <v>Waste Composition</v>
      </c>
      <c r="D43" s="344" t="str">
        <f>'2.5 Waste'!C10</f>
        <v>Unit</v>
      </c>
      <c r="E43" s="352" t="s">
        <v>167</v>
      </c>
    </row>
    <row r="44" spans="3:5" x14ac:dyDescent="0.2">
      <c r="C44" s="346" t="str">
        <f>'2.5 Waste'!B11</f>
        <v>Compostable</v>
      </c>
      <c r="D44" s="346" t="str">
        <f>'2.5 Waste'!C11</f>
        <v>Kilograms</v>
      </c>
      <c r="E44" s="348">
        <f>SUM('2.5 Waste'!$D$11:$G$11)</f>
        <v>72000</v>
      </c>
    </row>
    <row r="45" spans="3:5" x14ac:dyDescent="0.2">
      <c r="C45" s="346" t="str">
        <f>'2.5 Waste'!B12</f>
        <v>Recyclable</v>
      </c>
      <c r="D45" s="346" t="str">
        <f>'2.5 Waste'!C12</f>
        <v>Kilograms</v>
      </c>
      <c r="E45" s="348">
        <f>SUM('2.5 Waste'!$D$12:$G$12)</f>
        <v>0</v>
      </c>
    </row>
    <row r="46" spans="3:5" x14ac:dyDescent="0.2">
      <c r="C46" s="346" t="str">
        <f>'2.5 Waste'!B13</f>
        <v>Infectious</v>
      </c>
      <c r="D46" s="346" t="str">
        <f>'2.5 Waste'!C13</f>
        <v>Kilograms</v>
      </c>
      <c r="E46" s="348">
        <f>SUM('2.5 Waste'!$D$13:$G$13)</f>
        <v>0</v>
      </c>
    </row>
    <row r="47" spans="3:5" x14ac:dyDescent="0.2">
      <c r="C47" s="346" t="str">
        <f>'2.5 Waste'!B14</f>
        <v>Security</v>
      </c>
      <c r="D47" s="346" t="str">
        <f>'2.5 Waste'!C14</f>
        <v>Kilograms</v>
      </c>
      <c r="E47" s="348">
        <f>SUM('2.5 Waste'!$D$14:$G$14)</f>
        <v>0</v>
      </c>
    </row>
    <row r="48" spans="3:5" x14ac:dyDescent="0.2">
      <c r="C48" s="346" t="str">
        <f>'2.5 Waste'!B15</f>
        <v>Hazardous</v>
      </c>
      <c r="D48" s="346" t="str">
        <f>'2.5 Waste'!C15</f>
        <v>Kilograms</v>
      </c>
      <c r="E48" s="348">
        <f>SUM('2.5 Waste'!$D$14:$G$14)</f>
        <v>0</v>
      </c>
    </row>
    <row r="49" spans="3:5" x14ac:dyDescent="0.2">
      <c r="C49" s="346" t="str">
        <f>'2.5 Waste'!B16</f>
        <v>Residual/Landfill</v>
      </c>
      <c r="D49" s="346" t="str">
        <f>'2.5 Waste'!C16</f>
        <v>Kilograms</v>
      </c>
      <c r="E49" s="348">
        <f>SUM('2.5 Waste'!$D$14:$G$14)</f>
        <v>0</v>
      </c>
    </row>
  </sheetData>
  <sheetProtection selectLockedCells="1"/>
  <mergeCells count="3">
    <mergeCell ref="D2:G2"/>
    <mergeCell ref="D3:G3"/>
    <mergeCell ref="C5:G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dropdown!$K$4:$K$29</xm:f>
          </x14:formula1>
          <xm:sqref>D2</xm:sqref>
        </x14:dataValidation>
        <x14:dataValidation type="list" allowBlank="1" showInputMessage="1" showErrorMessage="1" xr:uid="{00000000-0002-0000-0100-000001000000}">
          <x14:formula1>
            <xm:f>dropdown!$V$4:$V$15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B2:P106"/>
  <sheetViews>
    <sheetView showGridLines="0" tabSelected="1" workbookViewId="0">
      <selection activeCell="K10" sqref="K10"/>
    </sheetView>
  </sheetViews>
  <sheetFormatPr baseColWidth="10" defaultColWidth="10.83203125" defaultRowHeight="14" x14ac:dyDescent="0.2"/>
  <cols>
    <col min="1" max="1" width="2.6640625" style="31" customWidth="1"/>
    <col min="2" max="2" width="26.5" style="35" customWidth="1"/>
    <col min="3" max="3" width="9.83203125" style="35" customWidth="1"/>
    <col min="4" max="7" width="8.83203125" style="35" customWidth="1"/>
    <col min="8" max="8" width="3" style="31" customWidth="1"/>
    <col min="9" max="9" width="5.5" style="34" customWidth="1"/>
    <col min="10" max="10" width="22.5" style="31" customWidth="1"/>
    <col min="11" max="11" width="26.5" style="31" customWidth="1"/>
    <col min="12" max="12" width="12.5" style="31" customWidth="1"/>
    <col min="13" max="13" width="11.83203125" style="40" customWidth="1"/>
    <col min="14" max="14" width="16" style="40" customWidth="1"/>
    <col min="15" max="15" width="38.1640625" style="41" customWidth="1"/>
    <col min="16" max="16" width="32.33203125" style="35" customWidth="1"/>
    <col min="17" max="16384" width="10.83203125" style="31"/>
  </cols>
  <sheetData>
    <row r="2" spans="2:16" ht="19" x14ac:dyDescent="0.25">
      <c r="B2" s="320" t="s">
        <v>30</v>
      </c>
      <c r="C2" s="321"/>
      <c r="D2" s="321"/>
      <c r="E2" s="321"/>
      <c r="F2" s="321"/>
      <c r="G2" s="322"/>
      <c r="I2" s="302" t="s">
        <v>168</v>
      </c>
      <c r="J2" s="303"/>
      <c r="K2" s="303"/>
      <c r="L2" s="303"/>
      <c r="M2" s="304"/>
      <c r="N2" s="304"/>
      <c r="O2" s="316"/>
    </row>
    <row r="3" spans="2:16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323" t="s">
        <v>171</v>
      </c>
      <c r="J3" s="324"/>
      <c r="K3" s="324"/>
      <c r="L3" s="324"/>
      <c r="M3" s="325"/>
      <c r="N3" s="325"/>
      <c r="O3" s="326"/>
      <c r="P3" s="327"/>
    </row>
    <row r="4" spans="2:16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2025</v>
      </c>
      <c r="E4" s="74"/>
      <c r="F4" s="74" t="s">
        <v>172</v>
      </c>
      <c r="G4" s="76"/>
      <c r="I4" s="328"/>
      <c r="J4" s="329"/>
      <c r="K4" s="329"/>
      <c r="L4" s="329"/>
      <c r="M4" s="330"/>
      <c r="N4" s="330"/>
      <c r="O4" s="331"/>
      <c r="P4" s="39"/>
    </row>
    <row r="5" spans="2:16" x14ac:dyDescent="0.2">
      <c r="I5" s="31"/>
      <c r="J5" s="228"/>
    </row>
    <row r="6" spans="2:16" x14ac:dyDescent="0.2">
      <c r="B6" s="77" t="s">
        <v>173</v>
      </c>
      <c r="C6" s="445" t="s">
        <v>174</v>
      </c>
      <c r="D6" s="446"/>
      <c r="E6" s="446"/>
      <c r="F6" s="446"/>
      <c r="G6" s="447"/>
      <c r="I6" s="332" t="s">
        <v>175</v>
      </c>
      <c r="J6" s="332" t="s">
        <v>36</v>
      </c>
      <c r="K6" s="332" t="s">
        <v>40</v>
      </c>
      <c r="L6" s="332" t="s">
        <v>44</v>
      </c>
      <c r="M6" s="332" t="s">
        <v>48</v>
      </c>
      <c r="N6" s="332" t="s">
        <v>52</v>
      </c>
      <c r="O6" s="332" t="s">
        <v>55</v>
      </c>
      <c r="P6" s="31"/>
    </row>
    <row r="7" spans="2:16" x14ac:dyDescent="0.2">
      <c r="B7" s="77" t="s">
        <v>176</v>
      </c>
      <c r="C7" s="448">
        <v>45911</v>
      </c>
      <c r="D7" s="446"/>
      <c r="E7" s="446"/>
      <c r="F7" s="446"/>
      <c r="G7" s="447"/>
      <c r="I7" s="107">
        <f>IF($M7="","",1)</f>
        <v>1</v>
      </c>
      <c r="J7" s="109" t="s">
        <v>38</v>
      </c>
      <c r="K7" s="108" t="s">
        <v>177</v>
      </c>
      <c r="L7" s="199" t="str">
        <f>IF(Fuel_Blg[[#This Row],[Month]]&lt;&gt;"",VLOOKUP(Fuel_Blg[[#This Row],[Month]],dropdown!$S$4:$T$15,2,FALSE),"")</f>
        <v>Q1</v>
      </c>
      <c r="M7" s="110">
        <v>1025</v>
      </c>
      <c r="N7" s="81" t="str">
        <f>IF($J7="","",VLOOKUP($J7,dropdown!$P$3:$Q$8,2,FALSE))</f>
        <v>Liters</v>
      </c>
      <c r="O7" s="111" t="s">
        <v>178</v>
      </c>
      <c r="P7" s="31"/>
    </row>
    <row r="8" spans="2:16" x14ac:dyDescent="0.2">
      <c r="I8" s="107"/>
      <c r="J8" s="109" t="s">
        <v>38</v>
      </c>
      <c r="K8" s="108" t="s">
        <v>179</v>
      </c>
      <c r="L8" s="199" t="str">
        <f>IF(Fuel_Blg[[#This Row],[Month]]&lt;&gt;"",VLOOKUP(Fuel_Blg[[#This Row],[Month]],dropdown!$S$4:$T$15,2,FALSE),"")</f>
        <v>Q2</v>
      </c>
      <c r="M8" s="110">
        <v>79.709999999999994</v>
      </c>
      <c r="N8" s="81" t="str">
        <f>IF($J8="","",VLOOKUP($J8,dropdown!$P$3:$Q$8,2,FALSE))</f>
        <v>Liters</v>
      </c>
      <c r="O8" s="111" t="s">
        <v>180</v>
      </c>
      <c r="P8" s="31"/>
    </row>
    <row r="9" spans="2:16" x14ac:dyDescent="0.2">
      <c r="B9" s="78" t="s">
        <v>34</v>
      </c>
      <c r="C9" s="78"/>
      <c r="D9" s="78"/>
      <c r="E9" s="78"/>
      <c r="F9" s="78"/>
      <c r="G9" s="78"/>
      <c r="P9" s="31"/>
    </row>
    <row r="10" spans="2:16" x14ac:dyDescent="0.2">
      <c r="B10" s="79" t="s">
        <v>36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17" t="s">
        <v>184</v>
      </c>
      <c r="P10" s="31"/>
    </row>
    <row r="11" spans="2:16" x14ac:dyDescent="0.2">
      <c r="B11" s="81" t="str">
        <f>dropdown!$P4</f>
        <v>Diesel - Standby generator sets</v>
      </c>
      <c r="C11" s="81" t="str">
        <f>dropdown!$Q4</f>
        <v>Liters</v>
      </c>
      <c r="D11" s="82">
        <f>SUMIFS(Fuel_Blg[Consumption],Fuel_Blg[Quarter],D$10,Fuel_Blg[Fuel Type],$B$11)</f>
        <v>1025</v>
      </c>
      <c r="E11" s="82">
        <f>SUMIFS(Fuel_Blg[Consumption],Fuel_Blg[Quarter],E$10,Fuel_Blg[Fuel Type],$B$11)</f>
        <v>79.709999999999994</v>
      </c>
      <c r="F11" s="82">
        <f>SUMIFS(Fuel_Blg[Consumption],Fuel_Blg[Quarter],F$10,Fuel_Blg[Fuel Type],$B$11)</f>
        <v>0</v>
      </c>
      <c r="G11" s="82">
        <f>SUMIFS(Fuel_Blg[Consumption],Fuel_Blg[Quarter],G$10,Fuel_Blg[Fuel Type],$B$11)</f>
        <v>0</v>
      </c>
      <c r="P11" s="31"/>
    </row>
    <row r="12" spans="2:16" x14ac:dyDescent="0.2">
      <c r="B12" s="81" t="str">
        <f>dropdown!$P5</f>
        <v>Diesel - Others</v>
      </c>
      <c r="C12" s="81" t="str">
        <f>dropdown!$Q5</f>
        <v>Liters</v>
      </c>
      <c r="D12" s="82">
        <f>SUMIFS(Fuel_Blg[Consumption],Fuel_Blg[Quarter],D$10,Fuel_Blg[Fuel Type],$B$12)</f>
        <v>0</v>
      </c>
      <c r="E12" s="82">
        <f>SUMIFS(Fuel_Blg[Consumption],Fuel_Blg[Quarter],E$10,Fuel_Blg[Fuel Type],$B$12)</f>
        <v>0</v>
      </c>
      <c r="F12" s="82">
        <f>SUMIFS(Fuel_Blg[Consumption],Fuel_Blg[Quarter],F$10,Fuel_Blg[Fuel Type],$B$12)</f>
        <v>0</v>
      </c>
      <c r="G12" s="82">
        <f>SUMIFS(Fuel_Blg[Consumption],Fuel_Blg[Quarter],G$10,Fuel_Blg[Fuel Type],$B$12)</f>
        <v>0</v>
      </c>
      <c r="P12" s="31"/>
    </row>
    <row r="13" spans="2:16" x14ac:dyDescent="0.2">
      <c r="B13" s="81" t="str">
        <f>dropdown!$P6</f>
        <v>Gasoline - Others</v>
      </c>
      <c r="C13" s="81" t="str">
        <f>dropdown!$Q6</f>
        <v>Liters</v>
      </c>
      <c r="D13" s="82">
        <f>SUMIFS(Fuel_Blg[Consumption],Fuel_Blg[Quarter],D$10,Fuel_Blg[Fuel Type],$B$13)</f>
        <v>0</v>
      </c>
      <c r="E13" s="82">
        <f>SUMIFS(Fuel_Blg[Consumption],Fuel_Blg[Quarter],E$10,Fuel_Blg[Fuel Type],$B$13)</f>
        <v>0</v>
      </c>
      <c r="F13" s="82">
        <f>SUMIFS(Fuel_Blg[Consumption],Fuel_Blg[Quarter],F$10,Fuel_Blg[Fuel Type],$B$13)</f>
        <v>0</v>
      </c>
      <c r="G13" s="82">
        <f>SUMIFS(Fuel_Blg[Consumption],Fuel_Blg[Quarter],G$10,Fuel_Blg[Fuel Type],$B$13)</f>
        <v>0</v>
      </c>
      <c r="P13" s="31"/>
    </row>
    <row r="14" spans="2:16" x14ac:dyDescent="0.2">
      <c r="B14" s="81" t="str">
        <f>dropdown!$P7</f>
        <v>LPG - Heating and cooking</v>
      </c>
      <c r="C14" s="81" t="str">
        <f>dropdown!$Q7</f>
        <v>Kilograms</v>
      </c>
      <c r="D14" s="82">
        <f>SUMIFS(Fuel_Blg[Consumption],Fuel_Blg[Quarter],D$10,Fuel_Blg[Fuel Type],$B$14)</f>
        <v>0</v>
      </c>
      <c r="E14" s="82">
        <f>SUMIFS(Fuel_Blg[Consumption],Fuel_Blg[Quarter],E$10,Fuel_Blg[Fuel Type],$B$14)</f>
        <v>0</v>
      </c>
      <c r="F14" s="82">
        <f>SUMIFS(Fuel_Blg[Consumption],Fuel_Blg[Quarter],F$10,Fuel_Blg[Fuel Type],$B$14)</f>
        <v>0</v>
      </c>
      <c r="G14" s="82">
        <f>SUMIFS(Fuel_Blg[Consumption],Fuel_Blg[Quarter],G$10,Fuel_Blg[Fuel Type],$B$14)</f>
        <v>0</v>
      </c>
      <c r="P14" s="31"/>
    </row>
    <row r="15" spans="2:16" x14ac:dyDescent="0.2">
      <c r="B15" s="81" t="str">
        <f>dropdown!$P8</f>
        <v>Compressed natural gas</v>
      </c>
      <c r="C15" s="81" t="str">
        <f>dropdown!$Q8</f>
        <v>Cubic meters</v>
      </c>
      <c r="D15" s="82">
        <f>SUMIFS(Fuel_Blg[Consumption],Fuel_Blg[Quarter],D$10,Fuel_Blg[Fuel Type],$B$15)</f>
        <v>0</v>
      </c>
      <c r="E15" s="82">
        <f>SUMIFS(Fuel_Blg[Consumption],Fuel_Blg[Quarter],E$10,Fuel_Blg[Fuel Type],$B$15)</f>
        <v>0</v>
      </c>
      <c r="F15" s="82">
        <f>SUMIFS(Fuel_Blg[Consumption],Fuel_Blg[Quarter],F$10,Fuel_Blg[Fuel Type],$B$15)</f>
        <v>0</v>
      </c>
      <c r="G15" s="82">
        <f>SUMIFS(Fuel_Blg[Consumption],Fuel_Blg[Quarter],G$10,Fuel_Blg[Fuel Type],$B$15)</f>
        <v>0</v>
      </c>
      <c r="P15" s="31"/>
    </row>
    <row r="16" spans="2:16" x14ac:dyDescent="0.2">
      <c r="P16" s="31"/>
    </row>
    <row r="17" spans="2:16" x14ac:dyDescent="0.2">
      <c r="B17" s="84" t="s">
        <v>39</v>
      </c>
      <c r="P17" s="31"/>
    </row>
    <row r="18" spans="2:16" x14ac:dyDescent="0.2">
      <c r="B18" s="85" t="s">
        <v>181</v>
      </c>
      <c r="P18" s="31"/>
    </row>
    <row r="19" spans="2:16" x14ac:dyDescent="0.2">
      <c r="B19" s="86" t="s">
        <v>182</v>
      </c>
      <c r="P19" s="31"/>
    </row>
    <row r="20" spans="2:16" x14ac:dyDescent="0.2">
      <c r="B20" s="81" t="s">
        <v>183</v>
      </c>
      <c r="P20" s="31"/>
    </row>
    <row r="21" spans="2:16" x14ac:dyDescent="0.2">
      <c r="P21" s="31"/>
    </row>
    <row r="22" spans="2:16" x14ac:dyDescent="0.2">
      <c r="P22" s="31"/>
    </row>
    <row r="23" spans="2:16" x14ac:dyDescent="0.2">
      <c r="P23" s="31"/>
    </row>
    <row r="24" spans="2:16" x14ac:dyDescent="0.2">
      <c r="P24" s="31"/>
    </row>
    <row r="25" spans="2:16" x14ac:dyDescent="0.2">
      <c r="P25" s="31"/>
    </row>
    <row r="26" spans="2:16" x14ac:dyDescent="0.2">
      <c r="P26" s="31"/>
    </row>
    <row r="27" spans="2:16" x14ac:dyDescent="0.2">
      <c r="P27" s="31"/>
    </row>
    <row r="28" spans="2:16" x14ac:dyDescent="0.2">
      <c r="P28" s="31"/>
    </row>
    <row r="29" spans="2:16" x14ac:dyDescent="0.2">
      <c r="P29" s="31"/>
    </row>
    <row r="30" spans="2:16" x14ac:dyDescent="0.2">
      <c r="P30" s="31"/>
    </row>
    <row r="31" spans="2:16" x14ac:dyDescent="0.2">
      <c r="P31" s="31"/>
    </row>
    <row r="32" spans="2:16" x14ac:dyDescent="0.2">
      <c r="P32" s="31"/>
    </row>
    <row r="33" spans="16:16" x14ac:dyDescent="0.2">
      <c r="P33" s="31"/>
    </row>
    <row r="34" spans="16:16" x14ac:dyDescent="0.2">
      <c r="P34" s="31"/>
    </row>
    <row r="35" spans="16:16" x14ac:dyDescent="0.2">
      <c r="P35" s="31"/>
    </row>
    <row r="36" spans="16:16" x14ac:dyDescent="0.2">
      <c r="P36" s="31"/>
    </row>
    <row r="37" spans="16:16" x14ac:dyDescent="0.2">
      <c r="P37" s="31"/>
    </row>
    <row r="38" spans="16:16" x14ac:dyDescent="0.2">
      <c r="P38" s="31"/>
    </row>
    <row r="39" spans="16:16" x14ac:dyDescent="0.2">
      <c r="P39" s="31"/>
    </row>
    <row r="40" spans="16:16" x14ac:dyDescent="0.2">
      <c r="P40" s="31"/>
    </row>
    <row r="41" spans="16:16" x14ac:dyDescent="0.2">
      <c r="P41" s="31"/>
    </row>
    <row r="42" spans="16:16" x14ac:dyDescent="0.2">
      <c r="P42" s="31"/>
    </row>
    <row r="43" spans="16:16" x14ac:dyDescent="0.2">
      <c r="P43" s="31"/>
    </row>
    <row r="44" spans="16:16" x14ac:dyDescent="0.2">
      <c r="P44" s="31"/>
    </row>
    <row r="45" spans="16:16" x14ac:dyDescent="0.2">
      <c r="P45" s="31"/>
    </row>
    <row r="46" spans="16:16" x14ac:dyDescent="0.2">
      <c r="P46" s="31"/>
    </row>
    <row r="47" spans="16:16" x14ac:dyDescent="0.2">
      <c r="P47" s="31"/>
    </row>
    <row r="48" spans="16:16" x14ac:dyDescent="0.2">
      <c r="P48" s="31"/>
    </row>
    <row r="49" spans="16:16" x14ac:dyDescent="0.2">
      <c r="P49" s="31"/>
    </row>
    <row r="50" spans="16:16" x14ac:dyDescent="0.2">
      <c r="P50" s="31"/>
    </row>
    <row r="51" spans="16:16" x14ac:dyDescent="0.2">
      <c r="P51" s="31"/>
    </row>
    <row r="52" spans="16:16" x14ac:dyDescent="0.2">
      <c r="P52" s="31"/>
    </row>
    <row r="53" spans="16:16" x14ac:dyDescent="0.2">
      <c r="P53" s="31"/>
    </row>
    <row r="54" spans="16:16" x14ac:dyDescent="0.2">
      <c r="P54" s="31"/>
    </row>
    <row r="55" spans="16:16" x14ac:dyDescent="0.2">
      <c r="P55" s="31"/>
    </row>
    <row r="56" spans="16:16" x14ac:dyDescent="0.2">
      <c r="P56" s="31"/>
    </row>
    <row r="57" spans="16:16" x14ac:dyDescent="0.2">
      <c r="P57" s="31"/>
    </row>
    <row r="58" spans="16:16" x14ac:dyDescent="0.2">
      <c r="P58" s="31"/>
    </row>
    <row r="59" spans="16:16" x14ac:dyDescent="0.2">
      <c r="P59" s="31"/>
    </row>
    <row r="60" spans="16:16" x14ac:dyDescent="0.2">
      <c r="P60" s="31"/>
    </row>
    <row r="61" spans="16:16" x14ac:dyDescent="0.2">
      <c r="P61" s="31"/>
    </row>
    <row r="62" spans="16:16" x14ac:dyDescent="0.2">
      <c r="P62" s="31"/>
    </row>
    <row r="63" spans="16:16" x14ac:dyDescent="0.2">
      <c r="P63" s="31"/>
    </row>
    <row r="64" spans="16:16" x14ac:dyDescent="0.2">
      <c r="P64" s="31"/>
    </row>
    <row r="65" spans="16:16" x14ac:dyDescent="0.2">
      <c r="P65" s="31"/>
    </row>
    <row r="66" spans="16:16" x14ac:dyDescent="0.2">
      <c r="P66" s="31"/>
    </row>
    <row r="67" spans="16:16" x14ac:dyDescent="0.2">
      <c r="P67" s="31"/>
    </row>
    <row r="68" spans="16:16" x14ac:dyDescent="0.2">
      <c r="P68" s="31"/>
    </row>
    <row r="69" spans="16:16" x14ac:dyDescent="0.2">
      <c r="P69" s="31"/>
    </row>
    <row r="70" spans="16:16" x14ac:dyDescent="0.2">
      <c r="P70" s="31"/>
    </row>
    <row r="71" spans="16:16" x14ac:dyDescent="0.2">
      <c r="P71" s="31"/>
    </row>
    <row r="72" spans="16:16" x14ac:dyDescent="0.2">
      <c r="P72" s="31"/>
    </row>
    <row r="73" spans="16:16" x14ac:dyDescent="0.2">
      <c r="P73" s="31"/>
    </row>
    <row r="74" spans="16:16" x14ac:dyDescent="0.2">
      <c r="P74" s="31"/>
    </row>
    <row r="75" spans="16:16" x14ac:dyDescent="0.2">
      <c r="P75" s="31"/>
    </row>
    <row r="76" spans="16:16" x14ac:dyDescent="0.2">
      <c r="P76" s="31"/>
    </row>
    <row r="77" spans="16:16" x14ac:dyDescent="0.2">
      <c r="P77" s="31"/>
    </row>
    <row r="78" spans="16:16" x14ac:dyDescent="0.2">
      <c r="P78" s="31"/>
    </row>
    <row r="79" spans="16:16" x14ac:dyDescent="0.2">
      <c r="P79" s="31"/>
    </row>
    <row r="80" spans="16:16" x14ac:dyDescent="0.2">
      <c r="P80" s="31"/>
    </row>
    <row r="81" spans="16:16" x14ac:dyDescent="0.2">
      <c r="P81" s="31"/>
    </row>
    <row r="82" spans="16:16" x14ac:dyDescent="0.2">
      <c r="P82" s="31"/>
    </row>
    <row r="83" spans="16:16" x14ac:dyDescent="0.2">
      <c r="P83" s="31"/>
    </row>
    <row r="84" spans="16:16" x14ac:dyDescent="0.2">
      <c r="P84" s="31"/>
    </row>
    <row r="85" spans="16:16" x14ac:dyDescent="0.2">
      <c r="P85" s="31"/>
    </row>
    <row r="86" spans="16:16" x14ac:dyDescent="0.2">
      <c r="P86" s="31"/>
    </row>
    <row r="87" spans="16:16" x14ac:dyDescent="0.2">
      <c r="P87" s="31"/>
    </row>
    <row r="88" spans="16:16" x14ac:dyDescent="0.2">
      <c r="P88" s="31"/>
    </row>
    <row r="89" spans="16:16" x14ac:dyDescent="0.2">
      <c r="P89" s="31"/>
    </row>
    <row r="90" spans="16:16" x14ac:dyDescent="0.2">
      <c r="P90" s="31"/>
    </row>
    <row r="91" spans="16:16" x14ac:dyDescent="0.2">
      <c r="P91" s="31"/>
    </row>
    <row r="92" spans="16:16" x14ac:dyDescent="0.2">
      <c r="P92" s="31"/>
    </row>
    <row r="93" spans="16:16" x14ac:dyDescent="0.2">
      <c r="P93" s="31"/>
    </row>
    <row r="94" spans="16:16" x14ac:dyDescent="0.2">
      <c r="P94" s="31"/>
    </row>
    <row r="95" spans="16:16" x14ac:dyDescent="0.2">
      <c r="P95" s="31"/>
    </row>
    <row r="96" spans="16:16" x14ac:dyDescent="0.2">
      <c r="P96" s="31"/>
    </row>
    <row r="97" spans="16:16" x14ac:dyDescent="0.2">
      <c r="P97" s="31"/>
    </row>
    <row r="98" spans="16:16" x14ac:dyDescent="0.2">
      <c r="P98" s="31"/>
    </row>
    <row r="99" spans="16:16" x14ac:dyDescent="0.2">
      <c r="P99" s="31"/>
    </row>
    <row r="100" spans="16:16" x14ac:dyDescent="0.2">
      <c r="P100" s="31"/>
    </row>
    <row r="101" spans="16:16" x14ac:dyDescent="0.2">
      <c r="P101" s="31"/>
    </row>
    <row r="102" spans="16:16" x14ac:dyDescent="0.2">
      <c r="P102" s="31"/>
    </row>
    <row r="103" spans="16:16" x14ac:dyDescent="0.2">
      <c r="P103" s="31"/>
    </row>
    <row r="104" spans="16:16" x14ac:dyDescent="0.2">
      <c r="P104" s="31"/>
    </row>
    <row r="105" spans="16:16" x14ac:dyDescent="0.2">
      <c r="P105" s="31"/>
    </row>
    <row r="106" spans="16:16" x14ac:dyDescent="0.2">
      <c r="P106" s="31"/>
    </row>
  </sheetData>
  <sheetProtection selectLockedCells="1"/>
  <protectedRanges>
    <protectedRange sqref="M6:M8 O6:O8 J6:K8" name="Range1"/>
    <protectedRange sqref="J7" name="Range1_1"/>
    <protectedRange sqref="O7:O8" name="Range1_2"/>
  </protectedRanges>
  <mergeCells count="2">
    <mergeCell ref="C6:G6"/>
    <mergeCell ref="C7:G7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dropdown!$P$4:$P$8</xm:f>
          </x14:formula1>
          <xm:sqref>J7:J8</xm:sqref>
        </x14:dataValidation>
        <x14:dataValidation type="list" allowBlank="1" showInputMessage="1" showErrorMessage="1" xr:uid="{00000000-0002-0000-0200-000001000000}">
          <x14:formula1>
            <xm:f>dropdown!$S$4:$S$15</xm:f>
          </x14:formula1>
          <xm:sqref>K7:K8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B2:Z108"/>
  <sheetViews>
    <sheetView showGridLines="0" topLeftCell="B4" workbookViewId="0">
      <selection activeCell="C6" sqref="C6:G6"/>
    </sheetView>
  </sheetViews>
  <sheetFormatPr baseColWidth="10" defaultColWidth="10.83203125" defaultRowHeight="14" x14ac:dyDescent="0.2"/>
  <cols>
    <col min="1" max="1" width="2.6640625" style="31" customWidth="1"/>
    <col min="2" max="2" width="30.6640625" style="35" customWidth="1"/>
    <col min="3" max="3" width="7.5" style="35" customWidth="1"/>
    <col min="4" max="7" width="7.83203125" style="35" customWidth="1"/>
    <col min="8" max="8" width="4.33203125" style="31" customWidth="1"/>
    <col min="9" max="9" width="5.5" style="34" customWidth="1"/>
    <col min="10" max="10" width="22.5" style="31" customWidth="1"/>
    <col min="11" max="11" width="23.33203125" style="31" customWidth="1"/>
    <col min="12" max="13" width="7.6640625" style="40" customWidth="1"/>
    <col min="14" max="15" width="12" style="41" customWidth="1"/>
    <col min="16" max="16" width="24.33203125" style="35" customWidth="1"/>
    <col min="17" max="17" width="13" style="35" customWidth="1"/>
    <col min="18" max="18" width="28" style="41" customWidth="1"/>
    <col min="19" max="16384" width="10.83203125" style="31"/>
  </cols>
  <sheetData>
    <row r="2" spans="2:26" ht="19" x14ac:dyDescent="0.25">
      <c r="B2" s="66" t="s">
        <v>30</v>
      </c>
      <c r="C2" s="67"/>
      <c r="D2" s="67"/>
      <c r="E2" s="67"/>
      <c r="F2" s="67"/>
      <c r="G2" s="68"/>
      <c r="I2" s="302" t="s">
        <v>185</v>
      </c>
      <c r="J2" s="303"/>
      <c r="K2" s="303"/>
      <c r="L2" s="304"/>
      <c r="M2" s="304"/>
      <c r="N2" s="305"/>
      <c r="O2" s="305"/>
      <c r="P2" s="306"/>
      <c r="Q2" s="306"/>
      <c r="R2" s="316"/>
    </row>
    <row r="3" spans="2:26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143" t="s">
        <v>171</v>
      </c>
      <c r="J3" s="144"/>
      <c r="K3" s="144"/>
      <c r="L3" s="145"/>
      <c r="M3" s="145"/>
      <c r="N3" s="146"/>
      <c r="O3" s="146"/>
      <c r="P3" s="307"/>
      <c r="Q3" s="307"/>
      <c r="R3" s="317"/>
    </row>
    <row r="4" spans="2:26" x14ac:dyDescent="0.2">
      <c r="B4" s="299" t="str">
        <f>'1. Data Info and Summary'!$D$2</f>
        <v>Mindanao Regional Office</v>
      </c>
      <c r="C4" s="300"/>
      <c r="D4" s="75">
        <f>IF('1. Data Info and Summary'!$D$3=0,"-",'1. Data Info and Summary'!$D$3)</f>
        <v>2025</v>
      </c>
      <c r="E4" s="300"/>
      <c r="F4" s="300" t="s">
        <v>172</v>
      </c>
      <c r="G4" s="301"/>
      <c r="I4" s="308"/>
      <c r="J4" s="154"/>
      <c r="K4" s="154"/>
      <c r="L4" s="155"/>
      <c r="M4" s="155"/>
      <c r="N4" s="156"/>
      <c r="O4" s="156"/>
      <c r="P4" s="309"/>
      <c r="Q4" s="309"/>
      <c r="R4" s="318"/>
    </row>
    <row r="5" spans="2:26" x14ac:dyDescent="0.2">
      <c r="B5" s="38"/>
      <c r="C5" s="39"/>
      <c r="D5" s="38"/>
      <c r="E5" s="39"/>
      <c r="F5" s="39"/>
      <c r="G5" s="39"/>
      <c r="I5" s="144"/>
      <c r="J5" s="310"/>
      <c r="K5" s="144"/>
      <c r="L5" s="145"/>
      <c r="M5" s="145"/>
      <c r="N5" s="146"/>
      <c r="O5" s="146"/>
      <c r="P5" s="307"/>
      <c r="Q5" s="307"/>
      <c r="R5" s="146"/>
    </row>
    <row r="6" spans="2:26" ht="25.5" customHeight="1" x14ac:dyDescent="0.2">
      <c r="B6" s="77" t="s">
        <v>173</v>
      </c>
      <c r="C6" s="445" t="s">
        <v>186</v>
      </c>
      <c r="D6" s="446"/>
      <c r="E6" s="446"/>
      <c r="F6" s="446"/>
      <c r="G6" s="447"/>
      <c r="I6" s="311" t="s">
        <v>175</v>
      </c>
      <c r="J6" s="312" t="s">
        <v>59</v>
      </c>
      <c r="K6" s="312" t="s">
        <v>36</v>
      </c>
      <c r="L6" s="312" t="s">
        <v>40</v>
      </c>
      <c r="M6" s="312" t="s">
        <v>44</v>
      </c>
      <c r="N6" s="313" t="s">
        <v>48</v>
      </c>
      <c r="O6" s="314" t="s">
        <v>52</v>
      </c>
      <c r="P6" s="313" t="s">
        <v>187</v>
      </c>
      <c r="Q6" s="314" t="s">
        <v>67</v>
      </c>
      <c r="R6" s="319" t="s">
        <v>55</v>
      </c>
      <c r="Z6" s="31" t="s">
        <v>188</v>
      </c>
    </row>
    <row r="7" spans="2:26" x14ac:dyDescent="0.2">
      <c r="B7" s="77" t="s">
        <v>176</v>
      </c>
      <c r="C7" s="448">
        <v>45911</v>
      </c>
      <c r="D7" s="446"/>
      <c r="E7" s="446"/>
      <c r="F7" s="446"/>
      <c r="G7" s="447"/>
      <c r="I7" s="107">
        <f>IF($J7="","",1)</f>
        <v>1</v>
      </c>
      <c r="J7" s="109" t="s">
        <v>189</v>
      </c>
      <c r="K7" s="109" t="s">
        <v>63</v>
      </c>
      <c r="L7" s="108" t="s">
        <v>190</v>
      </c>
      <c r="M7" s="199" t="str">
        <f>IF(Fuel_Veh[[#This Row],[Month]]&lt;&gt;"",VLOOKUP(Fuel_Veh[[#This Row],[Month]],dropdown!$S$4:$T$15,2,FALSE),"")</f>
        <v>Q1</v>
      </c>
      <c r="N7" s="110">
        <v>44.09</v>
      </c>
      <c r="O7" s="81" t="str">
        <f>IF($K7="","",VLOOKUP($K7,dropdown!$P$14:$Q$18,2,FALSE))</f>
        <v>Liters</v>
      </c>
      <c r="P7" s="110">
        <f>Fuel_Veh[[#This Row],[Consumption]]*Z7</f>
        <v>208.215025</v>
      </c>
      <c r="Q7" s="81" t="str">
        <f t="shared" ref="Q7:Q70" si="0">IF($P7="","","Kilometers")</f>
        <v>Kilometers</v>
      </c>
      <c r="R7" s="111" t="s">
        <v>191</v>
      </c>
      <c r="S7" s="31">
        <v>0</v>
      </c>
      <c r="V7" s="31">
        <v>11.49</v>
      </c>
      <c r="W7" s="31">
        <v>3.5</v>
      </c>
      <c r="X7" s="31">
        <v>3.9</v>
      </c>
      <c r="Y7" s="31">
        <f>X7+W7+V7+U7+T7+S7</f>
        <v>18.89</v>
      </c>
      <c r="Z7" s="31">
        <f>Y7/4</f>
        <v>4.7225000000000001</v>
      </c>
    </row>
    <row r="8" spans="2:26" x14ac:dyDescent="0.2">
      <c r="I8" s="107">
        <f>IF($J8="","",$I7+1)</f>
        <v>2</v>
      </c>
      <c r="J8" s="109" t="s">
        <v>192</v>
      </c>
      <c r="K8" s="109" t="s">
        <v>63</v>
      </c>
      <c r="L8" s="108" t="s">
        <v>193</v>
      </c>
      <c r="M8" s="199" t="str">
        <f>IF(Fuel_Veh[[#This Row],[Month]]&lt;&gt;"",VLOOKUP(Fuel_Veh[[#This Row],[Month]],dropdown!$S$4:$T$15,2,FALSE),"")</f>
        <v>Q1</v>
      </c>
      <c r="N8" s="110">
        <v>0</v>
      </c>
      <c r="O8" s="81"/>
      <c r="P8" s="110">
        <f>Fuel_Veh[[#This Row],[Consumption]]*Z8</f>
        <v>0</v>
      </c>
      <c r="Q8" s="81" t="str">
        <f t="shared" si="0"/>
        <v>Kilometers</v>
      </c>
      <c r="R8" s="111" t="s">
        <v>194</v>
      </c>
      <c r="S8" s="31">
        <v>6.68</v>
      </c>
      <c r="T8" s="31">
        <v>8.5500000000000007</v>
      </c>
      <c r="U8" s="31">
        <v>4.83</v>
      </c>
      <c r="V8" s="31">
        <v>9.0500000000000007</v>
      </c>
      <c r="W8" s="31">
        <v>7.65</v>
      </c>
      <c r="X8" s="31">
        <v>10.15</v>
      </c>
      <c r="Y8" s="31">
        <f t="shared" ref="Y8:Y14" si="1">X8+W8+V8+U8+T8+S8</f>
        <v>46.91</v>
      </c>
      <c r="Z8" s="31">
        <f>Y8/7</f>
        <v>6.7014285714285702</v>
      </c>
    </row>
    <row r="9" spans="2:26" x14ac:dyDescent="0.2">
      <c r="B9" s="78" t="s">
        <v>34</v>
      </c>
      <c r="C9" s="78"/>
      <c r="D9" s="78"/>
      <c r="E9" s="78"/>
      <c r="F9" s="78"/>
      <c r="G9" s="78"/>
      <c r="I9" s="107">
        <f>IF($J9="","",$I8+1)</f>
        <v>3</v>
      </c>
      <c r="J9" s="109" t="s">
        <v>192</v>
      </c>
      <c r="K9" s="109" t="s">
        <v>63</v>
      </c>
      <c r="L9" s="108" t="s">
        <v>193</v>
      </c>
      <c r="M9" s="199" t="str">
        <f>IF(Fuel_Veh[[#This Row],[Month]]&lt;&gt;"",VLOOKUP(Fuel_Veh[[#This Row],[Month]],dropdown!$S$4:$T$15,2,FALSE),"")</f>
        <v>Q1</v>
      </c>
      <c r="N9" s="110">
        <v>91.5</v>
      </c>
      <c r="O9" s="81" t="str">
        <f>IF($K9="","",VLOOKUP($K9,dropdown!$P$14:$Q$18,2,FALSE))</f>
        <v>Liters</v>
      </c>
      <c r="P9" s="110">
        <f>Fuel_Veh[[#This Row],[Consumption]]*Z9</f>
        <v>616.97142857142899</v>
      </c>
      <c r="Q9" s="81" t="str">
        <f t="shared" si="0"/>
        <v>Kilometers</v>
      </c>
      <c r="R9" s="111" t="s">
        <v>195</v>
      </c>
      <c r="S9" s="31">
        <v>4.88</v>
      </c>
      <c r="T9" s="31">
        <v>8.43</v>
      </c>
      <c r="U9" s="31">
        <v>9.14</v>
      </c>
      <c r="V9" s="31">
        <v>11.08</v>
      </c>
      <c r="W9" s="31">
        <v>5.59</v>
      </c>
      <c r="X9" s="31">
        <v>8.08</v>
      </c>
      <c r="Y9" s="31">
        <f t="shared" si="1"/>
        <v>47.2</v>
      </c>
      <c r="Z9" s="31">
        <f>Y9/7</f>
        <v>6.7428571428571402</v>
      </c>
    </row>
    <row r="10" spans="2:26" x14ac:dyDescent="0.2">
      <c r="B10" s="79" t="s">
        <v>36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>IF($J10="","",$I9+1)</f>
        <v>4</v>
      </c>
      <c r="J10" s="109" t="s">
        <v>189</v>
      </c>
      <c r="K10" s="109" t="s">
        <v>63</v>
      </c>
      <c r="L10" s="108" t="s">
        <v>193</v>
      </c>
      <c r="M10" s="199" t="str">
        <f>IF(Fuel_Veh[[#This Row],[Month]]&lt;&gt;"",VLOOKUP(Fuel_Veh[[#This Row],[Month]],dropdown!$S$4:$T$15,2,FALSE),"")</f>
        <v>Q1</v>
      </c>
      <c r="N10" s="110">
        <v>54.53</v>
      </c>
      <c r="O10" s="81" t="str">
        <f>IF($K10="","",VLOOKUP($K10,dropdown!$P$14:$Q$18,2,FALSE))</f>
        <v>Liters</v>
      </c>
      <c r="P10" s="110">
        <f>Fuel_Veh[[#This Row],[Consumption]]*Z10</f>
        <v>397.05630000000002</v>
      </c>
      <c r="Q10" s="81" t="str">
        <f t="shared" si="0"/>
        <v>Kilometers</v>
      </c>
      <c r="R10" s="111" t="s">
        <v>196</v>
      </c>
      <c r="S10" s="31">
        <v>6.62</v>
      </c>
      <c r="T10" s="31">
        <v>7.44</v>
      </c>
      <c r="U10" s="31">
        <v>10.43</v>
      </c>
      <c r="V10" s="31">
        <v>3.96</v>
      </c>
      <c r="W10" s="31">
        <v>18.68</v>
      </c>
      <c r="X10" s="31">
        <v>3.84</v>
      </c>
      <c r="Y10" s="31">
        <f t="shared" si="1"/>
        <v>50.97</v>
      </c>
      <c r="Z10" s="31">
        <f>Y10/7</f>
        <v>7.2814285714285703</v>
      </c>
    </row>
    <row r="11" spans="2:26" x14ac:dyDescent="0.2">
      <c r="B11" s="81" t="str">
        <f>dropdown!$P15</f>
        <v>Diesel - Transport vehicles</v>
      </c>
      <c r="C11" s="81" t="str">
        <f>dropdown!$Q15</f>
        <v>Liters</v>
      </c>
      <c r="D11" s="82">
        <f>SUMIFS(Fuel_Veh[Consumption],Fuel_Veh[Quarter],D$10,Fuel_Veh[Fuel Type],$B$11)</f>
        <v>855.04</v>
      </c>
      <c r="E11" s="82">
        <f>SUMIFS(Fuel_Veh[Consumption],Fuel_Veh[Quarter],E$10,Fuel_Veh[Fuel Type],$B$11)</f>
        <v>1185.1400000000001</v>
      </c>
      <c r="F11" s="82">
        <f>SUMIFS(Fuel_Veh[Consumption],Fuel_Veh[Quarter],F$10,Fuel_Veh[Fuel Type],$B$11)</f>
        <v>0</v>
      </c>
      <c r="G11" s="82">
        <f>SUMIFS(Fuel_Veh[Consumption],Fuel_Veh[Quarter],G$10,Fuel_Veh[Fuel Type],$B$11)</f>
        <v>0</v>
      </c>
      <c r="I11" s="107">
        <f>IF($J11="","",$I10+1)</f>
        <v>5</v>
      </c>
      <c r="J11" s="109" t="s">
        <v>197</v>
      </c>
      <c r="K11" s="109" t="s">
        <v>63</v>
      </c>
      <c r="L11" s="108" t="s">
        <v>193</v>
      </c>
      <c r="M11" s="199" t="str">
        <f>IF(Fuel_Veh[[#This Row],[Month]]&lt;&gt;"",VLOOKUP(Fuel_Veh[[#This Row],[Month]],dropdown!$S$4:$T$15,2,FALSE),"")</f>
        <v>Q1</v>
      </c>
      <c r="N11" s="110">
        <v>0</v>
      </c>
      <c r="O11" s="81" t="str">
        <f>IF($K11="","",VLOOKUP($K11,dropdown!$P$14:$Q$18,2,FALSE))</f>
        <v>Liters</v>
      </c>
      <c r="P11" s="110">
        <f>Fuel_Veh[[#This Row],[Consumption]]*Z11</f>
        <v>0</v>
      </c>
      <c r="Q11" s="81" t="str">
        <f t="shared" si="0"/>
        <v>Kilometers</v>
      </c>
      <c r="R11" s="111" t="s">
        <v>198</v>
      </c>
      <c r="Y11" s="31">
        <f t="shared" si="1"/>
        <v>0</v>
      </c>
      <c r="Z11" s="31">
        <f>Z13</f>
        <v>1.02</v>
      </c>
    </row>
    <row r="12" spans="2:26" x14ac:dyDescent="0.2">
      <c r="B12" s="81" t="str">
        <f>dropdown!$P16</f>
        <v>Gasoline - Transport vehicles</v>
      </c>
      <c r="C12" s="81" t="str">
        <f>dropdown!$Q16</f>
        <v>Liters</v>
      </c>
      <c r="D12" s="82">
        <f>SUMIFS(Fuel_Veh[Consumption],Fuel_Veh[Quarter],D$10,Fuel_Veh[Fuel Type],$B$12)</f>
        <v>0</v>
      </c>
      <c r="E12" s="82">
        <f>SUMIFS(Fuel_Veh[Consumption],Fuel_Veh[Quarter],E$10,Fuel_Veh[Fuel Type],$B$12)</f>
        <v>0</v>
      </c>
      <c r="F12" s="82">
        <f>SUMIFS(Fuel_Veh[Consumption],Fuel_Veh[Quarter],F$10,Fuel_Veh[Fuel Type],$B$12)</f>
        <v>0</v>
      </c>
      <c r="G12" s="82">
        <f>SUMIFS(Fuel_Veh[Consumption],Fuel_Veh[Quarter],G$10,Fuel_Veh[Fuel Type],$B$12)</f>
        <v>0</v>
      </c>
      <c r="I12" s="107">
        <f t="shared" ref="I12:I75" si="2">IF($J12="","",$I11+1)</f>
        <v>6</v>
      </c>
      <c r="J12" s="109" t="s">
        <v>197</v>
      </c>
      <c r="K12" s="109" t="s">
        <v>63</v>
      </c>
      <c r="L12" s="108" t="s">
        <v>193</v>
      </c>
      <c r="M12" s="199" t="str">
        <f>IF(Fuel_Veh[[#This Row],[Month]]&lt;&gt;"",VLOOKUP(Fuel_Veh[[#This Row],[Month]],dropdown!$S$4:$T$15,2,FALSE),"")</f>
        <v>Q1</v>
      </c>
      <c r="N12" s="110">
        <v>0</v>
      </c>
      <c r="O12" s="81" t="str">
        <f>IF($K12="","",VLOOKUP($K12,dropdown!$P$14:$Q$18,2,FALSE))</f>
        <v>Liters</v>
      </c>
      <c r="P12" s="110">
        <f>Fuel_Veh[[#This Row],[Consumption]]*Z12</f>
        <v>0</v>
      </c>
      <c r="Q12" s="81" t="str">
        <f t="shared" si="0"/>
        <v>Kilometers</v>
      </c>
      <c r="R12" s="111" t="s">
        <v>199</v>
      </c>
      <c r="T12" s="31">
        <v>6.35</v>
      </c>
      <c r="U12" s="31">
        <v>2.5099999999999998</v>
      </c>
      <c r="V12" s="31">
        <v>1.17</v>
      </c>
      <c r="W12" s="31">
        <v>2.02</v>
      </c>
      <c r="X12" s="31">
        <v>1.84</v>
      </c>
      <c r="Y12" s="31">
        <f t="shared" si="1"/>
        <v>13.89</v>
      </c>
      <c r="Z12" s="31">
        <f>Y12/6</f>
        <v>2.3149999999999999</v>
      </c>
    </row>
    <row r="13" spans="2:26" ht="14" customHeight="1" x14ac:dyDescent="0.2">
      <c r="I13" s="107">
        <f t="shared" si="2"/>
        <v>7</v>
      </c>
      <c r="J13" s="109" t="s">
        <v>197</v>
      </c>
      <c r="K13" s="109" t="s">
        <v>63</v>
      </c>
      <c r="L13" s="108" t="s">
        <v>193</v>
      </c>
      <c r="M13" s="199" t="str">
        <f>IF(Fuel_Veh[[#This Row],[Month]]&lt;&gt;"",VLOOKUP(Fuel_Veh[[#This Row],[Month]],dropdown!$S$4:$T$15,2,FALSE),"")</f>
        <v>Q1</v>
      </c>
      <c r="N13" s="110">
        <v>0</v>
      </c>
      <c r="O13" s="81" t="str">
        <f>IF($K13="","",VLOOKUP($K13,dropdown!$P$14:$Q$18,2,FALSE))</f>
        <v>Liters</v>
      </c>
      <c r="P13" s="110">
        <f>Fuel_Veh[[#This Row],[Consumption]]*Z13</f>
        <v>0</v>
      </c>
      <c r="Q13" s="81" t="str">
        <f t="shared" si="0"/>
        <v>Kilometers</v>
      </c>
      <c r="R13" s="111" t="s">
        <v>200</v>
      </c>
      <c r="S13" s="31">
        <v>1.76</v>
      </c>
      <c r="T13" s="31">
        <v>1.27</v>
      </c>
      <c r="U13" s="31">
        <v>1.33</v>
      </c>
      <c r="W13" s="31">
        <v>1.39</v>
      </c>
      <c r="X13" s="31">
        <v>1.39</v>
      </c>
      <c r="Y13" s="31">
        <f t="shared" si="1"/>
        <v>7.14</v>
      </c>
      <c r="Z13" s="31">
        <f>Y13/7</f>
        <v>1.02</v>
      </c>
    </row>
    <row r="14" spans="2:26" x14ac:dyDescent="0.2">
      <c r="B14" s="84" t="s">
        <v>39</v>
      </c>
      <c r="I14" s="107">
        <f t="shared" si="2"/>
        <v>8</v>
      </c>
      <c r="J14" s="109" t="s">
        <v>189</v>
      </c>
      <c r="K14" s="109" t="s">
        <v>63</v>
      </c>
      <c r="L14" s="108" t="s">
        <v>89</v>
      </c>
      <c r="M14" s="199" t="str">
        <f>IF(Fuel_Veh[[#This Row],[Month]]&lt;&gt;"",VLOOKUP(Fuel_Veh[[#This Row],[Month]],dropdown!$S$4:$T$15,2,FALSE),"")</f>
        <v>Q1</v>
      </c>
      <c r="N14" s="110">
        <v>0</v>
      </c>
      <c r="O14" s="81" t="str">
        <f>IF($K14="","",VLOOKUP($K14,dropdown!$P$14:$Q$18,2,FALSE))</f>
        <v>Liters</v>
      </c>
      <c r="P14" s="110">
        <f>Fuel_Veh[[#This Row],[Consumption]]*Z14</f>
        <v>0</v>
      </c>
      <c r="Q14" s="81" t="str">
        <f t="shared" si="0"/>
        <v>Kilometers</v>
      </c>
      <c r="R14" s="111" t="s">
        <v>191</v>
      </c>
      <c r="S14" s="31">
        <v>5.55</v>
      </c>
      <c r="T14" s="31">
        <v>4.07</v>
      </c>
      <c r="U14" s="31">
        <v>6.35</v>
      </c>
      <c r="V14" s="31">
        <v>4.88</v>
      </c>
      <c r="Y14" s="31">
        <f t="shared" si="1"/>
        <v>20.85</v>
      </c>
      <c r="Z14" s="31">
        <f>Y14/4</f>
        <v>5.2125000000000004</v>
      </c>
    </row>
    <row r="15" spans="2:26" x14ac:dyDescent="0.2">
      <c r="B15" s="85" t="s">
        <v>181</v>
      </c>
      <c r="I15" s="107">
        <f t="shared" si="2"/>
        <v>9</v>
      </c>
      <c r="J15" s="109" t="s">
        <v>192</v>
      </c>
      <c r="K15" s="109" t="s">
        <v>63</v>
      </c>
      <c r="L15" s="108" t="s">
        <v>89</v>
      </c>
      <c r="M15" s="199" t="str">
        <f>IF(Fuel_Veh[[#This Row],[Month]]&lt;&gt;"",VLOOKUP(Fuel_Veh[[#This Row],[Month]],dropdown!$S$4:$T$15,2,FALSE),"")</f>
        <v>Q1</v>
      </c>
      <c r="N15" s="110">
        <v>78.78</v>
      </c>
      <c r="O15" s="81" t="str">
        <f>IF($K15="","",VLOOKUP($K15,dropdown!$P$14:$Q$18,2,FALSE))</f>
        <v>Liters</v>
      </c>
      <c r="P15" s="110">
        <f>Fuel_Veh[[#This Row],[Consumption]]*Z15</f>
        <v>372.03854999999999</v>
      </c>
      <c r="Q15" s="81" t="str">
        <f t="shared" si="0"/>
        <v>Kilometers</v>
      </c>
      <c r="R15" s="111" t="s">
        <v>194</v>
      </c>
      <c r="Z15" s="31">
        <v>4.7225000000000001</v>
      </c>
    </row>
    <row r="16" spans="2:26" x14ac:dyDescent="0.2">
      <c r="B16" s="86" t="s">
        <v>182</v>
      </c>
      <c r="I16" s="107">
        <f t="shared" si="2"/>
        <v>10</v>
      </c>
      <c r="J16" s="109" t="s">
        <v>192</v>
      </c>
      <c r="K16" s="109" t="s">
        <v>63</v>
      </c>
      <c r="L16" s="108" t="s">
        <v>89</v>
      </c>
      <c r="M16" s="199" t="str">
        <f>IF(Fuel_Veh[[#This Row],[Month]]&lt;&gt;"",VLOOKUP(Fuel_Veh[[#This Row],[Month]],dropdown!$S$4:$T$15,2,FALSE),"")</f>
        <v>Q1</v>
      </c>
      <c r="N16" s="110">
        <v>100.95</v>
      </c>
      <c r="O16" s="81" t="str">
        <f>IF($K16="","",VLOOKUP($K16,dropdown!$P$14:$Q$18,2,FALSE))</f>
        <v>Liters</v>
      </c>
      <c r="P16" s="110">
        <f>Fuel_Veh[[#This Row],[Consumption]]*Z16</f>
        <v>676.50921428571405</v>
      </c>
      <c r="Q16" s="81" t="str">
        <f t="shared" si="0"/>
        <v>Kilometers</v>
      </c>
      <c r="R16" s="111" t="s">
        <v>195</v>
      </c>
      <c r="Z16" s="31">
        <v>6.7014285714285702</v>
      </c>
    </row>
    <row r="17" spans="2:26" x14ac:dyDescent="0.2">
      <c r="B17" s="81" t="s">
        <v>183</v>
      </c>
      <c r="I17" s="107">
        <f t="shared" si="2"/>
        <v>11</v>
      </c>
      <c r="J17" s="109" t="s">
        <v>189</v>
      </c>
      <c r="K17" s="109" t="s">
        <v>63</v>
      </c>
      <c r="L17" s="108" t="s">
        <v>89</v>
      </c>
      <c r="M17" s="199" t="str">
        <f>IF(Fuel_Veh[[#This Row],[Month]]&lt;&gt;"",VLOOKUP(Fuel_Veh[[#This Row],[Month]],dropdown!$S$4:$T$15,2,FALSE),"")</f>
        <v>Q1</v>
      </c>
      <c r="N17" s="110">
        <v>22.52</v>
      </c>
      <c r="O17" s="81" t="str">
        <f>IF($K17="","",VLOOKUP($K17,dropdown!$P$14:$Q$18,2,FALSE))</f>
        <v>Liters</v>
      </c>
      <c r="P17" s="110">
        <f>Fuel_Veh[[#This Row],[Consumption]]*Z17</f>
        <v>151.84914285714299</v>
      </c>
      <c r="Q17" s="81" t="str">
        <f t="shared" si="0"/>
        <v>Kilometers</v>
      </c>
      <c r="R17" s="111" t="s">
        <v>196</v>
      </c>
      <c r="Z17" s="31">
        <v>6.7428571428571402</v>
      </c>
    </row>
    <row r="18" spans="2:26" x14ac:dyDescent="0.2">
      <c r="I18" s="107">
        <f t="shared" si="2"/>
        <v>12</v>
      </c>
      <c r="J18" s="109" t="s">
        <v>197</v>
      </c>
      <c r="K18" s="109" t="s">
        <v>63</v>
      </c>
      <c r="L18" s="108" t="s">
        <v>89</v>
      </c>
      <c r="M18" s="199" t="str">
        <f>IF(Fuel_Veh[[#This Row],[Month]]&lt;&gt;"",VLOOKUP(Fuel_Veh[[#This Row],[Month]],dropdown!$S$4:$T$15,2,FALSE),"")</f>
        <v>Q1</v>
      </c>
      <c r="N18" s="110">
        <v>113.34</v>
      </c>
      <c r="O18" s="81" t="str">
        <f>IF($K18="","",VLOOKUP($K18,dropdown!$P$14:$Q$18,2,FALSE))</f>
        <v>Liters</v>
      </c>
      <c r="P18" s="110">
        <f>Fuel_Veh[[#This Row],[Consumption]]*Z18</f>
        <v>825.27711428571399</v>
      </c>
      <c r="Q18" s="81" t="str">
        <f t="shared" si="0"/>
        <v>Kilometers</v>
      </c>
      <c r="R18" s="111" t="s">
        <v>198</v>
      </c>
      <c r="Z18" s="31">
        <v>7.2814285714285703</v>
      </c>
    </row>
    <row r="19" spans="2:26" x14ac:dyDescent="0.2">
      <c r="I19" s="107">
        <f t="shared" si="2"/>
        <v>13</v>
      </c>
      <c r="J19" s="109" t="s">
        <v>197</v>
      </c>
      <c r="K19" s="109" t="s">
        <v>63</v>
      </c>
      <c r="L19" s="108" t="s">
        <v>89</v>
      </c>
      <c r="M19" s="199" t="str">
        <f>IF(Fuel_Veh[[#This Row],[Month]]&lt;&gt;"",VLOOKUP(Fuel_Veh[[#This Row],[Month]],dropdown!$S$4:$T$15,2,FALSE),"")</f>
        <v>Q1</v>
      </c>
      <c r="N19" s="110">
        <v>0</v>
      </c>
      <c r="O19" s="81" t="str">
        <f>IF($K19="","",VLOOKUP($K19,dropdown!$P$14:$Q$18,2,FALSE))</f>
        <v>Liters</v>
      </c>
      <c r="P19" s="110">
        <f>Fuel_Veh[[#This Row],[Consumption]]*Z19</f>
        <v>0</v>
      </c>
      <c r="Q19" s="81" t="str">
        <f t="shared" si="0"/>
        <v>Kilometers</v>
      </c>
      <c r="R19" s="111" t="s">
        <v>199</v>
      </c>
      <c r="Z19" s="31">
        <v>1.02</v>
      </c>
    </row>
    <row r="20" spans="2:26" x14ac:dyDescent="0.2">
      <c r="I20" s="107">
        <f t="shared" si="2"/>
        <v>14</v>
      </c>
      <c r="J20" s="109" t="s">
        <v>197</v>
      </c>
      <c r="K20" s="109" t="s">
        <v>63</v>
      </c>
      <c r="L20" s="108" t="s">
        <v>89</v>
      </c>
      <c r="M20" s="199" t="str">
        <f>IF(Fuel_Veh[[#This Row],[Month]]&lt;&gt;"",VLOOKUP(Fuel_Veh[[#This Row],[Month]],dropdown!$S$4:$T$15,2,FALSE),"")</f>
        <v>Q1</v>
      </c>
      <c r="N20" s="110">
        <v>0</v>
      </c>
      <c r="O20" s="81" t="str">
        <f>IF($K20="","",VLOOKUP($K20,dropdown!$P$14:$Q$18,2,FALSE))</f>
        <v>Liters</v>
      </c>
      <c r="P20" s="110">
        <f>Fuel_Veh[[#This Row],[Consumption]]*Z20</f>
        <v>0</v>
      </c>
      <c r="Q20" s="81" t="str">
        <f t="shared" si="0"/>
        <v>Kilometers</v>
      </c>
      <c r="R20" s="111" t="s">
        <v>200</v>
      </c>
      <c r="Z20" s="31">
        <v>2.3149999999999999</v>
      </c>
    </row>
    <row r="21" spans="2:26" x14ac:dyDescent="0.2">
      <c r="I21" s="107">
        <f t="shared" si="2"/>
        <v>15</v>
      </c>
      <c r="J21" s="109" t="s">
        <v>189</v>
      </c>
      <c r="K21" s="109" t="s">
        <v>63</v>
      </c>
      <c r="L21" s="108" t="s">
        <v>201</v>
      </c>
      <c r="M21" s="199" t="str">
        <f>IF(Fuel_Veh[[#This Row],[Month]]&lt;&gt;"",VLOOKUP(Fuel_Veh[[#This Row],[Month]],dropdown!$S$4:$T$15,2,FALSE),"")</f>
        <v>Q1</v>
      </c>
      <c r="N21" s="110">
        <v>40.380000000000003</v>
      </c>
      <c r="O21" s="81" t="str">
        <f>IF($K21="","",VLOOKUP($K21,dropdown!$P$14:$Q$18,2,FALSE))</f>
        <v>Liters</v>
      </c>
      <c r="P21" s="110">
        <f>Fuel_Veh[[#This Row],[Consumption]]*Z21</f>
        <v>41.187600000000003</v>
      </c>
      <c r="Q21" s="81" t="str">
        <f t="shared" si="0"/>
        <v>Kilometers</v>
      </c>
      <c r="R21" s="111" t="s">
        <v>191</v>
      </c>
      <c r="Z21" s="31">
        <v>1.02</v>
      </c>
    </row>
    <row r="22" spans="2:26" x14ac:dyDescent="0.2">
      <c r="I22" s="107">
        <f t="shared" si="2"/>
        <v>16</v>
      </c>
      <c r="J22" s="109" t="s">
        <v>192</v>
      </c>
      <c r="K22" s="109" t="s">
        <v>63</v>
      </c>
      <c r="L22" s="108" t="s">
        <v>201</v>
      </c>
      <c r="M22" s="199" t="str">
        <f>IF(Fuel_Veh[[#This Row],[Month]]&lt;&gt;"",VLOOKUP(Fuel_Veh[[#This Row],[Month]],dropdown!$S$4:$T$15,2,FALSE),"")</f>
        <v>Q1</v>
      </c>
      <c r="N22" s="110">
        <v>98.51</v>
      </c>
      <c r="O22" s="81" t="str">
        <f>IF($K22="","",VLOOKUP($K22,dropdown!$P$14:$Q$18,2,FALSE))</f>
        <v>Liters</v>
      </c>
      <c r="P22" s="110">
        <f>Fuel_Veh[[#This Row],[Consumption]]*Z22</f>
        <v>513.48337500000002</v>
      </c>
      <c r="Q22" s="81" t="str">
        <f t="shared" si="0"/>
        <v>Kilometers</v>
      </c>
      <c r="R22" s="111" t="s">
        <v>194</v>
      </c>
      <c r="Z22" s="31">
        <v>5.2125000000000004</v>
      </c>
    </row>
    <row r="23" spans="2:26" x14ac:dyDescent="0.2">
      <c r="I23" s="107">
        <f t="shared" si="2"/>
        <v>17</v>
      </c>
      <c r="J23" s="109" t="s">
        <v>192</v>
      </c>
      <c r="K23" s="109" t="s">
        <v>63</v>
      </c>
      <c r="L23" s="108" t="s">
        <v>177</v>
      </c>
      <c r="M23" s="199" t="str">
        <f>IF(Fuel_Veh[[#This Row],[Month]]&lt;&gt;"",VLOOKUP(Fuel_Veh[[#This Row],[Month]],dropdown!$S$4:$T$15,2,FALSE),"")</f>
        <v>Q1</v>
      </c>
      <c r="N23" s="110">
        <v>121.53</v>
      </c>
      <c r="O23" s="81" t="str">
        <f>IF($K23="","",VLOOKUP($K23,dropdown!$P$14:$Q$18,2,FALSE))</f>
        <v>Liters</v>
      </c>
      <c r="P23" s="110">
        <f>Fuel_Veh[[#This Row],[Consumption]]*Z23</f>
        <v>573.92542500000002</v>
      </c>
      <c r="Q23" s="81" t="str">
        <f t="shared" si="0"/>
        <v>Kilometers</v>
      </c>
      <c r="R23" s="111" t="s">
        <v>195</v>
      </c>
      <c r="Z23" s="31">
        <v>4.7225000000000001</v>
      </c>
    </row>
    <row r="24" spans="2:26" x14ac:dyDescent="0.2">
      <c r="I24" s="107">
        <f t="shared" si="2"/>
        <v>18</v>
      </c>
      <c r="J24" s="109" t="s">
        <v>189</v>
      </c>
      <c r="K24" s="109" t="s">
        <v>63</v>
      </c>
      <c r="L24" s="108" t="s">
        <v>177</v>
      </c>
      <c r="M24" s="199" t="str">
        <f>IF(Fuel_Veh[[#This Row],[Month]]&lt;&gt;"",VLOOKUP(Fuel_Veh[[#This Row],[Month]],dropdown!$S$4:$T$15,2,FALSE),"")</f>
        <v>Q1</v>
      </c>
      <c r="N24" s="110">
        <v>88.91</v>
      </c>
      <c r="O24" s="81" t="str">
        <f>IF($K24="","",VLOOKUP($K24,dropdown!$P$14:$Q$18,2,FALSE))</f>
        <v>Liters</v>
      </c>
      <c r="P24" s="110">
        <f>Fuel_Veh[[#This Row],[Consumption]]*Z24</f>
        <v>595.82401428571404</v>
      </c>
      <c r="Q24" s="81" t="str">
        <f t="shared" si="0"/>
        <v>Kilometers</v>
      </c>
      <c r="R24" s="111" t="s">
        <v>196</v>
      </c>
      <c r="Z24" s="31">
        <v>6.7014285714285702</v>
      </c>
    </row>
    <row r="25" spans="2:26" x14ac:dyDescent="0.2">
      <c r="I25" s="107">
        <f t="shared" si="2"/>
        <v>19</v>
      </c>
      <c r="J25" s="109" t="s">
        <v>197</v>
      </c>
      <c r="K25" s="109" t="s">
        <v>63</v>
      </c>
      <c r="L25" s="108" t="s">
        <v>177</v>
      </c>
      <c r="M25" s="199" t="str">
        <f>IF(Fuel_Veh[[#This Row],[Month]]&lt;&gt;"",VLOOKUP(Fuel_Veh[[#This Row],[Month]],dropdown!$S$4:$T$15,2,FALSE),"")</f>
        <v>Q1</v>
      </c>
      <c r="N25" s="115">
        <v>0</v>
      </c>
      <c r="O25" s="81" t="str">
        <f>IF($K25="","",VLOOKUP($K25,dropdown!$P$14:$Q$18,2,FALSE))</f>
        <v>Liters</v>
      </c>
      <c r="P25" s="110">
        <f>Fuel_Veh[[#This Row],[Consumption]]*Z25</f>
        <v>0</v>
      </c>
      <c r="Q25" s="81" t="str">
        <f t="shared" si="0"/>
        <v>Kilometers</v>
      </c>
      <c r="R25" s="111" t="s">
        <v>198</v>
      </c>
      <c r="Z25" s="31">
        <v>6.7428571428571402</v>
      </c>
    </row>
    <row r="26" spans="2:26" x14ac:dyDescent="0.2">
      <c r="I26" s="107">
        <f t="shared" si="2"/>
        <v>20</v>
      </c>
      <c r="J26" s="109" t="s">
        <v>197</v>
      </c>
      <c r="K26" s="109" t="s">
        <v>63</v>
      </c>
      <c r="L26" s="113" t="s">
        <v>177</v>
      </c>
      <c r="M26" s="199" t="str">
        <f>IF(Fuel_Veh[[#This Row],[Month]]&lt;&gt;"",VLOOKUP(Fuel_Veh[[#This Row],[Month]],dropdown!$S$4:$T$15,2,FALSE),"")</f>
        <v>Q1</v>
      </c>
      <c r="N26" s="110">
        <v>0</v>
      </c>
      <c r="O26" s="315" t="str">
        <f>IF($K26="","",VLOOKUP($K26,dropdown!$P$14:$Q$18,2,FALSE))</f>
        <v>Liters</v>
      </c>
      <c r="P26" s="115">
        <f>Fuel_Veh[[#This Row],[Consumption]]*Z26</f>
        <v>0</v>
      </c>
      <c r="Q26" s="81" t="str">
        <f t="shared" si="0"/>
        <v>Kilometers</v>
      </c>
      <c r="R26" s="111" t="s">
        <v>199</v>
      </c>
      <c r="Z26" s="31">
        <v>7.2814285714285703</v>
      </c>
    </row>
    <row r="27" spans="2:26" x14ac:dyDescent="0.2">
      <c r="I27" s="107">
        <f t="shared" si="2"/>
        <v>21</v>
      </c>
      <c r="J27" s="109" t="s">
        <v>197</v>
      </c>
      <c r="K27" s="109" t="s">
        <v>63</v>
      </c>
      <c r="L27" s="108" t="s">
        <v>201</v>
      </c>
      <c r="M27" s="199" t="str">
        <f>IF(Fuel_Veh[[#This Row],[Month]]&lt;&gt;"",VLOOKUP(Fuel_Veh[[#This Row],[Month]],dropdown!$S$4:$T$15,2,FALSE),"")</f>
        <v>Q1</v>
      </c>
      <c r="N27" s="110">
        <v>0</v>
      </c>
      <c r="O27" s="81" t="str">
        <f>IF($K27="","",VLOOKUP($K27,dropdown!$P$14:$Q$18,2,FALSE))</f>
        <v>Liters</v>
      </c>
      <c r="P27" s="110">
        <f>Fuel_Veh[[#This Row],[Consumption]]*Z27</f>
        <v>0</v>
      </c>
      <c r="Q27" s="81" t="str">
        <f t="shared" si="0"/>
        <v>Kilometers</v>
      </c>
      <c r="R27" s="111" t="s">
        <v>200</v>
      </c>
      <c r="Z27" s="31">
        <v>1.02</v>
      </c>
    </row>
    <row r="28" spans="2:26" x14ac:dyDescent="0.2">
      <c r="I28" s="107">
        <f t="shared" si="2"/>
        <v>22</v>
      </c>
      <c r="J28" s="109" t="s">
        <v>189</v>
      </c>
      <c r="K28" s="109" t="s">
        <v>63</v>
      </c>
      <c r="L28" s="108" t="s">
        <v>202</v>
      </c>
      <c r="M28" s="199" t="str">
        <f>IF(Fuel_Veh[[#This Row],[Month]]&lt;&gt;"",VLOOKUP(Fuel_Veh[[#This Row],[Month]],dropdown!$S$4:$T$15,2,FALSE),"")</f>
        <v>Q2</v>
      </c>
      <c r="N28" s="110">
        <v>43.26</v>
      </c>
      <c r="O28" s="81" t="str">
        <f>IF($K28="","",VLOOKUP($K28,dropdown!$P$14:$Q$18,2,FALSE))</f>
        <v>Liters</v>
      </c>
      <c r="P28" s="110">
        <f>Fuel_Veh[[#This Row],[Consumption]]*Z28</f>
        <v>100.1469</v>
      </c>
      <c r="Q28" s="81" t="str">
        <f t="shared" si="0"/>
        <v>Kilometers</v>
      </c>
      <c r="R28" s="111" t="s">
        <v>191</v>
      </c>
      <c r="Z28" s="31">
        <v>2.3149999999999999</v>
      </c>
    </row>
    <row r="29" spans="2:26" x14ac:dyDescent="0.2">
      <c r="I29" s="107">
        <f t="shared" si="2"/>
        <v>23</v>
      </c>
      <c r="J29" s="109" t="s">
        <v>192</v>
      </c>
      <c r="K29" s="109" t="s">
        <v>63</v>
      </c>
      <c r="L29" s="108" t="s">
        <v>202</v>
      </c>
      <c r="M29" s="199" t="str">
        <f>IF(Fuel_Veh[[#This Row],[Month]]&lt;&gt;"",VLOOKUP(Fuel_Veh[[#This Row],[Month]],dropdown!$S$4:$T$15,2,FALSE),"")</f>
        <v>Q2</v>
      </c>
      <c r="N29" s="110">
        <v>115.28</v>
      </c>
      <c r="O29" s="81" t="str">
        <f>IF($K29="","",VLOOKUP($K29,dropdown!$P$14:$Q$18,2,FALSE))</f>
        <v>Liters</v>
      </c>
      <c r="P29" s="110">
        <f>Fuel_Veh[[#This Row],[Consumption]]*Z29</f>
        <v>117.5856</v>
      </c>
      <c r="Q29" s="81" t="str">
        <f t="shared" si="0"/>
        <v>Kilometers</v>
      </c>
      <c r="R29" s="111" t="s">
        <v>194</v>
      </c>
      <c r="Z29" s="31">
        <v>1.02</v>
      </c>
    </row>
    <row r="30" spans="2:26" x14ac:dyDescent="0.2">
      <c r="I30" s="107">
        <f t="shared" si="2"/>
        <v>24</v>
      </c>
      <c r="J30" s="109" t="s">
        <v>192</v>
      </c>
      <c r="K30" s="109" t="s">
        <v>63</v>
      </c>
      <c r="L30" s="113" t="s">
        <v>202</v>
      </c>
      <c r="M30" s="199" t="str">
        <f>IF(Fuel_Veh[[#This Row],[Month]]&lt;&gt;"",VLOOKUP(Fuel_Veh[[#This Row],[Month]],dropdown!$S$4:$T$15,2,FALSE),"")</f>
        <v>Q2</v>
      </c>
      <c r="N30" s="110">
        <v>82.75</v>
      </c>
      <c r="O30" s="315" t="str">
        <f>IF($K30="","",VLOOKUP($K30,dropdown!$P$14:$Q$18,2,FALSE))</f>
        <v>Liters</v>
      </c>
      <c r="P30" s="115">
        <f>Fuel_Veh[[#This Row],[Consumption]]*Z30</f>
        <v>431.33437500000002</v>
      </c>
      <c r="Q30" s="81" t="str">
        <f t="shared" si="0"/>
        <v>Kilometers</v>
      </c>
      <c r="R30" s="111" t="s">
        <v>195</v>
      </c>
      <c r="Z30" s="31">
        <v>5.2125000000000004</v>
      </c>
    </row>
    <row r="31" spans="2:26" x14ac:dyDescent="0.2">
      <c r="I31" s="107">
        <f t="shared" si="2"/>
        <v>25</v>
      </c>
      <c r="J31" s="109" t="s">
        <v>189</v>
      </c>
      <c r="K31" s="109" t="s">
        <v>63</v>
      </c>
      <c r="L31" s="108" t="s">
        <v>202</v>
      </c>
      <c r="M31" s="199" t="str">
        <f>IF(Fuel_Veh[[#This Row],[Month]]&lt;&gt;"",VLOOKUP(Fuel_Veh[[#This Row],[Month]],dropdown!$S$4:$T$15,2,FALSE),"")</f>
        <v>Q2</v>
      </c>
      <c r="N31" s="110">
        <v>80.66</v>
      </c>
      <c r="O31" s="81" t="str">
        <f>IF($K31="","",VLOOKUP($K31,dropdown!$P$14:$Q$18,2,FALSE))</f>
        <v>Liters</v>
      </c>
      <c r="P31" s="110">
        <f>Fuel_Veh[[#This Row],[Consumption]]*Z31</f>
        <v>380.91685000000001</v>
      </c>
      <c r="Q31" s="81" t="str">
        <f t="shared" si="0"/>
        <v>Kilometers</v>
      </c>
      <c r="R31" s="111" t="s">
        <v>196</v>
      </c>
      <c r="Z31" s="31">
        <v>4.7225000000000001</v>
      </c>
    </row>
    <row r="32" spans="2:26" x14ac:dyDescent="0.2">
      <c r="I32" s="107">
        <f t="shared" si="2"/>
        <v>26</v>
      </c>
      <c r="J32" s="109" t="s">
        <v>197</v>
      </c>
      <c r="K32" s="109" t="s">
        <v>63</v>
      </c>
      <c r="L32" s="108" t="s">
        <v>202</v>
      </c>
      <c r="M32" s="199" t="str">
        <f>IF(Fuel_Veh[[#This Row],[Month]]&lt;&gt;"",VLOOKUP(Fuel_Veh[[#This Row],[Month]],dropdown!$S$4:$T$15,2,FALSE),"")</f>
        <v>Q2</v>
      </c>
      <c r="N32" s="110">
        <v>46.25</v>
      </c>
      <c r="O32" s="81" t="str">
        <f>IF($K32="","",VLOOKUP($K32,dropdown!$P$14:$Q$18,2,FALSE))</f>
        <v>Liters</v>
      </c>
      <c r="P32" s="110">
        <f>Fuel_Veh[[#This Row],[Consumption]]*Z32</f>
        <v>309.94107142857098</v>
      </c>
      <c r="Q32" s="81" t="str">
        <f t="shared" si="0"/>
        <v>Kilometers</v>
      </c>
      <c r="R32" s="111" t="s">
        <v>198</v>
      </c>
      <c r="Z32" s="31">
        <v>6.7014285714285702</v>
      </c>
    </row>
    <row r="33" spans="9:26" x14ac:dyDescent="0.2">
      <c r="I33" s="107">
        <f t="shared" si="2"/>
        <v>27</v>
      </c>
      <c r="J33" s="109" t="s">
        <v>197</v>
      </c>
      <c r="K33" s="109" t="s">
        <v>63</v>
      </c>
      <c r="L33" s="108" t="s">
        <v>202</v>
      </c>
      <c r="M33" s="199" t="str">
        <f>IF(Fuel_Veh[[#This Row],[Month]]&lt;&gt;"",VLOOKUP(Fuel_Veh[[#This Row],[Month]],dropdown!$S$4:$T$15,2,FALSE),"")</f>
        <v>Q2</v>
      </c>
      <c r="N33" s="110">
        <v>90.33</v>
      </c>
      <c r="O33" s="81" t="str">
        <f>IF($K33="","",VLOOKUP($K33,dropdown!$P$14:$Q$18,2,FALSE))</f>
        <v>Liters</v>
      </c>
      <c r="P33" s="110">
        <f>Fuel_Veh[[#This Row],[Consumption]]*Z33</f>
        <v>609.08228571428594</v>
      </c>
      <c r="Q33" s="81" t="str">
        <f t="shared" si="0"/>
        <v>Kilometers</v>
      </c>
      <c r="R33" s="111" t="s">
        <v>199</v>
      </c>
      <c r="Z33" s="31">
        <v>6.7428571428571402</v>
      </c>
    </row>
    <row r="34" spans="9:26" x14ac:dyDescent="0.2">
      <c r="I34" s="107">
        <f t="shared" si="2"/>
        <v>28</v>
      </c>
      <c r="J34" s="109" t="s">
        <v>197</v>
      </c>
      <c r="K34" s="109" t="s">
        <v>63</v>
      </c>
      <c r="L34" s="108" t="s">
        <v>202</v>
      </c>
      <c r="M34" s="199" t="str">
        <f>IF(Fuel_Veh[[#This Row],[Month]]&lt;&gt;"",VLOOKUP(Fuel_Veh[[#This Row],[Month]],dropdown!$S$4:$T$15,2,FALSE),"")</f>
        <v>Q2</v>
      </c>
      <c r="N34" s="110">
        <v>0</v>
      </c>
      <c r="O34" s="81" t="str">
        <f>IF($K34="","",VLOOKUP($K34,dropdown!$P$14:$Q$18,2,FALSE))</f>
        <v>Liters</v>
      </c>
      <c r="P34" s="110">
        <f>Fuel_Veh[[#This Row],[Consumption]]*Z34</f>
        <v>0</v>
      </c>
      <c r="Q34" s="81" t="str">
        <f t="shared" si="0"/>
        <v>Kilometers</v>
      </c>
      <c r="R34" s="111" t="s">
        <v>200</v>
      </c>
      <c r="Z34" s="31">
        <v>7.2814285714285703</v>
      </c>
    </row>
    <row r="35" spans="9:26" x14ac:dyDescent="0.2">
      <c r="I35" s="107">
        <f t="shared" si="2"/>
        <v>29</v>
      </c>
      <c r="J35" s="109" t="s">
        <v>189</v>
      </c>
      <c r="K35" s="109" t="s">
        <v>63</v>
      </c>
      <c r="L35" s="108" t="s">
        <v>203</v>
      </c>
      <c r="M35" s="199" t="str">
        <f>IF(Fuel_Veh[[#This Row],[Month]]&lt;&gt;"",VLOOKUP(Fuel_Veh[[#This Row],[Month]],dropdown!$S$4:$T$15,2,FALSE),"")</f>
        <v>Q2</v>
      </c>
      <c r="N35" s="110">
        <v>44.81</v>
      </c>
      <c r="O35" s="81" t="str">
        <f>IF($K35="","",VLOOKUP($K35,dropdown!$P$14:$Q$18,2,FALSE))</f>
        <v>Liters</v>
      </c>
      <c r="P35" s="110">
        <f>Fuel_Veh[[#This Row],[Consumption]]*Z35</f>
        <v>45.706200000000003</v>
      </c>
      <c r="Q35" s="81" t="str">
        <f t="shared" si="0"/>
        <v>Kilometers</v>
      </c>
      <c r="R35" s="111" t="s">
        <v>191</v>
      </c>
      <c r="Z35" s="31">
        <v>1.02</v>
      </c>
    </row>
    <row r="36" spans="9:26" x14ac:dyDescent="0.2">
      <c r="I36" s="107">
        <f t="shared" si="2"/>
        <v>30</v>
      </c>
      <c r="J36" s="109" t="s">
        <v>192</v>
      </c>
      <c r="K36" s="109" t="s">
        <v>63</v>
      </c>
      <c r="L36" s="108" t="s">
        <v>203</v>
      </c>
      <c r="M36" s="199" t="str">
        <f>IF(Fuel_Veh[[#This Row],[Month]]&lt;&gt;"",VLOOKUP(Fuel_Veh[[#This Row],[Month]],dropdown!$S$4:$T$15,2,FALSE),"")</f>
        <v>Q2</v>
      </c>
      <c r="N36" s="110">
        <v>40.21</v>
      </c>
      <c r="O36" s="81" t="str">
        <f>IF($K36="","",VLOOKUP($K36,dropdown!$P$14:$Q$18,2,FALSE))</f>
        <v>Liters</v>
      </c>
      <c r="P36" s="110">
        <f>Fuel_Veh[[#This Row],[Consumption]]*Z36</f>
        <v>93.086150000000004</v>
      </c>
      <c r="Q36" s="81" t="str">
        <f t="shared" si="0"/>
        <v>Kilometers</v>
      </c>
      <c r="R36" s="111" t="s">
        <v>194</v>
      </c>
      <c r="Z36" s="31">
        <v>2.3149999999999999</v>
      </c>
    </row>
    <row r="37" spans="9:26" x14ac:dyDescent="0.2">
      <c r="I37" s="107">
        <f t="shared" si="2"/>
        <v>31</v>
      </c>
      <c r="J37" s="109" t="s">
        <v>192</v>
      </c>
      <c r="K37" s="109" t="s">
        <v>63</v>
      </c>
      <c r="L37" s="108" t="s">
        <v>203</v>
      </c>
      <c r="M37" s="199" t="str">
        <f>IF(Fuel_Veh[[#This Row],[Month]]&lt;&gt;"",VLOOKUP(Fuel_Veh[[#This Row],[Month]],dropdown!$S$4:$T$15,2,FALSE),"")</f>
        <v>Q2</v>
      </c>
      <c r="N37" s="110">
        <v>92.78</v>
      </c>
      <c r="O37" s="81" t="str">
        <f>IF($K37="","",VLOOKUP($K37,dropdown!$P$14:$Q$18,2,FALSE))</f>
        <v>Liters</v>
      </c>
      <c r="P37" s="110">
        <f>Fuel_Veh[[#This Row],[Consumption]]*Z37</f>
        <v>94.635599999999997</v>
      </c>
      <c r="Q37" s="81" t="str">
        <f t="shared" si="0"/>
        <v>Kilometers</v>
      </c>
      <c r="R37" s="111" t="s">
        <v>195</v>
      </c>
      <c r="Z37" s="31">
        <v>1.02</v>
      </c>
    </row>
    <row r="38" spans="9:26" x14ac:dyDescent="0.2">
      <c r="I38" s="107">
        <f t="shared" si="2"/>
        <v>32</v>
      </c>
      <c r="J38" s="109" t="s">
        <v>189</v>
      </c>
      <c r="K38" s="109" t="s">
        <v>63</v>
      </c>
      <c r="L38" s="108" t="s">
        <v>204</v>
      </c>
      <c r="M38" s="199" t="str">
        <f>IF(Fuel_Veh[[#This Row],[Month]]&lt;&gt;"",VLOOKUP(Fuel_Veh[[#This Row],[Month]],dropdown!$S$4:$T$15,2,FALSE),"")</f>
        <v>Q2</v>
      </c>
      <c r="N38" s="110">
        <v>125.78</v>
      </c>
      <c r="O38" s="81" t="str">
        <f>IF($K38="","",VLOOKUP($K38,dropdown!$P$14:$Q$18,2,FALSE))</f>
        <v>Liters</v>
      </c>
      <c r="P38" s="110">
        <f>Fuel_Veh[[#This Row],[Consumption]]*Z38</f>
        <v>655.62824999999998</v>
      </c>
      <c r="Q38" s="81" t="str">
        <f t="shared" si="0"/>
        <v>Kilometers</v>
      </c>
      <c r="R38" s="111" t="s">
        <v>196</v>
      </c>
      <c r="Z38" s="31">
        <v>5.2125000000000004</v>
      </c>
    </row>
    <row r="39" spans="9:26" x14ac:dyDescent="0.2">
      <c r="I39" s="107">
        <f t="shared" si="2"/>
        <v>33</v>
      </c>
      <c r="J39" s="109" t="s">
        <v>197</v>
      </c>
      <c r="K39" s="109" t="s">
        <v>63</v>
      </c>
      <c r="L39" s="108" t="s">
        <v>203</v>
      </c>
      <c r="M39" s="199" t="str">
        <f>IF(Fuel_Veh[[#This Row],[Month]]&lt;&gt;"",VLOOKUP(Fuel_Veh[[#This Row],[Month]],dropdown!$S$4:$T$15,2,FALSE),"")</f>
        <v>Q2</v>
      </c>
      <c r="N39" s="110">
        <v>0</v>
      </c>
      <c r="O39" s="81" t="str">
        <f>IF($K39="","",VLOOKUP($K39,dropdown!$P$14:$Q$18,2,FALSE))</f>
        <v>Liters</v>
      </c>
      <c r="P39" s="110">
        <f>Fuel_Veh[[#This Row],[Consumption]]*Z39</f>
        <v>0</v>
      </c>
      <c r="Q39" s="81" t="str">
        <f t="shared" si="0"/>
        <v>Kilometers</v>
      </c>
      <c r="R39" s="111" t="s">
        <v>198</v>
      </c>
      <c r="Z39" s="31">
        <v>4.7225000000000001</v>
      </c>
    </row>
    <row r="40" spans="9:26" x14ac:dyDescent="0.2">
      <c r="I40" s="107">
        <f t="shared" si="2"/>
        <v>34</v>
      </c>
      <c r="J40" s="109" t="s">
        <v>197</v>
      </c>
      <c r="K40" s="109" t="s">
        <v>63</v>
      </c>
      <c r="L40" s="108" t="s">
        <v>203</v>
      </c>
      <c r="M40" s="199" t="str">
        <f>IF(Fuel_Veh[[#This Row],[Month]]&lt;&gt;"",VLOOKUP(Fuel_Veh[[#This Row],[Month]],dropdown!$S$4:$T$15,2,FALSE),"")</f>
        <v>Q2</v>
      </c>
      <c r="N40" s="110">
        <v>0</v>
      </c>
      <c r="O40" s="81" t="str">
        <f>IF($K40="","",VLOOKUP($K40,dropdown!$P$14:$Q$18,2,FALSE))</f>
        <v>Liters</v>
      </c>
      <c r="P40" s="110">
        <f>Fuel_Veh[[#This Row],[Consumption]]*Z40</f>
        <v>0</v>
      </c>
      <c r="Q40" s="81" t="str">
        <f t="shared" si="0"/>
        <v>Kilometers</v>
      </c>
      <c r="R40" s="111" t="s">
        <v>199</v>
      </c>
      <c r="Z40" s="31">
        <v>6.7014285714285702</v>
      </c>
    </row>
    <row r="41" spans="9:26" x14ac:dyDescent="0.2">
      <c r="I41" s="107">
        <f t="shared" si="2"/>
        <v>35</v>
      </c>
      <c r="J41" s="109" t="s">
        <v>197</v>
      </c>
      <c r="K41" s="109" t="s">
        <v>63</v>
      </c>
      <c r="L41" s="108" t="s">
        <v>203</v>
      </c>
      <c r="M41" s="199" t="str">
        <f>IF(Fuel_Veh[[#This Row],[Month]]&lt;&gt;"",VLOOKUP(Fuel_Veh[[#This Row],[Month]],dropdown!$S$4:$T$15,2,FALSE),"")</f>
        <v>Q2</v>
      </c>
      <c r="N41" s="110">
        <v>0</v>
      </c>
      <c r="O41" s="81" t="str">
        <f>IF($K41="","",VLOOKUP($K41,dropdown!$P$14:$Q$18,2,FALSE))</f>
        <v>Liters</v>
      </c>
      <c r="P41" s="110">
        <f>Fuel_Veh[[#This Row],[Consumption]]*Z41</f>
        <v>0</v>
      </c>
      <c r="Q41" s="81" t="str">
        <f t="shared" si="0"/>
        <v>Kilometers</v>
      </c>
      <c r="R41" s="111" t="s">
        <v>200</v>
      </c>
      <c r="Z41" s="31">
        <v>6.7428571428571402</v>
      </c>
    </row>
    <row r="42" spans="9:26" x14ac:dyDescent="0.2">
      <c r="I42" s="107">
        <f t="shared" si="2"/>
        <v>36</v>
      </c>
      <c r="J42" s="109" t="s">
        <v>189</v>
      </c>
      <c r="K42" s="109" t="s">
        <v>63</v>
      </c>
      <c r="L42" s="108" t="s">
        <v>205</v>
      </c>
      <c r="M42" s="199" t="str">
        <f>IF(Fuel_Veh[[#This Row],[Month]]&lt;&gt;"",VLOOKUP(Fuel_Veh[[#This Row],[Month]],dropdown!$S$4:$T$15,2,FALSE),"")</f>
        <v>Q2</v>
      </c>
      <c r="N42" s="110">
        <v>29.57</v>
      </c>
      <c r="O42" s="81" t="str">
        <f>IF($K42="","",VLOOKUP($K42,dropdown!$P$14:$Q$18,2,FALSE))</f>
        <v>Liters</v>
      </c>
      <c r="P42" s="110">
        <f>Fuel_Veh[[#This Row],[Consumption]]*Z42</f>
        <v>215.31184285714301</v>
      </c>
      <c r="Q42" s="81" t="str">
        <f t="shared" si="0"/>
        <v>Kilometers</v>
      </c>
      <c r="R42" s="111" t="s">
        <v>191</v>
      </c>
      <c r="Z42" s="31">
        <v>7.2814285714285703</v>
      </c>
    </row>
    <row r="43" spans="9:26" x14ac:dyDescent="0.2">
      <c r="I43" s="107">
        <f t="shared" si="2"/>
        <v>37</v>
      </c>
      <c r="J43" s="109" t="s">
        <v>192</v>
      </c>
      <c r="K43" s="109" t="s">
        <v>63</v>
      </c>
      <c r="L43" s="108" t="s">
        <v>205</v>
      </c>
      <c r="M43" s="199" t="str">
        <f>IF(Fuel_Veh[[#This Row],[Month]]&lt;&gt;"",VLOOKUP(Fuel_Veh[[#This Row],[Month]],dropdown!$S$4:$T$15,2,FALSE),"")</f>
        <v>Q2</v>
      </c>
      <c r="N43" s="110">
        <v>204.19</v>
      </c>
      <c r="O43" s="81" t="str">
        <f>IF($K43="","",VLOOKUP($K43,dropdown!$P$14:$Q$18,2,FALSE))</f>
        <v>Liters</v>
      </c>
      <c r="P43" s="110">
        <f>Fuel_Veh[[#This Row],[Consumption]]*Z43</f>
        <v>208.27379999999999</v>
      </c>
      <c r="Q43" s="81" t="str">
        <f t="shared" si="0"/>
        <v>Kilometers</v>
      </c>
      <c r="R43" s="111" t="s">
        <v>194</v>
      </c>
      <c r="Z43" s="31">
        <v>1.02</v>
      </c>
    </row>
    <row r="44" spans="9:26" x14ac:dyDescent="0.2">
      <c r="I44" s="107">
        <f t="shared" si="2"/>
        <v>38</v>
      </c>
      <c r="J44" s="109" t="s">
        <v>192</v>
      </c>
      <c r="K44" s="109" t="s">
        <v>63</v>
      </c>
      <c r="L44" s="108" t="s">
        <v>205</v>
      </c>
      <c r="M44" s="199" t="str">
        <f>IF(Fuel_Veh[[#This Row],[Month]]&lt;&gt;"",VLOOKUP(Fuel_Veh[[#This Row],[Month]],dropdown!$S$4:$T$15,2,FALSE),"")</f>
        <v>Q2</v>
      </c>
      <c r="N44" s="110">
        <v>93.27</v>
      </c>
      <c r="O44" s="81" t="str">
        <f>IF($K44="","",VLOOKUP($K44,dropdown!$P$14:$Q$18,2,FALSE))</f>
        <v>Liters</v>
      </c>
      <c r="P44" s="110">
        <f>Fuel_Veh[[#This Row],[Consumption]]*Z44</f>
        <v>215.92005</v>
      </c>
      <c r="Q44" s="81" t="str">
        <f t="shared" si="0"/>
        <v>Kilometers</v>
      </c>
      <c r="R44" s="111" t="s">
        <v>195</v>
      </c>
      <c r="Z44" s="31">
        <v>2.3149999999999999</v>
      </c>
    </row>
    <row r="45" spans="9:26" x14ac:dyDescent="0.2">
      <c r="I45" s="107">
        <f t="shared" si="2"/>
        <v>39</v>
      </c>
      <c r="J45" s="109" t="s">
        <v>189</v>
      </c>
      <c r="K45" s="109" t="s">
        <v>63</v>
      </c>
      <c r="L45" s="108" t="s">
        <v>205</v>
      </c>
      <c r="M45" s="199" t="str">
        <f>IF(Fuel_Veh[[#This Row],[Month]]&lt;&gt;"",VLOOKUP(Fuel_Veh[[#This Row],[Month]],dropdown!$S$4:$T$15,2,FALSE),"")</f>
        <v>Q2</v>
      </c>
      <c r="N45" s="110">
        <v>96</v>
      </c>
      <c r="O45" s="81" t="str">
        <f>IF($K45="","",VLOOKUP($K45,dropdown!$P$14:$Q$18,2,FALSE))</f>
        <v>Liters</v>
      </c>
      <c r="P45" s="110">
        <f>Fuel_Veh[[#This Row],[Consumption]]*Z45</f>
        <v>97.92</v>
      </c>
      <c r="Q45" s="81" t="str">
        <f t="shared" si="0"/>
        <v>Kilometers</v>
      </c>
      <c r="R45" s="111" t="s">
        <v>196</v>
      </c>
      <c r="Z45" s="31">
        <v>1.02</v>
      </c>
    </row>
    <row r="46" spans="9:26" x14ac:dyDescent="0.2">
      <c r="I46" s="107">
        <f t="shared" si="2"/>
        <v>40</v>
      </c>
      <c r="J46" s="109" t="s">
        <v>197</v>
      </c>
      <c r="K46" s="109" t="s">
        <v>63</v>
      </c>
      <c r="L46" s="108" t="s">
        <v>205</v>
      </c>
      <c r="M46" s="199" t="str">
        <f>IF(Fuel_Veh[[#This Row],[Month]]&lt;&gt;"",VLOOKUP(Fuel_Veh[[#This Row],[Month]],dropdown!$S$4:$T$15,2,FALSE),"")</f>
        <v>Q2</v>
      </c>
      <c r="N46" s="110">
        <v>0</v>
      </c>
      <c r="O46" s="81" t="str">
        <f>IF($K46="","",VLOOKUP($K46,dropdown!$P$14:$Q$18,2,FALSE))</f>
        <v>Liters</v>
      </c>
      <c r="P46" s="110">
        <f>Fuel_Veh[[#This Row],[Consumption]]*Z46</f>
        <v>0</v>
      </c>
      <c r="Q46" s="81" t="str">
        <f t="shared" si="0"/>
        <v>Kilometers</v>
      </c>
      <c r="R46" s="111" t="s">
        <v>198</v>
      </c>
      <c r="Z46" s="31">
        <v>5.2125000000000004</v>
      </c>
    </row>
    <row r="47" spans="9:26" x14ac:dyDescent="0.2">
      <c r="I47" s="107">
        <f t="shared" si="2"/>
        <v>41</v>
      </c>
      <c r="J47" s="109" t="s">
        <v>197</v>
      </c>
      <c r="K47" s="109" t="s">
        <v>63</v>
      </c>
      <c r="L47" s="108" t="s">
        <v>206</v>
      </c>
      <c r="M47" s="199" t="str">
        <f>IF(Fuel_Veh[[#This Row],[Month]]&lt;&gt;"",VLOOKUP(Fuel_Veh[[#This Row],[Month]],dropdown!$S$4:$T$15,2,FALSE),"")</f>
        <v>Q2</v>
      </c>
      <c r="N47" s="110">
        <v>0</v>
      </c>
      <c r="O47" s="81" t="str">
        <f>IF($K47="","",VLOOKUP($K47,dropdown!$P$14:$Q$18,2,FALSE))</f>
        <v>Liters</v>
      </c>
      <c r="P47" s="110">
        <f>Fuel_Veh[[#This Row],[Consumption]]*Z47</f>
        <v>0</v>
      </c>
      <c r="Q47" s="81" t="str">
        <f t="shared" si="0"/>
        <v>Kilometers</v>
      </c>
      <c r="R47" s="111" t="s">
        <v>199</v>
      </c>
      <c r="Z47" s="31">
        <v>4.7225000000000001</v>
      </c>
    </row>
    <row r="48" spans="9:26" x14ac:dyDescent="0.2">
      <c r="I48" s="107">
        <f t="shared" si="2"/>
        <v>42</v>
      </c>
      <c r="J48" s="109" t="s">
        <v>197</v>
      </c>
      <c r="K48" s="109" t="s">
        <v>63</v>
      </c>
      <c r="L48" s="108" t="s">
        <v>206</v>
      </c>
      <c r="M48" s="199" t="str">
        <f>IF(Fuel_Veh[[#This Row],[Month]]&lt;&gt;"",VLOOKUP(Fuel_Veh[[#This Row],[Month]],dropdown!$S$4:$T$15,2,FALSE),"")</f>
        <v>Q2</v>
      </c>
      <c r="N48" s="110">
        <v>0</v>
      </c>
      <c r="O48" s="81" t="str">
        <f>IF($K48="","",VLOOKUP($K48,dropdown!$P$14:$Q$18,2,FALSE))</f>
        <v>Liters</v>
      </c>
      <c r="P48" s="110">
        <f>Fuel_Veh[[#This Row],[Consumption]]*Z48</f>
        <v>0</v>
      </c>
      <c r="Q48" s="81" t="str">
        <f t="shared" si="0"/>
        <v>Kilometers</v>
      </c>
      <c r="R48" s="111" t="s">
        <v>200</v>
      </c>
      <c r="Z48" s="31">
        <v>6.7014285714285702</v>
      </c>
    </row>
    <row r="49" spans="9:26" x14ac:dyDescent="0.2">
      <c r="I49" s="107" t="str">
        <f t="shared" si="2"/>
        <v/>
      </c>
      <c r="J49" s="109"/>
      <c r="K49" s="109"/>
      <c r="L49" s="108"/>
      <c r="M49" s="199" t="str">
        <f>IF(Fuel_Veh[[#This Row],[Month]]&lt;&gt;"",VLOOKUP(Fuel_Veh[[#This Row],[Month]],dropdown!$S$4:$T$15,2,FALSE),"")</f>
        <v/>
      </c>
      <c r="N49" s="110"/>
      <c r="O49" s="81" t="str">
        <f>IF($K49="","",VLOOKUP($K49,dropdown!$P$14:$Q$18,2,FALSE))</f>
        <v/>
      </c>
      <c r="P49" s="110"/>
      <c r="Q49" s="81" t="str">
        <f t="shared" si="0"/>
        <v/>
      </c>
      <c r="R49" s="111"/>
      <c r="Z49" s="31">
        <v>6.7428571428571402</v>
      </c>
    </row>
    <row r="50" spans="9:26" x14ac:dyDescent="0.2">
      <c r="I50" s="107" t="str">
        <f t="shared" si="2"/>
        <v/>
      </c>
      <c r="J50" s="109"/>
      <c r="K50" s="109"/>
      <c r="L50" s="108"/>
      <c r="M50" s="199" t="str">
        <f>IF(Fuel_Veh[[#This Row],[Month]]&lt;&gt;"",VLOOKUP(Fuel_Veh[[#This Row],[Month]],dropdown!$S$4:$T$15,2,FALSE),"")</f>
        <v/>
      </c>
      <c r="N50" s="110"/>
      <c r="O50" s="81" t="str">
        <f>IF($K50="","",VLOOKUP($K50,dropdown!$P$14:$Q$18,2,FALSE))</f>
        <v/>
      </c>
      <c r="P50" s="110"/>
      <c r="Q50" s="81" t="str">
        <f t="shared" si="0"/>
        <v/>
      </c>
      <c r="R50" s="111"/>
      <c r="Z50" s="31">
        <v>7.2814285714285703</v>
      </c>
    </row>
    <row r="51" spans="9:26" x14ac:dyDescent="0.2">
      <c r="I51" s="107" t="str">
        <f t="shared" si="2"/>
        <v/>
      </c>
      <c r="J51" s="109"/>
      <c r="K51" s="109"/>
      <c r="L51" s="108"/>
      <c r="M51" s="199" t="str">
        <f>IF(Fuel_Veh[[#This Row],[Month]]&lt;&gt;"",VLOOKUP(Fuel_Veh[[#This Row],[Month]],dropdown!$S$4:$T$15,2,FALSE),"")</f>
        <v/>
      </c>
      <c r="N51" s="110"/>
      <c r="O51" s="81" t="str">
        <f>IF($K51="","",VLOOKUP($K51,dropdown!$P$14:$Q$18,2,FALSE))</f>
        <v/>
      </c>
      <c r="P51" s="110"/>
      <c r="Q51" s="81" t="str">
        <f t="shared" si="0"/>
        <v/>
      </c>
      <c r="R51" s="111"/>
      <c r="Z51" s="31">
        <v>1.02</v>
      </c>
    </row>
    <row r="52" spans="9:26" x14ac:dyDescent="0.2">
      <c r="I52" s="107" t="str">
        <f t="shared" si="2"/>
        <v/>
      </c>
      <c r="J52" s="109"/>
      <c r="K52" s="109"/>
      <c r="L52" s="108"/>
      <c r="M52" s="199" t="str">
        <f>IF(Fuel_Veh[[#This Row],[Month]]&lt;&gt;"",VLOOKUP(Fuel_Veh[[#This Row],[Month]],dropdown!$S$4:$T$15,2,FALSE),"")</f>
        <v/>
      </c>
      <c r="N52" s="110"/>
      <c r="O52" s="81" t="str">
        <f>IF($K52="","",VLOOKUP($K52,dropdown!$P$14:$Q$18,2,FALSE))</f>
        <v/>
      </c>
      <c r="P52" s="110"/>
      <c r="Q52" s="81" t="str">
        <f t="shared" si="0"/>
        <v/>
      </c>
      <c r="R52" s="111"/>
      <c r="Z52" s="31">
        <v>2.3149999999999999</v>
      </c>
    </row>
    <row r="53" spans="9:26" x14ac:dyDescent="0.2">
      <c r="I53" s="107" t="str">
        <f t="shared" si="2"/>
        <v/>
      </c>
      <c r="J53" s="109"/>
      <c r="K53" s="109"/>
      <c r="L53" s="108"/>
      <c r="M53" s="199" t="str">
        <f>IF(Fuel_Veh[[#This Row],[Month]]&lt;&gt;"",VLOOKUP(Fuel_Veh[[#This Row],[Month]],dropdown!$S$4:$T$15,2,FALSE),"")</f>
        <v/>
      </c>
      <c r="N53" s="110"/>
      <c r="O53" s="81" t="str">
        <f>IF($K53="","",VLOOKUP($K53,dropdown!$P$14:$Q$18,2,FALSE))</f>
        <v/>
      </c>
      <c r="P53" s="110"/>
      <c r="Q53" s="81" t="str">
        <f t="shared" si="0"/>
        <v/>
      </c>
      <c r="R53" s="111"/>
      <c r="Z53" s="31">
        <v>1.02</v>
      </c>
    </row>
    <row r="54" spans="9:26" x14ac:dyDescent="0.2">
      <c r="I54" s="107" t="str">
        <f t="shared" si="2"/>
        <v/>
      </c>
      <c r="J54" s="109"/>
      <c r="K54" s="109"/>
      <c r="L54" s="108"/>
      <c r="M54" s="199" t="str">
        <f>IF(Fuel_Veh[[#This Row],[Month]]&lt;&gt;"",VLOOKUP(Fuel_Veh[[#This Row],[Month]],dropdown!$S$4:$T$15,2,FALSE),"")</f>
        <v/>
      </c>
      <c r="N54" s="110"/>
      <c r="O54" s="81" t="str">
        <f>IF($K54="","",VLOOKUP($K54,dropdown!$P$14:$Q$18,2,FALSE))</f>
        <v/>
      </c>
      <c r="P54" s="110"/>
      <c r="Q54" s="81" t="str">
        <f t="shared" si="0"/>
        <v/>
      </c>
      <c r="R54" s="111"/>
      <c r="Z54" s="31">
        <v>5.2125000000000004</v>
      </c>
    </row>
    <row r="55" spans="9:26" x14ac:dyDescent="0.2">
      <c r="I55" s="107" t="str">
        <f t="shared" si="2"/>
        <v/>
      </c>
      <c r="J55" s="109"/>
      <c r="K55" s="109"/>
      <c r="L55" s="108"/>
      <c r="M55" s="199" t="str">
        <f>IF(Fuel_Veh[[#This Row],[Month]]&lt;&gt;"",VLOOKUP(Fuel_Veh[[#This Row],[Month]],dropdown!$S$4:$T$15,2,FALSE),"")</f>
        <v/>
      </c>
      <c r="N55" s="110"/>
      <c r="O55" s="81" t="str">
        <f>IF($K55="","",VLOOKUP($K55,dropdown!$P$14:$Q$18,2,FALSE))</f>
        <v/>
      </c>
      <c r="P55" s="110"/>
      <c r="Q55" s="81" t="str">
        <f t="shared" si="0"/>
        <v/>
      </c>
      <c r="R55" s="111"/>
      <c r="Z55" s="31">
        <v>4.7225000000000001</v>
      </c>
    </row>
    <row r="56" spans="9:26" x14ac:dyDescent="0.2">
      <c r="I56" s="107" t="str">
        <f t="shared" si="2"/>
        <v/>
      </c>
      <c r="J56" s="109"/>
      <c r="K56" s="109"/>
      <c r="L56" s="108"/>
      <c r="M56" s="199" t="str">
        <f>IF(Fuel_Veh[[#This Row],[Month]]&lt;&gt;"",VLOOKUP(Fuel_Veh[[#This Row],[Month]],dropdown!$S$4:$T$15,2,FALSE),"")</f>
        <v/>
      </c>
      <c r="N56" s="110"/>
      <c r="O56" s="81" t="str">
        <f>IF($K56="","",VLOOKUP($K56,dropdown!$P$14:$Q$18,2,FALSE))</f>
        <v/>
      </c>
      <c r="P56" s="110"/>
      <c r="Q56" s="81" t="str">
        <f t="shared" si="0"/>
        <v/>
      </c>
      <c r="R56" s="111"/>
      <c r="Z56" s="31">
        <v>6.7014285714285702</v>
      </c>
    </row>
    <row r="57" spans="9:26" x14ac:dyDescent="0.2">
      <c r="I57" s="107" t="str">
        <f t="shared" si="2"/>
        <v/>
      </c>
      <c r="J57" s="109"/>
      <c r="K57" s="109"/>
      <c r="L57" s="108"/>
      <c r="M57" s="199" t="str">
        <f>IF(Fuel_Veh[[#This Row],[Month]]&lt;&gt;"",VLOOKUP(Fuel_Veh[[#This Row],[Month]],dropdown!$S$4:$T$15,2,FALSE),"")</f>
        <v/>
      </c>
      <c r="N57" s="110"/>
      <c r="O57" s="81" t="str">
        <f>IF($K57="","",VLOOKUP($K57,dropdown!$P$14:$Q$18,2,FALSE))</f>
        <v/>
      </c>
      <c r="P57" s="110"/>
      <c r="Q57" s="81" t="str">
        <f t="shared" si="0"/>
        <v/>
      </c>
      <c r="R57" s="111"/>
      <c r="Z57" s="31">
        <v>6.7428571428571402</v>
      </c>
    </row>
    <row r="58" spans="9:26" x14ac:dyDescent="0.2">
      <c r="I58" s="107" t="str">
        <f t="shared" si="2"/>
        <v/>
      </c>
      <c r="J58" s="109"/>
      <c r="K58" s="109"/>
      <c r="L58" s="108"/>
      <c r="M58" s="199" t="str">
        <f>IF(Fuel_Veh[[#This Row],[Month]]&lt;&gt;"",VLOOKUP(Fuel_Veh[[#This Row],[Month]],dropdown!$S$4:$T$15,2,FALSE),"")</f>
        <v/>
      </c>
      <c r="N58" s="110"/>
      <c r="O58" s="81" t="str">
        <f>IF($K58="","",VLOOKUP($K58,dropdown!$P$14:$Q$18,2,FALSE))</f>
        <v/>
      </c>
      <c r="P58" s="110"/>
      <c r="Q58" s="81" t="str">
        <f t="shared" si="0"/>
        <v/>
      </c>
      <c r="R58" s="111"/>
      <c r="Z58" s="31">
        <v>7.2814285714285703</v>
      </c>
    </row>
    <row r="59" spans="9:26" x14ac:dyDescent="0.2">
      <c r="I59" s="107" t="str">
        <f t="shared" si="2"/>
        <v/>
      </c>
      <c r="J59" s="109"/>
      <c r="K59" s="109"/>
      <c r="L59" s="108"/>
      <c r="M59" s="199" t="str">
        <f>IF(Fuel_Veh[[#This Row],[Month]]&lt;&gt;"",VLOOKUP(Fuel_Veh[[#This Row],[Month]],dropdown!$S$4:$T$15,2,FALSE),"")</f>
        <v/>
      </c>
      <c r="N59" s="110"/>
      <c r="O59" s="81" t="str">
        <f>IF($K59="","",VLOOKUP($K59,dropdown!$P$14:$Q$18,2,FALSE))</f>
        <v/>
      </c>
      <c r="P59" s="110"/>
      <c r="Q59" s="81" t="str">
        <f t="shared" si="0"/>
        <v/>
      </c>
      <c r="R59" s="111"/>
      <c r="Z59" s="31">
        <v>1.02</v>
      </c>
    </row>
    <row r="60" spans="9:26" x14ac:dyDescent="0.2">
      <c r="I60" s="107" t="str">
        <f t="shared" si="2"/>
        <v/>
      </c>
      <c r="J60" s="109"/>
      <c r="K60" s="109"/>
      <c r="L60" s="108"/>
      <c r="M60" s="199" t="str">
        <f>IF(Fuel_Veh[[#This Row],[Month]]&lt;&gt;"",VLOOKUP(Fuel_Veh[[#This Row],[Month]],dropdown!$S$4:$T$15,2,FALSE),"")</f>
        <v/>
      </c>
      <c r="N60" s="110"/>
      <c r="O60" s="81" t="str">
        <f>IF($K60="","",VLOOKUP($K60,dropdown!$P$14:$Q$18,2,FALSE))</f>
        <v/>
      </c>
      <c r="P60" s="110"/>
      <c r="Q60" s="81" t="str">
        <f t="shared" si="0"/>
        <v/>
      </c>
      <c r="R60" s="111"/>
      <c r="Z60" s="31">
        <v>2.3149999999999999</v>
      </c>
    </row>
    <row r="61" spans="9:26" x14ac:dyDescent="0.2">
      <c r="I61" s="107" t="str">
        <f t="shared" si="2"/>
        <v/>
      </c>
      <c r="J61" s="109"/>
      <c r="K61" s="109"/>
      <c r="L61" s="108"/>
      <c r="M61" s="199" t="str">
        <f>IF(Fuel_Veh[[#This Row],[Month]]&lt;&gt;"",VLOOKUP(Fuel_Veh[[#This Row],[Month]],dropdown!$S$4:$T$15,2,FALSE),"")</f>
        <v/>
      </c>
      <c r="N61" s="110"/>
      <c r="O61" s="81" t="str">
        <f>IF($K61="","",VLOOKUP($K61,dropdown!$P$14:$Q$18,2,FALSE))</f>
        <v/>
      </c>
      <c r="P61" s="110"/>
      <c r="Q61" s="81" t="str">
        <f t="shared" si="0"/>
        <v/>
      </c>
      <c r="R61" s="111"/>
      <c r="Z61" s="31">
        <v>1.02</v>
      </c>
    </row>
    <row r="62" spans="9:26" x14ac:dyDescent="0.2">
      <c r="I62" s="107" t="str">
        <f t="shared" si="2"/>
        <v/>
      </c>
      <c r="J62" s="109"/>
      <c r="K62" s="109"/>
      <c r="L62" s="108"/>
      <c r="M62" s="199" t="str">
        <f>IF(Fuel_Veh[[#This Row],[Month]]&lt;&gt;"",VLOOKUP(Fuel_Veh[[#This Row],[Month]],dropdown!$S$4:$T$15,2,FALSE),"")</f>
        <v/>
      </c>
      <c r="N62" s="110"/>
      <c r="O62" s="81" t="str">
        <f>IF($K62="","",VLOOKUP($K62,dropdown!$P$14:$Q$18,2,FALSE))</f>
        <v/>
      </c>
      <c r="P62" s="110"/>
      <c r="Q62" s="81" t="str">
        <f t="shared" si="0"/>
        <v/>
      </c>
      <c r="R62" s="111"/>
      <c r="Z62" s="31">
        <v>5.2125000000000004</v>
      </c>
    </row>
    <row r="63" spans="9:26" x14ac:dyDescent="0.2">
      <c r="I63" s="107" t="str">
        <f t="shared" si="2"/>
        <v/>
      </c>
      <c r="J63" s="109"/>
      <c r="K63" s="109"/>
      <c r="L63" s="108"/>
      <c r="M63" s="199" t="str">
        <f>IF(Fuel_Veh[[#This Row],[Month]]&lt;&gt;"",VLOOKUP(Fuel_Veh[[#This Row],[Month]],dropdown!$S$4:$T$15,2,FALSE),"")</f>
        <v/>
      </c>
      <c r="N63" s="110"/>
      <c r="O63" s="81" t="str">
        <f>IF($K63="","",VLOOKUP($K63,dropdown!$P$14:$Q$18,2,FALSE))</f>
        <v/>
      </c>
      <c r="P63" s="110"/>
      <c r="Q63" s="81" t="str">
        <f t="shared" si="0"/>
        <v/>
      </c>
      <c r="R63" s="111"/>
      <c r="Z63" s="31">
        <v>4.7225000000000001</v>
      </c>
    </row>
    <row r="64" spans="9:26" x14ac:dyDescent="0.2">
      <c r="I64" s="107" t="str">
        <f t="shared" si="2"/>
        <v/>
      </c>
      <c r="J64" s="109"/>
      <c r="K64" s="109"/>
      <c r="L64" s="108"/>
      <c r="M64" s="199" t="str">
        <f>IF(Fuel_Veh[[#This Row],[Month]]&lt;&gt;"",VLOOKUP(Fuel_Veh[[#This Row],[Month]],dropdown!$S$4:$T$15,2,FALSE),"")</f>
        <v/>
      </c>
      <c r="N64" s="110"/>
      <c r="O64" s="81" t="str">
        <f>IF($K64="","",VLOOKUP($K64,dropdown!$P$14:$Q$18,2,FALSE))</f>
        <v/>
      </c>
      <c r="P64" s="110"/>
      <c r="Q64" s="81" t="str">
        <f t="shared" si="0"/>
        <v/>
      </c>
      <c r="R64" s="111"/>
      <c r="Z64" s="31">
        <v>6.7014285714285702</v>
      </c>
    </row>
    <row r="65" spans="9:26" x14ac:dyDescent="0.2">
      <c r="I65" s="107" t="str">
        <f t="shared" si="2"/>
        <v/>
      </c>
      <c r="J65" s="109"/>
      <c r="K65" s="109"/>
      <c r="L65" s="108"/>
      <c r="M65" s="199" t="str">
        <f>IF(Fuel_Veh[[#This Row],[Month]]&lt;&gt;"",VLOOKUP(Fuel_Veh[[#This Row],[Month]],dropdown!$S$4:$T$15,2,FALSE),"")</f>
        <v/>
      </c>
      <c r="N65" s="110"/>
      <c r="O65" s="81" t="str">
        <f>IF($K65="","",VLOOKUP($K65,dropdown!$P$14:$Q$18,2,FALSE))</f>
        <v/>
      </c>
      <c r="P65" s="110"/>
      <c r="Q65" s="81" t="str">
        <f t="shared" si="0"/>
        <v/>
      </c>
      <c r="R65" s="111"/>
      <c r="Z65" s="31">
        <v>6.7428571428571402</v>
      </c>
    </row>
    <row r="66" spans="9:26" x14ac:dyDescent="0.2">
      <c r="I66" s="107" t="str">
        <f t="shared" si="2"/>
        <v/>
      </c>
      <c r="J66" s="109"/>
      <c r="K66" s="109"/>
      <c r="L66" s="108"/>
      <c r="M66" s="199" t="str">
        <f>IF(Fuel_Veh[[#This Row],[Month]]&lt;&gt;"",VLOOKUP(Fuel_Veh[[#This Row],[Month]],dropdown!$S$4:$T$15,2,FALSE),"")</f>
        <v/>
      </c>
      <c r="N66" s="110"/>
      <c r="O66" s="81" t="str">
        <f>IF($K66="","",VLOOKUP($K66,dropdown!$P$14:$Q$18,2,FALSE))</f>
        <v/>
      </c>
      <c r="P66" s="110"/>
      <c r="Q66" s="81" t="str">
        <f t="shared" si="0"/>
        <v/>
      </c>
      <c r="R66" s="111"/>
      <c r="Z66" s="31">
        <v>7.2814285714285703</v>
      </c>
    </row>
    <row r="67" spans="9:26" x14ac:dyDescent="0.2">
      <c r="I67" s="107" t="str">
        <f t="shared" si="2"/>
        <v/>
      </c>
      <c r="J67" s="109"/>
      <c r="K67" s="109"/>
      <c r="L67" s="108"/>
      <c r="M67" s="199" t="str">
        <f>IF(Fuel_Veh[[#This Row],[Month]]&lt;&gt;"",VLOOKUP(Fuel_Veh[[#This Row],[Month]],dropdown!$S$4:$T$15,2,FALSE),"")</f>
        <v/>
      </c>
      <c r="N67" s="110"/>
      <c r="O67" s="81" t="str">
        <f>IF($K67="","",VLOOKUP($K67,dropdown!$P$14:$Q$18,2,FALSE))</f>
        <v/>
      </c>
      <c r="P67" s="110"/>
      <c r="Q67" s="81" t="str">
        <f t="shared" si="0"/>
        <v/>
      </c>
      <c r="R67" s="111"/>
      <c r="Z67" s="31">
        <v>1.02</v>
      </c>
    </row>
    <row r="68" spans="9:26" x14ac:dyDescent="0.2">
      <c r="I68" s="107" t="str">
        <f t="shared" si="2"/>
        <v/>
      </c>
      <c r="J68" s="109"/>
      <c r="K68" s="109"/>
      <c r="L68" s="108"/>
      <c r="M68" s="199" t="str">
        <f>IF(Fuel_Veh[[#This Row],[Month]]&lt;&gt;"",VLOOKUP(Fuel_Veh[[#This Row],[Month]],dropdown!$S$4:$T$15,2,FALSE),"")</f>
        <v/>
      </c>
      <c r="N68" s="110"/>
      <c r="O68" s="81" t="str">
        <f>IF($K68="","",VLOOKUP($K68,dropdown!$P$14:$Q$18,2,FALSE))</f>
        <v/>
      </c>
      <c r="P68" s="110"/>
      <c r="Q68" s="81" t="str">
        <f t="shared" si="0"/>
        <v/>
      </c>
      <c r="R68" s="111"/>
      <c r="Z68" s="31">
        <v>2.3149999999999999</v>
      </c>
    </row>
    <row r="69" spans="9:26" x14ac:dyDescent="0.2">
      <c r="I69" s="107" t="str">
        <f t="shared" si="2"/>
        <v/>
      </c>
      <c r="J69" s="109"/>
      <c r="K69" s="109"/>
      <c r="L69" s="108"/>
      <c r="M69" s="199" t="str">
        <f>IF(Fuel_Veh[[#This Row],[Month]]&lt;&gt;"",VLOOKUP(Fuel_Veh[[#This Row],[Month]],dropdown!$S$4:$T$15,2,FALSE),"")</f>
        <v/>
      </c>
      <c r="N69" s="110"/>
      <c r="O69" s="81" t="str">
        <f>IF($K69="","",VLOOKUP($K69,dropdown!$P$14:$Q$18,2,FALSE))</f>
        <v/>
      </c>
      <c r="P69" s="110"/>
      <c r="Q69" s="81" t="str">
        <f t="shared" si="0"/>
        <v/>
      </c>
      <c r="R69" s="111"/>
      <c r="Z69" s="31">
        <v>1.02</v>
      </c>
    </row>
    <row r="70" spans="9:26" x14ac:dyDescent="0.2">
      <c r="I70" s="107" t="str">
        <f t="shared" si="2"/>
        <v/>
      </c>
      <c r="J70" s="109"/>
      <c r="K70" s="109"/>
      <c r="L70" s="108"/>
      <c r="M70" s="199" t="str">
        <f>IF(Fuel_Veh[[#This Row],[Month]]&lt;&gt;"",VLOOKUP(Fuel_Veh[[#This Row],[Month]],dropdown!$S$4:$T$15,2,FALSE),"")</f>
        <v/>
      </c>
      <c r="N70" s="110"/>
      <c r="O70" s="81" t="str">
        <f>IF($K70="","",VLOOKUP($K70,dropdown!$P$14:$Q$18,2,FALSE))</f>
        <v/>
      </c>
      <c r="P70" s="110"/>
      <c r="Q70" s="81" t="str">
        <f t="shared" si="0"/>
        <v/>
      </c>
      <c r="R70" s="111"/>
      <c r="Z70" s="31">
        <v>5.2125000000000004</v>
      </c>
    </row>
    <row r="71" spans="9:26" x14ac:dyDescent="0.2">
      <c r="I71" s="107" t="str">
        <f t="shared" si="2"/>
        <v/>
      </c>
      <c r="J71" s="109"/>
      <c r="K71" s="109"/>
      <c r="L71" s="108"/>
      <c r="M71" s="199" t="str">
        <f>IF(Fuel_Veh[[#This Row],[Month]]&lt;&gt;"",VLOOKUP(Fuel_Veh[[#This Row],[Month]],dropdown!$S$4:$T$15,2,FALSE),"")</f>
        <v/>
      </c>
      <c r="N71" s="110"/>
      <c r="O71" s="81" t="str">
        <f>IF($K71="","",VLOOKUP($K71,dropdown!$P$14:$Q$18,2,FALSE))</f>
        <v/>
      </c>
      <c r="P71" s="110"/>
      <c r="Q71" s="81" t="str">
        <f t="shared" ref="Q71:Q106" si="3">IF($P71="","","Kilometers")</f>
        <v/>
      </c>
      <c r="R71" s="111"/>
      <c r="Z71" s="31">
        <v>4.7225000000000001</v>
      </c>
    </row>
    <row r="72" spans="9:26" x14ac:dyDescent="0.2">
      <c r="I72" s="107" t="str">
        <f t="shared" si="2"/>
        <v/>
      </c>
      <c r="J72" s="109"/>
      <c r="K72" s="109"/>
      <c r="L72" s="108"/>
      <c r="M72" s="199" t="str">
        <f>IF(Fuel_Veh[[#This Row],[Month]]&lt;&gt;"",VLOOKUP(Fuel_Veh[[#This Row],[Month]],dropdown!$S$4:$T$15,2,FALSE),"")</f>
        <v/>
      </c>
      <c r="N72" s="110"/>
      <c r="O72" s="81" t="str">
        <f>IF($K72="","",VLOOKUP($K72,dropdown!$P$14:$Q$18,2,FALSE))</f>
        <v/>
      </c>
      <c r="P72" s="110"/>
      <c r="Q72" s="81" t="str">
        <f t="shared" si="3"/>
        <v/>
      </c>
      <c r="R72" s="111"/>
      <c r="Z72" s="31">
        <v>6.7014285714285702</v>
      </c>
    </row>
    <row r="73" spans="9:26" x14ac:dyDescent="0.2">
      <c r="I73" s="107" t="str">
        <f t="shared" si="2"/>
        <v/>
      </c>
      <c r="J73" s="109"/>
      <c r="K73" s="109"/>
      <c r="L73" s="108"/>
      <c r="M73" s="199" t="str">
        <f>IF(Fuel_Veh[[#This Row],[Month]]&lt;&gt;"",VLOOKUP(Fuel_Veh[[#This Row],[Month]],dropdown!$S$4:$T$15,2,FALSE),"")</f>
        <v/>
      </c>
      <c r="N73" s="110"/>
      <c r="O73" s="81" t="str">
        <f>IF($K73="","",VLOOKUP($K73,dropdown!$P$14:$Q$18,2,FALSE))</f>
        <v/>
      </c>
      <c r="P73" s="110"/>
      <c r="Q73" s="81" t="str">
        <f t="shared" si="3"/>
        <v/>
      </c>
      <c r="R73" s="111"/>
      <c r="Z73" s="31">
        <v>6.7428571428571402</v>
      </c>
    </row>
    <row r="74" spans="9:26" x14ac:dyDescent="0.2">
      <c r="I74" s="107" t="str">
        <f t="shared" si="2"/>
        <v/>
      </c>
      <c r="J74" s="109"/>
      <c r="K74" s="109"/>
      <c r="L74" s="108"/>
      <c r="M74" s="199" t="str">
        <f>IF(Fuel_Veh[[#This Row],[Month]]&lt;&gt;"",VLOOKUP(Fuel_Veh[[#This Row],[Month]],dropdown!$S$4:$T$15,2,FALSE),"")</f>
        <v/>
      </c>
      <c r="N74" s="110"/>
      <c r="O74" s="81" t="str">
        <f>IF($K74="","",VLOOKUP($K74,dropdown!$P$14:$Q$18,2,FALSE))</f>
        <v/>
      </c>
      <c r="P74" s="110"/>
      <c r="Q74" s="81" t="str">
        <f t="shared" si="3"/>
        <v/>
      </c>
      <c r="R74" s="111"/>
      <c r="Z74" s="31">
        <v>7.2814285714285703</v>
      </c>
    </row>
    <row r="75" spans="9:26" x14ac:dyDescent="0.2">
      <c r="I75" s="107" t="str">
        <f t="shared" si="2"/>
        <v/>
      </c>
      <c r="J75" s="109"/>
      <c r="K75" s="109"/>
      <c r="L75" s="108"/>
      <c r="M75" s="199" t="str">
        <f>IF(Fuel_Veh[[#This Row],[Month]]&lt;&gt;"",VLOOKUP(Fuel_Veh[[#This Row],[Month]],dropdown!$S$4:$T$15,2,FALSE),"")</f>
        <v/>
      </c>
      <c r="N75" s="110"/>
      <c r="O75" s="81" t="str">
        <f>IF($K75="","",VLOOKUP($K75,dropdown!$P$14:$Q$18,2,FALSE))</f>
        <v/>
      </c>
      <c r="P75" s="110"/>
      <c r="Q75" s="81" t="str">
        <f t="shared" si="3"/>
        <v/>
      </c>
      <c r="R75" s="111"/>
      <c r="Z75" s="31">
        <v>1.02</v>
      </c>
    </row>
    <row r="76" spans="9:26" x14ac:dyDescent="0.2">
      <c r="I76" s="107" t="str">
        <f t="shared" ref="I76:I77" si="4">IF($J76="","",$I75+1)</f>
        <v/>
      </c>
      <c r="J76" s="109"/>
      <c r="K76" s="109"/>
      <c r="L76" s="108"/>
      <c r="M76" s="199" t="str">
        <f>IF(Fuel_Veh[[#This Row],[Month]]&lt;&gt;"",VLOOKUP(Fuel_Veh[[#This Row],[Month]],dropdown!$S$4:$T$15,2,FALSE),"")</f>
        <v/>
      </c>
      <c r="N76" s="110"/>
      <c r="O76" s="81" t="str">
        <f>IF($K76="","",VLOOKUP($K76,dropdown!$P$14:$Q$18,2,FALSE))</f>
        <v/>
      </c>
      <c r="P76" s="110"/>
      <c r="Q76" s="81" t="str">
        <f t="shared" si="3"/>
        <v/>
      </c>
      <c r="R76" s="111"/>
      <c r="Z76" s="31">
        <v>2.3149999999999999</v>
      </c>
    </row>
    <row r="77" spans="9:26" x14ac:dyDescent="0.2">
      <c r="I77" s="107" t="str">
        <f t="shared" si="4"/>
        <v/>
      </c>
      <c r="J77" s="109"/>
      <c r="K77" s="109"/>
      <c r="L77" s="108"/>
      <c r="M77" s="199" t="str">
        <f>IF(Fuel_Veh[[#This Row],[Month]]&lt;&gt;"",VLOOKUP(Fuel_Veh[[#This Row],[Month]],dropdown!$S$4:$T$15,2,FALSE),"")</f>
        <v/>
      </c>
      <c r="N77" s="110"/>
      <c r="O77" s="81" t="str">
        <f>IF($K77="","",VLOOKUP($K77,dropdown!$P$14:$Q$18,2,FALSE))</f>
        <v/>
      </c>
      <c r="P77" s="110"/>
      <c r="Q77" s="81" t="str">
        <f t="shared" si="3"/>
        <v/>
      </c>
      <c r="R77" s="111"/>
      <c r="Z77" s="31">
        <v>1.02</v>
      </c>
    </row>
    <row r="78" spans="9:26" x14ac:dyDescent="0.2">
      <c r="I78" s="107" t="str">
        <f t="shared" ref="I78:I85" si="5">IF($J78="","",$I77+1)</f>
        <v/>
      </c>
      <c r="J78" s="109"/>
      <c r="K78" s="109"/>
      <c r="L78" s="108"/>
      <c r="M78" s="199" t="str">
        <f>IF(Fuel_Veh[[#This Row],[Month]]&lt;&gt;"",VLOOKUP(Fuel_Veh[[#This Row],[Month]],dropdown!$S$4:$T$15,2,FALSE),"")</f>
        <v/>
      </c>
      <c r="N78" s="110"/>
      <c r="O78" s="81" t="str">
        <f>IF($K78="","",VLOOKUP($K78,dropdown!$P$14:$Q$18,2,FALSE))</f>
        <v/>
      </c>
      <c r="P78" s="110"/>
      <c r="Q78" s="81" t="str">
        <f t="shared" si="3"/>
        <v/>
      </c>
      <c r="R78" s="111"/>
      <c r="Z78" s="31">
        <v>5.2125000000000004</v>
      </c>
    </row>
    <row r="79" spans="9:26" x14ac:dyDescent="0.2">
      <c r="I79" s="107" t="str">
        <f t="shared" si="5"/>
        <v/>
      </c>
      <c r="J79" s="109"/>
      <c r="K79" s="109"/>
      <c r="L79" s="108"/>
      <c r="M79" s="199" t="str">
        <f>IF(Fuel_Veh[[#This Row],[Month]]&lt;&gt;"",VLOOKUP(Fuel_Veh[[#This Row],[Month]],dropdown!$S$4:$T$15,2,FALSE),"")</f>
        <v/>
      </c>
      <c r="N79" s="110"/>
      <c r="O79" s="81" t="str">
        <f>IF($K79="","",VLOOKUP($K79,dropdown!$P$14:$Q$18,2,FALSE))</f>
        <v/>
      </c>
      <c r="P79" s="110"/>
      <c r="Q79" s="81" t="str">
        <f t="shared" si="3"/>
        <v/>
      </c>
      <c r="R79" s="111"/>
      <c r="Z79" s="31">
        <v>4.7225000000000001</v>
      </c>
    </row>
    <row r="80" spans="9:26" x14ac:dyDescent="0.2">
      <c r="I80" s="107" t="str">
        <f t="shared" si="5"/>
        <v/>
      </c>
      <c r="J80" s="109"/>
      <c r="K80" s="109"/>
      <c r="L80" s="108"/>
      <c r="M80" s="199" t="str">
        <f>IF(Fuel_Veh[[#This Row],[Month]]&lt;&gt;"",VLOOKUP(Fuel_Veh[[#This Row],[Month]],dropdown!$S$4:$T$15,2,FALSE),"")</f>
        <v/>
      </c>
      <c r="N80" s="110"/>
      <c r="O80" s="81" t="str">
        <f>IF($K80="","",VLOOKUP($K80,dropdown!$P$14:$Q$18,2,FALSE))</f>
        <v/>
      </c>
      <c r="P80" s="110"/>
      <c r="Q80" s="81" t="str">
        <f t="shared" si="3"/>
        <v/>
      </c>
      <c r="R80" s="111"/>
      <c r="Z80" s="31">
        <v>6.7014285714285702</v>
      </c>
    </row>
    <row r="81" spans="9:26" x14ac:dyDescent="0.2">
      <c r="I81" s="107" t="str">
        <f t="shared" si="5"/>
        <v/>
      </c>
      <c r="J81" s="109"/>
      <c r="K81" s="109"/>
      <c r="L81" s="108"/>
      <c r="M81" s="199" t="str">
        <f>IF(Fuel_Veh[[#This Row],[Month]]&lt;&gt;"",VLOOKUP(Fuel_Veh[[#This Row],[Month]],dropdown!$S$4:$T$15,2,FALSE),"")</f>
        <v/>
      </c>
      <c r="N81" s="110"/>
      <c r="O81" s="81" t="str">
        <f>IF($K81="","",VLOOKUP($K81,dropdown!$P$14:$Q$18,2,FALSE))</f>
        <v/>
      </c>
      <c r="P81" s="110"/>
      <c r="Q81" s="81" t="str">
        <f t="shared" si="3"/>
        <v/>
      </c>
      <c r="R81" s="111"/>
      <c r="Z81" s="31">
        <v>6.7428571428571402</v>
      </c>
    </row>
    <row r="82" spans="9:26" x14ac:dyDescent="0.2">
      <c r="I82" s="107" t="str">
        <f t="shared" si="5"/>
        <v/>
      </c>
      <c r="J82" s="109"/>
      <c r="K82" s="109"/>
      <c r="L82" s="108"/>
      <c r="M82" s="199" t="str">
        <f>IF(Fuel_Veh[[#This Row],[Month]]&lt;&gt;"",VLOOKUP(Fuel_Veh[[#This Row],[Month]],dropdown!$S$4:$T$15,2,FALSE),"")</f>
        <v/>
      </c>
      <c r="N82" s="110"/>
      <c r="O82" s="81" t="str">
        <f>IF($K82="","",VLOOKUP($K82,dropdown!$P$14:$Q$18,2,FALSE))</f>
        <v/>
      </c>
      <c r="P82" s="110"/>
      <c r="Q82" s="81" t="str">
        <f t="shared" si="3"/>
        <v/>
      </c>
      <c r="R82" s="111"/>
      <c r="Z82" s="31">
        <v>7.2814285714285703</v>
      </c>
    </row>
    <row r="83" spans="9:26" x14ac:dyDescent="0.2">
      <c r="I83" s="107" t="str">
        <f t="shared" si="5"/>
        <v/>
      </c>
      <c r="J83" s="109"/>
      <c r="K83" s="109"/>
      <c r="L83" s="108"/>
      <c r="M83" s="199" t="str">
        <f>IF(Fuel_Veh[[#This Row],[Month]]&lt;&gt;"",VLOOKUP(Fuel_Veh[[#This Row],[Month]],dropdown!$S$4:$T$15,2,FALSE),"")</f>
        <v/>
      </c>
      <c r="N83" s="110"/>
      <c r="O83" s="81" t="str">
        <f>IF($K83="","",VLOOKUP($K83,dropdown!$P$14:$Q$18,2,FALSE))</f>
        <v/>
      </c>
      <c r="P83" s="110"/>
      <c r="Q83" s="81" t="str">
        <f t="shared" si="3"/>
        <v/>
      </c>
      <c r="R83" s="111"/>
      <c r="Z83" s="31">
        <v>1.02</v>
      </c>
    </row>
    <row r="84" spans="9:26" x14ac:dyDescent="0.2">
      <c r="I84" s="107" t="str">
        <f t="shared" si="5"/>
        <v/>
      </c>
      <c r="J84" s="109"/>
      <c r="K84" s="109"/>
      <c r="L84" s="108"/>
      <c r="M84" s="199" t="str">
        <f>IF(Fuel_Veh[[#This Row],[Month]]&lt;&gt;"",VLOOKUP(Fuel_Veh[[#This Row],[Month]],dropdown!$S$4:$T$15,2,FALSE),"")</f>
        <v/>
      </c>
      <c r="N84" s="110"/>
      <c r="O84" s="81" t="str">
        <f>IF($K84="","",VLOOKUP($K84,dropdown!$P$14:$Q$18,2,FALSE))</f>
        <v/>
      </c>
      <c r="P84" s="110"/>
      <c r="Q84" s="81" t="str">
        <f t="shared" si="3"/>
        <v/>
      </c>
      <c r="R84" s="111"/>
      <c r="Z84" s="31">
        <v>2.3149999999999999</v>
      </c>
    </row>
    <row r="85" spans="9:26" x14ac:dyDescent="0.2">
      <c r="I85" s="107" t="str">
        <f t="shared" si="5"/>
        <v/>
      </c>
      <c r="J85" s="109"/>
      <c r="K85" s="109"/>
      <c r="L85" s="108"/>
      <c r="M85" s="199" t="str">
        <f>IF(Fuel_Veh[[#This Row],[Month]]&lt;&gt;"",VLOOKUP(Fuel_Veh[[#This Row],[Month]],dropdown!$S$4:$T$15,2,FALSE),"")</f>
        <v/>
      </c>
      <c r="N85" s="110"/>
      <c r="O85" s="81" t="str">
        <f>IF($K85="","",VLOOKUP($K85,dropdown!$P$14:$Q$18,2,FALSE))</f>
        <v/>
      </c>
      <c r="P85" s="110"/>
      <c r="Q85" s="81" t="str">
        <f t="shared" si="3"/>
        <v/>
      </c>
      <c r="R85" s="111"/>
      <c r="Z85" s="31">
        <v>1.02</v>
      </c>
    </row>
    <row r="86" spans="9:26" x14ac:dyDescent="0.2">
      <c r="I86" s="107" t="str">
        <f t="shared" ref="I86:I106" si="6">IF($J86="","",$I85+1)</f>
        <v/>
      </c>
      <c r="J86" s="109"/>
      <c r="K86" s="109"/>
      <c r="L86" s="108"/>
      <c r="M86" s="199" t="str">
        <f>IF(Fuel_Veh[[#This Row],[Month]]&lt;&gt;"",VLOOKUP(Fuel_Veh[[#This Row],[Month]],dropdown!$S$4:$T$15,2,FALSE),"")</f>
        <v/>
      </c>
      <c r="N86" s="110"/>
      <c r="O86" s="81" t="str">
        <f>IF($K86="","",VLOOKUP($K86,dropdown!$P$14:$Q$18,2,FALSE))</f>
        <v/>
      </c>
      <c r="P86" s="110"/>
      <c r="Q86" s="81" t="str">
        <f t="shared" si="3"/>
        <v/>
      </c>
      <c r="R86" s="111"/>
      <c r="Z86" s="31">
        <v>5.2125000000000004</v>
      </c>
    </row>
    <row r="87" spans="9:26" x14ac:dyDescent="0.2">
      <c r="I87" s="107" t="str">
        <f t="shared" si="6"/>
        <v/>
      </c>
      <c r="J87" s="109"/>
      <c r="K87" s="109"/>
      <c r="L87" s="108"/>
      <c r="M87" s="199" t="str">
        <f>IF(Fuel_Veh[[#This Row],[Month]]&lt;&gt;"",VLOOKUP(Fuel_Veh[[#This Row],[Month]],dropdown!$S$4:$T$15,2,FALSE),"")</f>
        <v/>
      </c>
      <c r="N87" s="110"/>
      <c r="O87" s="81" t="str">
        <f>IF($K87="","",VLOOKUP($K87,dropdown!$P$14:$Q$18,2,FALSE))</f>
        <v/>
      </c>
      <c r="P87" s="110"/>
      <c r="Q87" s="81" t="str">
        <f t="shared" si="3"/>
        <v/>
      </c>
      <c r="R87" s="111"/>
      <c r="Z87" s="31">
        <v>4.7225000000000001</v>
      </c>
    </row>
    <row r="88" spans="9:26" x14ac:dyDescent="0.2">
      <c r="I88" s="107" t="str">
        <f t="shared" si="6"/>
        <v/>
      </c>
      <c r="J88" s="109"/>
      <c r="K88" s="109"/>
      <c r="L88" s="108"/>
      <c r="M88" s="199" t="str">
        <f>IF(Fuel_Veh[[#This Row],[Month]]&lt;&gt;"",VLOOKUP(Fuel_Veh[[#This Row],[Month]],dropdown!$S$4:$T$15,2,FALSE),"")</f>
        <v/>
      </c>
      <c r="N88" s="110"/>
      <c r="O88" s="81" t="str">
        <f>IF($K88="","",VLOOKUP($K88,dropdown!$P$14:$Q$18,2,FALSE))</f>
        <v/>
      </c>
      <c r="P88" s="110"/>
      <c r="Q88" s="81" t="str">
        <f t="shared" si="3"/>
        <v/>
      </c>
      <c r="R88" s="111"/>
      <c r="Z88" s="31">
        <v>6.7014285714285702</v>
      </c>
    </row>
    <row r="89" spans="9:26" x14ac:dyDescent="0.2">
      <c r="I89" s="107" t="str">
        <f t="shared" si="6"/>
        <v/>
      </c>
      <c r="J89" s="109"/>
      <c r="K89" s="109"/>
      <c r="L89" s="108"/>
      <c r="M89" s="199" t="str">
        <f>IF(Fuel_Veh[[#This Row],[Month]]&lt;&gt;"",VLOOKUP(Fuel_Veh[[#This Row],[Month]],dropdown!$S$4:$T$15,2,FALSE),"")</f>
        <v/>
      </c>
      <c r="N89" s="110"/>
      <c r="O89" s="81" t="str">
        <f>IF($K89="","",VLOOKUP($K89,dropdown!$P$14:$Q$18,2,FALSE))</f>
        <v/>
      </c>
      <c r="P89" s="110"/>
      <c r="Q89" s="81" t="str">
        <f t="shared" si="3"/>
        <v/>
      </c>
      <c r="R89" s="111"/>
      <c r="Z89" s="31">
        <v>6.7428571428571402</v>
      </c>
    </row>
    <row r="90" spans="9:26" x14ac:dyDescent="0.2">
      <c r="I90" s="107" t="str">
        <f t="shared" si="6"/>
        <v/>
      </c>
      <c r="J90" s="109"/>
      <c r="K90" s="109"/>
      <c r="L90" s="108"/>
      <c r="M90" s="199" t="str">
        <f>IF(Fuel_Veh[[#This Row],[Month]]&lt;&gt;"",VLOOKUP(Fuel_Veh[[#This Row],[Month]],dropdown!$S$4:$T$15,2,FALSE),"")</f>
        <v/>
      </c>
      <c r="N90" s="110"/>
      <c r="O90" s="81" t="str">
        <f>IF($K90="","",VLOOKUP($K90,dropdown!$P$14:$Q$18,2,FALSE))</f>
        <v/>
      </c>
      <c r="P90" s="110"/>
      <c r="Q90" s="81" t="str">
        <f t="shared" si="3"/>
        <v/>
      </c>
      <c r="R90" s="111"/>
      <c r="Z90" s="31">
        <v>7.2814285714285703</v>
      </c>
    </row>
    <row r="91" spans="9:26" x14ac:dyDescent="0.2">
      <c r="I91" s="107" t="str">
        <f t="shared" si="6"/>
        <v/>
      </c>
      <c r="J91" s="109"/>
      <c r="K91" s="109"/>
      <c r="L91" s="108"/>
      <c r="M91" s="199" t="str">
        <f>IF(Fuel_Veh[[#This Row],[Month]]&lt;&gt;"",VLOOKUP(Fuel_Veh[[#This Row],[Month]],dropdown!$S$4:$T$15,2,FALSE),"")</f>
        <v/>
      </c>
      <c r="N91" s="110"/>
      <c r="O91" s="81" t="str">
        <f>IF($K91="","",VLOOKUP($K91,dropdown!$P$14:$Q$18,2,FALSE))</f>
        <v/>
      </c>
      <c r="P91" s="110"/>
      <c r="Q91" s="81" t="str">
        <f t="shared" si="3"/>
        <v/>
      </c>
      <c r="R91" s="111"/>
      <c r="Z91" s="31">
        <v>1.02</v>
      </c>
    </row>
    <row r="92" spans="9:26" x14ac:dyDescent="0.2">
      <c r="I92" s="107" t="str">
        <f t="shared" si="6"/>
        <v/>
      </c>
      <c r="J92" s="109"/>
      <c r="K92" s="109"/>
      <c r="L92" s="108"/>
      <c r="M92" s="199" t="str">
        <f>IF(Fuel_Veh[[#This Row],[Month]]&lt;&gt;"",VLOOKUP(Fuel_Veh[[#This Row],[Month]],dropdown!$S$4:$T$15,2,FALSE),"")</f>
        <v/>
      </c>
      <c r="N92" s="110"/>
      <c r="O92" s="81" t="str">
        <f>IF($K92="","",VLOOKUP($K92,dropdown!$P$14:$Q$18,2,FALSE))</f>
        <v/>
      </c>
      <c r="P92" s="110"/>
      <c r="Q92" s="81" t="str">
        <f t="shared" si="3"/>
        <v/>
      </c>
      <c r="R92" s="111"/>
      <c r="Z92" s="31">
        <v>2.3149999999999999</v>
      </c>
    </row>
    <row r="93" spans="9:26" x14ac:dyDescent="0.2">
      <c r="I93" s="107" t="str">
        <f t="shared" si="6"/>
        <v/>
      </c>
      <c r="J93" s="109"/>
      <c r="K93" s="109"/>
      <c r="L93" s="108"/>
      <c r="M93" s="199" t="str">
        <f>IF(Fuel_Veh[[#This Row],[Month]]&lt;&gt;"",VLOOKUP(Fuel_Veh[[#This Row],[Month]],dropdown!$S$4:$T$15,2,FALSE),"")</f>
        <v/>
      </c>
      <c r="N93" s="110"/>
      <c r="O93" s="81" t="str">
        <f>IF($K93="","",VLOOKUP($K93,dropdown!$P$14:$Q$18,2,FALSE))</f>
        <v/>
      </c>
      <c r="P93" s="110"/>
      <c r="Q93" s="81" t="str">
        <f t="shared" si="3"/>
        <v/>
      </c>
      <c r="R93" s="111"/>
      <c r="Z93" s="31">
        <v>1.02</v>
      </c>
    </row>
    <row r="94" spans="9:26" x14ac:dyDescent="0.2">
      <c r="I94" s="107" t="str">
        <f t="shared" si="6"/>
        <v/>
      </c>
      <c r="J94" s="109"/>
      <c r="K94" s="109"/>
      <c r="L94" s="108"/>
      <c r="M94" s="199" t="str">
        <f>IF(Fuel_Veh[[#This Row],[Month]]&lt;&gt;"",VLOOKUP(Fuel_Veh[[#This Row],[Month]],dropdown!$S$4:$T$15,2,FALSE),"")</f>
        <v/>
      </c>
      <c r="N94" s="110"/>
      <c r="O94" s="81" t="str">
        <f>IF($K94="","",VLOOKUP($K94,dropdown!$P$14:$Q$18,2,FALSE))</f>
        <v/>
      </c>
      <c r="P94" s="110"/>
      <c r="Q94" s="81" t="str">
        <f t="shared" si="3"/>
        <v/>
      </c>
      <c r="R94" s="111"/>
      <c r="Z94" s="31">
        <v>5.2125000000000004</v>
      </c>
    </row>
    <row r="95" spans="9:26" x14ac:dyDescent="0.2">
      <c r="I95" s="107" t="str">
        <f t="shared" si="6"/>
        <v/>
      </c>
      <c r="J95" s="109"/>
      <c r="K95" s="109"/>
      <c r="L95" s="108"/>
      <c r="M95" s="199" t="str">
        <f>IF(Fuel_Veh[[#This Row],[Month]]&lt;&gt;"",VLOOKUP(Fuel_Veh[[#This Row],[Month]],dropdown!$S$4:$T$15,2,FALSE),"")</f>
        <v/>
      </c>
      <c r="N95" s="110"/>
      <c r="O95" s="81" t="str">
        <f>IF($K95="","",VLOOKUP($K95,dropdown!$P$14:$Q$18,2,FALSE))</f>
        <v/>
      </c>
      <c r="P95" s="110"/>
      <c r="Q95" s="81" t="str">
        <f t="shared" si="3"/>
        <v/>
      </c>
      <c r="R95" s="111"/>
      <c r="Z95" s="31">
        <v>4.7225000000000001</v>
      </c>
    </row>
    <row r="96" spans="9:26" x14ac:dyDescent="0.2">
      <c r="I96" s="107" t="str">
        <f t="shared" si="6"/>
        <v/>
      </c>
      <c r="J96" s="109"/>
      <c r="K96" s="109"/>
      <c r="L96" s="108"/>
      <c r="M96" s="199" t="str">
        <f>IF(Fuel_Veh[[#This Row],[Month]]&lt;&gt;"",VLOOKUP(Fuel_Veh[[#This Row],[Month]],dropdown!$S$4:$T$15,2,FALSE),"")</f>
        <v/>
      </c>
      <c r="N96" s="110"/>
      <c r="O96" s="81" t="str">
        <f>IF($K96="","",VLOOKUP($K96,dropdown!$P$14:$Q$18,2,FALSE))</f>
        <v/>
      </c>
      <c r="P96" s="110"/>
      <c r="Q96" s="81" t="str">
        <f t="shared" si="3"/>
        <v/>
      </c>
      <c r="R96" s="111"/>
      <c r="Z96" s="31">
        <v>6.7014285714285702</v>
      </c>
    </row>
    <row r="97" spans="9:26" x14ac:dyDescent="0.2">
      <c r="I97" s="107" t="str">
        <f t="shared" si="6"/>
        <v/>
      </c>
      <c r="J97" s="109"/>
      <c r="K97" s="109"/>
      <c r="L97" s="108"/>
      <c r="M97" s="199" t="str">
        <f>IF(Fuel_Veh[[#This Row],[Month]]&lt;&gt;"",VLOOKUP(Fuel_Veh[[#This Row],[Month]],dropdown!$S$4:$T$15,2,FALSE),"")</f>
        <v/>
      </c>
      <c r="N97" s="110"/>
      <c r="O97" s="81" t="str">
        <f>IF($K97="","",VLOOKUP($K97,dropdown!$P$14:$Q$18,2,FALSE))</f>
        <v/>
      </c>
      <c r="P97" s="110"/>
      <c r="Q97" s="81" t="str">
        <f t="shared" si="3"/>
        <v/>
      </c>
      <c r="R97" s="111"/>
      <c r="Z97" s="31">
        <v>6.7428571428571402</v>
      </c>
    </row>
    <row r="98" spans="9:26" x14ac:dyDescent="0.2">
      <c r="I98" s="107" t="str">
        <f t="shared" si="6"/>
        <v/>
      </c>
      <c r="J98" s="109"/>
      <c r="K98" s="109"/>
      <c r="L98" s="108"/>
      <c r="M98" s="199" t="str">
        <f>IF(Fuel_Veh[[#This Row],[Month]]&lt;&gt;"",VLOOKUP(Fuel_Veh[[#This Row],[Month]],dropdown!$S$4:$T$15,2,FALSE),"")</f>
        <v/>
      </c>
      <c r="N98" s="110"/>
      <c r="O98" s="81" t="str">
        <f>IF($K98="","",VLOOKUP($K98,dropdown!$P$14:$Q$18,2,FALSE))</f>
        <v/>
      </c>
      <c r="P98" s="110"/>
      <c r="Q98" s="81" t="str">
        <f t="shared" si="3"/>
        <v/>
      </c>
      <c r="R98" s="111"/>
      <c r="Z98" s="31">
        <v>7.2814285714285703</v>
      </c>
    </row>
    <row r="99" spans="9:26" x14ac:dyDescent="0.2">
      <c r="I99" s="107" t="str">
        <f t="shared" si="6"/>
        <v/>
      </c>
      <c r="J99" s="109"/>
      <c r="K99" s="109"/>
      <c r="L99" s="108"/>
      <c r="M99" s="199" t="str">
        <f>IF(Fuel_Veh[[#This Row],[Month]]&lt;&gt;"",VLOOKUP(Fuel_Veh[[#This Row],[Month]],dropdown!$S$4:$T$15,2,FALSE),"")</f>
        <v/>
      </c>
      <c r="N99" s="110"/>
      <c r="O99" s="81" t="str">
        <f>IF($K99="","",VLOOKUP($K99,dropdown!$P$14:$Q$18,2,FALSE))</f>
        <v/>
      </c>
      <c r="P99" s="110"/>
      <c r="Q99" s="81" t="str">
        <f t="shared" si="3"/>
        <v/>
      </c>
      <c r="R99" s="111"/>
      <c r="Z99" s="31">
        <v>1.02</v>
      </c>
    </row>
    <row r="100" spans="9:26" x14ac:dyDescent="0.2">
      <c r="I100" s="107" t="str">
        <f t="shared" si="6"/>
        <v/>
      </c>
      <c r="J100" s="109"/>
      <c r="K100" s="109"/>
      <c r="L100" s="108"/>
      <c r="M100" s="199" t="str">
        <f>IF(Fuel_Veh[[#This Row],[Month]]&lt;&gt;"",VLOOKUP(Fuel_Veh[[#This Row],[Month]],dropdown!$S$4:$T$15,2,FALSE),"")</f>
        <v/>
      </c>
      <c r="N100" s="110"/>
      <c r="O100" s="81" t="str">
        <f>IF($K100="","",VLOOKUP($K100,dropdown!$P$14:$Q$18,2,FALSE))</f>
        <v/>
      </c>
      <c r="P100" s="110"/>
      <c r="Q100" s="81" t="str">
        <f t="shared" si="3"/>
        <v/>
      </c>
      <c r="R100" s="111"/>
      <c r="Z100" s="31">
        <v>2.3149999999999999</v>
      </c>
    </row>
    <row r="101" spans="9:26" x14ac:dyDescent="0.2">
      <c r="I101" s="107" t="str">
        <f t="shared" si="6"/>
        <v/>
      </c>
      <c r="J101" s="109"/>
      <c r="K101" s="109"/>
      <c r="L101" s="108"/>
      <c r="M101" s="199" t="str">
        <f>IF(Fuel_Veh[[#This Row],[Month]]&lt;&gt;"",VLOOKUP(Fuel_Veh[[#This Row],[Month]],dropdown!$S$4:$T$15,2,FALSE),"")</f>
        <v/>
      </c>
      <c r="N101" s="110"/>
      <c r="O101" s="81" t="str">
        <f>IF($K101="","",VLOOKUP($K101,dropdown!$P$14:$Q$18,2,FALSE))</f>
        <v/>
      </c>
      <c r="P101" s="110"/>
      <c r="Q101" s="81" t="str">
        <f t="shared" si="3"/>
        <v/>
      </c>
      <c r="R101" s="111"/>
      <c r="Z101" s="31">
        <v>1.02</v>
      </c>
    </row>
    <row r="102" spans="9:26" x14ac:dyDescent="0.2">
      <c r="I102" s="107" t="str">
        <f t="shared" si="6"/>
        <v/>
      </c>
      <c r="J102" s="109"/>
      <c r="K102" s="109"/>
      <c r="L102" s="108"/>
      <c r="M102" s="199" t="str">
        <f>IF(Fuel_Veh[[#This Row],[Month]]&lt;&gt;"",VLOOKUP(Fuel_Veh[[#This Row],[Month]],dropdown!$S$4:$T$15,2,FALSE),"")</f>
        <v/>
      </c>
      <c r="N102" s="110"/>
      <c r="O102" s="81" t="str">
        <f>IF($K102="","",VLOOKUP($K102,dropdown!$P$14:$Q$18,2,FALSE))</f>
        <v/>
      </c>
      <c r="P102" s="110"/>
      <c r="Q102" s="81" t="str">
        <f t="shared" si="3"/>
        <v/>
      </c>
      <c r="R102" s="111"/>
      <c r="Z102" s="31">
        <v>5.2125000000000004</v>
      </c>
    </row>
    <row r="103" spans="9:26" x14ac:dyDescent="0.2">
      <c r="I103" s="107" t="str">
        <f t="shared" si="6"/>
        <v/>
      </c>
      <c r="J103" s="109"/>
      <c r="K103" s="109"/>
      <c r="L103" s="108"/>
      <c r="M103" s="199" t="str">
        <f>IF(Fuel_Veh[[#This Row],[Month]]&lt;&gt;"",VLOOKUP(Fuel_Veh[[#This Row],[Month]],dropdown!$S$4:$T$15,2,FALSE),"")</f>
        <v/>
      </c>
      <c r="N103" s="110"/>
      <c r="O103" s="81" t="str">
        <f>IF($K103="","",VLOOKUP($K103,dropdown!$P$14:$Q$18,2,FALSE))</f>
        <v/>
      </c>
      <c r="P103" s="110"/>
      <c r="Q103" s="81" t="str">
        <f t="shared" si="3"/>
        <v/>
      </c>
      <c r="R103" s="116"/>
    </row>
    <row r="104" spans="9:26" x14ac:dyDescent="0.2">
      <c r="I104" s="107" t="str">
        <f t="shared" si="6"/>
        <v/>
      </c>
      <c r="J104" s="109"/>
      <c r="K104" s="109"/>
      <c r="L104" s="108"/>
      <c r="M104" s="199" t="str">
        <f>IF(Fuel_Veh[[#This Row],[Month]]&lt;&gt;"",VLOOKUP(Fuel_Veh[[#This Row],[Month]],dropdown!$S$4:$T$15,2,FALSE),"")</f>
        <v/>
      </c>
      <c r="N104" s="110"/>
      <c r="O104" s="81" t="str">
        <f>IF($K104="","",VLOOKUP($K104,dropdown!$P$14:$Q$18,2,FALSE))</f>
        <v/>
      </c>
      <c r="P104" s="110"/>
      <c r="Q104" s="81" t="str">
        <f t="shared" si="3"/>
        <v/>
      </c>
      <c r="R104" s="116"/>
    </row>
    <row r="105" spans="9:26" x14ac:dyDescent="0.2">
      <c r="I105" s="107" t="str">
        <f t="shared" si="6"/>
        <v/>
      </c>
      <c r="J105" s="109"/>
      <c r="K105" s="109"/>
      <c r="L105" s="108"/>
      <c r="M105" s="199" t="str">
        <f>IF(Fuel_Veh[[#This Row],[Month]]&lt;&gt;"",VLOOKUP(Fuel_Veh[[#This Row],[Month]],dropdown!$S$4:$T$15,2,FALSE),"")</f>
        <v/>
      </c>
      <c r="N105" s="110"/>
      <c r="O105" s="81" t="str">
        <f>IF($K105="","",VLOOKUP($K105,dropdown!$P$14:$Q$18,2,FALSE))</f>
        <v/>
      </c>
      <c r="P105" s="110"/>
      <c r="Q105" s="81" t="str">
        <f t="shared" si="3"/>
        <v/>
      </c>
      <c r="R105" s="116"/>
    </row>
    <row r="106" spans="9:26" x14ac:dyDescent="0.2">
      <c r="I106" s="107" t="str">
        <f t="shared" si="6"/>
        <v/>
      </c>
      <c r="J106" s="109"/>
      <c r="K106" s="109"/>
      <c r="L106" s="108"/>
      <c r="M106" s="199" t="str">
        <f>IF(Fuel_Veh[[#This Row],[Month]]&lt;&gt;"",VLOOKUP(Fuel_Veh[[#This Row],[Month]],dropdown!$S$4:$T$15,2,FALSE),"")</f>
        <v/>
      </c>
      <c r="N106" s="110"/>
      <c r="O106" s="81" t="str">
        <f>IF($K106="","",VLOOKUP($K106,dropdown!$P$14:$Q$18,2,FALSE))</f>
        <v/>
      </c>
      <c r="P106" s="110"/>
      <c r="Q106" s="81" t="str">
        <f t="shared" si="3"/>
        <v/>
      </c>
      <c r="R106" s="116"/>
    </row>
    <row r="108" spans="9:26" x14ac:dyDescent="0.2">
      <c r="I108" s="117" t="s">
        <v>184</v>
      </c>
    </row>
  </sheetData>
  <sheetProtection algorithmName="SHA-512" hashValue="Ov+FBFuXm/XVdEzJj5xzmjuYANCl43FZEZ1f8fDXwL/EBg2MP9aS5qdoTUE8Q9C2ugaEGu5YyGfjeXAWfdNgNw==" saltValue="wSadQNFl9HJHMTdybcKc2w==" spinCount="100000" sheet="1" objects="1" scenarios="1" selectLockedCells="1"/>
  <protectedRanges>
    <protectedRange sqref="J6:L106 N6:N106 P6:P106 R6:R106" name="Range1"/>
  </protectedRanges>
  <mergeCells count="2">
    <mergeCell ref="C6:G6"/>
    <mergeCell ref="C7:G7"/>
  </mergeCells>
  <conditionalFormatting sqref="K23:K30">
    <cfRule type="expression" dxfId="17" priority="11">
      <formula>$J23="BEV"</formula>
    </cfRule>
  </conditionalFormatting>
  <conditionalFormatting sqref="K31:K38">
    <cfRule type="expression" dxfId="16" priority="10">
      <formula>$J31="BEV"</formula>
    </cfRule>
  </conditionalFormatting>
  <conditionalFormatting sqref="K39:K46">
    <cfRule type="expression" dxfId="15" priority="9">
      <formula>$J39="BEV"</formula>
    </cfRule>
  </conditionalFormatting>
  <conditionalFormatting sqref="K47:K54">
    <cfRule type="expression" dxfId="14" priority="8">
      <formula>$J47="BEV"</formula>
    </cfRule>
  </conditionalFormatting>
  <conditionalFormatting sqref="K55:K62">
    <cfRule type="expression" dxfId="13" priority="7">
      <formula>$J55="BEV"</formula>
    </cfRule>
  </conditionalFormatting>
  <conditionalFormatting sqref="K63:K70">
    <cfRule type="expression" dxfId="12" priority="6">
      <formula>$J63="BEV"</formula>
    </cfRule>
  </conditionalFormatting>
  <conditionalFormatting sqref="K71:K78">
    <cfRule type="expression" dxfId="11" priority="5">
      <formula>$J71="BEV"</formula>
    </cfRule>
  </conditionalFormatting>
  <conditionalFormatting sqref="K79:K86">
    <cfRule type="expression" dxfId="10" priority="4">
      <formula>$J79="BEV"</formula>
    </cfRule>
  </conditionalFormatting>
  <conditionalFormatting sqref="K87:K94">
    <cfRule type="expression" dxfId="9" priority="3">
      <formula>$J87="BEV"</formula>
    </cfRule>
  </conditionalFormatting>
  <conditionalFormatting sqref="K95:K102">
    <cfRule type="expression" dxfId="8" priority="1">
      <formula>$J95="BEV"</formula>
    </cfRule>
  </conditionalFormatting>
  <conditionalFormatting sqref="K7:Q14 K103:Q106 M15:Q22 L23:Q102">
    <cfRule type="expression" dxfId="7" priority="13">
      <formula>$J7="BEV"</formula>
    </cfRule>
  </conditionalFormatting>
  <conditionalFormatting sqref="K15:L22">
    <cfRule type="expression" dxfId="6" priority="12">
      <formula>$J15="BEV"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dropdown!$AK$4:$AK$12</xm:f>
          </x14:formula1>
          <xm:sqref>J7:J106</xm:sqref>
        </x14:dataValidation>
        <x14:dataValidation type="list" allowBlank="1" showInputMessage="1" showErrorMessage="1" xr:uid="{00000000-0002-0000-0300-000001000000}">
          <x14:formula1>
            <xm:f>dropdown!$P$15:$P$16</xm:f>
          </x14:formula1>
          <xm:sqref>K7:K106</xm:sqref>
        </x14:dataValidation>
        <x14:dataValidation type="list" allowBlank="1" showInputMessage="1" showErrorMessage="1" xr:uid="{00000000-0002-0000-0300-000002000000}">
          <x14:formula1>
            <xm:f>dropdown!$S$4:$S$15</xm:f>
          </x14:formula1>
          <xm:sqref>L7:L106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7030A0"/>
  </sheetPr>
  <dimension ref="B2:AE109"/>
  <sheetViews>
    <sheetView zoomScale="94" zoomScaleNormal="94" workbookViewId="0">
      <selection activeCell="C6" sqref="C6:G6"/>
    </sheetView>
  </sheetViews>
  <sheetFormatPr baseColWidth="10" defaultColWidth="10.83203125" defaultRowHeight="15" x14ac:dyDescent="0.2"/>
  <cols>
    <col min="1" max="1" width="2.6640625" style="35" customWidth="1"/>
    <col min="2" max="2" width="25.33203125" style="35" customWidth="1"/>
    <col min="3" max="3" width="15" style="35" customWidth="1"/>
    <col min="4" max="7" width="9.5" style="35" customWidth="1"/>
    <col min="8" max="8" width="3" style="35" customWidth="1"/>
    <col min="9" max="9" width="6.1640625" style="34" customWidth="1"/>
    <col min="10" max="10" width="22.83203125" style="31" customWidth="1"/>
    <col min="11" max="11" width="19.33203125" style="31" customWidth="1"/>
    <col min="12" max="12" width="12.5" style="31" customWidth="1"/>
    <col min="13" max="13" width="17.6640625" style="31" customWidth="1"/>
    <col min="14" max="14" width="17.33203125" style="31" customWidth="1"/>
    <col min="15" max="15" width="12.6640625" style="237" customWidth="1"/>
    <col min="16" max="16" width="13.1640625" style="40" customWidth="1"/>
    <col min="17" max="17" width="17.5" style="40" customWidth="1"/>
    <col min="18" max="18" width="14.1640625" style="83" customWidth="1"/>
    <col min="19" max="19" width="16.33203125" style="238" customWidth="1"/>
    <col min="20" max="20" width="13.33203125" style="83" customWidth="1"/>
    <col min="21" max="21" width="15" style="83" customWidth="1"/>
    <col min="22" max="22" width="15.1640625" style="83" customWidth="1"/>
    <col min="23" max="23" width="27.5" style="35" customWidth="1"/>
    <col min="24" max="24" width="4.6640625" style="35" hidden="1" customWidth="1"/>
    <col min="25" max="25" width="23" style="35" customWidth="1"/>
    <col min="26" max="26" width="26" style="35" customWidth="1"/>
    <col min="27" max="27" width="4.6640625" style="35" customWidth="1"/>
    <col min="28" max="28" width="41.5" style="239" customWidth="1"/>
    <col min="29" max="29" width="47.33203125" style="35" customWidth="1"/>
    <col min="30" max="30" width="42.6640625" style="35" customWidth="1"/>
    <col min="31" max="31" width="10.83203125" style="240" hidden="1" customWidth="1"/>
    <col min="32" max="16384" width="10.83203125" style="35"/>
  </cols>
  <sheetData>
    <row r="2" spans="2:31" ht="14" x14ac:dyDescent="0.2">
      <c r="B2" s="241" t="s">
        <v>30</v>
      </c>
      <c r="C2" s="67"/>
      <c r="D2" s="67"/>
      <c r="E2" s="67"/>
      <c r="F2" s="67"/>
      <c r="G2" s="68"/>
      <c r="I2" s="247" t="s">
        <v>207</v>
      </c>
      <c r="J2" s="248"/>
      <c r="K2" s="248"/>
      <c r="L2" s="248"/>
      <c r="M2" s="248"/>
      <c r="N2" s="248"/>
      <c r="O2" s="249"/>
      <c r="P2" s="250"/>
      <c r="Q2" s="250"/>
      <c r="R2" s="250"/>
      <c r="S2" s="250"/>
      <c r="T2" s="250"/>
      <c r="U2" s="250"/>
      <c r="V2" s="282"/>
    </row>
    <row r="3" spans="2:31" ht="13.5" customHeight="1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251"/>
      <c r="J3" s="252"/>
      <c r="K3" s="252"/>
      <c r="L3" s="252"/>
      <c r="M3" s="252"/>
      <c r="N3" s="252"/>
      <c r="O3" s="253"/>
      <c r="P3" s="254"/>
      <c r="Q3" s="283"/>
      <c r="R3" s="284"/>
      <c r="S3" s="252"/>
      <c r="T3" s="285"/>
      <c r="U3" s="285"/>
      <c r="V3" s="286"/>
    </row>
    <row r="4" spans="2:31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2025</v>
      </c>
      <c r="E4" s="74"/>
      <c r="F4" s="74" t="s">
        <v>208</v>
      </c>
      <c r="G4" s="76"/>
      <c r="I4" s="255"/>
      <c r="J4" s="256"/>
      <c r="K4" s="256"/>
      <c r="L4" s="256"/>
      <c r="M4" s="256"/>
      <c r="N4" s="256"/>
      <c r="O4" s="257"/>
      <c r="P4" s="258"/>
      <c r="Q4" s="287"/>
      <c r="R4" s="288"/>
      <c r="S4" s="256"/>
      <c r="T4" s="289"/>
      <c r="U4" s="289"/>
      <c r="V4" s="290"/>
    </row>
    <row r="5" spans="2:31" ht="14" x14ac:dyDescent="0.2">
      <c r="B5" s="46"/>
      <c r="D5" s="46"/>
      <c r="I5" s="259"/>
      <c r="J5" s="260"/>
      <c r="K5" s="260"/>
      <c r="L5" s="260"/>
      <c r="M5" s="260"/>
      <c r="N5" s="260"/>
      <c r="O5" s="261"/>
      <c r="P5" s="262"/>
      <c r="Q5" s="291"/>
      <c r="R5" s="291"/>
      <c r="S5" s="262"/>
      <c r="T5" s="262"/>
      <c r="U5" s="262"/>
      <c r="V5" s="292"/>
    </row>
    <row r="6" spans="2:31" ht="14" x14ac:dyDescent="0.2">
      <c r="B6" s="77" t="s">
        <v>173</v>
      </c>
      <c r="C6" s="445" t="s">
        <v>209</v>
      </c>
      <c r="D6" s="446"/>
      <c r="E6" s="446"/>
      <c r="F6" s="446"/>
      <c r="G6" s="447"/>
      <c r="I6" s="256"/>
      <c r="J6" s="256"/>
      <c r="K6" s="256"/>
      <c r="L6" s="256"/>
      <c r="M6" s="256"/>
      <c r="N6" s="256"/>
      <c r="O6" s="256"/>
      <c r="P6" s="256"/>
      <c r="Q6" s="256"/>
      <c r="R6" s="256"/>
      <c r="S6" s="256"/>
      <c r="T6" s="256"/>
      <c r="U6" s="256"/>
      <c r="V6" s="256"/>
    </row>
    <row r="7" spans="2:31" ht="15" customHeight="1" x14ac:dyDescent="0.2">
      <c r="B7" s="77" t="s">
        <v>176</v>
      </c>
      <c r="C7" s="448">
        <v>45911</v>
      </c>
      <c r="D7" s="446"/>
      <c r="E7" s="446"/>
      <c r="F7" s="446"/>
      <c r="G7" s="447"/>
      <c r="I7" s="263" t="s">
        <v>155</v>
      </c>
      <c r="J7" s="264"/>
      <c r="K7" s="265"/>
      <c r="L7" s="265"/>
      <c r="M7" s="265"/>
      <c r="N7" s="265"/>
      <c r="O7" s="449" t="s">
        <v>210</v>
      </c>
      <c r="P7" s="449"/>
      <c r="Q7" s="450" t="s">
        <v>211</v>
      </c>
      <c r="R7" s="451"/>
      <c r="S7" s="452" t="s">
        <v>86</v>
      </c>
      <c r="T7" s="453"/>
      <c r="U7" s="453"/>
      <c r="V7" s="293"/>
      <c r="W7" s="265"/>
      <c r="X7" s="240"/>
      <c r="AB7" s="35"/>
      <c r="AE7" s="35"/>
    </row>
    <row r="8" spans="2:31" ht="25.5" customHeight="1" x14ac:dyDescent="0.2">
      <c r="I8" s="267" t="s">
        <v>175</v>
      </c>
      <c r="J8" s="267" t="s">
        <v>72</v>
      </c>
      <c r="K8" s="268" t="s">
        <v>75</v>
      </c>
      <c r="L8" s="268" t="s">
        <v>78</v>
      </c>
      <c r="M8" s="268" t="s">
        <v>81</v>
      </c>
      <c r="N8" s="268" t="s">
        <v>84</v>
      </c>
      <c r="O8" s="269" t="s">
        <v>212</v>
      </c>
      <c r="P8" s="266" t="s">
        <v>90</v>
      </c>
      <c r="Q8" s="294" t="s">
        <v>92</v>
      </c>
      <c r="R8" s="294" t="s">
        <v>213</v>
      </c>
      <c r="S8" s="294" t="s">
        <v>96</v>
      </c>
      <c r="T8" s="295" t="s">
        <v>214</v>
      </c>
      <c r="U8" s="296" t="s">
        <v>100</v>
      </c>
      <c r="V8" s="293" t="s">
        <v>44</v>
      </c>
      <c r="W8" s="265" t="s">
        <v>55</v>
      </c>
      <c r="X8" s="240"/>
      <c r="AB8" s="35"/>
      <c r="AE8" s="35"/>
    </row>
    <row r="9" spans="2:31" ht="14" x14ac:dyDescent="0.2">
      <c r="B9" s="78" t="s">
        <v>71</v>
      </c>
      <c r="C9" s="78"/>
      <c r="D9" s="78"/>
      <c r="E9" s="78"/>
      <c r="F9" s="78"/>
      <c r="G9" s="78"/>
      <c r="I9" s="270">
        <f>IF($K9="","",1)</f>
        <v>1</v>
      </c>
      <c r="J9" s="271" t="s">
        <v>215</v>
      </c>
      <c r="K9" s="272" t="s">
        <v>216</v>
      </c>
      <c r="L9" s="273">
        <v>2</v>
      </c>
      <c r="M9" s="274" t="s">
        <v>217</v>
      </c>
      <c r="N9" s="275" t="s">
        <v>218</v>
      </c>
      <c r="O9" s="276"/>
      <c r="P9" s="277"/>
      <c r="Q9" s="276" t="s">
        <v>89</v>
      </c>
      <c r="R9" s="297">
        <v>0.2</v>
      </c>
      <c r="S9" s="276"/>
      <c r="T9" s="297"/>
      <c r="U9" s="297"/>
      <c r="V9" s="298" t="str">
        <f>IFERROR(VLOOKUP($O9,dropdown!$S$4:$T$15,2,FALSE),IFERROR(VLOOKUP($Q9,dropdown!$S$4:$T$15,2,FALSE),IFERROR(VLOOKUP($S9,dropdown!$S$4:$T$15,2,FALSE),"")))</f>
        <v>Q1</v>
      </c>
      <c r="W9" s="273"/>
      <c r="X9" s="240"/>
      <c r="AB9" s="35"/>
      <c r="AE9" s="35"/>
    </row>
    <row r="10" spans="2:31" ht="14" x14ac:dyDescent="0.2">
      <c r="B10" s="242" t="str">
        <f>$Q$7</f>
        <v>In Operation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99" t="str">
        <f t="shared" ref="I10:I41" si="0">IF($K10="","",$I9+1)</f>
        <v/>
      </c>
      <c r="J10" s="278"/>
      <c r="K10" s="109"/>
      <c r="L10" s="279"/>
      <c r="M10" s="280"/>
      <c r="N10" s="281"/>
      <c r="O10" s="276"/>
      <c r="P10" s="277"/>
      <c r="Q10" s="276"/>
      <c r="R10" s="297"/>
      <c r="S10" s="276"/>
      <c r="T10" s="297"/>
      <c r="U10" s="297"/>
      <c r="V10" s="298" t="str">
        <f>IFERROR(VLOOKUP($O10,dropdown!$S$4:$T$15,2,FALSE),IFERROR(VLOOKUP($Q10,dropdown!$S$4:$T$15,2,FALSE),IFERROR(VLOOKUP($S10,dropdown!$S$4:$T$15,2,FALSE),"")))</f>
        <v/>
      </c>
      <c r="W10" s="279"/>
      <c r="X10" s="240"/>
      <c r="AB10" s="35"/>
      <c r="AE10" s="35"/>
    </row>
    <row r="11" spans="2:31" ht="14" x14ac:dyDescent="0.2">
      <c r="B11" s="82" t="s">
        <v>219</v>
      </c>
      <c r="C11" s="81" t="s">
        <v>220</v>
      </c>
      <c r="D11" s="243">
        <f>SUMIFS($L$9:$L$107,$N$9:$N$107,$B11,$V$9:$V$107,$D$10)</f>
        <v>0</v>
      </c>
      <c r="E11" s="243">
        <f>SUMIFS($L$9:$L$107,$N$9:$N$107,$B11,$V$9:$V$107,$E$10)</f>
        <v>0</v>
      </c>
      <c r="F11" s="243">
        <f>SUMIFS($L$9:$L$107,$N$9:$N$107,$B11,$V$9:$V$107,$F$10)</f>
        <v>0</v>
      </c>
      <c r="G11" s="243">
        <f>SUMIFS($L$9:$L$107,$N$9:$N$107,$B11,$V$9:$V$107,$G$10)</f>
        <v>0</v>
      </c>
      <c r="I11" s="199" t="str">
        <f t="shared" si="0"/>
        <v/>
      </c>
      <c r="J11" s="278"/>
      <c r="K11" s="109"/>
      <c r="L11" s="279"/>
      <c r="M11" s="280"/>
      <c r="N11" s="281"/>
      <c r="O11" s="276"/>
      <c r="P11" s="277"/>
      <c r="Q11" s="276"/>
      <c r="R11" s="297"/>
      <c r="S11" s="276"/>
      <c r="T11" s="297"/>
      <c r="U11" s="297"/>
      <c r="V11" s="298" t="str">
        <f>IFERROR(VLOOKUP($O11,dropdown!$S$4:$T$15,2,FALSE),IFERROR(VLOOKUP($Q11,dropdown!$S$4:$T$15,2,FALSE),IFERROR(VLOOKUP($S11,dropdown!$S$4:$T$15,2,FALSE),"")))</f>
        <v/>
      </c>
      <c r="W11" s="279"/>
      <c r="X11" s="240"/>
      <c r="AB11" s="35"/>
      <c r="AE11" s="35"/>
    </row>
    <row r="12" spans="2:31" ht="14" x14ac:dyDescent="0.2">
      <c r="B12" s="81" t="s">
        <v>211</v>
      </c>
      <c r="C12" s="81" t="s">
        <v>220</v>
      </c>
      <c r="D12" s="243">
        <f>SUMIFS($L$9:$L$107,$N$9:$N$107,$B12,$V$9:$V$107,$D$10)</f>
        <v>2</v>
      </c>
      <c r="E12" s="243">
        <f>SUMIFS($L$9:$L$107,$N$9:$N$107,$B12,$V$9:$V$107,$E$10)</f>
        <v>0</v>
      </c>
      <c r="F12" s="243">
        <f>SUMIFS($L$9:$L$107,$N$9:$N$107,$B12,$V$9:$V$107,$F$10)</f>
        <v>0</v>
      </c>
      <c r="G12" s="243">
        <f>SUMIFS($L$9:$L$107,$N$9:$N$107,$B12,$V$9:$V$107,$G$10)</f>
        <v>0</v>
      </c>
      <c r="I12" s="199" t="str">
        <f t="shared" si="0"/>
        <v/>
      </c>
      <c r="J12" s="278"/>
      <c r="K12" s="109"/>
      <c r="L12" s="279"/>
      <c r="M12" s="280"/>
      <c r="N12" s="281"/>
      <c r="O12" s="276"/>
      <c r="P12" s="277"/>
      <c r="Q12" s="276"/>
      <c r="R12" s="297"/>
      <c r="S12" s="276"/>
      <c r="T12" s="297"/>
      <c r="U12" s="297"/>
      <c r="V12" s="298" t="str">
        <f>IFERROR(VLOOKUP($O12,dropdown!$S$4:$T$15,2,FALSE),IFERROR(VLOOKUP($Q12,dropdown!$S$4:$T$15,2,FALSE),IFERROR(VLOOKUP($S12,dropdown!$S$4:$T$15,2,FALSE),"")))</f>
        <v/>
      </c>
      <c r="W12" s="279"/>
      <c r="X12" s="240"/>
      <c r="AB12" s="35"/>
      <c r="AE12" s="35"/>
    </row>
    <row r="13" spans="2:31" ht="14" x14ac:dyDescent="0.2">
      <c r="B13" s="81" t="s">
        <v>86</v>
      </c>
      <c r="C13" s="81" t="s">
        <v>220</v>
      </c>
      <c r="D13" s="243">
        <f>SUMIFS($L$9:$L$107,$N$9:$N$107,$B13,$V$9:$V$107,$D$10)</f>
        <v>0</v>
      </c>
      <c r="E13" s="243">
        <f>SUMIFS($L$9:$L$107,$N$9:$N$107,$B13,$V$9:$V$107,$E$10)</f>
        <v>0</v>
      </c>
      <c r="F13" s="243">
        <f>SUMIFS($L$9:$L$107,$N$9:$N$107,$B13,$V$9:$V$107,$F$10)</f>
        <v>0</v>
      </c>
      <c r="G13" s="243">
        <f>SUMIFS($L$9:$L$107,$N$9:$N$107,$B13,$V$9:$V$107,$G$10)</f>
        <v>0</v>
      </c>
      <c r="I13" s="199" t="str">
        <f t="shared" si="0"/>
        <v/>
      </c>
      <c r="J13" s="278"/>
      <c r="K13" s="109"/>
      <c r="L13" s="279"/>
      <c r="M13" s="280"/>
      <c r="N13" s="281"/>
      <c r="O13" s="276"/>
      <c r="P13" s="277"/>
      <c r="Q13" s="276"/>
      <c r="R13" s="297"/>
      <c r="S13" s="276"/>
      <c r="T13" s="297"/>
      <c r="U13" s="297"/>
      <c r="V13" s="298" t="str">
        <f>IFERROR(VLOOKUP($O13,dropdown!$S$4:$T$15,2,FALSE),IFERROR(VLOOKUP($Q13,dropdown!$S$4:$T$15,2,FALSE),IFERROR(VLOOKUP($S13,dropdown!$S$4:$T$15,2,FALSE),"")))</f>
        <v/>
      </c>
      <c r="W13" s="279"/>
      <c r="AB13" s="35"/>
      <c r="AE13" s="35"/>
    </row>
    <row r="14" spans="2:31" ht="17" customHeight="1" x14ac:dyDescent="0.2">
      <c r="D14" s="244" t="str">
        <f>IF(SUM(D$11:D$13)&gt;0,"x","")</f>
        <v>x</v>
      </c>
      <c r="E14" s="244" t="str">
        <f t="shared" ref="E14:G14" si="1">IF(SUM(E$11:E$13)&gt;0,"x","")</f>
        <v/>
      </c>
      <c r="F14" s="244" t="str">
        <f t="shared" si="1"/>
        <v/>
      </c>
      <c r="G14" s="244" t="str">
        <f t="shared" si="1"/>
        <v/>
      </c>
      <c r="I14" s="199" t="str">
        <f t="shared" si="0"/>
        <v/>
      </c>
      <c r="J14" s="278"/>
      <c r="K14" s="109"/>
      <c r="L14" s="279"/>
      <c r="M14" s="280"/>
      <c r="N14" s="281"/>
      <c r="O14" s="276"/>
      <c r="P14" s="277"/>
      <c r="Q14" s="276"/>
      <c r="R14" s="297"/>
      <c r="S14" s="276"/>
      <c r="T14" s="297"/>
      <c r="U14" s="297"/>
      <c r="V14" s="298" t="str">
        <f>IFERROR(VLOOKUP($O14,dropdown!$S$4:$T$15,2,FALSE),IFERROR(VLOOKUP($Q14,dropdown!$S$4:$T$15,2,FALSE),IFERROR(VLOOKUP($S14,dropdown!$S$4:$T$15,2,FALSE),"")))</f>
        <v/>
      </c>
      <c r="W14" s="279"/>
      <c r="AB14" s="35"/>
      <c r="AE14" s="35"/>
    </row>
    <row r="15" spans="2:31" ht="17" customHeight="1" x14ac:dyDescent="0.2">
      <c r="B15" s="123" t="s">
        <v>39</v>
      </c>
      <c r="I15" s="199" t="str">
        <f t="shared" si="0"/>
        <v/>
      </c>
      <c r="J15" s="278"/>
      <c r="K15" s="109"/>
      <c r="L15" s="279"/>
      <c r="M15" s="280"/>
      <c r="N15" s="281"/>
      <c r="O15" s="276"/>
      <c r="P15" s="277"/>
      <c r="Q15" s="276"/>
      <c r="R15" s="297"/>
      <c r="S15" s="276"/>
      <c r="T15" s="297"/>
      <c r="U15" s="297"/>
      <c r="V15" s="298" t="str">
        <f>IFERROR(VLOOKUP($O15,dropdown!$S$4:$T$15,2,FALSE),IFERROR(VLOOKUP($Q15,dropdown!$S$4:$T$15,2,FALSE),IFERROR(VLOOKUP($S15,dropdown!$S$4:$T$15,2,FALSE),"")))</f>
        <v/>
      </c>
      <c r="W15" s="279"/>
      <c r="AB15" s="35"/>
      <c r="AE15" s="35"/>
    </row>
    <row r="16" spans="2:31" ht="14" x14ac:dyDescent="0.2">
      <c r="B16" s="127" t="s">
        <v>181</v>
      </c>
      <c r="I16" s="199" t="str">
        <f t="shared" si="0"/>
        <v/>
      </c>
      <c r="J16" s="278"/>
      <c r="K16" s="109"/>
      <c r="L16" s="279"/>
      <c r="M16" s="280"/>
      <c r="N16" s="281"/>
      <c r="O16" s="276"/>
      <c r="P16" s="277"/>
      <c r="Q16" s="276"/>
      <c r="R16" s="297"/>
      <c r="S16" s="276"/>
      <c r="T16" s="297"/>
      <c r="U16" s="297"/>
      <c r="V16" s="298" t="str">
        <f>IFERROR(VLOOKUP($O16,dropdown!$S$4:$T$15,2,FALSE),IFERROR(VLOOKUP($Q16,dropdown!$S$4:$T$15,2,FALSE),IFERROR(VLOOKUP($S16,dropdown!$S$4:$T$15,2,FALSE),"")))</f>
        <v/>
      </c>
      <c r="W16" s="279"/>
      <c r="AB16" s="35"/>
      <c r="AE16" s="35"/>
    </row>
    <row r="17" spans="2:31" ht="15" customHeight="1" x14ac:dyDescent="0.2">
      <c r="B17" s="128" t="s">
        <v>182</v>
      </c>
      <c r="I17" s="199" t="str">
        <f t="shared" si="0"/>
        <v/>
      </c>
      <c r="J17" s="278"/>
      <c r="K17" s="109"/>
      <c r="L17" s="279"/>
      <c r="M17" s="280"/>
      <c r="N17" s="281"/>
      <c r="O17" s="276"/>
      <c r="P17" s="277"/>
      <c r="Q17" s="276"/>
      <c r="R17" s="297"/>
      <c r="S17" s="276"/>
      <c r="T17" s="297"/>
      <c r="U17" s="297"/>
      <c r="V17" s="298" t="str">
        <f>IFERROR(VLOOKUP($O17,dropdown!$S$4:$T$15,2,FALSE),IFERROR(VLOOKUP($Q17,dropdown!$S$4:$T$15,2,FALSE),IFERROR(VLOOKUP($S17,dropdown!$S$4:$T$15,2,FALSE),"")))</f>
        <v/>
      </c>
      <c r="W17" s="279"/>
      <c r="AB17" s="35"/>
      <c r="AE17" s="35"/>
    </row>
    <row r="18" spans="2:31" ht="15" customHeight="1" x14ac:dyDescent="0.2">
      <c r="B18" s="129" t="s">
        <v>183</v>
      </c>
      <c r="I18" s="199" t="str">
        <f t="shared" si="0"/>
        <v/>
      </c>
      <c r="J18" s="278"/>
      <c r="K18" s="109"/>
      <c r="L18" s="279"/>
      <c r="M18" s="280"/>
      <c r="N18" s="281"/>
      <c r="O18" s="276"/>
      <c r="P18" s="277"/>
      <c r="Q18" s="276"/>
      <c r="R18" s="297"/>
      <c r="S18" s="276"/>
      <c r="T18" s="297"/>
      <c r="U18" s="297"/>
      <c r="V18" s="298" t="str">
        <f>IFERROR(VLOOKUP($O18,dropdown!$S$4:$T$15,2,FALSE),IFERROR(VLOOKUP($Q18,dropdown!$S$4:$T$15,2,FALSE),IFERROR(VLOOKUP($S18,dropdown!$S$4:$T$15,2,FALSE),"")))</f>
        <v/>
      </c>
      <c r="W18" s="279"/>
      <c r="AB18" s="35"/>
      <c r="AE18" s="35"/>
    </row>
    <row r="19" spans="2:31" ht="27" x14ac:dyDescent="0.2">
      <c r="B19" s="245" t="s">
        <v>221</v>
      </c>
      <c r="I19" s="199" t="str">
        <f t="shared" si="0"/>
        <v/>
      </c>
      <c r="J19" s="278"/>
      <c r="K19" s="109"/>
      <c r="L19" s="279"/>
      <c r="M19" s="280"/>
      <c r="N19" s="281"/>
      <c r="O19" s="276"/>
      <c r="P19" s="277"/>
      <c r="Q19" s="276"/>
      <c r="R19" s="297"/>
      <c r="S19" s="276"/>
      <c r="T19" s="297"/>
      <c r="U19" s="297"/>
      <c r="V19" s="298" t="str">
        <f>IFERROR(VLOOKUP($O19,dropdown!$S$4:$T$15,2,FALSE),IFERROR(VLOOKUP($Q19,dropdown!$S$4:$T$15,2,FALSE),IFERROR(VLOOKUP($S19,dropdown!$S$4:$T$15,2,FALSE),"")))</f>
        <v/>
      </c>
      <c r="W19" s="279"/>
      <c r="AB19" s="35"/>
      <c r="AE19" s="35"/>
    </row>
    <row r="20" spans="2:31" ht="14" x14ac:dyDescent="0.2">
      <c r="I20" s="199" t="str">
        <f t="shared" si="0"/>
        <v/>
      </c>
      <c r="J20" s="278"/>
      <c r="K20" s="109"/>
      <c r="L20" s="279"/>
      <c r="M20" s="280"/>
      <c r="N20" s="281"/>
      <c r="O20" s="276"/>
      <c r="P20" s="277"/>
      <c r="Q20" s="276"/>
      <c r="R20" s="297"/>
      <c r="S20" s="276"/>
      <c r="T20" s="297"/>
      <c r="U20" s="297"/>
      <c r="V20" s="298" t="str">
        <f>IFERROR(VLOOKUP($O20,dropdown!$S$4:$T$15,2,FALSE),IFERROR(VLOOKUP($Q20,dropdown!$S$4:$T$15,2,FALSE),IFERROR(VLOOKUP($S20,dropdown!$S$4:$T$15,2,FALSE),"")))</f>
        <v/>
      </c>
      <c r="W20" s="279"/>
      <c r="AB20" s="35"/>
      <c r="AE20" s="35"/>
    </row>
    <row r="21" spans="2:31" ht="14" x14ac:dyDescent="0.2">
      <c r="B21" s="246" t="s">
        <v>222</v>
      </c>
      <c r="I21" s="199" t="str">
        <f t="shared" si="0"/>
        <v/>
      </c>
      <c r="J21" s="278"/>
      <c r="K21" s="109"/>
      <c r="L21" s="279"/>
      <c r="M21" s="280"/>
      <c r="N21" s="281"/>
      <c r="O21" s="276"/>
      <c r="P21" s="277"/>
      <c r="Q21" s="276"/>
      <c r="R21" s="297"/>
      <c r="S21" s="276"/>
      <c r="T21" s="297"/>
      <c r="U21" s="297"/>
      <c r="V21" s="298" t="str">
        <f>IFERROR(VLOOKUP($O21,dropdown!$S$4:$T$15,2,FALSE),IFERROR(VLOOKUP($Q21,dropdown!$S$4:$T$15,2,FALSE),IFERROR(VLOOKUP($S21,dropdown!$S$4:$T$15,2,FALSE),"")))</f>
        <v/>
      </c>
      <c r="W21" s="279"/>
      <c r="AB21" s="35"/>
      <c r="AE21" s="35"/>
    </row>
    <row r="22" spans="2:31" ht="14" x14ac:dyDescent="0.2">
      <c r="B22" s="454" t="s">
        <v>223</v>
      </c>
      <c r="C22" s="457" t="s">
        <v>5</v>
      </c>
      <c r="D22" s="458"/>
      <c r="E22" s="457" t="s">
        <v>224</v>
      </c>
      <c r="F22" s="459"/>
      <c r="G22" s="459"/>
      <c r="I22" s="199" t="str">
        <f t="shared" si="0"/>
        <v/>
      </c>
      <c r="J22" s="278"/>
      <c r="K22" s="109"/>
      <c r="L22" s="279"/>
      <c r="M22" s="280"/>
      <c r="N22" s="281"/>
      <c r="O22" s="276"/>
      <c r="P22" s="277"/>
      <c r="Q22" s="276"/>
      <c r="R22" s="297"/>
      <c r="S22" s="276"/>
      <c r="T22" s="297"/>
      <c r="U22" s="297"/>
      <c r="V22" s="298" t="str">
        <f>IFERROR(VLOOKUP($O22,dropdown!$S$4:$T$15,2,FALSE),IFERROR(VLOOKUP($Q22,dropdown!$S$4:$T$15,2,FALSE),IFERROR(VLOOKUP($S22,dropdown!$S$4:$T$15,2,FALSE),"")))</f>
        <v/>
      </c>
      <c r="W22" s="279"/>
      <c r="AB22" s="35"/>
      <c r="AE22" s="35"/>
    </row>
    <row r="23" spans="2:31" ht="14" x14ac:dyDescent="0.2">
      <c r="B23" s="455"/>
      <c r="C23" s="457"/>
      <c r="D23" s="458"/>
      <c r="E23" s="457"/>
      <c r="F23" s="459"/>
      <c r="G23" s="459"/>
      <c r="I23" s="199" t="str">
        <f t="shared" si="0"/>
        <v/>
      </c>
      <c r="J23" s="278"/>
      <c r="K23" s="109"/>
      <c r="L23" s="279"/>
      <c r="M23" s="280"/>
      <c r="N23" s="281"/>
      <c r="O23" s="276"/>
      <c r="P23" s="277"/>
      <c r="Q23" s="276"/>
      <c r="R23" s="297"/>
      <c r="S23" s="276"/>
      <c r="T23" s="297"/>
      <c r="U23" s="297"/>
      <c r="V23" s="298" t="str">
        <f>IFERROR(VLOOKUP($O23,dropdown!$S$4:$T$15,2,FALSE),IFERROR(VLOOKUP($Q23,dropdown!$S$4:$T$15,2,FALSE),IFERROR(VLOOKUP($S23,dropdown!$S$4:$T$15,2,FALSE),"")))</f>
        <v/>
      </c>
      <c r="W23" s="279"/>
      <c r="AB23" s="35"/>
      <c r="AE23" s="35"/>
    </row>
    <row r="24" spans="2:31" ht="14" x14ac:dyDescent="0.2">
      <c r="B24" s="456" t="s">
        <v>225</v>
      </c>
      <c r="C24" s="456" t="s">
        <v>226</v>
      </c>
      <c r="D24" s="456"/>
      <c r="E24" s="456" t="s">
        <v>227</v>
      </c>
      <c r="F24" s="456"/>
      <c r="G24" s="456"/>
      <c r="I24" s="199" t="str">
        <f t="shared" si="0"/>
        <v/>
      </c>
      <c r="J24" s="278"/>
      <c r="K24" s="109"/>
      <c r="L24" s="279"/>
      <c r="M24" s="280"/>
      <c r="N24" s="281"/>
      <c r="O24" s="276"/>
      <c r="P24" s="277"/>
      <c r="Q24" s="276"/>
      <c r="R24" s="297"/>
      <c r="S24" s="276"/>
      <c r="T24" s="297"/>
      <c r="U24" s="297"/>
      <c r="V24" s="298" t="str">
        <f>IFERROR(VLOOKUP($O24,dropdown!$S$4:$T$15,2,FALSE),IFERROR(VLOOKUP($Q24,dropdown!$S$4:$T$15,2,FALSE),IFERROR(VLOOKUP($S24,dropdown!$S$4:$T$15,2,FALSE),"")))</f>
        <v/>
      </c>
      <c r="W24" s="279"/>
      <c r="X24" s="240"/>
      <c r="AB24" s="35"/>
      <c r="AE24" s="35"/>
    </row>
    <row r="25" spans="2:31" ht="14" x14ac:dyDescent="0.2">
      <c r="B25" s="456"/>
      <c r="C25" s="456"/>
      <c r="D25" s="456"/>
      <c r="E25" s="456"/>
      <c r="F25" s="456"/>
      <c r="G25" s="456"/>
      <c r="I25" s="199" t="str">
        <f t="shared" si="0"/>
        <v/>
      </c>
      <c r="J25" s="278"/>
      <c r="K25" s="109"/>
      <c r="L25" s="279"/>
      <c r="M25" s="280"/>
      <c r="N25" s="281"/>
      <c r="O25" s="276"/>
      <c r="P25" s="277"/>
      <c r="Q25" s="276"/>
      <c r="R25" s="297"/>
      <c r="S25" s="276"/>
      <c r="T25" s="297"/>
      <c r="U25" s="297"/>
      <c r="V25" s="298" t="str">
        <f>IFERROR(VLOOKUP($O25,dropdown!$S$4:$T$15,2,FALSE),IFERROR(VLOOKUP($Q25,dropdown!$S$4:$T$15,2,FALSE),IFERROR(VLOOKUP($S25,dropdown!$S$4:$T$15,2,FALSE),"")))</f>
        <v/>
      </c>
      <c r="W25" s="279"/>
      <c r="X25" s="240"/>
      <c r="AB25" s="35"/>
      <c r="AE25" s="35"/>
    </row>
    <row r="26" spans="2:31" ht="14" x14ac:dyDescent="0.2">
      <c r="B26" s="456" t="s">
        <v>228</v>
      </c>
      <c r="C26" s="456" t="s">
        <v>229</v>
      </c>
      <c r="D26" s="456"/>
      <c r="E26" s="456" t="s">
        <v>230</v>
      </c>
      <c r="F26" s="456"/>
      <c r="G26" s="456"/>
      <c r="I26" s="199" t="str">
        <f t="shared" si="0"/>
        <v/>
      </c>
      <c r="J26" s="278"/>
      <c r="K26" s="109"/>
      <c r="L26" s="279"/>
      <c r="M26" s="280"/>
      <c r="N26" s="281"/>
      <c r="O26" s="276"/>
      <c r="P26" s="277"/>
      <c r="Q26" s="276"/>
      <c r="R26" s="297"/>
      <c r="S26" s="276"/>
      <c r="T26" s="297"/>
      <c r="U26" s="297"/>
      <c r="V26" s="298" t="str">
        <f>IFERROR(VLOOKUP($O26,dropdown!$S$4:$T$15,2,FALSE),IFERROR(VLOOKUP($Q26,dropdown!$S$4:$T$15,2,FALSE),IFERROR(VLOOKUP($S26,dropdown!$S$4:$T$15,2,FALSE),"")))</f>
        <v/>
      </c>
      <c r="W26" s="279"/>
      <c r="X26" s="240"/>
      <c r="AB26" s="35"/>
      <c r="AE26" s="35"/>
    </row>
    <row r="27" spans="2:31" ht="14" x14ac:dyDescent="0.2">
      <c r="B27" s="456"/>
      <c r="C27" s="456"/>
      <c r="D27" s="456"/>
      <c r="E27" s="456"/>
      <c r="F27" s="456"/>
      <c r="G27" s="456"/>
      <c r="I27" s="199" t="str">
        <f t="shared" si="0"/>
        <v/>
      </c>
      <c r="J27" s="278"/>
      <c r="K27" s="109"/>
      <c r="L27" s="279"/>
      <c r="M27" s="280"/>
      <c r="N27" s="281"/>
      <c r="O27" s="276"/>
      <c r="P27" s="277"/>
      <c r="Q27" s="276"/>
      <c r="R27" s="297"/>
      <c r="S27" s="276"/>
      <c r="T27" s="297"/>
      <c r="U27" s="297"/>
      <c r="V27" s="298" t="str">
        <f>IFERROR(VLOOKUP($O27,dropdown!$S$4:$T$15,2,FALSE),IFERROR(VLOOKUP($Q27,dropdown!$S$4:$T$15,2,FALSE),IFERROR(VLOOKUP($S27,dropdown!$S$4:$T$15,2,FALSE),"")))</f>
        <v/>
      </c>
      <c r="W27" s="279"/>
      <c r="X27" s="240"/>
      <c r="AB27" s="35"/>
      <c r="AE27" s="35"/>
    </row>
    <row r="28" spans="2:31" ht="14" x14ac:dyDescent="0.2">
      <c r="B28" s="456" t="s">
        <v>216</v>
      </c>
      <c r="C28" s="456" t="s">
        <v>231</v>
      </c>
      <c r="D28" s="456"/>
      <c r="E28" s="456" t="s">
        <v>232</v>
      </c>
      <c r="F28" s="456"/>
      <c r="G28" s="456"/>
      <c r="I28" s="199" t="str">
        <f t="shared" si="0"/>
        <v/>
      </c>
      <c r="J28" s="278"/>
      <c r="K28" s="109"/>
      <c r="L28" s="279"/>
      <c r="M28" s="280"/>
      <c r="N28" s="281"/>
      <c r="O28" s="276"/>
      <c r="P28" s="277"/>
      <c r="Q28" s="276"/>
      <c r="R28" s="297"/>
      <c r="S28" s="276"/>
      <c r="T28" s="297"/>
      <c r="U28" s="297"/>
      <c r="V28" s="298" t="str">
        <f>IFERROR(VLOOKUP($O28,dropdown!$S$4:$T$15,2,FALSE),IFERROR(VLOOKUP($Q28,dropdown!$S$4:$T$15,2,FALSE),IFERROR(VLOOKUP($S28,dropdown!$S$4:$T$15,2,FALSE),"")))</f>
        <v/>
      </c>
      <c r="W28" s="279"/>
      <c r="X28" s="240"/>
      <c r="AB28" s="35"/>
      <c r="AE28" s="35"/>
    </row>
    <row r="29" spans="2:31" ht="14" x14ac:dyDescent="0.2">
      <c r="B29" s="456"/>
      <c r="C29" s="456"/>
      <c r="D29" s="456"/>
      <c r="E29" s="456"/>
      <c r="F29" s="456"/>
      <c r="G29" s="456"/>
      <c r="I29" s="199" t="str">
        <f t="shared" si="0"/>
        <v/>
      </c>
      <c r="J29" s="278"/>
      <c r="K29" s="109"/>
      <c r="L29" s="279"/>
      <c r="M29" s="280"/>
      <c r="N29" s="281"/>
      <c r="O29" s="276"/>
      <c r="P29" s="277"/>
      <c r="Q29" s="276"/>
      <c r="R29" s="297"/>
      <c r="S29" s="276"/>
      <c r="T29" s="297"/>
      <c r="U29" s="297"/>
      <c r="V29" s="298" t="str">
        <f>IFERROR(VLOOKUP($O29,dropdown!$S$4:$T$15,2,FALSE),IFERROR(VLOOKUP($Q29,dropdown!$S$4:$T$15,2,FALSE),IFERROR(VLOOKUP($S29,dropdown!$S$4:$T$15,2,FALSE),"")))</f>
        <v/>
      </c>
      <c r="W29" s="279"/>
      <c r="X29" s="240"/>
      <c r="AB29" s="35"/>
      <c r="AE29" s="35"/>
    </row>
    <row r="30" spans="2:31" ht="14" x14ac:dyDescent="0.2">
      <c r="B30" s="456" t="s">
        <v>233</v>
      </c>
      <c r="C30" s="456" t="s">
        <v>234</v>
      </c>
      <c r="D30" s="456"/>
      <c r="E30" s="456" t="s">
        <v>235</v>
      </c>
      <c r="F30" s="456"/>
      <c r="G30" s="456"/>
      <c r="I30" s="199" t="str">
        <f t="shared" si="0"/>
        <v/>
      </c>
      <c r="J30" s="278"/>
      <c r="K30" s="109"/>
      <c r="L30" s="279"/>
      <c r="M30" s="280"/>
      <c r="N30" s="281"/>
      <c r="O30" s="276"/>
      <c r="P30" s="277"/>
      <c r="Q30" s="276"/>
      <c r="R30" s="297"/>
      <c r="S30" s="276"/>
      <c r="T30" s="297"/>
      <c r="U30" s="297"/>
      <c r="V30" s="298" t="str">
        <f>IFERROR(VLOOKUP($O30,dropdown!$S$4:$T$15,2,FALSE),IFERROR(VLOOKUP($Q30,dropdown!$S$4:$T$15,2,FALSE),IFERROR(VLOOKUP($S30,dropdown!$S$4:$T$15,2,FALSE),"")))</f>
        <v/>
      </c>
      <c r="W30" s="279"/>
      <c r="X30" s="240"/>
      <c r="AB30" s="35"/>
      <c r="AE30" s="35"/>
    </row>
    <row r="31" spans="2:31" ht="14" x14ac:dyDescent="0.2">
      <c r="B31" s="456"/>
      <c r="C31" s="456"/>
      <c r="D31" s="456"/>
      <c r="E31" s="456"/>
      <c r="F31" s="456"/>
      <c r="G31" s="456"/>
      <c r="I31" s="199" t="str">
        <f t="shared" si="0"/>
        <v/>
      </c>
      <c r="J31" s="278"/>
      <c r="K31" s="109"/>
      <c r="L31" s="279"/>
      <c r="M31" s="280"/>
      <c r="N31" s="281"/>
      <c r="O31" s="276"/>
      <c r="P31" s="277"/>
      <c r="Q31" s="276"/>
      <c r="R31" s="297"/>
      <c r="S31" s="276"/>
      <c r="T31" s="297"/>
      <c r="U31" s="297"/>
      <c r="V31" s="298" t="str">
        <f>IFERROR(VLOOKUP($O31,dropdown!$S$4:$T$15,2,FALSE),IFERROR(VLOOKUP($Q31,dropdown!$S$4:$T$15,2,FALSE),IFERROR(VLOOKUP($S31,dropdown!$S$4:$T$15,2,FALSE),"")))</f>
        <v/>
      </c>
      <c r="W31" s="279"/>
      <c r="X31" s="240"/>
      <c r="AB31" s="35"/>
      <c r="AE31" s="35"/>
    </row>
    <row r="32" spans="2:31" ht="22.5" customHeight="1" x14ac:dyDescent="0.2">
      <c r="I32" s="199" t="str">
        <f t="shared" si="0"/>
        <v/>
      </c>
      <c r="J32" s="278"/>
      <c r="K32" s="109"/>
      <c r="L32" s="279"/>
      <c r="M32" s="280"/>
      <c r="N32" s="281"/>
      <c r="O32" s="276"/>
      <c r="P32" s="277"/>
      <c r="Q32" s="276"/>
      <c r="R32" s="297"/>
      <c r="S32" s="276"/>
      <c r="T32" s="297"/>
      <c r="U32" s="297"/>
      <c r="V32" s="298" t="str">
        <f>IFERROR(VLOOKUP($O32,dropdown!$S$4:$T$15,2,FALSE),IFERROR(VLOOKUP($Q32,dropdown!$S$4:$T$15,2,FALSE),IFERROR(VLOOKUP($S32,dropdown!$S$4:$T$15,2,FALSE),"")))</f>
        <v/>
      </c>
      <c r="W32" s="279"/>
      <c r="X32" s="240"/>
      <c r="AB32" s="35"/>
      <c r="AE32" s="35"/>
    </row>
    <row r="33" spans="9:31" ht="14" x14ac:dyDescent="0.2">
      <c r="I33" s="199" t="str">
        <f t="shared" si="0"/>
        <v/>
      </c>
      <c r="J33" s="278"/>
      <c r="K33" s="109"/>
      <c r="L33" s="279"/>
      <c r="M33" s="280"/>
      <c r="N33" s="281"/>
      <c r="O33" s="276"/>
      <c r="P33" s="277"/>
      <c r="Q33" s="276"/>
      <c r="R33" s="297"/>
      <c r="S33" s="276"/>
      <c r="T33" s="297"/>
      <c r="U33" s="297"/>
      <c r="V33" s="298" t="str">
        <f>IFERROR(VLOOKUP($O33,dropdown!$S$4:$T$15,2,FALSE),IFERROR(VLOOKUP($Q33,dropdown!$S$4:$T$15,2,FALSE),IFERROR(VLOOKUP($S33,dropdown!$S$4:$T$15,2,FALSE),"")))</f>
        <v/>
      </c>
      <c r="W33" s="279"/>
      <c r="X33" s="240"/>
      <c r="AB33" s="35"/>
      <c r="AE33" s="35"/>
    </row>
    <row r="34" spans="9:31" ht="15" customHeight="1" x14ac:dyDescent="0.2">
      <c r="I34" s="199" t="str">
        <f t="shared" si="0"/>
        <v/>
      </c>
      <c r="J34" s="278"/>
      <c r="K34" s="109"/>
      <c r="L34" s="279"/>
      <c r="M34" s="280"/>
      <c r="N34" s="281"/>
      <c r="O34" s="276"/>
      <c r="P34" s="277"/>
      <c r="Q34" s="276"/>
      <c r="R34" s="297"/>
      <c r="S34" s="276"/>
      <c r="T34" s="297"/>
      <c r="U34" s="297"/>
      <c r="V34" s="298" t="str">
        <f>IFERROR(VLOOKUP($O34,dropdown!$S$4:$T$15,2,FALSE),IFERROR(VLOOKUP($Q34,dropdown!$S$4:$T$15,2,FALSE),IFERROR(VLOOKUP($S34,dropdown!$S$4:$T$15,2,FALSE),"")))</f>
        <v/>
      </c>
      <c r="W34" s="279"/>
      <c r="X34" s="240"/>
      <c r="AB34" s="35"/>
      <c r="AE34" s="35"/>
    </row>
    <row r="35" spans="9:31" ht="14" x14ac:dyDescent="0.2">
      <c r="I35" s="199" t="str">
        <f t="shared" si="0"/>
        <v/>
      </c>
      <c r="J35" s="278"/>
      <c r="K35" s="109"/>
      <c r="L35" s="279"/>
      <c r="M35" s="280"/>
      <c r="N35" s="281"/>
      <c r="O35" s="276"/>
      <c r="P35" s="277"/>
      <c r="Q35" s="276"/>
      <c r="R35" s="297"/>
      <c r="S35" s="276"/>
      <c r="T35" s="297"/>
      <c r="U35" s="297"/>
      <c r="V35" s="298" t="str">
        <f>IFERROR(VLOOKUP($O35,dropdown!$S$4:$T$15,2,FALSE),IFERROR(VLOOKUP($Q35,dropdown!$S$4:$T$15,2,FALSE),IFERROR(VLOOKUP($S35,dropdown!$S$4:$T$15,2,FALSE),"")))</f>
        <v/>
      </c>
      <c r="W35" s="279"/>
      <c r="X35" s="240"/>
      <c r="AB35" s="35"/>
      <c r="AE35" s="35"/>
    </row>
    <row r="36" spans="9:31" ht="14" x14ac:dyDescent="0.2">
      <c r="I36" s="199" t="str">
        <f t="shared" si="0"/>
        <v/>
      </c>
      <c r="J36" s="278"/>
      <c r="K36" s="109"/>
      <c r="L36" s="279"/>
      <c r="M36" s="280"/>
      <c r="N36" s="281"/>
      <c r="O36" s="276"/>
      <c r="P36" s="277"/>
      <c r="Q36" s="276"/>
      <c r="R36" s="297"/>
      <c r="S36" s="276"/>
      <c r="T36" s="297"/>
      <c r="U36" s="297"/>
      <c r="V36" s="298" t="str">
        <f>IFERROR(VLOOKUP($O36,dropdown!$S$4:$T$15,2,FALSE),IFERROR(VLOOKUP($Q36,dropdown!$S$4:$T$15,2,FALSE),IFERROR(VLOOKUP($S36,dropdown!$S$4:$T$15,2,FALSE),"")))</f>
        <v/>
      </c>
      <c r="W36" s="279"/>
      <c r="X36" s="240"/>
      <c r="AB36" s="35"/>
      <c r="AE36" s="35"/>
    </row>
    <row r="37" spans="9:31" ht="14" x14ac:dyDescent="0.2">
      <c r="I37" s="199" t="str">
        <f t="shared" si="0"/>
        <v/>
      </c>
      <c r="J37" s="278"/>
      <c r="K37" s="109"/>
      <c r="L37" s="279"/>
      <c r="M37" s="280"/>
      <c r="N37" s="281"/>
      <c r="O37" s="276"/>
      <c r="P37" s="277"/>
      <c r="Q37" s="276"/>
      <c r="R37" s="297"/>
      <c r="S37" s="276"/>
      <c r="T37" s="297"/>
      <c r="U37" s="297"/>
      <c r="V37" s="298" t="str">
        <f>IFERROR(VLOOKUP($O37,dropdown!$S$4:$T$15,2,FALSE),IFERROR(VLOOKUP($Q37,dropdown!$S$4:$T$15,2,FALSE),IFERROR(VLOOKUP($S37,dropdown!$S$4:$T$15,2,FALSE),"")))</f>
        <v/>
      </c>
      <c r="W37" s="279"/>
      <c r="X37" s="240"/>
      <c r="AB37" s="35"/>
      <c r="AE37" s="35"/>
    </row>
    <row r="38" spans="9:31" ht="14" x14ac:dyDescent="0.2">
      <c r="I38" s="199" t="str">
        <f t="shared" si="0"/>
        <v/>
      </c>
      <c r="J38" s="278"/>
      <c r="K38" s="109"/>
      <c r="L38" s="279"/>
      <c r="M38" s="280"/>
      <c r="N38" s="281"/>
      <c r="O38" s="276"/>
      <c r="P38" s="277"/>
      <c r="Q38" s="276"/>
      <c r="R38" s="297"/>
      <c r="S38" s="276"/>
      <c r="T38" s="297"/>
      <c r="U38" s="297"/>
      <c r="V38" s="298" t="str">
        <f>IFERROR(VLOOKUP($O38,dropdown!$S$4:$T$15,2,FALSE),IFERROR(VLOOKUP($Q38,dropdown!$S$4:$T$15,2,FALSE),IFERROR(VLOOKUP($S38,dropdown!$S$4:$T$15,2,FALSE),"")))</f>
        <v/>
      </c>
      <c r="W38" s="279"/>
      <c r="X38" s="240"/>
      <c r="AB38" s="35"/>
      <c r="AE38" s="35"/>
    </row>
    <row r="39" spans="9:31" ht="14" x14ac:dyDescent="0.2">
      <c r="I39" s="199" t="str">
        <f t="shared" si="0"/>
        <v/>
      </c>
      <c r="J39" s="278"/>
      <c r="K39" s="109"/>
      <c r="L39" s="279"/>
      <c r="M39" s="280"/>
      <c r="N39" s="281"/>
      <c r="O39" s="276"/>
      <c r="P39" s="277"/>
      <c r="Q39" s="276"/>
      <c r="R39" s="297"/>
      <c r="S39" s="276"/>
      <c r="T39" s="297"/>
      <c r="U39" s="297"/>
      <c r="V39" s="298" t="str">
        <f>IFERROR(VLOOKUP($O39,dropdown!$S$4:$T$15,2,FALSE),IFERROR(VLOOKUP($Q39,dropdown!$S$4:$T$15,2,FALSE),IFERROR(VLOOKUP($S39,dropdown!$S$4:$T$15,2,FALSE),"")))</f>
        <v/>
      </c>
      <c r="W39" s="279"/>
      <c r="X39" s="240"/>
      <c r="AB39" s="35"/>
      <c r="AE39" s="35"/>
    </row>
    <row r="40" spans="9:31" ht="14" x14ac:dyDescent="0.2">
      <c r="I40" s="199" t="str">
        <f t="shared" si="0"/>
        <v/>
      </c>
      <c r="J40" s="278"/>
      <c r="K40" s="109"/>
      <c r="L40" s="279"/>
      <c r="M40" s="280"/>
      <c r="N40" s="281"/>
      <c r="O40" s="276"/>
      <c r="P40" s="277"/>
      <c r="Q40" s="276"/>
      <c r="R40" s="297"/>
      <c r="S40" s="276"/>
      <c r="T40" s="297"/>
      <c r="U40" s="297"/>
      <c r="V40" s="298" t="str">
        <f>IFERROR(VLOOKUP($O40,dropdown!$S$4:$T$15,2,FALSE),IFERROR(VLOOKUP($Q40,dropdown!$S$4:$T$15,2,FALSE),IFERROR(VLOOKUP($S40,dropdown!$S$4:$T$15,2,FALSE),"")))</f>
        <v/>
      </c>
      <c r="W40" s="279"/>
      <c r="X40" s="240"/>
      <c r="AB40" s="35"/>
      <c r="AE40" s="35"/>
    </row>
    <row r="41" spans="9:31" ht="14" x14ac:dyDescent="0.2">
      <c r="I41" s="199" t="str">
        <f t="shared" si="0"/>
        <v/>
      </c>
      <c r="J41" s="278"/>
      <c r="K41" s="109"/>
      <c r="L41" s="279"/>
      <c r="M41" s="280"/>
      <c r="N41" s="281"/>
      <c r="O41" s="276"/>
      <c r="P41" s="277"/>
      <c r="Q41" s="276"/>
      <c r="R41" s="297"/>
      <c r="S41" s="276"/>
      <c r="T41" s="297"/>
      <c r="U41" s="297"/>
      <c r="V41" s="298" t="str">
        <f>IFERROR(VLOOKUP($O41,dropdown!$S$4:$T$15,2,FALSE),IFERROR(VLOOKUP($Q41,dropdown!$S$4:$T$15,2,FALSE),IFERROR(VLOOKUP($S41,dropdown!$S$4:$T$15,2,FALSE),"")))</f>
        <v/>
      </c>
      <c r="W41" s="279"/>
      <c r="X41" s="240"/>
      <c r="AB41" s="35"/>
      <c r="AE41" s="35"/>
    </row>
    <row r="42" spans="9:31" ht="14" x14ac:dyDescent="0.2">
      <c r="I42" s="199" t="str">
        <f t="shared" ref="I42:I73" si="2">IF($K42="","",$I41+1)</f>
        <v/>
      </c>
      <c r="J42" s="278"/>
      <c r="K42" s="109"/>
      <c r="L42" s="279"/>
      <c r="M42" s="280"/>
      <c r="N42" s="281"/>
      <c r="O42" s="276"/>
      <c r="P42" s="277"/>
      <c r="Q42" s="276"/>
      <c r="R42" s="297"/>
      <c r="S42" s="276"/>
      <c r="T42" s="297"/>
      <c r="U42" s="297"/>
      <c r="V42" s="298" t="str">
        <f>IFERROR(VLOOKUP($O42,dropdown!$S$4:$T$15,2,FALSE),IFERROR(VLOOKUP($Q42,dropdown!$S$4:$T$15,2,FALSE),IFERROR(VLOOKUP($S42,dropdown!$S$4:$T$15,2,FALSE),"")))</f>
        <v/>
      </c>
      <c r="W42" s="279"/>
      <c r="X42" s="240"/>
      <c r="AB42" s="35"/>
      <c r="AE42" s="35"/>
    </row>
    <row r="43" spans="9:31" ht="14" x14ac:dyDescent="0.2">
      <c r="I43" s="199" t="str">
        <f t="shared" si="2"/>
        <v/>
      </c>
      <c r="J43" s="278"/>
      <c r="K43" s="109"/>
      <c r="L43" s="279"/>
      <c r="M43" s="280"/>
      <c r="N43" s="281"/>
      <c r="O43" s="276"/>
      <c r="P43" s="277"/>
      <c r="Q43" s="276"/>
      <c r="R43" s="297"/>
      <c r="S43" s="276"/>
      <c r="T43" s="297"/>
      <c r="U43" s="297"/>
      <c r="V43" s="298" t="str">
        <f>IFERROR(VLOOKUP($O43,dropdown!$S$4:$T$15,2,FALSE),IFERROR(VLOOKUP($Q43,dropdown!$S$4:$T$15,2,FALSE),IFERROR(VLOOKUP($S43,dropdown!$S$4:$T$15,2,FALSE),"")))</f>
        <v/>
      </c>
      <c r="W43" s="279"/>
      <c r="X43" s="240"/>
      <c r="AB43" s="35"/>
      <c r="AE43" s="35"/>
    </row>
    <row r="44" spans="9:31" ht="14" x14ac:dyDescent="0.2">
      <c r="I44" s="199" t="str">
        <f t="shared" si="2"/>
        <v/>
      </c>
      <c r="J44" s="278"/>
      <c r="K44" s="109"/>
      <c r="L44" s="279"/>
      <c r="M44" s="280"/>
      <c r="N44" s="281"/>
      <c r="O44" s="276"/>
      <c r="P44" s="277"/>
      <c r="Q44" s="276"/>
      <c r="R44" s="297"/>
      <c r="S44" s="276"/>
      <c r="T44" s="297"/>
      <c r="U44" s="297"/>
      <c r="V44" s="298" t="str">
        <f>IFERROR(VLOOKUP($O44,dropdown!$S$4:$T$15,2,FALSE),IFERROR(VLOOKUP($Q44,dropdown!$S$4:$T$15,2,FALSE),IFERROR(VLOOKUP($S44,dropdown!$S$4:$T$15,2,FALSE),"")))</f>
        <v/>
      </c>
      <c r="W44" s="279"/>
      <c r="X44" s="240"/>
      <c r="AB44" s="35"/>
      <c r="AE44" s="35"/>
    </row>
    <row r="45" spans="9:31" ht="14" x14ac:dyDescent="0.2">
      <c r="I45" s="199" t="str">
        <f t="shared" si="2"/>
        <v/>
      </c>
      <c r="J45" s="278"/>
      <c r="K45" s="109"/>
      <c r="L45" s="279"/>
      <c r="M45" s="280"/>
      <c r="N45" s="281"/>
      <c r="O45" s="276"/>
      <c r="P45" s="277"/>
      <c r="Q45" s="276"/>
      <c r="R45" s="297"/>
      <c r="S45" s="276"/>
      <c r="T45" s="297"/>
      <c r="U45" s="297"/>
      <c r="V45" s="298" t="str">
        <f>IFERROR(VLOOKUP($O45,dropdown!$S$4:$T$15,2,FALSE),IFERROR(VLOOKUP($Q45,dropdown!$S$4:$T$15,2,FALSE),IFERROR(VLOOKUP($S45,dropdown!$S$4:$T$15,2,FALSE),"")))</f>
        <v/>
      </c>
      <c r="W45" s="279"/>
      <c r="X45" s="240"/>
      <c r="AB45" s="35"/>
      <c r="AE45" s="35"/>
    </row>
    <row r="46" spans="9:31" ht="14" x14ac:dyDescent="0.2">
      <c r="I46" s="199" t="str">
        <f t="shared" si="2"/>
        <v/>
      </c>
      <c r="J46" s="278"/>
      <c r="K46" s="109"/>
      <c r="L46" s="279"/>
      <c r="M46" s="280"/>
      <c r="N46" s="281"/>
      <c r="O46" s="276"/>
      <c r="P46" s="277"/>
      <c r="Q46" s="276"/>
      <c r="R46" s="297"/>
      <c r="S46" s="276"/>
      <c r="T46" s="297"/>
      <c r="U46" s="297"/>
      <c r="V46" s="298" t="str">
        <f>IFERROR(VLOOKUP($O46,dropdown!$S$4:$T$15,2,FALSE),IFERROR(VLOOKUP($Q46,dropdown!$S$4:$T$15,2,FALSE),IFERROR(VLOOKUP($S46,dropdown!$S$4:$T$15,2,FALSE),"")))</f>
        <v/>
      </c>
      <c r="W46" s="279"/>
      <c r="X46" s="240"/>
      <c r="AB46" s="35"/>
      <c r="AE46" s="35"/>
    </row>
    <row r="47" spans="9:31" ht="14" x14ac:dyDescent="0.2">
      <c r="I47" s="199" t="str">
        <f t="shared" si="2"/>
        <v/>
      </c>
      <c r="J47" s="278"/>
      <c r="K47" s="109"/>
      <c r="L47" s="279"/>
      <c r="M47" s="280"/>
      <c r="N47" s="281"/>
      <c r="O47" s="276"/>
      <c r="P47" s="277"/>
      <c r="Q47" s="276"/>
      <c r="R47" s="297"/>
      <c r="S47" s="276"/>
      <c r="T47" s="297"/>
      <c r="U47" s="297"/>
      <c r="V47" s="298" t="str">
        <f>IFERROR(VLOOKUP($O47,dropdown!$S$4:$T$15,2,FALSE),IFERROR(VLOOKUP($Q47,dropdown!$S$4:$T$15,2,FALSE),IFERROR(VLOOKUP($S47,dropdown!$S$4:$T$15,2,FALSE),"")))</f>
        <v/>
      </c>
      <c r="W47" s="279"/>
      <c r="X47" s="240"/>
      <c r="AB47" s="35"/>
      <c r="AE47" s="35"/>
    </row>
    <row r="48" spans="9:31" ht="14" x14ac:dyDescent="0.2">
      <c r="I48" s="199" t="str">
        <f t="shared" si="2"/>
        <v/>
      </c>
      <c r="J48" s="278"/>
      <c r="K48" s="109"/>
      <c r="L48" s="279"/>
      <c r="M48" s="280"/>
      <c r="N48" s="281"/>
      <c r="O48" s="276"/>
      <c r="P48" s="277"/>
      <c r="Q48" s="276"/>
      <c r="R48" s="297"/>
      <c r="S48" s="276"/>
      <c r="T48" s="297"/>
      <c r="U48" s="297"/>
      <c r="V48" s="298" t="str">
        <f>IFERROR(VLOOKUP($O48,dropdown!$S$4:$T$15,2,FALSE),IFERROR(VLOOKUP($Q48,dropdown!$S$4:$T$15,2,FALSE),IFERROR(VLOOKUP($S48,dropdown!$S$4:$T$15,2,FALSE),"")))</f>
        <v/>
      </c>
      <c r="W48" s="279"/>
      <c r="X48" s="240"/>
      <c r="AB48" s="35"/>
      <c r="AE48" s="35"/>
    </row>
    <row r="49" spans="9:31" ht="14" x14ac:dyDescent="0.2">
      <c r="I49" s="199" t="str">
        <f t="shared" si="2"/>
        <v/>
      </c>
      <c r="J49" s="278"/>
      <c r="K49" s="109"/>
      <c r="L49" s="279"/>
      <c r="M49" s="280"/>
      <c r="N49" s="281"/>
      <c r="O49" s="276"/>
      <c r="P49" s="277"/>
      <c r="Q49" s="276"/>
      <c r="R49" s="297"/>
      <c r="S49" s="276"/>
      <c r="T49" s="297"/>
      <c r="U49" s="297"/>
      <c r="V49" s="298" t="str">
        <f>IFERROR(VLOOKUP($O49,dropdown!$S$4:$T$15,2,FALSE),IFERROR(VLOOKUP($Q49,dropdown!$S$4:$T$15,2,FALSE),IFERROR(VLOOKUP($S49,dropdown!$S$4:$T$15,2,FALSE),"")))</f>
        <v/>
      </c>
      <c r="W49" s="279"/>
      <c r="X49" s="240"/>
      <c r="AB49" s="35"/>
      <c r="AE49" s="35"/>
    </row>
    <row r="50" spans="9:31" ht="14" x14ac:dyDescent="0.2">
      <c r="I50" s="199" t="str">
        <f t="shared" si="2"/>
        <v/>
      </c>
      <c r="J50" s="278"/>
      <c r="K50" s="109"/>
      <c r="L50" s="279"/>
      <c r="M50" s="280"/>
      <c r="N50" s="281"/>
      <c r="O50" s="276"/>
      <c r="P50" s="277"/>
      <c r="Q50" s="276"/>
      <c r="R50" s="297"/>
      <c r="S50" s="276"/>
      <c r="T50" s="297"/>
      <c r="U50" s="297"/>
      <c r="V50" s="298" t="str">
        <f>IFERROR(VLOOKUP($O50,dropdown!$S$4:$T$15,2,FALSE),IFERROR(VLOOKUP($Q50,dropdown!$S$4:$T$15,2,FALSE),IFERROR(VLOOKUP($S50,dropdown!$S$4:$T$15,2,FALSE),"")))</f>
        <v/>
      </c>
      <c r="W50" s="279"/>
      <c r="X50" s="240"/>
      <c r="AB50" s="35"/>
      <c r="AE50" s="35"/>
    </row>
    <row r="51" spans="9:31" ht="14" x14ac:dyDescent="0.2">
      <c r="I51" s="199" t="str">
        <f t="shared" si="2"/>
        <v/>
      </c>
      <c r="J51" s="278"/>
      <c r="K51" s="109"/>
      <c r="L51" s="279"/>
      <c r="M51" s="280"/>
      <c r="N51" s="281"/>
      <c r="O51" s="276"/>
      <c r="P51" s="277"/>
      <c r="Q51" s="276"/>
      <c r="R51" s="297"/>
      <c r="S51" s="276"/>
      <c r="T51" s="297"/>
      <c r="U51" s="297"/>
      <c r="V51" s="298" t="str">
        <f>IFERROR(VLOOKUP($O51,dropdown!$S$4:$T$15,2,FALSE),IFERROR(VLOOKUP($Q51,dropdown!$S$4:$T$15,2,FALSE),IFERROR(VLOOKUP($S51,dropdown!$S$4:$T$15,2,FALSE),"")))</f>
        <v/>
      </c>
      <c r="W51" s="279"/>
      <c r="X51" s="240"/>
      <c r="AB51" s="35"/>
      <c r="AE51" s="35"/>
    </row>
    <row r="52" spans="9:31" ht="14" x14ac:dyDescent="0.2">
      <c r="I52" s="199" t="str">
        <f t="shared" si="2"/>
        <v/>
      </c>
      <c r="J52" s="278"/>
      <c r="K52" s="109"/>
      <c r="L52" s="279"/>
      <c r="M52" s="280"/>
      <c r="N52" s="281"/>
      <c r="O52" s="276"/>
      <c r="P52" s="277"/>
      <c r="Q52" s="276"/>
      <c r="R52" s="297"/>
      <c r="S52" s="276"/>
      <c r="T52" s="297"/>
      <c r="U52" s="297"/>
      <c r="V52" s="298" t="str">
        <f>IFERROR(VLOOKUP($O52,dropdown!$S$4:$T$15,2,FALSE),IFERROR(VLOOKUP($Q52,dropdown!$S$4:$T$15,2,FALSE),IFERROR(VLOOKUP($S52,dropdown!$S$4:$T$15,2,FALSE),"")))</f>
        <v/>
      </c>
      <c r="W52" s="279"/>
      <c r="X52" s="240"/>
      <c r="AB52" s="35"/>
      <c r="AE52" s="35"/>
    </row>
    <row r="53" spans="9:31" ht="14" x14ac:dyDescent="0.2">
      <c r="I53" s="199" t="str">
        <f t="shared" si="2"/>
        <v/>
      </c>
      <c r="J53" s="278"/>
      <c r="K53" s="109"/>
      <c r="L53" s="279"/>
      <c r="M53" s="280"/>
      <c r="N53" s="281"/>
      <c r="O53" s="276"/>
      <c r="P53" s="277"/>
      <c r="Q53" s="276"/>
      <c r="R53" s="297"/>
      <c r="S53" s="276"/>
      <c r="T53" s="297"/>
      <c r="U53" s="297"/>
      <c r="V53" s="298" t="str">
        <f>IFERROR(VLOOKUP($O53,dropdown!$S$4:$T$15,2,FALSE),IFERROR(VLOOKUP($Q53,dropdown!$S$4:$T$15,2,FALSE),IFERROR(VLOOKUP($S53,dropdown!$S$4:$T$15,2,FALSE),"")))</f>
        <v/>
      </c>
      <c r="W53" s="279"/>
      <c r="X53" s="240"/>
      <c r="AB53" s="35"/>
      <c r="AE53" s="35"/>
    </row>
    <row r="54" spans="9:31" ht="14" x14ac:dyDescent="0.2">
      <c r="I54" s="199" t="str">
        <f t="shared" si="2"/>
        <v/>
      </c>
      <c r="J54" s="278"/>
      <c r="K54" s="109"/>
      <c r="L54" s="279"/>
      <c r="M54" s="280"/>
      <c r="N54" s="281"/>
      <c r="O54" s="276"/>
      <c r="P54" s="277"/>
      <c r="Q54" s="276"/>
      <c r="R54" s="297"/>
      <c r="S54" s="276"/>
      <c r="T54" s="297"/>
      <c r="U54" s="297"/>
      <c r="V54" s="298" t="str">
        <f>IFERROR(VLOOKUP($O54,dropdown!$S$4:$T$15,2,FALSE),IFERROR(VLOOKUP($Q54,dropdown!$S$4:$T$15,2,FALSE),IFERROR(VLOOKUP($S54,dropdown!$S$4:$T$15,2,FALSE),"")))</f>
        <v/>
      </c>
      <c r="W54" s="279"/>
      <c r="X54" s="240"/>
      <c r="AB54" s="35"/>
      <c r="AE54" s="35"/>
    </row>
    <row r="55" spans="9:31" ht="14" x14ac:dyDescent="0.2">
      <c r="I55" s="199" t="str">
        <f t="shared" si="2"/>
        <v/>
      </c>
      <c r="J55" s="278"/>
      <c r="K55" s="109"/>
      <c r="L55" s="279"/>
      <c r="M55" s="280"/>
      <c r="N55" s="281"/>
      <c r="O55" s="276"/>
      <c r="P55" s="277"/>
      <c r="Q55" s="276"/>
      <c r="R55" s="297"/>
      <c r="S55" s="276"/>
      <c r="T55" s="297"/>
      <c r="U55" s="297"/>
      <c r="V55" s="298" t="str">
        <f>IFERROR(VLOOKUP($O55,dropdown!$S$4:$T$15,2,FALSE),IFERROR(VLOOKUP($Q55,dropdown!$S$4:$T$15,2,FALSE),IFERROR(VLOOKUP($S55,dropdown!$S$4:$T$15,2,FALSE),"")))</f>
        <v/>
      </c>
      <c r="W55" s="279"/>
      <c r="X55" s="240"/>
      <c r="AB55" s="35"/>
      <c r="AE55" s="35"/>
    </row>
    <row r="56" spans="9:31" ht="14" x14ac:dyDescent="0.2">
      <c r="I56" s="199" t="str">
        <f t="shared" si="2"/>
        <v/>
      </c>
      <c r="J56" s="278"/>
      <c r="K56" s="109"/>
      <c r="L56" s="279"/>
      <c r="M56" s="280"/>
      <c r="N56" s="281"/>
      <c r="O56" s="276"/>
      <c r="P56" s="277"/>
      <c r="Q56" s="276"/>
      <c r="R56" s="297"/>
      <c r="S56" s="276"/>
      <c r="T56" s="297"/>
      <c r="U56" s="297"/>
      <c r="V56" s="298" t="str">
        <f>IFERROR(VLOOKUP($O56,dropdown!$S$4:$T$15,2,FALSE),IFERROR(VLOOKUP($Q56,dropdown!$S$4:$T$15,2,FALSE),IFERROR(VLOOKUP($S56,dropdown!$S$4:$T$15,2,FALSE),"")))</f>
        <v/>
      </c>
      <c r="W56" s="279"/>
      <c r="X56" s="240"/>
      <c r="AB56" s="35"/>
      <c r="AE56" s="35"/>
    </row>
    <row r="57" spans="9:31" ht="14" x14ac:dyDescent="0.2">
      <c r="I57" s="199" t="str">
        <f t="shared" si="2"/>
        <v/>
      </c>
      <c r="J57" s="278"/>
      <c r="K57" s="109"/>
      <c r="L57" s="279"/>
      <c r="M57" s="280"/>
      <c r="N57" s="281"/>
      <c r="O57" s="276"/>
      <c r="P57" s="277"/>
      <c r="Q57" s="276"/>
      <c r="R57" s="297"/>
      <c r="S57" s="276"/>
      <c r="T57" s="297"/>
      <c r="U57" s="297"/>
      <c r="V57" s="298" t="str">
        <f>IFERROR(VLOOKUP($O57,dropdown!$S$4:$T$15,2,FALSE),IFERROR(VLOOKUP($Q57,dropdown!$S$4:$T$15,2,FALSE),IFERROR(VLOOKUP($S57,dropdown!$S$4:$T$15,2,FALSE),"")))</f>
        <v/>
      </c>
      <c r="W57" s="279"/>
      <c r="X57" s="240"/>
      <c r="AB57" s="35"/>
      <c r="AE57" s="35"/>
    </row>
    <row r="58" spans="9:31" ht="14" x14ac:dyDescent="0.2">
      <c r="I58" s="199" t="str">
        <f t="shared" si="2"/>
        <v/>
      </c>
      <c r="J58" s="278"/>
      <c r="K58" s="109"/>
      <c r="L58" s="279"/>
      <c r="M58" s="280"/>
      <c r="N58" s="281"/>
      <c r="O58" s="276"/>
      <c r="P58" s="277"/>
      <c r="Q58" s="276"/>
      <c r="R58" s="297"/>
      <c r="S58" s="276"/>
      <c r="T58" s="297"/>
      <c r="U58" s="297"/>
      <c r="V58" s="298" t="str">
        <f>IFERROR(VLOOKUP($O58,dropdown!$S$4:$T$15,2,FALSE),IFERROR(VLOOKUP($Q58,dropdown!$S$4:$T$15,2,FALSE),IFERROR(VLOOKUP($S58,dropdown!$S$4:$T$15,2,FALSE),"")))</f>
        <v/>
      </c>
      <c r="W58" s="279"/>
      <c r="X58" s="240"/>
      <c r="AB58" s="35"/>
      <c r="AE58" s="35"/>
    </row>
    <row r="59" spans="9:31" ht="14" x14ac:dyDescent="0.2">
      <c r="I59" s="199" t="str">
        <f t="shared" si="2"/>
        <v/>
      </c>
      <c r="J59" s="278"/>
      <c r="K59" s="109"/>
      <c r="L59" s="279"/>
      <c r="M59" s="280"/>
      <c r="N59" s="281"/>
      <c r="O59" s="276"/>
      <c r="P59" s="277"/>
      <c r="Q59" s="276"/>
      <c r="R59" s="297"/>
      <c r="S59" s="276"/>
      <c r="T59" s="297"/>
      <c r="U59" s="297"/>
      <c r="V59" s="298" t="str">
        <f>IFERROR(VLOOKUP($O59,dropdown!$S$4:$T$15,2,FALSE),IFERROR(VLOOKUP($Q59,dropdown!$S$4:$T$15,2,FALSE),IFERROR(VLOOKUP($S59,dropdown!$S$4:$T$15,2,FALSE),"")))</f>
        <v/>
      </c>
      <c r="W59" s="279"/>
      <c r="X59" s="240"/>
      <c r="AB59" s="35"/>
      <c r="AE59" s="35"/>
    </row>
    <row r="60" spans="9:31" ht="14" x14ac:dyDescent="0.2">
      <c r="I60" s="199" t="str">
        <f t="shared" si="2"/>
        <v/>
      </c>
      <c r="J60" s="278"/>
      <c r="K60" s="109"/>
      <c r="L60" s="279"/>
      <c r="M60" s="280"/>
      <c r="N60" s="281"/>
      <c r="O60" s="276"/>
      <c r="P60" s="277"/>
      <c r="Q60" s="276"/>
      <c r="R60" s="297"/>
      <c r="S60" s="276"/>
      <c r="T60" s="297"/>
      <c r="U60" s="297"/>
      <c r="V60" s="298" t="str">
        <f>IFERROR(VLOOKUP($O60,dropdown!$S$4:$T$15,2,FALSE),IFERROR(VLOOKUP($Q60,dropdown!$S$4:$T$15,2,FALSE),IFERROR(VLOOKUP($S60,dropdown!$S$4:$T$15,2,FALSE),"")))</f>
        <v/>
      </c>
      <c r="W60" s="279"/>
      <c r="X60" s="240"/>
      <c r="AB60" s="35"/>
      <c r="AE60" s="35"/>
    </row>
    <row r="61" spans="9:31" ht="14" x14ac:dyDescent="0.2">
      <c r="I61" s="199" t="str">
        <f t="shared" si="2"/>
        <v/>
      </c>
      <c r="J61" s="278"/>
      <c r="K61" s="109"/>
      <c r="L61" s="279"/>
      <c r="M61" s="280"/>
      <c r="N61" s="281"/>
      <c r="O61" s="276"/>
      <c r="P61" s="277"/>
      <c r="Q61" s="276"/>
      <c r="R61" s="297"/>
      <c r="S61" s="276"/>
      <c r="T61" s="297"/>
      <c r="U61" s="297"/>
      <c r="V61" s="298" t="str">
        <f>IFERROR(VLOOKUP($O61,dropdown!$S$4:$T$15,2,FALSE),IFERROR(VLOOKUP($Q61,dropdown!$S$4:$T$15,2,FALSE),IFERROR(VLOOKUP($S61,dropdown!$S$4:$T$15,2,FALSE),"")))</f>
        <v/>
      </c>
      <c r="W61" s="279"/>
      <c r="X61" s="240"/>
      <c r="AB61" s="35"/>
      <c r="AE61" s="35"/>
    </row>
    <row r="62" spans="9:31" ht="14" x14ac:dyDescent="0.2">
      <c r="I62" s="199" t="str">
        <f t="shared" si="2"/>
        <v/>
      </c>
      <c r="J62" s="278"/>
      <c r="K62" s="109"/>
      <c r="L62" s="279"/>
      <c r="M62" s="280"/>
      <c r="N62" s="281"/>
      <c r="O62" s="276"/>
      <c r="P62" s="277"/>
      <c r="Q62" s="276"/>
      <c r="R62" s="297"/>
      <c r="S62" s="276"/>
      <c r="T62" s="297"/>
      <c r="U62" s="297"/>
      <c r="V62" s="298" t="str">
        <f>IFERROR(VLOOKUP($O62,dropdown!$S$4:$T$15,2,FALSE),IFERROR(VLOOKUP($Q62,dropdown!$S$4:$T$15,2,FALSE),IFERROR(VLOOKUP($S62,dropdown!$S$4:$T$15,2,FALSE),"")))</f>
        <v/>
      </c>
      <c r="W62" s="279"/>
      <c r="X62" s="240"/>
      <c r="AB62" s="35"/>
      <c r="AE62" s="35"/>
    </row>
    <row r="63" spans="9:31" ht="14" x14ac:dyDescent="0.2">
      <c r="I63" s="199" t="str">
        <f t="shared" si="2"/>
        <v/>
      </c>
      <c r="J63" s="278"/>
      <c r="K63" s="109"/>
      <c r="L63" s="279"/>
      <c r="M63" s="280"/>
      <c r="N63" s="281"/>
      <c r="O63" s="276"/>
      <c r="P63" s="277"/>
      <c r="Q63" s="276"/>
      <c r="R63" s="297"/>
      <c r="S63" s="276"/>
      <c r="T63" s="297"/>
      <c r="U63" s="297"/>
      <c r="V63" s="298" t="str">
        <f>IFERROR(VLOOKUP($O63,dropdown!$S$4:$T$15,2,FALSE),IFERROR(VLOOKUP($Q63,dropdown!$S$4:$T$15,2,FALSE),IFERROR(VLOOKUP($S63,dropdown!$S$4:$T$15,2,FALSE),"")))</f>
        <v/>
      </c>
      <c r="W63" s="279"/>
      <c r="X63" s="240"/>
      <c r="AB63" s="35"/>
      <c r="AE63" s="35"/>
    </row>
    <row r="64" spans="9:31" ht="14" x14ac:dyDescent="0.2">
      <c r="I64" s="199" t="str">
        <f t="shared" si="2"/>
        <v/>
      </c>
      <c r="J64" s="278"/>
      <c r="K64" s="109"/>
      <c r="L64" s="279"/>
      <c r="M64" s="280"/>
      <c r="N64" s="281"/>
      <c r="O64" s="276"/>
      <c r="P64" s="277"/>
      <c r="Q64" s="276"/>
      <c r="R64" s="297"/>
      <c r="S64" s="276"/>
      <c r="T64" s="297"/>
      <c r="U64" s="297"/>
      <c r="V64" s="298" t="str">
        <f>IFERROR(VLOOKUP($O64,dropdown!$S$4:$T$15,2,FALSE),IFERROR(VLOOKUP($Q64,dropdown!$S$4:$T$15,2,FALSE),IFERROR(VLOOKUP($S64,dropdown!$S$4:$T$15,2,FALSE),"")))</f>
        <v/>
      </c>
      <c r="W64" s="279"/>
      <c r="X64" s="240"/>
      <c r="AB64" s="35"/>
      <c r="AE64" s="35"/>
    </row>
    <row r="65" spans="9:31" ht="14" x14ac:dyDescent="0.2">
      <c r="I65" s="199" t="str">
        <f t="shared" si="2"/>
        <v/>
      </c>
      <c r="J65" s="278"/>
      <c r="K65" s="109"/>
      <c r="L65" s="279"/>
      <c r="M65" s="280"/>
      <c r="N65" s="281"/>
      <c r="O65" s="276"/>
      <c r="P65" s="277"/>
      <c r="Q65" s="276"/>
      <c r="R65" s="297"/>
      <c r="S65" s="276"/>
      <c r="T65" s="297"/>
      <c r="U65" s="297"/>
      <c r="V65" s="298" t="str">
        <f>IFERROR(VLOOKUP($O65,dropdown!$S$4:$T$15,2,FALSE),IFERROR(VLOOKUP($Q65,dropdown!$S$4:$T$15,2,FALSE),IFERROR(VLOOKUP($S65,dropdown!$S$4:$T$15,2,FALSE),"")))</f>
        <v/>
      </c>
      <c r="W65" s="279"/>
      <c r="X65" s="240"/>
      <c r="AB65" s="35"/>
      <c r="AE65" s="35"/>
    </row>
    <row r="66" spans="9:31" ht="14" x14ac:dyDescent="0.2">
      <c r="I66" s="199" t="str">
        <f t="shared" si="2"/>
        <v/>
      </c>
      <c r="J66" s="278"/>
      <c r="K66" s="109"/>
      <c r="L66" s="279"/>
      <c r="M66" s="280"/>
      <c r="N66" s="281"/>
      <c r="O66" s="276"/>
      <c r="P66" s="277"/>
      <c r="Q66" s="276"/>
      <c r="R66" s="297"/>
      <c r="S66" s="276"/>
      <c r="T66" s="297"/>
      <c r="U66" s="297"/>
      <c r="V66" s="298" t="str">
        <f>IFERROR(VLOOKUP($O66,dropdown!$S$4:$T$15,2,FALSE),IFERROR(VLOOKUP($Q66,dropdown!$S$4:$T$15,2,FALSE),IFERROR(VLOOKUP($S66,dropdown!$S$4:$T$15,2,FALSE),"")))</f>
        <v/>
      </c>
      <c r="W66" s="279"/>
      <c r="X66" s="240"/>
      <c r="AB66" s="35"/>
      <c r="AE66" s="35"/>
    </row>
    <row r="67" spans="9:31" ht="14" x14ac:dyDescent="0.2">
      <c r="I67" s="199" t="str">
        <f t="shared" si="2"/>
        <v/>
      </c>
      <c r="J67" s="278"/>
      <c r="K67" s="109"/>
      <c r="L67" s="279"/>
      <c r="M67" s="280"/>
      <c r="N67" s="281"/>
      <c r="O67" s="276"/>
      <c r="P67" s="277"/>
      <c r="Q67" s="276"/>
      <c r="R67" s="297"/>
      <c r="S67" s="276"/>
      <c r="T67" s="297"/>
      <c r="U67" s="297"/>
      <c r="V67" s="298" t="str">
        <f>IFERROR(VLOOKUP($O67,dropdown!$S$4:$T$15,2,FALSE),IFERROR(VLOOKUP($Q67,dropdown!$S$4:$T$15,2,FALSE),IFERROR(VLOOKUP($S67,dropdown!$S$4:$T$15,2,FALSE),"")))</f>
        <v/>
      </c>
      <c r="W67" s="279"/>
      <c r="X67" s="240"/>
      <c r="AB67" s="35"/>
      <c r="AE67" s="35"/>
    </row>
    <row r="68" spans="9:31" ht="14" x14ac:dyDescent="0.2">
      <c r="I68" s="199" t="str">
        <f t="shared" si="2"/>
        <v/>
      </c>
      <c r="J68" s="278"/>
      <c r="K68" s="109"/>
      <c r="L68" s="279"/>
      <c r="M68" s="280"/>
      <c r="N68" s="281"/>
      <c r="O68" s="276"/>
      <c r="P68" s="277"/>
      <c r="Q68" s="276"/>
      <c r="R68" s="297"/>
      <c r="S68" s="276"/>
      <c r="T68" s="297"/>
      <c r="U68" s="297"/>
      <c r="V68" s="298" t="str">
        <f>IFERROR(VLOOKUP($O68,dropdown!$S$4:$T$15,2,FALSE),IFERROR(VLOOKUP($Q68,dropdown!$S$4:$T$15,2,FALSE),IFERROR(VLOOKUP($S68,dropdown!$S$4:$T$15,2,FALSE),"")))</f>
        <v/>
      </c>
      <c r="W68" s="279"/>
      <c r="X68" s="240"/>
      <c r="AB68" s="35"/>
      <c r="AE68" s="35"/>
    </row>
    <row r="69" spans="9:31" ht="14" x14ac:dyDescent="0.2">
      <c r="I69" s="199" t="str">
        <f t="shared" si="2"/>
        <v/>
      </c>
      <c r="J69" s="278"/>
      <c r="K69" s="109"/>
      <c r="L69" s="279"/>
      <c r="M69" s="280"/>
      <c r="N69" s="281"/>
      <c r="O69" s="276"/>
      <c r="P69" s="277"/>
      <c r="Q69" s="276"/>
      <c r="R69" s="297"/>
      <c r="S69" s="276"/>
      <c r="T69" s="297"/>
      <c r="U69" s="297"/>
      <c r="V69" s="298" t="str">
        <f>IFERROR(VLOOKUP($O69,dropdown!$S$4:$T$15,2,FALSE),IFERROR(VLOOKUP($Q69,dropdown!$S$4:$T$15,2,FALSE),IFERROR(VLOOKUP($S69,dropdown!$S$4:$T$15,2,FALSE),"")))</f>
        <v/>
      </c>
      <c r="W69" s="279"/>
      <c r="X69" s="240"/>
      <c r="AB69" s="35"/>
      <c r="AE69" s="35"/>
    </row>
    <row r="70" spans="9:31" ht="14" x14ac:dyDescent="0.2">
      <c r="I70" s="199" t="str">
        <f t="shared" si="2"/>
        <v/>
      </c>
      <c r="J70" s="278"/>
      <c r="K70" s="109"/>
      <c r="L70" s="279"/>
      <c r="M70" s="280"/>
      <c r="N70" s="281"/>
      <c r="O70" s="276"/>
      <c r="P70" s="277"/>
      <c r="Q70" s="276"/>
      <c r="R70" s="297"/>
      <c r="S70" s="276"/>
      <c r="T70" s="297"/>
      <c r="U70" s="297"/>
      <c r="V70" s="298" t="str">
        <f>IFERROR(VLOOKUP($O70,dropdown!$S$4:$T$15,2,FALSE),IFERROR(VLOOKUP($Q70,dropdown!$S$4:$T$15,2,FALSE),IFERROR(VLOOKUP($S70,dropdown!$S$4:$T$15,2,FALSE),"")))</f>
        <v/>
      </c>
      <c r="W70" s="279"/>
      <c r="X70" s="240"/>
      <c r="AB70" s="35"/>
      <c r="AE70" s="35"/>
    </row>
    <row r="71" spans="9:31" ht="14" x14ac:dyDescent="0.2">
      <c r="I71" s="199" t="str">
        <f t="shared" si="2"/>
        <v/>
      </c>
      <c r="J71" s="278"/>
      <c r="K71" s="109"/>
      <c r="L71" s="279"/>
      <c r="M71" s="280"/>
      <c r="N71" s="281"/>
      <c r="O71" s="276"/>
      <c r="P71" s="277"/>
      <c r="Q71" s="276"/>
      <c r="R71" s="297"/>
      <c r="S71" s="276"/>
      <c r="T71" s="297"/>
      <c r="U71" s="297"/>
      <c r="V71" s="298" t="str">
        <f>IFERROR(VLOOKUP($O71,dropdown!$S$4:$T$15,2,FALSE),IFERROR(VLOOKUP($Q71,dropdown!$S$4:$T$15,2,FALSE),IFERROR(VLOOKUP($S71,dropdown!$S$4:$T$15,2,FALSE),"")))</f>
        <v/>
      </c>
      <c r="W71" s="279"/>
      <c r="X71" s="240"/>
      <c r="AB71" s="35"/>
      <c r="AE71" s="35"/>
    </row>
    <row r="72" spans="9:31" ht="14" x14ac:dyDescent="0.2">
      <c r="I72" s="199" t="str">
        <f t="shared" si="2"/>
        <v/>
      </c>
      <c r="J72" s="278"/>
      <c r="K72" s="109"/>
      <c r="L72" s="279"/>
      <c r="M72" s="280"/>
      <c r="N72" s="281"/>
      <c r="O72" s="276"/>
      <c r="P72" s="277"/>
      <c r="Q72" s="276"/>
      <c r="R72" s="297"/>
      <c r="S72" s="276"/>
      <c r="T72" s="297"/>
      <c r="U72" s="297"/>
      <c r="V72" s="298" t="str">
        <f>IFERROR(VLOOKUP($O72,dropdown!$S$4:$T$15,2,FALSE),IFERROR(VLOOKUP($Q72,dropdown!$S$4:$T$15,2,FALSE),IFERROR(VLOOKUP($S72,dropdown!$S$4:$T$15,2,FALSE),"")))</f>
        <v/>
      </c>
      <c r="W72" s="279"/>
      <c r="X72" s="240"/>
      <c r="AB72" s="35"/>
      <c r="AE72" s="35"/>
    </row>
    <row r="73" spans="9:31" ht="14" x14ac:dyDescent="0.2">
      <c r="I73" s="199" t="str">
        <f t="shared" si="2"/>
        <v/>
      </c>
      <c r="J73" s="278"/>
      <c r="K73" s="109"/>
      <c r="L73" s="279"/>
      <c r="M73" s="280"/>
      <c r="N73" s="281"/>
      <c r="O73" s="276"/>
      <c r="P73" s="277"/>
      <c r="Q73" s="276"/>
      <c r="R73" s="297"/>
      <c r="S73" s="276"/>
      <c r="T73" s="297"/>
      <c r="U73" s="297"/>
      <c r="V73" s="298" t="str">
        <f>IFERROR(VLOOKUP($O73,dropdown!$S$4:$T$15,2,FALSE),IFERROR(VLOOKUP($Q73,dropdown!$S$4:$T$15,2,FALSE),IFERROR(VLOOKUP($S73,dropdown!$S$4:$T$15,2,FALSE),"")))</f>
        <v/>
      </c>
      <c r="W73" s="279"/>
      <c r="X73" s="240"/>
      <c r="AB73" s="35"/>
      <c r="AE73" s="35"/>
    </row>
    <row r="74" spans="9:31" ht="14" x14ac:dyDescent="0.2">
      <c r="I74" s="199" t="str">
        <f t="shared" ref="I74:I107" si="3">IF($K74="","",$I73+1)</f>
        <v/>
      </c>
      <c r="J74" s="278"/>
      <c r="K74" s="109"/>
      <c r="L74" s="279"/>
      <c r="M74" s="280"/>
      <c r="N74" s="281"/>
      <c r="O74" s="276"/>
      <c r="P74" s="277"/>
      <c r="Q74" s="276"/>
      <c r="R74" s="297"/>
      <c r="S74" s="276"/>
      <c r="T74" s="297"/>
      <c r="U74" s="297"/>
      <c r="V74" s="298" t="str">
        <f>IFERROR(VLOOKUP($O74,dropdown!$S$4:$T$15,2,FALSE),IFERROR(VLOOKUP($Q74,dropdown!$S$4:$T$15,2,FALSE),IFERROR(VLOOKUP($S74,dropdown!$S$4:$T$15,2,FALSE),"")))</f>
        <v/>
      </c>
      <c r="W74" s="279"/>
      <c r="X74" s="240"/>
      <c r="AB74" s="35"/>
      <c r="AE74" s="35"/>
    </row>
    <row r="75" spans="9:31" ht="14" x14ac:dyDescent="0.2">
      <c r="I75" s="199" t="str">
        <f t="shared" si="3"/>
        <v/>
      </c>
      <c r="J75" s="278"/>
      <c r="K75" s="109"/>
      <c r="L75" s="279"/>
      <c r="M75" s="280"/>
      <c r="N75" s="281"/>
      <c r="O75" s="276"/>
      <c r="P75" s="277"/>
      <c r="Q75" s="276"/>
      <c r="R75" s="297"/>
      <c r="S75" s="276"/>
      <c r="T75" s="297"/>
      <c r="U75" s="297"/>
      <c r="V75" s="298" t="str">
        <f>IFERROR(VLOOKUP($O75,dropdown!$S$4:$T$15,2,FALSE),IFERROR(VLOOKUP($Q75,dropdown!$S$4:$T$15,2,FALSE),IFERROR(VLOOKUP($S75,dropdown!$S$4:$T$15,2,FALSE),"")))</f>
        <v/>
      </c>
      <c r="W75" s="279"/>
      <c r="X75" s="240"/>
      <c r="AB75" s="35"/>
      <c r="AE75" s="35"/>
    </row>
    <row r="76" spans="9:31" ht="14" x14ac:dyDescent="0.2">
      <c r="I76" s="199" t="str">
        <f t="shared" si="3"/>
        <v/>
      </c>
      <c r="J76" s="278"/>
      <c r="K76" s="109"/>
      <c r="L76" s="279"/>
      <c r="M76" s="280"/>
      <c r="N76" s="281"/>
      <c r="O76" s="276"/>
      <c r="P76" s="277"/>
      <c r="Q76" s="276"/>
      <c r="R76" s="297"/>
      <c r="S76" s="276"/>
      <c r="T76" s="297"/>
      <c r="U76" s="297"/>
      <c r="V76" s="298" t="str">
        <f>IFERROR(VLOOKUP($O76,dropdown!$S$4:$T$15,2,FALSE),IFERROR(VLOOKUP($Q76,dropdown!$S$4:$T$15,2,FALSE),IFERROR(VLOOKUP($S76,dropdown!$S$4:$T$15,2,FALSE),"")))</f>
        <v/>
      </c>
      <c r="W76" s="279"/>
      <c r="X76" s="240"/>
      <c r="AB76" s="35"/>
      <c r="AE76" s="35"/>
    </row>
    <row r="77" spans="9:31" ht="14" x14ac:dyDescent="0.2">
      <c r="I77" s="199" t="str">
        <f t="shared" si="3"/>
        <v/>
      </c>
      <c r="J77" s="278"/>
      <c r="K77" s="109"/>
      <c r="L77" s="279"/>
      <c r="M77" s="280"/>
      <c r="N77" s="281"/>
      <c r="O77" s="276"/>
      <c r="P77" s="277"/>
      <c r="Q77" s="276"/>
      <c r="R77" s="297"/>
      <c r="S77" s="276"/>
      <c r="T77" s="297"/>
      <c r="U77" s="297"/>
      <c r="V77" s="298" t="str">
        <f>IFERROR(VLOOKUP($O77,dropdown!$S$4:$T$15,2,FALSE),IFERROR(VLOOKUP($Q77,dropdown!$S$4:$T$15,2,FALSE),IFERROR(VLOOKUP($S77,dropdown!$S$4:$T$15,2,FALSE),"")))</f>
        <v/>
      </c>
      <c r="W77" s="279"/>
      <c r="X77" s="240"/>
      <c r="AB77" s="35"/>
      <c r="AE77" s="35"/>
    </row>
    <row r="78" spans="9:31" ht="14" x14ac:dyDescent="0.2">
      <c r="I78" s="199" t="str">
        <f t="shared" si="3"/>
        <v/>
      </c>
      <c r="J78" s="278"/>
      <c r="K78" s="109"/>
      <c r="L78" s="279"/>
      <c r="M78" s="280"/>
      <c r="N78" s="281"/>
      <c r="O78" s="276"/>
      <c r="P78" s="277"/>
      <c r="Q78" s="276"/>
      <c r="R78" s="297"/>
      <c r="S78" s="276"/>
      <c r="T78" s="297"/>
      <c r="U78" s="297"/>
      <c r="V78" s="298" t="str">
        <f>IFERROR(VLOOKUP($O78,dropdown!$S$4:$T$15,2,FALSE),IFERROR(VLOOKUP($Q78,dropdown!$S$4:$T$15,2,FALSE),IFERROR(VLOOKUP($S78,dropdown!$S$4:$T$15,2,FALSE),"")))</f>
        <v/>
      </c>
      <c r="W78" s="279"/>
      <c r="X78" s="240"/>
      <c r="AB78" s="35"/>
      <c r="AE78" s="35"/>
    </row>
    <row r="79" spans="9:31" ht="14" x14ac:dyDescent="0.2">
      <c r="I79" s="199" t="str">
        <f t="shared" si="3"/>
        <v/>
      </c>
      <c r="J79" s="278"/>
      <c r="K79" s="109"/>
      <c r="L79" s="279"/>
      <c r="M79" s="280"/>
      <c r="N79" s="281"/>
      <c r="O79" s="276"/>
      <c r="P79" s="277"/>
      <c r="Q79" s="276"/>
      <c r="R79" s="297"/>
      <c r="S79" s="276"/>
      <c r="T79" s="297"/>
      <c r="U79" s="297"/>
      <c r="V79" s="298" t="str">
        <f>IFERROR(VLOOKUP($O79,dropdown!$S$4:$T$15,2,FALSE),IFERROR(VLOOKUP($Q79,dropdown!$S$4:$T$15,2,FALSE),IFERROR(VLOOKUP($S79,dropdown!$S$4:$T$15,2,FALSE),"")))</f>
        <v/>
      </c>
      <c r="W79" s="279"/>
      <c r="X79" s="240"/>
      <c r="AB79" s="35"/>
      <c r="AE79" s="35"/>
    </row>
    <row r="80" spans="9:31" ht="14" x14ac:dyDescent="0.2">
      <c r="I80" s="199" t="str">
        <f t="shared" si="3"/>
        <v/>
      </c>
      <c r="J80" s="278"/>
      <c r="K80" s="109"/>
      <c r="L80" s="279"/>
      <c r="M80" s="280"/>
      <c r="N80" s="281"/>
      <c r="O80" s="276"/>
      <c r="P80" s="277"/>
      <c r="Q80" s="276"/>
      <c r="R80" s="297"/>
      <c r="S80" s="276"/>
      <c r="T80" s="297"/>
      <c r="U80" s="297"/>
      <c r="V80" s="298" t="str">
        <f>IFERROR(VLOOKUP($O80,dropdown!$S$4:$T$15,2,FALSE),IFERROR(VLOOKUP($Q80,dropdown!$S$4:$T$15,2,FALSE),IFERROR(VLOOKUP($S80,dropdown!$S$4:$T$15,2,FALSE),"")))</f>
        <v/>
      </c>
      <c r="W80" s="279"/>
      <c r="X80" s="240"/>
      <c r="AB80" s="35"/>
      <c r="AE80" s="35"/>
    </row>
    <row r="81" spans="9:31" ht="14" x14ac:dyDescent="0.2">
      <c r="I81" s="199" t="str">
        <f t="shared" si="3"/>
        <v/>
      </c>
      <c r="J81" s="278"/>
      <c r="K81" s="109"/>
      <c r="L81" s="279"/>
      <c r="M81" s="280"/>
      <c r="N81" s="281"/>
      <c r="O81" s="276"/>
      <c r="P81" s="277"/>
      <c r="Q81" s="276"/>
      <c r="R81" s="297"/>
      <c r="S81" s="276"/>
      <c r="T81" s="297"/>
      <c r="U81" s="297"/>
      <c r="V81" s="298" t="str">
        <f>IFERROR(VLOOKUP($O81,dropdown!$S$4:$T$15,2,FALSE),IFERROR(VLOOKUP($Q81,dropdown!$S$4:$T$15,2,FALSE),IFERROR(VLOOKUP($S81,dropdown!$S$4:$T$15,2,FALSE),"")))</f>
        <v/>
      </c>
      <c r="W81" s="279"/>
      <c r="X81" s="240"/>
      <c r="AB81" s="35"/>
      <c r="AE81" s="35"/>
    </row>
    <row r="82" spans="9:31" ht="14" x14ac:dyDescent="0.2">
      <c r="I82" s="199" t="str">
        <f t="shared" si="3"/>
        <v/>
      </c>
      <c r="J82" s="278"/>
      <c r="K82" s="109"/>
      <c r="L82" s="279"/>
      <c r="M82" s="280"/>
      <c r="N82" s="281"/>
      <c r="O82" s="276"/>
      <c r="P82" s="277"/>
      <c r="Q82" s="276"/>
      <c r="R82" s="297"/>
      <c r="S82" s="276"/>
      <c r="T82" s="297"/>
      <c r="U82" s="297"/>
      <c r="V82" s="298" t="str">
        <f>IFERROR(VLOOKUP($O82,dropdown!$S$4:$T$15,2,FALSE),IFERROR(VLOOKUP($Q82,dropdown!$S$4:$T$15,2,FALSE),IFERROR(VLOOKUP($S82,dropdown!$S$4:$T$15,2,FALSE),"")))</f>
        <v/>
      </c>
      <c r="W82" s="279"/>
      <c r="X82" s="240"/>
      <c r="AB82" s="35"/>
      <c r="AE82" s="35"/>
    </row>
    <row r="83" spans="9:31" ht="14" x14ac:dyDescent="0.2">
      <c r="I83" s="199" t="str">
        <f t="shared" si="3"/>
        <v/>
      </c>
      <c r="J83" s="278"/>
      <c r="K83" s="109"/>
      <c r="L83" s="279"/>
      <c r="M83" s="280"/>
      <c r="N83" s="281"/>
      <c r="O83" s="276"/>
      <c r="P83" s="277"/>
      <c r="Q83" s="276"/>
      <c r="R83" s="297"/>
      <c r="S83" s="276"/>
      <c r="T83" s="297"/>
      <c r="U83" s="297"/>
      <c r="V83" s="298" t="str">
        <f>IFERROR(VLOOKUP($O83,dropdown!$S$4:$T$15,2,FALSE),IFERROR(VLOOKUP($Q83,dropdown!$S$4:$T$15,2,FALSE),IFERROR(VLOOKUP($S83,dropdown!$S$4:$T$15,2,FALSE),"")))</f>
        <v/>
      </c>
      <c r="W83" s="279"/>
      <c r="X83" s="240"/>
      <c r="AB83" s="35"/>
      <c r="AE83" s="35"/>
    </row>
    <row r="84" spans="9:31" ht="14" x14ac:dyDescent="0.2">
      <c r="I84" s="199" t="str">
        <f t="shared" si="3"/>
        <v/>
      </c>
      <c r="J84" s="278"/>
      <c r="K84" s="109"/>
      <c r="L84" s="279"/>
      <c r="M84" s="280"/>
      <c r="N84" s="281"/>
      <c r="O84" s="276"/>
      <c r="P84" s="277"/>
      <c r="Q84" s="276"/>
      <c r="R84" s="297"/>
      <c r="S84" s="276"/>
      <c r="T84" s="297"/>
      <c r="U84" s="297"/>
      <c r="V84" s="298" t="str">
        <f>IFERROR(VLOOKUP($O84,dropdown!$S$4:$T$15,2,FALSE),IFERROR(VLOOKUP($Q84,dropdown!$S$4:$T$15,2,FALSE),IFERROR(VLOOKUP($S84,dropdown!$S$4:$T$15,2,FALSE),"")))</f>
        <v/>
      </c>
      <c r="W84" s="279"/>
      <c r="X84" s="240"/>
      <c r="AB84" s="35"/>
      <c r="AE84" s="35"/>
    </row>
    <row r="85" spans="9:31" ht="14" x14ac:dyDescent="0.2">
      <c r="I85" s="199" t="str">
        <f t="shared" si="3"/>
        <v/>
      </c>
      <c r="J85" s="278"/>
      <c r="K85" s="109"/>
      <c r="L85" s="279"/>
      <c r="M85" s="280"/>
      <c r="N85" s="281"/>
      <c r="O85" s="276"/>
      <c r="P85" s="277"/>
      <c r="Q85" s="276"/>
      <c r="R85" s="297"/>
      <c r="S85" s="276"/>
      <c r="T85" s="297"/>
      <c r="U85" s="297"/>
      <c r="V85" s="298" t="str">
        <f>IFERROR(VLOOKUP($O85,dropdown!$S$4:$T$15,2,FALSE),IFERROR(VLOOKUP($Q85,dropdown!$S$4:$T$15,2,FALSE),IFERROR(VLOOKUP($S85,dropdown!$S$4:$T$15,2,FALSE),"")))</f>
        <v/>
      </c>
      <c r="W85" s="279"/>
      <c r="X85" s="240"/>
      <c r="AB85" s="35"/>
      <c r="AE85" s="35"/>
    </row>
    <row r="86" spans="9:31" ht="14" x14ac:dyDescent="0.2">
      <c r="I86" s="199" t="str">
        <f t="shared" si="3"/>
        <v/>
      </c>
      <c r="J86" s="278"/>
      <c r="K86" s="109"/>
      <c r="L86" s="279"/>
      <c r="M86" s="280"/>
      <c r="N86" s="281"/>
      <c r="O86" s="276"/>
      <c r="P86" s="277"/>
      <c r="Q86" s="276"/>
      <c r="R86" s="297"/>
      <c r="S86" s="276"/>
      <c r="T86" s="297"/>
      <c r="U86" s="297"/>
      <c r="V86" s="298" t="str">
        <f>IFERROR(VLOOKUP($O86,dropdown!$S$4:$T$15,2,FALSE),IFERROR(VLOOKUP($Q86,dropdown!$S$4:$T$15,2,FALSE),IFERROR(VLOOKUP($S86,dropdown!$S$4:$T$15,2,FALSE),"")))</f>
        <v/>
      </c>
      <c r="W86" s="279"/>
      <c r="X86" s="240"/>
      <c r="AB86" s="35"/>
      <c r="AE86" s="35"/>
    </row>
    <row r="87" spans="9:31" ht="14" x14ac:dyDescent="0.2">
      <c r="I87" s="199" t="str">
        <f t="shared" si="3"/>
        <v/>
      </c>
      <c r="J87" s="278"/>
      <c r="K87" s="109"/>
      <c r="L87" s="279"/>
      <c r="M87" s="280"/>
      <c r="N87" s="281"/>
      <c r="O87" s="276"/>
      <c r="P87" s="277"/>
      <c r="Q87" s="276"/>
      <c r="R87" s="297"/>
      <c r="S87" s="276"/>
      <c r="T87" s="297"/>
      <c r="U87" s="297"/>
      <c r="V87" s="298" t="str">
        <f>IFERROR(VLOOKUP($O87,dropdown!$S$4:$T$15,2,FALSE),IFERROR(VLOOKUP($Q87,dropdown!$S$4:$T$15,2,FALSE),IFERROR(VLOOKUP($S87,dropdown!$S$4:$T$15,2,FALSE),"")))</f>
        <v/>
      </c>
      <c r="W87" s="279"/>
      <c r="X87" s="240"/>
      <c r="AB87" s="35"/>
      <c r="AE87" s="35"/>
    </row>
    <row r="88" spans="9:31" ht="14" x14ac:dyDescent="0.2">
      <c r="I88" s="199" t="str">
        <f t="shared" si="3"/>
        <v/>
      </c>
      <c r="J88" s="278"/>
      <c r="K88" s="109"/>
      <c r="L88" s="279"/>
      <c r="M88" s="280"/>
      <c r="N88" s="281"/>
      <c r="O88" s="276"/>
      <c r="P88" s="277"/>
      <c r="Q88" s="276"/>
      <c r="R88" s="297"/>
      <c r="S88" s="276"/>
      <c r="T88" s="297"/>
      <c r="U88" s="297"/>
      <c r="V88" s="298" t="str">
        <f>IFERROR(VLOOKUP($O88,dropdown!$S$4:$T$15,2,FALSE),IFERROR(VLOOKUP($Q88,dropdown!$S$4:$T$15,2,FALSE),IFERROR(VLOOKUP($S88,dropdown!$S$4:$T$15,2,FALSE),"")))</f>
        <v/>
      </c>
      <c r="W88" s="279"/>
      <c r="X88" s="240"/>
      <c r="AB88" s="35"/>
      <c r="AE88" s="35"/>
    </row>
    <row r="89" spans="9:31" ht="14" x14ac:dyDescent="0.2">
      <c r="I89" s="199" t="str">
        <f t="shared" si="3"/>
        <v/>
      </c>
      <c r="J89" s="278"/>
      <c r="K89" s="109"/>
      <c r="L89" s="279"/>
      <c r="M89" s="280"/>
      <c r="N89" s="281"/>
      <c r="O89" s="276"/>
      <c r="P89" s="277"/>
      <c r="Q89" s="276"/>
      <c r="R89" s="297"/>
      <c r="S89" s="276"/>
      <c r="T89" s="297"/>
      <c r="U89" s="297"/>
      <c r="V89" s="298" t="str">
        <f>IFERROR(VLOOKUP($O89,dropdown!$S$4:$T$15,2,FALSE),IFERROR(VLOOKUP($Q89,dropdown!$S$4:$T$15,2,FALSE),IFERROR(VLOOKUP($S89,dropdown!$S$4:$T$15,2,FALSE),"")))</f>
        <v/>
      </c>
      <c r="W89" s="279"/>
      <c r="X89" s="240"/>
      <c r="AB89" s="35"/>
      <c r="AE89" s="35"/>
    </row>
    <row r="90" spans="9:31" ht="14" x14ac:dyDescent="0.2">
      <c r="I90" s="199" t="str">
        <f t="shared" si="3"/>
        <v/>
      </c>
      <c r="J90" s="278"/>
      <c r="K90" s="109"/>
      <c r="L90" s="279"/>
      <c r="M90" s="280"/>
      <c r="N90" s="281"/>
      <c r="O90" s="276"/>
      <c r="P90" s="277"/>
      <c r="Q90" s="276"/>
      <c r="R90" s="297"/>
      <c r="S90" s="276"/>
      <c r="T90" s="297"/>
      <c r="U90" s="297"/>
      <c r="V90" s="298" t="str">
        <f>IFERROR(VLOOKUP($O90,dropdown!$S$4:$T$15,2,FALSE),IFERROR(VLOOKUP($Q90,dropdown!$S$4:$T$15,2,FALSE),IFERROR(VLOOKUP($S90,dropdown!$S$4:$T$15,2,FALSE),"")))</f>
        <v/>
      </c>
      <c r="W90" s="279"/>
      <c r="X90" s="240"/>
      <c r="AB90" s="35"/>
      <c r="AE90" s="35"/>
    </row>
    <row r="91" spans="9:31" ht="14" x14ac:dyDescent="0.2">
      <c r="I91" s="199" t="str">
        <f t="shared" si="3"/>
        <v/>
      </c>
      <c r="J91" s="278"/>
      <c r="K91" s="109"/>
      <c r="L91" s="279"/>
      <c r="M91" s="280"/>
      <c r="N91" s="281"/>
      <c r="O91" s="276"/>
      <c r="P91" s="277"/>
      <c r="Q91" s="276"/>
      <c r="R91" s="297"/>
      <c r="S91" s="276"/>
      <c r="T91" s="297"/>
      <c r="U91" s="297"/>
      <c r="V91" s="298" t="str">
        <f>IFERROR(VLOOKUP($O91,dropdown!$S$4:$T$15,2,FALSE),IFERROR(VLOOKUP($Q91,dropdown!$S$4:$T$15,2,FALSE),IFERROR(VLOOKUP($S91,dropdown!$S$4:$T$15,2,FALSE),"")))</f>
        <v/>
      </c>
      <c r="W91" s="279"/>
      <c r="X91" s="240"/>
      <c r="AB91" s="35"/>
      <c r="AE91" s="35"/>
    </row>
    <row r="92" spans="9:31" ht="14" x14ac:dyDescent="0.2">
      <c r="I92" s="199" t="str">
        <f t="shared" si="3"/>
        <v/>
      </c>
      <c r="J92" s="278"/>
      <c r="K92" s="109"/>
      <c r="L92" s="279"/>
      <c r="M92" s="280"/>
      <c r="N92" s="281"/>
      <c r="O92" s="276"/>
      <c r="P92" s="277"/>
      <c r="Q92" s="276"/>
      <c r="R92" s="297"/>
      <c r="S92" s="276"/>
      <c r="T92" s="297"/>
      <c r="U92" s="297"/>
      <c r="V92" s="298" t="str">
        <f>IFERROR(VLOOKUP($O92,dropdown!$S$4:$T$15,2,FALSE),IFERROR(VLOOKUP($Q92,dropdown!$S$4:$T$15,2,FALSE),IFERROR(VLOOKUP($S92,dropdown!$S$4:$T$15,2,FALSE),"")))</f>
        <v/>
      </c>
      <c r="W92" s="279"/>
      <c r="X92" s="240"/>
      <c r="AB92" s="35"/>
      <c r="AE92" s="35"/>
    </row>
    <row r="93" spans="9:31" ht="14" x14ac:dyDescent="0.2">
      <c r="I93" s="199" t="str">
        <f t="shared" si="3"/>
        <v/>
      </c>
      <c r="J93" s="278"/>
      <c r="K93" s="109"/>
      <c r="L93" s="279"/>
      <c r="M93" s="280"/>
      <c r="N93" s="281"/>
      <c r="O93" s="276"/>
      <c r="P93" s="277"/>
      <c r="Q93" s="276"/>
      <c r="R93" s="297"/>
      <c r="S93" s="276"/>
      <c r="T93" s="297"/>
      <c r="U93" s="297"/>
      <c r="V93" s="298" t="str">
        <f>IFERROR(VLOOKUP($O93,dropdown!$S$4:$T$15,2,FALSE),IFERROR(VLOOKUP($Q93,dropdown!$S$4:$T$15,2,FALSE),IFERROR(VLOOKUP($S93,dropdown!$S$4:$T$15,2,FALSE),"")))</f>
        <v/>
      </c>
      <c r="W93" s="279"/>
      <c r="X93" s="240"/>
      <c r="AB93" s="35"/>
      <c r="AE93" s="35"/>
    </row>
    <row r="94" spans="9:31" ht="14" x14ac:dyDescent="0.2">
      <c r="I94" s="199" t="str">
        <f t="shared" si="3"/>
        <v/>
      </c>
      <c r="J94" s="278"/>
      <c r="K94" s="109"/>
      <c r="L94" s="279"/>
      <c r="M94" s="280"/>
      <c r="N94" s="281"/>
      <c r="O94" s="276"/>
      <c r="P94" s="277"/>
      <c r="Q94" s="276"/>
      <c r="R94" s="297"/>
      <c r="S94" s="276"/>
      <c r="T94" s="297"/>
      <c r="U94" s="297"/>
      <c r="V94" s="298" t="str">
        <f>IFERROR(VLOOKUP($O94,dropdown!$S$4:$T$15,2,FALSE),IFERROR(VLOOKUP($Q94,dropdown!$S$4:$T$15,2,FALSE),IFERROR(VLOOKUP($S94,dropdown!$S$4:$T$15,2,FALSE),"")))</f>
        <v/>
      </c>
      <c r="W94" s="279"/>
      <c r="X94" s="240"/>
      <c r="AB94" s="35"/>
      <c r="AE94" s="35"/>
    </row>
    <row r="95" spans="9:31" ht="14" x14ac:dyDescent="0.2">
      <c r="I95" s="199" t="str">
        <f t="shared" si="3"/>
        <v/>
      </c>
      <c r="J95" s="278"/>
      <c r="K95" s="109"/>
      <c r="L95" s="279"/>
      <c r="M95" s="280"/>
      <c r="N95" s="281"/>
      <c r="O95" s="276"/>
      <c r="P95" s="277"/>
      <c r="Q95" s="276"/>
      <c r="R95" s="297"/>
      <c r="S95" s="276"/>
      <c r="T95" s="297"/>
      <c r="U95" s="297"/>
      <c r="V95" s="298" t="str">
        <f>IFERROR(VLOOKUP($O95,dropdown!$S$4:$T$15,2,FALSE),IFERROR(VLOOKUP($Q95,dropdown!$S$4:$T$15,2,FALSE),IFERROR(VLOOKUP($S95,dropdown!$S$4:$T$15,2,FALSE),"")))</f>
        <v/>
      </c>
      <c r="W95" s="279"/>
      <c r="X95" s="240"/>
      <c r="AB95" s="35"/>
      <c r="AE95" s="35"/>
    </row>
    <row r="96" spans="9:31" ht="14" x14ac:dyDescent="0.2">
      <c r="I96" s="199" t="str">
        <f t="shared" si="3"/>
        <v/>
      </c>
      <c r="J96" s="278"/>
      <c r="K96" s="109"/>
      <c r="L96" s="279"/>
      <c r="M96" s="280"/>
      <c r="N96" s="281"/>
      <c r="O96" s="276"/>
      <c r="P96" s="277"/>
      <c r="Q96" s="276"/>
      <c r="R96" s="297"/>
      <c r="S96" s="276"/>
      <c r="T96" s="297"/>
      <c r="U96" s="297"/>
      <c r="V96" s="298" t="str">
        <f>IFERROR(VLOOKUP($O96,dropdown!$S$4:$T$15,2,FALSE),IFERROR(VLOOKUP($Q96,dropdown!$S$4:$T$15,2,FALSE),IFERROR(VLOOKUP($S96,dropdown!$S$4:$T$15,2,FALSE),"")))</f>
        <v/>
      </c>
      <c r="W96" s="279"/>
      <c r="X96" s="240"/>
      <c r="AB96" s="35"/>
      <c r="AE96" s="35"/>
    </row>
    <row r="97" spans="9:31" ht="14" x14ac:dyDescent="0.2">
      <c r="I97" s="199" t="str">
        <f t="shared" si="3"/>
        <v/>
      </c>
      <c r="J97" s="278"/>
      <c r="K97" s="109"/>
      <c r="L97" s="279"/>
      <c r="M97" s="280"/>
      <c r="N97" s="281"/>
      <c r="O97" s="276"/>
      <c r="P97" s="277"/>
      <c r="Q97" s="276"/>
      <c r="R97" s="297"/>
      <c r="S97" s="276"/>
      <c r="T97" s="297"/>
      <c r="U97" s="297"/>
      <c r="V97" s="298" t="str">
        <f>IFERROR(VLOOKUP($O97,dropdown!$S$4:$T$15,2,FALSE),IFERROR(VLOOKUP($Q97,dropdown!$S$4:$T$15,2,FALSE),IFERROR(VLOOKUP($S97,dropdown!$S$4:$T$15,2,FALSE),"")))</f>
        <v/>
      </c>
      <c r="W97" s="279"/>
      <c r="X97" s="240"/>
      <c r="AB97" s="35"/>
      <c r="AE97" s="35"/>
    </row>
    <row r="98" spans="9:31" ht="14" x14ac:dyDescent="0.2">
      <c r="I98" s="199" t="str">
        <f t="shared" si="3"/>
        <v/>
      </c>
      <c r="J98" s="278"/>
      <c r="K98" s="109"/>
      <c r="L98" s="279"/>
      <c r="M98" s="280"/>
      <c r="N98" s="281"/>
      <c r="O98" s="276"/>
      <c r="P98" s="277"/>
      <c r="Q98" s="276"/>
      <c r="R98" s="297"/>
      <c r="S98" s="276"/>
      <c r="T98" s="297"/>
      <c r="U98" s="297"/>
      <c r="V98" s="298" t="str">
        <f>IFERROR(VLOOKUP($O98,dropdown!$S$4:$T$15,2,FALSE),IFERROR(VLOOKUP($Q98,dropdown!$S$4:$T$15,2,FALSE),IFERROR(VLOOKUP($S98,dropdown!$S$4:$T$15,2,FALSE),"")))</f>
        <v/>
      </c>
      <c r="W98" s="279"/>
      <c r="X98" s="240"/>
      <c r="AB98" s="35"/>
      <c r="AE98" s="35"/>
    </row>
    <row r="99" spans="9:31" ht="14" x14ac:dyDescent="0.2">
      <c r="I99" s="199" t="str">
        <f t="shared" si="3"/>
        <v/>
      </c>
      <c r="J99" s="278"/>
      <c r="K99" s="109"/>
      <c r="L99" s="279"/>
      <c r="M99" s="280"/>
      <c r="N99" s="281"/>
      <c r="O99" s="276"/>
      <c r="P99" s="277"/>
      <c r="Q99" s="276"/>
      <c r="R99" s="297"/>
      <c r="S99" s="276"/>
      <c r="T99" s="297"/>
      <c r="U99" s="297"/>
      <c r="V99" s="298" t="str">
        <f>IFERROR(VLOOKUP($O99,dropdown!$S$4:$T$15,2,FALSE),IFERROR(VLOOKUP($Q99,dropdown!$S$4:$T$15,2,FALSE),IFERROR(VLOOKUP($S99,dropdown!$S$4:$T$15,2,FALSE),"")))</f>
        <v/>
      </c>
      <c r="W99" s="279"/>
      <c r="X99" s="240"/>
      <c r="AB99" s="35"/>
      <c r="AE99" s="35"/>
    </row>
    <row r="100" spans="9:31" ht="14" x14ac:dyDescent="0.2">
      <c r="I100" s="199" t="str">
        <f t="shared" si="3"/>
        <v/>
      </c>
      <c r="J100" s="278"/>
      <c r="K100" s="109"/>
      <c r="L100" s="279"/>
      <c r="M100" s="280"/>
      <c r="N100" s="281"/>
      <c r="O100" s="276"/>
      <c r="P100" s="277"/>
      <c r="Q100" s="276"/>
      <c r="R100" s="297"/>
      <c r="S100" s="276"/>
      <c r="T100" s="297"/>
      <c r="U100" s="297"/>
      <c r="V100" s="298" t="str">
        <f>IFERROR(VLOOKUP($O100,dropdown!$S$4:$T$15,2,FALSE),IFERROR(VLOOKUP($Q100,dropdown!$S$4:$T$15,2,FALSE),IFERROR(VLOOKUP($S100,dropdown!$S$4:$T$15,2,FALSE),"")))</f>
        <v/>
      </c>
      <c r="W100" s="279"/>
      <c r="X100" s="240"/>
      <c r="AB100" s="35"/>
      <c r="AE100" s="35"/>
    </row>
    <row r="101" spans="9:31" ht="14" x14ac:dyDescent="0.2">
      <c r="I101" s="199" t="str">
        <f t="shared" si="3"/>
        <v/>
      </c>
      <c r="J101" s="278"/>
      <c r="K101" s="109"/>
      <c r="L101" s="279"/>
      <c r="M101" s="280"/>
      <c r="N101" s="281"/>
      <c r="O101" s="276"/>
      <c r="P101" s="277"/>
      <c r="Q101" s="276"/>
      <c r="R101" s="297"/>
      <c r="S101" s="276"/>
      <c r="T101" s="297"/>
      <c r="U101" s="297"/>
      <c r="V101" s="298" t="str">
        <f>IFERROR(VLOOKUP($O101,dropdown!$S$4:$T$15,2,FALSE),IFERROR(VLOOKUP($Q101,dropdown!$S$4:$T$15,2,FALSE),IFERROR(VLOOKUP($S101,dropdown!$S$4:$T$15,2,FALSE),"")))</f>
        <v/>
      </c>
      <c r="W101" s="279"/>
      <c r="X101" s="240"/>
      <c r="AB101" s="35"/>
      <c r="AE101" s="35"/>
    </row>
    <row r="102" spans="9:31" ht="14" x14ac:dyDescent="0.2">
      <c r="I102" s="199" t="str">
        <f t="shared" si="3"/>
        <v/>
      </c>
      <c r="J102" s="278"/>
      <c r="K102" s="109"/>
      <c r="L102" s="279"/>
      <c r="M102" s="280"/>
      <c r="N102" s="281"/>
      <c r="O102" s="276"/>
      <c r="P102" s="277"/>
      <c r="Q102" s="276"/>
      <c r="R102" s="297"/>
      <c r="S102" s="276"/>
      <c r="T102" s="297"/>
      <c r="U102" s="297"/>
      <c r="V102" s="298" t="str">
        <f>IFERROR(VLOOKUP($O102,dropdown!$S$4:$T$15,2,FALSE),IFERROR(VLOOKUP($Q102,dropdown!$S$4:$T$15,2,FALSE),IFERROR(VLOOKUP($S102,dropdown!$S$4:$T$15,2,FALSE),"")))</f>
        <v/>
      </c>
      <c r="W102" s="279"/>
      <c r="X102" s="240"/>
      <c r="AB102" s="35"/>
      <c r="AE102" s="35"/>
    </row>
    <row r="103" spans="9:31" ht="14" x14ac:dyDescent="0.2">
      <c r="I103" s="199" t="str">
        <f t="shared" si="3"/>
        <v/>
      </c>
      <c r="J103" s="278"/>
      <c r="K103" s="109"/>
      <c r="L103" s="279"/>
      <c r="M103" s="280"/>
      <c r="N103" s="281"/>
      <c r="O103" s="276"/>
      <c r="P103" s="277"/>
      <c r="Q103" s="276"/>
      <c r="R103" s="297"/>
      <c r="S103" s="276"/>
      <c r="T103" s="297"/>
      <c r="U103" s="297"/>
      <c r="V103" s="298" t="str">
        <f>IFERROR(VLOOKUP($O103,dropdown!$S$4:$T$15,2,FALSE),IFERROR(VLOOKUP($Q103,dropdown!$S$4:$T$15,2,FALSE),IFERROR(VLOOKUP($S103,dropdown!$S$4:$T$15,2,FALSE),"")))</f>
        <v/>
      </c>
      <c r="W103" s="279"/>
      <c r="X103" s="240"/>
      <c r="AB103" s="35"/>
      <c r="AE103" s="35"/>
    </row>
    <row r="104" spans="9:31" ht="14" x14ac:dyDescent="0.2">
      <c r="I104" s="199" t="str">
        <f t="shared" si="3"/>
        <v/>
      </c>
      <c r="J104" s="278"/>
      <c r="K104" s="109"/>
      <c r="L104" s="279"/>
      <c r="M104" s="280"/>
      <c r="N104" s="281"/>
      <c r="O104" s="276"/>
      <c r="P104" s="277"/>
      <c r="Q104" s="276"/>
      <c r="R104" s="297"/>
      <c r="S104" s="276"/>
      <c r="T104" s="297"/>
      <c r="U104" s="297"/>
      <c r="V104" s="298" t="str">
        <f>IFERROR(VLOOKUP($O104,dropdown!$S$4:$T$15,2,FALSE),IFERROR(VLOOKUP($Q104,dropdown!$S$4:$T$15,2,FALSE),IFERROR(VLOOKUP($S104,dropdown!$S$4:$T$15,2,FALSE),"")))</f>
        <v/>
      </c>
      <c r="W104" s="279"/>
      <c r="X104" s="240"/>
      <c r="AB104" s="35"/>
      <c r="AE104" s="35"/>
    </row>
    <row r="105" spans="9:31" ht="14" x14ac:dyDescent="0.2">
      <c r="I105" s="199" t="str">
        <f t="shared" si="3"/>
        <v/>
      </c>
      <c r="J105" s="278"/>
      <c r="K105" s="109"/>
      <c r="L105" s="279"/>
      <c r="M105" s="280"/>
      <c r="N105" s="281"/>
      <c r="O105" s="276"/>
      <c r="P105" s="277"/>
      <c r="Q105" s="276"/>
      <c r="R105" s="297"/>
      <c r="S105" s="276"/>
      <c r="T105" s="297"/>
      <c r="U105" s="297"/>
      <c r="V105" s="298" t="str">
        <f>IFERROR(VLOOKUP($O105,dropdown!$S$4:$T$15,2,FALSE),IFERROR(VLOOKUP($Q105,dropdown!$S$4:$T$15,2,FALSE),IFERROR(VLOOKUP($S105,dropdown!$S$4:$T$15,2,FALSE),"")))</f>
        <v/>
      </c>
      <c r="W105" s="279"/>
      <c r="X105" s="240"/>
      <c r="AB105" s="35"/>
      <c r="AE105" s="35"/>
    </row>
    <row r="106" spans="9:31" ht="14" x14ac:dyDescent="0.2">
      <c r="I106" s="199" t="str">
        <f t="shared" si="3"/>
        <v/>
      </c>
      <c r="J106" s="278"/>
      <c r="K106" s="109"/>
      <c r="L106" s="279"/>
      <c r="M106" s="280"/>
      <c r="N106" s="281"/>
      <c r="O106" s="276"/>
      <c r="P106" s="277"/>
      <c r="Q106" s="276"/>
      <c r="R106" s="297"/>
      <c r="S106" s="276"/>
      <c r="T106" s="297"/>
      <c r="U106" s="297"/>
      <c r="V106" s="298" t="str">
        <f>IFERROR(VLOOKUP($O106,dropdown!$S$4:$T$15,2,FALSE),IFERROR(VLOOKUP($Q106,dropdown!$S$4:$T$15,2,FALSE),IFERROR(VLOOKUP($S106,dropdown!$S$4:$T$15,2,FALSE),"")))</f>
        <v/>
      </c>
      <c r="W106" s="279"/>
      <c r="X106" s="240"/>
      <c r="AB106" s="35"/>
      <c r="AE106" s="35"/>
    </row>
    <row r="107" spans="9:31" ht="14" x14ac:dyDescent="0.2">
      <c r="I107" s="199" t="str">
        <f t="shared" si="3"/>
        <v/>
      </c>
      <c r="J107" s="278"/>
      <c r="K107" s="109"/>
      <c r="L107" s="279"/>
      <c r="M107" s="280"/>
      <c r="N107" s="281"/>
      <c r="O107" s="276"/>
      <c r="P107" s="277"/>
      <c r="Q107" s="276"/>
      <c r="R107" s="297"/>
      <c r="S107" s="276"/>
      <c r="T107" s="297"/>
      <c r="U107" s="297"/>
      <c r="V107" s="298" t="str">
        <f>IFERROR(VLOOKUP($O107,dropdown!$S$4:$T$15,2,FALSE),IFERROR(VLOOKUP($Q107,dropdown!$S$4:$T$15,2,FALSE),IFERROR(VLOOKUP($S107,dropdown!$S$4:$T$15,2,FALSE),"")))</f>
        <v/>
      </c>
      <c r="W107" s="279"/>
      <c r="X107" s="240"/>
      <c r="AB107" s="35"/>
      <c r="AE107" s="35"/>
    </row>
    <row r="108" spans="9:31" x14ac:dyDescent="0.2">
      <c r="W108" s="240"/>
      <c r="AB108" s="35"/>
      <c r="AE108" s="35"/>
    </row>
    <row r="109" spans="9:31" x14ac:dyDescent="0.2">
      <c r="I109" s="117" t="s">
        <v>184</v>
      </c>
    </row>
  </sheetData>
  <sheetProtection algorithmName="SHA-512" hashValue="Z4SC4wT/R7IezyvYFDS8lmDTJF7NSS/ihiyvFubXMpZXEG1EEOf7bX0vSvCvMdPTH/FBp19F0RnYF9iC09io7g==" saltValue="gMlyusgJ0kkCeHxlu4Cf7A==" spinCount="100000" sheet="1" objects="1" scenarios="1" selectLockedCells="1"/>
  <protectedRanges>
    <protectedRange sqref="J8:U107 W8:W107" name="Range1"/>
  </protectedRanges>
  <mergeCells count="20">
    <mergeCell ref="C30:D31"/>
    <mergeCell ref="E30:G31"/>
    <mergeCell ref="C22:D23"/>
    <mergeCell ref="E22:G23"/>
    <mergeCell ref="E24:G25"/>
    <mergeCell ref="C28:D29"/>
    <mergeCell ref="C24:D25"/>
    <mergeCell ref="E28:G29"/>
    <mergeCell ref="C26:D27"/>
    <mergeCell ref="E26:G27"/>
    <mergeCell ref="B22:B23"/>
    <mergeCell ref="B24:B25"/>
    <mergeCell ref="B26:B27"/>
    <mergeCell ref="B28:B29"/>
    <mergeCell ref="B30:B31"/>
    <mergeCell ref="C6:G6"/>
    <mergeCell ref="C7:G7"/>
    <mergeCell ref="O7:P7"/>
    <mergeCell ref="Q7:R7"/>
    <mergeCell ref="S7:U7"/>
  </mergeCells>
  <conditionalFormatting sqref="O9:O107">
    <cfRule type="expression" dxfId="5" priority="6">
      <formula>$N9="New installation"</formula>
    </cfRule>
  </conditionalFormatting>
  <conditionalFormatting sqref="P9:P107">
    <cfRule type="expression" dxfId="4" priority="5">
      <formula>$N9="New installation"</formula>
    </cfRule>
  </conditionalFormatting>
  <conditionalFormatting sqref="Q9:Q107">
    <cfRule type="expression" dxfId="3" priority="4">
      <formula>$N9="In operation"</formula>
    </cfRule>
  </conditionalFormatting>
  <conditionalFormatting sqref="R9:R107">
    <cfRule type="expression" dxfId="2" priority="3">
      <formula>$N9="In operation"</formula>
    </cfRule>
  </conditionalFormatting>
  <conditionalFormatting sqref="S9:S107">
    <cfRule type="expression" dxfId="1" priority="2">
      <formula>$N9="Disposed"</formula>
    </cfRule>
  </conditionalFormatting>
  <conditionalFormatting sqref="T9:U107">
    <cfRule type="expression" dxfId="0" priority="1">
      <formula>$N9="Disposed"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400-000000000000}">
          <x14:formula1>
            <xm:f>dropdown!$AM$4:$AM$8</xm:f>
          </x14:formula1>
          <xm:sqref>K9:K107</xm:sqref>
        </x14:dataValidation>
        <x14:dataValidation type="list" allowBlank="1" showInputMessage="1" showErrorMessage="1" xr:uid="{00000000-0002-0000-0400-000001000000}">
          <x14:formula1>
            <xm:f>dropdown!$X$4:$X$9</xm:f>
          </x14:formula1>
          <xm:sqref>M9:M107</xm:sqref>
        </x14:dataValidation>
        <x14:dataValidation type="list" allowBlank="1" showInputMessage="1" showErrorMessage="1" xr:uid="{00000000-0002-0000-0400-000002000000}">
          <x14:formula1>
            <xm:f>dropdown!$AB$4:$AB$6</xm:f>
          </x14:formula1>
          <xm:sqref>N9:N107</xm:sqref>
        </x14:dataValidation>
        <x14:dataValidation type="list" allowBlank="1" showInputMessage="1" showErrorMessage="1" xr:uid="{00000000-0002-0000-0400-000003000000}">
          <x14:formula1>
            <xm:f>dropdown!$S$4:$S$15</xm:f>
          </x14:formula1>
          <xm:sqref>O9:O107 Q9:Q107 S9:S107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B2:Q109"/>
  <sheetViews>
    <sheetView showGridLines="0" workbookViewId="0">
      <selection activeCell="N16" sqref="N16"/>
    </sheetView>
  </sheetViews>
  <sheetFormatPr baseColWidth="10" defaultColWidth="10.83203125" defaultRowHeight="14" x14ac:dyDescent="0.2"/>
  <cols>
    <col min="1" max="1" width="2.6640625" style="31" customWidth="1"/>
    <col min="2" max="2" width="22.83203125" style="35" customWidth="1"/>
    <col min="3" max="3" width="14.83203125" style="35" customWidth="1"/>
    <col min="4" max="7" width="8.83203125" style="35" customWidth="1"/>
    <col min="8" max="8" width="4" style="31" customWidth="1"/>
    <col min="9" max="9" width="5.33203125" style="34" customWidth="1"/>
    <col min="10" max="10" width="15.1640625" style="31" customWidth="1"/>
    <col min="11" max="11" width="9" style="40" customWidth="1"/>
    <col min="12" max="12" width="17.83203125" style="40" customWidth="1"/>
    <col min="13" max="13" width="21.6640625" style="41" customWidth="1"/>
    <col min="14" max="14" width="17.33203125" style="42" customWidth="1"/>
    <col min="15" max="15" width="17.33203125" style="43" customWidth="1"/>
    <col min="16" max="16" width="4.6640625" style="31" customWidth="1"/>
    <col min="17" max="17" width="10.83203125" style="45" customWidth="1"/>
    <col min="18" max="16384" width="10.83203125" style="31"/>
  </cols>
  <sheetData>
    <row r="2" spans="2:17" ht="19" x14ac:dyDescent="0.25">
      <c r="B2" s="66" t="s">
        <v>30</v>
      </c>
      <c r="C2" s="67"/>
      <c r="D2" s="67"/>
      <c r="E2" s="67"/>
      <c r="F2" s="67"/>
      <c r="G2" s="68"/>
      <c r="I2" s="136" t="s">
        <v>236</v>
      </c>
      <c r="J2" s="137"/>
      <c r="K2" s="138"/>
      <c r="L2" s="138"/>
      <c r="M2" s="139"/>
      <c r="N2" s="140"/>
      <c r="O2" s="218"/>
    </row>
    <row r="3" spans="2:17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143" t="s">
        <v>171</v>
      </c>
      <c r="J3" s="144"/>
      <c r="K3" s="145"/>
      <c r="L3" s="145"/>
      <c r="M3" s="146"/>
      <c r="N3" s="147"/>
      <c r="O3" s="149"/>
    </row>
    <row r="4" spans="2:17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2025</v>
      </c>
      <c r="E4" s="74"/>
      <c r="F4" s="74" t="s">
        <v>163</v>
      </c>
      <c r="G4" s="76"/>
      <c r="I4" s="227"/>
      <c r="J4" s="228"/>
      <c r="O4" s="151"/>
    </row>
    <row r="5" spans="2:17" x14ac:dyDescent="0.2">
      <c r="B5" s="46"/>
      <c r="D5" s="46"/>
      <c r="I5" s="229"/>
      <c r="J5" s="230"/>
      <c r="K5" s="155"/>
      <c r="L5" s="155"/>
      <c r="M5" s="156"/>
      <c r="N5" s="157"/>
      <c r="O5" s="159"/>
    </row>
    <row r="6" spans="2:17" x14ac:dyDescent="0.2">
      <c r="B6" s="77" t="s">
        <v>173</v>
      </c>
      <c r="C6" s="445" t="s">
        <v>174</v>
      </c>
      <c r="D6" s="446"/>
      <c r="E6" s="446"/>
      <c r="F6" s="446"/>
      <c r="G6" s="447"/>
    </row>
    <row r="7" spans="2:17" ht="12.75" customHeight="1" x14ac:dyDescent="0.2">
      <c r="B7" s="77" t="s">
        <v>176</v>
      </c>
      <c r="C7" s="448">
        <v>45911</v>
      </c>
      <c r="D7" s="446"/>
      <c r="E7" s="446"/>
      <c r="F7" s="446"/>
      <c r="G7" s="447"/>
      <c r="I7" s="102" t="s">
        <v>175</v>
      </c>
      <c r="J7" s="103" t="s">
        <v>40</v>
      </c>
      <c r="K7" s="103" t="s">
        <v>44</v>
      </c>
      <c r="L7" s="197" t="s">
        <v>106</v>
      </c>
      <c r="M7" s="231" t="s">
        <v>108</v>
      </c>
      <c r="N7" s="232" t="s">
        <v>110</v>
      </c>
      <c r="O7" s="106" t="s">
        <v>55</v>
      </c>
      <c r="P7" s="45"/>
      <c r="Q7" s="31"/>
    </row>
    <row r="8" spans="2:17" x14ac:dyDescent="0.2">
      <c r="B8" s="46"/>
      <c r="D8" s="46"/>
      <c r="I8" s="107">
        <f>IF($L8="","",1)</f>
        <v>1</v>
      </c>
      <c r="J8" s="108" t="s">
        <v>190</v>
      </c>
      <c r="K8" s="199" t="str">
        <f>IF(Electricity[[#This Row],[Month]]&lt;&gt;"",VLOOKUP(Electricity[[#This Row],[Month]],dropdown!$S$4:$T$15,2,FALSE),"")</f>
        <v>Q1</v>
      </c>
      <c r="L8" s="110">
        <v>81772</v>
      </c>
      <c r="M8" s="233">
        <v>720998.8</v>
      </c>
      <c r="N8" s="234" t="s">
        <v>237</v>
      </c>
      <c r="O8" s="111" t="s">
        <v>238</v>
      </c>
      <c r="P8" s="45"/>
      <c r="Q8" s="31"/>
    </row>
    <row r="9" spans="2:17" x14ac:dyDescent="0.2">
      <c r="I9" s="107"/>
      <c r="J9" s="108" t="s">
        <v>89</v>
      </c>
      <c r="K9" s="200" t="str">
        <f>IF(Electricity[[#This Row],[Month]]&lt;&gt;"",VLOOKUP(Electricity[[#This Row],[Month]],dropdown!$S$4:$T$15,2,FALSE),"")</f>
        <v>Q1</v>
      </c>
      <c r="L9" s="110">
        <v>81632</v>
      </c>
      <c r="M9" s="233">
        <v>744539.15</v>
      </c>
      <c r="N9" s="234" t="s">
        <v>237</v>
      </c>
      <c r="O9" s="111" t="s">
        <v>238</v>
      </c>
      <c r="P9" s="45"/>
      <c r="Q9" s="31"/>
    </row>
    <row r="10" spans="2:17" ht="15" x14ac:dyDescent="0.2">
      <c r="B10" s="214" t="s">
        <v>104</v>
      </c>
      <c r="C10" s="78"/>
      <c r="D10" s="78"/>
      <c r="E10" s="78"/>
      <c r="F10" s="78"/>
      <c r="G10" s="78"/>
      <c r="I10" s="107"/>
      <c r="J10" s="108" t="s">
        <v>177</v>
      </c>
      <c r="K10" s="200" t="str">
        <f>IF(Electricity[[#This Row],[Month]]&lt;&gt;"",VLOOKUP(Electricity[[#This Row],[Month]],dropdown!$S$4:$T$15,2,FALSE),"")</f>
        <v>Q1</v>
      </c>
      <c r="L10" s="110">
        <v>81772</v>
      </c>
      <c r="M10" s="233">
        <v>839925.39</v>
      </c>
      <c r="N10" s="234" t="s">
        <v>237</v>
      </c>
      <c r="O10" s="111" t="s">
        <v>238</v>
      </c>
      <c r="P10" s="45"/>
      <c r="Q10" s="31"/>
    </row>
    <row r="11" spans="2:17" x14ac:dyDescent="0.2">
      <c r="B11" s="79" t="s">
        <v>156</v>
      </c>
      <c r="C11" s="79" t="s">
        <v>52</v>
      </c>
      <c r="D11" s="80" t="s">
        <v>46</v>
      </c>
      <c r="E11" s="80" t="s">
        <v>150</v>
      </c>
      <c r="F11" s="80" t="s">
        <v>151</v>
      </c>
      <c r="G11" s="80" t="s">
        <v>152</v>
      </c>
      <c r="I11" s="107"/>
      <c r="J11" s="108" t="s">
        <v>239</v>
      </c>
      <c r="K11" s="200" t="str">
        <f>IF(Electricity[[#This Row],[Month]]&lt;&gt;"",VLOOKUP(Electricity[[#This Row],[Month]],dropdown!$S$4:$T$15,2,FALSE),"")</f>
        <v>Q2</v>
      </c>
      <c r="L11" s="110">
        <v>79136</v>
      </c>
      <c r="M11" s="233">
        <v>781979.6</v>
      </c>
      <c r="N11" s="234" t="s">
        <v>237</v>
      </c>
      <c r="O11" s="111" t="s">
        <v>238</v>
      </c>
      <c r="P11" s="45"/>
      <c r="Q11" s="31"/>
    </row>
    <row r="12" spans="2:17" x14ac:dyDescent="0.2">
      <c r="B12" s="81" t="s">
        <v>240</v>
      </c>
      <c r="C12" s="81" t="s">
        <v>241</v>
      </c>
      <c r="D12" s="82">
        <f>SUMIFS(Electricity[Consumption (kWh)],Electricity[Quarter],D$11)</f>
        <v>245176</v>
      </c>
      <c r="E12" s="82">
        <f>SUMIFS(Electricity[Consumption (kWh)],Electricity[Quarter],E$11)</f>
        <v>257140</v>
      </c>
      <c r="F12" s="82">
        <f>SUMIFS(Electricity[Consumption (kWh)],Electricity[Quarter],F$11)</f>
        <v>0</v>
      </c>
      <c r="G12" s="82">
        <f>SUMIFS(Electricity[Consumption (kWh)],Electricity[Quarter],G$11)</f>
        <v>0</v>
      </c>
      <c r="I12" s="107"/>
      <c r="J12" s="108" t="s">
        <v>242</v>
      </c>
      <c r="K12" s="200" t="str">
        <f>IF(Electricity[[#This Row],[Month]]&lt;&gt;"",VLOOKUP(Electricity[[#This Row],[Month]],dropdown!$S$4:$T$15,2,FALSE),"")</f>
        <v>Q2</v>
      </c>
      <c r="L12" s="110">
        <v>87948</v>
      </c>
      <c r="M12" s="233">
        <v>803879.48</v>
      </c>
      <c r="N12" s="234" t="s">
        <v>237</v>
      </c>
      <c r="O12" s="111" t="s">
        <v>238</v>
      </c>
      <c r="P12" s="45"/>
      <c r="Q12" s="31"/>
    </row>
    <row r="13" spans="2:17" x14ac:dyDescent="0.2">
      <c r="D13" s="132" t="str">
        <f>IF(SUM(D$12:D$12)&gt;0,"x","")</f>
        <v>x</v>
      </c>
      <c r="E13" s="132" t="str">
        <f>IF(SUM(E$12:E$12)&gt;0,"x","")</f>
        <v>x</v>
      </c>
      <c r="F13" s="132" t="str">
        <f>IF(SUM(F$12:F$12)&gt;0,"x","")</f>
        <v/>
      </c>
      <c r="G13" s="132" t="str">
        <f>IF(SUM(G$12:G$12)&gt;0,"x","")</f>
        <v/>
      </c>
      <c r="I13" s="107"/>
      <c r="J13" s="108" t="s">
        <v>179</v>
      </c>
      <c r="K13" s="200" t="str">
        <f>IF(Electricity[[#This Row],[Month]]&lt;&gt;"",VLOOKUP(Electricity[[#This Row],[Month]],dropdown!$S$4:$T$15,2,FALSE),"")</f>
        <v>Q2</v>
      </c>
      <c r="L13" s="110">
        <v>90056</v>
      </c>
      <c r="M13" s="233">
        <v>834754.08</v>
      </c>
      <c r="N13" s="234" t="s">
        <v>237</v>
      </c>
      <c r="O13" s="111" t="s">
        <v>238</v>
      </c>
      <c r="P13" s="45"/>
      <c r="Q13" s="31"/>
    </row>
    <row r="14" spans="2:17" x14ac:dyDescent="0.2">
      <c r="B14" s="123" t="s">
        <v>39</v>
      </c>
      <c r="D14" s="135"/>
      <c r="I14" s="107"/>
      <c r="J14" s="108"/>
      <c r="K14" s="200" t="str">
        <f>IF(Electricity[[#This Row],[Month]]&lt;&gt;"",VLOOKUP(Electricity[[#This Row],[Month]],dropdown!$S$4:$T$15,2,FALSE),"")</f>
        <v/>
      </c>
      <c r="L14" s="110"/>
      <c r="M14" s="233"/>
      <c r="N14" s="234"/>
      <c r="O14" s="111"/>
      <c r="P14" s="45"/>
      <c r="Q14" s="31"/>
    </row>
    <row r="15" spans="2:17" x14ac:dyDescent="0.2">
      <c r="B15" s="127" t="s">
        <v>181</v>
      </c>
      <c r="D15" s="135"/>
      <c r="I15" s="107"/>
      <c r="J15" s="108"/>
      <c r="K15" s="200" t="str">
        <f>IF(Electricity[[#This Row],[Month]]&lt;&gt;"",VLOOKUP(Electricity[[#This Row],[Month]],dropdown!$S$4:$T$15,2,FALSE),"")</f>
        <v/>
      </c>
      <c r="L15" s="110"/>
      <c r="M15" s="233"/>
      <c r="N15" s="234"/>
      <c r="O15" s="111"/>
      <c r="P15" s="45"/>
      <c r="Q15" s="31"/>
    </row>
    <row r="16" spans="2:17" x14ac:dyDescent="0.2">
      <c r="B16" s="128" t="s">
        <v>182</v>
      </c>
      <c r="I16" s="107"/>
      <c r="J16" s="108"/>
      <c r="K16" s="200" t="str">
        <f>IF(Electricity[[#This Row],[Month]]&lt;&gt;"",VLOOKUP(Electricity[[#This Row],[Month]],dropdown!$S$4:$T$15,2,FALSE),"")</f>
        <v/>
      </c>
      <c r="L16" s="110"/>
      <c r="M16" s="233"/>
      <c r="N16" s="234"/>
      <c r="O16" s="111"/>
      <c r="P16" s="45"/>
      <c r="Q16" s="31"/>
    </row>
    <row r="17" spans="2:17" x14ac:dyDescent="0.2">
      <c r="B17" s="129" t="s">
        <v>183</v>
      </c>
      <c r="I17" s="107"/>
      <c r="J17" s="108"/>
      <c r="K17" s="200" t="str">
        <f>IF(Electricity[[#This Row],[Month]]&lt;&gt;"",VLOOKUP(Electricity[[#This Row],[Month]],dropdown!$S$4:$T$15,2,FALSE),"")</f>
        <v/>
      </c>
      <c r="L17" s="110"/>
      <c r="M17" s="233"/>
      <c r="N17" s="234"/>
      <c r="O17" s="111"/>
      <c r="P17" s="45"/>
      <c r="Q17" s="31"/>
    </row>
    <row r="18" spans="2:17" x14ac:dyDescent="0.2">
      <c r="I18" s="107" t="str">
        <f t="shared" ref="I18:I49" si="0">IF($L18="","",$I17+1)</f>
        <v/>
      </c>
      <c r="J18" s="108"/>
      <c r="K18" s="200" t="str">
        <f>IF(Electricity[[#This Row],[Month]]&lt;&gt;"",VLOOKUP(Electricity[[#This Row],[Month]],dropdown!$S$4:$T$15,2,FALSE),"")</f>
        <v/>
      </c>
      <c r="L18" s="110"/>
      <c r="M18" s="233"/>
      <c r="N18" s="234"/>
      <c r="O18" s="111"/>
      <c r="P18" s="45"/>
      <c r="Q18" s="31"/>
    </row>
    <row r="19" spans="2:17" x14ac:dyDescent="0.2">
      <c r="I19" s="107" t="str">
        <f t="shared" si="0"/>
        <v/>
      </c>
      <c r="J19" s="108"/>
      <c r="K19" s="200" t="str">
        <f>IF(Electricity[[#This Row],[Month]]&lt;&gt;"",VLOOKUP(Electricity[[#This Row],[Month]],dropdown!$S$4:$T$15,2,FALSE),"")</f>
        <v/>
      </c>
      <c r="L19" s="110"/>
      <c r="M19" s="233"/>
      <c r="N19" s="234"/>
      <c r="O19" s="111"/>
      <c r="P19" s="45"/>
      <c r="Q19" s="31"/>
    </row>
    <row r="20" spans="2:17" x14ac:dyDescent="0.2">
      <c r="I20" s="107" t="str">
        <f t="shared" si="0"/>
        <v/>
      </c>
      <c r="J20" s="108"/>
      <c r="K20" s="200" t="str">
        <f>IF(Electricity[[#This Row],[Month]]&lt;&gt;"",VLOOKUP(Electricity[[#This Row],[Month]],dropdown!$S$4:$T$15,2,FALSE),"")</f>
        <v/>
      </c>
      <c r="L20" s="110"/>
      <c r="M20" s="233"/>
      <c r="N20" s="234"/>
      <c r="O20" s="111"/>
      <c r="P20" s="45"/>
      <c r="Q20" s="31"/>
    </row>
    <row r="21" spans="2:17" x14ac:dyDescent="0.2">
      <c r="I21" s="107" t="str">
        <f t="shared" si="0"/>
        <v/>
      </c>
      <c r="J21" s="108"/>
      <c r="K21" s="200" t="str">
        <f>IF(Electricity[[#This Row],[Month]]&lt;&gt;"",VLOOKUP(Electricity[[#This Row],[Month]],dropdown!$S$4:$T$15,2,FALSE),"")</f>
        <v/>
      </c>
      <c r="L21" s="110"/>
      <c r="M21" s="233"/>
      <c r="N21" s="234"/>
      <c r="O21" s="111"/>
      <c r="P21" s="45"/>
      <c r="Q21" s="31"/>
    </row>
    <row r="22" spans="2:17" x14ac:dyDescent="0.2">
      <c r="I22" s="107" t="str">
        <f t="shared" si="0"/>
        <v/>
      </c>
      <c r="J22" s="113"/>
      <c r="K22" s="200" t="str">
        <f>IF(Electricity[[#This Row],[Month]]&lt;&gt;"",VLOOKUP(Electricity[[#This Row],[Month]],dropdown!$S$4:$T$15,2,FALSE),"")</f>
        <v/>
      </c>
      <c r="L22" s="115"/>
      <c r="M22" s="235"/>
      <c r="N22" s="236"/>
      <c r="O22" s="116"/>
      <c r="P22" s="45"/>
      <c r="Q22" s="31"/>
    </row>
    <row r="23" spans="2:17" x14ac:dyDescent="0.2">
      <c r="I23" s="107" t="str">
        <f t="shared" si="0"/>
        <v/>
      </c>
      <c r="J23" s="113"/>
      <c r="K23" s="200" t="str">
        <f>IF(Electricity[[#This Row],[Month]]&lt;&gt;"",VLOOKUP(Electricity[[#This Row],[Month]],dropdown!$S$4:$T$15,2,FALSE),"")</f>
        <v/>
      </c>
      <c r="L23" s="115"/>
      <c r="M23" s="235"/>
      <c r="N23" s="236"/>
      <c r="O23" s="116"/>
      <c r="P23" s="45"/>
      <c r="Q23" s="31"/>
    </row>
    <row r="24" spans="2:17" x14ac:dyDescent="0.2">
      <c r="I24" s="107" t="str">
        <f t="shared" si="0"/>
        <v/>
      </c>
      <c r="J24" s="113"/>
      <c r="K24" s="200" t="str">
        <f>IF(Electricity[[#This Row],[Month]]&lt;&gt;"",VLOOKUP(Electricity[[#This Row],[Month]],dropdown!$S$4:$T$15,2,FALSE),"")</f>
        <v/>
      </c>
      <c r="L24" s="115"/>
      <c r="M24" s="235"/>
      <c r="N24" s="236"/>
      <c r="O24" s="116"/>
      <c r="P24" s="45"/>
      <c r="Q24" s="31"/>
    </row>
    <row r="25" spans="2:17" x14ac:dyDescent="0.2">
      <c r="I25" s="107" t="str">
        <f t="shared" si="0"/>
        <v/>
      </c>
      <c r="J25" s="113"/>
      <c r="K25" s="200" t="str">
        <f>IF(Electricity[[#This Row],[Month]]&lt;&gt;"",VLOOKUP(Electricity[[#This Row],[Month]],dropdown!$S$4:$T$15,2,FALSE),"")</f>
        <v/>
      </c>
      <c r="L25" s="115"/>
      <c r="M25" s="235"/>
      <c r="N25" s="236"/>
      <c r="O25" s="116"/>
      <c r="P25" s="45" t="str">
        <f>IF(J17="","",VLOOKUP($J17,dropdown!$S$3:$T$15,2,FALSE))</f>
        <v/>
      </c>
      <c r="Q25" s="31"/>
    </row>
    <row r="26" spans="2:17" x14ac:dyDescent="0.2">
      <c r="I26" s="107" t="str">
        <f t="shared" si="0"/>
        <v/>
      </c>
      <c r="J26" s="113"/>
      <c r="K26" s="200" t="str">
        <f>IF(Electricity[[#This Row],[Month]]&lt;&gt;"",VLOOKUP(Electricity[[#This Row],[Month]],dropdown!$S$4:$T$15,2,FALSE),"")</f>
        <v/>
      </c>
      <c r="L26" s="115"/>
      <c r="M26" s="235"/>
      <c r="N26" s="236"/>
      <c r="O26" s="116"/>
      <c r="P26" s="45" t="str">
        <f>IF(J18="","",VLOOKUP($J18,dropdown!$S$3:$T$15,2,FALSE))</f>
        <v/>
      </c>
      <c r="Q26" s="31"/>
    </row>
    <row r="27" spans="2:17" x14ac:dyDescent="0.2">
      <c r="I27" s="107" t="str">
        <f t="shared" si="0"/>
        <v/>
      </c>
      <c r="J27" s="113"/>
      <c r="K27" s="200" t="str">
        <f>IF(Electricity[[#This Row],[Month]]&lt;&gt;"",VLOOKUP(Electricity[[#This Row],[Month]],dropdown!$S$4:$T$15,2,FALSE),"")</f>
        <v/>
      </c>
      <c r="L27" s="115"/>
      <c r="M27" s="235"/>
      <c r="N27" s="236"/>
      <c r="O27" s="116"/>
      <c r="P27" s="45" t="str">
        <f>IF(J19="","",VLOOKUP($J19,dropdown!$S$3:$T$15,2,FALSE))</f>
        <v/>
      </c>
      <c r="Q27" s="31"/>
    </row>
    <row r="28" spans="2:17" x14ac:dyDescent="0.2">
      <c r="I28" s="107" t="str">
        <f t="shared" si="0"/>
        <v/>
      </c>
      <c r="J28" s="113"/>
      <c r="K28" s="200" t="str">
        <f>IF(Electricity[[#This Row],[Month]]&lt;&gt;"",VLOOKUP(Electricity[[#This Row],[Month]],dropdown!$S$4:$T$15,2,FALSE),"")</f>
        <v/>
      </c>
      <c r="L28" s="115"/>
      <c r="M28" s="235"/>
      <c r="N28" s="236"/>
      <c r="O28" s="116"/>
      <c r="P28" s="45" t="str">
        <f>IF(J20="","",VLOOKUP($J20,dropdown!$S$3:$T$15,2,FALSE))</f>
        <v/>
      </c>
      <c r="Q28" s="31"/>
    </row>
    <row r="29" spans="2:17" x14ac:dyDescent="0.2">
      <c r="I29" s="107" t="str">
        <f t="shared" si="0"/>
        <v/>
      </c>
      <c r="J29" s="113"/>
      <c r="K29" s="200" t="str">
        <f>IF(Electricity[[#This Row],[Month]]&lt;&gt;"",VLOOKUP(Electricity[[#This Row],[Month]],dropdown!$S$4:$T$15,2,FALSE),"")</f>
        <v/>
      </c>
      <c r="L29" s="115"/>
      <c r="M29" s="235"/>
      <c r="N29" s="236"/>
      <c r="O29" s="116"/>
      <c r="P29" s="45" t="str">
        <f>IF(J21="","",VLOOKUP($J21,dropdown!$S$3:$T$15,2,FALSE))</f>
        <v/>
      </c>
      <c r="Q29" s="31"/>
    </row>
    <row r="30" spans="2:17" x14ac:dyDescent="0.2">
      <c r="I30" s="107" t="str">
        <f t="shared" si="0"/>
        <v/>
      </c>
      <c r="J30" s="113"/>
      <c r="K30" s="200" t="str">
        <f>IF(Electricity[[#This Row],[Month]]&lt;&gt;"",VLOOKUP(Electricity[[#This Row],[Month]],dropdown!$S$4:$T$15,2,FALSE),"")</f>
        <v/>
      </c>
      <c r="L30" s="115"/>
      <c r="M30" s="235"/>
      <c r="N30" s="236"/>
      <c r="O30" s="116"/>
      <c r="P30" s="45" t="str">
        <f>IF(J22="","",VLOOKUP($J22,dropdown!$S$3:$T$15,2,FALSE))</f>
        <v/>
      </c>
      <c r="Q30" s="31"/>
    </row>
    <row r="31" spans="2:17" x14ac:dyDescent="0.2">
      <c r="I31" s="107" t="str">
        <f t="shared" si="0"/>
        <v/>
      </c>
      <c r="J31" s="113"/>
      <c r="K31" s="200" t="str">
        <f>IF(Electricity[[#This Row],[Month]]&lt;&gt;"",VLOOKUP(Electricity[[#This Row],[Month]],dropdown!$S$4:$T$15,2,FALSE),"")</f>
        <v/>
      </c>
      <c r="L31" s="115"/>
      <c r="M31" s="235"/>
      <c r="N31" s="236"/>
      <c r="O31" s="116"/>
      <c r="P31" s="45"/>
      <c r="Q31" s="31"/>
    </row>
    <row r="32" spans="2:17" x14ac:dyDescent="0.2">
      <c r="I32" s="107" t="str">
        <f t="shared" si="0"/>
        <v/>
      </c>
      <c r="J32" s="113"/>
      <c r="K32" s="200" t="str">
        <f>IF(Electricity[[#This Row],[Month]]&lt;&gt;"",VLOOKUP(Electricity[[#This Row],[Month]],dropdown!$S$4:$T$15,2,FALSE),"")</f>
        <v/>
      </c>
      <c r="L32" s="115"/>
      <c r="M32" s="235"/>
      <c r="N32" s="236"/>
      <c r="O32" s="116"/>
      <c r="P32" s="45"/>
      <c r="Q32" s="31"/>
    </row>
    <row r="33" spans="9:17" x14ac:dyDescent="0.2">
      <c r="I33" s="107" t="str">
        <f t="shared" si="0"/>
        <v/>
      </c>
      <c r="J33" s="113"/>
      <c r="K33" s="200" t="str">
        <f>IF(Electricity[[#This Row],[Month]]&lt;&gt;"",VLOOKUP(Electricity[[#This Row],[Month]],dropdown!$S$4:$T$15,2,FALSE),"")</f>
        <v/>
      </c>
      <c r="L33" s="115"/>
      <c r="M33" s="235"/>
      <c r="N33" s="236"/>
      <c r="O33" s="116"/>
      <c r="P33" s="45"/>
      <c r="Q33" s="31"/>
    </row>
    <row r="34" spans="9:17" x14ac:dyDescent="0.2">
      <c r="I34" s="107" t="str">
        <f t="shared" si="0"/>
        <v/>
      </c>
      <c r="J34" s="113"/>
      <c r="K34" s="200" t="str">
        <f>IF(Electricity[[#This Row],[Month]]&lt;&gt;"",VLOOKUP(Electricity[[#This Row],[Month]],dropdown!$S$4:$T$15,2,FALSE),"")</f>
        <v/>
      </c>
      <c r="L34" s="115"/>
      <c r="M34" s="235"/>
      <c r="N34" s="236"/>
      <c r="O34" s="116"/>
      <c r="P34" s="45"/>
      <c r="Q34" s="31"/>
    </row>
    <row r="35" spans="9:17" x14ac:dyDescent="0.2">
      <c r="I35" s="107" t="str">
        <f t="shared" si="0"/>
        <v/>
      </c>
      <c r="J35" s="113"/>
      <c r="K35" s="200" t="str">
        <f>IF(Electricity[[#This Row],[Month]]&lt;&gt;"",VLOOKUP(Electricity[[#This Row],[Month]],dropdown!$S$4:$T$15,2,FALSE),"")</f>
        <v/>
      </c>
      <c r="L35" s="115"/>
      <c r="M35" s="235"/>
      <c r="N35" s="236"/>
      <c r="O35" s="116"/>
      <c r="P35" s="45"/>
      <c r="Q35" s="31"/>
    </row>
    <row r="36" spans="9:17" x14ac:dyDescent="0.2">
      <c r="I36" s="107" t="str">
        <f t="shared" si="0"/>
        <v/>
      </c>
      <c r="J36" s="113"/>
      <c r="K36" s="200" t="str">
        <f>IF(Electricity[[#This Row],[Month]]&lt;&gt;"",VLOOKUP(Electricity[[#This Row],[Month]],dropdown!$S$4:$T$15,2,FALSE),"")</f>
        <v/>
      </c>
      <c r="L36" s="115"/>
      <c r="M36" s="235"/>
      <c r="N36" s="236"/>
      <c r="O36" s="116"/>
      <c r="P36" s="45"/>
      <c r="Q36" s="31"/>
    </row>
    <row r="37" spans="9:17" x14ac:dyDescent="0.2">
      <c r="I37" s="107" t="str">
        <f t="shared" si="0"/>
        <v/>
      </c>
      <c r="J37" s="113"/>
      <c r="K37" s="200" t="str">
        <f>IF(Electricity[[#This Row],[Month]]&lt;&gt;"",VLOOKUP(Electricity[[#This Row],[Month]],dropdown!$S$4:$T$15,2,FALSE),"")</f>
        <v/>
      </c>
      <c r="L37" s="115"/>
      <c r="M37" s="235"/>
      <c r="N37" s="236"/>
      <c r="O37" s="116"/>
      <c r="P37" s="45"/>
      <c r="Q37" s="31"/>
    </row>
    <row r="38" spans="9:17" x14ac:dyDescent="0.2">
      <c r="I38" s="107" t="str">
        <f t="shared" si="0"/>
        <v/>
      </c>
      <c r="J38" s="113"/>
      <c r="K38" s="200" t="str">
        <f>IF(Electricity[[#This Row],[Month]]&lt;&gt;"",VLOOKUP(Electricity[[#This Row],[Month]],dropdown!$S$4:$T$15,2,FALSE),"")</f>
        <v/>
      </c>
      <c r="L38" s="115"/>
      <c r="M38" s="235"/>
      <c r="N38" s="236"/>
      <c r="O38" s="116"/>
      <c r="P38" s="45"/>
      <c r="Q38" s="31"/>
    </row>
    <row r="39" spans="9:17" x14ac:dyDescent="0.2">
      <c r="I39" s="107" t="str">
        <f t="shared" si="0"/>
        <v/>
      </c>
      <c r="J39" s="113"/>
      <c r="K39" s="200" t="str">
        <f>IF(Electricity[[#This Row],[Month]]&lt;&gt;"",VLOOKUP(Electricity[[#This Row],[Month]],dropdown!$S$4:$T$15,2,FALSE),"")</f>
        <v/>
      </c>
      <c r="L39" s="115"/>
      <c r="M39" s="235"/>
      <c r="N39" s="236"/>
      <c r="O39" s="116"/>
      <c r="P39" s="45"/>
      <c r="Q39" s="31"/>
    </row>
    <row r="40" spans="9:17" x14ac:dyDescent="0.2">
      <c r="I40" s="107" t="str">
        <f t="shared" si="0"/>
        <v/>
      </c>
      <c r="J40" s="113"/>
      <c r="K40" s="200" t="str">
        <f>IF(Electricity[[#This Row],[Month]]&lt;&gt;"",VLOOKUP(Electricity[[#This Row],[Month]],dropdown!$S$4:$T$15,2,FALSE),"")</f>
        <v/>
      </c>
      <c r="L40" s="115"/>
      <c r="M40" s="235"/>
      <c r="N40" s="236"/>
      <c r="O40" s="116"/>
      <c r="P40" s="45"/>
      <c r="Q40" s="31"/>
    </row>
    <row r="41" spans="9:17" x14ac:dyDescent="0.2">
      <c r="I41" s="107" t="str">
        <f t="shared" si="0"/>
        <v/>
      </c>
      <c r="J41" s="113"/>
      <c r="K41" s="200" t="str">
        <f>IF(Electricity[[#This Row],[Month]]&lt;&gt;"",VLOOKUP(Electricity[[#This Row],[Month]],dropdown!$S$4:$T$15,2,FALSE),"")</f>
        <v/>
      </c>
      <c r="L41" s="115"/>
      <c r="M41" s="235"/>
      <c r="N41" s="236"/>
      <c r="O41" s="116"/>
      <c r="P41" s="45"/>
      <c r="Q41" s="31"/>
    </row>
    <row r="42" spans="9:17" x14ac:dyDescent="0.2">
      <c r="I42" s="107" t="str">
        <f t="shared" si="0"/>
        <v/>
      </c>
      <c r="J42" s="113"/>
      <c r="K42" s="200" t="str">
        <f>IF(Electricity[[#This Row],[Month]]&lt;&gt;"",VLOOKUP(Electricity[[#This Row],[Month]],dropdown!$S$4:$T$15,2,FALSE),"")</f>
        <v/>
      </c>
      <c r="L42" s="115"/>
      <c r="M42" s="235"/>
      <c r="N42" s="236"/>
      <c r="O42" s="116"/>
      <c r="P42" s="45"/>
      <c r="Q42" s="31"/>
    </row>
    <row r="43" spans="9:17" x14ac:dyDescent="0.2">
      <c r="I43" s="107" t="str">
        <f t="shared" si="0"/>
        <v/>
      </c>
      <c r="J43" s="113"/>
      <c r="K43" s="200" t="str">
        <f>IF(Electricity[[#This Row],[Month]]&lt;&gt;"",VLOOKUP(Electricity[[#This Row],[Month]],dropdown!$S$4:$T$15,2,FALSE),"")</f>
        <v/>
      </c>
      <c r="L43" s="115"/>
      <c r="M43" s="235"/>
      <c r="N43" s="236"/>
      <c r="O43" s="116"/>
      <c r="P43" s="45"/>
      <c r="Q43" s="31"/>
    </row>
    <row r="44" spans="9:17" x14ac:dyDescent="0.2">
      <c r="I44" s="107" t="str">
        <f t="shared" si="0"/>
        <v/>
      </c>
      <c r="J44" s="113"/>
      <c r="K44" s="200" t="str">
        <f>IF(Electricity[[#This Row],[Month]]&lt;&gt;"",VLOOKUP(Electricity[[#This Row],[Month]],dropdown!$S$4:$T$15,2,FALSE),"")</f>
        <v/>
      </c>
      <c r="L44" s="115"/>
      <c r="M44" s="235"/>
      <c r="N44" s="236"/>
      <c r="O44" s="116"/>
      <c r="P44" s="45"/>
      <c r="Q44" s="31"/>
    </row>
    <row r="45" spans="9:17" x14ac:dyDescent="0.2">
      <c r="I45" s="107" t="str">
        <f t="shared" si="0"/>
        <v/>
      </c>
      <c r="J45" s="113"/>
      <c r="K45" s="200" t="str">
        <f>IF(Electricity[[#This Row],[Month]]&lt;&gt;"",VLOOKUP(Electricity[[#This Row],[Month]],dropdown!$S$4:$T$15,2,FALSE),"")</f>
        <v/>
      </c>
      <c r="L45" s="115"/>
      <c r="M45" s="235"/>
      <c r="N45" s="236"/>
      <c r="O45" s="116"/>
      <c r="P45" s="45"/>
      <c r="Q45" s="31"/>
    </row>
    <row r="46" spans="9:17" x14ac:dyDescent="0.2">
      <c r="I46" s="107" t="str">
        <f t="shared" si="0"/>
        <v/>
      </c>
      <c r="J46" s="113"/>
      <c r="K46" s="200" t="str">
        <f>IF(Electricity[[#This Row],[Month]]&lt;&gt;"",VLOOKUP(Electricity[[#This Row],[Month]],dropdown!$S$4:$T$15,2,FALSE),"")</f>
        <v/>
      </c>
      <c r="L46" s="115"/>
      <c r="M46" s="235"/>
      <c r="N46" s="236"/>
      <c r="O46" s="116"/>
      <c r="P46" s="45"/>
      <c r="Q46" s="31"/>
    </row>
    <row r="47" spans="9:17" x14ac:dyDescent="0.2">
      <c r="I47" s="107" t="str">
        <f t="shared" si="0"/>
        <v/>
      </c>
      <c r="J47" s="113"/>
      <c r="K47" s="200" t="str">
        <f>IF(Electricity[[#This Row],[Month]]&lt;&gt;"",VLOOKUP(Electricity[[#This Row],[Month]],dropdown!$S$4:$T$15,2,FALSE),"")</f>
        <v/>
      </c>
      <c r="L47" s="115"/>
      <c r="M47" s="235"/>
      <c r="N47" s="236"/>
      <c r="O47" s="116"/>
      <c r="P47" s="45"/>
      <c r="Q47" s="31"/>
    </row>
    <row r="48" spans="9:17" x14ac:dyDescent="0.2">
      <c r="I48" s="107" t="str">
        <f t="shared" si="0"/>
        <v/>
      </c>
      <c r="J48" s="113"/>
      <c r="K48" s="200" t="str">
        <f>IF(Electricity[[#This Row],[Month]]&lt;&gt;"",VLOOKUP(Electricity[[#This Row],[Month]],dropdown!$S$4:$T$15,2,FALSE),"")</f>
        <v/>
      </c>
      <c r="L48" s="115"/>
      <c r="M48" s="235"/>
      <c r="N48" s="236"/>
      <c r="O48" s="116"/>
      <c r="P48" s="45"/>
      <c r="Q48" s="31"/>
    </row>
    <row r="49" spans="9:17" x14ac:dyDescent="0.2">
      <c r="I49" s="107" t="str">
        <f t="shared" si="0"/>
        <v/>
      </c>
      <c r="J49" s="113"/>
      <c r="K49" s="200" t="str">
        <f>IF(Electricity[[#This Row],[Month]]&lt;&gt;"",VLOOKUP(Electricity[[#This Row],[Month]],dropdown!$S$4:$T$15,2,FALSE),"")</f>
        <v/>
      </c>
      <c r="L49" s="115"/>
      <c r="M49" s="235"/>
      <c r="N49" s="236"/>
      <c r="O49" s="116"/>
      <c r="P49" s="45"/>
      <c r="Q49" s="31"/>
    </row>
    <row r="50" spans="9:17" x14ac:dyDescent="0.2">
      <c r="I50" s="107" t="str">
        <f t="shared" ref="I50:I81" si="1">IF($L50="","",$I49+1)</f>
        <v/>
      </c>
      <c r="J50" s="113"/>
      <c r="K50" s="200" t="str">
        <f>IF(Electricity[[#This Row],[Month]]&lt;&gt;"",VLOOKUP(Electricity[[#This Row],[Month]],dropdown!$S$4:$T$15,2,FALSE),"")</f>
        <v/>
      </c>
      <c r="L50" s="115"/>
      <c r="M50" s="235"/>
      <c r="N50" s="236"/>
      <c r="O50" s="116"/>
      <c r="P50" s="45"/>
      <c r="Q50" s="31"/>
    </row>
    <row r="51" spans="9:17" x14ac:dyDescent="0.2">
      <c r="I51" s="107" t="str">
        <f t="shared" si="1"/>
        <v/>
      </c>
      <c r="J51" s="113"/>
      <c r="K51" s="200" t="str">
        <f>IF(Electricity[[#This Row],[Month]]&lt;&gt;"",VLOOKUP(Electricity[[#This Row],[Month]],dropdown!$S$4:$T$15,2,FALSE),"")</f>
        <v/>
      </c>
      <c r="L51" s="115"/>
      <c r="M51" s="235"/>
      <c r="N51" s="236"/>
      <c r="O51" s="116"/>
      <c r="P51" s="45"/>
      <c r="Q51" s="31"/>
    </row>
    <row r="52" spans="9:17" x14ac:dyDescent="0.2">
      <c r="I52" s="107" t="str">
        <f t="shared" si="1"/>
        <v/>
      </c>
      <c r="J52" s="113"/>
      <c r="K52" s="200" t="str">
        <f>IF(Electricity[[#This Row],[Month]]&lt;&gt;"",VLOOKUP(Electricity[[#This Row],[Month]],dropdown!$S$4:$T$15,2,FALSE),"")</f>
        <v/>
      </c>
      <c r="L52" s="115"/>
      <c r="M52" s="235"/>
      <c r="N52" s="236"/>
      <c r="O52" s="116"/>
      <c r="P52" s="45"/>
      <c r="Q52" s="31"/>
    </row>
    <row r="53" spans="9:17" x14ac:dyDescent="0.2">
      <c r="I53" s="107" t="str">
        <f t="shared" si="1"/>
        <v/>
      </c>
      <c r="J53" s="113"/>
      <c r="K53" s="200" t="str">
        <f>IF(Electricity[[#This Row],[Month]]&lt;&gt;"",VLOOKUP(Electricity[[#This Row],[Month]],dropdown!$S$4:$T$15,2,FALSE),"")</f>
        <v/>
      </c>
      <c r="L53" s="115"/>
      <c r="M53" s="235"/>
      <c r="N53" s="236"/>
      <c r="O53" s="116"/>
      <c r="P53" s="45"/>
      <c r="Q53" s="31"/>
    </row>
    <row r="54" spans="9:17" x14ac:dyDescent="0.2">
      <c r="I54" s="107" t="str">
        <f t="shared" si="1"/>
        <v/>
      </c>
      <c r="J54" s="113"/>
      <c r="K54" s="200" t="str">
        <f>IF(Electricity[[#This Row],[Month]]&lt;&gt;"",VLOOKUP(Electricity[[#This Row],[Month]],dropdown!$S$4:$T$15,2,FALSE),"")</f>
        <v/>
      </c>
      <c r="L54" s="115"/>
      <c r="M54" s="235"/>
      <c r="N54" s="236"/>
      <c r="O54" s="116"/>
      <c r="P54" s="45"/>
      <c r="Q54" s="31"/>
    </row>
    <row r="55" spans="9:17" x14ac:dyDescent="0.2">
      <c r="I55" s="107" t="str">
        <f t="shared" si="1"/>
        <v/>
      </c>
      <c r="J55" s="113"/>
      <c r="K55" s="200" t="str">
        <f>IF(Electricity[[#This Row],[Month]]&lt;&gt;"",VLOOKUP(Electricity[[#This Row],[Month]],dropdown!$S$4:$T$15,2,FALSE),"")</f>
        <v/>
      </c>
      <c r="L55" s="115"/>
      <c r="M55" s="235"/>
      <c r="N55" s="236"/>
      <c r="O55" s="116"/>
      <c r="P55" s="45"/>
      <c r="Q55" s="31"/>
    </row>
    <row r="56" spans="9:17" x14ac:dyDescent="0.2">
      <c r="I56" s="107" t="str">
        <f t="shared" si="1"/>
        <v/>
      </c>
      <c r="J56" s="113"/>
      <c r="K56" s="200" t="str">
        <f>IF(Electricity[[#This Row],[Month]]&lt;&gt;"",VLOOKUP(Electricity[[#This Row],[Month]],dropdown!$S$4:$T$15,2,FALSE),"")</f>
        <v/>
      </c>
      <c r="L56" s="115"/>
      <c r="M56" s="235"/>
      <c r="N56" s="236"/>
      <c r="O56" s="116"/>
      <c r="P56" s="45"/>
      <c r="Q56" s="31"/>
    </row>
    <row r="57" spans="9:17" x14ac:dyDescent="0.2">
      <c r="I57" s="107" t="str">
        <f t="shared" si="1"/>
        <v/>
      </c>
      <c r="J57" s="113"/>
      <c r="K57" s="200" t="str">
        <f>IF(Electricity[[#This Row],[Month]]&lt;&gt;"",VLOOKUP(Electricity[[#This Row],[Month]],dropdown!$S$4:$T$15,2,FALSE),"")</f>
        <v/>
      </c>
      <c r="L57" s="115"/>
      <c r="M57" s="235"/>
      <c r="N57" s="236"/>
      <c r="O57" s="116"/>
      <c r="P57" s="45"/>
      <c r="Q57" s="31"/>
    </row>
    <row r="58" spans="9:17" x14ac:dyDescent="0.2">
      <c r="I58" s="107" t="str">
        <f t="shared" si="1"/>
        <v/>
      </c>
      <c r="J58" s="113"/>
      <c r="K58" s="200" t="str">
        <f>IF(Electricity[[#This Row],[Month]]&lt;&gt;"",VLOOKUP(Electricity[[#This Row],[Month]],dropdown!$S$4:$T$15,2,FALSE),"")</f>
        <v/>
      </c>
      <c r="L58" s="115"/>
      <c r="M58" s="235"/>
      <c r="N58" s="236"/>
      <c r="O58" s="116"/>
      <c r="P58" s="45"/>
      <c r="Q58" s="31"/>
    </row>
    <row r="59" spans="9:17" x14ac:dyDescent="0.2">
      <c r="I59" s="107" t="str">
        <f t="shared" si="1"/>
        <v/>
      </c>
      <c r="J59" s="113"/>
      <c r="K59" s="200" t="str">
        <f>IF(Electricity[[#This Row],[Month]]&lt;&gt;"",VLOOKUP(Electricity[[#This Row],[Month]],dropdown!$S$4:$T$15,2,FALSE),"")</f>
        <v/>
      </c>
      <c r="L59" s="115"/>
      <c r="M59" s="235"/>
      <c r="N59" s="236"/>
      <c r="O59" s="116"/>
      <c r="P59" s="45"/>
      <c r="Q59" s="31"/>
    </row>
    <row r="60" spans="9:17" x14ac:dyDescent="0.2">
      <c r="I60" s="107" t="str">
        <f t="shared" si="1"/>
        <v/>
      </c>
      <c r="J60" s="113"/>
      <c r="K60" s="200" t="str">
        <f>IF(Electricity[[#This Row],[Month]]&lt;&gt;"",VLOOKUP(Electricity[[#This Row],[Month]],dropdown!$S$4:$T$15,2,FALSE),"")</f>
        <v/>
      </c>
      <c r="L60" s="115"/>
      <c r="M60" s="235"/>
      <c r="N60" s="236"/>
      <c r="O60" s="116"/>
      <c r="P60" s="45"/>
      <c r="Q60" s="31"/>
    </row>
    <row r="61" spans="9:17" x14ac:dyDescent="0.2">
      <c r="I61" s="107" t="str">
        <f t="shared" si="1"/>
        <v/>
      </c>
      <c r="J61" s="113"/>
      <c r="K61" s="200" t="str">
        <f>IF(Electricity[[#This Row],[Month]]&lt;&gt;"",VLOOKUP(Electricity[[#This Row],[Month]],dropdown!$S$4:$T$15,2,FALSE),"")</f>
        <v/>
      </c>
      <c r="L61" s="115"/>
      <c r="M61" s="235"/>
      <c r="N61" s="236"/>
      <c r="O61" s="116"/>
      <c r="P61" s="45"/>
      <c r="Q61" s="31"/>
    </row>
    <row r="62" spans="9:17" x14ac:dyDescent="0.2">
      <c r="I62" s="107" t="str">
        <f t="shared" si="1"/>
        <v/>
      </c>
      <c r="J62" s="113"/>
      <c r="K62" s="200" t="str">
        <f>IF(Electricity[[#This Row],[Month]]&lt;&gt;"",VLOOKUP(Electricity[[#This Row],[Month]],dropdown!$S$4:$T$15,2,FALSE),"")</f>
        <v/>
      </c>
      <c r="L62" s="115"/>
      <c r="M62" s="235"/>
      <c r="N62" s="236"/>
      <c r="O62" s="116"/>
      <c r="P62" s="45"/>
      <c r="Q62" s="31"/>
    </row>
    <row r="63" spans="9:17" x14ac:dyDescent="0.2">
      <c r="I63" s="107" t="str">
        <f t="shared" si="1"/>
        <v/>
      </c>
      <c r="J63" s="113"/>
      <c r="K63" s="200" t="str">
        <f>IF(Electricity[[#This Row],[Month]]&lt;&gt;"",VLOOKUP(Electricity[[#This Row],[Month]],dropdown!$S$4:$T$15,2,FALSE),"")</f>
        <v/>
      </c>
      <c r="L63" s="115"/>
      <c r="M63" s="235"/>
      <c r="N63" s="236"/>
      <c r="O63" s="116"/>
      <c r="P63" s="45"/>
      <c r="Q63" s="31"/>
    </row>
    <row r="64" spans="9:17" x14ac:dyDescent="0.2">
      <c r="I64" s="107" t="str">
        <f t="shared" si="1"/>
        <v/>
      </c>
      <c r="J64" s="113"/>
      <c r="K64" s="200" t="str">
        <f>IF(Electricity[[#This Row],[Month]]&lt;&gt;"",VLOOKUP(Electricity[[#This Row],[Month]],dropdown!$S$4:$T$15,2,FALSE),"")</f>
        <v/>
      </c>
      <c r="L64" s="115"/>
      <c r="M64" s="235"/>
      <c r="N64" s="236"/>
      <c r="O64" s="116"/>
      <c r="P64" s="45"/>
      <c r="Q64" s="31"/>
    </row>
    <row r="65" spans="9:17" x14ac:dyDescent="0.2">
      <c r="I65" s="107" t="str">
        <f t="shared" si="1"/>
        <v/>
      </c>
      <c r="J65" s="113"/>
      <c r="K65" s="200" t="str">
        <f>IF(Electricity[[#This Row],[Month]]&lt;&gt;"",VLOOKUP(Electricity[[#This Row],[Month]],dropdown!$S$4:$T$15,2,FALSE),"")</f>
        <v/>
      </c>
      <c r="L65" s="115"/>
      <c r="M65" s="235"/>
      <c r="N65" s="236"/>
      <c r="O65" s="116"/>
      <c r="P65" s="45"/>
      <c r="Q65" s="31"/>
    </row>
    <row r="66" spans="9:17" x14ac:dyDescent="0.2">
      <c r="I66" s="107" t="str">
        <f t="shared" si="1"/>
        <v/>
      </c>
      <c r="J66" s="113"/>
      <c r="K66" s="200" t="str">
        <f>IF(Electricity[[#This Row],[Month]]&lt;&gt;"",VLOOKUP(Electricity[[#This Row],[Month]],dropdown!$S$4:$T$15,2,FALSE),"")</f>
        <v/>
      </c>
      <c r="L66" s="115"/>
      <c r="M66" s="235"/>
      <c r="N66" s="236"/>
      <c r="O66" s="116"/>
      <c r="P66" s="45"/>
      <c r="Q66" s="31"/>
    </row>
    <row r="67" spans="9:17" x14ac:dyDescent="0.2">
      <c r="I67" s="107" t="str">
        <f t="shared" si="1"/>
        <v/>
      </c>
      <c r="J67" s="113"/>
      <c r="K67" s="200" t="str">
        <f>IF(Electricity[[#This Row],[Month]]&lt;&gt;"",VLOOKUP(Electricity[[#This Row],[Month]],dropdown!$S$4:$T$15,2,FALSE),"")</f>
        <v/>
      </c>
      <c r="L67" s="115"/>
      <c r="M67" s="235"/>
      <c r="N67" s="236"/>
      <c r="O67" s="116"/>
      <c r="P67" s="45"/>
      <c r="Q67" s="31"/>
    </row>
    <row r="68" spans="9:17" x14ac:dyDescent="0.2">
      <c r="I68" s="107" t="str">
        <f t="shared" si="1"/>
        <v/>
      </c>
      <c r="J68" s="113"/>
      <c r="K68" s="200" t="str">
        <f>IF(Electricity[[#This Row],[Month]]&lt;&gt;"",VLOOKUP(Electricity[[#This Row],[Month]],dropdown!$S$4:$T$15,2,FALSE),"")</f>
        <v/>
      </c>
      <c r="L68" s="115"/>
      <c r="M68" s="235"/>
      <c r="N68" s="236"/>
      <c r="O68" s="116"/>
      <c r="P68" s="45"/>
      <c r="Q68" s="31"/>
    </row>
    <row r="69" spans="9:17" x14ac:dyDescent="0.2">
      <c r="I69" s="107" t="str">
        <f t="shared" si="1"/>
        <v/>
      </c>
      <c r="J69" s="113"/>
      <c r="K69" s="200" t="str">
        <f>IF(Electricity[[#This Row],[Month]]&lt;&gt;"",VLOOKUP(Electricity[[#This Row],[Month]],dropdown!$S$4:$T$15,2,FALSE),"")</f>
        <v/>
      </c>
      <c r="L69" s="115"/>
      <c r="M69" s="235"/>
      <c r="N69" s="236"/>
      <c r="O69" s="116"/>
      <c r="P69" s="45"/>
      <c r="Q69" s="31"/>
    </row>
    <row r="70" spans="9:17" x14ac:dyDescent="0.2">
      <c r="I70" s="107" t="str">
        <f t="shared" si="1"/>
        <v/>
      </c>
      <c r="J70" s="113"/>
      <c r="K70" s="200" t="str">
        <f>IF(Electricity[[#This Row],[Month]]&lt;&gt;"",VLOOKUP(Electricity[[#This Row],[Month]],dropdown!$S$4:$T$15,2,FALSE),"")</f>
        <v/>
      </c>
      <c r="L70" s="115"/>
      <c r="M70" s="235"/>
      <c r="N70" s="236"/>
      <c r="O70" s="116"/>
      <c r="P70" s="45"/>
      <c r="Q70" s="31"/>
    </row>
    <row r="71" spans="9:17" x14ac:dyDescent="0.2">
      <c r="I71" s="107" t="str">
        <f t="shared" si="1"/>
        <v/>
      </c>
      <c r="J71" s="113"/>
      <c r="K71" s="200" t="str">
        <f>IF(Electricity[[#This Row],[Month]]&lt;&gt;"",VLOOKUP(Electricity[[#This Row],[Month]],dropdown!$S$4:$T$15,2,FALSE),"")</f>
        <v/>
      </c>
      <c r="L71" s="115"/>
      <c r="M71" s="235"/>
      <c r="N71" s="236"/>
      <c r="O71" s="116"/>
      <c r="P71" s="45"/>
      <c r="Q71" s="31"/>
    </row>
    <row r="72" spans="9:17" x14ac:dyDescent="0.2">
      <c r="I72" s="107" t="str">
        <f t="shared" si="1"/>
        <v/>
      </c>
      <c r="J72" s="113"/>
      <c r="K72" s="200" t="str">
        <f>IF(Electricity[[#This Row],[Month]]&lt;&gt;"",VLOOKUP(Electricity[[#This Row],[Month]],dropdown!$S$4:$T$15,2,FALSE),"")</f>
        <v/>
      </c>
      <c r="L72" s="115"/>
      <c r="M72" s="235"/>
      <c r="N72" s="236"/>
      <c r="O72" s="116"/>
      <c r="P72" s="45"/>
      <c r="Q72" s="31"/>
    </row>
    <row r="73" spans="9:17" x14ac:dyDescent="0.2">
      <c r="I73" s="107" t="str">
        <f t="shared" si="1"/>
        <v/>
      </c>
      <c r="J73" s="113"/>
      <c r="K73" s="200" t="str">
        <f>IF(Electricity[[#This Row],[Month]]&lt;&gt;"",VLOOKUP(Electricity[[#This Row],[Month]],dropdown!$S$4:$T$15,2,FALSE),"")</f>
        <v/>
      </c>
      <c r="L73" s="115"/>
      <c r="M73" s="235"/>
      <c r="N73" s="236"/>
      <c r="O73" s="116"/>
      <c r="P73" s="45"/>
      <c r="Q73" s="31"/>
    </row>
    <row r="74" spans="9:17" x14ac:dyDescent="0.2">
      <c r="I74" s="107" t="str">
        <f t="shared" si="1"/>
        <v/>
      </c>
      <c r="J74" s="113"/>
      <c r="K74" s="200" t="str">
        <f>IF(Electricity[[#This Row],[Month]]&lt;&gt;"",VLOOKUP(Electricity[[#This Row],[Month]],dropdown!$S$4:$T$15,2,FALSE),"")</f>
        <v/>
      </c>
      <c r="L74" s="115"/>
      <c r="M74" s="235"/>
      <c r="N74" s="236"/>
      <c r="O74" s="116"/>
      <c r="P74" s="45"/>
      <c r="Q74" s="31"/>
    </row>
    <row r="75" spans="9:17" x14ac:dyDescent="0.2">
      <c r="I75" s="107" t="str">
        <f t="shared" si="1"/>
        <v/>
      </c>
      <c r="J75" s="113"/>
      <c r="K75" s="200" t="str">
        <f>IF(Electricity[[#This Row],[Month]]&lt;&gt;"",VLOOKUP(Electricity[[#This Row],[Month]],dropdown!$S$4:$T$15,2,FALSE),"")</f>
        <v/>
      </c>
      <c r="L75" s="115"/>
      <c r="M75" s="235"/>
      <c r="N75" s="236"/>
      <c r="O75" s="116"/>
      <c r="P75" s="45"/>
      <c r="Q75" s="31"/>
    </row>
    <row r="76" spans="9:17" x14ac:dyDescent="0.2">
      <c r="I76" s="107" t="str">
        <f t="shared" si="1"/>
        <v/>
      </c>
      <c r="J76" s="113"/>
      <c r="K76" s="200" t="str">
        <f>IF(Electricity[[#This Row],[Month]]&lt;&gt;"",VLOOKUP(Electricity[[#This Row],[Month]],dropdown!$S$4:$T$15,2,FALSE),"")</f>
        <v/>
      </c>
      <c r="L76" s="115"/>
      <c r="M76" s="235"/>
      <c r="N76" s="236"/>
      <c r="O76" s="116"/>
      <c r="P76" s="45"/>
      <c r="Q76" s="31"/>
    </row>
    <row r="77" spans="9:17" x14ac:dyDescent="0.2">
      <c r="I77" s="107" t="str">
        <f t="shared" si="1"/>
        <v/>
      </c>
      <c r="J77" s="113"/>
      <c r="K77" s="200" t="str">
        <f>IF(Electricity[[#This Row],[Month]]&lt;&gt;"",VLOOKUP(Electricity[[#This Row],[Month]],dropdown!$S$4:$T$15,2,FALSE),"")</f>
        <v/>
      </c>
      <c r="L77" s="115"/>
      <c r="M77" s="235"/>
      <c r="N77" s="236"/>
      <c r="O77" s="116"/>
      <c r="P77" s="45"/>
      <c r="Q77" s="31"/>
    </row>
    <row r="78" spans="9:17" x14ac:dyDescent="0.2">
      <c r="I78" s="107" t="str">
        <f t="shared" si="1"/>
        <v/>
      </c>
      <c r="J78" s="113"/>
      <c r="K78" s="200" t="str">
        <f>IF(Electricity[[#This Row],[Month]]&lt;&gt;"",VLOOKUP(Electricity[[#This Row],[Month]],dropdown!$S$4:$T$15,2,FALSE),"")</f>
        <v/>
      </c>
      <c r="L78" s="115"/>
      <c r="M78" s="235"/>
      <c r="N78" s="236"/>
      <c r="O78" s="116"/>
      <c r="P78" s="45"/>
      <c r="Q78" s="31"/>
    </row>
    <row r="79" spans="9:17" x14ac:dyDescent="0.2">
      <c r="I79" s="107" t="str">
        <f t="shared" si="1"/>
        <v/>
      </c>
      <c r="J79" s="113"/>
      <c r="K79" s="200" t="str">
        <f>IF(Electricity[[#This Row],[Month]]&lt;&gt;"",VLOOKUP(Electricity[[#This Row],[Month]],dropdown!$S$4:$T$15,2,FALSE),"")</f>
        <v/>
      </c>
      <c r="L79" s="115"/>
      <c r="M79" s="235"/>
      <c r="N79" s="236"/>
      <c r="O79" s="116"/>
      <c r="P79" s="45"/>
      <c r="Q79" s="31"/>
    </row>
    <row r="80" spans="9:17" x14ac:dyDescent="0.2">
      <c r="I80" s="107" t="str">
        <f t="shared" si="1"/>
        <v/>
      </c>
      <c r="J80" s="113"/>
      <c r="K80" s="200" t="str">
        <f>IF(Electricity[[#This Row],[Month]]&lt;&gt;"",VLOOKUP(Electricity[[#This Row],[Month]],dropdown!$S$4:$T$15,2,FALSE),"")</f>
        <v/>
      </c>
      <c r="L80" s="115"/>
      <c r="M80" s="235"/>
      <c r="N80" s="236"/>
      <c r="O80" s="116"/>
      <c r="P80" s="45"/>
      <c r="Q80" s="31"/>
    </row>
    <row r="81" spans="9:17" x14ac:dyDescent="0.2">
      <c r="I81" s="107" t="str">
        <f t="shared" si="1"/>
        <v/>
      </c>
      <c r="J81" s="113"/>
      <c r="K81" s="200" t="str">
        <f>IF(Electricity[[#This Row],[Month]]&lt;&gt;"",VLOOKUP(Electricity[[#This Row],[Month]],dropdown!$S$4:$T$15,2,FALSE),"")</f>
        <v/>
      </c>
      <c r="L81" s="115"/>
      <c r="M81" s="235"/>
      <c r="N81" s="236"/>
      <c r="O81" s="116"/>
      <c r="P81" s="45"/>
      <c r="Q81" s="31"/>
    </row>
    <row r="82" spans="9:17" x14ac:dyDescent="0.2">
      <c r="I82" s="107" t="str">
        <f t="shared" ref="I82:I107" si="2">IF($L82="","",$I81+1)</f>
        <v/>
      </c>
      <c r="J82" s="113"/>
      <c r="K82" s="200" t="str">
        <f>IF(Electricity[[#This Row],[Month]]&lt;&gt;"",VLOOKUP(Electricity[[#This Row],[Month]],dropdown!$S$4:$T$15,2,FALSE),"")</f>
        <v/>
      </c>
      <c r="L82" s="115"/>
      <c r="M82" s="235"/>
      <c r="N82" s="236"/>
      <c r="O82" s="116"/>
      <c r="P82" s="45"/>
      <c r="Q82" s="31"/>
    </row>
    <row r="83" spans="9:17" x14ac:dyDescent="0.2">
      <c r="I83" s="107" t="str">
        <f t="shared" si="2"/>
        <v/>
      </c>
      <c r="J83" s="113"/>
      <c r="K83" s="200" t="str">
        <f>IF(Electricity[[#This Row],[Month]]&lt;&gt;"",VLOOKUP(Electricity[[#This Row],[Month]],dropdown!$S$4:$T$15,2,FALSE),"")</f>
        <v/>
      </c>
      <c r="L83" s="115"/>
      <c r="M83" s="235"/>
      <c r="N83" s="236"/>
      <c r="O83" s="116"/>
      <c r="P83" s="45"/>
      <c r="Q83" s="31"/>
    </row>
    <row r="84" spans="9:17" x14ac:dyDescent="0.2">
      <c r="I84" s="107" t="str">
        <f t="shared" si="2"/>
        <v/>
      </c>
      <c r="J84" s="113"/>
      <c r="K84" s="200" t="str">
        <f>IF(Electricity[[#This Row],[Month]]&lt;&gt;"",VLOOKUP(Electricity[[#This Row],[Month]],dropdown!$S$4:$T$15,2,FALSE),"")</f>
        <v/>
      </c>
      <c r="L84" s="115"/>
      <c r="M84" s="235"/>
      <c r="N84" s="236"/>
      <c r="O84" s="116"/>
      <c r="P84" s="45"/>
      <c r="Q84" s="31"/>
    </row>
    <row r="85" spans="9:17" x14ac:dyDescent="0.2">
      <c r="I85" s="107" t="str">
        <f t="shared" si="2"/>
        <v/>
      </c>
      <c r="J85" s="113"/>
      <c r="K85" s="200" t="str">
        <f>IF(Electricity[[#This Row],[Month]]&lt;&gt;"",VLOOKUP(Electricity[[#This Row],[Month]],dropdown!$S$4:$T$15,2,FALSE),"")</f>
        <v/>
      </c>
      <c r="L85" s="115"/>
      <c r="M85" s="235"/>
      <c r="N85" s="236"/>
      <c r="O85" s="116"/>
      <c r="P85" s="45"/>
      <c r="Q85" s="31"/>
    </row>
    <row r="86" spans="9:17" x14ac:dyDescent="0.2">
      <c r="I86" s="107" t="str">
        <f t="shared" si="2"/>
        <v/>
      </c>
      <c r="J86" s="113"/>
      <c r="K86" s="200" t="str">
        <f>IF(Electricity[[#This Row],[Month]]&lt;&gt;"",VLOOKUP(Electricity[[#This Row],[Month]],dropdown!$S$4:$T$15,2,FALSE),"")</f>
        <v/>
      </c>
      <c r="L86" s="115"/>
      <c r="M86" s="235"/>
      <c r="N86" s="236"/>
      <c r="O86" s="116"/>
      <c r="P86" s="45"/>
      <c r="Q86" s="31"/>
    </row>
    <row r="87" spans="9:17" x14ac:dyDescent="0.2">
      <c r="I87" s="107" t="str">
        <f t="shared" si="2"/>
        <v/>
      </c>
      <c r="J87" s="113"/>
      <c r="K87" s="200" t="str">
        <f>IF(Electricity[[#This Row],[Month]]&lt;&gt;"",VLOOKUP(Electricity[[#This Row],[Month]],dropdown!$S$4:$T$15,2,FALSE),"")</f>
        <v/>
      </c>
      <c r="L87" s="115"/>
      <c r="M87" s="235"/>
      <c r="N87" s="236"/>
      <c r="O87" s="116"/>
      <c r="P87" s="45"/>
      <c r="Q87" s="31"/>
    </row>
    <row r="88" spans="9:17" x14ac:dyDescent="0.2">
      <c r="I88" s="107" t="str">
        <f t="shared" si="2"/>
        <v/>
      </c>
      <c r="J88" s="113"/>
      <c r="K88" s="200" t="str">
        <f>IF(Electricity[[#This Row],[Month]]&lt;&gt;"",VLOOKUP(Electricity[[#This Row],[Month]],dropdown!$S$4:$T$15,2,FALSE),"")</f>
        <v/>
      </c>
      <c r="L88" s="115"/>
      <c r="M88" s="235"/>
      <c r="N88" s="236"/>
      <c r="O88" s="116"/>
      <c r="P88" s="45"/>
      <c r="Q88" s="31"/>
    </row>
    <row r="89" spans="9:17" x14ac:dyDescent="0.2">
      <c r="I89" s="107" t="str">
        <f t="shared" si="2"/>
        <v/>
      </c>
      <c r="J89" s="113"/>
      <c r="K89" s="200" t="str">
        <f>IF(Electricity[[#This Row],[Month]]&lt;&gt;"",VLOOKUP(Electricity[[#This Row],[Month]],dropdown!$S$4:$T$15,2,FALSE),"")</f>
        <v/>
      </c>
      <c r="L89" s="115"/>
      <c r="M89" s="235"/>
      <c r="N89" s="236"/>
      <c r="O89" s="116"/>
      <c r="P89" s="45"/>
      <c r="Q89" s="31"/>
    </row>
    <row r="90" spans="9:17" x14ac:dyDescent="0.2">
      <c r="I90" s="107" t="str">
        <f t="shared" si="2"/>
        <v/>
      </c>
      <c r="J90" s="113"/>
      <c r="K90" s="200" t="str">
        <f>IF(Electricity[[#This Row],[Month]]&lt;&gt;"",VLOOKUP(Electricity[[#This Row],[Month]],dropdown!$S$4:$T$15,2,FALSE),"")</f>
        <v/>
      </c>
      <c r="L90" s="115"/>
      <c r="M90" s="235"/>
      <c r="N90" s="236"/>
      <c r="O90" s="116"/>
      <c r="P90" s="45"/>
      <c r="Q90" s="31"/>
    </row>
    <row r="91" spans="9:17" x14ac:dyDescent="0.2">
      <c r="I91" s="107" t="str">
        <f t="shared" si="2"/>
        <v/>
      </c>
      <c r="J91" s="113"/>
      <c r="K91" s="200" t="str">
        <f>IF(Electricity[[#This Row],[Month]]&lt;&gt;"",VLOOKUP(Electricity[[#This Row],[Month]],dropdown!$S$4:$T$15,2,FALSE),"")</f>
        <v/>
      </c>
      <c r="L91" s="115"/>
      <c r="M91" s="235"/>
      <c r="N91" s="236"/>
      <c r="O91" s="116"/>
      <c r="P91" s="45"/>
      <c r="Q91" s="31"/>
    </row>
    <row r="92" spans="9:17" x14ac:dyDescent="0.2">
      <c r="I92" s="107" t="str">
        <f t="shared" si="2"/>
        <v/>
      </c>
      <c r="J92" s="113"/>
      <c r="K92" s="200" t="str">
        <f>IF(Electricity[[#This Row],[Month]]&lt;&gt;"",VLOOKUP(Electricity[[#This Row],[Month]],dropdown!$S$4:$T$15,2,FALSE),"")</f>
        <v/>
      </c>
      <c r="L92" s="115"/>
      <c r="M92" s="235"/>
      <c r="N92" s="236"/>
      <c r="O92" s="116"/>
      <c r="P92" s="45"/>
      <c r="Q92" s="31"/>
    </row>
    <row r="93" spans="9:17" x14ac:dyDescent="0.2">
      <c r="I93" s="107" t="str">
        <f t="shared" si="2"/>
        <v/>
      </c>
      <c r="J93" s="113"/>
      <c r="K93" s="200" t="str">
        <f>IF(Electricity[[#This Row],[Month]]&lt;&gt;"",VLOOKUP(Electricity[[#This Row],[Month]],dropdown!$S$4:$T$15,2,FALSE),"")</f>
        <v/>
      </c>
      <c r="L93" s="115"/>
      <c r="M93" s="235"/>
      <c r="N93" s="236"/>
      <c r="O93" s="116"/>
      <c r="P93" s="45"/>
      <c r="Q93" s="31"/>
    </row>
    <row r="94" spans="9:17" x14ac:dyDescent="0.2">
      <c r="I94" s="107" t="str">
        <f t="shared" si="2"/>
        <v/>
      </c>
      <c r="J94" s="113"/>
      <c r="K94" s="200" t="str">
        <f>IF(Electricity[[#This Row],[Month]]&lt;&gt;"",VLOOKUP(Electricity[[#This Row],[Month]],dropdown!$S$4:$T$15,2,FALSE),"")</f>
        <v/>
      </c>
      <c r="L94" s="115"/>
      <c r="M94" s="235"/>
      <c r="N94" s="236"/>
      <c r="O94" s="116"/>
      <c r="P94" s="45"/>
      <c r="Q94" s="31"/>
    </row>
    <row r="95" spans="9:17" x14ac:dyDescent="0.2">
      <c r="I95" s="107" t="str">
        <f t="shared" si="2"/>
        <v/>
      </c>
      <c r="J95" s="113"/>
      <c r="K95" s="200" t="str">
        <f>IF(Electricity[[#This Row],[Month]]&lt;&gt;"",VLOOKUP(Electricity[[#This Row],[Month]],dropdown!$S$4:$T$15,2,FALSE),"")</f>
        <v/>
      </c>
      <c r="L95" s="115"/>
      <c r="M95" s="235"/>
      <c r="N95" s="236"/>
      <c r="O95" s="116"/>
      <c r="P95" s="45"/>
      <c r="Q95" s="31"/>
    </row>
    <row r="96" spans="9:17" x14ac:dyDescent="0.2">
      <c r="I96" s="107" t="str">
        <f t="shared" si="2"/>
        <v/>
      </c>
      <c r="J96" s="113"/>
      <c r="K96" s="200" t="str">
        <f>IF(Electricity[[#This Row],[Month]]&lt;&gt;"",VLOOKUP(Electricity[[#This Row],[Month]],dropdown!$S$4:$T$15,2,FALSE),"")</f>
        <v/>
      </c>
      <c r="L96" s="115"/>
      <c r="M96" s="235"/>
      <c r="N96" s="236"/>
      <c r="O96" s="116"/>
      <c r="P96" s="45"/>
      <c r="Q96" s="31"/>
    </row>
    <row r="97" spans="9:17" x14ac:dyDescent="0.2">
      <c r="I97" s="107" t="str">
        <f t="shared" si="2"/>
        <v/>
      </c>
      <c r="J97" s="113"/>
      <c r="K97" s="200" t="str">
        <f>IF(Electricity[[#This Row],[Month]]&lt;&gt;"",VLOOKUP(Electricity[[#This Row],[Month]],dropdown!$S$4:$T$15,2,FALSE),"")</f>
        <v/>
      </c>
      <c r="L97" s="115"/>
      <c r="M97" s="235"/>
      <c r="N97" s="236"/>
      <c r="O97" s="116"/>
      <c r="P97" s="45"/>
      <c r="Q97" s="31"/>
    </row>
    <row r="98" spans="9:17" x14ac:dyDescent="0.2">
      <c r="I98" s="107" t="str">
        <f t="shared" si="2"/>
        <v/>
      </c>
      <c r="J98" s="113"/>
      <c r="K98" s="200" t="str">
        <f>IF(Electricity[[#This Row],[Month]]&lt;&gt;"",VLOOKUP(Electricity[[#This Row],[Month]],dropdown!$S$4:$T$15,2,FALSE),"")</f>
        <v/>
      </c>
      <c r="L98" s="115"/>
      <c r="M98" s="235"/>
      <c r="N98" s="236"/>
      <c r="O98" s="116"/>
      <c r="P98" s="45"/>
      <c r="Q98" s="31"/>
    </row>
    <row r="99" spans="9:17" x14ac:dyDescent="0.2">
      <c r="I99" s="107" t="str">
        <f t="shared" si="2"/>
        <v/>
      </c>
      <c r="J99" s="113"/>
      <c r="K99" s="200" t="str">
        <f>IF(Electricity[[#This Row],[Month]]&lt;&gt;"",VLOOKUP(Electricity[[#This Row],[Month]],dropdown!$S$4:$T$15,2,FALSE),"")</f>
        <v/>
      </c>
      <c r="L99" s="115"/>
      <c r="M99" s="235"/>
      <c r="N99" s="236"/>
      <c r="O99" s="116"/>
      <c r="P99" s="45"/>
      <c r="Q99" s="31"/>
    </row>
    <row r="100" spans="9:17" x14ac:dyDescent="0.2">
      <c r="I100" s="107" t="str">
        <f t="shared" si="2"/>
        <v/>
      </c>
      <c r="J100" s="113"/>
      <c r="K100" s="200" t="str">
        <f>IF(Electricity[[#This Row],[Month]]&lt;&gt;"",VLOOKUP(Electricity[[#This Row],[Month]],dropdown!$S$4:$T$15,2,FALSE),"")</f>
        <v/>
      </c>
      <c r="L100" s="115"/>
      <c r="M100" s="235"/>
      <c r="N100" s="236"/>
      <c r="O100" s="116"/>
      <c r="P100" s="45"/>
      <c r="Q100" s="31"/>
    </row>
    <row r="101" spans="9:17" x14ac:dyDescent="0.2">
      <c r="I101" s="107" t="str">
        <f t="shared" si="2"/>
        <v/>
      </c>
      <c r="J101" s="113"/>
      <c r="K101" s="200" t="str">
        <f>IF(Electricity[[#This Row],[Month]]&lt;&gt;"",VLOOKUP(Electricity[[#This Row],[Month]],dropdown!$S$4:$T$15,2,FALSE),"")</f>
        <v/>
      </c>
      <c r="L101" s="115"/>
      <c r="M101" s="235"/>
      <c r="N101" s="236"/>
      <c r="O101" s="116"/>
      <c r="P101" s="45"/>
      <c r="Q101" s="31"/>
    </row>
    <row r="102" spans="9:17" x14ac:dyDescent="0.2">
      <c r="I102" s="107" t="str">
        <f t="shared" si="2"/>
        <v/>
      </c>
      <c r="J102" s="113"/>
      <c r="K102" s="200" t="str">
        <f>IF(Electricity[[#This Row],[Month]]&lt;&gt;"",VLOOKUP(Electricity[[#This Row],[Month]],dropdown!$S$4:$T$15,2,FALSE),"")</f>
        <v/>
      </c>
      <c r="L102" s="115"/>
      <c r="M102" s="235"/>
      <c r="N102" s="236"/>
      <c r="O102" s="116"/>
      <c r="P102" s="45"/>
      <c r="Q102" s="31"/>
    </row>
    <row r="103" spans="9:17" x14ac:dyDescent="0.2">
      <c r="I103" s="107" t="str">
        <f t="shared" si="2"/>
        <v/>
      </c>
      <c r="J103" s="113"/>
      <c r="K103" s="200" t="str">
        <f>IF(Electricity[[#This Row],[Month]]&lt;&gt;"",VLOOKUP(Electricity[[#This Row],[Month]],dropdown!$S$4:$T$15,2,FALSE),"")</f>
        <v/>
      </c>
      <c r="L103" s="115"/>
      <c r="M103" s="235"/>
      <c r="N103" s="236"/>
      <c r="O103" s="116"/>
      <c r="P103" s="45"/>
      <c r="Q103" s="31"/>
    </row>
    <row r="104" spans="9:17" x14ac:dyDescent="0.2">
      <c r="I104" s="107" t="str">
        <f t="shared" si="2"/>
        <v/>
      </c>
      <c r="J104" s="113"/>
      <c r="K104" s="200" t="str">
        <f>IF(Electricity[[#This Row],[Month]]&lt;&gt;"",VLOOKUP(Electricity[[#This Row],[Month]],dropdown!$S$4:$T$15,2,FALSE),"")</f>
        <v/>
      </c>
      <c r="L104" s="115"/>
      <c r="M104" s="235"/>
      <c r="N104" s="236"/>
      <c r="O104" s="116"/>
      <c r="P104" s="45"/>
      <c r="Q104" s="31"/>
    </row>
    <row r="105" spans="9:17" x14ac:dyDescent="0.2">
      <c r="I105" s="107" t="str">
        <f t="shared" si="2"/>
        <v/>
      </c>
      <c r="J105" s="113"/>
      <c r="K105" s="200" t="str">
        <f>IF(Electricity[[#This Row],[Month]]&lt;&gt;"",VLOOKUP(Electricity[[#This Row],[Month]],dropdown!$S$4:$T$15,2,FALSE),"")</f>
        <v/>
      </c>
      <c r="L105" s="115"/>
      <c r="M105" s="235"/>
      <c r="N105" s="236"/>
      <c r="O105" s="116"/>
      <c r="P105" s="45"/>
      <c r="Q105" s="31"/>
    </row>
    <row r="106" spans="9:17" x14ac:dyDescent="0.2">
      <c r="I106" s="107" t="str">
        <f t="shared" si="2"/>
        <v/>
      </c>
      <c r="J106" s="113"/>
      <c r="K106" s="200" t="str">
        <f>IF(Electricity[[#This Row],[Month]]&lt;&gt;"",VLOOKUP(Electricity[[#This Row],[Month]],dropdown!$S$4:$T$15,2,FALSE),"")</f>
        <v/>
      </c>
      <c r="L106" s="115"/>
      <c r="M106" s="235"/>
      <c r="N106" s="236"/>
      <c r="O106" s="116"/>
      <c r="P106" s="45"/>
      <c r="Q106" s="31"/>
    </row>
    <row r="107" spans="9:17" x14ac:dyDescent="0.2">
      <c r="I107" s="107" t="str">
        <f t="shared" si="2"/>
        <v/>
      </c>
      <c r="J107" s="113"/>
      <c r="K107" s="200" t="str">
        <f>IF(Electricity[[#This Row],[Month]]&lt;&gt;"",VLOOKUP(Electricity[[#This Row],[Month]],dropdown!$S$4:$T$15,2,FALSE),"")</f>
        <v/>
      </c>
      <c r="L107" s="115"/>
      <c r="M107" s="235"/>
      <c r="N107" s="236"/>
      <c r="O107" s="116"/>
      <c r="P107" s="45"/>
      <c r="Q107" s="31"/>
    </row>
    <row r="109" spans="9:17" x14ac:dyDescent="0.2">
      <c r="I109" s="117" t="s">
        <v>184</v>
      </c>
    </row>
  </sheetData>
  <sheetProtection algorithmName="SHA-512" hashValue="4i2VYRSoeViuQcJ4m/HnTziPfSoLVjQaPu0Dp1x619tWnE/hDPyZXUWPWqN/xu8a7hTWC0nAawNRHMhp892fPg==" saltValue="kPGA/LB2Mznx7AyfuYQPGw==" spinCount="100000" sheet="1" objects="1" scenarios="1" selectLockedCells="1"/>
  <protectedRanges>
    <protectedRange sqref="J7:J107 L7:O107 N9:N13" name="Range1"/>
    <protectedRange sqref="O8" name="Range1_1"/>
    <protectedRange sqref="O9:O13" name="Range1_2"/>
  </protectedRanges>
  <mergeCells count="2">
    <mergeCell ref="C6:G6"/>
    <mergeCell ref="C7:G7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dropdown!$S$4:$S$15</xm:f>
          </x14:formula1>
          <xm:sqref>J8:J107</xm:sqref>
        </x14:dataValidation>
        <x14:dataValidation type="list" allowBlank="1" showInputMessage="1" showErrorMessage="1" xr:uid="{00000000-0002-0000-0500-000001000000}">
          <x14:formula1>
            <xm:f>dropdown!$AO$4:$AO$156</xm:f>
          </x14:formula1>
          <xm:sqref>N8:N107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FFFF00"/>
  </sheetPr>
  <dimension ref="B2:P108"/>
  <sheetViews>
    <sheetView showGridLines="0" workbookViewId="0">
      <selection activeCell="N8" sqref="N8"/>
    </sheetView>
  </sheetViews>
  <sheetFormatPr baseColWidth="10" defaultColWidth="10.83203125" defaultRowHeight="14" x14ac:dyDescent="0.2"/>
  <cols>
    <col min="1" max="1" width="2.6640625" style="31" customWidth="1"/>
    <col min="2" max="2" width="22.1640625" style="35" customWidth="1"/>
    <col min="3" max="3" width="14.83203125" style="35" customWidth="1"/>
    <col min="4" max="7" width="10" style="35" customWidth="1"/>
    <col min="8" max="8" width="4.33203125" style="31" customWidth="1"/>
    <col min="9" max="9" width="7.5" style="34" customWidth="1"/>
    <col min="10" max="10" width="10.6640625" style="40" customWidth="1"/>
    <col min="11" max="11" width="9" style="40" customWidth="1"/>
    <col min="12" max="13" width="22.6640625" style="41" customWidth="1"/>
    <col min="14" max="14" width="31.1640625" style="42" customWidth="1"/>
    <col min="15" max="15" width="4.6640625" style="31" customWidth="1"/>
    <col min="16" max="16" width="10.83203125" style="45" customWidth="1"/>
    <col min="17" max="16384" width="10.83203125" style="31"/>
  </cols>
  <sheetData>
    <row r="2" spans="2:16" ht="19" x14ac:dyDescent="0.25">
      <c r="B2" s="66" t="s">
        <v>30</v>
      </c>
      <c r="C2" s="67"/>
      <c r="D2" s="67"/>
      <c r="E2" s="67"/>
      <c r="F2" s="67"/>
      <c r="G2" s="68"/>
      <c r="I2" s="215" t="s">
        <v>243</v>
      </c>
      <c r="J2" s="216"/>
      <c r="K2" s="216"/>
      <c r="L2" s="217"/>
      <c r="M2" s="217"/>
      <c r="N2" s="218"/>
    </row>
    <row r="3" spans="2:16" x14ac:dyDescent="0.2">
      <c r="B3" s="69" t="s">
        <v>9</v>
      </c>
      <c r="C3" s="70"/>
      <c r="D3" s="71" t="s">
        <v>169</v>
      </c>
      <c r="E3" s="70"/>
      <c r="F3" s="70" t="s">
        <v>170</v>
      </c>
      <c r="G3" s="70"/>
      <c r="I3" s="219" t="s">
        <v>244</v>
      </c>
      <c r="J3" s="144"/>
      <c r="K3" s="144"/>
      <c r="L3" s="144"/>
      <c r="M3" s="144"/>
      <c r="N3" s="149"/>
    </row>
    <row r="4" spans="2:16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2025</v>
      </c>
      <c r="E4" s="74"/>
      <c r="F4" s="74" t="s">
        <v>245</v>
      </c>
      <c r="G4" s="76"/>
      <c r="I4" s="220"/>
      <c r="J4" s="154"/>
      <c r="K4" s="154"/>
      <c r="L4" s="154"/>
      <c r="M4" s="154"/>
      <c r="N4" s="159"/>
    </row>
    <row r="5" spans="2:16" x14ac:dyDescent="0.2">
      <c r="B5" s="46"/>
      <c r="D5" s="46"/>
    </row>
    <row r="6" spans="2:16" ht="30" x14ac:dyDescent="0.2">
      <c r="B6" s="77" t="s">
        <v>173</v>
      </c>
      <c r="C6" s="445" t="s">
        <v>174</v>
      </c>
      <c r="D6" s="446"/>
      <c r="E6" s="446"/>
      <c r="F6" s="446"/>
      <c r="G6" s="447"/>
      <c r="I6" s="102" t="s">
        <v>175</v>
      </c>
      <c r="J6" s="103" t="s">
        <v>40</v>
      </c>
      <c r="K6" s="103" t="s">
        <v>44</v>
      </c>
      <c r="L6" s="197" t="s">
        <v>115</v>
      </c>
      <c r="M6" s="221" t="s">
        <v>246</v>
      </c>
      <c r="N6" s="106" t="s">
        <v>55</v>
      </c>
      <c r="O6" s="222"/>
    </row>
    <row r="7" spans="2:16" x14ac:dyDescent="0.2">
      <c r="B7" s="77" t="s">
        <v>176</v>
      </c>
      <c r="C7" s="448">
        <v>45911</v>
      </c>
      <c r="D7" s="446"/>
      <c r="E7" s="446"/>
      <c r="F7" s="446"/>
      <c r="G7" s="447"/>
      <c r="I7" s="107" t="str">
        <f>IF(Electricity6[[#This Row],[Month]]="","",1)</f>
        <v/>
      </c>
      <c r="J7" s="108"/>
      <c r="K7" s="199" t="str">
        <f>IF(Electricity6[[#This Row],[Month]]&lt;&gt;"",VLOOKUP(Electricity6[[#This Row],[Month]],dropdown!$S$4:$T$15,2,FALSE),"")</f>
        <v/>
      </c>
      <c r="L7" s="110"/>
      <c r="M7" s="223"/>
      <c r="N7" s="111" t="s">
        <v>247</v>
      </c>
    </row>
    <row r="8" spans="2:16" x14ac:dyDescent="0.2">
      <c r="B8" s="213"/>
      <c r="C8" s="213"/>
      <c r="D8" s="213"/>
      <c r="E8" s="213"/>
      <c r="F8" s="213"/>
      <c r="G8" s="213"/>
      <c r="I8" s="107" t="str">
        <f>IF(Electricity6[[#This Row],[Month]]="","",I7+1)</f>
        <v/>
      </c>
      <c r="J8" s="108"/>
      <c r="K8" s="199" t="str">
        <f>IF(Electricity6[[#This Row],[Month]]&lt;&gt;"",VLOOKUP(Electricity6[[#This Row],[Month]],dropdown!$S$4:$T$15,2,FALSE),"")</f>
        <v/>
      </c>
      <c r="L8" s="110"/>
      <c r="M8" s="223"/>
      <c r="N8" s="111"/>
    </row>
    <row r="9" spans="2:16" ht="15" x14ac:dyDescent="0.2">
      <c r="B9" s="214" t="s">
        <v>248</v>
      </c>
      <c r="C9" s="78"/>
      <c r="D9" s="78"/>
      <c r="E9" s="78"/>
      <c r="F9" s="78"/>
      <c r="G9" s="78"/>
      <c r="I9" s="107" t="str">
        <f>IF(Electricity6[[#This Row],[Month]]="","",I8+1)</f>
        <v/>
      </c>
      <c r="J9" s="108"/>
      <c r="K9" s="199" t="str">
        <f>IF(Electricity6[[#This Row],[Month]]&lt;&gt;"",VLOOKUP(Electricity6[[#This Row],[Month]],dropdown!$S$4:$T$15,2,FALSE),"")</f>
        <v/>
      </c>
      <c r="L9" s="110"/>
      <c r="M9" s="223"/>
      <c r="N9" s="111"/>
    </row>
    <row r="10" spans="2:16" x14ac:dyDescent="0.2">
      <c r="B10" s="79" t="s">
        <v>249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 t="str">
        <f>IF(Electricity6[[#This Row],[Month]]="","",I9+1)</f>
        <v/>
      </c>
      <c r="J10" s="108"/>
      <c r="K10" s="199" t="str">
        <f>IF(Electricity6[[#This Row],[Month]]&lt;&gt;"",VLOOKUP(Electricity6[[#This Row],[Month]],dropdown!$S$4:$T$15,2,FALSE),"")</f>
        <v/>
      </c>
      <c r="L10" s="110"/>
      <c r="M10" s="223"/>
      <c r="N10" s="111"/>
    </row>
    <row r="11" spans="2:16" x14ac:dyDescent="0.2">
      <c r="B11" s="81" t="s">
        <v>240</v>
      </c>
      <c r="C11" s="81" t="s">
        <v>241</v>
      </c>
      <c r="D11" s="82">
        <f>SUMIFS(Electricity6[Solar Energy Generated (kWh)],Electricity6[Quarter],D$10)</f>
        <v>0</v>
      </c>
      <c r="E11" s="82">
        <f>SUMIFS(Electricity6[Solar Energy Generated (kWh)],Electricity6[Quarter],E$10)</f>
        <v>0</v>
      </c>
      <c r="F11" s="82">
        <f>SUMIFS(Electricity6[Solar Energy Generated (kWh)],Electricity6[Quarter],F$10)</f>
        <v>0</v>
      </c>
      <c r="G11" s="82">
        <f>SUMIFS(Electricity6[Solar Energy Generated (kWh)],Electricity6[Quarter],G$10)</f>
        <v>0</v>
      </c>
      <c r="I11" s="107" t="str">
        <f>IF(Electricity6[[#This Row],[Month]]="","",I10+1)</f>
        <v/>
      </c>
      <c r="J11" s="108"/>
      <c r="K11" s="199" t="str">
        <f>IF(Electricity6[[#This Row],[Month]]&lt;&gt;"",VLOOKUP(Electricity6[[#This Row],[Month]],dropdown!$S$4:$T$15,2,FALSE),"")</f>
        <v/>
      </c>
      <c r="L11" s="110"/>
      <c r="M11" s="223"/>
      <c r="N11" s="111"/>
    </row>
    <row r="12" spans="2:16" s="213" customFormat="1" x14ac:dyDescent="0.2">
      <c r="B12" s="35"/>
      <c r="C12" s="35"/>
      <c r="D12" s="132" t="str">
        <f>IF(SUM(D$11:D$11)&gt;0,"x","")</f>
        <v/>
      </c>
      <c r="E12" s="132" t="str">
        <f>IF(SUM(E$11:E$11)&gt;0,"x","")</f>
        <v/>
      </c>
      <c r="F12" s="132" t="str">
        <f>IF(SUM(F$11:F$11)&gt;0,"x","")</f>
        <v/>
      </c>
      <c r="G12" s="132" t="str">
        <f>IF(SUM(G$11:G$11)&gt;0,"x","")</f>
        <v/>
      </c>
      <c r="H12" s="31"/>
      <c r="I12" s="107" t="str">
        <f>IF(Electricity6[[#This Row],[Month]]="","",I11+1)</f>
        <v/>
      </c>
      <c r="J12" s="108"/>
      <c r="K12" s="199" t="str">
        <f>IF(Electricity6[[#This Row],[Month]]&lt;&gt;"",VLOOKUP(Electricity6[[#This Row],[Month]],dropdown!$S$4:$T$15,2,FALSE),"")</f>
        <v/>
      </c>
      <c r="L12" s="110"/>
      <c r="M12" s="223"/>
      <c r="N12" s="111"/>
      <c r="P12" s="224"/>
    </row>
    <row r="13" spans="2:16" x14ac:dyDescent="0.2">
      <c r="B13" s="123" t="s">
        <v>39</v>
      </c>
      <c r="D13" s="135"/>
      <c r="I13" s="107" t="str">
        <f>IF(Electricity6[[#This Row],[Month]]="","",I12+1)</f>
        <v/>
      </c>
      <c r="J13" s="108"/>
      <c r="K13" s="199" t="str">
        <f>IF(Electricity6[[#This Row],[Month]]&lt;&gt;"",VLOOKUP(Electricity6[[#This Row],[Month]],dropdown!$S$4:$T$15,2,FALSE),"")</f>
        <v/>
      </c>
      <c r="L13" s="110"/>
      <c r="M13" s="223"/>
      <c r="N13" s="111"/>
    </row>
    <row r="14" spans="2:16" x14ac:dyDescent="0.2">
      <c r="B14" s="127" t="s">
        <v>181</v>
      </c>
      <c r="D14" s="135"/>
      <c r="I14" s="107" t="str">
        <f>IF(Electricity6[[#This Row],[Month]]="","",I13+1)</f>
        <v/>
      </c>
      <c r="J14" s="108"/>
      <c r="K14" s="199" t="str">
        <f>IF(Electricity6[[#This Row],[Month]]&lt;&gt;"",VLOOKUP(Electricity6[[#This Row],[Month]],dropdown!$S$4:$T$15,2,FALSE),"")</f>
        <v/>
      </c>
      <c r="L14" s="110"/>
      <c r="M14" s="223"/>
      <c r="N14" s="111"/>
    </row>
    <row r="15" spans="2:16" x14ac:dyDescent="0.2">
      <c r="B15" s="128" t="s">
        <v>182</v>
      </c>
      <c r="I15" s="107" t="str">
        <f>IF(Electricity6[[#This Row],[Month]]="","",I14+1)</f>
        <v/>
      </c>
      <c r="J15" s="108"/>
      <c r="K15" s="199" t="str">
        <f>IF(Electricity6[[#This Row],[Month]]&lt;&gt;"",VLOOKUP(Electricity6[[#This Row],[Month]],dropdown!$S$4:$T$15,2,FALSE),"")</f>
        <v/>
      </c>
      <c r="L15" s="110"/>
      <c r="M15" s="223"/>
      <c r="N15" s="111"/>
    </row>
    <row r="16" spans="2:16" x14ac:dyDescent="0.2">
      <c r="B16" s="129" t="s">
        <v>183</v>
      </c>
      <c r="I16" s="107" t="str">
        <f>IF(Electricity6[[#This Row],[Month]]="","",I15+1)</f>
        <v/>
      </c>
      <c r="J16" s="108"/>
      <c r="K16" s="199" t="str">
        <f>IF(Electricity6[[#This Row],[Month]]&lt;&gt;"",VLOOKUP(Electricity6[[#This Row],[Month]],dropdown!$S$4:$T$15,2,FALSE),"")</f>
        <v/>
      </c>
      <c r="L16" s="110"/>
      <c r="M16" s="223"/>
      <c r="N16" s="111"/>
      <c r="P16" s="31"/>
    </row>
    <row r="17" spans="2:16" x14ac:dyDescent="0.2">
      <c r="I17" s="107" t="str">
        <f>IF(Electricity6[[#This Row],[Month]]="","",I16+1)</f>
        <v/>
      </c>
      <c r="J17" s="108"/>
      <c r="K17" s="199" t="str">
        <f>IF(Electricity6[[#This Row],[Month]]&lt;&gt;"",VLOOKUP(Electricity6[[#This Row],[Month]],dropdown!$S$4:$T$15,2,FALSE),"")</f>
        <v/>
      </c>
      <c r="L17" s="110"/>
      <c r="M17" s="223"/>
      <c r="N17" s="111"/>
      <c r="P17" s="31"/>
    </row>
    <row r="18" spans="2:16" x14ac:dyDescent="0.2">
      <c r="I18" s="107" t="str">
        <f>IF(Electricity6[[#This Row],[Month]]="","",I17+1)</f>
        <v/>
      </c>
      <c r="J18" s="108"/>
      <c r="K18" s="199" t="str">
        <f>IF(Electricity6[[#This Row],[Month]]&lt;&gt;"",VLOOKUP(Electricity6[[#This Row],[Month]],dropdown!$S$4:$T$15,2,FALSE),"")</f>
        <v/>
      </c>
      <c r="L18" s="110"/>
      <c r="M18" s="223"/>
      <c r="N18" s="111"/>
      <c r="P18" s="31"/>
    </row>
    <row r="19" spans="2:16" x14ac:dyDescent="0.2">
      <c r="B19" s="31"/>
      <c r="C19" s="31"/>
      <c r="D19" s="31"/>
      <c r="E19" s="31"/>
      <c r="F19" s="31"/>
      <c r="G19" s="31"/>
      <c r="I19" s="107" t="str">
        <f>IF(Electricity6[[#This Row],[Month]]="","",I18+1)</f>
        <v/>
      </c>
      <c r="J19" s="108"/>
      <c r="K19" s="199" t="str">
        <f>IF(Electricity6[[#This Row],[Month]]&lt;&gt;"",VLOOKUP(Electricity6[[#This Row],[Month]],dropdown!$S$4:$T$15,2,FALSE),"")</f>
        <v/>
      </c>
      <c r="L19" s="110"/>
      <c r="M19" s="223"/>
      <c r="N19" s="111"/>
      <c r="P19" s="31"/>
    </row>
    <row r="20" spans="2:16" x14ac:dyDescent="0.2">
      <c r="B20" s="31"/>
      <c r="C20" s="31"/>
      <c r="D20" s="31"/>
      <c r="E20" s="31"/>
      <c r="F20" s="31"/>
      <c r="G20" s="31"/>
      <c r="I20" s="107" t="str">
        <f>IF(Electricity6[[#This Row],[Month]]="","",I19+1)</f>
        <v/>
      </c>
      <c r="J20" s="113"/>
      <c r="K20" s="199" t="str">
        <f>IF(Electricity6[[#This Row],[Month]]&lt;&gt;"",VLOOKUP(Electricity6[[#This Row],[Month]],dropdown!$S$4:$T$15,2,FALSE),"")</f>
        <v/>
      </c>
      <c r="L20" s="115"/>
      <c r="M20" s="225"/>
      <c r="N20" s="116"/>
      <c r="P20" s="31"/>
    </row>
    <row r="21" spans="2:16" x14ac:dyDescent="0.2">
      <c r="B21" s="31"/>
      <c r="C21" s="31"/>
      <c r="D21" s="31"/>
      <c r="E21" s="31"/>
      <c r="F21" s="31"/>
      <c r="G21" s="31"/>
      <c r="I21" s="107" t="str">
        <f>IF(Electricity6[[#This Row],[Month]]="","",I20+1)</f>
        <v/>
      </c>
      <c r="J21" s="108"/>
      <c r="K21" s="199" t="str">
        <f>IF(Electricity6[[#This Row],[Month]]&lt;&gt;"",VLOOKUP(Electricity6[[#This Row],[Month]],dropdown!$S$4:$T$15,2,FALSE),"")</f>
        <v/>
      </c>
      <c r="L21" s="110"/>
      <c r="M21" s="223"/>
      <c r="N21" s="226"/>
      <c r="P21" s="31"/>
    </row>
    <row r="22" spans="2:16" x14ac:dyDescent="0.2">
      <c r="B22" s="31"/>
      <c r="C22" s="31"/>
      <c r="D22" s="31"/>
      <c r="E22" s="31"/>
      <c r="F22" s="31"/>
      <c r="G22" s="31"/>
      <c r="I22" s="107" t="str">
        <f>IF(Electricity6[[#This Row],[Month]]="","",I21+1)</f>
        <v/>
      </c>
      <c r="J22" s="108"/>
      <c r="K22" s="199" t="str">
        <f>IF(Electricity6[[#This Row],[Month]]&lt;&gt;"",VLOOKUP(Electricity6[[#This Row],[Month]],dropdown!$S$4:$T$15,2,FALSE),"")</f>
        <v/>
      </c>
      <c r="L22" s="110"/>
      <c r="M22" s="223"/>
      <c r="N22" s="226"/>
      <c r="P22" s="31"/>
    </row>
    <row r="23" spans="2:16" x14ac:dyDescent="0.2">
      <c r="B23" s="31"/>
      <c r="C23" s="31"/>
      <c r="D23" s="31"/>
      <c r="E23" s="31"/>
      <c r="F23" s="31"/>
      <c r="G23" s="31"/>
      <c r="I23" s="107" t="str">
        <f>IF(Electricity6[[#This Row],[Month]]="","",I22+1)</f>
        <v/>
      </c>
      <c r="J23" s="108"/>
      <c r="K23" s="199" t="str">
        <f>IF(Electricity6[[#This Row],[Month]]&lt;&gt;"",VLOOKUP(Electricity6[[#This Row],[Month]],dropdown!$S$4:$T$15,2,FALSE),"")</f>
        <v/>
      </c>
      <c r="L23" s="110"/>
      <c r="M23" s="223"/>
      <c r="N23" s="226"/>
      <c r="P23" s="31"/>
    </row>
    <row r="24" spans="2:16" x14ac:dyDescent="0.2">
      <c r="B24" s="31"/>
      <c r="C24" s="31"/>
      <c r="D24" s="31"/>
      <c r="E24" s="31"/>
      <c r="F24" s="31"/>
      <c r="G24" s="31"/>
      <c r="I24" s="107" t="str">
        <f>IF(Electricity6[[#This Row],[Month]]="","",I23+1)</f>
        <v/>
      </c>
      <c r="J24" s="108"/>
      <c r="K24" s="199" t="str">
        <f>IF(Electricity6[[#This Row],[Month]]&lt;&gt;"",VLOOKUP(Electricity6[[#This Row],[Month]],dropdown!$S$4:$T$15,2,FALSE),"")</f>
        <v/>
      </c>
      <c r="L24" s="110"/>
      <c r="M24" s="223"/>
      <c r="N24" s="226"/>
      <c r="P24" s="31"/>
    </row>
    <row r="25" spans="2:16" x14ac:dyDescent="0.2">
      <c r="B25" s="31"/>
      <c r="C25" s="31"/>
      <c r="D25" s="31"/>
      <c r="E25" s="31"/>
      <c r="F25" s="31"/>
      <c r="G25" s="31"/>
      <c r="I25" s="107" t="str">
        <f>IF(Electricity6[[#This Row],[Month]]="","",I24+1)</f>
        <v/>
      </c>
      <c r="J25" s="108"/>
      <c r="K25" s="199" t="str">
        <f>IF(Electricity6[[#This Row],[Month]]&lt;&gt;"",VLOOKUP(Electricity6[[#This Row],[Month]],dropdown!$S$4:$T$15,2,FALSE),"")</f>
        <v/>
      </c>
      <c r="L25" s="110"/>
      <c r="M25" s="223"/>
      <c r="N25" s="226"/>
      <c r="P25" s="31"/>
    </row>
    <row r="26" spans="2:16" x14ac:dyDescent="0.2">
      <c r="B26" s="31"/>
      <c r="C26" s="31"/>
      <c r="D26" s="31"/>
      <c r="E26" s="31"/>
      <c r="F26" s="31"/>
      <c r="G26" s="31"/>
      <c r="I26" s="107" t="str">
        <f>IF(Electricity6[[#This Row],[Month]]="","",I25+1)</f>
        <v/>
      </c>
      <c r="J26" s="108"/>
      <c r="K26" s="199" t="str">
        <f>IF(Electricity6[[#This Row],[Month]]&lt;&gt;"",VLOOKUP(Electricity6[[#This Row],[Month]],dropdown!$S$4:$T$15,2,FALSE),"")</f>
        <v/>
      </c>
      <c r="L26" s="110"/>
      <c r="M26" s="223"/>
      <c r="N26" s="226"/>
      <c r="P26" s="31"/>
    </row>
    <row r="27" spans="2:16" x14ac:dyDescent="0.2">
      <c r="B27" s="31"/>
      <c r="C27" s="31"/>
      <c r="D27" s="31"/>
      <c r="E27" s="31"/>
      <c r="F27" s="31"/>
      <c r="G27" s="31"/>
      <c r="I27" s="107" t="str">
        <f>IF(Electricity6[[#This Row],[Month]]="","",I26+1)</f>
        <v/>
      </c>
      <c r="J27" s="108"/>
      <c r="K27" s="199" t="str">
        <f>IF(Electricity6[[#This Row],[Month]]&lt;&gt;"",VLOOKUP(Electricity6[[#This Row],[Month]],dropdown!$S$4:$T$15,2,FALSE),"")</f>
        <v/>
      </c>
      <c r="L27" s="110"/>
      <c r="M27" s="223"/>
      <c r="N27" s="226"/>
      <c r="P27" s="31"/>
    </row>
    <row r="28" spans="2:16" x14ac:dyDescent="0.2">
      <c r="I28" s="107" t="str">
        <f>IF(Electricity6[[#This Row],[Month]]="","",I27+1)</f>
        <v/>
      </c>
      <c r="J28" s="108"/>
      <c r="K28" s="199" t="str">
        <f>IF(Electricity6[[#This Row],[Month]]&lt;&gt;"",VLOOKUP(Electricity6[[#This Row],[Month]],dropdown!$S$4:$T$15,2,FALSE),"")</f>
        <v/>
      </c>
      <c r="L28" s="110"/>
      <c r="M28" s="223"/>
      <c r="N28" s="226"/>
      <c r="P28" s="31"/>
    </row>
    <row r="29" spans="2:16" x14ac:dyDescent="0.2">
      <c r="I29" s="107" t="str">
        <f>IF(Electricity6[[#This Row],[Month]]="","",I28+1)</f>
        <v/>
      </c>
      <c r="J29" s="108"/>
      <c r="K29" s="199" t="str">
        <f>IF(Electricity6[[#This Row],[Month]]&lt;&gt;"",VLOOKUP(Electricity6[[#This Row],[Month]],dropdown!$S$4:$T$15,2,FALSE),"")</f>
        <v/>
      </c>
      <c r="L29" s="110"/>
      <c r="M29" s="223"/>
      <c r="N29" s="226"/>
      <c r="P29" s="31"/>
    </row>
    <row r="30" spans="2:16" x14ac:dyDescent="0.2">
      <c r="I30" s="107" t="str">
        <f>IF(Electricity6[[#This Row],[Month]]="","",I29+1)</f>
        <v/>
      </c>
      <c r="J30" s="108"/>
      <c r="K30" s="199" t="str">
        <f>IF(Electricity6[[#This Row],[Month]]&lt;&gt;"",VLOOKUP(Electricity6[[#This Row],[Month]],dropdown!$S$4:$T$15,2,FALSE),"")</f>
        <v/>
      </c>
      <c r="L30" s="110"/>
      <c r="M30" s="223"/>
      <c r="N30" s="226"/>
    </row>
    <row r="31" spans="2:16" x14ac:dyDescent="0.2">
      <c r="I31" s="107" t="str">
        <f>IF(Electricity6[[#This Row],[Month]]="","",I30+1)</f>
        <v/>
      </c>
      <c r="J31" s="108"/>
      <c r="K31" s="199" t="str">
        <f>IF(Electricity6[[#This Row],[Month]]&lt;&gt;"",VLOOKUP(Electricity6[[#This Row],[Month]],dropdown!$S$4:$T$15,2,FALSE),"")</f>
        <v/>
      </c>
      <c r="L31" s="110"/>
      <c r="M31" s="223"/>
      <c r="N31" s="226"/>
    </row>
    <row r="32" spans="2:16" x14ac:dyDescent="0.2">
      <c r="I32" s="107" t="str">
        <f>IF(Electricity6[[#This Row],[Month]]="","",I31+1)</f>
        <v/>
      </c>
      <c r="J32" s="108"/>
      <c r="K32" s="199" t="str">
        <f>IF(Electricity6[[#This Row],[Month]]&lt;&gt;"",VLOOKUP(Electricity6[[#This Row],[Month]],dropdown!$S$4:$T$15,2,FALSE),"")</f>
        <v/>
      </c>
      <c r="L32" s="110"/>
      <c r="M32" s="223"/>
      <c r="N32" s="226"/>
    </row>
    <row r="33" spans="9:14" x14ac:dyDescent="0.2">
      <c r="I33" s="107" t="str">
        <f>IF(Electricity6[[#This Row],[Month]]="","",I32+1)</f>
        <v/>
      </c>
      <c r="J33" s="108"/>
      <c r="K33" s="199" t="str">
        <f>IF(Electricity6[[#This Row],[Month]]&lt;&gt;"",VLOOKUP(Electricity6[[#This Row],[Month]],dropdown!$S$4:$T$15,2,FALSE),"")</f>
        <v/>
      </c>
      <c r="L33" s="110"/>
      <c r="M33" s="223"/>
      <c r="N33" s="226"/>
    </row>
    <row r="34" spans="9:14" x14ac:dyDescent="0.2">
      <c r="I34" s="107" t="str">
        <f>IF(Electricity6[[#This Row],[Month]]="","",I33+1)</f>
        <v/>
      </c>
      <c r="J34" s="108"/>
      <c r="K34" s="199" t="str">
        <f>IF(Electricity6[[#This Row],[Month]]&lt;&gt;"",VLOOKUP(Electricity6[[#This Row],[Month]],dropdown!$S$4:$T$15,2,FALSE),"")</f>
        <v/>
      </c>
      <c r="L34" s="110"/>
      <c r="M34" s="223"/>
      <c r="N34" s="226"/>
    </row>
    <row r="35" spans="9:14" x14ac:dyDescent="0.2">
      <c r="I35" s="107" t="str">
        <f>IF(Electricity6[[#This Row],[Month]]="","",I34+1)</f>
        <v/>
      </c>
      <c r="J35" s="108"/>
      <c r="K35" s="199" t="str">
        <f>IF(Electricity6[[#This Row],[Month]]&lt;&gt;"",VLOOKUP(Electricity6[[#This Row],[Month]],dropdown!$S$4:$T$15,2,FALSE),"")</f>
        <v/>
      </c>
      <c r="L35" s="110"/>
      <c r="M35" s="223"/>
      <c r="N35" s="226"/>
    </row>
    <row r="36" spans="9:14" x14ac:dyDescent="0.2">
      <c r="I36" s="107" t="str">
        <f>IF(Electricity6[[#This Row],[Month]]="","",I35+1)</f>
        <v/>
      </c>
      <c r="J36" s="108"/>
      <c r="K36" s="199" t="str">
        <f>IF(Electricity6[[#This Row],[Month]]&lt;&gt;"",VLOOKUP(Electricity6[[#This Row],[Month]],dropdown!$S$4:$T$15,2,FALSE),"")</f>
        <v/>
      </c>
      <c r="L36" s="110"/>
      <c r="M36" s="223"/>
      <c r="N36" s="226"/>
    </row>
    <row r="37" spans="9:14" x14ac:dyDescent="0.2">
      <c r="I37" s="107" t="str">
        <f>IF(Electricity6[[#This Row],[Month]]="","",I36+1)</f>
        <v/>
      </c>
      <c r="J37" s="108"/>
      <c r="K37" s="199" t="str">
        <f>IF(Electricity6[[#This Row],[Month]]&lt;&gt;"",VLOOKUP(Electricity6[[#This Row],[Month]],dropdown!$S$4:$T$15,2,FALSE),"")</f>
        <v/>
      </c>
      <c r="L37" s="110"/>
      <c r="M37" s="223"/>
      <c r="N37" s="226"/>
    </row>
    <row r="38" spans="9:14" x14ac:dyDescent="0.2">
      <c r="I38" s="107" t="str">
        <f>IF(Electricity6[[#This Row],[Month]]="","",I37+1)</f>
        <v/>
      </c>
      <c r="J38" s="108"/>
      <c r="K38" s="199" t="str">
        <f>IF(Electricity6[[#This Row],[Month]]&lt;&gt;"",VLOOKUP(Electricity6[[#This Row],[Month]],dropdown!$S$4:$T$15,2,FALSE),"")</f>
        <v/>
      </c>
      <c r="L38" s="110"/>
      <c r="M38" s="223"/>
      <c r="N38" s="226"/>
    </row>
    <row r="39" spans="9:14" x14ac:dyDescent="0.2">
      <c r="I39" s="107" t="str">
        <f>IF(Electricity6[[#This Row],[Month]]="","",I38+1)</f>
        <v/>
      </c>
      <c r="J39" s="108"/>
      <c r="K39" s="199" t="str">
        <f>IF(Electricity6[[#This Row],[Month]]&lt;&gt;"",VLOOKUP(Electricity6[[#This Row],[Month]],dropdown!$S$4:$T$15,2,FALSE),"")</f>
        <v/>
      </c>
      <c r="L39" s="110"/>
      <c r="M39" s="223"/>
      <c r="N39" s="226"/>
    </row>
    <row r="40" spans="9:14" x14ac:dyDescent="0.2">
      <c r="I40" s="107" t="str">
        <f>IF(Electricity6[[#This Row],[Month]]="","",I39+1)</f>
        <v/>
      </c>
      <c r="J40" s="108"/>
      <c r="K40" s="199" t="str">
        <f>IF(Electricity6[[#This Row],[Month]]&lt;&gt;"",VLOOKUP(Electricity6[[#This Row],[Month]],dropdown!$S$4:$T$15,2,FALSE),"")</f>
        <v/>
      </c>
      <c r="L40" s="110"/>
      <c r="M40" s="223"/>
      <c r="N40" s="226"/>
    </row>
    <row r="41" spans="9:14" x14ac:dyDescent="0.2">
      <c r="I41" s="107" t="str">
        <f>IF(Electricity6[[#This Row],[Month]]="","",I40+1)</f>
        <v/>
      </c>
      <c r="J41" s="108"/>
      <c r="K41" s="199" t="str">
        <f>IF(Electricity6[[#This Row],[Month]]&lt;&gt;"",VLOOKUP(Electricity6[[#This Row],[Month]],dropdown!$S$4:$T$15,2,FALSE),"")</f>
        <v/>
      </c>
      <c r="L41" s="110"/>
      <c r="M41" s="223"/>
      <c r="N41" s="226"/>
    </row>
    <row r="42" spans="9:14" x14ac:dyDescent="0.2">
      <c r="I42" s="107" t="str">
        <f>IF(Electricity6[[#This Row],[Month]]="","",I41+1)</f>
        <v/>
      </c>
      <c r="J42" s="108"/>
      <c r="K42" s="199" t="str">
        <f>IF(Electricity6[[#This Row],[Month]]&lt;&gt;"",VLOOKUP(Electricity6[[#This Row],[Month]],dropdown!$S$4:$T$15,2,FALSE),"")</f>
        <v/>
      </c>
      <c r="L42" s="110"/>
      <c r="M42" s="223"/>
      <c r="N42" s="226"/>
    </row>
    <row r="43" spans="9:14" x14ac:dyDescent="0.2">
      <c r="I43" s="107" t="str">
        <f>IF(Electricity6[[#This Row],[Month]]="","",I42+1)</f>
        <v/>
      </c>
      <c r="J43" s="108"/>
      <c r="K43" s="199" t="str">
        <f>IF(Electricity6[[#This Row],[Month]]&lt;&gt;"",VLOOKUP(Electricity6[[#This Row],[Month]],dropdown!$S$4:$T$15,2,FALSE),"")</f>
        <v/>
      </c>
      <c r="L43" s="110"/>
      <c r="M43" s="223"/>
      <c r="N43" s="226"/>
    </row>
    <row r="44" spans="9:14" x14ac:dyDescent="0.2">
      <c r="I44" s="107" t="str">
        <f>IF(Electricity6[[#This Row],[Month]]="","",I43+1)</f>
        <v/>
      </c>
      <c r="J44" s="108"/>
      <c r="K44" s="199" t="str">
        <f>IF(Electricity6[[#This Row],[Month]]&lt;&gt;"",VLOOKUP(Electricity6[[#This Row],[Month]],dropdown!$S$4:$T$15,2,FALSE),"")</f>
        <v/>
      </c>
      <c r="L44" s="110"/>
      <c r="M44" s="223"/>
      <c r="N44" s="226"/>
    </row>
    <row r="45" spans="9:14" x14ac:dyDescent="0.2">
      <c r="I45" s="107" t="str">
        <f>IF(Electricity6[[#This Row],[Month]]="","",I44+1)</f>
        <v/>
      </c>
      <c r="J45" s="108"/>
      <c r="K45" s="199" t="str">
        <f>IF(Electricity6[[#This Row],[Month]]&lt;&gt;"",VLOOKUP(Electricity6[[#This Row],[Month]],dropdown!$S$4:$T$15,2,FALSE),"")</f>
        <v/>
      </c>
      <c r="L45" s="110"/>
      <c r="M45" s="223"/>
      <c r="N45" s="226"/>
    </row>
    <row r="46" spans="9:14" x14ac:dyDescent="0.2">
      <c r="I46" s="107" t="str">
        <f>IF(Electricity6[[#This Row],[Month]]="","",I45+1)</f>
        <v/>
      </c>
      <c r="J46" s="108"/>
      <c r="K46" s="199" t="str">
        <f>IF(Electricity6[[#This Row],[Month]]&lt;&gt;"",VLOOKUP(Electricity6[[#This Row],[Month]],dropdown!$S$4:$T$15,2,FALSE),"")</f>
        <v/>
      </c>
      <c r="L46" s="110"/>
      <c r="M46" s="223"/>
      <c r="N46" s="226"/>
    </row>
    <row r="47" spans="9:14" x14ac:dyDescent="0.2">
      <c r="I47" s="107" t="str">
        <f>IF(Electricity6[[#This Row],[Month]]="","",I46+1)</f>
        <v/>
      </c>
      <c r="J47" s="108"/>
      <c r="K47" s="199" t="str">
        <f>IF(Electricity6[[#This Row],[Month]]&lt;&gt;"",VLOOKUP(Electricity6[[#This Row],[Month]],dropdown!$S$4:$T$15,2,FALSE),"")</f>
        <v/>
      </c>
      <c r="L47" s="110"/>
      <c r="M47" s="223"/>
      <c r="N47" s="226"/>
    </row>
    <row r="48" spans="9:14" x14ac:dyDescent="0.2">
      <c r="I48" s="107" t="str">
        <f>IF(Electricity6[[#This Row],[Month]]="","",I47+1)</f>
        <v/>
      </c>
      <c r="J48" s="108"/>
      <c r="K48" s="199" t="str">
        <f>IF(Electricity6[[#This Row],[Month]]&lt;&gt;"",VLOOKUP(Electricity6[[#This Row],[Month]],dropdown!$S$4:$T$15,2,FALSE),"")</f>
        <v/>
      </c>
      <c r="L48" s="110"/>
      <c r="M48" s="223"/>
      <c r="N48" s="226"/>
    </row>
    <row r="49" spans="9:14" x14ac:dyDescent="0.2">
      <c r="I49" s="107" t="str">
        <f>IF(Electricity6[[#This Row],[Month]]="","",I48+1)</f>
        <v/>
      </c>
      <c r="J49" s="108"/>
      <c r="K49" s="199" t="str">
        <f>IF(Electricity6[[#This Row],[Month]]&lt;&gt;"",VLOOKUP(Electricity6[[#This Row],[Month]],dropdown!$S$4:$T$15,2,FALSE),"")</f>
        <v/>
      </c>
      <c r="L49" s="110"/>
      <c r="M49" s="223"/>
      <c r="N49" s="226"/>
    </row>
    <row r="50" spans="9:14" x14ac:dyDescent="0.2">
      <c r="I50" s="107" t="str">
        <f>IF(Electricity6[[#This Row],[Month]]="","",I49+1)</f>
        <v/>
      </c>
      <c r="J50" s="108"/>
      <c r="K50" s="199" t="str">
        <f>IF(Electricity6[[#This Row],[Month]]&lt;&gt;"",VLOOKUP(Electricity6[[#This Row],[Month]],dropdown!$S$4:$T$15,2,FALSE),"")</f>
        <v/>
      </c>
      <c r="L50" s="110"/>
      <c r="M50" s="223"/>
      <c r="N50" s="226"/>
    </row>
    <row r="51" spans="9:14" x14ac:dyDescent="0.2">
      <c r="I51" s="107" t="str">
        <f>IF(Electricity6[[#This Row],[Month]]="","",I50+1)</f>
        <v/>
      </c>
      <c r="J51" s="108"/>
      <c r="K51" s="199" t="str">
        <f>IF(Electricity6[[#This Row],[Month]]&lt;&gt;"",VLOOKUP(Electricity6[[#This Row],[Month]],dropdown!$S$4:$T$15,2,FALSE),"")</f>
        <v/>
      </c>
      <c r="L51" s="110"/>
      <c r="M51" s="223"/>
      <c r="N51" s="226"/>
    </row>
    <row r="52" spans="9:14" x14ac:dyDescent="0.2">
      <c r="I52" s="107" t="str">
        <f>IF(Electricity6[[#This Row],[Month]]="","",I51+1)</f>
        <v/>
      </c>
      <c r="J52" s="108"/>
      <c r="K52" s="199" t="str">
        <f>IF(Electricity6[[#This Row],[Month]]&lt;&gt;"",VLOOKUP(Electricity6[[#This Row],[Month]],dropdown!$S$4:$T$15,2,FALSE),"")</f>
        <v/>
      </c>
      <c r="L52" s="110"/>
      <c r="M52" s="223"/>
      <c r="N52" s="226"/>
    </row>
    <row r="53" spans="9:14" x14ac:dyDescent="0.2">
      <c r="I53" s="107" t="str">
        <f>IF(Electricity6[[#This Row],[Month]]="","",I52+1)</f>
        <v/>
      </c>
      <c r="J53" s="108"/>
      <c r="K53" s="199" t="str">
        <f>IF(Electricity6[[#This Row],[Month]]&lt;&gt;"",VLOOKUP(Electricity6[[#This Row],[Month]],dropdown!$S$4:$T$15,2,FALSE),"")</f>
        <v/>
      </c>
      <c r="L53" s="110"/>
      <c r="M53" s="223"/>
      <c r="N53" s="226"/>
    </row>
    <row r="54" spans="9:14" x14ac:dyDescent="0.2">
      <c r="I54" s="107" t="str">
        <f>IF(Electricity6[[#This Row],[Month]]="","",I53+1)</f>
        <v/>
      </c>
      <c r="J54" s="108"/>
      <c r="K54" s="199" t="str">
        <f>IF(Electricity6[[#This Row],[Month]]&lt;&gt;"",VLOOKUP(Electricity6[[#This Row],[Month]],dropdown!$S$4:$T$15,2,FALSE),"")</f>
        <v/>
      </c>
      <c r="L54" s="110"/>
      <c r="M54" s="223"/>
      <c r="N54" s="226"/>
    </row>
    <row r="55" spans="9:14" x14ac:dyDescent="0.2">
      <c r="I55" s="107" t="str">
        <f>IF(Electricity6[[#This Row],[Month]]="","",I54+1)</f>
        <v/>
      </c>
      <c r="J55" s="108"/>
      <c r="K55" s="199" t="str">
        <f>IF(Electricity6[[#This Row],[Month]]&lt;&gt;"",VLOOKUP(Electricity6[[#This Row],[Month]],dropdown!$S$4:$T$15,2,FALSE),"")</f>
        <v/>
      </c>
      <c r="L55" s="110"/>
      <c r="M55" s="223"/>
      <c r="N55" s="226"/>
    </row>
    <row r="56" spans="9:14" x14ac:dyDescent="0.2">
      <c r="I56" s="107" t="str">
        <f>IF(Electricity6[[#This Row],[Month]]="","",I55+1)</f>
        <v/>
      </c>
      <c r="J56" s="108"/>
      <c r="K56" s="199" t="str">
        <f>IF(Electricity6[[#This Row],[Month]]&lt;&gt;"",VLOOKUP(Electricity6[[#This Row],[Month]],dropdown!$S$4:$T$15,2,FALSE),"")</f>
        <v/>
      </c>
      <c r="L56" s="110"/>
      <c r="M56" s="223"/>
      <c r="N56" s="226"/>
    </row>
    <row r="57" spans="9:14" x14ac:dyDescent="0.2">
      <c r="I57" s="107" t="str">
        <f>IF(Electricity6[[#This Row],[Month]]="","",I56+1)</f>
        <v/>
      </c>
      <c r="J57" s="108"/>
      <c r="K57" s="199" t="str">
        <f>IF(Electricity6[[#This Row],[Month]]&lt;&gt;"",VLOOKUP(Electricity6[[#This Row],[Month]],dropdown!$S$4:$T$15,2,FALSE),"")</f>
        <v/>
      </c>
      <c r="L57" s="110"/>
      <c r="M57" s="223"/>
      <c r="N57" s="226"/>
    </row>
    <row r="58" spans="9:14" x14ac:dyDescent="0.2">
      <c r="I58" s="107" t="str">
        <f>IF(Electricity6[[#This Row],[Month]]="","",I57+1)</f>
        <v/>
      </c>
      <c r="J58" s="108"/>
      <c r="K58" s="199" t="str">
        <f>IF(Electricity6[[#This Row],[Month]]&lt;&gt;"",VLOOKUP(Electricity6[[#This Row],[Month]],dropdown!$S$4:$T$15,2,FALSE),"")</f>
        <v/>
      </c>
      <c r="L58" s="110"/>
      <c r="M58" s="223"/>
      <c r="N58" s="226"/>
    </row>
    <row r="59" spans="9:14" x14ac:dyDescent="0.2">
      <c r="I59" s="107" t="str">
        <f>IF(Electricity6[[#This Row],[Month]]="","",I58+1)</f>
        <v/>
      </c>
      <c r="J59" s="108"/>
      <c r="K59" s="199" t="str">
        <f>IF(Electricity6[[#This Row],[Month]]&lt;&gt;"",VLOOKUP(Electricity6[[#This Row],[Month]],dropdown!$S$4:$T$15,2,FALSE),"")</f>
        <v/>
      </c>
      <c r="L59" s="110"/>
      <c r="M59" s="223"/>
      <c r="N59" s="226"/>
    </row>
    <row r="60" spans="9:14" x14ac:dyDescent="0.2">
      <c r="I60" s="107" t="str">
        <f>IF(Electricity6[[#This Row],[Month]]="","",I59+1)</f>
        <v/>
      </c>
      <c r="J60" s="108"/>
      <c r="K60" s="199" t="str">
        <f>IF(Electricity6[[#This Row],[Month]]&lt;&gt;"",VLOOKUP(Electricity6[[#This Row],[Month]],dropdown!$S$4:$T$15,2,FALSE),"")</f>
        <v/>
      </c>
      <c r="L60" s="110"/>
      <c r="M60" s="223"/>
      <c r="N60" s="226"/>
    </row>
    <row r="61" spans="9:14" x14ac:dyDescent="0.2">
      <c r="I61" s="107" t="str">
        <f>IF(Electricity6[[#This Row],[Month]]="","",I60+1)</f>
        <v/>
      </c>
      <c r="J61" s="108"/>
      <c r="K61" s="199" t="str">
        <f>IF(Electricity6[[#This Row],[Month]]&lt;&gt;"",VLOOKUP(Electricity6[[#This Row],[Month]],dropdown!$S$4:$T$15,2,FALSE),"")</f>
        <v/>
      </c>
      <c r="L61" s="110"/>
      <c r="M61" s="223"/>
      <c r="N61" s="226"/>
    </row>
    <row r="62" spans="9:14" x14ac:dyDescent="0.2">
      <c r="I62" s="107" t="str">
        <f>IF(Electricity6[[#This Row],[Month]]="","",I61+1)</f>
        <v/>
      </c>
      <c r="J62" s="108"/>
      <c r="K62" s="199" t="str">
        <f>IF(Electricity6[[#This Row],[Month]]&lt;&gt;"",VLOOKUP(Electricity6[[#This Row],[Month]],dropdown!$S$4:$T$15,2,FALSE),"")</f>
        <v/>
      </c>
      <c r="L62" s="110"/>
      <c r="M62" s="223"/>
      <c r="N62" s="226"/>
    </row>
    <row r="63" spans="9:14" x14ac:dyDescent="0.2">
      <c r="I63" s="107" t="str">
        <f>IF(Electricity6[[#This Row],[Month]]="","",I62+1)</f>
        <v/>
      </c>
      <c r="J63" s="108"/>
      <c r="K63" s="199" t="str">
        <f>IF(Electricity6[[#This Row],[Month]]&lt;&gt;"",VLOOKUP(Electricity6[[#This Row],[Month]],dropdown!$S$4:$T$15,2,FALSE),"")</f>
        <v/>
      </c>
      <c r="L63" s="110"/>
      <c r="M63" s="223"/>
      <c r="N63" s="226"/>
    </row>
    <row r="64" spans="9:14" x14ac:dyDescent="0.2">
      <c r="I64" s="107" t="str">
        <f>IF(Electricity6[[#This Row],[Month]]="","",I63+1)</f>
        <v/>
      </c>
      <c r="J64" s="108"/>
      <c r="K64" s="199" t="str">
        <f>IF(Electricity6[[#This Row],[Month]]&lt;&gt;"",VLOOKUP(Electricity6[[#This Row],[Month]],dropdown!$S$4:$T$15,2,FALSE),"")</f>
        <v/>
      </c>
      <c r="L64" s="110"/>
      <c r="M64" s="223"/>
      <c r="N64" s="226"/>
    </row>
    <row r="65" spans="9:14" x14ac:dyDescent="0.2">
      <c r="I65" s="107" t="str">
        <f>IF(Electricity6[[#This Row],[Month]]="","",I64+1)</f>
        <v/>
      </c>
      <c r="J65" s="108"/>
      <c r="K65" s="199" t="str">
        <f>IF(Electricity6[[#This Row],[Month]]&lt;&gt;"",VLOOKUP(Electricity6[[#This Row],[Month]],dropdown!$S$4:$T$15,2,FALSE),"")</f>
        <v/>
      </c>
      <c r="L65" s="110"/>
      <c r="M65" s="223"/>
      <c r="N65" s="226"/>
    </row>
    <row r="66" spans="9:14" x14ac:dyDescent="0.2">
      <c r="I66" s="107" t="str">
        <f>IF(Electricity6[[#This Row],[Month]]="","",I65+1)</f>
        <v/>
      </c>
      <c r="J66" s="108"/>
      <c r="K66" s="199" t="str">
        <f>IF(Electricity6[[#This Row],[Month]]&lt;&gt;"",VLOOKUP(Electricity6[[#This Row],[Month]],dropdown!$S$4:$T$15,2,FALSE),"")</f>
        <v/>
      </c>
      <c r="L66" s="110"/>
      <c r="M66" s="223"/>
      <c r="N66" s="226"/>
    </row>
    <row r="67" spans="9:14" x14ac:dyDescent="0.2">
      <c r="I67" s="107" t="str">
        <f>IF(Electricity6[[#This Row],[Month]]="","",I66+1)</f>
        <v/>
      </c>
      <c r="J67" s="108"/>
      <c r="K67" s="199" t="str">
        <f>IF(Electricity6[[#This Row],[Month]]&lt;&gt;"",VLOOKUP(Electricity6[[#This Row],[Month]],dropdown!$S$4:$T$15,2,FALSE),"")</f>
        <v/>
      </c>
      <c r="L67" s="110"/>
      <c r="M67" s="223"/>
      <c r="N67" s="226"/>
    </row>
    <row r="68" spans="9:14" x14ac:dyDescent="0.2">
      <c r="I68" s="107" t="str">
        <f>IF(Electricity6[[#This Row],[Month]]="","",I67+1)</f>
        <v/>
      </c>
      <c r="J68" s="108"/>
      <c r="K68" s="199" t="str">
        <f>IF(Electricity6[[#This Row],[Month]]&lt;&gt;"",VLOOKUP(Electricity6[[#This Row],[Month]],dropdown!$S$4:$T$15,2,FALSE),"")</f>
        <v/>
      </c>
      <c r="L68" s="110"/>
      <c r="M68" s="223"/>
      <c r="N68" s="226"/>
    </row>
    <row r="69" spans="9:14" x14ac:dyDescent="0.2">
      <c r="I69" s="107" t="str">
        <f>IF(Electricity6[[#This Row],[Month]]="","",I68+1)</f>
        <v/>
      </c>
      <c r="J69" s="108"/>
      <c r="K69" s="199" t="str">
        <f>IF(Electricity6[[#This Row],[Month]]&lt;&gt;"",VLOOKUP(Electricity6[[#This Row],[Month]],dropdown!$S$4:$T$15,2,FALSE),"")</f>
        <v/>
      </c>
      <c r="L69" s="110"/>
      <c r="M69" s="223"/>
      <c r="N69" s="226"/>
    </row>
    <row r="70" spans="9:14" x14ac:dyDescent="0.2">
      <c r="I70" s="107" t="str">
        <f>IF(Electricity6[[#This Row],[Month]]="","",I69+1)</f>
        <v/>
      </c>
      <c r="J70" s="108"/>
      <c r="K70" s="199" t="str">
        <f>IF(Electricity6[[#This Row],[Month]]&lt;&gt;"",VLOOKUP(Electricity6[[#This Row],[Month]],dropdown!$S$4:$T$15,2,FALSE),"")</f>
        <v/>
      </c>
      <c r="L70" s="110"/>
      <c r="M70" s="223"/>
      <c r="N70" s="226"/>
    </row>
    <row r="71" spans="9:14" x14ac:dyDescent="0.2">
      <c r="I71" s="107" t="str">
        <f>IF(Electricity6[[#This Row],[Month]]="","",I70+1)</f>
        <v/>
      </c>
      <c r="J71" s="108"/>
      <c r="K71" s="199" t="str">
        <f>IF(Electricity6[[#This Row],[Month]]&lt;&gt;"",VLOOKUP(Electricity6[[#This Row],[Month]],dropdown!$S$4:$T$15,2,FALSE),"")</f>
        <v/>
      </c>
      <c r="L71" s="110"/>
      <c r="M71" s="223"/>
      <c r="N71" s="226"/>
    </row>
    <row r="72" spans="9:14" x14ac:dyDescent="0.2">
      <c r="I72" s="107" t="str">
        <f>IF(Electricity6[[#This Row],[Month]]="","",I71+1)</f>
        <v/>
      </c>
      <c r="J72" s="108"/>
      <c r="K72" s="199" t="str">
        <f>IF(Electricity6[[#This Row],[Month]]&lt;&gt;"",VLOOKUP(Electricity6[[#This Row],[Month]],dropdown!$S$4:$T$15,2,FALSE),"")</f>
        <v/>
      </c>
      <c r="L72" s="110"/>
      <c r="M72" s="223"/>
      <c r="N72" s="226"/>
    </row>
    <row r="73" spans="9:14" x14ac:dyDescent="0.2">
      <c r="I73" s="107" t="str">
        <f>IF(Electricity6[[#This Row],[Month]]="","",I72+1)</f>
        <v/>
      </c>
      <c r="J73" s="108"/>
      <c r="K73" s="199" t="str">
        <f>IF(Electricity6[[#This Row],[Month]]&lt;&gt;"",VLOOKUP(Electricity6[[#This Row],[Month]],dropdown!$S$4:$T$15,2,FALSE),"")</f>
        <v/>
      </c>
      <c r="L73" s="110"/>
      <c r="M73" s="223"/>
      <c r="N73" s="226"/>
    </row>
    <row r="74" spans="9:14" x14ac:dyDescent="0.2">
      <c r="I74" s="107" t="str">
        <f>IF(Electricity6[[#This Row],[Month]]="","",I73+1)</f>
        <v/>
      </c>
      <c r="J74" s="108"/>
      <c r="K74" s="199" t="str">
        <f>IF(Electricity6[[#This Row],[Month]]&lt;&gt;"",VLOOKUP(Electricity6[[#This Row],[Month]],dropdown!$S$4:$T$15,2,FALSE),"")</f>
        <v/>
      </c>
      <c r="L74" s="110"/>
      <c r="M74" s="223"/>
      <c r="N74" s="226"/>
    </row>
    <row r="75" spans="9:14" x14ac:dyDescent="0.2">
      <c r="I75" s="107" t="str">
        <f>IF(Electricity6[[#This Row],[Month]]="","",I74+1)</f>
        <v/>
      </c>
      <c r="J75" s="108"/>
      <c r="K75" s="199" t="str">
        <f>IF(Electricity6[[#This Row],[Month]]&lt;&gt;"",VLOOKUP(Electricity6[[#This Row],[Month]],dropdown!$S$4:$T$15,2,FALSE),"")</f>
        <v/>
      </c>
      <c r="L75" s="110"/>
      <c r="M75" s="223"/>
      <c r="N75" s="226"/>
    </row>
    <row r="76" spans="9:14" x14ac:dyDescent="0.2">
      <c r="I76" s="107" t="str">
        <f>IF(Electricity6[[#This Row],[Month]]="","",I75+1)</f>
        <v/>
      </c>
      <c r="J76" s="108"/>
      <c r="K76" s="199" t="str">
        <f>IF(Electricity6[[#This Row],[Month]]&lt;&gt;"",VLOOKUP(Electricity6[[#This Row],[Month]],dropdown!$S$4:$T$15,2,FALSE),"")</f>
        <v/>
      </c>
      <c r="L76" s="110"/>
      <c r="M76" s="223"/>
      <c r="N76" s="226"/>
    </row>
    <row r="77" spans="9:14" x14ac:dyDescent="0.2">
      <c r="I77" s="107" t="str">
        <f>IF(Electricity6[[#This Row],[Month]]="","",I76+1)</f>
        <v/>
      </c>
      <c r="J77" s="108"/>
      <c r="K77" s="199" t="str">
        <f>IF(Electricity6[[#This Row],[Month]]&lt;&gt;"",VLOOKUP(Electricity6[[#This Row],[Month]],dropdown!$S$4:$T$15,2,FALSE),"")</f>
        <v/>
      </c>
      <c r="L77" s="110"/>
      <c r="M77" s="223"/>
      <c r="N77" s="226"/>
    </row>
    <row r="78" spans="9:14" x14ac:dyDescent="0.2">
      <c r="I78" s="107" t="str">
        <f>IF(Electricity6[[#This Row],[Month]]="","",I77+1)</f>
        <v/>
      </c>
      <c r="J78" s="108"/>
      <c r="K78" s="199" t="str">
        <f>IF(Electricity6[[#This Row],[Month]]&lt;&gt;"",VLOOKUP(Electricity6[[#This Row],[Month]],dropdown!$S$4:$T$15,2,FALSE),"")</f>
        <v/>
      </c>
      <c r="L78" s="110"/>
      <c r="M78" s="223"/>
      <c r="N78" s="226"/>
    </row>
    <row r="79" spans="9:14" x14ac:dyDescent="0.2">
      <c r="I79" s="107" t="str">
        <f>IF(Electricity6[[#This Row],[Month]]="","",I78+1)</f>
        <v/>
      </c>
      <c r="J79" s="108"/>
      <c r="K79" s="199" t="str">
        <f>IF(Electricity6[[#This Row],[Month]]&lt;&gt;"",VLOOKUP(Electricity6[[#This Row],[Month]],dropdown!$S$4:$T$15,2,FALSE),"")</f>
        <v/>
      </c>
      <c r="L79" s="110"/>
      <c r="M79" s="223"/>
      <c r="N79" s="226"/>
    </row>
    <row r="80" spans="9:14" x14ac:dyDescent="0.2">
      <c r="I80" s="107" t="str">
        <f>IF(Electricity6[[#This Row],[Month]]="","",I79+1)</f>
        <v/>
      </c>
      <c r="J80" s="108"/>
      <c r="K80" s="199" t="str">
        <f>IF(Electricity6[[#This Row],[Month]]&lt;&gt;"",VLOOKUP(Electricity6[[#This Row],[Month]],dropdown!$S$4:$T$15,2,FALSE),"")</f>
        <v/>
      </c>
      <c r="L80" s="110"/>
      <c r="M80" s="223"/>
      <c r="N80" s="226"/>
    </row>
    <row r="81" spans="9:14" x14ac:dyDescent="0.2">
      <c r="I81" s="107" t="str">
        <f>IF(Electricity6[[#This Row],[Month]]="","",I80+1)</f>
        <v/>
      </c>
      <c r="J81" s="108"/>
      <c r="K81" s="199" t="str">
        <f>IF(Electricity6[[#This Row],[Month]]&lt;&gt;"",VLOOKUP(Electricity6[[#This Row],[Month]],dropdown!$S$4:$T$15,2,FALSE),"")</f>
        <v/>
      </c>
      <c r="L81" s="110"/>
      <c r="M81" s="223"/>
      <c r="N81" s="226"/>
    </row>
    <row r="82" spans="9:14" x14ac:dyDescent="0.2">
      <c r="I82" s="107" t="str">
        <f>IF(Electricity6[[#This Row],[Month]]="","",I81+1)</f>
        <v/>
      </c>
      <c r="J82" s="108"/>
      <c r="K82" s="199" t="str">
        <f>IF(Electricity6[[#This Row],[Month]]&lt;&gt;"",VLOOKUP(Electricity6[[#This Row],[Month]],dropdown!$S$4:$T$15,2,FALSE),"")</f>
        <v/>
      </c>
      <c r="L82" s="110"/>
      <c r="M82" s="223"/>
      <c r="N82" s="226"/>
    </row>
    <row r="83" spans="9:14" x14ac:dyDescent="0.2">
      <c r="I83" s="107" t="str">
        <f>IF(Electricity6[[#This Row],[Month]]="","",I82+1)</f>
        <v/>
      </c>
      <c r="J83" s="108"/>
      <c r="K83" s="199" t="str">
        <f>IF(Electricity6[[#This Row],[Month]]&lt;&gt;"",VLOOKUP(Electricity6[[#This Row],[Month]],dropdown!$S$4:$T$15,2,FALSE),"")</f>
        <v/>
      </c>
      <c r="L83" s="110"/>
      <c r="M83" s="223"/>
      <c r="N83" s="226"/>
    </row>
    <row r="84" spans="9:14" x14ac:dyDescent="0.2">
      <c r="I84" s="107" t="str">
        <f>IF(Electricity6[[#This Row],[Month]]="","",I83+1)</f>
        <v/>
      </c>
      <c r="J84" s="108"/>
      <c r="K84" s="199" t="str">
        <f>IF(Electricity6[[#This Row],[Month]]&lt;&gt;"",VLOOKUP(Electricity6[[#This Row],[Month]],dropdown!$S$4:$T$15,2,FALSE),"")</f>
        <v/>
      </c>
      <c r="L84" s="110"/>
      <c r="M84" s="223"/>
      <c r="N84" s="226"/>
    </row>
    <row r="85" spans="9:14" x14ac:dyDescent="0.2">
      <c r="I85" s="107" t="str">
        <f>IF(Electricity6[[#This Row],[Month]]="","",I84+1)</f>
        <v/>
      </c>
      <c r="J85" s="108"/>
      <c r="K85" s="199" t="str">
        <f>IF(Electricity6[[#This Row],[Month]]&lt;&gt;"",VLOOKUP(Electricity6[[#This Row],[Month]],dropdown!$S$4:$T$15,2,FALSE),"")</f>
        <v/>
      </c>
      <c r="L85" s="110"/>
      <c r="M85" s="223"/>
      <c r="N85" s="226"/>
    </row>
    <row r="86" spans="9:14" x14ac:dyDescent="0.2">
      <c r="I86" s="107" t="str">
        <f>IF(Electricity6[[#This Row],[Month]]="","",I85+1)</f>
        <v/>
      </c>
      <c r="J86" s="108"/>
      <c r="K86" s="199" t="str">
        <f>IF(Electricity6[[#This Row],[Month]]&lt;&gt;"",VLOOKUP(Electricity6[[#This Row],[Month]],dropdown!$S$4:$T$15,2,FALSE),"")</f>
        <v/>
      </c>
      <c r="L86" s="110"/>
      <c r="M86" s="223"/>
      <c r="N86" s="226"/>
    </row>
    <row r="87" spans="9:14" x14ac:dyDescent="0.2">
      <c r="I87" s="107" t="str">
        <f>IF(Electricity6[[#This Row],[Month]]="","",I86+1)</f>
        <v/>
      </c>
      <c r="J87" s="108"/>
      <c r="K87" s="199" t="str">
        <f>IF(Electricity6[[#This Row],[Month]]&lt;&gt;"",VLOOKUP(Electricity6[[#This Row],[Month]],dropdown!$S$4:$T$15,2,FALSE),"")</f>
        <v/>
      </c>
      <c r="L87" s="110"/>
      <c r="M87" s="223"/>
      <c r="N87" s="226"/>
    </row>
    <row r="88" spans="9:14" x14ac:dyDescent="0.2">
      <c r="I88" s="107" t="str">
        <f>IF(Electricity6[[#This Row],[Month]]="","",I87+1)</f>
        <v/>
      </c>
      <c r="J88" s="108"/>
      <c r="K88" s="199" t="str">
        <f>IF(Electricity6[[#This Row],[Month]]&lt;&gt;"",VLOOKUP(Electricity6[[#This Row],[Month]],dropdown!$S$4:$T$15,2,FALSE),"")</f>
        <v/>
      </c>
      <c r="L88" s="110"/>
      <c r="M88" s="223"/>
      <c r="N88" s="226"/>
    </row>
    <row r="89" spans="9:14" x14ac:dyDescent="0.2">
      <c r="I89" s="107" t="str">
        <f>IF(Electricity6[[#This Row],[Month]]="","",I88+1)</f>
        <v/>
      </c>
      <c r="J89" s="108"/>
      <c r="K89" s="199" t="str">
        <f>IF(Electricity6[[#This Row],[Month]]&lt;&gt;"",VLOOKUP(Electricity6[[#This Row],[Month]],dropdown!$S$4:$T$15,2,FALSE),"")</f>
        <v/>
      </c>
      <c r="L89" s="110"/>
      <c r="M89" s="223"/>
      <c r="N89" s="226"/>
    </row>
    <row r="90" spans="9:14" x14ac:dyDescent="0.2">
      <c r="I90" s="107" t="str">
        <f>IF(Electricity6[[#This Row],[Month]]="","",I89+1)</f>
        <v/>
      </c>
      <c r="J90" s="108"/>
      <c r="K90" s="199" t="str">
        <f>IF(Electricity6[[#This Row],[Month]]&lt;&gt;"",VLOOKUP(Electricity6[[#This Row],[Month]],dropdown!$S$4:$T$15,2,FALSE),"")</f>
        <v/>
      </c>
      <c r="L90" s="110"/>
      <c r="M90" s="223"/>
      <c r="N90" s="226"/>
    </row>
    <row r="91" spans="9:14" x14ac:dyDescent="0.2">
      <c r="I91" s="107" t="str">
        <f>IF(Electricity6[[#This Row],[Month]]="","",I90+1)</f>
        <v/>
      </c>
      <c r="J91" s="108"/>
      <c r="K91" s="199" t="str">
        <f>IF(Electricity6[[#This Row],[Month]]&lt;&gt;"",VLOOKUP(Electricity6[[#This Row],[Month]],dropdown!$S$4:$T$15,2,FALSE),"")</f>
        <v/>
      </c>
      <c r="L91" s="110"/>
      <c r="M91" s="223"/>
      <c r="N91" s="226"/>
    </row>
    <row r="92" spans="9:14" x14ac:dyDescent="0.2">
      <c r="I92" s="107" t="str">
        <f>IF(Electricity6[[#This Row],[Month]]="","",I91+1)</f>
        <v/>
      </c>
      <c r="J92" s="108"/>
      <c r="K92" s="199" t="str">
        <f>IF(Electricity6[[#This Row],[Month]]&lt;&gt;"",VLOOKUP(Electricity6[[#This Row],[Month]],dropdown!$S$4:$T$15,2,FALSE),"")</f>
        <v/>
      </c>
      <c r="L92" s="110"/>
      <c r="M92" s="223"/>
      <c r="N92" s="226"/>
    </row>
    <row r="93" spans="9:14" x14ac:dyDescent="0.2">
      <c r="I93" s="107" t="str">
        <f>IF(Electricity6[[#This Row],[Month]]="","",I92+1)</f>
        <v/>
      </c>
      <c r="J93" s="108"/>
      <c r="K93" s="199" t="str">
        <f>IF(Electricity6[[#This Row],[Month]]&lt;&gt;"",VLOOKUP(Electricity6[[#This Row],[Month]],dropdown!$S$4:$T$15,2,FALSE),"")</f>
        <v/>
      </c>
      <c r="L93" s="110"/>
      <c r="M93" s="223"/>
      <c r="N93" s="226"/>
    </row>
    <row r="94" spans="9:14" x14ac:dyDescent="0.2">
      <c r="I94" s="107" t="str">
        <f>IF(Electricity6[[#This Row],[Month]]="","",I93+1)</f>
        <v/>
      </c>
      <c r="J94" s="108"/>
      <c r="K94" s="199" t="str">
        <f>IF(Electricity6[[#This Row],[Month]]&lt;&gt;"",VLOOKUP(Electricity6[[#This Row],[Month]],dropdown!$S$4:$T$15,2,FALSE),"")</f>
        <v/>
      </c>
      <c r="L94" s="110"/>
      <c r="M94" s="223"/>
      <c r="N94" s="226"/>
    </row>
    <row r="95" spans="9:14" x14ac:dyDescent="0.2">
      <c r="I95" s="107" t="str">
        <f>IF(Electricity6[[#This Row],[Month]]="","",I94+1)</f>
        <v/>
      </c>
      <c r="J95" s="108"/>
      <c r="K95" s="199" t="str">
        <f>IF(Electricity6[[#This Row],[Month]]&lt;&gt;"",VLOOKUP(Electricity6[[#This Row],[Month]],dropdown!$S$4:$T$15,2,FALSE),"")</f>
        <v/>
      </c>
      <c r="L95" s="110"/>
      <c r="M95" s="223"/>
      <c r="N95" s="226"/>
    </row>
    <row r="96" spans="9:14" x14ac:dyDescent="0.2">
      <c r="I96" s="107" t="str">
        <f>IF(Electricity6[[#This Row],[Month]]="","",I95+1)</f>
        <v/>
      </c>
      <c r="J96" s="108"/>
      <c r="K96" s="199" t="str">
        <f>IF(Electricity6[[#This Row],[Month]]&lt;&gt;"",VLOOKUP(Electricity6[[#This Row],[Month]],dropdown!$S$4:$T$15,2,FALSE),"")</f>
        <v/>
      </c>
      <c r="L96" s="110"/>
      <c r="M96" s="223"/>
      <c r="N96" s="226"/>
    </row>
    <row r="97" spans="9:14" x14ac:dyDescent="0.2">
      <c r="I97" s="107" t="str">
        <f>IF(Electricity6[[#This Row],[Month]]="","",I96+1)</f>
        <v/>
      </c>
      <c r="J97" s="108"/>
      <c r="K97" s="199" t="str">
        <f>IF(Electricity6[[#This Row],[Month]]&lt;&gt;"",VLOOKUP(Electricity6[[#This Row],[Month]],dropdown!$S$4:$T$15,2,FALSE),"")</f>
        <v/>
      </c>
      <c r="L97" s="110"/>
      <c r="M97" s="223"/>
      <c r="N97" s="226"/>
    </row>
    <row r="98" spans="9:14" x14ac:dyDescent="0.2">
      <c r="I98" s="107" t="str">
        <f>IF(Electricity6[[#This Row],[Month]]="","",I97+1)</f>
        <v/>
      </c>
      <c r="J98" s="108"/>
      <c r="K98" s="199" t="str">
        <f>IF(Electricity6[[#This Row],[Month]]&lt;&gt;"",VLOOKUP(Electricity6[[#This Row],[Month]],dropdown!$S$4:$T$15,2,FALSE),"")</f>
        <v/>
      </c>
      <c r="L98" s="110"/>
      <c r="M98" s="223"/>
      <c r="N98" s="226"/>
    </row>
    <row r="99" spans="9:14" x14ac:dyDescent="0.2">
      <c r="I99" s="107" t="str">
        <f>IF(Electricity6[[#This Row],[Month]]="","",I98+1)</f>
        <v/>
      </c>
      <c r="J99" s="108"/>
      <c r="K99" s="199" t="str">
        <f>IF(Electricity6[[#This Row],[Month]]&lt;&gt;"",VLOOKUP(Electricity6[[#This Row],[Month]],dropdown!$S$4:$T$15,2,FALSE),"")</f>
        <v/>
      </c>
      <c r="L99" s="110"/>
      <c r="M99" s="223"/>
      <c r="N99" s="226"/>
    </row>
    <row r="100" spans="9:14" x14ac:dyDescent="0.2">
      <c r="I100" s="107" t="str">
        <f>IF(Electricity6[[#This Row],[Month]]="","",I99+1)</f>
        <v/>
      </c>
      <c r="J100" s="108"/>
      <c r="K100" s="199" t="str">
        <f>IF(Electricity6[[#This Row],[Month]]&lt;&gt;"",VLOOKUP(Electricity6[[#This Row],[Month]],dropdown!$S$4:$T$15,2,FALSE),"")</f>
        <v/>
      </c>
      <c r="L100" s="110"/>
      <c r="M100" s="223"/>
      <c r="N100" s="226"/>
    </row>
    <row r="101" spans="9:14" x14ac:dyDescent="0.2">
      <c r="I101" s="107" t="str">
        <f>IF(Electricity6[[#This Row],[Month]]="","",I100+1)</f>
        <v/>
      </c>
      <c r="J101" s="108"/>
      <c r="K101" s="199" t="str">
        <f>IF(Electricity6[[#This Row],[Month]]&lt;&gt;"",VLOOKUP(Electricity6[[#This Row],[Month]],dropdown!$S$4:$T$15,2,FALSE),"")</f>
        <v/>
      </c>
      <c r="L101" s="110"/>
      <c r="M101" s="223"/>
      <c r="N101" s="226"/>
    </row>
    <row r="102" spans="9:14" x14ac:dyDescent="0.2">
      <c r="I102" s="107" t="str">
        <f>IF(Electricity6[[#This Row],[Month]]="","",I101+1)</f>
        <v/>
      </c>
      <c r="J102" s="108"/>
      <c r="K102" s="199" t="str">
        <f>IF(Electricity6[[#This Row],[Month]]&lt;&gt;"",VLOOKUP(Electricity6[[#This Row],[Month]],dropdown!$S$4:$T$15,2,FALSE),"")</f>
        <v/>
      </c>
      <c r="L102" s="110"/>
      <c r="M102" s="223"/>
      <c r="N102" s="226"/>
    </row>
    <row r="103" spans="9:14" x14ac:dyDescent="0.2">
      <c r="I103" s="107" t="str">
        <f>IF(Electricity6[[#This Row],[Month]]="","",I102+1)</f>
        <v/>
      </c>
      <c r="J103" s="108"/>
      <c r="K103" s="199" t="str">
        <f>IF(Electricity6[[#This Row],[Month]]&lt;&gt;"",VLOOKUP(Electricity6[[#This Row],[Month]],dropdown!$S$4:$T$15,2,FALSE),"")</f>
        <v/>
      </c>
      <c r="L103" s="110"/>
      <c r="M103" s="223"/>
      <c r="N103" s="226"/>
    </row>
    <row r="104" spans="9:14" x14ac:dyDescent="0.2">
      <c r="I104" s="107" t="str">
        <f>IF(Electricity6[[#This Row],[Month]]="","",I103+1)</f>
        <v/>
      </c>
      <c r="J104" s="108"/>
      <c r="K104" s="199" t="str">
        <f>IF(Electricity6[[#This Row],[Month]]&lt;&gt;"",VLOOKUP(Electricity6[[#This Row],[Month]],dropdown!$S$4:$T$15,2,FALSE),"")</f>
        <v/>
      </c>
      <c r="L104" s="110"/>
      <c r="M104" s="223"/>
      <c r="N104" s="226"/>
    </row>
    <row r="105" spans="9:14" x14ac:dyDescent="0.2">
      <c r="I105" s="107" t="str">
        <f>IF(Electricity6[[#This Row],[Month]]="","",I104+1)</f>
        <v/>
      </c>
      <c r="J105" s="108"/>
      <c r="K105" s="199" t="str">
        <f>IF(Electricity6[[#This Row],[Month]]&lt;&gt;"",VLOOKUP(Electricity6[[#This Row],[Month]],dropdown!$S$4:$T$15,2,FALSE),"")</f>
        <v/>
      </c>
      <c r="L105" s="110"/>
      <c r="M105" s="223"/>
      <c r="N105" s="226"/>
    </row>
    <row r="106" spans="9:14" x14ac:dyDescent="0.2">
      <c r="I106" s="107" t="str">
        <f>IF(Electricity6[[#This Row],[Month]]="","",I105+1)</f>
        <v/>
      </c>
      <c r="J106" s="108"/>
      <c r="K106" s="199" t="str">
        <f>IF(Electricity6[[#This Row],[Month]]&lt;&gt;"",VLOOKUP(Electricity6[[#This Row],[Month]],dropdown!$S$4:$T$15,2,FALSE),"")</f>
        <v/>
      </c>
      <c r="L106" s="110"/>
      <c r="M106" s="223"/>
      <c r="N106" s="226"/>
    </row>
    <row r="108" spans="9:14" x14ac:dyDescent="0.2">
      <c r="I108" s="117" t="s">
        <v>184</v>
      </c>
    </row>
  </sheetData>
  <sheetProtection algorithmName="SHA-512" hashValue="bZFQmGjgoQSfJdzfz2Lr7x3lRDomTp7YUms//lfuRhs0WWVWgaLgcg/MTHOgS/E4ZKMA/X6nj1KdD9BMWMDFYw==" saltValue="eWzfQf6lyfdFwQGX0tts3w==" spinCount="100000" sheet="1" objects="1" scenarios="1" selectLockedCells="1"/>
  <mergeCells count="2">
    <mergeCell ref="C6:G6"/>
    <mergeCell ref="C7:G7"/>
  </mergeCells>
  <pageMargins left="0.7" right="0.7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dropdown!$S$4:$S$15</xm:f>
          </x14:formula1>
          <xm:sqref>J7:J106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00B0F0"/>
  </sheetPr>
  <dimension ref="B2:W109"/>
  <sheetViews>
    <sheetView showGridLines="0" topLeftCell="C1" workbookViewId="0">
      <selection activeCell="C6" sqref="C6:G7"/>
    </sheetView>
  </sheetViews>
  <sheetFormatPr baseColWidth="10" defaultColWidth="10.83203125" defaultRowHeight="15" customHeight="1" x14ac:dyDescent="0.2"/>
  <cols>
    <col min="1" max="1" width="2.6640625" style="31" customWidth="1"/>
    <col min="2" max="2" width="28.5" style="35" customWidth="1"/>
    <col min="3" max="3" width="11.83203125" style="35" customWidth="1"/>
    <col min="4" max="7" width="8.33203125" style="35" customWidth="1"/>
    <col min="8" max="8" width="3" style="31" customWidth="1"/>
    <col min="9" max="9" width="5.33203125" style="34" customWidth="1"/>
    <col min="10" max="10" width="15.33203125" style="40" customWidth="1"/>
    <col min="11" max="11" width="7.6640625" style="40" customWidth="1"/>
    <col min="12" max="12" width="22.33203125" style="40" customWidth="1"/>
    <col min="13" max="13" width="18.5" style="40" customWidth="1"/>
    <col min="14" max="14" width="12.33203125" style="41" customWidth="1"/>
    <col min="15" max="15" width="8.83203125" style="31" customWidth="1"/>
    <col min="16" max="16" width="8.6640625" style="31" customWidth="1"/>
    <col min="17" max="17" width="18" style="35" customWidth="1"/>
    <col min="18" max="18" width="7.6640625" style="31" customWidth="1"/>
    <col min="19" max="19" width="26" style="31" customWidth="1"/>
    <col min="20" max="20" width="23.83203125" style="31" customWidth="1"/>
    <col min="21" max="21" width="12.33203125" style="41" customWidth="1"/>
    <col min="22" max="22" width="23.6640625" style="31" customWidth="1"/>
    <col min="23" max="23" width="23.83203125" style="40" customWidth="1"/>
    <col min="24" max="24" width="3.33203125" style="31" customWidth="1"/>
    <col min="25" max="16384" width="10.83203125" style="31"/>
  </cols>
  <sheetData>
    <row r="2" spans="2:23" ht="19" x14ac:dyDescent="0.25">
      <c r="B2" s="66" t="s">
        <v>30</v>
      </c>
      <c r="C2" s="67"/>
      <c r="D2" s="67"/>
      <c r="E2" s="67"/>
      <c r="F2" s="67"/>
      <c r="G2" s="68"/>
      <c r="I2" s="185" t="s">
        <v>250</v>
      </c>
      <c r="J2" s="186"/>
      <c r="K2" s="187"/>
      <c r="L2" s="187"/>
      <c r="M2" s="187"/>
      <c r="N2" s="188"/>
      <c r="O2" s="189"/>
      <c r="P2" s="189"/>
      <c r="Q2" s="201"/>
      <c r="R2" s="189"/>
      <c r="S2" s="189"/>
      <c r="T2" s="189"/>
      <c r="U2" s="202"/>
      <c r="V2" s="189"/>
      <c r="W2" s="203"/>
    </row>
    <row r="3" spans="2:23" ht="14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92" t="s">
        <v>251</v>
      </c>
      <c r="J3" s="190"/>
      <c r="W3" s="204"/>
    </row>
    <row r="4" spans="2:23" ht="14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2025</v>
      </c>
      <c r="E4" s="74"/>
      <c r="F4" s="74" t="s">
        <v>165</v>
      </c>
      <c r="G4" s="76"/>
      <c r="I4" s="191" t="s">
        <v>252</v>
      </c>
      <c r="J4" s="192"/>
      <c r="K4" s="95"/>
      <c r="L4" s="95"/>
      <c r="M4" s="95"/>
      <c r="N4" s="97"/>
      <c r="O4" s="96"/>
      <c r="P4" s="96"/>
      <c r="Q4" s="205"/>
      <c r="R4" s="96"/>
      <c r="S4" s="96"/>
      <c r="T4" s="96"/>
      <c r="U4" s="97"/>
      <c r="V4" s="96"/>
      <c r="W4" s="206"/>
    </row>
    <row r="5" spans="2:23" ht="14" x14ac:dyDescent="0.2">
      <c r="B5" s="38"/>
      <c r="C5" s="39"/>
      <c r="D5" s="38"/>
      <c r="E5" s="39"/>
      <c r="F5" s="39"/>
      <c r="G5" s="39"/>
      <c r="I5" s="117"/>
      <c r="J5" s="193"/>
    </row>
    <row r="6" spans="2:23" ht="14" x14ac:dyDescent="0.2">
      <c r="B6" s="77" t="s">
        <v>173</v>
      </c>
      <c r="C6" s="445" t="s">
        <v>174</v>
      </c>
      <c r="D6" s="446"/>
      <c r="E6" s="446"/>
      <c r="F6" s="446"/>
      <c r="G6" s="447"/>
      <c r="I6" s="194" t="s">
        <v>120</v>
      </c>
      <c r="J6" s="195"/>
      <c r="K6" s="195"/>
      <c r="L6" s="195"/>
      <c r="M6" s="195"/>
      <c r="N6" s="196"/>
      <c r="P6" s="194" t="s">
        <v>128</v>
      </c>
      <c r="Q6" s="195"/>
      <c r="R6" s="195"/>
      <c r="S6" s="195"/>
      <c r="T6" s="196"/>
      <c r="U6" s="196"/>
      <c r="W6" s="31"/>
    </row>
    <row r="7" spans="2:23" ht="12.75" customHeight="1" x14ac:dyDescent="0.2">
      <c r="B7" s="77" t="s">
        <v>176</v>
      </c>
      <c r="C7" s="448">
        <v>45911</v>
      </c>
      <c r="D7" s="446"/>
      <c r="E7" s="446"/>
      <c r="F7" s="446"/>
      <c r="G7" s="447"/>
      <c r="I7" s="102" t="s">
        <v>175</v>
      </c>
      <c r="J7" s="103" t="s">
        <v>40</v>
      </c>
      <c r="K7" s="103" t="s">
        <v>44</v>
      </c>
      <c r="L7" s="103" t="s">
        <v>122</v>
      </c>
      <c r="M7" s="197" t="s">
        <v>125</v>
      </c>
      <c r="N7" s="106" t="s">
        <v>55</v>
      </c>
      <c r="O7" s="198"/>
      <c r="P7" s="102" t="s">
        <v>175</v>
      </c>
      <c r="Q7" s="103" t="s">
        <v>40</v>
      </c>
      <c r="R7" s="103" t="s">
        <v>44</v>
      </c>
      <c r="S7" s="207" t="s">
        <v>131</v>
      </c>
      <c r="T7" s="197" t="s">
        <v>253</v>
      </c>
      <c r="U7" s="208" t="s">
        <v>55</v>
      </c>
      <c r="W7" s="31"/>
    </row>
    <row r="8" spans="2:23" ht="14" x14ac:dyDescent="0.2">
      <c r="B8" s="31"/>
      <c r="C8" s="31"/>
      <c r="D8" s="31"/>
      <c r="E8" s="31"/>
      <c r="F8" s="31"/>
      <c r="G8" s="31"/>
      <c r="I8" s="107">
        <f>IF($M8="","",1)</f>
        <v>1</v>
      </c>
      <c r="J8" s="108" t="s">
        <v>190</v>
      </c>
      <c r="K8" s="199" t="str">
        <f>IF(water_in[[#This Row],[Month]]&lt;&gt;"",VLOOKUP(water_in[[#This Row],[Month]],dropdown!$S$4:$T$15,2,FALSE),"")</f>
        <v>Q1</v>
      </c>
      <c r="L8" s="108" t="s">
        <v>124</v>
      </c>
      <c r="M8" s="110">
        <v>1132</v>
      </c>
      <c r="N8" s="111" t="s">
        <v>254</v>
      </c>
      <c r="O8" s="44"/>
      <c r="P8" s="107">
        <f>IF($T8="","",1)</f>
        <v>1</v>
      </c>
      <c r="Q8" s="108" t="s">
        <v>190</v>
      </c>
      <c r="R8" s="199" t="str">
        <f>IF(water_out[[#This Row],[Month]]&lt;&gt;"",VLOOKUP(water_out[[#This Row],[Month]],dropdown!$S$4:$T$15,2,FALSE),"")</f>
        <v>Q1</v>
      </c>
      <c r="S8" s="209" t="s">
        <v>255</v>
      </c>
      <c r="T8" s="110">
        <v>1132</v>
      </c>
      <c r="U8" s="111" t="s">
        <v>256</v>
      </c>
      <c r="W8" s="31"/>
    </row>
    <row r="9" spans="2:23" ht="14" x14ac:dyDescent="0.2">
      <c r="B9" s="78" t="s">
        <v>257</v>
      </c>
      <c r="C9" s="78"/>
      <c r="D9" s="78"/>
      <c r="E9" s="78"/>
      <c r="F9" s="78"/>
      <c r="G9" s="78"/>
      <c r="I9" s="107">
        <f>IF($M9="","",$I8+1)</f>
        <v>2</v>
      </c>
      <c r="J9" s="108" t="s">
        <v>89</v>
      </c>
      <c r="K9" s="199" t="str">
        <f>IF(water_in[[#This Row],[Month]]&lt;&gt;"",VLOOKUP(water_in[[#This Row],[Month]],dropdown!$S$4:$T$15,2,FALSE),"")</f>
        <v>Q1</v>
      </c>
      <c r="L9" s="108" t="s">
        <v>124</v>
      </c>
      <c r="M9" s="110">
        <v>1024</v>
      </c>
      <c r="N9" s="111" t="s">
        <v>254</v>
      </c>
      <c r="O9" s="44"/>
      <c r="P9" s="107">
        <f>IF($T9="","",$P8+1)</f>
        <v>2</v>
      </c>
      <c r="Q9" s="108" t="s">
        <v>89</v>
      </c>
      <c r="R9" s="199" t="str">
        <f>IF(water_out[[#This Row],[Month]]&lt;&gt;"",VLOOKUP(water_out[[#This Row],[Month]],dropdown!$S$4:$T$15,2,FALSE),"")</f>
        <v>Q1</v>
      </c>
      <c r="S9" s="209" t="s">
        <v>255</v>
      </c>
      <c r="T9" s="110">
        <v>1024</v>
      </c>
      <c r="U9" s="111" t="s">
        <v>256</v>
      </c>
      <c r="W9" s="31"/>
    </row>
    <row r="10" spans="2:23" ht="14" x14ac:dyDescent="0.2">
      <c r="B10" s="79" t="s">
        <v>158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 t="shared" ref="I10:I73" si="0">IF($M10="","",$I9+1)</f>
        <v>3</v>
      </c>
      <c r="J10" s="108" t="s">
        <v>177</v>
      </c>
      <c r="K10" s="200" t="str">
        <f>IF(water_in[[#This Row],[Month]]&lt;&gt;"",VLOOKUP(water_in[[#This Row],[Month]],dropdown!$S$4:$T$15,2,FALSE),"")</f>
        <v>Q1</v>
      </c>
      <c r="L10" s="108" t="s">
        <v>124</v>
      </c>
      <c r="M10" s="110">
        <v>1098</v>
      </c>
      <c r="N10" s="111" t="s">
        <v>254</v>
      </c>
      <c r="O10" s="44"/>
      <c r="P10" s="107">
        <f t="shared" ref="P10:P73" si="1">IF($T10="","",$P9+1)</f>
        <v>3</v>
      </c>
      <c r="Q10" s="108" t="s">
        <v>177</v>
      </c>
      <c r="R10" s="199" t="str">
        <f>IF(water_out[[#This Row],[Month]]&lt;&gt;"",VLOOKUP(water_out[[#This Row],[Month]],dropdown!$S$4:$T$15,2,FALSE),"")</f>
        <v>Q1</v>
      </c>
      <c r="S10" s="209" t="s">
        <v>255</v>
      </c>
      <c r="T10" s="110">
        <v>1098</v>
      </c>
      <c r="U10" s="111" t="s">
        <v>256</v>
      </c>
      <c r="W10" s="31"/>
    </row>
    <row r="11" spans="2:23" ht="14" x14ac:dyDescent="0.2">
      <c r="B11" s="81" t="s">
        <v>120</v>
      </c>
      <c r="C11" s="81" t="s">
        <v>258</v>
      </c>
      <c r="D11" s="82">
        <f>SUMIFS(water_in[Volume (m3)],water_in[Quarter],D$10)</f>
        <v>3254</v>
      </c>
      <c r="E11" s="82">
        <f>SUMIFS(water_in[Volume (m3)],water_in[Quarter],E$10)</f>
        <v>3561</v>
      </c>
      <c r="F11" s="82">
        <f>SUMIFS(water_in[Volume (m3)],water_in[Quarter],F$10)</f>
        <v>0</v>
      </c>
      <c r="G11" s="82">
        <f>SUMIFS(water_in[Volume (m3)],water_in[Quarter],G$10)</f>
        <v>0</v>
      </c>
      <c r="I11" s="107">
        <f t="shared" si="0"/>
        <v>4</v>
      </c>
      <c r="J11" s="108" t="s">
        <v>239</v>
      </c>
      <c r="K11" s="200" t="str">
        <f>IF(water_in[[#This Row],[Month]]&lt;&gt;"",VLOOKUP(water_in[[#This Row],[Month]],dropdown!$S$4:$T$15,2,FALSE),"")</f>
        <v>Q2</v>
      </c>
      <c r="L11" s="108" t="s">
        <v>124</v>
      </c>
      <c r="M11" s="110">
        <v>1208</v>
      </c>
      <c r="N11" s="111" t="s">
        <v>254</v>
      </c>
      <c r="O11" s="44"/>
      <c r="P11" s="107">
        <f t="shared" si="1"/>
        <v>4</v>
      </c>
      <c r="Q11" s="108" t="s">
        <v>239</v>
      </c>
      <c r="R11" s="199" t="str">
        <f>IF(water_out[[#This Row],[Month]]&lt;&gt;"",VLOOKUP(water_out[[#This Row],[Month]],dropdown!$S$4:$T$15,2,FALSE),"")</f>
        <v>Q2</v>
      </c>
      <c r="S11" s="209" t="s">
        <v>255</v>
      </c>
      <c r="T11" s="110">
        <v>1208</v>
      </c>
      <c r="U11" s="111" t="s">
        <v>256</v>
      </c>
      <c r="W11" s="31"/>
    </row>
    <row r="12" spans="2:23" ht="14" x14ac:dyDescent="0.2">
      <c r="B12" s="81" t="s">
        <v>128</v>
      </c>
      <c r="C12" s="81" t="s">
        <v>258</v>
      </c>
      <c r="D12" s="82">
        <f>SUMIFS(water_out[Volume2 (m3)],water_out[Quarter],D$10)</f>
        <v>3254</v>
      </c>
      <c r="E12" s="82">
        <f>SUMIFS(water_out[Volume2 (m3)],water_out[Quarter],E$10)</f>
        <v>3561</v>
      </c>
      <c r="F12" s="82">
        <f>SUMIFS(water_out[Volume2 (m3)],water_out[Quarter],F$10)</f>
        <v>0</v>
      </c>
      <c r="G12" s="82">
        <f>SUMIFS(water_out[Volume2 (m3)],water_out[Quarter],G$10)</f>
        <v>0</v>
      </c>
      <c r="I12" s="107">
        <f t="shared" si="0"/>
        <v>5</v>
      </c>
      <c r="J12" s="108" t="s">
        <v>242</v>
      </c>
      <c r="K12" s="200" t="str">
        <f>IF(water_in[[#This Row],[Month]]&lt;&gt;"",VLOOKUP(water_in[[#This Row],[Month]],dropdown!$S$4:$T$15,2,FALSE),"")</f>
        <v>Q2</v>
      </c>
      <c r="L12" s="108" t="s">
        <v>124</v>
      </c>
      <c r="M12" s="110">
        <v>1141</v>
      </c>
      <c r="N12" s="111" t="s">
        <v>254</v>
      </c>
      <c r="O12" s="44" t="str">
        <f>IF(J12="","",VLOOKUP($J12,dropdown!$S$3:$T$15,2,FALSE))</f>
        <v>Q2</v>
      </c>
      <c r="P12" s="107">
        <f t="shared" si="1"/>
        <v>5</v>
      </c>
      <c r="Q12" s="108" t="s">
        <v>242</v>
      </c>
      <c r="R12" s="199" t="str">
        <f>IF(water_out[[#This Row],[Month]]&lt;&gt;"",VLOOKUP(water_out[[#This Row],[Month]],dropdown!$S$4:$T$15,2,FALSE),"")</f>
        <v>Q2</v>
      </c>
      <c r="S12" s="209" t="s">
        <v>255</v>
      </c>
      <c r="T12" s="110">
        <v>1141</v>
      </c>
      <c r="U12" s="111" t="s">
        <v>256</v>
      </c>
      <c r="W12" s="31"/>
    </row>
    <row r="13" spans="2:23" ht="14" x14ac:dyDescent="0.2">
      <c r="D13" s="132" t="str">
        <f>IF(SUM(D$11:D$12)&gt;0,"x","")</f>
        <v>x</v>
      </c>
      <c r="E13" s="132" t="str">
        <f>IF(SUM(E$11:E$12)&gt;0,"x","")</f>
        <v>x</v>
      </c>
      <c r="F13" s="132" t="str">
        <f>IF(SUM(F$11:F$12)&gt;0,"x","")</f>
        <v/>
      </c>
      <c r="G13" s="132" t="str">
        <f>IF(SUM(G$11:G$12)&gt;0,"x","")</f>
        <v/>
      </c>
      <c r="I13" s="107">
        <f t="shared" si="0"/>
        <v>6</v>
      </c>
      <c r="J13" s="108" t="s">
        <v>179</v>
      </c>
      <c r="K13" s="200" t="str">
        <f>IF(water_in[[#This Row],[Month]]&lt;&gt;"",VLOOKUP(water_in[[#This Row],[Month]],dropdown!$S$4:$T$15,2,FALSE),"")</f>
        <v>Q2</v>
      </c>
      <c r="L13" s="108" t="s">
        <v>124</v>
      </c>
      <c r="M13" s="110">
        <v>1212</v>
      </c>
      <c r="N13" s="111" t="s">
        <v>254</v>
      </c>
      <c r="O13" s="44" t="str">
        <f>IF(J13="","",VLOOKUP($J13,dropdown!$S$3:$T$15,2,FALSE))</f>
        <v>Q2</v>
      </c>
      <c r="P13" s="107">
        <f t="shared" si="1"/>
        <v>6</v>
      </c>
      <c r="Q13" s="108" t="s">
        <v>179</v>
      </c>
      <c r="R13" s="199" t="str">
        <f>IF(water_out[[#This Row],[Month]]&lt;&gt;"",VLOOKUP(water_out[[#This Row],[Month]],dropdown!$S$4:$T$15,2,FALSE),"")</f>
        <v>Q2</v>
      </c>
      <c r="S13" s="209" t="s">
        <v>255</v>
      </c>
      <c r="T13" s="110">
        <v>1212</v>
      </c>
      <c r="U13" s="111" t="s">
        <v>256</v>
      </c>
      <c r="W13" s="31"/>
    </row>
    <row r="14" spans="2:23" ht="14" x14ac:dyDescent="0.2">
      <c r="B14" s="123" t="s">
        <v>39</v>
      </c>
      <c r="I14" s="107" t="str">
        <f t="shared" si="0"/>
        <v/>
      </c>
      <c r="J14" s="108"/>
      <c r="K14" s="200" t="str">
        <f>IF(water_in[[#This Row],[Month]]&lt;&gt;"",VLOOKUP(water_in[[#This Row],[Month]],dropdown!$S$4:$T$15,2,FALSE),"")</f>
        <v/>
      </c>
      <c r="L14" s="108"/>
      <c r="M14" s="110"/>
      <c r="N14" s="111"/>
      <c r="O14" s="44" t="str">
        <f>IF(J14="","",VLOOKUP($J14,dropdown!$S$3:$T$15,2,FALSE))</f>
        <v/>
      </c>
      <c r="P14" s="107" t="str">
        <f t="shared" si="1"/>
        <v/>
      </c>
      <c r="Q14" s="108"/>
      <c r="R14" s="199" t="str">
        <f>IF(water_out[[#This Row],[Month]]&lt;&gt;"",VLOOKUP(water_out[[#This Row],[Month]],dropdown!$S$4:$T$15,2,FALSE),"")</f>
        <v/>
      </c>
      <c r="S14" s="209"/>
      <c r="T14" s="110"/>
      <c r="U14" s="111"/>
      <c r="W14" s="31"/>
    </row>
    <row r="15" spans="2:23" ht="11" customHeight="1" x14ac:dyDescent="0.2">
      <c r="B15" s="127" t="s">
        <v>181</v>
      </c>
      <c r="I15" s="107" t="str">
        <f t="shared" si="0"/>
        <v/>
      </c>
      <c r="J15" s="108"/>
      <c r="K15" s="200" t="str">
        <f>IF(water_in[[#This Row],[Month]]&lt;&gt;"",VLOOKUP(water_in[[#This Row],[Month]],dropdown!$S$4:$T$15,2,FALSE),"")</f>
        <v/>
      </c>
      <c r="L15" s="108"/>
      <c r="M15" s="110"/>
      <c r="N15" s="111"/>
      <c r="O15" s="44" t="str">
        <f>IF(J15="","",VLOOKUP($J15,dropdown!$S$3:$T$15,2,FALSE))</f>
        <v/>
      </c>
      <c r="P15" s="107" t="str">
        <f t="shared" si="1"/>
        <v/>
      </c>
      <c r="Q15" s="108"/>
      <c r="R15" s="199" t="str">
        <f>IF(water_out[[#This Row],[Month]]&lt;&gt;"",VLOOKUP(water_out[[#This Row],[Month]],dropdown!$S$4:$T$15,2,FALSE),"")</f>
        <v/>
      </c>
      <c r="S15" s="209"/>
      <c r="T15" s="110"/>
      <c r="U15" s="111"/>
      <c r="W15" s="31"/>
    </row>
    <row r="16" spans="2:23" ht="14" x14ac:dyDescent="0.2">
      <c r="B16" s="128" t="s">
        <v>182</v>
      </c>
      <c r="I16" s="107" t="str">
        <f t="shared" si="0"/>
        <v/>
      </c>
      <c r="J16" s="108"/>
      <c r="K16" s="200" t="str">
        <f>IF(water_in[[#This Row],[Month]]&lt;&gt;"",VLOOKUP(water_in[[#This Row],[Month]],dropdown!$S$4:$T$15,2,FALSE),"")</f>
        <v/>
      </c>
      <c r="L16" s="108"/>
      <c r="M16" s="110"/>
      <c r="N16" s="111"/>
      <c r="O16" s="44" t="str">
        <f>IF(J16="","",VLOOKUP($J16,dropdown!$S$3:$T$15,2,FALSE))</f>
        <v/>
      </c>
      <c r="P16" s="107" t="str">
        <f t="shared" si="1"/>
        <v/>
      </c>
      <c r="Q16" s="108"/>
      <c r="R16" s="199" t="str">
        <f>IF(water_out[[#This Row],[Month]]&lt;&gt;"",VLOOKUP(water_out[[#This Row],[Month]],dropdown!$S$4:$T$15,2,FALSE),"")</f>
        <v/>
      </c>
      <c r="S16" s="209"/>
      <c r="T16" s="110"/>
      <c r="U16" s="111"/>
      <c r="W16" s="31"/>
    </row>
    <row r="17" spans="2:23" ht="14" x14ac:dyDescent="0.2">
      <c r="B17" s="129" t="s">
        <v>183</v>
      </c>
      <c r="I17" s="107" t="str">
        <f t="shared" si="0"/>
        <v/>
      </c>
      <c r="J17" s="108"/>
      <c r="K17" s="200" t="str">
        <f>IF(water_in[[#This Row],[Month]]&lt;&gt;"",VLOOKUP(water_in[[#This Row],[Month]],dropdown!$S$4:$T$15,2,FALSE),"")</f>
        <v/>
      </c>
      <c r="L17" s="108"/>
      <c r="M17" s="110"/>
      <c r="N17" s="111"/>
      <c r="O17" s="44" t="str">
        <f>IF(J17="","",VLOOKUP($J17,dropdown!$S$3:$T$15,2,FALSE))</f>
        <v/>
      </c>
      <c r="P17" s="107" t="str">
        <f t="shared" si="1"/>
        <v/>
      </c>
      <c r="Q17" s="108"/>
      <c r="R17" s="199" t="str">
        <f>IF(water_out[[#This Row],[Month]]&lt;&gt;"",VLOOKUP(water_out[[#This Row],[Month]],dropdown!$S$4:$T$15,2,FALSE),"")</f>
        <v/>
      </c>
      <c r="S17" s="209"/>
      <c r="T17" s="110"/>
      <c r="U17" s="111"/>
      <c r="V17" s="44" t="s">
        <v>44</v>
      </c>
      <c r="W17" s="31"/>
    </row>
    <row r="18" spans="2:23" ht="14" x14ac:dyDescent="0.2">
      <c r="I18" s="107" t="str">
        <f t="shared" si="0"/>
        <v/>
      </c>
      <c r="J18" s="108"/>
      <c r="K18" s="200" t="str">
        <f>IF(water_in[[#This Row],[Month]]&lt;&gt;"",VLOOKUP(water_in[[#This Row],[Month]],dropdown!$S$4:$T$15,2,FALSE),"")</f>
        <v/>
      </c>
      <c r="L18" s="108"/>
      <c r="M18" s="110"/>
      <c r="N18" s="111"/>
      <c r="O18" s="44" t="str">
        <f>IF(J18="","",VLOOKUP($J18,dropdown!$S$3:$T$15,2,FALSE))</f>
        <v/>
      </c>
      <c r="P18" s="107" t="str">
        <f t="shared" si="1"/>
        <v/>
      </c>
      <c r="Q18" s="108"/>
      <c r="R18" s="199" t="str">
        <f>IF(water_out[[#This Row],[Month]]&lt;&gt;"",VLOOKUP(water_out[[#This Row],[Month]],dropdown!$S$4:$T$15,2,FALSE),"")</f>
        <v/>
      </c>
      <c r="S18" s="209"/>
      <c r="T18" s="110"/>
      <c r="U18" s="111"/>
      <c r="V18" s="44" t="str">
        <f>IF(Q8="","",VLOOKUP($Q8,dropdown!$S$3:$T$15,2,FALSE))</f>
        <v>Q1</v>
      </c>
      <c r="W18" s="31"/>
    </row>
    <row r="19" spans="2:23" ht="14" x14ac:dyDescent="0.2">
      <c r="I19" s="107" t="str">
        <f t="shared" si="0"/>
        <v/>
      </c>
      <c r="J19" s="108"/>
      <c r="K19" s="200" t="str">
        <f>IF(water_in[[#This Row],[Month]]&lt;&gt;"",VLOOKUP(water_in[[#This Row],[Month]],dropdown!$S$4:$T$15,2,FALSE),"")</f>
        <v/>
      </c>
      <c r="L19" s="108"/>
      <c r="M19" s="110"/>
      <c r="N19" s="111"/>
      <c r="O19" s="44" t="str">
        <f>IF(J19="","",VLOOKUP($J19,dropdown!$S$3:$T$15,2,FALSE))</f>
        <v/>
      </c>
      <c r="P19" s="107" t="str">
        <f t="shared" si="1"/>
        <v/>
      </c>
      <c r="Q19" s="108"/>
      <c r="R19" s="199" t="str">
        <f>IF(water_out[[#This Row],[Month]]&lt;&gt;"",VLOOKUP(water_out[[#This Row],[Month]],dropdown!$S$4:$T$15,2,FALSE),"")</f>
        <v/>
      </c>
      <c r="S19" s="209"/>
      <c r="T19" s="110"/>
      <c r="U19" s="111"/>
      <c r="V19" s="44" t="str">
        <f>IF(Q9="","",VLOOKUP($Q9,dropdown!$S$3:$T$15,2,FALSE))</f>
        <v>Q1</v>
      </c>
      <c r="W19" s="31"/>
    </row>
    <row r="20" spans="2:23" ht="14" x14ac:dyDescent="0.2">
      <c r="I20" s="107" t="str">
        <f t="shared" si="0"/>
        <v/>
      </c>
      <c r="J20" s="108"/>
      <c r="K20" s="200" t="str">
        <f>IF(water_in[[#This Row],[Month]]&lt;&gt;"",VLOOKUP(water_in[[#This Row],[Month]],dropdown!$S$4:$T$15,2,FALSE),"")</f>
        <v/>
      </c>
      <c r="L20" s="108"/>
      <c r="M20" s="110"/>
      <c r="N20" s="111"/>
      <c r="O20" s="44" t="str">
        <f>IF(J20="","",VLOOKUP($J20,dropdown!$S$3:$T$15,2,FALSE))</f>
        <v/>
      </c>
      <c r="P20" s="107" t="str">
        <f t="shared" si="1"/>
        <v/>
      </c>
      <c r="Q20" s="108"/>
      <c r="R20" s="199" t="str">
        <f>IF(water_out[[#This Row],[Month]]&lt;&gt;"",VLOOKUP(water_out[[#This Row],[Month]],dropdown!$S$4:$T$15,2,FALSE),"")</f>
        <v/>
      </c>
      <c r="S20" s="209"/>
      <c r="T20" s="110"/>
      <c r="U20" s="111"/>
      <c r="V20" s="44" t="str">
        <f>IF(Q10="","",VLOOKUP($Q10,dropdown!$S$3:$T$15,2,FALSE))</f>
        <v>Q1</v>
      </c>
      <c r="W20" s="31"/>
    </row>
    <row r="21" spans="2:23" ht="14" x14ac:dyDescent="0.2">
      <c r="I21" s="107" t="str">
        <f t="shared" si="0"/>
        <v/>
      </c>
      <c r="J21" s="108"/>
      <c r="K21" s="200" t="str">
        <f>IF(water_in[[#This Row],[Month]]&lt;&gt;"",VLOOKUP(water_in[[#This Row],[Month]],dropdown!$S$4:$T$15,2,FALSE),"")</f>
        <v/>
      </c>
      <c r="L21" s="108"/>
      <c r="M21" s="110"/>
      <c r="N21" s="111"/>
      <c r="O21" s="44" t="str">
        <f>IF(J21="","",VLOOKUP($J21,dropdown!$S$3:$T$15,2,FALSE))</f>
        <v/>
      </c>
      <c r="P21" s="107" t="str">
        <f t="shared" si="1"/>
        <v/>
      </c>
      <c r="Q21" s="108"/>
      <c r="R21" s="199" t="str">
        <f>IF(water_out[[#This Row],[Month]]&lt;&gt;"",VLOOKUP(water_out[[#This Row],[Month]],dropdown!$S$4:$T$15,2,FALSE),"")</f>
        <v/>
      </c>
      <c r="S21" s="209"/>
      <c r="T21" s="110"/>
      <c r="U21" s="111"/>
      <c r="V21" s="44" t="str">
        <f>IF(Q11="","",VLOOKUP($Q11,dropdown!$S$3:$T$15,2,FALSE))</f>
        <v>Q2</v>
      </c>
      <c r="W21" s="31"/>
    </row>
    <row r="22" spans="2:23" ht="14" x14ac:dyDescent="0.2">
      <c r="I22" s="107" t="str">
        <f t="shared" si="0"/>
        <v/>
      </c>
      <c r="J22" s="108"/>
      <c r="K22" s="200" t="str">
        <f>IF(water_in[[#This Row],[Month]]&lt;&gt;"",VLOOKUP(water_in[[#This Row],[Month]],dropdown!$S$4:$T$15,2,FALSE),"")</f>
        <v/>
      </c>
      <c r="L22" s="108"/>
      <c r="M22" s="110"/>
      <c r="N22" s="111"/>
      <c r="O22" s="44" t="str">
        <f>IF(J22="","",VLOOKUP($J22,dropdown!$S$3:$T$15,2,FALSE))</f>
        <v/>
      </c>
      <c r="P22" s="107" t="str">
        <f t="shared" si="1"/>
        <v/>
      </c>
      <c r="Q22" s="108"/>
      <c r="R22" s="199" t="str">
        <f>IF(water_out[[#This Row],[Month]]&lt;&gt;"",VLOOKUP(water_out[[#This Row],[Month]],dropdown!$S$4:$T$15,2,FALSE),"")</f>
        <v/>
      </c>
      <c r="S22" s="209"/>
      <c r="T22" s="110"/>
      <c r="U22" s="111"/>
      <c r="V22" s="44" t="str">
        <f>IF(Q12="","",VLOOKUP($Q12,dropdown!$S$3:$T$15,2,FALSE))</f>
        <v>Q2</v>
      </c>
      <c r="W22" s="31"/>
    </row>
    <row r="23" spans="2:23" ht="14" x14ac:dyDescent="0.2">
      <c r="I23" s="107" t="str">
        <f t="shared" si="0"/>
        <v/>
      </c>
      <c r="J23" s="108"/>
      <c r="K23" s="200" t="str">
        <f>IF(water_in[[#This Row],[Month]]&lt;&gt;"",VLOOKUP(water_in[[#This Row],[Month]],dropdown!$S$4:$T$15,2,FALSE),"")</f>
        <v/>
      </c>
      <c r="L23" s="108"/>
      <c r="M23" s="110"/>
      <c r="N23" s="111"/>
      <c r="O23" s="44" t="str">
        <f>IF(J23="","",VLOOKUP($J23,dropdown!$S$3:$T$15,2,FALSE))</f>
        <v/>
      </c>
      <c r="P23" s="107" t="str">
        <f t="shared" si="1"/>
        <v/>
      </c>
      <c r="Q23" s="108"/>
      <c r="R23" s="199" t="str">
        <f>IF(water_out[[#This Row],[Month]]&lt;&gt;"",VLOOKUP(water_out[[#This Row],[Month]],dropdown!$S$4:$T$15,2,FALSE),"")</f>
        <v/>
      </c>
      <c r="S23" s="209"/>
      <c r="T23" s="110"/>
      <c r="U23" s="111"/>
      <c r="V23" s="44" t="str">
        <f>IF(Q13="","",VLOOKUP($Q13,dropdown!$S$3:$T$15,2,FALSE))</f>
        <v>Q2</v>
      </c>
      <c r="W23" s="31"/>
    </row>
    <row r="24" spans="2:23" ht="14" x14ac:dyDescent="0.2">
      <c r="I24" s="107" t="str">
        <f t="shared" si="0"/>
        <v/>
      </c>
      <c r="J24" s="108"/>
      <c r="K24" s="200" t="str">
        <f>IF(water_in[[#This Row],[Month]]&lt;&gt;"",VLOOKUP(water_in[[#This Row],[Month]],dropdown!$S$4:$T$15,2,FALSE),"")</f>
        <v/>
      </c>
      <c r="L24" s="108"/>
      <c r="M24" s="110"/>
      <c r="N24" s="111"/>
      <c r="O24" s="44" t="str">
        <f>IF(J24="","",VLOOKUP($J24,dropdown!$S$3:$T$15,2,FALSE))</f>
        <v/>
      </c>
      <c r="P24" s="107" t="str">
        <f t="shared" si="1"/>
        <v/>
      </c>
      <c r="Q24" s="108"/>
      <c r="R24" s="199" t="str">
        <f>IF(water_out[[#This Row],[Month]]&lt;&gt;"",VLOOKUP(water_out[[#This Row],[Month]],dropdown!$S$4:$T$15,2,FALSE),"")</f>
        <v/>
      </c>
      <c r="S24" s="209"/>
      <c r="T24" s="110"/>
      <c r="U24" s="111"/>
      <c r="V24" s="44" t="str">
        <f>IF(Q14="","",VLOOKUP($Q14,dropdown!$S$3:$T$15,2,FALSE))</f>
        <v/>
      </c>
      <c r="W24" s="31"/>
    </row>
    <row r="25" spans="2:23" ht="14" x14ac:dyDescent="0.2">
      <c r="I25" s="107" t="str">
        <f t="shared" si="0"/>
        <v/>
      </c>
      <c r="J25" s="108"/>
      <c r="K25" s="200" t="str">
        <f>IF(water_in[[#This Row],[Month]]&lt;&gt;"",VLOOKUP(water_in[[#This Row],[Month]],dropdown!$S$4:$T$15,2,FALSE),"")</f>
        <v/>
      </c>
      <c r="L25" s="108"/>
      <c r="M25" s="110"/>
      <c r="N25" s="111"/>
      <c r="O25" s="44" t="str">
        <f>IF(J25="","",VLOOKUP($J25,dropdown!$S$3:$T$15,2,FALSE))</f>
        <v/>
      </c>
      <c r="P25" s="107" t="str">
        <f t="shared" si="1"/>
        <v/>
      </c>
      <c r="Q25" s="108"/>
      <c r="R25" s="199" t="str">
        <f>IF(water_out[[#This Row],[Month]]&lt;&gt;"",VLOOKUP(water_out[[#This Row],[Month]],dropdown!$S$4:$T$15,2,FALSE),"")</f>
        <v/>
      </c>
      <c r="S25" s="209"/>
      <c r="T25" s="110"/>
      <c r="U25" s="111"/>
      <c r="V25" s="44" t="str">
        <f>IF(Q15="","",VLOOKUP($Q15,dropdown!$S$3:$T$15,2,FALSE))</f>
        <v/>
      </c>
      <c r="W25" s="31"/>
    </row>
    <row r="26" spans="2:23" ht="14" x14ac:dyDescent="0.2">
      <c r="I26" s="107" t="str">
        <f t="shared" si="0"/>
        <v/>
      </c>
      <c r="J26" s="113"/>
      <c r="K26" s="200" t="str">
        <f>IF(water_in[[#This Row],[Month]]&lt;&gt;"",VLOOKUP(water_in[[#This Row],[Month]],dropdown!$S$4:$T$15,2,FALSE),"")</f>
        <v/>
      </c>
      <c r="L26" s="113"/>
      <c r="M26" s="115"/>
      <c r="N26" s="116"/>
      <c r="O26" s="44" t="str">
        <f>IF(J26="","",VLOOKUP($J26,dropdown!$S$3:$T$15,2,FALSE))</f>
        <v/>
      </c>
      <c r="P26" s="107" t="str">
        <f t="shared" si="1"/>
        <v/>
      </c>
      <c r="Q26" s="113"/>
      <c r="R26" s="199" t="str">
        <f>IF(water_out[[#This Row],[Month]]&lt;&gt;"",VLOOKUP(water_out[[#This Row],[Month]],dropdown!$S$4:$T$15,2,FALSE),"")</f>
        <v/>
      </c>
      <c r="S26" s="210"/>
      <c r="T26" s="115"/>
      <c r="U26" s="116"/>
      <c r="V26" s="44" t="str">
        <f>IF(Q16="","",VLOOKUP($Q16,dropdown!$S$3:$T$15,2,FALSE))</f>
        <v/>
      </c>
      <c r="W26" s="31"/>
    </row>
    <row r="27" spans="2:23" ht="14" x14ac:dyDescent="0.2">
      <c r="I27" s="107" t="str">
        <f t="shared" si="0"/>
        <v/>
      </c>
      <c r="J27" s="108"/>
      <c r="K27" s="200" t="str">
        <f>IF(water_in[[#This Row],[Month]]&lt;&gt;"",VLOOKUP(water_in[[#This Row],[Month]],dropdown!$S$4:$T$15,2,FALSE),"")</f>
        <v/>
      </c>
      <c r="L27" s="108"/>
      <c r="M27" s="110"/>
      <c r="N27" s="111"/>
      <c r="O27" s="44"/>
      <c r="P27" s="107" t="str">
        <f t="shared" si="1"/>
        <v/>
      </c>
      <c r="Q27" s="108"/>
      <c r="R27" s="199" t="str">
        <f>IF(water_out[[#This Row],[Month]]&lt;&gt;"",VLOOKUP(water_out[[#This Row],[Month]],dropdown!$S$4:$T$15,2,FALSE),"")</f>
        <v/>
      </c>
      <c r="S27" s="209"/>
      <c r="T27" s="110"/>
      <c r="U27" s="211"/>
      <c r="V27" s="44" t="str">
        <f>IF(Q17="","",VLOOKUP($Q17,dropdown!$S$3:$T$15,2,FALSE))</f>
        <v/>
      </c>
      <c r="W27" s="31"/>
    </row>
    <row r="28" spans="2:23" ht="14" x14ac:dyDescent="0.2">
      <c r="I28" s="107" t="str">
        <f t="shared" si="0"/>
        <v/>
      </c>
      <c r="J28" s="108"/>
      <c r="K28" s="200" t="str">
        <f>IF(water_in[[#This Row],[Month]]&lt;&gt;"",VLOOKUP(water_in[[#This Row],[Month]],dropdown!$S$4:$T$15,2,FALSE),"")</f>
        <v/>
      </c>
      <c r="L28" s="108"/>
      <c r="M28" s="110"/>
      <c r="N28" s="111"/>
      <c r="O28" s="44"/>
      <c r="P28" s="107" t="str">
        <f t="shared" si="1"/>
        <v/>
      </c>
      <c r="Q28" s="108"/>
      <c r="R28" s="199" t="str">
        <f>IF(water_out[[#This Row],[Month]]&lt;&gt;"",VLOOKUP(water_out[[#This Row],[Month]],dropdown!$S$4:$T$15,2,FALSE),"")</f>
        <v/>
      </c>
      <c r="S28" s="209"/>
      <c r="T28" s="110"/>
      <c r="U28" s="211"/>
      <c r="V28" s="44" t="str">
        <f>IF(Q18="","",VLOOKUP($Q18,dropdown!$S$3:$T$15,2,FALSE))</f>
        <v/>
      </c>
      <c r="W28" s="31"/>
    </row>
    <row r="29" spans="2:23" ht="14" x14ac:dyDescent="0.2">
      <c r="I29" s="107" t="str">
        <f t="shared" si="0"/>
        <v/>
      </c>
      <c r="J29" s="108"/>
      <c r="K29" s="200" t="str">
        <f>IF(water_in[[#This Row],[Month]]&lt;&gt;"",VLOOKUP(water_in[[#This Row],[Month]],dropdown!$S$4:$T$15,2,FALSE),"")</f>
        <v/>
      </c>
      <c r="L29" s="108"/>
      <c r="M29" s="110"/>
      <c r="N29" s="111"/>
      <c r="O29" s="44"/>
      <c r="P29" s="107" t="str">
        <f t="shared" si="1"/>
        <v/>
      </c>
      <c r="Q29" s="108"/>
      <c r="R29" s="199" t="str">
        <f>IF(water_out[[#This Row],[Month]]&lt;&gt;"",VLOOKUP(water_out[[#This Row],[Month]],dropdown!$S$4:$T$15,2,FALSE),"")</f>
        <v/>
      </c>
      <c r="S29" s="209"/>
      <c r="T29" s="110"/>
      <c r="U29" s="211"/>
      <c r="V29" s="44" t="str">
        <f>IF(Q19="","",VLOOKUP($Q19,dropdown!$S$3:$T$15,2,FALSE))</f>
        <v/>
      </c>
      <c r="W29" s="31"/>
    </row>
    <row r="30" spans="2:23" ht="14" x14ac:dyDescent="0.2">
      <c r="I30" s="107" t="str">
        <f t="shared" si="0"/>
        <v/>
      </c>
      <c r="J30" s="108"/>
      <c r="K30" s="200" t="str">
        <f>IF(water_in[[#This Row],[Month]]&lt;&gt;"",VLOOKUP(water_in[[#This Row],[Month]],dropdown!$S$4:$T$15,2,FALSE),"")</f>
        <v/>
      </c>
      <c r="L30" s="108"/>
      <c r="M30" s="110"/>
      <c r="N30" s="111"/>
      <c r="O30" s="44"/>
      <c r="P30" s="107" t="str">
        <f t="shared" si="1"/>
        <v/>
      </c>
      <c r="Q30" s="108"/>
      <c r="R30" s="199" t="str">
        <f>IF(water_out[[#This Row],[Month]]&lt;&gt;"",VLOOKUP(water_out[[#This Row],[Month]],dropdown!$S$4:$T$15,2,FALSE),"")</f>
        <v/>
      </c>
      <c r="S30" s="209"/>
      <c r="T30" s="110"/>
      <c r="U30" s="211"/>
      <c r="V30" s="44" t="str">
        <f>IF(Q20="","",VLOOKUP($Q20,dropdown!$S$3:$T$15,2,FALSE))</f>
        <v/>
      </c>
      <c r="W30" s="31"/>
    </row>
    <row r="31" spans="2:23" ht="14" x14ac:dyDescent="0.2">
      <c r="I31" s="107" t="str">
        <f t="shared" si="0"/>
        <v/>
      </c>
      <c r="J31" s="108"/>
      <c r="K31" s="200" t="str">
        <f>IF(water_in[[#This Row],[Month]]&lt;&gt;"",VLOOKUP(water_in[[#This Row],[Month]],dropdown!$S$4:$T$15,2,FALSE),"")</f>
        <v/>
      </c>
      <c r="L31" s="108"/>
      <c r="M31" s="110"/>
      <c r="N31" s="111"/>
      <c r="O31" s="44"/>
      <c r="P31" s="107" t="str">
        <f t="shared" si="1"/>
        <v/>
      </c>
      <c r="Q31" s="108"/>
      <c r="R31" s="199" t="str">
        <f>IF(water_out[[#This Row],[Month]]&lt;&gt;"",VLOOKUP(water_out[[#This Row],[Month]],dropdown!$S$4:$T$15,2,FALSE),"")</f>
        <v/>
      </c>
      <c r="S31" s="209"/>
      <c r="T31" s="110"/>
      <c r="U31" s="211"/>
      <c r="V31" s="44" t="str">
        <f>IF(Q21="","",VLOOKUP($Q21,dropdown!$S$3:$T$15,2,FALSE))</f>
        <v/>
      </c>
      <c r="W31" s="31"/>
    </row>
    <row r="32" spans="2:23" ht="14" x14ac:dyDescent="0.2">
      <c r="I32" s="107" t="str">
        <f t="shared" si="0"/>
        <v/>
      </c>
      <c r="J32" s="108"/>
      <c r="K32" s="200" t="str">
        <f>IF(water_in[[#This Row],[Month]]&lt;&gt;"",VLOOKUP(water_in[[#This Row],[Month]],dropdown!$S$4:$T$15,2,FALSE),"")</f>
        <v/>
      </c>
      <c r="L32" s="108"/>
      <c r="M32" s="110"/>
      <c r="N32" s="111"/>
      <c r="O32" s="44"/>
      <c r="P32" s="107" t="str">
        <f t="shared" si="1"/>
        <v/>
      </c>
      <c r="Q32" s="108"/>
      <c r="R32" s="199" t="str">
        <f>IF(water_out[[#This Row],[Month]]&lt;&gt;"",VLOOKUP(water_out[[#This Row],[Month]],dropdown!$S$4:$T$15,2,FALSE),"")</f>
        <v/>
      </c>
      <c r="S32" s="209"/>
      <c r="T32" s="110"/>
      <c r="U32" s="211"/>
      <c r="V32" s="44" t="str">
        <f>IF(Q22="","",VLOOKUP($Q22,dropdown!$S$3:$T$15,2,FALSE))</f>
        <v/>
      </c>
      <c r="W32" s="31"/>
    </row>
    <row r="33" spans="9:23" ht="14" x14ac:dyDescent="0.2">
      <c r="I33" s="107" t="str">
        <f t="shared" si="0"/>
        <v/>
      </c>
      <c r="J33" s="108"/>
      <c r="K33" s="200" t="str">
        <f>IF(water_in[[#This Row],[Month]]&lt;&gt;"",VLOOKUP(water_in[[#This Row],[Month]],dropdown!$S$4:$T$15,2,FALSE),"")</f>
        <v/>
      </c>
      <c r="L33" s="108"/>
      <c r="M33" s="110"/>
      <c r="N33" s="111"/>
      <c r="O33" s="44"/>
      <c r="P33" s="107" t="str">
        <f t="shared" si="1"/>
        <v/>
      </c>
      <c r="Q33" s="108"/>
      <c r="R33" s="199" t="str">
        <f>IF(water_out[[#This Row],[Month]]&lt;&gt;"",VLOOKUP(water_out[[#This Row],[Month]],dropdown!$S$4:$T$15,2,FALSE),"")</f>
        <v/>
      </c>
      <c r="S33" s="209"/>
      <c r="T33" s="110"/>
      <c r="U33" s="211"/>
      <c r="V33" s="44" t="str">
        <f>IF(Q23="","",VLOOKUP($Q23,dropdown!$S$3:$T$15,2,FALSE))</f>
        <v/>
      </c>
      <c r="W33" s="31"/>
    </row>
    <row r="34" spans="9:23" ht="14" x14ac:dyDescent="0.2">
      <c r="I34" s="107" t="str">
        <f t="shared" si="0"/>
        <v/>
      </c>
      <c r="J34" s="108"/>
      <c r="K34" s="200" t="str">
        <f>IF(water_in[[#This Row],[Month]]&lt;&gt;"",VLOOKUP(water_in[[#This Row],[Month]],dropdown!$S$4:$T$15,2,FALSE),"")</f>
        <v/>
      </c>
      <c r="L34" s="108"/>
      <c r="M34" s="110"/>
      <c r="N34" s="111"/>
      <c r="O34" s="44"/>
      <c r="P34" s="107" t="str">
        <f t="shared" si="1"/>
        <v/>
      </c>
      <c r="Q34" s="108"/>
      <c r="R34" s="199" t="str">
        <f>IF(water_out[[#This Row],[Month]]&lt;&gt;"",VLOOKUP(water_out[[#This Row],[Month]],dropdown!$S$4:$T$15,2,FALSE),"")</f>
        <v/>
      </c>
      <c r="S34" s="209"/>
      <c r="T34" s="110"/>
      <c r="U34" s="211"/>
      <c r="V34" s="44" t="str">
        <f>IF(Q24="","",VLOOKUP($Q24,dropdown!$S$3:$T$15,2,FALSE))</f>
        <v/>
      </c>
      <c r="W34" s="31"/>
    </row>
    <row r="35" spans="9:23" ht="14" x14ac:dyDescent="0.2">
      <c r="I35" s="107" t="str">
        <f t="shared" si="0"/>
        <v/>
      </c>
      <c r="J35" s="108"/>
      <c r="K35" s="200" t="str">
        <f>IF(water_in[[#This Row],[Month]]&lt;&gt;"",VLOOKUP(water_in[[#This Row],[Month]],dropdown!$S$4:$T$15,2,FALSE),"")</f>
        <v/>
      </c>
      <c r="L35" s="108"/>
      <c r="M35" s="110"/>
      <c r="N35" s="111"/>
      <c r="O35" s="44"/>
      <c r="P35" s="107" t="str">
        <f t="shared" si="1"/>
        <v/>
      </c>
      <c r="Q35" s="108"/>
      <c r="R35" s="199" t="str">
        <f>IF(water_out[[#This Row],[Month]]&lt;&gt;"",VLOOKUP(water_out[[#This Row],[Month]],dropdown!$S$4:$T$15,2,FALSE),"")</f>
        <v/>
      </c>
      <c r="S35" s="209"/>
      <c r="T35" s="110"/>
      <c r="U35" s="211"/>
      <c r="V35" s="44" t="str">
        <f>IF(Q25="","",VLOOKUP($Q25,dropdown!$S$3:$T$15,2,FALSE))</f>
        <v/>
      </c>
      <c r="W35" s="31"/>
    </row>
    <row r="36" spans="9:23" ht="14" x14ac:dyDescent="0.2">
      <c r="I36" s="107" t="str">
        <f t="shared" si="0"/>
        <v/>
      </c>
      <c r="J36" s="108"/>
      <c r="K36" s="200" t="str">
        <f>IF(water_in[[#This Row],[Month]]&lt;&gt;"",VLOOKUP(water_in[[#This Row],[Month]],dropdown!$S$4:$T$15,2,FALSE),"")</f>
        <v/>
      </c>
      <c r="L36" s="108"/>
      <c r="M36" s="110"/>
      <c r="N36" s="111"/>
      <c r="O36" s="44"/>
      <c r="P36" s="107" t="str">
        <f t="shared" si="1"/>
        <v/>
      </c>
      <c r="Q36" s="108"/>
      <c r="R36" s="199" t="str">
        <f>IF(water_out[[#This Row],[Month]]&lt;&gt;"",VLOOKUP(water_out[[#This Row],[Month]],dropdown!$S$4:$T$15,2,FALSE),"")</f>
        <v/>
      </c>
      <c r="S36" s="209"/>
      <c r="T36" s="110"/>
      <c r="U36" s="211"/>
      <c r="V36" s="44" t="str">
        <f>IF(Q26="","",VLOOKUP($Q26,dropdown!$S$3:$T$15,2,FALSE))</f>
        <v/>
      </c>
      <c r="W36" s="31"/>
    </row>
    <row r="37" spans="9:23" ht="14" x14ac:dyDescent="0.2">
      <c r="I37" s="107" t="str">
        <f t="shared" si="0"/>
        <v/>
      </c>
      <c r="J37" s="108"/>
      <c r="K37" s="200" t="str">
        <f>IF(water_in[[#This Row],[Month]]&lt;&gt;"",VLOOKUP(water_in[[#This Row],[Month]],dropdown!$S$4:$T$15,2,FALSE),"")</f>
        <v/>
      </c>
      <c r="L37" s="108"/>
      <c r="M37" s="110"/>
      <c r="N37" s="111"/>
      <c r="O37" s="44"/>
      <c r="P37" s="107" t="str">
        <f t="shared" si="1"/>
        <v/>
      </c>
      <c r="Q37" s="108"/>
      <c r="R37" s="199" t="str">
        <f>IF(water_out[[#This Row],[Month]]&lt;&gt;"",VLOOKUP(water_out[[#This Row],[Month]],dropdown!$S$4:$T$15,2,FALSE),"")</f>
        <v/>
      </c>
      <c r="S37" s="209"/>
      <c r="T37" s="110"/>
      <c r="U37" s="211"/>
      <c r="W37" s="31"/>
    </row>
    <row r="38" spans="9:23" ht="14" x14ac:dyDescent="0.2">
      <c r="I38" s="107" t="str">
        <f t="shared" si="0"/>
        <v/>
      </c>
      <c r="J38" s="108"/>
      <c r="K38" s="200" t="str">
        <f>IF(water_in[[#This Row],[Month]]&lt;&gt;"",VLOOKUP(water_in[[#This Row],[Month]],dropdown!$S$4:$T$15,2,FALSE),"")</f>
        <v/>
      </c>
      <c r="L38" s="108"/>
      <c r="M38" s="110"/>
      <c r="N38" s="111"/>
      <c r="O38" s="44"/>
      <c r="P38" s="107" t="str">
        <f t="shared" si="1"/>
        <v/>
      </c>
      <c r="Q38" s="108"/>
      <c r="R38" s="199" t="str">
        <f>IF(water_out[[#This Row],[Month]]&lt;&gt;"",VLOOKUP(water_out[[#This Row],[Month]],dropdown!$S$4:$T$15,2,FALSE),"")</f>
        <v/>
      </c>
      <c r="S38" s="209"/>
      <c r="T38" s="110"/>
      <c r="U38" s="211"/>
      <c r="W38" s="31"/>
    </row>
    <row r="39" spans="9:23" ht="14" x14ac:dyDescent="0.2">
      <c r="I39" s="107" t="str">
        <f t="shared" si="0"/>
        <v/>
      </c>
      <c r="J39" s="108"/>
      <c r="K39" s="200" t="str">
        <f>IF(water_in[[#This Row],[Month]]&lt;&gt;"",VLOOKUP(water_in[[#This Row],[Month]],dropdown!$S$4:$T$15,2,FALSE),"")</f>
        <v/>
      </c>
      <c r="L39" s="108"/>
      <c r="M39" s="110"/>
      <c r="N39" s="111"/>
      <c r="O39" s="44"/>
      <c r="P39" s="107" t="str">
        <f t="shared" si="1"/>
        <v/>
      </c>
      <c r="Q39" s="108"/>
      <c r="R39" s="199" t="str">
        <f>IF(water_out[[#This Row],[Month]]&lt;&gt;"",VLOOKUP(water_out[[#This Row],[Month]],dropdown!$S$4:$T$15,2,FALSE),"")</f>
        <v/>
      </c>
      <c r="S39" s="209"/>
      <c r="T39" s="110"/>
      <c r="U39" s="211"/>
      <c r="W39" s="31"/>
    </row>
    <row r="40" spans="9:23" ht="14" x14ac:dyDescent="0.2">
      <c r="I40" s="107" t="str">
        <f t="shared" si="0"/>
        <v/>
      </c>
      <c r="J40" s="108"/>
      <c r="K40" s="200" t="str">
        <f>IF(water_in[[#This Row],[Month]]&lt;&gt;"",VLOOKUP(water_in[[#This Row],[Month]],dropdown!$S$4:$T$15,2,FALSE),"")</f>
        <v/>
      </c>
      <c r="L40" s="108"/>
      <c r="M40" s="110"/>
      <c r="N40" s="111"/>
      <c r="O40" s="44"/>
      <c r="P40" s="107" t="str">
        <f t="shared" si="1"/>
        <v/>
      </c>
      <c r="Q40" s="108"/>
      <c r="R40" s="199" t="str">
        <f>IF(water_out[[#This Row],[Month]]&lt;&gt;"",VLOOKUP(water_out[[#This Row],[Month]],dropdown!$S$4:$T$15,2,FALSE),"")</f>
        <v/>
      </c>
      <c r="S40" s="209"/>
      <c r="T40" s="110"/>
      <c r="U40" s="211"/>
      <c r="W40" s="31"/>
    </row>
    <row r="41" spans="9:23" ht="14" x14ac:dyDescent="0.2">
      <c r="I41" s="107" t="str">
        <f t="shared" si="0"/>
        <v/>
      </c>
      <c r="J41" s="108"/>
      <c r="K41" s="200" t="str">
        <f>IF(water_in[[#This Row],[Month]]&lt;&gt;"",VLOOKUP(water_in[[#This Row],[Month]],dropdown!$S$4:$T$15,2,FALSE),"")</f>
        <v/>
      </c>
      <c r="L41" s="108"/>
      <c r="M41" s="110"/>
      <c r="N41" s="111"/>
      <c r="O41" s="44"/>
      <c r="P41" s="107" t="str">
        <f t="shared" si="1"/>
        <v/>
      </c>
      <c r="Q41" s="108"/>
      <c r="R41" s="199" t="str">
        <f>IF(water_out[[#This Row],[Month]]&lt;&gt;"",VLOOKUP(water_out[[#This Row],[Month]],dropdown!$S$4:$T$15,2,FALSE),"")</f>
        <v/>
      </c>
      <c r="S41" s="209"/>
      <c r="T41" s="110"/>
      <c r="U41" s="211"/>
      <c r="W41" s="31"/>
    </row>
    <row r="42" spans="9:23" ht="14" x14ac:dyDescent="0.2">
      <c r="I42" s="107" t="str">
        <f t="shared" si="0"/>
        <v/>
      </c>
      <c r="J42" s="108"/>
      <c r="K42" s="200" t="str">
        <f>IF(water_in[[#This Row],[Month]]&lt;&gt;"",VLOOKUP(water_in[[#This Row],[Month]],dropdown!$S$4:$T$15,2,FALSE),"")</f>
        <v/>
      </c>
      <c r="L42" s="108"/>
      <c r="M42" s="110"/>
      <c r="N42" s="111"/>
      <c r="O42" s="44"/>
      <c r="P42" s="107" t="str">
        <f t="shared" si="1"/>
        <v/>
      </c>
      <c r="Q42" s="108"/>
      <c r="R42" s="199" t="str">
        <f>IF(water_out[[#This Row],[Month]]&lt;&gt;"",VLOOKUP(water_out[[#This Row],[Month]],dropdown!$S$4:$T$15,2,FALSE),"")</f>
        <v/>
      </c>
      <c r="S42" s="209"/>
      <c r="T42" s="110"/>
      <c r="U42" s="211"/>
      <c r="W42" s="31"/>
    </row>
    <row r="43" spans="9:23" ht="14" x14ac:dyDescent="0.2">
      <c r="I43" s="107" t="str">
        <f t="shared" si="0"/>
        <v/>
      </c>
      <c r="J43" s="108"/>
      <c r="K43" s="200" t="str">
        <f>IF(water_in[[#This Row],[Month]]&lt;&gt;"",VLOOKUP(water_in[[#This Row],[Month]],dropdown!$S$4:$T$15,2,FALSE),"")</f>
        <v/>
      </c>
      <c r="L43" s="108"/>
      <c r="M43" s="110"/>
      <c r="N43" s="111"/>
      <c r="O43" s="44"/>
      <c r="P43" s="107" t="str">
        <f t="shared" si="1"/>
        <v/>
      </c>
      <c r="Q43" s="108"/>
      <c r="R43" s="199" t="str">
        <f>IF(water_out[[#This Row],[Month]]&lt;&gt;"",VLOOKUP(water_out[[#This Row],[Month]],dropdown!$S$4:$T$15,2,FALSE),"")</f>
        <v/>
      </c>
      <c r="S43" s="209"/>
      <c r="T43" s="110"/>
      <c r="U43" s="211"/>
      <c r="W43" s="31"/>
    </row>
    <row r="44" spans="9:23" ht="14" x14ac:dyDescent="0.2">
      <c r="I44" s="107" t="str">
        <f t="shared" si="0"/>
        <v/>
      </c>
      <c r="J44" s="108"/>
      <c r="K44" s="200" t="str">
        <f>IF(water_in[[#This Row],[Month]]&lt;&gt;"",VLOOKUP(water_in[[#This Row],[Month]],dropdown!$S$4:$T$15,2,FALSE),"")</f>
        <v/>
      </c>
      <c r="L44" s="108"/>
      <c r="M44" s="110"/>
      <c r="N44" s="111"/>
      <c r="O44" s="44"/>
      <c r="P44" s="107" t="str">
        <f t="shared" si="1"/>
        <v/>
      </c>
      <c r="Q44" s="108"/>
      <c r="R44" s="199" t="str">
        <f>IF(water_out[[#This Row],[Month]]&lt;&gt;"",VLOOKUP(water_out[[#This Row],[Month]],dropdown!$S$4:$T$15,2,FALSE),"")</f>
        <v/>
      </c>
      <c r="S44" s="209"/>
      <c r="T44" s="110"/>
      <c r="U44" s="211"/>
      <c r="W44" s="31"/>
    </row>
    <row r="45" spans="9:23" ht="14" x14ac:dyDescent="0.2">
      <c r="I45" s="107" t="str">
        <f t="shared" si="0"/>
        <v/>
      </c>
      <c r="J45" s="108"/>
      <c r="K45" s="200" t="str">
        <f>IF(water_in[[#This Row],[Month]]&lt;&gt;"",VLOOKUP(water_in[[#This Row],[Month]],dropdown!$S$4:$T$15,2,FALSE),"")</f>
        <v/>
      </c>
      <c r="L45" s="108"/>
      <c r="M45" s="110"/>
      <c r="N45" s="111"/>
      <c r="O45" s="44"/>
      <c r="P45" s="107" t="str">
        <f t="shared" si="1"/>
        <v/>
      </c>
      <c r="Q45" s="108"/>
      <c r="R45" s="199" t="str">
        <f>IF(water_out[[#This Row],[Month]]&lt;&gt;"",VLOOKUP(water_out[[#This Row],[Month]],dropdown!$S$4:$T$15,2,FALSE),"")</f>
        <v/>
      </c>
      <c r="S45" s="209"/>
      <c r="T45" s="110"/>
      <c r="U45" s="211"/>
      <c r="W45" s="31"/>
    </row>
    <row r="46" spans="9:23" ht="14" x14ac:dyDescent="0.2">
      <c r="I46" s="107" t="str">
        <f t="shared" si="0"/>
        <v/>
      </c>
      <c r="J46" s="108"/>
      <c r="K46" s="200" t="str">
        <f>IF(water_in[[#This Row],[Month]]&lt;&gt;"",VLOOKUP(water_in[[#This Row],[Month]],dropdown!$S$4:$T$15,2,FALSE),"")</f>
        <v/>
      </c>
      <c r="L46" s="108"/>
      <c r="M46" s="110"/>
      <c r="N46" s="111"/>
      <c r="O46" s="44"/>
      <c r="P46" s="107" t="str">
        <f t="shared" si="1"/>
        <v/>
      </c>
      <c r="Q46" s="108"/>
      <c r="R46" s="199" t="str">
        <f>IF(water_out[[#This Row],[Month]]&lt;&gt;"",VLOOKUP(water_out[[#This Row],[Month]],dropdown!$S$4:$T$15,2,FALSE),"")</f>
        <v/>
      </c>
      <c r="S46" s="209"/>
      <c r="T46" s="110"/>
      <c r="U46" s="211"/>
      <c r="W46" s="31"/>
    </row>
    <row r="47" spans="9:23" ht="14" x14ac:dyDescent="0.2">
      <c r="I47" s="107" t="str">
        <f t="shared" si="0"/>
        <v/>
      </c>
      <c r="J47" s="108"/>
      <c r="K47" s="200" t="str">
        <f>IF(water_in[[#This Row],[Month]]&lt;&gt;"",VLOOKUP(water_in[[#This Row],[Month]],dropdown!$S$4:$T$15,2,FALSE),"")</f>
        <v/>
      </c>
      <c r="L47" s="108"/>
      <c r="M47" s="110"/>
      <c r="N47" s="111"/>
      <c r="O47" s="44"/>
      <c r="P47" s="107" t="str">
        <f t="shared" si="1"/>
        <v/>
      </c>
      <c r="Q47" s="108"/>
      <c r="R47" s="199" t="str">
        <f>IF(water_out[[#This Row],[Month]]&lt;&gt;"",VLOOKUP(water_out[[#This Row],[Month]],dropdown!$S$4:$T$15,2,FALSE),"")</f>
        <v/>
      </c>
      <c r="S47" s="209"/>
      <c r="T47" s="110"/>
      <c r="U47" s="211"/>
      <c r="W47" s="31"/>
    </row>
    <row r="48" spans="9:23" ht="14" x14ac:dyDescent="0.2">
      <c r="I48" s="107" t="str">
        <f t="shared" si="0"/>
        <v/>
      </c>
      <c r="J48" s="108"/>
      <c r="K48" s="200" t="str">
        <f>IF(water_in[[#This Row],[Month]]&lt;&gt;"",VLOOKUP(water_in[[#This Row],[Month]],dropdown!$S$4:$T$15,2,FALSE),"")</f>
        <v/>
      </c>
      <c r="L48" s="108"/>
      <c r="M48" s="110"/>
      <c r="N48" s="111"/>
      <c r="O48" s="44"/>
      <c r="P48" s="107" t="str">
        <f t="shared" si="1"/>
        <v/>
      </c>
      <c r="Q48" s="108"/>
      <c r="R48" s="199" t="str">
        <f>IF(water_out[[#This Row],[Month]]&lt;&gt;"",VLOOKUP(water_out[[#This Row],[Month]],dropdown!$S$4:$T$15,2,FALSE),"")</f>
        <v/>
      </c>
      <c r="S48" s="209"/>
      <c r="T48" s="110"/>
      <c r="U48" s="211"/>
      <c r="W48" s="31"/>
    </row>
    <row r="49" spans="9:23" ht="14" x14ac:dyDescent="0.2">
      <c r="I49" s="107" t="str">
        <f t="shared" si="0"/>
        <v/>
      </c>
      <c r="J49" s="108"/>
      <c r="K49" s="200" t="str">
        <f>IF(water_in[[#This Row],[Month]]&lt;&gt;"",VLOOKUP(water_in[[#This Row],[Month]],dropdown!$S$4:$T$15,2,FALSE),"")</f>
        <v/>
      </c>
      <c r="L49" s="108"/>
      <c r="M49" s="110"/>
      <c r="N49" s="111"/>
      <c r="O49" s="44"/>
      <c r="P49" s="107" t="str">
        <f t="shared" si="1"/>
        <v/>
      </c>
      <c r="Q49" s="108"/>
      <c r="R49" s="199" t="str">
        <f>IF(water_out[[#This Row],[Month]]&lt;&gt;"",VLOOKUP(water_out[[#This Row],[Month]],dropdown!$S$4:$T$15,2,FALSE),"")</f>
        <v/>
      </c>
      <c r="S49" s="209"/>
      <c r="T49" s="110"/>
      <c r="U49" s="211"/>
      <c r="W49" s="31"/>
    </row>
    <row r="50" spans="9:23" ht="14" x14ac:dyDescent="0.2">
      <c r="I50" s="107" t="str">
        <f t="shared" si="0"/>
        <v/>
      </c>
      <c r="J50" s="108"/>
      <c r="K50" s="200" t="str">
        <f>IF(water_in[[#This Row],[Month]]&lt;&gt;"",VLOOKUP(water_in[[#This Row],[Month]],dropdown!$S$4:$T$15,2,FALSE),"")</f>
        <v/>
      </c>
      <c r="L50" s="108"/>
      <c r="M50" s="110"/>
      <c r="N50" s="111"/>
      <c r="O50" s="44"/>
      <c r="P50" s="107" t="str">
        <f t="shared" si="1"/>
        <v/>
      </c>
      <c r="Q50" s="108"/>
      <c r="R50" s="199" t="str">
        <f>IF(water_out[[#This Row],[Month]]&lt;&gt;"",VLOOKUP(water_out[[#This Row],[Month]],dropdown!$S$4:$T$15,2,FALSE),"")</f>
        <v/>
      </c>
      <c r="S50" s="209"/>
      <c r="T50" s="110"/>
      <c r="U50" s="211"/>
      <c r="W50" s="31"/>
    </row>
    <row r="51" spans="9:23" ht="14" x14ac:dyDescent="0.2">
      <c r="I51" s="107" t="str">
        <f t="shared" si="0"/>
        <v/>
      </c>
      <c r="J51" s="108"/>
      <c r="K51" s="200" t="str">
        <f>IF(water_in[[#This Row],[Month]]&lt;&gt;"",VLOOKUP(water_in[[#This Row],[Month]],dropdown!$S$4:$T$15,2,FALSE),"")</f>
        <v/>
      </c>
      <c r="L51" s="108"/>
      <c r="M51" s="110"/>
      <c r="N51" s="111"/>
      <c r="O51" s="44"/>
      <c r="P51" s="107" t="str">
        <f t="shared" si="1"/>
        <v/>
      </c>
      <c r="Q51" s="108"/>
      <c r="R51" s="199" t="str">
        <f>IF(water_out[[#This Row],[Month]]&lt;&gt;"",VLOOKUP(water_out[[#This Row],[Month]],dropdown!$S$4:$T$15,2,FALSE),"")</f>
        <v/>
      </c>
      <c r="S51" s="209"/>
      <c r="T51" s="110"/>
      <c r="U51" s="211"/>
      <c r="W51" s="31"/>
    </row>
    <row r="52" spans="9:23" ht="14" x14ac:dyDescent="0.2">
      <c r="I52" s="107" t="str">
        <f t="shared" si="0"/>
        <v/>
      </c>
      <c r="J52" s="108"/>
      <c r="K52" s="200" t="str">
        <f>IF(water_in[[#This Row],[Month]]&lt;&gt;"",VLOOKUP(water_in[[#This Row],[Month]],dropdown!$S$4:$T$15,2,FALSE),"")</f>
        <v/>
      </c>
      <c r="L52" s="108"/>
      <c r="M52" s="110"/>
      <c r="N52" s="111"/>
      <c r="O52" s="44"/>
      <c r="P52" s="107" t="str">
        <f t="shared" si="1"/>
        <v/>
      </c>
      <c r="Q52" s="108"/>
      <c r="R52" s="199" t="str">
        <f>IF(water_out[[#This Row],[Month]]&lt;&gt;"",VLOOKUP(water_out[[#This Row],[Month]],dropdown!$S$4:$T$15,2,FALSE),"")</f>
        <v/>
      </c>
      <c r="S52" s="209"/>
      <c r="T52" s="110"/>
      <c r="U52" s="211"/>
      <c r="W52" s="31"/>
    </row>
    <row r="53" spans="9:23" ht="14" x14ac:dyDescent="0.2">
      <c r="I53" s="107" t="str">
        <f t="shared" si="0"/>
        <v/>
      </c>
      <c r="J53" s="108"/>
      <c r="K53" s="200" t="str">
        <f>IF(water_in[[#This Row],[Month]]&lt;&gt;"",VLOOKUP(water_in[[#This Row],[Month]],dropdown!$S$4:$T$15,2,FALSE),"")</f>
        <v/>
      </c>
      <c r="L53" s="108"/>
      <c r="M53" s="110"/>
      <c r="N53" s="111"/>
      <c r="O53" s="44"/>
      <c r="P53" s="107" t="str">
        <f t="shared" si="1"/>
        <v/>
      </c>
      <c r="Q53" s="108"/>
      <c r="R53" s="199" t="str">
        <f>IF(water_out[[#This Row],[Month]]&lt;&gt;"",VLOOKUP(water_out[[#This Row],[Month]],dropdown!$S$4:$T$15,2,FALSE),"")</f>
        <v/>
      </c>
      <c r="S53" s="209"/>
      <c r="T53" s="110"/>
      <c r="U53" s="211"/>
      <c r="W53" s="31"/>
    </row>
    <row r="54" spans="9:23" ht="14" x14ac:dyDescent="0.2">
      <c r="I54" s="107" t="str">
        <f t="shared" si="0"/>
        <v/>
      </c>
      <c r="J54" s="108"/>
      <c r="K54" s="200" t="str">
        <f>IF(water_in[[#This Row],[Month]]&lt;&gt;"",VLOOKUP(water_in[[#This Row],[Month]],dropdown!$S$4:$T$15,2,FALSE),"")</f>
        <v/>
      </c>
      <c r="L54" s="108"/>
      <c r="M54" s="110"/>
      <c r="N54" s="111"/>
      <c r="O54" s="44"/>
      <c r="P54" s="107" t="str">
        <f t="shared" si="1"/>
        <v/>
      </c>
      <c r="Q54" s="108"/>
      <c r="R54" s="199" t="str">
        <f>IF(water_out[[#This Row],[Month]]&lt;&gt;"",VLOOKUP(water_out[[#This Row],[Month]],dropdown!$S$4:$T$15,2,FALSE),"")</f>
        <v/>
      </c>
      <c r="S54" s="209"/>
      <c r="T54" s="110"/>
      <c r="U54" s="211"/>
      <c r="W54" s="31"/>
    </row>
    <row r="55" spans="9:23" ht="14" x14ac:dyDescent="0.2">
      <c r="I55" s="107" t="str">
        <f t="shared" si="0"/>
        <v/>
      </c>
      <c r="J55" s="108"/>
      <c r="K55" s="200" t="str">
        <f>IF(water_in[[#This Row],[Month]]&lt;&gt;"",VLOOKUP(water_in[[#This Row],[Month]],dropdown!$S$4:$T$15,2,FALSE),"")</f>
        <v/>
      </c>
      <c r="L55" s="108"/>
      <c r="M55" s="110"/>
      <c r="N55" s="111"/>
      <c r="O55" s="44"/>
      <c r="P55" s="107" t="str">
        <f t="shared" si="1"/>
        <v/>
      </c>
      <c r="Q55" s="108"/>
      <c r="R55" s="199" t="str">
        <f>IF(water_out[[#This Row],[Month]]&lt;&gt;"",VLOOKUP(water_out[[#This Row],[Month]],dropdown!$S$4:$T$15,2,FALSE),"")</f>
        <v/>
      </c>
      <c r="S55" s="209"/>
      <c r="T55" s="110"/>
      <c r="U55" s="211"/>
      <c r="W55" s="31"/>
    </row>
    <row r="56" spans="9:23" ht="14" x14ac:dyDescent="0.2">
      <c r="I56" s="107" t="str">
        <f t="shared" si="0"/>
        <v/>
      </c>
      <c r="J56" s="108"/>
      <c r="K56" s="200" t="str">
        <f>IF(water_in[[#This Row],[Month]]&lt;&gt;"",VLOOKUP(water_in[[#This Row],[Month]],dropdown!$S$4:$T$15,2,FALSE),"")</f>
        <v/>
      </c>
      <c r="L56" s="108"/>
      <c r="M56" s="110"/>
      <c r="N56" s="111"/>
      <c r="O56" s="44"/>
      <c r="P56" s="107" t="str">
        <f t="shared" si="1"/>
        <v/>
      </c>
      <c r="Q56" s="108"/>
      <c r="R56" s="199" t="str">
        <f>IF(water_out[[#This Row],[Month]]&lt;&gt;"",VLOOKUP(water_out[[#This Row],[Month]],dropdown!$S$4:$T$15,2,FALSE),"")</f>
        <v/>
      </c>
      <c r="S56" s="209"/>
      <c r="T56" s="110"/>
      <c r="U56" s="211"/>
      <c r="W56" s="31"/>
    </row>
    <row r="57" spans="9:23" ht="14" x14ac:dyDescent="0.2">
      <c r="I57" s="107" t="str">
        <f t="shared" si="0"/>
        <v/>
      </c>
      <c r="J57" s="108"/>
      <c r="K57" s="200" t="str">
        <f>IF(water_in[[#This Row],[Month]]&lt;&gt;"",VLOOKUP(water_in[[#This Row],[Month]],dropdown!$S$4:$T$15,2,FALSE),"")</f>
        <v/>
      </c>
      <c r="L57" s="108"/>
      <c r="M57" s="110"/>
      <c r="N57" s="111"/>
      <c r="O57" s="44"/>
      <c r="P57" s="107" t="str">
        <f t="shared" si="1"/>
        <v/>
      </c>
      <c r="Q57" s="108"/>
      <c r="R57" s="199" t="str">
        <f>IF(water_out[[#This Row],[Month]]&lt;&gt;"",VLOOKUP(water_out[[#This Row],[Month]],dropdown!$S$4:$T$15,2,FALSE),"")</f>
        <v/>
      </c>
      <c r="S57" s="209"/>
      <c r="T57" s="110"/>
      <c r="U57" s="211"/>
      <c r="W57" s="31"/>
    </row>
    <row r="58" spans="9:23" ht="14" x14ac:dyDescent="0.2">
      <c r="I58" s="107" t="str">
        <f t="shared" si="0"/>
        <v/>
      </c>
      <c r="J58" s="108"/>
      <c r="K58" s="200" t="str">
        <f>IF(water_in[[#This Row],[Month]]&lt;&gt;"",VLOOKUP(water_in[[#This Row],[Month]],dropdown!$S$4:$T$15,2,FALSE),"")</f>
        <v/>
      </c>
      <c r="L58" s="108"/>
      <c r="M58" s="110"/>
      <c r="N58" s="111"/>
      <c r="O58" s="44"/>
      <c r="P58" s="107" t="str">
        <f t="shared" si="1"/>
        <v/>
      </c>
      <c r="Q58" s="108"/>
      <c r="R58" s="199" t="str">
        <f>IF(water_out[[#This Row],[Month]]&lt;&gt;"",VLOOKUP(water_out[[#This Row],[Month]],dropdown!$S$4:$T$15,2,FALSE),"")</f>
        <v/>
      </c>
      <c r="S58" s="209"/>
      <c r="T58" s="110"/>
      <c r="U58" s="211"/>
      <c r="W58" s="31"/>
    </row>
    <row r="59" spans="9:23" ht="14" x14ac:dyDescent="0.2">
      <c r="I59" s="107" t="str">
        <f t="shared" si="0"/>
        <v/>
      </c>
      <c r="J59" s="108"/>
      <c r="K59" s="200" t="str">
        <f>IF(water_in[[#This Row],[Month]]&lt;&gt;"",VLOOKUP(water_in[[#This Row],[Month]],dropdown!$S$4:$T$15,2,FALSE),"")</f>
        <v/>
      </c>
      <c r="L59" s="108"/>
      <c r="M59" s="110"/>
      <c r="N59" s="111"/>
      <c r="O59" s="44"/>
      <c r="P59" s="107" t="str">
        <f t="shared" si="1"/>
        <v/>
      </c>
      <c r="Q59" s="108"/>
      <c r="R59" s="199" t="str">
        <f>IF(water_out[[#This Row],[Month]]&lt;&gt;"",VLOOKUP(water_out[[#This Row],[Month]],dropdown!$S$4:$T$15,2,FALSE),"")</f>
        <v/>
      </c>
      <c r="S59" s="209"/>
      <c r="T59" s="110"/>
      <c r="U59" s="211"/>
      <c r="W59" s="31"/>
    </row>
    <row r="60" spans="9:23" ht="14" x14ac:dyDescent="0.2">
      <c r="I60" s="107" t="str">
        <f t="shared" si="0"/>
        <v/>
      </c>
      <c r="J60" s="108"/>
      <c r="K60" s="200" t="str">
        <f>IF(water_in[[#This Row],[Month]]&lt;&gt;"",VLOOKUP(water_in[[#This Row],[Month]],dropdown!$S$4:$T$15,2,FALSE),"")</f>
        <v/>
      </c>
      <c r="L60" s="108"/>
      <c r="M60" s="110"/>
      <c r="N60" s="111"/>
      <c r="O60" s="44"/>
      <c r="P60" s="107" t="str">
        <f t="shared" si="1"/>
        <v/>
      </c>
      <c r="Q60" s="108"/>
      <c r="R60" s="199" t="str">
        <f>IF(water_out[[#This Row],[Month]]&lt;&gt;"",VLOOKUP(water_out[[#This Row],[Month]],dropdown!$S$4:$T$15,2,FALSE),"")</f>
        <v/>
      </c>
      <c r="S60" s="209"/>
      <c r="T60" s="110"/>
      <c r="U60" s="211"/>
      <c r="W60" s="31"/>
    </row>
    <row r="61" spans="9:23" ht="14" x14ac:dyDescent="0.2">
      <c r="I61" s="107" t="str">
        <f t="shared" si="0"/>
        <v/>
      </c>
      <c r="J61" s="108"/>
      <c r="K61" s="200" t="str">
        <f>IF(water_in[[#This Row],[Month]]&lt;&gt;"",VLOOKUP(water_in[[#This Row],[Month]],dropdown!$S$4:$T$15,2,FALSE),"")</f>
        <v/>
      </c>
      <c r="L61" s="108"/>
      <c r="M61" s="110"/>
      <c r="N61" s="111"/>
      <c r="O61" s="44"/>
      <c r="P61" s="107" t="str">
        <f t="shared" si="1"/>
        <v/>
      </c>
      <c r="Q61" s="108"/>
      <c r="R61" s="199" t="str">
        <f>IF(water_out[[#This Row],[Month]]&lt;&gt;"",VLOOKUP(water_out[[#This Row],[Month]],dropdown!$S$4:$T$15,2,FALSE),"")</f>
        <v/>
      </c>
      <c r="S61" s="209"/>
      <c r="T61" s="110"/>
      <c r="U61" s="211"/>
      <c r="W61" s="31"/>
    </row>
    <row r="62" spans="9:23" ht="14" x14ac:dyDescent="0.2">
      <c r="I62" s="107" t="str">
        <f t="shared" si="0"/>
        <v/>
      </c>
      <c r="J62" s="108"/>
      <c r="K62" s="200" t="str">
        <f>IF(water_in[[#This Row],[Month]]&lt;&gt;"",VLOOKUP(water_in[[#This Row],[Month]],dropdown!$S$4:$T$15,2,FALSE),"")</f>
        <v/>
      </c>
      <c r="L62" s="108"/>
      <c r="M62" s="110"/>
      <c r="N62" s="111"/>
      <c r="O62" s="44"/>
      <c r="P62" s="107" t="str">
        <f t="shared" si="1"/>
        <v/>
      </c>
      <c r="Q62" s="108"/>
      <c r="R62" s="199" t="str">
        <f>IF(water_out[[#This Row],[Month]]&lt;&gt;"",VLOOKUP(water_out[[#This Row],[Month]],dropdown!$S$4:$T$15,2,FALSE),"")</f>
        <v/>
      </c>
      <c r="S62" s="209"/>
      <c r="T62" s="110"/>
      <c r="U62" s="211"/>
      <c r="W62" s="31"/>
    </row>
    <row r="63" spans="9:23" ht="14" x14ac:dyDescent="0.2">
      <c r="I63" s="107" t="str">
        <f t="shared" si="0"/>
        <v/>
      </c>
      <c r="J63" s="108"/>
      <c r="K63" s="200" t="str">
        <f>IF(water_in[[#This Row],[Month]]&lt;&gt;"",VLOOKUP(water_in[[#This Row],[Month]],dropdown!$S$4:$T$15,2,FALSE),"")</f>
        <v/>
      </c>
      <c r="L63" s="108"/>
      <c r="M63" s="110"/>
      <c r="N63" s="111"/>
      <c r="O63" s="44"/>
      <c r="P63" s="107" t="str">
        <f t="shared" si="1"/>
        <v/>
      </c>
      <c r="Q63" s="108"/>
      <c r="R63" s="199" t="str">
        <f>IF(water_out[[#This Row],[Month]]&lt;&gt;"",VLOOKUP(water_out[[#This Row],[Month]],dropdown!$S$4:$T$15,2,FALSE),"")</f>
        <v/>
      </c>
      <c r="S63" s="209"/>
      <c r="T63" s="110"/>
      <c r="U63" s="211"/>
      <c r="W63" s="31"/>
    </row>
    <row r="64" spans="9:23" ht="14" x14ac:dyDescent="0.2">
      <c r="I64" s="107" t="str">
        <f t="shared" si="0"/>
        <v/>
      </c>
      <c r="J64" s="108"/>
      <c r="K64" s="200" t="str">
        <f>IF(water_in[[#This Row],[Month]]&lt;&gt;"",VLOOKUP(water_in[[#This Row],[Month]],dropdown!$S$4:$T$15,2,FALSE),"")</f>
        <v/>
      </c>
      <c r="L64" s="108"/>
      <c r="M64" s="110"/>
      <c r="N64" s="111"/>
      <c r="O64" s="44"/>
      <c r="P64" s="107" t="str">
        <f t="shared" si="1"/>
        <v/>
      </c>
      <c r="Q64" s="108"/>
      <c r="R64" s="199" t="str">
        <f>IF(water_out[[#This Row],[Month]]&lt;&gt;"",VLOOKUP(water_out[[#This Row],[Month]],dropdown!$S$4:$T$15,2,FALSE),"")</f>
        <v/>
      </c>
      <c r="S64" s="209"/>
      <c r="T64" s="110"/>
      <c r="U64" s="211"/>
      <c r="W64" s="31"/>
    </row>
    <row r="65" spans="9:23" ht="14" x14ac:dyDescent="0.2">
      <c r="I65" s="107" t="str">
        <f t="shared" si="0"/>
        <v/>
      </c>
      <c r="J65" s="108"/>
      <c r="K65" s="200" t="str">
        <f>IF(water_in[[#This Row],[Month]]&lt;&gt;"",VLOOKUP(water_in[[#This Row],[Month]],dropdown!$S$4:$T$15,2,FALSE),"")</f>
        <v/>
      </c>
      <c r="L65" s="108"/>
      <c r="M65" s="110"/>
      <c r="N65" s="111"/>
      <c r="O65" s="44"/>
      <c r="P65" s="107" t="str">
        <f t="shared" si="1"/>
        <v/>
      </c>
      <c r="Q65" s="108"/>
      <c r="R65" s="199" t="str">
        <f>IF(water_out[[#This Row],[Month]]&lt;&gt;"",VLOOKUP(water_out[[#This Row],[Month]],dropdown!$S$4:$T$15,2,FALSE),"")</f>
        <v/>
      </c>
      <c r="S65" s="209"/>
      <c r="T65" s="110"/>
      <c r="U65" s="211"/>
      <c r="W65" s="31"/>
    </row>
    <row r="66" spans="9:23" ht="14" x14ac:dyDescent="0.2">
      <c r="I66" s="107" t="str">
        <f t="shared" si="0"/>
        <v/>
      </c>
      <c r="J66" s="108"/>
      <c r="K66" s="200" t="str">
        <f>IF(water_in[[#This Row],[Month]]&lt;&gt;"",VLOOKUP(water_in[[#This Row],[Month]],dropdown!$S$4:$T$15,2,FALSE),"")</f>
        <v/>
      </c>
      <c r="L66" s="108"/>
      <c r="M66" s="110"/>
      <c r="N66" s="111"/>
      <c r="O66" s="44"/>
      <c r="P66" s="107" t="str">
        <f t="shared" si="1"/>
        <v/>
      </c>
      <c r="Q66" s="108"/>
      <c r="R66" s="199" t="str">
        <f>IF(water_out[[#This Row],[Month]]&lt;&gt;"",VLOOKUP(water_out[[#This Row],[Month]],dropdown!$S$4:$T$15,2,FALSE),"")</f>
        <v/>
      </c>
      <c r="S66" s="209"/>
      <c r="T66" s="110"/>
      <c r="U66" s="211"/>
      <c r="W66" s="31"/>
    </row>
    <row r="67" spans="9:23" ht="14" x14ac:dyDescent="0.2">
      <c r="I67" s="107" t="str">
        <f t="shared" si="0"/>
        <v/>
      </c>
      <c r="J67" s="108"/>
      <c r="K67" s="200" t="str">
        <f>IF(water_in[[#This Row],[Month]]&lt;&gt;"",VLOOKUP(water_in[[#This Row],[Month]],dropdown!$S$4:$T$15,2,FALSE),"")</f>
        <v/>
      </c>
      <c r="L67" s="108"/>
      <c r="M67" s="110"/>
      <c r="N67" s="111"/>
      <c r="O67" s="44"/>
      <c r="P67" s="107" t="str">
        <f t="shared" si="1"/>
        <v/>
      </c>
      <c r="Q67" s="108"/>
      <c r="R67" s="199" t="str">
        <f>IF(water_out[[#This Row],[Month]]&lt;&gt;"",VLOOKUP(water_out[[#This Row],[Month]],dropdown!$S$4:$T$15,2,FALSE),"")</f>
        <v/>
      </c>
      <c r="S67" s="209"/>
      <c r="T67" s="110"/>
      <c r="U67" s="211"/>
      <c r="W67" s="31"/>
    </row>
    <row r="68" spans="9:23" ht="14" x14ac:dyDescent="0.2">
      <c r="I68" s="107" t="str">
        <f t="shared" si="0"/>
        <v/>
      </c>
      <c r="J68" s="108"/>
      <c r="K68" s="200" t="str">
        <f>IF(water_in[[#This Row],[Month]]&lt;&gt;"",VLOOKUP(water_in[[#This Row],[Month]],dropdown!$S$4:$T$15,2,FALSE),"")</f>
        <v/>
      </c>
      <c r="L68" s="108"/>
      <c r="M68" s="110"/>
      <c r="N68" s="111"/>
      <c r="O68" s="44"/>
      <c r="P68" s="107" t="str">
        <f t="shared" si="1"/>
        <v/>
      </c>
      <c r="Q68" s="108"/>
      <c r="R68" s="199" t="str">
        <f>IF(water_out[[#This Row],[Month]]&lt;&gt;"",VLOOKUP(water_out[[#This Row],[Month]],dropdown!$S$4:$T$15,2,FALSE),"")</f>
        <v/>
      </c>
      <c r="S68" s="209"/>
      <c r="T68" s="110"/>
      <c r="U68" s="211"/>
      <c r="W68" s="31"/>
    </row>
    <row r="69" spans="9:23" ht="14" x14ac:dyDescent="0.2">
      <c r="I69" s="107" t="str">
        <f t="shared" si="0"/>
        <v/>
      </c>
      <c r="J69" s="108"/>
      <c r="K69" s="200" t="str">
        <f>IF(water_in[[#This Row],[Month]]&lt;&gt;"",VLOOKUP(water_in[[#This Row],[Month]],dropdown!$S$4:$T$15,2,FALSE),"")</f>
        <v/>
      </c>
      <c r="L69" s="108"/>
      <c r="M69" s="110"/>
      <c r="N69" s="111"/>
      <c r="O69" s="44"/>
      <c r="P69" s="107" t="str">
        <f t="shared" si="1"/>
        <v/>
      </c>
      <c r="Q69" s="108"/>
      <c r="R69" s="199" t="str">
        <f>IF(water_out[[#This Row],[Month]]&lt;&gt;"",VLOOKUP(water_out[[#This Row],[Month]],dropdown!$S$4:$T$15,2,FALSE),"")</f>
        <v/>
      </c>
      <c r="S69" s="209"/>
      <c r="T69" s="110"/>
      <c r="U69" s="211"/>
      <c r="W69" s="31"/>
    </row>
    <row r="70" spans="9:23" ht="14" x14ac:dyDescent="0.2">
      <c r="I70" s="107" t="str">
        <f t="shared" si="0"/>
        <v/>
      </c>
      <c r="J70" s="108"/>
      <c r="K70" s="200" t="str">
        <f>IF(water_in[[#This Row],[Month]]&lt;&gt;"",VLOOKUP(water_in[[#This Row],[Month]],dropdown!$S$4:$T$15,2,FALSE),"")</f>
        <v/>
      </c>
      <c r="L70" s="108"/>
      <c r="M70" s="110"/>
      <c r="N70" s="111"/>
      <c r="O70" s="44"/>
      <c r="P70" s="107" t="str">
        <f t="shared" si="1"/>
        <v/>
      </c>
      <c r="Q70" s="108"/>
      <c r="R70" s="199" t="str">
        <f>IF(water_out[[#This Row],[Month]]&lt;&gt;"",VLOOKUP(water_out[[#This Row],[Month]],dropdown!$S$4:$T$15,2,FALSE),"")</f>
        <v/>
      </c>
      <c r="S70" s="209"/>
      <c r="T70" s="110"/>
      <c r="U70" s="211"/>
      <c r="W70" s="31"/>
    </row>
    <row r="71" spans="9:23" ht="14" x14ac:dyDescent="0.2">
      <c r="I71" s="107" t="str">
        <f t="shared" si="0"/>
        <v/>
      </c>
      <c r="J71" s="108"/>
      <c r="K71" s="200" t="str">
        <f>IF(water_in[[#This Row],[Month]]&lt;&gt;"",VLOOKUP(water_in[[#This Row],[Month]],dropdown!$S$4:$T$15,2,FALSE),"")</f>
        <v/>
      </c>
      <c r="L71" s="108"/>
      <c r="M71" s="110"/>
      <c r="N71" s="111"/>
      <c r="O71" s="44"/>
      <c r="P71" s="107" t="str">
        <f t="shared" si="1"/>
        <v/>
      </c>
      <c r="Q71" s="108"/>
      <c r="R71" s="199" t="str">
        <f>IF(water_out[[#This Row],[Month]]&lt;&gt;"",VLOOKUP(water_out[[#This Row],[Month]],dropdown!$S$4:$T$15,2,FALSE),"")</f>
        <v/>
      </c>
      <c r="S71" s="209"/>
      <c r="T71" s="110"/>
      <c r="U71" s="211"/>
      <c r="W71" s="31"/>
    </row>
    <row r="72" spans="9:23" ht="14" x14ac:dyDescent="0.2">
      <c r="I72" s="107" t="str">
        <f t="shared" si="0"/>
        <v/>
      </c>
      <c r="J72" s="108"/>
      <c r="K72" s="200" t="str">
        <f>IF(water_in[[#This Row],[Month]]&lt;&gt;"",VLOOKUP(water_in[[#This Row],[Month]],dropdown!$S$4:$T$15,2,FALSE),"")</f>
        <v/>
      </c>
      <c r="L72" s="108"/>
      <c r="M72" s="110"/>
      <c r="N72" s="111"/>
      <c r="O72" s="44"/>
      <c r="P72" s="107" t="str">
        <f t="shared" si="1"/>
        <v/>
      </c>
      <c r="Q72" s="108"/>
      <c r="R72" s="199" t="str">
        <f>IF(water_out[[#This Row],[Month]]&lt;&gt;"",VLOOKUP(water_out[[#This Row],[Month]],dropdown!$S$4:$T$15,2,FALSE),"")</f>
        <v/>
      </c>
      <c r="S72" s="209"/>
      <c r="T72" s="110"/>
      <c r="U72" s="211"/>
      <c r="W72" s="31"/>
    </row>
    <row r="73" spans="9:23" ht="14" x14ac:dyDescent="0.2">
      <c r="I73" s="107" t="str">
        <f t="shared" si="0"/>
        <v/>
      </c>
      <c r="J73" s="108"/>
      <c r="K73" s="200" t="str">
        <f>IF(water_in[[#This Row],[Month]]&lt;&gt;"",VLOOKUP(water_in[[#This Row],[Month]],dropdown!$S$4:$T$15,2,FALSE),"")</f>
        <v/>
      </c>
      <c r="L73" s="108"/>
      <c r="M73" s="110"/>
      <c r="N73" s="111"/>
      <c r="O73" s="44"/>
      <c r="P73" s="107" t="str">
        <f t="shared" si="1"/>
        <v/>
      </c>
      <c r="Q73" s="108"/>
      <c r="R73" s="199" t="str">
        <f>IF(water_out[[#This Row],[Month]]&lt;&gt;"",VLOOKUP(water_out[[#This Row],[Month]],dropdown!$S$4:$T$15,2,FALSE),"")</f>
        <v/>
      </c>
      <c r="S73" s="209"/>
      <c r="T73" s="110"/>
      <c r="U73" s="211"/>
      <c r="W73" s="31"/>
    </row>
    <row r="74" spans="9:23" ht="14" x14ac:dyDescent="0.2">
      <c r="I74" s="107" t="str">
        <f t="shared" ref="I74:I107" si="2">IF($M74="","",$I73+1)</f>
        <v/>
      </c>
      <c r="J74" s="108"/>
      <c r="K74" s="200" t="str">
        <f>IF(water_in[[#This Row],[Month]]&lt;&gt;"",VLOOKUP(water_in[[#This Row],[Month]],dropdown!$S$4:$T$15,2,FALSE),"")</f>
        <v/>
      </c>
      <c r="L74" s="108"/>
      <c r="M74" s="110"/>
      <c r="N74" s="111"/>
      <c r="O74" s="44"/>
      <c r="P74" s="107" t="str">
        <f t="shared" ref="P74:P107" si="3">IF($T74="","",$P73+1)</f>
        <v/>
      </c>
      <c r="Q74" s="108"/>
      <c r="R74" s="199" t="str">
        <f>IF(water_out[[#This Row],[Month]]&lt;&gt;"",VLOOKUP(water_out[[#This Row],[Month]],dropdown!$S$4:$T$15,2,FALSE),"")</f>
        <v/>
      </c>
      <c r="S74" s="209"/>
      <c r="T74" s="110"/>
      <c r="U74" s="211"/>
      <c r="W74" s="31"/>
    </row>
    <row r="75" spans="9:23" ht="14" x14ac:dyDescent="0.2">
      <c r="I75" s="107" t="str">
        <f t="shared" si="2"/>
        <v/>
      </c>
      <c r="J75" s="108"/>
      <c r="K75" s="200" t="str">
        <f>IF(water_in[[#This Row],[Month]]&lt;&gt;"",VLOOKUP(water_in[[#This Row],[Month]],dropdown!$S$4:$T$15,2,FALSE),"")</f>
        <v/>
      </c>
      <c r="L75" s="108"/>
      <c r="M75" s="110"/>
      <c r="N75" s="111"/>
      <c r="O75" s="44"/>
      <c r="P75" s="107" t="str">
        <f t="shared" si="3"/>
        <v/>
      </c>
      <c r="Q75" s="108"/>
      <c r="R75" s="199" t="str">
        <f>IF(water_out[[#This Row],[Month]]&lt;&gt;"",VLOOKUP(water_out[[#This Row],[Month]],dropdown!$S$4:$T$15,2,FALSE),"")</f>
        <v/>
      </c>
      <c r="S75" s="209"/>
      <c r="T75" s="110"/>
      <c r="U75" s="211"/>
      <c r="W75" s="31"/>
    </row>
    <row r="76" spans="9:23" ht="14" x14ac:dyDescent="0.2">
      <c r="I76" s="107" t="str">
        <f t="shared" si="2"/>
        <v/>
      </c>
      <c r="J76" s="108"/>
      <c r="K76" s="200" t="str">
        <f>IF(water_in[[#This Row],[Month]]&lt;&gt;"",VLOOKUP(water_in[[#This Row],[Month]],dropdown!$S$4:$T$15,2,FALSE),"")</f>
        <v/>
      </c>
      <c r="L76" s="108"/>
      <c r="M76" s="110"/>
      <c r="N76" s="111"/>
      <c r="O76" s="44"/>
      <c r="P76" s="107" t="str">
        <f t="shared" si="3"/>
        <v/>
      </c>
      <c r="Q76" s="108"/>
      <c r="R76" s="199" t="str">
        <f>IF(water_out[[#This Row],[Month]]&lt;&gt;"",VLOOKUP(water_out[[#This Row],[Month]],dropdown!$S$4:$T$15,2,FALSE),"")</f>
        <v/>
      </c>
      <c r="S76" s="209"/>
      <c r="T76" s="110"/>
      <c r="U76" s="211"/>
      <c r="W76" s="31"/>
    </row>
    <row r="77" spans="9:23" ht="14" x14ac:dyDescent="0.2">
      <c r="I77" s="107" t="str">
        <f t="shared" si="2"/>
        <v/>
      </c>
      <c r="J77" s="108"/>
      <c r="K77" s="200" t="str">
        <f>IF(water_in[[#This Row],[Month]]&lt;&gt;"",VLOOKUP(water_in[[#This Row],[Month]],dropdown!$S$4:$T$15,2,FALSE),"")</f>
        <v/>
      </c>
      <c r="L77" s="108"/>
      <c r="M77" s="110"/>
      <c r="N77" s="111"/>
      <c r="O77" s="44"/>
      <c r="P77" s="107" t="str">
        <f t="shared" si="3"/>
        <v/>
      </c>
      <c r="Q77" s="108"/>
      <c r="R77" s="199" t="str">
        <f>IF(water_out[[#This Row],[Month]]&lt;&gt;"",VLOOKUP(water_out[[#This Row],[Month]],dropdown!$S$4:$T$15,2,FALSE),"")</f>
        <v/>
      </c>
      <c r="S77" s="209"/>
      <c r="T77" s="110"/>
      <c r="U77" s="211"/>
      <c r="W77" s="31"/>
    </row>
    <row r="78" spans="9:23" ht="14" x14ac:dyDescent="0.2">
      <c r="I78" s="107" t="str">
        <f t="shared" si="2"/>
        <v/>
      </c>
      <c r="J78" s="108"/>
      <c r="K78" s="200" t="str">
        <f>IF(water_in[[#This Row],[Month]]&lt;&gt;"",VLOOKUP(water_in[[#This Row],[Month]],dropdown!$S$4:$T$15,2,FALSE),"")</f>
        <v/>
      </c>
      <c r="L78" s="108"/>
      <c r="M78" s="110"/>
      <c r="N78" s="111"/>
      <c r="O78" s="44"/>
      <c r="P78" s="107" t="str">
        <f t="shared" si="3"/>
        <v/>
      </c>
      <c r="Q78" s="108"/>
      <c r="R78" s="199" t="str">
        <f>IF(water_out[[#This Row],[Month]]&lt;&gt;"",VLOOKUP(water_out[[#This Row],[Month]],dropdown!$S$4:$T$15,2,FALSE),"")</f>
        <v/>
      </c>
      <c r="S78" s="209"/>
      <c r="T78" s="110"/>
      <c r="U78" s="211"/>
      <c r="W78" s="31"/>
    </row>
    <row r="79" spans="9:23" ht="14" x14ac:dyDescent="0.2">
      <c r="I79" s="107" t="str">
        <f t="shared" si="2"/>
        <v/>
      </c>
      <c r="J79" s="108"/>
      <c r="K79" s="200" t="str">
        <f>IF(water_in[[#This Row],[Month]]&lt;&gt;"",VLOOKUP(water_in[[#This Row],[Month]],dropdown!$S$4:$T$15,2,FALSE),"")</f>
        <v/>
      </c>
      <c r="L79" s="108"/>
      <c r="M79" s="110"/>
      <c r="N79" s="111"/>
      <c r="O79" s="44"/>
      <c r="P79" s="107" t="str">
        <f t="shared" si="3"/>
        <v/>
      </c>
      <c r="Q79" s="108"/>
      <c r="R79" s="199" t="str">
        <f>IF(water_out[[#This Row],[Month]]&lt;&gt;"",VLOOKUP(water_out[[#This Row],[Month]],dropdown!$S$4:$T$15,2,FALSE),"")</f>
        <v/>
      </c>
      <c r="S79" s="209"/>
      <c r="T79" s="110"/>
      <c r="U79" s="211"/>
      <c r="W79" s="31"/>
    </row>
    <row r="80" spans="9:23" ht="14" x14ac:dyDescent="0.2">
      <c r="I80" s="107" t="str">
        <f t="shared" si="2"/>
        <v/>
      </c>
      <c r="J80" s="108"/>
      <c r="K80" s="200" t="str">
        <f>IF(water_in[[#This Row],[Month]]&lt;&gt;"",VLOOKUP(water_in[[#This Row],[Month]],dropdown!$S$4:$T$15,2,FALSE),"")</f>
        <v/>
      </c>
      <c r="L80" s="108"/>
      <c r="M80" s="110"/>
      <c r="N80" s="111"/>
      <c r="O80" s="44"/>
      <c r="P80" s="107" t="str">
        <f t="shared" si="3"/>
        <v/>
      </c>
      <c r="Q80" s="108"/>
      <c r="R80" s="199" t="str">
        <f>IF(water_out[[#This Row],[Month]]&lt;&gt;"",VLOOKUP(water_out[[#This Row],[Month]],dropdown!$S$4:$T$15,2,FALSE),"")</f>
        <v/>
      </c>
      <c r="S80" s="209"/>
      <c r="T80" s="110"/>
      <c r="U80" s="211"/>
      <c r="W80" s="31"/>
    </row>
    <row r="81" spans="9:23" ht="14" x14ac:dyDescent="0.2">
      <c r="I81" s="107" t="str">
        <f t="shared" si="2"/>
        <v/>
      </c>
      <c r="J81" s="108"/>
      <c r="K81" s="200" t="str">
        <f>IF(water_in[[#This Row],[Month]]&lt;&gt;"",VLOOKUP(water_in[[#This Row],[Month]],dropdown!$S$4:$T$15,2,FALSE),"")</f>
        <v/>
      </c>
      <c r="L81" s="108"/>
      <c r="M81" s="110"/>
      <c r="N81" s="111"/>
      <c r="O81" s="44"/>
      <c r="P81" s="107" t="str">
        <f t="shared" si="3"/>
        <v/>
      </c>
      <c r="Q81" s="108"/>
      <c r="R81" s="199" t="str">
        <f>IF(water_out[[#This Row],[Month]]&lt;&gt;"",VLOOKUP(water_out[[#This Row],[Month]],dropdown!$S$4:$T$15,2,FALSE),"")</f>
        <v/>
      </c>
      <c r="S81" s="209"/>
      <c r="T81" s="110"/>
      <c r="U81" s="211"/>
      <c r="W81" s="31"/>
    </row>
    <row r="82" spans="9:23" ht="14" x14ac:dyDescent="0.2">
      <c r="I82" s="107" t="str">
        <f t="shared" si="2"/>
        <v/>
      </c>
      <c r="J82" s="108"/>
      <c r="K82" s="200" t="str">
        <f>IF(water_in[[#This Row],[Month]]&lt;&gt;"",VLOOKUP(water_in[[#This Row],[Month]],dropdown!$S$4:$T$15,2,FALSE),"")</f>
        <v/>
      </c>
      <c r="L82" s="108"/>
      <c r="M82" s="110"/>
      <c r="N82" s="111"/>
      <c r="O82" s="44"/>
      <c r="P82" s="107" t="str">
        <f t="shared" si="3"/>
        <v/>
      </c>
      <c r="Q82" s="108"/>
      <c r="R82" s="199" t="str">
        <f>IF(water_out[[#This Row],[Month]]&lt;&gt;"",VLOOKUP(water_out[[#This Row],[Month]],dropdown!$S$4:$T$15,2,FALSE),"")</f>
        <v/>
      </c>
      <c r="S82" s="209"/>
      <c r="T82" s="110"/>
      <c r="U82" s="211"/>
      <c r="W82" s="31"/>
    </row>
    <row r="83" spans="9:23" ht="14" x14ac:dyDescent="0.2">
      <c r="I83" s="107" t="str">
        <f t="shared" si="2"/>
        <v/>
      </c>
      <c r="J83" s="108"/>
      <c r="K83" s="200" t="str">
        <f>IF(water_in[[#This Row],[Month]]&lt;&gt;"",VLOOKUP(water_in[[#This Row],[Month]],dropdown!$S$4:$T$15,2,FALSE),"")</f>
        <v/>
      </c>
      <c r="L83" s="108"/>
      <c r="M83" s="110"/>
      <c r="N83" s="111"/>
      <c r="O83" s="44"/>
      <c r="P83" s="107" t="str">
        <f t="shared" si="3"/>
        <v/>
      </c>
      <c r="Q83" s="108"/>
      <c r="R83" s="199" t="str">
        <f>IF(water_out[[#This Row],[Month]]&lt;&gt;"",VLOOKUP(water_out[[#This Row],[Month]],dropdown!$S$4:$T$15,2,FALSE),"")</f>
        <v/>
      </c>
      <c r="S83" s="209"/>
      <c r="T83" s="110"/>
      <c r="U83" s="211"/>
      <c r="W83" s="31"/>
    </row>
    <row r="84" spans="9:23" ht="14" x14ac:dyDescent="0.2">
      <c r="I84" s="107" t="str">
        <f t="shared" si="2"/>
        <v/>
      </c>
      <c r="J84" s="108"/>
      <c r="K84" s="200" t="str">
        <f>IF(water_in[[#This Row],[Month]]&lt;&gt;"",VLOOKUP(water_in[[#This Row],[Month]],dropdown!$S$4:$T$15,2,FALSE),"")</f>
        <v/>
      </c>
      <c r="L84" s="108"/>
      <c r="M84" s="110"/>
      <c r="N84" s="111"/>
      <c r="O84" s="44"/>
      <c r="P84" s="107" t="str">
        <f t="shared" si="3"/>
        <v/>
      </c>
      <c r="Q84" s="108"/>
      <c r="R84" s="199" t="str">
        <f>IF(water_out[[#This Row],[Month]]&lt;&gt;"",VLOOKUP(water_out[[#This Row],[Month]],dropdown!$S$4:$T$15,2,FALSE),"")</f>
        <v/>
      </c>
      <c r="S84" s="209"/>
      <c r="T84" s="110"/>
      <c r="U84" s="211"/>
      <c r="W84" s="31"/>
    </row>
    <row r="85" spans="9:23" ht="14" x14ac:dyDescent="0.2">
      <c r="I85" s="107" t="str">
        <f t="shared" si="2"/>
        <v/>
      </c>
      <c r="J85" s="108"/>
      <c r="K85" s="200" t="str">
        <f>IF(water_in[[#This Row],[Month]]&lt;&gt;"",VLOOKUP(water_in[[#This Row],[Month]],dropdown!$S$4:$T$15,2,FALSE),"")</f>
        <v/>
      </c>
      <c r="L85" s="108"/>
      <c r="M85" s="110"/>
      <c r="N85" s="111"/>
      <c r="O85" s="44"/>
      <c r="P85" s="107" t="str">
        <f t="shared" si="3"/>
        <v/>
      </c>
      <c r="Q85" s="108"/>
      <c r="R85" s="199" t="str">
        <f>IF(water_out[[#This Row],[Month]]&lt;&gt;"",VLOOKUP(water_out[[#This Row],[Month]],dropdown!$S$4:$T$15,2,FALSE),"")</f>
        <v/>
      </c>
      <c r="S85" s="209"/>
      <c r="T85" s="110"/>
      <c r="U85" s="211"/>
      <c r="W85" s="31"/>
    </row>
    <row r="86" spans="9:23" ht="14" x14ac:dyDescent="0.2">
      <c r="I86" s="107" t="str">
        <f t="shared" si="2"/>
        <v/>
      </c>
      <c r="J86" s="108"/>
      <c r="K86" s="200" t="str">
        <f>IF(water_in[[#This Row],[Month]]&lt;&gt;"",VLOOKUP(water_in[[#This Row],[Month]],dropdown!$S$4:$T$15,2,FALSE),"")</f>
        <v/>
      </c>
      <c r="L86" s="108"/>
      <c r="M86" s="110"/>
      <c r="N86" s="111"/>
      <c r="O86" s="44"/>
      <c r="P86" s="107" t="str">
        <f t="shared" si="3"/>
        <v/>
      </c>
      <c r="Q86" s="108"/>
      <c r="R86" s="199" t="str">
        <f>IF(water_out[[#This Row],[Month]]&lt;&gt;"",VLOOKUP(water_out[[#This Row],[Month]],dropdown!$S$4:$T$15,2,FALSE),"")</f>
        <v/>
      </c>
      <c r="S86" s="209"/>
      <c r="T86" s="110"/>
      <c r="U86" s="211"/>
      <c r="W86" s="31"/>
    </row>
    <row r="87" spans="9:23" ht="14" x14ac:dyDescent="0.2">
      <c r="I87" s="107" t="str">
        <f t="shared" si="2"/>
        <v/>
      </c>
      <c r="J87" s="108"/>
      <c r="K87" s="200" t="str">
        <f>IF(water_in[[#This Row],[Month]]&lt;&gt;"",VLOOKUP(water_in[[#This Row],[Month]],dropdown!$S$4:$T$15,2,FALSE),"")</f>
        <v/>
      </c>
      <c r="L87" s="108"/>
      <c r="M87" s="110"/>
      <c r="N87" s="111"/>
      <c r="O87" s="44"/>
      <c r="P87" s="107" t="str">
        <f t="shared" si="3"/>
        <v/>
      </c>
      <c r="Q87" s="108"/>
      <c r="R87" s="199" t="str">
        <f>IF(water_out[[#This Row],[Month]]&lt;&gt;"",VLOOKUP(water_out[[#This Row],[Month]],dropdown!$S$4:$T$15,2,FALSE),"")</f>
        <v/>
      </c>
      <c r="S87" s="209"/>
      <c r="T87" s="110"/>
      <c r="U87" s="211"/>
      <c r="W87" s="31"/>
    </row>
    <row r="88" spans="9:23" ht="14" x14ac:dyDescent="0.2">
      <c r="I88" s="107" t="str">
        <f t="shared" si="2"/>
        <v/>
      </c>
      <c r="J88" s="108"/>
      <c r="K88" s="200" t="str">
        <f>IF(water_in[[#This Row],[Month]]&lt;&gt;"",VLOOKUP(water_in[[#This Row],[Month]],dropdown!$S$4:$T$15,2,FALSE),"")</f>
        <v/>
      </c>
      <c r="L88" s="108"/>
      <c r="M88" s="110"/>
      <c r="N88" s="111"/>
      <c r="O88" s="44"/>
      <c r="P88" s="107" t="str">
        <f t="shared" si="3"/>
        <v/>
      </c>
      <c r="Q88" s="108"/>
      <c r="R88" s="199" t="str">
        <f>IF(water_out[[#This Row],[Month]]&lt;&gt;"",VLOOKUP(water_out[[#This Row],[Month]],dropdown!$S$4:$T$15,2,FALSE),"")</f>
        <v/>
      </c>
      <c r="S88" s="209"/>
      <c r="T88" s="110"/>
      <c r="U88" s="211"/>
      <c r="W88" s="31"/>
    </row>
    <row r="89" spans="9:23" ht="14" x14ac:dyDescent="0.2">
      <c r="I89" s="107" t="str">
        <f t="shared" si="2"/>
        <v/>
      </c>
      <c r="J89" s="108"/>
      <c r="K89" s="200" t="str">
        <f>IF(water_in[[#This Row],[Month]]&lt;&gt;"",VLOOKUP(water_in[[#This Row],[Month]],dropdown!$S$4:$T$15,2,FALSE),"")</f>
        <v/>
      </c>
      <c r="L89" s="108"/>
      <c r="M89" s="110"/>
      <c r="N89" s="111"/>
      <c r="O89" s="44"/>
      <c r="P89" s="107" t="str">
        <f t="shared" si="3"/>
        <v/>
      </c>
      <c r="Q89" s="108"/>
      <c r="R89" s="199" t="str">
        <f>IF(water_out[[#This Row],[Month]]&lt;&gt;"",VLOOKUP(water_out[[#This Row],[Month]],dropdown!$S$4:$T$15,2,FALSE),"")</f>
        <v/>
      </c>
      <c r="S89" s="209"/>
      <c r="T89" s="110"/>
      <c r="U89" s="211"/>
      <c r="W89" s="31"/>
    </row>
    <row r="90" spans="9:23" ht="14" x14ac:dyDescent="0.2">
      <c r="I90" s="107" t="str">
        <f t="shared" si="2"/>
        <v/>
      </c>
      <c r="J90" s="108"/>
      <c r="K90" s="200" t="str">
        <f>IF(water_in[[#This Row],[Month]]&lt;&gt;"",VLOOKUP(water_in[[#This Row],[Month]],dropdown!$S$4:$T$15,2,FALSE),"")</f>
        <v/>
      </c>
      <c r="L90" s="108"/>
      <c r="M90" s="110"/>
      <c r="N90" s="111"/>
      <c r="O90" s="44"/>
      <c r="P90" s="107" t="str">
        <f t="shared" si="3"/>
        <v/>
      </c>
      <c r="Q90" s="108"/>
      <c r="R90" s="199" t="str">
        <f>IF(water_out[[#This Row],[Month]]&lt;&gt;"",VLOOKUP(water_out[[#This Row],[Month]],dropdown!$S$4:$T$15,2,FALSE),"")</f>
        <v/>
      </c>
      <c r="S90" s="209"/>
      <c r="T90" s="110"/>
      <c r="U90" s="211"/>
      <c r="W90" s="31"/>
    </row>
    <row r="91" spans="9:23" ht="14" x14ac:dyDescent="0.2">
      <c r="I91" s="107" t="str">
        <f t="shared" si="2"/>
        <v/>
      </c>
      <c r="J91" s="108"/>
      <c r="K91" s="200" t="str">
        <f>IF(water_in[[#This Row],[Month]]&lt;&gt;"",VLOOKUP(water_in[[#This Row],[Month]],dropdown!$S$4:$T$15,2,FALSE),"")</f>
        <v/>
      </c>
      <c r="L91" s="108"/>
      <c r="M91" s="110"/>
      <c r="N91" s="111"/>
      <c r="O91" s="44"/>
      <c r="P91" s="107" t="str">
        <f t="shared" si="3"/>
        <v/>
      </c>
      <c r="Q91" s="108"/>
      <c r="R91" s="199" t="str">
        <f>IF(water_out[[#This Row],[Month]]&lt;&gt;"",VLOOKUP(water_out[[#This Row],[Month]],dropdown!$S$4:$T$15,2,FALSE),"")</f>
        <v/>
      </c>
      <c r="S91" s="209"/>
      <c r="T91" s="110"/>
      <c r="U91" s="211"/>
      <c r="W91" s="31"/>
    </row>
    <row r="92" spans="9:23" ht="14" x14ac:dyDescent="0.2">
      <c r="I92" s="107" t="str">
        <f t="shared" si="2"/>
        <v/>
      </c>
      <c r="J92" s="108"/>
      <c r="K92" s="200" t="str">
        <f>IF(water_in[[#This Row],[Month]]&lt;&gt;"",VLOOKUP(water_in[[#This Row],[Month]],dropdown!$S$4:$T$15,2,FALSE),"")</f>
        <v/>
      </c>
      <c r="L92" s="108"/>
      <c r="M92" s="110"/>
      <c r="N92" s="111"/>
      <c r="O92" s="44"/>
      <c r="P92" s="107" t="str">
        <f t="shared" si="3"/>
        <v/>
      </c>
      <c r="Q92" s="108"/>
      <c r="R92" s="199" t="str">
        <f>IF(water_out[[#This Row],[Month]]&lt;&gt;"",VLOOKUP(water_out[[#This Row],[Month]],dropdown!$S$4:$T$15,2,FALSE),"")</f>
        <v/>
      </c>
      <c r="S92" s="209"/>
      <c r="T92" s="110"/>
      <c r="U92" s="211"/>
      <c r="W92" s="31"/>
    </row>
    <row r="93" spans="9:23" ht="14" x14ac:dyDescent="0.2">
      <c r="I93" s="107" t="str">
        <f t="shared" si="2"/>
        <v/>
      </c>
      <c r="J93" s="108"/>
      <c r="K93" s="200" t="str">
        <f>IF(water_in[[#This Row],[Month]]&lt;&gt;"",VLOOKUP(water_in[[#This Row],[Month]],dropdown!$S$4:$T$15,2,FALSE),"")</f>
        <v/>
      </c>
      <c r="L93" s="108"/>
      <c r="M93" s="110"/>
      <c r="N93" s="111"/>
      <c r="O93" s="44"/>
      <c r="P93" s="107" t="str">
        <f t="shared" si="3"/>
        <v/>
      </c>
      <c r="Q93" s="108"/>
      <c r="R93" s="199" t="str">
        <f>IF(water_out[[#This Row],[Month]]&lt;&gt;"",VLOOKUP(water_out[[#This Row],[Month]],dropdown!$S$4:$T$15,2,FALSE),"")</f>
        <v/>
      </c>
      <c r="S93" s="209"/>
      <c r="T93" s="110"/>
      <c r="U93" s="211"/>
      <c r="W93" s="31"/>
    </row>
    <row r="94" spans="9:23" ht="14" x14ac:dyDescent="0.2">
      <c r="I94" s="107" t="str">
        <f t="shared" si="2"/>
        <v/>
      </c>
      <c r="J94" s="108"/>
      <c r="K94" s="200" t="str">
        <f>IF(water_in[[#This Row],[Month]]&lt;&gt;"",VLOOKUP(water_in[[#This Row],[Month]],dropdown!$S$4:$T$15,2,FALSE),"")</f>
        <v/>
      </c>
      <c r="L94" s="108"/>
      <c r="M94" s="110"/>
      <c r="N94" s="111"/>
      <c r="O94" s="44"/>
      <c r="P94" s="107" t="str">
        <f t="shared" si="3"/>
        <v/>
      </c>
      <c r="Q94" s="108"/>
      <c r="R94" s="199" t="str">
        <f>IF(water_out[[#This Row],[Month]]&lt;&gt;"",VLOOKUP(water_out[[#This Row],[Month]],dropdown!$S$4:$T$15,2,FALSE),"")</f>
        <v/>
      </c>
      <c r="S94" s="209"/>
      <c r="T94" s="110"/>
      <c r="U94" s="211"/>
      <c r="W94" s="31"/>
    </row>
    <row r="95" spans="9:23" ht="14" x14ac:dyDescent="0.2">
      <c r="I95" s="107" t="str">
        <f t="shared" si="2"/>
        <v/>
      </c>
      <c r="J95" s="108"/>
      <c r="K95" s="200" t="str">
        <f>IF(water_in[[#This Row],[Month]]&lt;&gt;"",VLOOKUP(water_in[[#This Row],[Month]],dropdown!$S$4:$T$15,2,FALSE),"")</f>
        <v/>
      </c>
      <c r="L95" s="108"/>
      <c r="M95" s="110"/>
      <c r="N95" s="111"/>
      <c r="O95" s="44"/>
      <c r="P95" s="107" t="str">
        <f t="shared" si="3"/>
        <v/>
      </c>
      <c r="Q95" s="108"/>
      <c r="R95" s="199" t="str">
        <f>IF(water_out[[#This Row],[Month]]&lt;&gt;"",VLOOKUP(water_out[[#This Row],[Month]],dropdown!$S$4:$T$15,2,FALSE),"")</f>
        <v/>
      </c>
      <c r="S95" s="209"/>
      <c r="T95" s="110"/>
      <c r="U95" s="211"/>
      <c r="W95" s="31"/>
    </row>
    <row r="96" spans="9:23" ht="14" x14ac:dyDescent="0.2">
      <c r="I96" s="107" t="str">
        <f t="shared" si="2"/>
        <v/>
      </c>
      <c r="J96" s="108"/>
      <c r="K96" s="200" t="str">
        <f>IF(water_in[[#This Row],[Month]]&lt;&gt;"",VLOOKUP(water_in[[#This Row],[Month]],dropdown!$S$4:$T$15,2,FALSE),"")</f>
        <v/>
      </c>
      <c r="L96" s="108"/>
      <c r="M96" s="110"/>
      <c r="N96" s="111"/>
      <c r="O96" s="44"/>
      <c r="P96" s="107" t="str">
        <f t="shared" si="3"/>
        <v/>
      </c>
      <c r="Q96" s="108"/>
      <c r="R96" s="199" t="str">
        <f>IF(water_out[[#This Row],[Month]]&lt;&gt;"",VLOOKUP(water_out[[#This Row],[Month]],dropdown!$S$4:$T$15,2,FALSE),"")</f>
        <v/>
      </c>
      <c r="S96" s="209"/>
      <c r="T96" s="110"/>
      <c r="U96" s="211"/>
      <c r="W96" s="31"/>
    </row>
    <row r="97" spans="9:23" ht="14" x14ac:dyDescent="0.2">
      <c r="I97" s="107" t="str">
        <f t="shared" si="2"/>
        <v/>
      </c>
      <c r="J97" s="108"/>
      <c r="K97" s="200" t="str">
        <f>IF(water_in[[#This Row],[Month]]&lt;&gt;"",VLOOKUP(water_in[[#This Row],[Month]],dropdown!$S$4:$T$15,2,FALSE),"")</f>
        <v/>
      </c>
      <c r="L97" s="108"/>
      <c r="M97" s="110"/>
      <c r="N97" s="111"/>
      <c r="O97" s="44"/>
      <c r="P97" s="107" t="str">
        <f t="shared" si="3"/>
        <v/>
      </c>
      <c r="Q97" s="108"/>
      <c r="R97" s="199" t="str">
        <f>IF(water_out[[#This Row],[Month]]&lt;&gt;"",VLOOKUP(water_out[[#This Row],[Month]],dropdown!$S$4:$T$15,2,FALSE),"")</f>
        <v/>
      </c>
      <c r="S97" s="209"/>
      <c r="T97" s="110"/>
      <c r="U97" s="211"/>
      <c r="W97" s="31"/>
    </row>
    <row r="98" spans="9:23" ht="14" x14ac:dyDescent="0.2">
      <c r="I98" s="107" t="str">
        <f t="shared" si="2"/>
        <v/>
      </c>
      <c r="J98" s="108"/>
      <c r="K98" s="200" t="str">
        <f>IF(water_in[[#This Row],[Month]]&lt;&gt;"",VLOOKUP(water_in[[#This Row],[Month]],dropdown!$S$4:$T$15,2,FALSE),"")</f>
        <v/>
      </c>
      <c r="L98" s="108"/>
      <c r="M98" s="110"/>
      <c r="N98" s="111"/>
      <c r="O98" s="44"/>
      <c r="P98" s="107" t="str">
        <f t="shared" si="3"/>
        <v/>
      </c>
      <c r="Q98" s="108"/>
      <c r="R98" s="199" t="str">
        <f>IF(water_out[[#This Row],[Month]]&lt;&gt;"",VLOOKUP(water_out[[#This Row],[Month]],dropdown!$S$4:$T$15,2,FALSE),"")</f>
        <v/>
      </c>
      <c r="S98" s="209"/>
      <c r="T98" s="110"/>
      <c r="U98" s="211"/>
      <c r="W98" s="31"/>
    </row>
    <row r="99" spans="9:23" ht="14" x14ac:dyDescent="0.2">
      <c r="I99" s="107" t="str">
        <f t="shared" si="2"/>
        <v/>
      </c>
      <c r="J99" s="108"/>
      <c r="K99" s="200" t="str">
        <f>IF(water_in[[#This Row],[Month]]&lt;&gt;"",VLOOKUP(water_in[[#This Row],[Month]],dropdown!$S$4:$T$15,2,FALSE),"")</f>
        <v/>
      </c>
      <c r="L99" s="108"/>
      <c r="M99" s="110"/>
      <c r="N99" s="111"/>
      <c r="O99" s="44"/>
      <c r="P99" s="107" t="str">
        <f t="shared" si="3"/>
        <v/>
      </c>
      <c r="Q99" s="108"/>
      <c r="R99" s="199" t="str">
        <f>IF(water_out[[#This Row],[Month]]&lt;&gt;"",VLOOKUP(water_out[[#This Row],[Month]],dropdown!$S$4:$T$15,2,FALSE),"")</f>
        <v/>
      </c>
      <c r="S99" s="209"/>
      <c r="T99" s="110"/>
      <c r="U99" s="211"/>
      <c r="W99" s="31"/>
    </row>
    <row r="100" spans="9:23" ht="14" x14ac:dyDescent="0.2">
      <c r="I100" s="107" t="str">
        <f t="shared" si="2"/>
        <v/>
      </c>
      <c r="J100" s="108"/>
      <c r="K100" s="200" t="str">
        <f>IF(water_in[[#This Row],[Month]]&lt;&gt;"",VLOOKUP(water_in[[#This Row],[Month]],dropdown!$S$4:$T$15,2,FALSE),"")</f>
        <v/>
      </c>
      <c r="L100" s="108"/>
      <c r="M100" s="110"/>
      <c r="N100" s="111"/>
      <c r="O100" s="44"/>
      <c r="P100" s="107" t="str">
        <f t="shared" si="3"/>
        <v/>
      </c>
      <c r="Q100" s="108"/>
      <c r="R100" s="199" t="str">
        <f>IF(water_out[[#This Row],[Month]]&lt;&gt;"",VLOOKUP(water_out[[#This Row],[Month]],dropdown!$S$4:$T$15,2,FALSE),"")</f>
        <v/>
      </c>
      <c r="S100" s="209"/>
      <c r="T100" s="110"/>
      <c r="U100" s="211"/>
      <c r="W100" s="31"/>
    </row>
    <row r="101" spans="9:23" ht="14" x14ac:dyDescent="0.2">
      <c r="I101" s="107" t="str">
        <f t="shared" si="2"/>
        <v/>
      </c>
      <c r="J101" s="108"/>
      <c r="K101" s="200" t="str">
        <f>IF(water_in[[#This Row],[Month]]&lt;&gt;"",VLOOKUP(water_in[[#This Row],[Month]],dropdown!$S$4:$T$15,2,FALSE),"")</f>
        <v/>
      </c>
      <c r="L101" s="108"/>
      <c r="M101" s="110"/>
      <c r="N101" s="111"/>
      <c r="O101" s="44"/>
      <c r="P101" s="107" t="str">
        <f t="shared" si="3"/>
        <v/>
      </c>
      <c r="Q101" s="108"/>
      <c r="R101" s="199" t="str">
        <f>IF(water_out[[#This Row],[Month]]&lt;&gt;"",VLOOKUP(water_out[[#This Row],[Month]],dropdown!$S$4:$T$15,2,FALSE),"")</f>
        <v/>
      </c>
      <c r="S101" s="209"/>
      <c r="T101" s="110"/>
      <c r="U101" s="211"/>
      <c r="W101" s="31"/>
    </row>
    <row r="102" spans="9:23" ht="14" x14ac:dyDescent="0.2">
      <c r="I102" s="107" t="str">
        <f t="shared" si="2"/>
        <v/>
      </c>
      <c r="J102" s="108"/>
      <c r="K102" s="200" t="str">
        <f>IF(water_in[[#This Row],[Month]]&lt;&gt;"",VLOOKUP(water_in[[#This Row],[Month]],dropdown!$S$4:$T$15,2,FALSE),"")</f>
        <v/>
      </c>
      <c r="L102" s="108"/>
      <c r="M102" s="110"/>
      <c r="N102" s="111"/>
      <c r="O102" s="44"/>
      <c r="P102" s="107" t="str">
        <f t="shared" si="3"/>
        <v/>
      </c>
      <c r="Q102" s="108"/>
      <c r="R102" s="199" t="str">
        <f>IF(water_out[[#This Row],[Month]]&lt;&gt;"",VLOOKUP(water_out[[#This Row],[Month]],dropdown!$S$4:$T$15,2,FALSE),"")</f>
        <v/>
      </c>
      <c r="S102" s="209"/>
      <c r="T102" s="110"/>
      <c r="U102" s="211"/>
      <c r="W102" s="31"/>
    </row>
    <row r="103" spans="9:23" ht="14" x14ac:dyDescent="0.2">
      <c r="I103" s="107" t="str">
        <f t="shared" si="2"/>
        <v/>
      </c>
      <c r="J103" s="108"/>
      <c r="K103" s="200" t="str">
        <f>IF(water_in[[#This Row],[Month]]&lt;&gt;"",VLOOKUP(water_in[[#This Row],[Month]],dropdown!$S$4:$T$15,2,FALSE),"")</f>
        <v/>
      </c>
      <c r="L103" s="108"/>
      <c r="M103" s="110"/>
      <c r="N103" s="111"/>
      <c r="O103" s="44"/>
      <c r="P103" s="107" t="str">
        <f t="shared" si="3"/>
        <v/>
      </c>
      <c r="Q103" s="108"/>
      <c r="R103" s="199" t="str">
        <f>IF(water_out[[#This Row],[Month]]&lt;&gt;"",VLOOKUP(water_out[[#This Row],[Month]],dropdown!$S$4:$T$15,2,FALSE),"")</f>
        <v/>
      </c>
      <c r="S103" s="209"/>
      <c r="T103" s="110"/>
      <c r="U103" s="211"/>
      <c r="W103" s="31"/>
    </row>
    <row r="104" spans="9:23" ht="14" x14ac:dyDescent="0.2">
      <c r="I104" s="107" t="str">
        <f t="shared" si="2"/>
        <v/>
      </c>
      <c r="J104" s="108"/>
      <c r="K104" s="200" t="str">
        <f>IF(water_in[[#This Row],[Month]]&lt;&gt;"",VLOOKUP(water_in[[#This Row],[Month]],dropdown!$S$4:$T$15,2,FALSE),"")</f>
        <v/>
      </c>
      <c r="L104" s="108"/>
      <c r="M104" s="110"/>
      <c r="N104" s="111"/>
      <c r="O104" s="44"/>
      <c r="P104" s="107" t="str">
        <f t="shared" si="3"/>
        <v/>
      </c>
      <c r="Q104" s="108"/>
      <c r="R104" s="199" t="str">
        <f>IF(water_out[[#This Row],[Month]]&lt;&gt;"",VLOOKUP(water_out[[#This Row],[Month]],dropdown!$S$4:$T$15,2,FALSE),"")</f>
        <v/>
      </c>
      <c r="S104" s="209"/>
      <c r="T104" s="110"/>
      <c r="U104" s="211"/>
      <c r="W104" s="31"/>
    </row>
    <row r="105" spans="9:23" ht="14" x14ac:dyDescent="0.2">
      <c r="I105" s="107" t="str">
        <f t="shared" si="2"/>
        <v/>
      </c>
      <c r="J105" s="108"/>
      <c r="K105" s="200" t="str">
        <f>IF(water_in[[#This Row],[Month]]&lt;&gt;"",VLOOKUP(water_in[[#This Row],[Month]],dropdown!$S$4:$T$15,2,FALSE),"")</f>
        <v/>
      </c>
      <c r="L105" s="108"/>
      <c r="M105" s="110"/>
      <c r="N105" s="111"/>
      <c r="O105" s="44"/>
      <c r="P105" s="107" t="str">
        <f t="shared" si="3"/>
        <v/>
      </c>
      <c r="Q105" s="108"/>
      <c r="R105" s="199" t="str">
        <f>IF(water_out[[#This Row],[Month]]&lt;&gt;"",VLOOKUP(water_out[[#This Row],[Month]],dropdown!$S$4:$T$15,2,FALSE),"")</f>
        <v/>
      </c>
      <c r="S105" s="209"/>
      <c r="T105" s="110"/>
      <c r="U105" s="211"/>
      <c r="W105" s="31"/>
    </row>
    <row r="106" spans="9:23" ht="14" x14ac:dyDescent="0.2">
      <c r="I106" s="107" t="str">
        <f t="shared" si="2"/>
        <v/>
      </c>
      <c r="J106" s="108"/>
      <c r="K106" s="200" t="str">
        <f>IF(water_in[[#This Row],[Month]]&lt;&gt;"",VLOOKUP(water_in[[#This Row],[Month]],dropdown!$S$4:$T$15,2,FALSE),"")</f>
        <v/>
      </c>
      <c r="L106" s="108"/>
      <c r="M106" s="110"/>
      <c r="N106" s="111"/>
      <c r="O106" s="44"/>
      <c r="P106" s="107" t="str">
        <f t="shared" si="3"/>
        <v/>
      </c>
      <c r="Q106" s="108"/>
      <c r="R106" s="199" t="str">
        <f>IF(water_out[[#This Row],[Month]]&lt;&gt;"",VLOOKUP(water_out[[#This Row],[Month]],dropdown!$S$4:$T$15,2,FALSE),"")</f>
        <v/>
      </c>
      <c r="S106" s="209"/>
      <c r="T106" s="110"/>
      <c r="U106" s="211"/>
      <c r="W106" s="31"/>
    </row>
    <row r="107" spans="9:23" ht="14" x14ac:dyDescent="0.2">
      <c r="I107" s="107" t="str">
        <f t="shared" si="2"/>
        <v/>
      </c>
      <c r="J107" s="113"/>
      <c r="K107" s="200" t="str">
        <f>IF(water_in[[#This Row],[Month]]&lt;&gt;"",VLOOKUP(water_in[[#This Row],[Month]],dropdown!$S$4:$T$15,2,FALSE),"")</f>
        <v/>
      </c>
      <c r="L107" s="113"/>
      <c r="M107" s="115"/>
      <c r="N107" s="116"/>
      <c r="O107" s="44"/>
      <c r="P107" s="107" t="str">
        <f t="shared" si="3"/>
        <v/>
      </c>
      <c r="Q107" s="113"/>
      <c r="R107" s="199" t="str">
        <f>IF(water_out[[#This Row],[Month]]&lt;&gt;"",VLOOKUP(water_out[[#This Row],[Month]],dropdown!$S$4:$T$15,2,FALSE),"")</f>
        <v/>
      </c>
      <c r="S107" s="210"/>
      <c r="T107" s="115"/>
      <c r="U107" s="212"/>
      <c r="W107" s="31"/>
    </row>
    <row r="109" spans="9:23" ht="14" x14ac:dyDescent="0.2">
      <c r="I109" s="117" t="s">
        <v>184</v>
      </c>
    </row>
  </sheetData>
  <sheetProtection algorithmName="SHA-512" hashValue="dqJiSYdej1ISdNKrHLmtfNEq41nZcwYecGhQdKJKGEjDxUZ75ffDptTBzT35nri9zgfakp02UnTXzXs9CAutJw==" saltValue="qd0HQ2bdnfpEZghVfIoAjA==" spinCount="100000" sheet="1" objects="1" scenarios="1" selectLockedCells="1"/>
  <protectedRanges>
    <protectedRange sqref="J7:J107 L7:L107 M7:M107 N7:N107 Q7:Q107 S7:U107 Q8:Q13 T8:T13" name="Range1"/>
    <protectedRange sqref="N8:N13" name="Range1_1"/>
    <protectedRange sqref="S8" name="Range1_2"/>
    <protectedRange sqref="S9:S13" name="Range1_3"/>
    <protectedRange sqref="U8" name="Range1_4"/>
    <protectedRange sqref="U9:U13" name="Range1_5"/>
  </protectedRanges>
  <mergeCells count="2">
    <mergeCell ref="C6:G6"/>
    <mergeCell ref="C7:G7"/>
  </mergeCell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700-000000000000}">
          <x14:formula1>
            <xm:f>dropdown!$AG$4:$AG$7</xm:f>
          </x14:formula1>
          <xm:sqref>S8</xm:sqref>
        </x14:dataValidation>
        <x14:dataValidation type="list" allowBlank="1" showInputMessage="1" showErrorMessage="1" xr:uid="{00000000-0002-0000-0700-000001000000}">
          <x14:formula1>
            <xm:f>dropdown!$S$4:$S$15</xm:f>
          </x14:formula1>
          <xm:sqref>J8:J107 Q8:Q107</xm:sqref>
        </x14:dataValidation>
        <x14:dataValidation type="list" allowBlank="1" showInputMessage="1" showErrorMessage="1" xr:uid="{00000000-0002-0000-0700-000002000000}">
          <x14:formula1>
            <xm:f>dropdown!$AE$4:$AE$8</xm:f>
          </x14:formula1>
          <xm:sqref>L8:L107</xm:sqref>
        </x14:dataValidation>
        <x14:dataValidation type="list" allowBlank="1" showInputMessage="1" showErrorMessage="1" xr:uid="{00000000-0002-0000-0700-000003000000}">
          <x14:formula1>
            <xm:f>dropdown!$AG$4:$AG$6</xm:f>
          </x14:formula1>
          <xm:sqref>S9:S26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FF00"/>
  </sheetPr>
  <dimension ref="B2:Q30"/>
  <sheetViews>
    <sheetView showGridLines="0" zoomScale="117" zoomScaleNormal="117" workbookViewId="0">
      <pane ySplit="8" topLeftCell="A11" activePane="bottomLeft" state="frozen"/>
      <selection pane="bottomLeft" activeCell="B6" sqref="B6:E8"/>
    </sheetView>
  </sheetViews>
  <sheetFormatPr baseColWidth="10" defaultColWidth="10.83203125" defaultRowHeight="14" x14ac:dyDescent="0.2"/>
  <cols>
    <col min="1" max="1" width="2.6640625" style="31" customWidth="1"/>
    <col min="2" max="2" width="18" style="35" customWidth="1"/>
    <col min="3" max="3" width="12.33203125" style="35" customWidth="1"/>
    <col min="4" max="4" width="15.83203125" style="35" customWidth="1"/>
    <col min="5" max="5" width="12.1640625" style="35" customWidth="1"/>
    <col min="6" max="7" width="11.6640625" style="35" customWidth="1"/>
    <col min="8" max="8" width="6.6640625" style="31" customWidth="1"/>
    <col min="9" max="9" width="12.1640625" style="34" customWidth="1"/>
    <col min="10" max="10" width="22.5" style="31" customWidth="1"/>
    <col min="11" max="11" width="17" style="40" customWidth="1"/>
    <col min="12" max="12" width="21.33203125" style="41" customWidth="1"/>
    <col min="13" max="13" width="21.33203125" style="42" customWidth="1"/>
    <col min="14" max="14" width="20.1640625" style="43" customWidth="1"/>
    <col min="15" max="15" width="23.6640625" style="31" customWidth="1"/>
    <col min="16" max="16" width="4.6640625" style="31" customWidth="1"/>
    <col min="17" max="17" width="10.83203125" style="45"/>
    <col min="18" max="16384" width="10.83203125" style="31"/>
  </cols>
  <sheetData>
    <row r="2" spans="2:15" ht="19" x14ac:dyDescent="0.25">
      <c r="B2" s="66" t="s">
        <v>30</v>
      </c>
      <c r="C2" s="67"/>
      <c r="D2" s="67"/>
      <c r="E2" s="67"/>
      <c r="F2" s="67"/>
      <c r="G2" s="68"/>
      <c r="I2" s="136" t="s">
        <v>259</v>
      </c>
      <c r="J2" s="137"/>
      <c r="K2" s="138"/>
      <c r="L2" s="139"/>
      <c r="M2" s="140"/>
      <c r="N2" s="141"/>
      <c r="O2" s="142"/>
    </row>
    <row r="3" spans="2:15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143" t="s">
        <v>260</v>
      </c>
      <c r="J3" s="144"/>
      <c r="K3" s="145"/>
      <c r="L3" s="146"/>
      <c r="M3" s="147"/>
      <c r="N3" s="148"/>
      <c r="O3" s="149"/>
    </row>
    <row r="4" spans="2:15" x14ac:dyDescent="0.2">
      <c r="B4" s="73" t="str">
        <f>'1. Data Info and Summary'!$D$2</f>
        <v>Mindanao Regional Office</v>
      </c>
      <c r="C4" s="74"/>
      <c r="D4" s="75">
        <f>'1. Data Info and Summary'!$D$3</f>
        <v>2025</v>
      </c>
      <c r="E4" s="74"/>
      <c r="F4" s="74" t="s">
        <v>261</v>
      </c>
      <c r="G4" s="76"/>
      <c r="I4" s="150" t="s">
        <v>262</v>
      </c>
      <c r="O4" s="151"/>
    </row>
    <row r="5" spans="2:15" x14ac:dyDescent="0.2">
      <c r="B5" s="46"/>
      <c r="D5" s="46"/>
      <c r="I5" s="152" t="s">
        <v>263</v>
      </c>
      <c r="O5" s="151"/>
    </row>
    <row r="6" spans="2:15" x14ac:dyDescent="0.2">
      <c r="B6" s="77" t="s">
        <v>264</v>
      </c>
      <c r="C6" s="118"/>
      <c r="D6" s="77" t="s">
        <v>265</v>
      </c>
      <c r="E6" s="118"/>
      <c r="I6" s="153" t="s">
        <v>266</v>
      </c>
      <c r="J6" s="154"/>
      <c r="K6" s="155"/>
      <c r="L6" s="156"/>
      <c r="M6" s="157"/>
      <c r="N6" s="158"/>
      <c r="O6" s="159"/>
    </row>
    <row r="7" spans="2:15" x14ac:dyDescent="0.2">
      <c r="B7" s="77" t="s">
        <v>267</v>
      </c>
      <c r="C7" s="118"/>
      <c r="D7" s="77" t="s">
        <v>267</v>
      </c>
      <c r="E7" s="118"/>
      <c r="I7" s="46"/>
    </row>
    <row r="8" spans="2:15" x14ac:dyDescent="0.2">
      <c r="B8" s="77" t="s">
        <v>268</v>
      </c>
      <c r="C8" s="119"/>
      <c r="D8" s="77" t="s">
        <v>268</v>
      </c>
      <c r="E8" s="119"/>
      <c r="I8" s="46"/>
    </row>
    <row r="9" spans="2:15" x14ac:dyDescent="0.2">
      <c r="B9" s="120"/>
      <c r="C9" s="121"/>
      <c r="D9" s="120"/>
      <c r="E9" s="122"/>
      <c r="I9" s="46"/>
    </row>
    <row r="10" spans="2:15" ht="19" x14ac:dyDescent="0.25">
      <c r="B10" s="66" t="s">
        <v>269</v>
      </c>
      <c r="C10" s="67"/>
      <c r="D10" s="67"/>
      <c r="E10" s="67"/>
      <c r="F10" s="67"/>
      <c r="G10" s="68"/>
      <c r="I10" s="46"/>
    </row>
    <row r="11" spans="2:15" x14ac:dyDescent="0.2">
      <c r="I11" s="160" t="s">
        <v>270</v>
      </c>
    </row>
    <row r="12" spans="2:15" ht="15" x14ac:dyDescent="0.2">
      <c r="B12" s="123" t="s">
        <v>39</v>
      </c>
      <c r="C12"/>
      <c r="D12" s="123" t="s">
        <v>271</v>
      </c>
      <c r="E12" s="123"/>
      <c r="F12" s="123"/>
      <c r="G12"/>
      <c r="I12" s="161" t="s">
        <v>272</v>
      </c>
      <c r="J12" s="162" t="s">
        <v>273</v>
      </c>
      <c r="K12" s="162" t="s">
        <v>274</v>
      </c>
      <c r="L12" s="163" t="s">
        <v>275</v>
      </c>
      <c r="M12" s="164" t="s">
        <v>276</v>
      </c>
      <c r="N12" s="165" t="s">
        <v>277</v>
      </c>
      <c r="O12" s="166" t="s">
        <v>278</v>
      </c>
    </row>
    <row r="13" spans="2:15" ht="16" x14ac:dyDescent="0.2">
      <c r="B13" s="124" t="s">
        <v>181</v>
      </c>
      <c r="C13"/>
      <c r="D13" s="125">
        <v>1000</v>
      </c>
      <c r="E13" s="126"/>
      <c r="F13" s="127" t="s">
        <v>279</v>
      </c>
      <c r="G13"/>
      <c r="I13" s="167" t="s">
        <v>280</v>
      </c>
      <c r="J13" s="167" t="s">
        <v>281</v>
      </c>
      <c r="K13" s="168">
        <v>0.5</v>
      </c>
      <c r="L13" s="169">
        <f>IF(Waste_Gases[[#This Row],[Molar Fraction (%)]]=0,"",Waste_Gases[[#This Row],[Molar Fraction (%)]]*$D$15)</f>
        <v>2.0400000000000001E-2</v>
      </c>
      <c r="M13" s="170">
        <v>28.010400000000001</v>
      </c>
      <c r="N13" s="171">
        <f>Emission_Factors!$B$17/Waste_Gases[[#This Row],[Molecular Weight]]</f>
        <v>0.428805015280039</v>
      </c>
      <c r="O13" s="172">
        <f>IF(Waste_Gases[[#This Row],[Molar Fraction (%)]]=0,"",Waste_Gases[[#This Row],[Total Moles (kg-mole/m3)]]*Waste_Gases[[#This Row],[Molecular Weight]]*Waste_Gases[[#This Row],[Percent Carbon (%)]])</f>
        <v>0.2450244</v>
      </c>
    </row>
    <row r="14" spans="2:15" ht="15" x14ac:dyDescent="0.2">
      <c r="B14" s="128" t="s">
        <v>182</v>
      </c>
      <c r="C14"/>
      <c r="D14" s="123" t="s">
        <v>282</v>
      </c>
      <c r="E14" s="123"/>
      <c r="F14" s="123"/>
      <c r="G14"/>
      <c r="I14" s="167" t="s">
        <v>283</v>
      </c>
      <c r="J14" s="167" t="s">
        <v>284</v>
      </c>
      <c r="K14" s="168">
        <v>0.05</v>
      </c>
      <c r="L14" s="169">
        <f>IF(Waste_Gases[[#This Row],[Molar Fraction (%)]]=0,"",Waste_Gases[[#This Row],[Molar Fraction (%)]]*$D$15)</f>
        <v>2.0400000000000001E-3</v>
      </c>
      <c r="M14" s="170">
        <v>44.009799999999998</v>
      </c>
      <c r="N14" s="171">
        <f>Emission_Factors!$B$17/Waste_Gases[[#This Row],[Molecular Weight]]</f>
        <v>0.27291648678248898</v>
      </c>
      <c r="O14" s="172">
        <f>IF(Waste_Gases[[#This Row],[Molar Fraction (%)]]=0,"",Waste_Gases[[#This Row],[Total Moles (kg-mole/m3)]]*Waste_Gases[[#This Row],[Molecular Weight]]*Waste_Gases[[#This Row],[Percent Carbon (%)]])</f>
        <v>2.450244E-2</v>
      </c>
    </row>
    <row r="15" spans="2:15" ht="15" x14ac:dyDescent="0.2">
      <c r="B15" s="129" t="s">
        <v>183</v>
      </c>
      <c r="C15"/>
      <c r="D15" s="130">
        <v>4.0800000000000003E-2</v>
      </c>
      <c r="E15" s="131"/>
      <c r="F15" s="129" t="s">
        <v>285</v>
      </c>
      <c r="G15"/>
      <c r="I15" s="167" t="s">
        <v>286</v>
      </c>
      <c r="J15" s="167" t="s">
        <v>287</v>
      </c>
      <c r="K15" s="168">
        <v>0.02</v>
      </c>
      <c r="L15" s="169">
        <f>IF(Waste_Gases[[#This Row],[Molar Fraction (%)]]=0,"",Waste_Gases[[#This Row],[Molar Fraction (%)]]*$D$15)</f>
        <v>8.1599999999999999E-4</v>
      </c>
      <c r="M15" s="170">
        <v>16.0426</v>
      </c>
      <c r="N15" s="171">
        <f>Emission_Factors!$B$17/Waste_Gases[[#This Row],[Molecular Weight]]</f>
        <v>0.74869410195354902</v>
      </c>
      <c r="O15" s="172">
        <f>IF(Waste_Gases[[#This Row],[Molar Fraction (%)]]=0,"",Waste_Gases[[#This Row],[Total Moles (kg-mole/m3)]]*Waste_Gases[[#This Row],[Molecular Weight]]*Waste_Gases[[#This Row],[Percent Carbon (%)]])</f>
        <v>9.8009759999999994E-3</v>
      </c>
    </row>
    <row r="16" spans="2:15" x14ac:dyDescent="0.2">
      <c r="D16" s="132" t="str">
        <f>IF(SUM(D$14:D$15)&gt;0,"x","")</f>
        <v>x</v>
      </c>
      <c r="E16" s="132" t="str">
        <f>IF(SUM(E$14:E$15)&gt;0,"x","")</f>
        <v/>
      </c>
      <c r="F16" s="132" t="str">
        <f>IF(SUM(F$14:F$15)&gt;0,"x","")</f>
        <v/>
      </c>
      <c r="G16" s="132" t="str">
        <f>IF(SUM(G$14:G$15)&gt;0,"x","")</f>
        <v/>
      </c>
      <c r="I16" s="167" t="s">
        <v>288</v>
      </c>
      <c r="J16" s="167" t="s">
        <v>289</v>
      </c>
      <c r="K16" s="168">
        <v>0.21</v>
      </c>
      <c r="L16" s="169">
        <f>IF(Waste_Gases[[#This Row],[Molar Fraction (%)]]=0,"",Waste_Gases[[#This Row],[Molar Fraction (%)]]*$D$15)</f>
        <v>8.5679999999999992E-3</v>
      </c>
      <c r="M16" s="170">
        <v>26.037800000000001</v>
      </c>
      <c r="N16" s="171">
        <f>Emission_Factors!$B$17/Waste_Gases[[#This Row],[Molecular Weight]]</f>
        <v>0.46129089247171401</v>
      </c>
      <c r="O16" s="172">
        <f>IF(Waste_Gases[[#This Row],[Molar Fraction (%)]]=0,"",Waste_Gases[[#This Row],[Total Moles (kg-mole/m3)]]*Waste_Gases[[#This Row],[Molecular Weight]]*Waste_Gases[[#This Row],[Percent Carbon (%)]])</f>
        <v>0.102910248</v>
      </c>
    </row>
    <row r="17" spans="2:15" x14ac:dyDescent="0.2">
      <c r="B17" s="123" t="s">
        <v>290</v>
      </c>
      <c r="D17" s="123" t="s">
        <v>291</v>
      </c>
      <c r="E17" s="123"/>
      <c r="F17" s="123"/>
      <c r="I17" s="167" t="s">
        <v>292</v>
      </c>
      <c r="J17" s="167" t="s">
        <v>293</v>
      </c>
      <c r="K17" s="168">
        <v>0.01</v>
      </c>
      <c r="L17" s="173">
        <f>IF(Waste_Gases[[#This Row],[Molar Fraction (%)]]=0,"",Waste_Gases[[#This Row],[Molar Fraction (%)]]*$D$15)</f>
        <v>4.08E-4</v>
      </c>
      <c r="M17" s="170">
        <v>28.053599999999999</v>
      </c>
      <c r="N17" s="171">
        <f>Emission_Factors!$B$17/Waste_Gases[[#This Row],[Molecular Weight]]</f>
        <v>0.42814469444206799</v>
      </c>
      <c r="O17" s="172">
        <f>IF(Waste_Gases[[#This Row],[Molar Fraction (%)]]=0,"",Waste_Gases[[#This Row],[Total Moles (kg-mole/m3)]]*Waste_Gases[[#This Row],[Molecular Weight]]*Waste_Gases[[#This Row],[Percent Carbon (%)]])</f>
        <v>4.9004879999999997E-3</v>
      </c>
    </row>
    <row r="18" spans="2:15" ht="15" x14ac:dyDescent="0.2">
      <c r="B18" s="133">
        <f>($D$18*$O$30/100*($M$14/12.011))*$D$13</f>
        <v>14.185238736000001</v>
      </c>
      <c r="D18" s="134">
        <v>1</v>
      </c>
      <c r="E18" s="126"/>
      <c r="F18" s="127" t="s">
        <v>294</v>
      </c>
      <c r="I18" s="167" t="s">
        <v>295</v>
      </c>
      <c r="J18" s="167" t="s">
        <v>296</v>
      </c>
      <c r="K18" s="168">
        <v>0</v>
      </c>
      <c r="L18" s="173" t="str">
        <f>IF(Waste_Gases[[#This Row],[Molar Fraction (%)]]=0,"",Waste_Gases[[#This Row],[Molar Fraction (%)]]*$D$15)</f>
        <v/>
      </c>
      <c r="M18" s="170">
        <v>30.069400000000002</v>
      </c>
      <c r="N18" s="171">
        <f>Emission_Factors!$B$17/Waste_Gases[[#This Row],[Molecular Weight]]</f>
        <v>0.399442622732745</v>
      </c>
      <c r="O18" s="172" t="str">
        <f>IF(Waste_Gases[[#This Row],[Molar Fraction (%)]]=0,"",Waste_Gases[[#This Row],[Total Moles (kg-mole/m3)]]*Waste_Gases[[#This Row],[Molecular Weight]]*Waste_Gases[[#This Row],[Percent Carbon (%)]])</f>
        <v/>
      </c>
    </row>
    <row r="19" spans="2:15" ht="15" x14ac:dyDescent="0.2">
      <c r="B19"/>
      <c r="D19" s="135" t="s">
        <v>297</v>
      </c>
      <c r="I19" s="167" t="s">
        <v>298</v>
      </c>
      <c r="J19" s="167" t="s">
        <v>299</v>
      </c>
      <c r="K19" s="168">
        <v>0</v>
      </c>
      <c r="L19" s="173" t="str">
        <f>IF(Waste_Gases[[#This Row],[Molar Fraction (%)]]=0,"",Waste_Gases[[#This Row],[Molar Fraction (%)]]*$D$15)</f>
        <v/>
      </c>
      <c r="M19" s="170">
        <v>42.080399999999997</v>
      </c>
      <c r="N19" s="171">
        <f>Emission_Factors!$B$17/Waste_Gases[[#This Row],[Molecular Weight]]</f>
        <v>0.28542979629471199</v>
      </c>
      <c r="O19" s="172" t="str">
        <f>IF(Waste_Gases[[#This Row],[Molar Fraction (%)]]=0,"",Waste_Gases[[#This Row],[Total Moles (kg-mole/m3)]]*Waste_Gases[[#This Row],[Molecular Weight]]*Waste_Gases[[#This Row],[Percent Carbon (%)]])</f>
        <v/>
      </c>
    </row>
    <row r="20" spans="2:15" ht="15" x14ac:dyDescent="0.2">
      <c r="B20"/>
      <c r="I20" s="167" t="s">
        <v>300</v>
      </c>
      <c r="J20" s="167" t="s">
        <v>301</v>
      </c>
      <c r="K20" s="168">
        <v>0</v>
      </c>
      <c r="L20" s="173" t="str">
        <f>IF(Waste_Gases[[#This Row],[Molar Fraction (%)]]=0,"",Waste_Gases[[#This Row],[Molar Fraction (%)]]*$D$15)</f>
        <v/>
      </c>
      <c r="M20" s="170">
        <v>44.096200000000003</v>
      </c>
      <c r="N20" s="171">
        <f>Emission_Factors!$B$17/Waste_Gases[[#This Row],[Molecular Weight]]</f>
        <v>0.272381747180029</v>
      </c>
      <c r="O20" s="172" t="str">
        <f>IF(Waste_Gases[[#This Row],[Molar Fraction (%)]]=0,"",Waste_Gases[[#This Row],[Total Moles (kg-mole/m3)]]*Waste_Gases[[#This Row],[Molecular Weight]]*Waste_Gases[[#This Row],[Percent Carbon (%)]])</f>
        <v/>
      </c>
    </row>
    <row r="21" spans="2:15" ht="15" x14ac:dyDescent="0.2">
      <c r="B21"/>
      <c r="I21" s="167" t="s">
        <v>302</v>
      </c>
      <c r="J21" s="167" t="s">
        <v>303</v>
      </c>
      <c r="K21" s="168">
        <v>0</v>
      </c>
      <c r="L21" s="173" t="str">
        <f>IF(Waste_Gases[[#This Row],[Molar Fraction (%)]]=0,"",Waste_Gases[[#This Row],[Molar Fraction (%)]]*$D$15)</f>
        <v/>
      </c>
      <c r="M21" s="170">
        <v>58.122999999999998</v>
      </c>
      <c r="N21" s="171">
        <f>Emission_Factors!$B$17/Waste_Gases[[#This Row],[Molecular Weight]]</f>
        <v>0.206647970682862</v>
      </c>
      <c r="O21" s="172" t="str">
        <f>IF(Waste_Gases[[#This Row],[Molar Fraction (%)]]=0,"",Waste_Gases[[#This Row],[Total Moles (kg-mole/m3)]]*Waste_Gases[[#This Row],[Molecular Weight]]*Waste_Gases[[#This Row],[Percent Carbon (%)]])</f>
        <v/>
      </c>
    </row>
    <row r="22" spans="2:15" x14ac:dyDescent="0.2">
      <c r="I22" s="167" t="s">
        <v>304</v>
      </c>
      <c r="J22" s="167" t="s">
        <v>305</v>
      </c>
      <c r="K22" s="168">
        <v>0</v>
      </c>
      <c r="L22" s="173" t="str">
        <f>IF(Waste_Gases[[#This Row],[Molar Fraction (%)]]=0,"",Waste_Gases[[#This Row],[Molar Fraction (%)]]*$D$15)</f>
        <v/>
      </c>
      <c r="M22" s="170">
        <v>78.113399999999999</v>
      </c>
      <c r="N22" s="171">
        <f>Emission_Factors!$B$17/Waste_Gases[[#This Row],[Molecular Weight]]</f>
        <v>0.15376363082390501</v>
      </c>
      <c r="O22" s="172" t="str">
        <f>IF(Waste_Gases[[#This Row],[Molar Fraction (%)]]=0,"",Waste_Gases[[#This Row],[Total Moles (kg-mole/m3)]]*Waste_Gases[[#This Row],[Molecular Weight]]*Waste_Gases[[#This Row],[Percent Carbon (%)]])</f>
        <v/>
      </c>
    </row>
    <row r="23" spans="2:15" x14ac:dyDescent="0.2">
      <c r="I23" s="167" t="s">
        <v>306</v>
      </c>
      <c r="J23" s="167" t="s">
        <v>307</v>
      </c>
      <c r="K23" s="168">
        <v>0</v>
      </c>
      <c r="L23" s="173" t="str">
        <f>IF(Waste_Gases[[#This Row],[Molar Fraction (%)]]=0,"",Waste_Gases[[#This Row],[Molar Fraction (%)]]*$D$15)</f>
        <v/>
      </c>
      <c r="M23" s="170">
        <v>86.176599999999993</v>
      </c>
      <c r="N23" s="171">
        <f>Emission_Factors!$B$17/Waste_Gases[[#This Row],[Molecular Weight]]</f>
        <v>0.139376582506156</v>
      </c>
      <c r="O23" s="172" t="str">
        <f>IF(Waste_Gases[[#This Row],[Molar Fraction (%)]]=0,"",Waste_Gases[[#This Row],[Total Moles (kg-mole/m3)]]*Waste_Gases[[#This Row],[Molecular Weight]]*Waste_Gases[[#This Row],[Percent Carbon (%)]])</f>
        <v/>
      </c>
    </row>
    <row r="24" spans="2:15" x14ac:dyDescent="0.2">
      <c r="I24" s="167" t="s">
        <v>308</v>
      </c>
      <c r="J24" s="167" t="s">
        <v>309</v>
      </c>
      <c r="K24" s="168">
        <v>0</v>
      </c>
      <c r="L24" s="173" t="str">
        <f>IF(Waste_Gases[[#This Row],[Molar Fraction (%)]]=0,"",Waste_Gases[[#This Row],[Molar Fraction (%)]]*$D$15)</f>
        <v/>
      </c>
      <c r="M24" s="170">
        <v>92.140199999999993</v>
      </c>
      <c r="N24" s="171">
        <f>Emission_Factors!$B$17/Waste_Gases[[#This Row],[Molecular Weight]]</f>
        <v>0.13035569707901701</v>
      </c>
      <c r="O24" s="172" t="str">
        <f>IF(Waste_Gases[[#This Row],[Molar Fraction (%)]]=0,"",Waste_Gases[[#This Row],[Total Moles (kg-mole/m3)]]*Waste_Gases[[#This Row],[Molecular Weight]]*Waste_Gases[[#This Row],[Percent Carbon (%)]])</f>
        <v/>
      </c>
    </row>
    <row r="25" spans="2:15" x14ac:dyDescent="0.2">
      <c r="I25" s="167" t="s">
        <v>310</v>
      </c>
      <c r="J25" s="167" t="s">
        <v>311</v>
      </c>
      <c r="K25" s="168">
        <v>0</v>
      </c>
      <c r="L25" s="173" t="str">
        <f>IF(Waste_Gases[[#This Row],[Molar Fraction (%)]]=0,"",Waste_Gases[[#This Row],[Molar Fraction (%)]]*$D$15)</f>
        <v/>
      </c>
      <c r="M25" s="170">
        <v>114.2302</v>
      </c>
      <c r="N25" s="171">
        <f>Emission_Factors!$B$17/Waste_Gases[[#This Row],[Molecular Weight]]</f>
        <v>0.10514732531327101</v>
      </c>
      <c r="O25" s="172" t="str">
        <f>IF(Waste_Gases[[#This Row],[Molar Fraction (%)]]=0,"",Waste_Gases[[#This Row],[Total Moles (kg-mole/m3)]]*Waste_Gases[[#This Row],[Molecular Weight]]*Waste_Gases[[#This Row],[Percent Carbon (%)]])</f>
        <v/>
      </c>
    </row>
    <row r="26" spans="2:15" x14ac:dyDescent="0.2">
      <c r="I26" s="167" t="s">
        <v>312</v>
      </c>
      <c r="J26" s="167" t="s">
        <v>313</v>
      </c>
      <c r="K26" s="168">
        <v>0</v>
      </c>
      <c r="L26" s="173" t="str">
        <f>IF(Waste_Gases[[#This Row],[Molar Fraction (%)]]=0,"",Waste_Gases[[#This Row],[Molar Fraction (%)]]*$D$15)</f>
        <v/>
      </c>
      <c r="M26" s="170">
        <v>46.068800000000003</v>
      </c>
      <c r="N26" s="171">
        <f>Emission_Factors!$B$17/Waste_Gases[[#This Row],[Molecular Weight]]</f>
        <v>0.26071875108533299</v>
      </c>
      <c r="O26" s="172" t="str">
        <f>IF(Waste_Gases[[#This Row],[Molar Fraction (%)]]=0,"",Waste_Gases[[#This Row],[Total Moles (kg-mole/m3)]]*Waste_Gases[[#This Row],[Molecular Weight]]*Waste_Gases[[#This Row],[Percent Carbon (%)]])</f>
        <v/>
      </c>
    </row>
    <row r="27" spans="2:15" x14ac:dyDescent="0.2">
      <c r="I27" s="167" t="s">
        <v>314</v>
      </c>
      <c r="J27" s="167" t="s">
        <v>315</v>
      </c>
      <c r="K27" s="168">
        <v>0</v>
      </c>
      <c r="L27" s="173" t="str">
        <f>IF(Waste_Gases[[#This Row],[Molar Fraction (%)]]=0,"",Waste_Gases[[#This Row],[Molar Fraction (%)]]*$D$15)</f>
        <v/>
      </c>
      <c r="M27" s="170">
        <v>58.079799999999999</v>
      </c>
      <c r="N27" s="171">
        <f>Emission_Factors!$B$17/Waste_Gases[[#This Row],[Molecular Weight]]</f>
        <v>0.20680167631431201</v>
      </c>
      <c r="O27" s="172" t="str">
        <f>IF(Waste_Gases[[#This Row],[Molar Fraction (%)]]=0,"",Waste_Gases[[#This Row],[Total Moles (kg-mole/m3)]]*Waste_Gases[[#This Row],[Molecular Weight]]*Waste_Gases[[#This Row],[Percent Carbon (%)]])</f>
        <v/>
      </c>
    </row>
    <row r="28" spans="2:15" x14ac:dyDescent="0.2">
      <c r="I28" s="167" t="s">
        <v>316</v>
      </c>
      <c r="J28" s="167" t="s">
        <v>317</v>
      </c>
      <c r="K28" s="168">
        <v>0</v>
      </c>
      <c r="L28" s="173" t="str">
        <f>IF(Waste_Gases[[#This Row],[Molar Fraction (%)]]=0,"",Waste_Gases[[#This Row],[Molar Fraction (%)]]*$D$15)</f>
        <v/>
      </c>
      <c r="M28" s="170">
        <v>72.1066</v>
      </c>
      <c r="N28" s="171">
        <f>Emission_Factors!$B$17/Waste_Gases[[#This Row],[Molecular Weight]]</f>
        <v>0.16657282412428301</v>
      </c>
      <c r="O28" s="172" t="str">
        <f>IF(Waste_Gases[[#This Row],[Molar Fraction (%)]]=0,"",Waste_Gases[[#This Row],[Total Moles (kg-mole/m3)]]*Waste_Gases[[#This Row],[Molecular Weight]]*Waste_Gases[[#This Row],[Percent Carbon (%)]])</f>
        <v/>
      </c>
    </row>
    <row r="29" spans="2:15" x14ac:dyDescent="0.2">
      <c r="I29" s="167" t="s">
        <v>318</v>
      </c>
      <c r="J29" s="167"/>
      <c r="K29" s="174">
        <f>1-SUM(K13:K28)</f>
        <v>0.21</v>
      </c>
      <c r="L29" s="173">
        <f>IF(Waste_Gases[[#This Row],[Molar Fraction (%)]]=0,"",Waste_Gases[[#This Row],[Molar Fraction (%)]]*$D$15)</f>
        <v>8.5679999999999992E-3</v>
      </c>
      <c r="M29" s="175">
        <v>0</v>
      </c>
      <c r="N29" s="176">
        <v>0</v>
      </c>
      <c r="O29" s="177">
        <f>IF(Waste_Gases[[#This Row],[Molar Fraction (%)]]=0,"",Waste_Gases[[#This Row],[Total Moles (kg-mole/m3)]]*Waste_Gases[[#This Row],[Molecular Weight]]*Waste_Gases[[#This Row],[Percent Carbon (%)]])</f>
        <v>0</v>
      </c>
    </row>
    <row r="30" spans="2:15" x14ac:dyDescent="0.2">
      <c r="I30" s="178" t="s">
        <v>161</v>
      </c>
      <c r="J30" s="179"/>
      <c r="K30" s="180">
        <f>SUM(K13:K29)</f>
        <v>1</v>
      </c>
      <c r="L30" s="181">
        <f>SUM(L13:L29)</f>
        <v>4.0800000000000003E-2</v>
      </c>
      <c r="M30" s="182"/>
      <c r="N30" s="183"/>
      <c r="O30" s="184">
        <f>SUM(O13:O29)</f>
        <v>0.38713855200000002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9"/>
  </sheetPr>
  <dimension ref="B2:R106"/>
  <sheetViews>
    <sheetView showGridLines="0" workbookViewId="0">
      <selection activeCell="L16" sqref="L16"/>
    </sheetView>
  </sheetViews>
  <sheetFormatPr baseColWidth="10" defaultColWidth="10.83203125" defaultRowHeight="14" x14ac:dyDescent="0.2"/>
  <cols>
    <col min="1" max="1" width="2.6640625" style="31" customWidth="1"/>
    <col min="2" max="2" width="25.33203125" style="35" customWidth="1"/>
    <col min="3" max="3" width="14.83203125" style="35" customWidth="1"/>
    <col min="4" max="7" width="8.6640625" style="35" customWidth="1"/>
    <col min="8" max="8" width="3.5" style="35" customWidth="1"/>
    <col min="9" max="9" width="9" style="34" customWidth="1"/>
    <col min="10" max="10" width="15.5" style="40" customWidth="1"/>
    <col min="11" max="11" width="9.5" style="40" customWidth="1"/>
    <col min="12" max="12" width="19.6640625" style="31" customWidth="1"/>
    <col min="13" max="13" width="13.5" style="41" customWidth="1"/>
    <col min="14" max="14" width="24.33203125" style="31" customWidth="1"/>
    <col min="15" max="15" width="37" style="31" customWidth="1"/>
    <col min="16" max="16" width="3.1640625" style="31" customWidth="1"/>
    <col min="17" max="17" width="7.83203125" style="65" customWidth="1"/>
    <col min="18" max="18" width="10.83203125" style="44" customWidth="1"/>
    <col min="19" max="19" width="3.83203125" style="31" customWidth="1"/>
    <col min="20" max="16384" width="10.83203125" style="31"/>
  </cols>
  <sheetData>
    <row r="2" spans="2:17" ht="19" x14ac:dyDescent="0.25">
      <c r="B2" s="66" t="s">
        <v>30</v>
      </c>
      <c r="C2" s="67"/>
      <c r="D2" s="67"/>
      <c r="E2" s="67"/>
      <c r="F2" s="67"/>
      <c r="G2" s="68"/>
      <c r="I2" s="87" t="s">
        <v>319</v>
      </c>
      <c r="J2" s="88"/>
      <c r="K2" s="88"/>
      <c r="L2" s="89"/>
      <c r="M2" s="90"/>
      <c r="N2" s="89"/>
      <c r="O2" s="91"/>
      <c r="Q2" s="44"/>
    </row>
    <row r="3" spans="2:17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92"/>
      <c r="O3" s="93"/>
      <c r="Q3" s="44"/>
    </row>
    <row r="4" spans="2:17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2025</v>
      </c>
      <c r="E4" s="74"/>
      <c r="F4" s="74" t="s">
        <v>166</v>
      </c>
      <c r="G4" s="76"/>
      <c r="I4" s="94"/>
      <c r="J4" s="95"/>
      <c r="K4" s="95"/>
      <c r="L4" s="96"/>
      <c r="M4" s="97"/>
      <c r="N4" s="96"/>
      <c r="O4" s="98"/>
      <c r="Q4" s="44"/>
    </row>
    <row r="5" spans="2:17" x14ac:dyDescent="0.2">
      <c r="B5" s="38"/>
      <c r="C5" s="39"/>
      <c r="D5" s="38"/>
      <c r="E5" s="39"/>
      <c r="F5" s="39"/>
      <c r="G5" s="39"/>
      <c r="Q5" s="44"/>
    </row>
    <row r="6" spans="2:17" x14ac:dyDescent="0.2">
      <c r="B6" s="77" t="s">
        <v>173</v>
      </c>
      <c r="C6" s="445" t="s">
        <v>174</v>
      </c>
      <c r="D6" s="446"/>
      <c r="E6" s="446"/>
      <c r="F6" s="446"/>
      <c r="G6" s="447"/>
      <c r="I6" s="99" t="s">
        <v>320</v>
      </c>
      <c r="J6" s="100"/>
      <c r="K6" s="100"/>
      <c r="L6" s="100"/>
      <c r="M6" s="101"/>
      <c r="N6" s="100"/>
      <c r="O6" s="100"/>
      <c r="Q6" s="44"/>
    </row>
    <row r="7" spans="2:17" ht="25.5" customHeight="1" x14ac:dyDescent="0.2">
      <c r="B7" s="77" t="s">
        <v>176</v>
      </c>
      <c r="C7" s="448">
        <v>45911</v>
      </c>
      <c r="D7" s="446"/>
      <c r="E7" s="446"/>
      <c r="F7" s="446"/>
      <c r="G7" s="447"/>
      <c r="I7" s="102" t="s">
        <v>175</v>
      </c>
      <c r="J7" s="103" t="s">
        <v>40</v>
      </c>
      <c r="K7" s="103" t="s">
        <v>44</v>
      </c>
      <c r="L7" s="103" t="s">
        <v>137</v>
      </c>
      <c r="M7" s="104" t="s">
        <v>140</v>
      </c>
      <c r="N7" s="105" t="s">
        <v>142</v>
      </c>
      <c r="O7" s="106" t="s">
        <v>55</v>
      </c>
      <c r="Q7" s="44"/>
    </row>
    <row r="8" spans="2:17" x14ac:dyDescent="0.2">
      <c r="I8" s="107">
        <f>IF($J8="","",1)</f>
        <v>1</v>
      </c>
      <c r="J8" s="108" t="s">
        <v>190</v>
      </c>
      <c r="K8" s="107" t="str">
        <f>IF(Waste[[#This Row],[Month]]&lt;&gt;"",VLOOKUP(Waste[[#This Row],[Month]],dropdown!$S$4:$T$15,2,FALSE),"")</f>
        <v>Q1</v>
      </c>
      <c r="L8" s="109" t="s">
        <v>139</v>
      </c>
      <c r="M8" s="110">
        <v>12000</v>
      </c>
      <c r="N8" s="109" t="s">
        <v>321</v>
      </c>
      <c r="O8" s="111" t="s">
        <v>322</v>
      </c>
      <c r="Q8" s="44"/>
    </row>
    <row r="9" spans="2:17" x14ac:dyDescent="0.2">
      <c r="B9" s="78" t="s">
        <v>134</v>
      </c>
      <c r="C9" s="78"/>
      <c r="D9" s="78"/>
      <c r="E9" s="78"/>
      <c r="F9" s="78"/>
      <c r="G9" s="78"/>
      <c r="I9" s="107">
        <f t="shared" ref="I9:I72" si="0">IF($J9="","",$I8+1)</f>
        <v>2</v>
      </c>
      <c r="J9" s="108" t="s">
        <v>89</v>
      </c>
      <c r="K9" s="107" t="str">
        <f>IF(Waste[[#This Row],[Month]]&lt;&gt;"",VLOOKUP(Waste[[#This Row],[Month]],dropdown!$S$4:$T$15,2,FALSE),"")</f>
        <v>Q1</v>
      </c>
      <c r="L9" s="109" t="s">
        <v>139</v>
      </c>
      <c r="M9" s="110">
        <v>12000</v>
      </c>
      <c r="N9" s="109" t="s">
        <v>321</v>
      </c>
      <c r="O9" s="111" t="s">
        <v>322</v>
      </c>
      <c r="Q9" s="44"/>
    </row>
    <row r="10" spans="2:17" x14ac:dyDescent="0.2">
      <c r="B10" s="79" t="s">
        <v>137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 t="shared" si="0"/>
        <v>3</v>
      </c>
      <c r="J10" s="108" t="s">
        <v>177</v>
      </c>
      <c r="K10" s="107" t="str">
        <f>IF(Waste[[#This Row],[Month]]&lt;&gt;"",VLOOKUP(Waste[[#This Row],[Month]],dropdown!$S$4:$T$15,2,FALSE),"")</f>
        <v>Q1</v>
      </c>
      <c r="L10" s="109" t="s">
        <v>139</v>
      </c>
      <c r="M10" s="110">
        <v>12000</v>
      </c>
      <c r="N10" s="109" t="s">
        <v>321</v>
      </c>
      <c r="O10" s="111" t="s">
        <v>322</v>
      </c>
      <c r="Q10" s="44"/>
    </row>
    <row r="11" spans="2:17" x14ac:dyDescent="0.2">
      <c r="B11" s="81" t="str">
        <f>dropdown!$B4</f>
        <v>Compostable</v>
      </c>
      <c r="C11" s="81" t="s">
        <v>323</v>
      </c>
      <c r="D11" s="82">
        <f>SUMIFS(Waste[Weight (kg)],Waste[Quarter],D$10,Waste[Waste Composition],$B$11)</f>
        <v>36000</v>
      </c>
      <c r="E11" s="82">
        <f>SUMIFS(Waste[Weight (kg)],Waste[Quarter],E$10,Waste[Waste Composition],$B11)</f>
        <v>36000</v>
      </c>
      <c r="F11" s="82">
        <f>SUMIFS(Waste[Weight (kg)],Waste[Quarter],F$10,Waste[Waste Composition],$B11)</f>
        <v>0</v>
      </c>
      <c r="G11" s="82">
        <f>SUMIFS(Waste[Weight (kg)],Waste[Quarter],G$10,Waste[Waste Composition],$B11)</f>
        <v>0</v>
      </c>
      <c r="I11" s="107">
        <f t="shared" si="0"/>
        <v>4</v>
      </c>
      <c r="J11" s="108" t="s">
        <v>239</v>
      </c>
      <c r="K11" s="107" t="str">
        <f>IF(Waste[[#This Row],[Month]]&lt;&gt;"",VLOOKUP(Waste[[#This Row],[Month]],dropdown!$S$4:$T$15,2,FALSE),"")</f>
        <v>Q2</v>
      </c>
      <c r="L11" s="109" t="s">
        <v>139</v>
      </c>
      <c r="M11" s="110">
        <v>12000</v>
      </c>
      <c r="N11" s="109" t="s">
        <v>321</v>
      </c>
      <c r="O11" s="111" t="s">
        <v>322</v>
      </c>
      <c r="Q11" s="44"/>
    </row>
    <row r="12" spans="2:17" x14ac:dyDescent="0.2">
      <c r="B12" s="81" t="str">
        <f>dropdown!$B5</f>
        <v>Recyclable</v>
      </c>
      <c r="C12" s="81" t="s">
        <v>323</v>
      </c>
      <c r="D12" s="82">
        <f>SUMIFS(Waste[Weight (kg)],Waste[Quarter],D$10,Waste[Waste Composition],$B12)</f>
        <v>0</v>
      </c>
      <c r="E12" s="82">
        <f>SUMIFS(Waste[Weight (kg)],Waste[Quarter],E$10,Waste[Waste Composition],$B12)</f>
        <v>0</v>
      </c>
      <c r="F12" s="82">
        <f>SUMIFS(Waste[Weight (kg)],Waste[Quarter],F$10,Waste[Waste Composition],$B12)</f>
        <v>0</v>
      </c>
      <c r="G12" s="82">
        <f>SUMIFS(Waste[Weight (kg)],Waste[Quarter],G$10,Waste[Waste Composition],$B12)</f>
        <v>0</v>
      </c>
      <c r="I12" s="107">
        <f t="shared" si="0"/>
        <v>5</v>
      </c>
      <c r="J12" s="108" t="s">
        <v>242</v>
      </c>
      <c r="K12" s="107" t="str">
        <f>IF(Waste[[#This Row],[Month]]&lt;&gt;"",VLOOKUP(Waste[[#This Row],[Month]],dropdown!$S$4:$T$15,2,FALSE),"")</f>
        <v>Q2</v>
      </c>
      <c r="L12" s="109" t="s">
        <v>139</v>
      </c>
      <c r="M12" s="110">
        <v>12000</v>
      </c>
      <c r="N12" s="109" t="s">
        <v>321</v>
      </c>
      <c r="O12" s="111" t="s">
        <v>322</v>
      </c>
      <c r="Q12" s="44"/>
    </row>
    <row r="13" spans="2:17" ht="15" x14ac:dyDescent="0.2">
      <c r="B13" s="81" t="str">
        <f>dropdown!$B6</f>
        <v>Infectious</v>
      </c>
      <c r="C13" s="81" t="s">
        <v>323</v>
      </c>
      <c r="D13" s="82">
        <f>SUMIFS(Waste[Weight (kg)],Waste[Quarter],D$10,Waste[Waste Composition],$B13)</f>
        <v>0</v>
      </c>
      <c r="E13" s="82">
        <f>SUMIFS(Waste[Weight (kg)],Waste[Quarter],E$10,Waste[Waste Composition],$B13)</f>
        <v>0</v>
      </c>
      <c r="F13" s="82">
        <f>SUMIFS(Waste[Weight (kg)],Waste[Quarter],F$10,Waste[Waste Composition],$B13)</f>
        <v>0</v>
      </c>
      <c r="G13" s="82">
        <f>SUMIFS(Waste[Weight (kg)],Waste[Quarter],G$10,Waste[Waste Composition],$B13)</f>
        <v>0</v>
      </c>
      <c r="H13" s="83"/>
      <c r="I13" s="107">
        <f t="shared" si="0"/>
        <v>6</v>
      </c>
      <c r="J13" s="108" t="s">
        <v>179</v>
      </c>
      <c r="K13" s="107" t="str">
        <f>IF(Waste[[#This Row],[Month]]&lt;&gt;"",VLOOKUP(Waste[[#This Row],[Month]],dropdown!$S$4:$T$15,2,FALSE),"")</f>
        <v>Q2</v>
      </c>
      <c r="L13" s="109" t="s">
        <v>139</v>
      </c>
      <c r="M13" s="110">
        <v>12000</v>
      </c>
      <c r="N13" s="109" t="s">
        <v>321</v>
      </c>
      <c r="O13" s="111" t="s">
        <v>322</v>
      </c>
    </row>
    <row r="14" spans="2:17" ht="14" customHeight="1" x14ac:dyDescent="0.2">
      <c r="B14" s="81" t="str">
        <f>dropdown!$B7</f>
        <v>Security</v>
      </c>
      <c r="C14" s="81" t="s">
        <v>323</v>
      </c>
      <c r="D14" s="82">
        <f>SUMIFS(Waste[Weight (kg)],Waste[Quarter],D$10,Waste[Waste Composition],$B14)</f>
        <v>0</v>
      </c>
      <c r="E14" s="82">
        <f>SUMIFS(Waste[Weight (kg)],Waste[Quarter],E$10,Waste[Waste Composition],$B14)</f>
        <v>0</v>
      </c>
      <c r="F14" s="82">
        <f>SUMIFS(Waste[Weight (kg)],Waste[Quarter],F$10,Waste[Waste Composition],$B14)</f>
        <v>0</v>
      </c>
      <c r="G14" s="82">
        <f>SUMIFS(Waste[Weight (kg)],Waste[Quarter],G$10,Waste[Waste Composition],$B14)</f>
        <v>0</v>
      </c>
      <c r="I14" s="107">
        <f t="shared" si="0"/>
        <v>7</v>
      </c>
      <c r="J14" s="108" t="s">
        <v>177</v>
      </c>
      <c r="K14" s="107" t="str">
        <f>IF(Waste[[#This Row],[Month]]&lt;&gt;"",VLOOKUP(Waste[[#This Row],[Month]],dropdown!$S$4:$T$15,2,FALSE),"")</f>
        <v>Q1</v>
      </c>
      <c r="L14" s="109" t="s">
        <v>324</v>
      </c>
      <c r="M14" s="110">
        <v>1.5</v>
      </c>
      <c r="N14" s="109" t="s">
        <v>325</v>
      </c>
      <c r="O14" s="111"/>
      <c r="Q14" s="44"/>
    </row>
    <row r="15" spans="2:17" ht="15" customHeight="1" x14ac:dyDescent="0.2">
      <c r="B15" s="81" t="str">
        <f>dropdown!$B8</f>
        <v>Hazardous</v>
      </c>
      <c r="C15" s="81" t="s">
        <v>323</v>
      </c>
      <c r="D15" s="82">
        <f>SUMIFS(Waste[Weight (kg)],Waste[Quarter],D$10,Waste[Waste Composition],$B15)</f>
        <v>1.5</v>
      </c>
      <c r="E15" s="82">
        <f>SUMIFS(Waste[Weight (kg)],Waste[Quarter],E$10,Waste[Waste Composition],$B15)</f>
        <v>147</v>
      </c>
      <c r="F15" s="82">
        <f>SUMIFS(Waste[Weight (kg)],Waste[Quarter],F$10,Waste[Waste Composition],$B15)</f>
        <v>0</v>
      </c>
      <c r="G15" s="82">
        <f>SUMIFS(Waste[Weight (kg)],Waste[Quarter],G$10,Waste[Waste Composition],$B15)</f>
        <v>0</v>
      </c>
      <c r="I15" s="107">
        <f t="shared" si="0"/>
        <v>8</v>
      </c>
      <c r="J15" s="108" t="s">
        <v>179</v>
      </c>
      <c r="K15" s="107" t="str">
        <f>IF(Waste[[#This Row],[Month]]&lt;&gt;"",VLOOKUP(Waste[[#This Row],[Month]],dropdown!$S$4:$T$15,2,FALSE),"")</f>
        <v>Q2</v>
      </c>
      <c r="L15" s="109" t="s">
        <v>324</v>
      </c>
      <c r="M15" s="110">
        <v>147</v>
      </c>
      <c r="N15" s="109" t="s">
        <v>325</v>
      </c>
      <c r="O15" s="111"/>
    </row>
    <row r="16" spans="2:17" x14ac:dyDescent="0.2">
      <c r="B16" s="81" t="str">
        <f>dropdown!$B9</f>
        <v>Residual/Landfill</v>
      </c>
      <c r="C16" s="81" t="s">
        <v>323</v>
      </c>
      <c r="D16" s="82">
        <f>SUMIFS(Waste[Weight (kg)],Waste[Quarter],D$10,Waste[Waste Composition],$B16)</f>
        <v>0</v>
      </c>
      <c r="E16" s="82">
        <f>SUMIFS(Waste[Weight (kg)],Waste[Quarter],E$10,Waste[Waste Composition],$B16)</f>
        <v>0</v>
      </c>
      <c r="F16" s="82">
        <f>SUMIFS(Waste[Weight (kg)],Waste[Quarter],F$10,Waste[Waste Composition],$B16)</f>
        <v>0</v>
      </c>
      <c r="G16" s="82">
        <f>SUMIFS(Waste[Weight (kg)],Waste[Quarter],G$10,Waste[Waste Composition],$B16)</f>
        <v>0</v>
      </c>
      <c r="I16" s="107" t="str">
        <f t="shared" si="0"/>
        <v/>
      </c>
      <c r="J16" s="108"/>
      <c r="K16" s="107" t="str">
        <f>IF(Waste[[#This Row],[Month]]&lt;&gt;"",VLOOKUP(Waste[[#This Row],[Month]],dropdown!$S$4:$T$15,2,FALSE),"")</f>
        <v/>
      </c>
      <c r="L16" s="109"/>
      <c r="M16" s="110"/>
      <c r="N16" s="109"/>
      <c r="O16" s="111"/>
    </row>
    <row r="17" spans="2:15" x14ac:dyDescent="0.2">
      <c r="I17" s="107" t="str">
        <f t="shared" si="0"/>
        <v/>
      </c>
      <c r="J17" s="108"/>
      <c r="K17" s="107" t="str">
        <f>IF(Waste[[#This Row],[Month]]&lt;&gt;"",VLOOKUP(Waste[[#This Row],[Month]],dropdown!$S$4:$T$15,2,FALSE),"")</f>
        <v/>
      </c>
      <c r="L17" s="109"/>
      <c r="M17" s="110"/>
      <c r="N17" s="109"/>
      <c r="O17" s="111"/>
    </row>
    <row r="18" spans="2:15" x14ac:dyDescent="0.2">
      <c r="B18" s="84" t="s">
        <v>39</v>
      </c>
      <c r="I18" s="107" t="str">
        <f t="shared" si="0"/>
        <v/>
      </c>
      <c r="J18" s="108"/>
      <c r="K18" s="107" t="str">
        <f>IF(Waste[[#This Row],[Month]]&lt;&gt;"",VLOOKUP(Waste[[#This Row],[Month]],dropdown!$S$4:$T$15,2,FALSE),"")</f>
        <v/>
      </c>
      <c r="L18" s="109"/>
      <c r="M18" s="110"/>
      <c r="N18" s="109"/>
      <c r="O18" s="111"/>
    </row>
    <row r="19" spans="2:15" x14ac:dyDescent="0.2">
      <c r="B19" s="85" t="s">
        <v>181</v>
      </c>
      <c r="I19" s="107" t="str">
        <f t="shared" ref="I19" si="1">IF($J19="","",$I18+1)</f>
        <v/>
      </c>
      <c r="J19" s="108"/>
      <c r="K19" s="107" t="str">
        <f>IF(Waste[[#This Row],[Month]]&lt;&gt;"",VLOOKUP(Waste[[#This Row],[Month]],dropdown!$S$4:$T$15,2,FALSE),"")</f>
        <v/>
      </c>
      <c r="L19" s="109"/>
      <c r="M19" s="110"/>
      <c r="N19" s="109"/>
      <c r="O19" s="111"/>
    </row>
    <row r="20" spans="2:15" x14ac:dyDescent="0.2">
      <c r="B20" s="86" t="s">
        <v>182</v>
      </c>
      <c r="I20" s="107" t="str">
        <f t="shared" si="0"/>
        <v/>
      </c>
      <c r="J20" s="108"/>
      <c r="K20" s="107" t="str">
        <f>IF(Waste[[#This Row],[Month]]&lt;&gt;"",VLOOKUP(Waste[[#This Row],[Month]],dropdown!$S$4:$T$15,2,FALSE),"")</f>
        <v/>
      </c>
      <c r="L20" s="109"/>
      <c r="M20" s="110"/>
      <c r="N20" s="109"/>
      <c r="O20" s="111"/>
    </row>
    <row r="21" spans="2:15" x14ac:dyDescent="0.2">
      <c r="B21" s="81" t="s">
        <v>183</v>
      </c>
      <c r="I21" s="107" t="str">
        <f t="shared" si="0"/>
        <v/>
      </c>
      <c r="J21" s="108"/>
      <c r="K21" s="107" t="str">
        <f>IF(Waste[[#This Row],[Month]]&lt;&gt;"",VLOOKUP(Waste[[#This Row],[Month]],dropdown!$S$4:$T$15,2,FALSE),"")</f>
        <v/>
      </c>
      <c r="L21" s="109"/>
      <c r="M21" s="110"/>
      <c r="N21" s="109"/>
      <c r="O21" s="111"/>
    </row>
    <row r="22" spans="2:15" x14ac:dyDescent="0.2">
      <c r="I22" s="107" t="str">
        <f t="shared" si="0"/>
        <v/>
      </c>
      <c r="J22" s="108"/>
      <c r="K22" s="107" t="str">
        <f>IF(Waste[[#This Row],[Month]]&lt;&gt;"",VLOOKUP(Waste[[#This Row],[Month]],dropdown!$S$4:$T$15,2,FALSE),"")</f>
        <v/>
      </c>
      <c r="L22" s="109"/>
      <c r="M22" s="110"/>
      <c r="N22" s="109"/>
      <c r="O22" s="111"/>
    </row>
    <row r="23" spans="2:15" x14ac:dyDescent="0.2">
      <c r="I23" s="107" t="str">
        <f t="shared" si="0"/>
        <v/>
      </c>
      <c r="J23" s="108"/>
      <c r="K23" s="107" t="str">
        <f>IF(Waste[[#This Row],[Month]]&lt;&gt;"",VLOOKUP(Waste[[#This Row],[Month]],dropdown!$S$4:$T$15,2,FALSE),"")</f>
        <v/>
      </c>
      <c r="L23" s="109"/>
      <c r="M23" s="110"/>
      <c r="N23" s="109"/>
      <c r="O23" s="111"/>
    </row>
    <row r="24" spans="2:15" x14ac:dyDescent="0.2">
      <c r="I24" s="107" t="str">
        <f t="shared" si="0"/>
        <v/>
      </c>
      <c r="J24" s="108"/>
      <c r="K24" s="107" t="str">
        <f>IF(Waste[[#This Row],[Month]]&lt;&gt;"",VLOOKUP(Waste[[#This Row],[Month]],dropdown!$S$4:$T$15,2,FALSE),"")</f>
        <v/>
      </c>
      <c r="L24" s="109"/>
      <c r="M24" s="110"/>
      <c r="N24" s="109"/>
      <c r="O24" s="111"/>
    </row>
    <row r="25" spans="2:15" x14ac:dyDescent="0.2">
      <c r="I25" s="107" t="str">
        <f t="shared" si="0"/>
        <v/>
      </c>
      <c r="J25" s="108"/>
      <c r="K25" s="107" t="str">
        <f>IF(Waste[[#This Row],[Month]]&lt;&gt;"",VLOOKUP(Waste[[#This Row],[Month]],dropdown!$S$4:$T$15,2,FALSE),"")</f>
        <v/>
      </c>
      <c r="L25" s="109"/>
      <c r="M25" s="110"/>
      <c r="N25" s="109"/>
      <c r="O25" s="111"/>
    </row>
    <row r="26" spans="2:15" x14ac:dyDescent="0.2">
      <c r="I26" s="107" t="str">
        <f t="shared" si="0"/>
        <v/>
      </c>
      <c r="J26" s="108"/>
      <c r="K26" s="107" t="str">
        <f>IF(Waste[[#This Row],[Month]]&lt;&gt;"",VLOOKUP(Waste[[#This Row],[Month]],dropdown!$S$4:$T$15,2,FALSE),"")</f>
        <v/>
      </c>
      <c r="L26" s="109"/>
      <c r="M26" s="110"/>
      <c r="N26" s="109"/>
      <c r="O26" s="111"/>
    </row>
    <row r="27" spans="2:15" x14ac:dyDescent="0.2">
      <c r="I27" s="107" t="str">
        <f t="shared" si="0"/>
        <v/>
      </c>
      <c r="J27" s="108"/>
      <c r="K27" s="107" t="str">
        <f>IF(Waste[[#This Row],[Month]]&lt;&gt;"",VLOOKUP(Waste[[#This Row],[Month]],dropdown!$S$4:$T$15,2,FALSE),"")</f>
        <v/>
      </c>
      <c r="L27" s="109"/>
      <c r="M27" s="110"/>
      <c r="N27" s="109"/>
      <c r="O27" s="111"/>
    </row>
    <row r="28" spans="2:15" x14ac:dyDescent="0.2">
      <c r="I28" s="107" t="str">
        <f t="shared" si="0"/>
        <v/>
      </c>
      <c r="J28" s="108"/>
      <c r="K28" s="107" t="str">
        <f>IF(Waste[[#This Row],[Month]]&lt;&gt;"",VLOOKUP(Waste[[#This Row],[Month]],dropdown!$S$4:$T$15,2,FALSE),"")</f>
        <v/>
      </c>
      <c r="L28" s="109"/>
      <c r="M28" s="110"/>
      <c r="N28" s="109"/>
      <c r="O28" s="111"/>
    </row>
    <row r="29" spans="2:15" x14ac:dyDescent="0.2">
      <c r="I29" s="107" t="str">
        <f t="shared" si="0"/>
        <v/>
      </c>
      <c r="J29" s="108"/>
      <c r="K29" s="107" t="str">
        <f>IF(Waste[[#This Row],[Month]]&lt;&gt;"",VLOOKUP(Waste[[#This Row],[Month]],dropdown!$S$4:$T$15,2,FALSE),"")</f>
        <v/>
      </c>
      <c r="L29" s="109"/>
      <c r="M29" s="110"/>
      <c r="N29" s="109"/>
      <c r="O29" s="111"/>
    </row>
    <row r="30" spans="2:15" x14ac:dyDescent="0.2">
      <c r="I30" s="107" t="str">
        <f t="shared" si="0"/>
        <v/>
      </c>
      <c r="J30" s="108"/>
      <c r="K30" s="107" t="str">
        <f>IF(Waste[[#This Row],[Month]]&lt;&gt;"",VLOOKUP(Waste[[#This Row],[Month]],dropdown!$S$4:$T$15,2,FALSE),"")</f>
        <v/>
      </c>
      <c r="L30" s="109"/>
      <c r="M30" s="110"/>
      <c r="N30" s="109"/>
      <c r="O30" s="111"/>
    </row>
    <row r="31" spans="2:15" x14ac:dyDescent="0.2">
      <c r="I31" s="107" t="str">
        <f t="shared" si="0"/>
        <v/>
      </c>
      <c r="J31" s="108"/>
      <c r="K31" s="107" t="str">
        <f>IF(Waste[[#This Row],[Month]]&lt;&gt;"",VLOOKUP(Waste[[#This Row],[Month]],dropdown!$S$4:$T$15,2,FALSE),"")</f>
        <v/>
      </c>
      <c r="L31" s="109"/>
      <c r="M31" s="110"/>
      <c r="N31" s="109"/>
      <c r="O31" s="111"/>
    </row>
    <row r="32" spans="2:15" x14ac:dyDescent="0.2">
      <c r="I32" s="107" t="str">
        <f t="shared" si="0"/>
        <v/>
      </c>
      <c r="J32" s="108"/>
      <c r="K32" s="107" t="str">
        <f>IF(Waste[[#This Row],[Month]]&lt;&gt;"",VLOOKUP(Waste[[#This Row],[Month]],dropdown!$S$4:$T$15,2,FALSE),"")</f>
        <v/>
      </c>
      <c r="L32" s="109"/>
      <c r="M32" s="110"/>
      <c r="N32" s="109"/>
      <c r="O32" s="111"/>
    </row>
    <row r="33" spans="9:15" x14ac:dyDescent="0.2">
      <c r="I33" s="107" t="str">
        <f t="shared" si="0"/>
        <v/>
      </c>
      <c r="J33" s="108"/>
      <c r="K33" s="107" t="str">
        <f>IF(Waste[[#This Row],[Month]]&lt;&gt;"",VLOOKUP(Waste[[#This Row],[Month]],dropdown!$S$4:$T$15,2,FALSE),"")</f>
        <v/>
      </c>
      <c r="L33" s="109"/>
      <c r="M33" s="110"/>
      <c r="N33" s="109"/>
      <c r="O33" s="111"/>
    </row>
    <row r="34" spans="9:15" x14ac:dyDescent="0.2">
      <c r="I34" s="107" t="str">
        <f t="shared" si="0"/>
        <v/>
      </c>
      <c r="J34" s="108"/>
      <c r="K34" s="107" t="str">
        <f>IF(Waste[[#This Row],[Month]]&lt;&gt;"",VLOOKUP(Waste[[#This Row],[Month]],dropdown!$S$4:$T$15,2,FALSE),"")</f>
        <v/>
      </c>
      <c r="L34" s="109"/>
      <c r="M34" s="110"/>
      <c r="N34" s="109"/>
      <c r="O34" s="111"/>
    </row>
    <row r="35" spans="9:15" x14ac:dyDescent="0.2">
      <c r="I35" s="107" t="str">
        <f t="shared" si="0"/>
        <v/>
      </c>
      <c r="J35" s="108"/>
      <c r="K35" s="107" t="str">
        <f>IF(Waste[[#This Row],[Month]]&lt;&gt;"",VLOOKUP(Waste[[#This Row],[Month]],dropdown!$S$4:$T$15,2,FALSE),"")</f>
        <v/>
      </c>
      <c r="L35" s="109"/>
      <c r="M35" s="110"/>
      <c r="N35" s="109"/>
      <c r="O35" s="111"/>
    </row>
    <row r="36" spans="9:15" x14ac:dyDescent="0.2">
      <c r="I36" s="107" t="str">
        <f t="shared" si="0"/>
        <v/>
      </c>
      <c r="J36" s="108"/>
      <c r="K36" s="107" t="str">
        <f>IF(Waste[[#This Row],[Month]]&lt;&gt;"",VLOOKUP(Waste[[#This Row],[Month]],dropdown!$S$4:$T$15,2,FALSE),"")</f>
        <v/>
      </c>
      <c r="L36" s="109"/>
      <c r="M36" s="110"/>
      <c r="N36" s="109"/>
      <c r="O36" s="111"/>
    </row>
    <row r="37" spans="9:15" x14ac:dyDescent="0.2">
      <c r="I37" s="107" t="str">
        <f t="shared" si="0"/>
        <v/>
      </c>
      <c r="J37" s="108"/>
      <c r="K37" s="107" t="str">
        <f>IF(Waste[[#This Row],[Month]]&lt;&gt;"",VLOOKUP(Waste[[#This Row],[Month]],dropdown!$S$4:$T$15,2,FALSE),"")</f>
        <v/>
      </c>
      <c r="L37" s="109"/>
      <c r="M37" s="110"/>
      <c r="N37" s="109"/>
      <c r="O37" s="111"/>
    </row>
    <row r="38" spans="9:15" x14ac:dyDescent="0.2">
      <c r="I38" s="107" t="str">
        <f t="shared" si="0"/>
        <v/>
      </c>
      <c r="J38" s="108"/>
      <c r="K38" s="107" t="str">
        <f>IF(Waste[[#This Row],[Month]]&lt;&gt;"",VLOOKUP(Waste[[#This Row],[Month]],dropdown!$S$4:$T$15,2,FALSE),"")</f>
        <v/>
      </c>
      <c r="L38" s="109"/>
      <c r="M38" s="110"/>
      <c r="N38" s="109"/>
      <c r="O38" s="111"/>
    </row>
    <row r="39" spans="9:15" x14ac:dyDescent="0.2">
      <c r="I39" s="107" t="str">
        <f t="shared" si="0"/>
        <v/>
      </c>
      <c r="J39" s="108"/>
      <c r="K39" s="107" t="str">
        <f>IF(Waste[[#This Row],[Month]]&lt;&gt;"",VLOOKUP(Waste[[#This Row],[Month]],dropdown!$S$4:$T$15,2,FALSE),"")</f>
        <v/>
      </c>
      <c r="L39" s="109"/>
      <c r="M39" s="110"/>
      <c r="N39" s="109"/>
      <c r="O39" s="111"/>
    </row>
    <row r="40" spans="9:15" x14ac:dyDescent="0.2">
      <c r="I40" s="107" t="str">
        <f t="shared" si="0"/>
        <v/>
      </c>
      <c r="J40" s="108"/>
      <c r="K40" s="107" t="str">
        <f>IF(Waste[[#This Row],[Month]]&lt;&gt;"",VLOOKUP(Waste[[#This Row],[Month]],dropdown!$S$4:$T$15,2,FALSE),"")</f>
        <v/>
      </c>
      <c r="L40" s="109"/>
      <c r="M40" s="110"/>
      <c r="N40" s="109"/>
      <c r="O40" s="111"/>
    </row>
    <row r="41" spans="9:15" x14ac:dyDescent="0.2">
      <c r="I41" s="107" t="str">
        <f t="shared" si="0"/>
        <v/>
      </c>
      <c r="J41" s="108"/>
      <c r="K41" s="107" t="str">
        <f>IF(Waste[[#This Row],[Month]]&lt;&gt;"",VLOOKUP(Waste[[#This Row],[Month]],dropdown!$S$4:$T$15,2,FALSE),"")</f>
        <v/>
      </c>
      <c r="L41" s="109"/>
      <c r="M41" s="110"/>
      <c r="N41" s="109"/>
      <c r="O41" s="111"/>
    </row>
    <row r="42" spans="9:15" x14ac:dyDescent="0.2">
      <c r="I42" s="107" t="str">
        <f t="shared" si="0"/>
        <v/>
      </c>
      <c r="J42" s="108"/>
      <c r="K42" s="107" t="str">
        <f>IF(Waste[[#This Row],[Month]]&lt;&gt;"",VLOOKUP(Waste[[#This Row],[Month]],dropdown!$S$4:$T$15,2,FALSE),"")</f>
        <v/>
      </c>
      <c r="L42" s="109"/>
      <c r="M42" s="110"/>
      <c r="N42" s="109"/>
      <c r="O42" s="111"/>
    </row>
    <row r="43" spans="9:15" x14ac:dyDescent="0.2">
      <c r="I43" s="107" t="str">
        <f t="shared" si="0"/>
        <v/>
      </c>
      <c r="J43" s="108"/>
      <c r="K43" s="107" t="str">
        <f>IF(Waste[[#This Row],[Month]]&lt;&gt;"",VLOOKUP(Waste[[#This Row],[Month]],dropdown!$S$4:$T$15,2,FALSE),"")</f>
        <v/>
      </c>
      <c r="L43" s="109"/>
      <c r="M43" s="110"/>
      <c r="N43" s="109"/>
      <c r="O43" s="111"/>
    </row>
    <row r="44" spans="9:15" x14ac:dyDescent="0.2">
      <c r="I44" s="107" t="str">
        <f t="shared" si="0"/>
        <v/>
      </c>
      <c r="J44" s="108"/>
      <c r="K44" s="107" t="str">
        <f>IF(Waste[[#This Row],[Month]]&lt;&gt;"",VLOOKUP(Waste[[#This Row],[Month]],dropdown!$S$4:$T$15,2,FALSE),"")</f>
        <v/>
      </c>
      <c r="L44" s="109"/>
      <c r="M44" s="110"/>
      <c r="N44" s="109"/>
      <c r="O44" s="111"/>
    </row>
    <row r="45" spans="9:15" x14ac:dyDescent="0.2">
      <c r="I45" s="107" t="str">
        <f t="shared" si="0"/>
        <v/>
      </c>
      <c r="J45" s="108"/>
      <c r="K45" s="107" t="str">
        <f>IF(Waste[[#This Row],[Month]]&lt;&gt;"",VLOOKUP(Waste[[#This Row],[Month]],dropdown!$S$4:$T$15,2,FALSE),"")</f>
        <v/>
      </c>
      <c r="L45" s="109"/>
      <c r="M45" s="110"/>
      <c r="N45" s="109"/>
      <c r="O45" s="111"/>
    </row>
    <row r="46" spans="9:15" x14ac:dyDescent="0.2">
      <c r="I46" s="107" t="str">
        <f t="shared" si="0"/>
        <v/>
      </c>
      <c r="J46" s="108"/>
      <c r="K46" s="107" t="str">
        <f>IF(Waste[[#This Row],[Month]]&lt;&gt;"",VLOOKUP(Waste[[#This Row],[Month]],dropdown!$S$4:$T$15,2,FALSE),"")</f>
        <v/>
      </c>
      <c r="L46" s="109"/>
      <c r="M46" s="110"/>
      <c r="N46" s="109"/>
      <c r="O46" s="111"/>
    </row>
    <row r="47" spans="9:15" x14ac:dyDescent="0.2">
      <c r="I47" s="107" t="str">
        <f t="shared" si="0"/>
        <v/>
      </c>
      <c r="J47" s="108"/>
      <c r="K47" s="107" t="str">
        <f>IF(Waste[[#This Row],[Month]]&lt;&gt;"",VLOOKUP(Waste[[#This Row],[Month]],dropdown!$S$4:$T$15,2,FALSE),"")</f>
        <v/>
      </c>
      <c r="L47" s="109"/>
      <c r="M47" s="110"/>
      <c r="N47" s="109"/>
      <c r="O47" s="111"/>
    </row>
    <row r="48" spans="9:15" x14ac:dyDescent="0.2">
      <c r="I48" s="107" t="str">
        <f t="shared" si="0"/>
        <v/>
      </c>
      <c r="J48" s="108"/>
      <c r="K48" s="107" t="str">
        <f>IF(Waste[[#This Row],[Month]]&lt;&gt;"",VLOOKUP(Waste[[#This Row],[Month]],dropdown!$S$4:$T$15,2,FALSE),"")</f>
        <v/>
      </c>
      <c r="L48" s="109"/>
      <c r="M48" s="110"/>
      <c r="N48" s="109"/>
      <c r="O48" s="111"/>
    </row>
    <row r="49" spans="9:15" x14ac:dyDescent="0.2">
      <c r="I49" s="107" t="str">
        <f t="shared" si="0"/>
        <v/>
      </c>
      <c r="J49" s="108"/>
      <c r="K49" s="107" t="str">
        <f>IF(Waste[[#This Row],[Month]]&lt;&gt;"",VLOOKUP(Waste[[#This Row],[Month]],dropdown!$S$4:$T$15,2,FALSE),"")</f>
        <v/>
      </c>
      <c r="L49" s="109"/>
      <c r="M49" s="110"/>
      <c r="N49" s="109"/>
      <c r="O49" s="111"/>
    </row>
    <row r="50" spans="9:15" x14ac:dyDescent="0.2">
      <c r="I50" s="107" t="str">
        <f t="shared" si="0"/>
        <v/>
      </c>
      <c r="J50" s="108"/>
      <c r="K50" s="107" t="str">
        <f>IF(Waste[[#This Row],[Month]]&lt;&gt;"",VLOOKUP(Waste[[#This Row],[Month]],dropdown!$S$4:$T$15,2,FALSE),"")</f>
        <v/>
      </c>
      <c r="L50" s="109"/>
      <c r="M50" s="110"/>
      <c r="N50" s="109"/>
      <c r="O50" s="111"/>
    </row>
    <row r="51" spans="9:15" x14ac:dyDescent="0.2">
      <c r="I51" s="107" t="str">
        <f t="shared" si="0"/>
        <v/>
      </c>
      <c r="J51" s="108"/>
      <c r="K51" s="107" t="str">
        <f>IF(Waste[[#This Row],[Month]]&lt;&gt;"",VLOOKUP(Waste[[#This Row],[Month]],dropdown!$S$4:$T$15,2,FALSE),"")</f>
        <v/>
      </c>
      <c r="L51" s="109"/>
      <c r="M51" s="110"/>
      <c r="N51" s="109"/>
      <c r="O51" s="111"/>
    </row>
    <row r="52" spans="9:15" x14ac:dyDescent="0.2">
      <c r="I52" s="107" t="str">
        <f t="shared" si="0"/>
        <v/>
      </c>
      <c r="J52" s="108"/>
      <c r="K52" s="107" t="str">
        <f>IF(Waste[[#This Row],[Month]]&lt;&gt;"",VLOOKUP(Waste[[#This Row],[Month]],dropdown!$S$4:$T$15,2,FALSE),"")</f>
        <v/>
      </c>
      <c r="L52" s="109"/>
      <c r="M52" s="110"/>
      <c r="N52" s="109"/>
      <c r="O52" s="111"/>
    </row>
    <row r="53" spans="9:15" x14ac:dyDescent="0.2">
      <c r="I53" s="107" t="str">
        <f t="shared" si="0"/>
        <v/>
      </c>
      <c r="J53" s="108"/>
      <c r="K53" s="107" t="str">
        <f>IF(Waste[[#This Row],[Month]]&lt;&gt;"",VLOOKUP(Waste[[#This Row],[Month]],dropdown!$S$4:$T$15,2,FALSE),"")</f>
        <v/>
      </c>
      <c r="L53" s="109"/>
      <c r="M53" s="110"/>
      <c r="N53" s="109"/>
      <c r="O53" s="111"/>
    </row>
    <row r="54" spans="9:15" x14ac:dyDescent="0.2">
      <c r="I54" s="107" t="str">
        <f t="shared" si="0"/>
        <v/>
      </c>
      <c r="J54" s="108"/>
      <c r="K54" s="107" t="str">
        <f>IF(Waste[[#This Row],[Month]]&lt;&gt;"",VLOOKUP(Waste[[#This Row],[Month]],dropdown!$S$4:$T$15,2,FALSE),"")</f>
        <v/>
      </c>
      <c r="L54" s="109"/>
      <c r="M54" s="110"/>
      <c r="N54" s="109"/>
      <c r="O54" s="111"/>
    </row>
    <row r="55" spans="9:15" x14ac:dyDescent="0.2">
      <c r="I55" s="107" t="str">
        <f t="shared" si="0"/>
        <v/>
      </c>
      <c r="J55" s="108"/>
      <c r="K55" s="107" t="str">
        <f>IF(Waste[[#This Row],[Month]]&lt;&gt;"",VLOOKUP(Waste[[#This Row],[Month]],dropdown!$S$4:$T$15,2,FALSE),"")</f>
        <v/>
      </c>
      <c r="L55" s="109"/>
      <c r="M55" s="110"/>
      <c r="N55" s="109"/>
      <c r="O55" s="111"/>
    </row>
    <row r="56" spans="9:15" x14ac:dyDescent="0.2">
      <c r="I56" s="107" t="str">
        <f t="shared" si="0"/>
        <v/>
      </c>
      <c r="J56" s="108"/>
      <c r="K56" s="107" t="str">
        <f>IF(Waste[[#This Row],[Month]]&lt;&gt;"",VLOOKUP(Waste[[#This Row],[Month]],dropdown!$S$4:$T$15,2,FALSE),"")</f>
        <v/>
      </c>
      <c r="L56" s="109"/>
      <c r="M56" s="110"/>
      <c r="N56" s="109"/>
      <c r="O56" s="111"/>
    </row>
    <row r="57" spans="9:15" x14ac:dyDescent="0.2">
      <c r="I57" s="107" t="str">
        <f t="shared" si="0"/>
        <v/>
      </c>
      <c r="J57" s="108"/>
      <c r="K57" s="107" t="str">
        <f>IF(Waste[[#This Row],[Month]]&lt;&gt;"",VLOOKUP(Waste[[#This Row],[Month]],dropdown!$S$4:$T$15,2,FALSE),"")</f>
        <v/>
      </c>
      <c r="L57" s="109"/>
      <c r="M57" s="110"/>
      <c r="N57" s="109"/>
      <c r="O57" s="111"/>
    </row>
    <row r="58" spans="9:15" x14ac:dyDescent="0.2">
      <c r="I58" s="107" t="str">
        <f t="shared" si="0"/>
        <v/>
      </c>
      <c r="J58" s="108"/>
      <c r="K58" s="107" t="str">
        <f>IF(Waste[[#This Row],[Month]]&lt;&gt;"",VLOOKUP(Waste[[#This Row],[Month]],dropdown!$S$4:$T$15,2,FALSE),"")</f>
        <v/>
      </c>
      <c r="L58" s="109"/>
      <c r="M58" s="110"/>
      <c r="N58" s="109"/>
      <c r="O58" s="111"/>
    </row>
    <row r="59" spans="9:15" x14ac:dyDescent="0.2">
      <c r="I59" s="107" t="str">
        <f t="shared" si="0"/>
        <v/>
      </c>
      <c r="J59" s="108"/>
      <c r="K59" s="107" t="str">
        <f>IF(Waste[[#This Row],[Month]]&lt;&gt;"",VLOOKUP(Waste[[#This Row],[Month]],dropdown!$S$4:$T$15,2,FALSE),"")</f>
        <v/>
      </c>
      <c r="L59" s="109"/>
      <c r="M59" s="110"/>
      <c r="N59" s="109"/>
      <c r="O59" s="111"/>
    </row>
    <row r="60" spans="9:15" x14ac:dyDescent="0.2">
      <c r="I60" s="107" t="str">
        <f t="shared" si="0"/>
        <v/>
      </c>
      <c r="J60" s="108"/>
      <c r="K60" s="107" t="str">
        <f>IF(Waste[[#This Row],[Month]]&lt;&gt;"",VLOOKUP(Waste[[#This Row],[Month]],dropdown!$S$4:$T$15,2,FALSE),"")</f>
        <v/>
      </c>
      <c r="L60" s="109"/>
      <c r="M60" s="110"/>
      <c r="N60" s="109"/>
      <c r="O60" s="111"/>
    </row>
    <row r="61" spans="9:15" x14ac:dyDescent="0.2">
      <c r="I61" s="107" t="str">
        <f t="shared" si="0"/>
        <v/>
      </c>
      <c r="J61" s="108"/>
      <c r="K61" s="107" t="str">
        <f>IF(Waste[[#This Row],[Month]]&lt;&gt;"",VLOOKUP(Waste[[#This Row],[Month]],dropdown!$S$4:$T$15,2,FALSE),"")</f>
        <v/>
      </c>
      <c r="L61" s="109"/>
      <c r="M61" s="110"/>
      <c r="N61" s="109"/>
      <c r="O61" s="111"/>
    </row>
    <row r="62" spans="9:15" x14ac:dyDescent="0.2">
      <c r="I62" s="107" t="str">
        <f t="shared" si="0"/>
        <v/>
      </c>
      <c r="J62" s="108"/>
      <c r="K62" s="107" t="str">
        <f>IF(Waste[[#This Row],[Month]]&lt;&gt;"",VLOOKUP(Waste[[#This Row],[Month]],dropdown!$S$4:$T$15,2,FALSE),"")</f>
        <v/>
      </c>
      <c r="L62" s="109"/>
      <c r="M62" s="110"/>
      <c r="N62" s="109"/>
      <c r="O62" s="111"/>
    </row>
    <row r="63" spans="9:15" x14ac:dyDescent="0.2">
      <c r="I63" s="107" t="str">
        <f t="shared" si="0"/>
        <v/>
      </c>
      <c r="J63" s="108"/>
      <c r="K63" s="107" t="str">
        <f>IF(Waste[[#This Row],[Month]]&lt;&gt;"",VLOOKUP(Waste[[#This Row],[Month]],dropdown!$S$4:$T$15,2,FALSE),"")</f>
        <v/>
      </c>
      <c r="L63" s="109"/>
      <c r="M63" s="110"/>
      <c r="N63" s="109"/>
      <c r="O63" s="111"/>
    </row>
    <row r="64" spans="9:15" x14ac:dyDescent="0.2">
      <c r="I64" s="107" t="str">
        <f t="shared" si="0"/>
        <v/>
      </c>
      <c r="J64" s="108"/>
      <c r="K64" s="107" t="str">
        <f>IF(Waste[[#This Row],[Month]]&lt;&gt;"",VLOOKUP(Waste[[#This Row],[Month]],dropdown!$S$4:$T$15,2,FALSE),"")</f>
        <v/>
      </c>
      <c r="L64" s="109"/>
      <c r="M64" s="110"/>
      <c r="N64" s="109"/>
      <c r="O64" s="111"/>
    </row>
    <row r="65" spans="9:15" x14ac:dyDescent="0.2">
      <c r="I65" s="107" t="str">
        <f t="shared" si="0"/>
        <v/>
      </c>
      <c r="J65" s="108"/>
      <c r="K65" s="107" t="str">
        <f>IF(Waste[[#This Row],[Month]]&lt;&gt;"",VLOOKUP(Waste[[#This Row],[Month]],dropdown!$S$4:$T$15,2,FALSE),"")</f>
        <v/>
      </c>
      <c r="L65" s="109"/>
      <c r="M65" s="110"/>
      <c r="N65" s="109"/>
      <c r="O65" s="111"/>
    </row>
    <row r="66" spans="9:15" x14ac:dyDescent="0.2">
      <c r="I66" s="107" t="str">
        <f t="shared" si="0"/>
        <v/>
      </c>
      <c r="J66" s="108"/>
      <c r="K66" s="107" t="str">
        <f>IF(Waste[[#This Row],[Month]]&lt;&gt;"",VLOOKUP(Waste[[#This Row],[Month]],dropdown!$S$4:$T$15,2,FALSE),"")</f>
        <v/>
      </c>
      <c r="L66" s="109"/>
      <c r="M66" s="110"/>
      <c r="N66" s="109"/>
      <c r="O66" s="111"/>
    </row>
    <row r="67" spans="9:15" x14ac:dyDescent="0.2">
      <c r="I67" s="107" t="str">
        <f t="shared" si="0"/>
        <v/>
      </c>
      <c r="J67" s="108"/>
      <c r="K67" s="107" t="str">
        <f>IF(Waste[[#This Row],[Month]]&lt;&gt;"",VLOOKUP(Waste[[#This Row],[Month]],dropdown!$S$4:$T$15,2,FALSE),"")</f>
        <v/>
      </c>
      <c r="L67" s="109"/>
      <c r="M67" s="110"/>
      <c r="N67" s="109"/>
      <c r="O67" s="111"/>
    </row>
    <row r="68" spans="9:15" x14ac:dyDescent="0.2">
      <c r="I68" s="107" t="str">
        <f t="shared" si="0"/>
        <v/>
      </c>
      <c r="J68" s="108"/>
      <c r="K68" s="107" t="str">
        <f>IF(Waste[[#This Row],[Month]]&lt;&gt;"",VLOOKUP(Waste[[#This Row],[Month]],dropdown!$S$4:$T$15,2,FALSE),"")</f>
        <v/>
      </c>
      <c r="L68" s="109"/>
      <c r="M68" s="110"/>
      <c r="N68" s="109"/>
      <c r="O68" s="111"/>
    </row>
    <row r="69" spans="9:15" x14ac:dyDescent="0.2">
      <c r="I69" s="107" t="str">
        <f t="shared" si="0"/>
        <v/>
      </c>
      <c r="J69" s="108"/>
      <c r="K69" s="107" t="str">
        <f>IF(Waste[[#This Row],[Month]]&lt;&gt;"",VLOOKUP(Waste[[#This Row],[Month]],dropdown!$S$4:$T$15,2,FALSE),"")</f>
        <v/>
      </c>
      <c r="L69" s="109"/>
      <c r="M69" s="110"/>
      <c r="N69" s="109"/>
      <c r="O69" s="111"/>
    </row>
    <row r="70" spans="9:15" x14ac:dyDescent="0.2">
      <c r="I70" s="107" t="str">
        <f t="shared" si="0"/>
        <v/>
      </c>
      <c r="J70" s="108"/>
      <c r="K70" s="107" t="str">
        <f>IF(Waste[[#This Row],[Month]]&lt;&gt;"",VLOOKUP(Waste[[#This Row],[Month]],dropdown!$S$4:$T$15,2,FALSE),"")</f>
        <v/>
      </c>
      <c r="L70" s="109"/>
      <c r="M70" s="110"/>
      <c r="N70" s="109"/>
      <c r="O70" s="111"/>
    </row>
    <row r="71" spans="9:15" x14ac:dyDescent="0.2">
      <c r="I71" s="107" t="str">
        <f t="shared" si="0"/>
        <v/>
      </c>
      <c r="J71" s="108"/>
      <c r="K71" s="107" t="str">
        <f>IF(Waste[[#This Row],[Month]]&lt;&gt;"",VLOOKUP(Waste[[#This Row],[Month]],dropdown!$S$4:$T$15,2,FALSE),"")</f>
        <v/>
      </c>
      <c r="L71" s="109"/>
      <c r="M71" s="110"/>
      <c r="N71" s="109"/>
      <c r="O71" s="111"/>
    </row>
    <row r="72" spans="9:15" x14ac:dyDescent="0.2">
      <c r="I72" s="107" t="str">
        <f t="shared" si="0"/>
        <v/>
      </c>
      <c r="J72" s="108"/>
      <c r="K72" s="107" t="str">
        <f>IF(Waste[[#This Row],[Month]]&lt;&gt;"",VLOOKUP(Waste[[#This Row],[Month]],dropdown!$S$4:$T$15,2,FALSE),"")</f>
        <v/>
      </c>
      <c r="L72" s="109"/>
      <c r="M72" s="110"/>
      <c r="N72" s="109"/>
      <c r="O72" s="111"/>
    </row>
    <row r="73" spans="9:15" x14ac:dyDescent="0.2">
      <c r="I73" s="107" t="str">
        <f t="shared" ref="I73:I104" si="2">IF($J73="","",$I72+1)</f>
        <v/>
      </c>
      <c r="J73" s="108"/>
      <c r="K73" s="107" t="str">
        <f>IF(Waste[[#This Row],[Month]]&lt;&gt;"",VLOOKUP(Waste[[#This Row],[Month]],dropdown!$S$4:$T$15,2,FALSE),"")</f>
        <v/>
      </c>
      <c r="L73" s="109"/>
      <c r="M73" s="110"/>
      <c r="N73" s="109"/>
      <c r="O73" s="111"/>
    </row>
    <row r="74" spans="9:15" x14ac:dyDescent="0.2">
      <c r="I74" s="107" t="str">
        <f t="shared" si="2"/>
        <v/>
      </c>
      <c r="J74" s="108"/>
      <c r="K74" s="107" t="str">
        <f>IF(Waste[[#This Row],[Month]]&lt;&gt;"",VLOOKUP(Waste[[#This Row],[Month]],dropdown!$S$4:$T$15,2,FALSE),"")</f>
        <v/>
      </c>
      <c r="L74" s="109"/>
      <c r="M74" s="110"/>
      <c r="N74" s="109"/>
      <c r="O74" s="111"/>
    </row>
    <row r="75" spans="9:15" x14ac:dyDescent="0.2">
      <c r="I75" s="107" t="str">
        <f t="shared" si="2"/>
        <v/>
      </c>
      <c r="J75" s="108"/>
      <c r="K75" s="107" t="str">
        <f>IF(Waste[[#This Row],[Month]]&lt;&gt;"",VLOOKUP(Waste[[#This Row],[Month]],dropdown!$S$4:$T$15,2,FALSE),"")</f>
        <v/>
      </c>
      <c r="L75" s="109"/>
      <c r="M75" s="110"/>
      <c r="N75" s="109"/>
      <c r="O75" s="111"/>
    </row>
    <row r="76" spans="9:15" x14ac:dyDescent="0.2">
      <c r="I76" s="107" t="str">
        <f t="shared" si="2"/>
        <v/>
      </c>
      <c r="J76" s="108"/>
      <c r="K76" s="107" t="str">
        <f>IF(Waste[[#This Row],[Month]]&lt;&gt;"",VLOOKUP(Waste[[#This Row],[Month]],dropdown!$S$4:$T$15,2,FALSE),"")</f>
        <v/>
      </c>
      <c r="L76" s="109"/>
      <c r="M76" s="110"/>
      <c r="N76" s="109"/>
      <c r="O76" s="111"/>
    </row>
    <row r="77" spans="9:15" x14ac:dyDescent="0.2">
      <c r="I77" s="107" t="str">
        <f t="shared" si="2"/>
        <v/>
      </c>
      <c r="J77" s="108"/>
      <c r="K77" s="107" t="str">
        <f>IF(Waste[[#This Row],[Month]]&lt;&gt;"",VLOOKUP(Waste[[#This Row],[Month]],dropdown!$S$4:$T$15,2,FALSE),"")</f>
        <v/>
      </c>
      <c r="L77" s="109"/>
      <c r="M77" s="110"/>
      <c r="N77" s="109"/>
      <c r="O77" s="111"/>
    </row>
    <row r="78" spans="9:15" x14ac:dyDescent="0.2">
      <c r="I78" s="107" t="str">
        <f t="shared" si="2"/>
        <v/>
      </c>
      <c r="J78" s="108"/>
      <c r="K78" s="107" t="str">
        <f>IF(Waste[[#This Row],[Month]]&lt;&gt;"",VLOOKUP(Waste[[#This Row],[Month]],dropdown!$S$4:$T$15,2,FALSE),"")</f>
        <v/>
      </c>
      <c r="L78" s="109"/>
      <c r="M78" s="110"/>
      <c r="N78" s="109"/>
      <c r="O78" s="111"/>
    </row>
    <row r="79" spans="9:15" x14ac:dyDescent="0.2">
      <c r="I79" s="107" t="str">
        <f t="shared" si="2"/>
        <v/>
      </c>
      <c r="J79" s="108"/>
      <c r="K79" s="107" t="str">
        <f>IF(Waste[[#This Row],[Month]]&lt;&gt;"",VLOOKUP(Waste[[#This Row],[Month]],dropdown!$S$4:$T$15,2,FALSE),"")</f>
        <v/>
      </c>
      <c r="L79" s="109"/>
      <c r="M79" s="110"/>
      <c r="N79" s="109"/>
      <c r="O79" s="111"/>
    </row>
    <row r="80" spans="9:15" x14ac:dyDescent="0.2">
      <c r="I80" s="107" t="str">
        <f t="shared" si="2"/>
        <v/>
      </c>
      <c r="J80" s="108"/>
      <c r="K80" s="107" t="str">
        <f>IF(Waste[[#This Row],[Month]]&lt;&gt;"",VLOOKUP(Waste[[#This Row],[Month]],dropdown!$S$4:$T$15,2,FALSE),"")</f>
        <v/>
      </c>
      <c r="L80" s="109"/>
      <c r="M80" s="110"/>
      <c r="N80" s="109"/>
      <c r="O80" s="111"/>
    </row>
    <row r="81" spans="9:15" x14ac:dyDescent="0.2">
      <c r="I81" s="107" t="str">
        <f t="shared" si="2"/>
        <v/>
      </c>
      <c r="J81" s="108"/>
      <c r="K81" s="107" t="str">
        <f>IF(Waste[[#This Row],[Month]]&lt;&gt;"",VLOOKUP(Waste[[#This Row],[Month]],dropdown!$S$4:$T$15,2,FALSE),"")</f>
        <v/>
      </c>
      <c r="L81" s="109"/>
      <c r="M81" s="110"/>
      <c r="N81" s="109"/>
      <c r="O81" s="111"/>
    </row>
    <row r="82" spans="9:15" x14ac:dyDescent="0.2">
      <c r="I82" s="107" t="str">
        <f t="shared" si="2"/>
        <v/>
      </c>
      <c r="J82" s="108"/>
      <c r="K82" s="107" t="str">
        <f>IF(Waste[[#This Row],[Month]]&lt;&gt;"",VLOOKUP(Waste[[#This Row],[Month]],dropdown!$S$4:$T$15,2,FALSE),"")</f>
        <v/>
      </c>
      <c r="L82" s="109"/>
      <c r="M82" s="110"/>
      <c r="N82" s="109"/>
      <c r="O82" s="111"/>
    </row>
    <row r="83" spans="9:15" x14ac:dyDescent="0.2">
      <c r="I83" s="107" t="str">
        <f t="shared" si="2"/>
        <v/>
      </c>
      <c r="J83" s="108"/>
      <c r="K83" s="107" t="str">
        <f>IF(Waste[[#This Row],[Month]]&lt;&gt;"",VLOOKUP(Waste[[#This Row],[Month]],dropdown!$S$4:$T$15,2,FALSE),"")</f>
        <v/>
      </c>
      <c r="L83" s="109"/>
      <c r="M83" s="110"/>
      <c r="N83" s="109"/>
      <c r="O83" s="111"/>
    </row>
    <row r="84" spans="9:15" x14ac:dyDescent="0.2">
      <c r="I84" s="107" t="str">
        <f t="shared" si="2"/>
        <v/>
      </c>
      <c r="J84" s="108"/>
      <c r="K84" s="107" t="str">
        <f>IF(Waste[[#This Row],[Month]]&lt;&gt;"",VLOOKUP(Waste[[#This Row],[Month]],dropdown!$S$4:$T$15,2,FALSE),"")</f>
        <v/>
      </c>
      <c r="L84" s="109"/>
      <c r="M84" s="110"/>
      <c r="N84" s="109"/>
      <c r="O84" s="111"/>
    </row>
    <row r="85" spans="9:15" x14ac:dyDescent="0.2">
      <c r="I85" s="107" t="str">
        <f t="shared" si="2"/>
        <v/>
      </c>
      <c r="J85" s="108"/>
      <c r="K85" s="107" t="str">
        <f>IF(Waste[[#This Row],[Month]]&lt;&gt;"",VLOOKUP(Waste[[#This Row],[Month]],dropdown!$S$4:$T$15,2,FALSE),"")</f>
        <v/>
      </c>
      <c r="L85" s="109"/>
      <c r="M85" s="110"/>
      <c r="N85" s="109"/>
      <c r="O85" s="111"/>
    </row>
    <row r="86" spans="9:15" x14ac:dyDescent="0.2">
      <c r="I86" s="107" t="str">
        <f t="shared" si="2"/>
        <v/>
      </c>
      <c r="J86" s="108"/>
      <c r="K86" s="107" t="str">
        <f>IF(Waste[[#This Row],[Month]]&lt;&gt;"",VLOOKUP(Waste[[#This Row],[Month]],dropdown!$S$4:$T$15,2,FALSE),"")</f>
        <v/>
      </c>
      <c r="L86" s="109"/>
      <c r="M86" s="110"/>
      <c r="N86" s="109"/>
      <c r="O86" s="111"/>
    </row>
    <row r="87" spans="9:15" x14ac:dyDescent="0.2">
      <c r="I87" s="107" t="str">
        <f t="shared" si="2"/>
        <v/>
      </c>
      <c r="J87" s="108"/>
      <c r="K87" s="107" t="str">
        <f>IF(Waste[[#This Row],[Month]]&lt;&gt;"",VLOOKUP(Waste[[#This Row],[Month]],dropdown!$S$4:$T$15,2,FALSE),"")</f>
        <v/>
      </c>
      <c r="L87" s="109"/>
      <c r="M87" s="110"/>
      <c r="N87" s="109"/>
      <c r="O87" s="111"/>
    </row>
    <row r="88" spans="9:15" x14ac:dyDescent="0.2">
      <c r="I88" s="107" t="str">
        <f t="shared" si="2"/>
        <v/>
      </c>
      <c r="J88" s="108"/>
      <c r="K88" s="107" t="str">
        <f>IF(Waste[[#This Row],[Month]]&lt;&gt;"",VLOOKUP(Waste[[#This Row],[Month]],dropdown!$S$4:$T$15,2,FALSE),"")</f>
        <v/>
      </c>
      <c r="L88" s="109"/>
      <c r="M88" s="110"/>
      <c r="N88" s="109"/>
      <c r="O88" s="111"/>
    </row>
    <row r="89" spans="9:15" x14ac:dyDescent="0.2">
      <c r="I89" s="107" t="str">
        <f t="shared" si="2"/>
        <v/>
      </c>
      <c r="J89" s="108"/>
      <c r="K89" s="107" t="str">
        <f>IF(Waste[[#This Row],[Month]]&lt;&gt;"",VLOOKUP(Waste[[#This Row],[Month]],dropdown!$S$4:$T$15,2,FALSE),"")</f>
        <v/>
      </c>
      <c r="L89" s="109"/>
      <c r="M89" s="110"/>
      <c r="N89" s="109"/>
      <c r="O89" s="111"/>
    </row>
    <row r="90" spans="9:15" x14ac:dyDescent="0.2">
      <c r="I90" s="107" t="str">
        <f t="shared" si="2"/>
        <v/>
      </c>
      <c r="J90" s="108"/>
      <c r="K90" s="107" t="str">
        <f>IF(Waste[[#This Row],[Month]]&lt;&gt;"",VLOOKUP(Waste[[#This Row],[Month]],dropdown!$S$4:$T$15,2,FALSE),"")</f>
        <v/>
      </c>
      <c r="L90" s="109"/>
      <c r="M90" s="110"/>
      <c r="N90" s="109"/>
      <c r="O90" s="111"/>
    </row>
    <row r="91" spans="9:15" x14ac:dyDescent="0.2">
      <c r="I91" s="107" t="str">
        <f t="shared" si="2"/>
        <v/>
      </c>
      <c r="J91" s="108"/>
      <c r="K91" s="107" t="str">
        <f>IF(Waste[[#This Row],[Month]]&lt;&gt;"",VLOOKUP(Waste[[#This Row],[Month]],dropdown!$S$4:$T$15,2,FALSE),"")</f>
        <v/>
      </c>
      <c r="L91" s="109"/>
      <c r="M91" s="110"/>
      <c r="N91" s="109"/>
      <c r="O91" s="111"/>
    </row>
    <row r="92" spans="9:15" x14ac:dyDescent="0.2">
      <c r="I92" s="107" t="str">
        <f t="shared" si="2"/>
        <v/>
      </c>
      <c r="J92" s="108"/>
      <c r="K92" s="107" t="str">
        <f>IF(Waste[[#This Row],[Month]]&lt;&gt;"",VLOOKUP(Waste[[#This Row],[Month]],dropdown!$S$4:$T$15,2,FALSE),"")</f>
        <v/>
      </c>
      <c r="L92" s="109"/>
      <c r="M92" s="110"/>
      <c r="N92" s="109"/>
      <c r="O92" s="111"/>
    </row>
    <row r="93" spans="9:15" x14ac:dyDescent="0.2">
      <c r="I93" s="107" t="str">
        <f t="shared" si="2"/>
        <v/>
      </c>
      <c r="J93" s="108"/>
      <c r="K93" s="107" t="str">
        <f>IF(Waste[[#This Row],[Month]]&lt;&gt;"",VLOOKUP(Waste[[#This Row],[Month]],dropdown!$S$4:$T$15,2,FALSE),"")</f>
        <v/>
      </c>
      <c r="L93" s="109"/>
      <c r="M93" s="110"/>
      <c r="N93" s="109"/>
      <c r="O93" s="111"/>
    </row>
    <row r="94" spans="9:15" x14ac:dyDescent="0.2">
      <c r="I94" s="107" t="str">
        <f t="shared" si="2"/>
        <v/>
      </c>
      <c r="J94" s="108"/>
      <c r="K94" s="107" t="str">
        <f>IF(Waste[[#This Row],[Month]]&lt;&gt;"",VLOOKUP(Waste[[#This Row],[Month]],dropdown!$S$4:$T$15,2,FALSE),"")</f>
        <v/>
      </c>
      <c r="L94" s="109"/>
      <c r="M94" s="110"/>
      <c r="N94" s="109"/>
      <c r="O94" s="111"/>
    </row>
    <row r="95" spans="9:15" x14ac:dyDescent="0.2">
      <c r="I95" s="107" t="str">
        <f t="shared" si="2"/>
        <v/>
      </c>
      <c r="J95" s="108"/>
      <c r="K95" s="107" t="str">
        <f>IF(Waste[[#This Row],[Month]]&lt;&gt;"",VLOOKUP(Waste[[#This Row],[Month]],dropdown!$S$4:$T$15,2,FALSE),"")</f>
        <v/>
      </c>
      <c r="L95" s="109"/>
      <c r="M95" s="110"/>
      <c r="N95" s="109"/>
      <c r="O95" s="111"/>
    </row>
    <row r="96" spans="9:15" x14ac:dyDescent="0.2">
      <c r="I96" s="107" t="str">
        <f t="shared" si="2"/>
        <v/>
      </c>
      <c r="J96" s="108"/>
      <c r="K96" s="107" t="str">
        <f>IF(Waste[[#This Row],[Month]]&lt;&gt;"",VLOOKUP(Waste[[#This Row],[Month]],dropdown!$S$4:$T$15,2,FALSE),"")</f>
        <v/>
      </c>
      <c r="L96" s="109"/>
      <c r="M96" s="110"/>
      <c r="N96" s="109"/>
      <c r="O96" s="111"/>
    </row>
    <row r="97" spans="9:15" x14ac:dyDescent="0.2">
      <c r="I97" s="107" t="str">
        <f t="shared" si="2"/>
        <v/>
      </c>
      <c r="J97" s="108"/>
      <c r="K97" s="107" t="str">
        <f>IF(Waste[[#This Row],[Month]]&lt;&gt;"",VLOOKUP(Waste[[#This Row],[Month]],dropdown!$S$4:$T$15,2,FALSE),"")</f>
        <v/>
      </c>
      <c r="L97" s="109"/>
      <c r="M97" s="110"/>
      <c r="N97" s="109"/>
      <c r="O97" s="111"/>
    </row>
    <row r="98" spans="9:15" x14ac:dyDescent="0.2">
      <c r="I98" s="107" t="str">
        <f t="shared" si="2"/>
        <v/>
      </c>
      <c r="J98" s="108"/>
      <c r="K98" s="107" t="str">
        <f>IF(Waste[[#This Row],[Month]]&lt;&gt;"",VLOOKUP(Waste[[#This Row],[Month]],dropdown!$S$4:$T$15,2,FALSE),"")</f>
        <v/>
      </c>
      <c r="L98" s="109"/>
      <c r="M98" s="110"/>
      <c r="N98" s="109"/>
      <c r="O98" s="111"/>
    </row>
    <row r="99" spans="9:15" x14ac:dyDescent="0.2">
      <c r="I99" s="107" t="str">
        <f t="shared" si="2"/>
        <v/>
      </c>
      <c r="J99" s="108"/>
      <c r="K99" s="107" t="str">
        <f>IF(Waste[[#This Row],[Month]]&lt;&gt;"",VLOOKUP(Waste[[#This Row],[Month]],dropdown!$S$4:$T$15,2,FALSE),"")</f>
        <v/>
      </c>
      <c r="L99" s="109"/>
      <c r="M99" s="110"/>
      <c r="N99" s="109"/>
      <c r="O99" s="111"/>
    </row>
    <row r="100" spans="9:15" x14ac:dyDescent="0.2">
      <c r="I100" s="107" t="str">
        <f t="shared" si="2"/>
        <v/>
      </c>
      <c r="J100" s="108"/>
      <c r="K100" s="107" t="str">
        <f>IF(Waste[[#This Row],[Month]]&lt;&gt;"",VLOOKUP(Waste[[#This Row],[Month]],dropdown!$S$4:$T$15,2,FALSE),"")</f>
        <v/>
      </c>
      <c r="L100" s="109"/>
      <c r="M100" s="110"/>
      <c r="N100" s="109"/>
      <c r="O100" s="111"/>
    </row>
    <row r="101" spans="9:15" x14ac:dyDescent="0.2">
      <c r="I101" s="107" t="str">
        <f t="shared" si="2"/>
        <v/>
      </c>
      <c r="J101" s="108"/>
      <c r="K101" s="107" t="str">
        <f>IF(Waste[[#This Row],[Month]]&lt;&gt;"",VLOOKUP(Waste[[#This Row],[Month]],dropdown!$S$4:$T$15,2,FALSE),"")</f>
        <v/>
      </c>
      <c r="L101" s="109"/>
      <c r="M101" s="110"/>
      <c r="N101" s="109"/>
      <c r="O101" s="111"/>
    </row>
    <row r="102" spans="9:15" x14ac:dyDescent="0.2">
      <c r="I102" s="107" t="str">
        <f t="shared" si="2"/>
        <v/>
      </c>
      <c r="J102" s="108"/>
      <c r="K102" s="107" t="str">
        <f>IF(Waste[[#This Row],[Month]]&lt;&gt;"",VLOOKUP(Waste[[#This Row],[Month]],dropdown!$S$4:$T$15,2,FALSE),"")</f>
        <v/>
      </c>
      <c r="L102" s="109"/>
      <c r="M102" s="110"/>
      <c r="N102" s="109"/>
      <c r="O102" s="111"/>
    </row>
    <row r="103" spans="9:15" x14ac:dyDescent="0.2">
      <c r="I103" s="107" t="str">
        <f t="shared" si="2"/>
        <v/>
      </c>
      <c r="J103" s="108"/>
      <c r="K103" s="107" t="str">
        <f>IF(Waste[[#This Row],[Month]]&lt;&gt;"",VLOOKUP(Waste[[#This Row],[Month]],dropdown!$S$4:$T$15,2,FALSE),"")</f>
        <v/>
      </c>
      <c r="L103" s="109"/>
      <c r="M103" s="110"/>
      <c r="N103" s="109"/>
      <c r="O103" s="111"/>
    </row>
    <row r="104" spans="9:15" x14ac:dyDescent="0.2">
      <c r="I104" s="112" t="str">
        <f t="shared" si="2"/>
        <v/>
      </c>
      <c r="J104" s="113"/>
      <c r="K104" s="107" t="str">
        <f>IF(Waste[[#This Row],[Month]]&lt;&gt;"",VLOOKUP(Waste[[#This Row],[Month]],dropdown!$S$4:$T$15,2,FALSE),"")</f>
        <v/>
      </c>
      <c r="L104" s="114"/>
      <c r="M104" s="115"/>
      <c r="N104" s="114"/>
      <c r="O104" s="116"/>
    </row>
    <row r="106" spans="9:15" x14ac:dyDescent="0.2">
      <c r="I106" s="117" t="s">
        <v>184</v>
      </c>
    </row>
  </sheetData>
  <sheetProtection algorithmName="SHA-512" hashValue="tFEbAFFpSrWPs6HnVmvktzCSSYvYdZHcv36GUeY5nfJMR0GeGqPxD/uQQkIEo0PgYHNAxz0m3QgVar86wljiOQ==" saltValue="SrAHw1B+sc7CzmabFKoOIQ==" spinCount="100000" sheet="1" objects="1" scenarios="1" selectLockedCells="1"/>
  <protectedRanges>
    <protectedRange sqref="J7:J104 L7:L104 M7:M104 N7:O104 N9:N13 L9 L10 L11 L12 L13" name="Range1"/>
    <protectedRange sqref="J8:J13" name="Range1_1"/>
    <protectedRange sqref="M8:M13 M9:M13" name="Range1_2"/>
    <protectedRange sqref="O8:O13" name="Range1_3"/>
  </protectedRanges>
  <mergeCells count="2">
    <mergeCell ref="C6:G6"/>
    <mergeCell ref="C7:G7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900-000000000000}">
          <x14:formula1>
            <xm:f>dropdown!$S$4:$S$15</xm:f>
          </x14:formula1>
          <xm:sqref>J8:J104</xm:sqref>
        </x14:dataValidation>
        <x14:dataValidation type="list" allowBlank="1" showInputMessage="1" showErrorMessage="1" xr:uid="{00000000-0002-0000-0900-000001000000}">
          <x14:formula1>
            <xm:f>dropdown!$B$4:$B$9</xm:f>
          </x14:formula1>
          <xm:sqref>L8:L104</xm:sqref>
        </x14:dataValidation>
        <x14:dataValidation type="list" allowBlank="1" showInputMessage="1" showErrorMessage="1" xr:uid="{00000000-0002-0000-0900-000002000000}">
          <x14:formula1>
            <xm:f>dropdown!$D$4:$D$10</xm:f>
          </x14:formula1>
          <xm:sqref>N8:N104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theme="5"/>
  </sheetPr>
  <dimension ref="B6:Q30"/>
  <sheetViews>
    <sheetView topLeftCell="A8" zoomScale="88" zoomScaleNormal="88" workbookViewId="0">
      <selection activeCell="C8" sqref="B8:C8"/>
    </sheetView>
  </sheetViews>
  <sheetFormatPr baseColWidth="10" defaultColWidth="10.83203125" defaultRowHeight="19" x14ac:dyDescent="0.2"/>
  <cols>
    <col min="1" max="1" width="8" style="48" customWidth="1"/>
    <col min="2" max="2" width="18.1640625" style="49" customWidth="1"/>
    <col min="3" max="3" width="26.5" style="48" customWidth="1"/>
    <col min="4" max="4" width="5.33203125" style="48" customWidth="1"/>
    <col min="5" max="5" width="36.1640625" style="48" customWidth="1"/>
    <col min="6" max="6" width="12.6640625" style="50" customWidth="1"/>
    <col min="7" max="7" width="14.6640625" style="48" customWidth="1"/>
    <col min="8" max="8" width="1.6640625" style="48" customWidth="1"/>
    <col min="9" max="9" width="0.6640625" style="51" hidden="1" customWidth="1"/>
    <col min="10" max="10" width="17" style="48" customWidth="1"/>
    <col min="11" max="11" width="4.5" style="48" customWidth="1"/>
    <col min="12" max="12" width="32.1640625" style="48" customWidth="1"/>
    <col min="13" max="13" width="25.6640625" style="48" customWidth="1"/>
    <col min="14" max="14" width="15" style="48" customWidth="1"/>
    <col min="15" max="15" width="2.33203125" style="48" customWidth="1"/>
    <col min="16" max="16" width="12.83203125" style="48" hidden="1" customWidth="1"/>
    <col min="17" max="17" width="19.1640625" style="48" customWidth="1"/>
    <col min="18" max="16384" width="10.83203125" style="48"/>
  </cols>
  <sheetData>
    <row r="6" spans="2:17" ht="19" customHeight="1" x14ac:dyDescent="0.2">
      <c r="B6" s="52" t="s">
        <v>9</v>
      </c>
      <c r="C6" s="53" t="str">
        <f>'1. Data Info and Summary'!$D$2</f>
        <v>Mindanao Regional Office</v>
      </c>
      <c r="E6" s="462" t="s">
        <v>326</v>
      </c>
      <c r="F6" s="462"/>
      <c r="G6" s="462"/>
      <c r="H6" s="462"/>
      <c r="I6" s="462"/>
      <c r="J6" s="462"/>
      <c r="K6" s="462"/>
      <c r="L6" s="462"/>
      <c r="M6" s="462"/>
      <c r="N6" s="462"/>
      <c r="O6" s="462"/>
      <c r="P6" s="462"/>
      <c r="Q6" s="462"/>
    </row>
    <row r="7" spans="2:17" ht="20" customHeight="1" x14ac:dyDescent="0.2">
      <c r="B7" s="52" t="s">
        <v>14</v>
      </c>
      <c r="C7" s="53">
        <f>'1. Data Info and Summary'!$D$3</f>
        <v>2025</v>
      </c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</row>
    <row r="8" spans="2:17" ht="20" customHeight="1" x14ac:dyDescent="0.2">
      <c r="B8" s="54"/>
    </row>
    <row r="9" spans="2:17" x14ac:dyDescent="0.2">
      <c r="C9" s="49"/>
      <c r="E9" s="460" t="s">
        <v>327</v>
      </c>
      <c r="F9" s="460"/>
      <c r="G9" s="460"/>
      <c r="H9" s="460"/>
      <c r="I9" s="460"/>
      <c r="J9" s="460"/>
      <c r="L9" s="460" t="s">
        <v>328</v>
      </c>
      <c r="M9" s="460"/>
      <c r="N9" s="460"/>
      <c r="O9" s="460"/>
      <c r="P9" s="460"/>
      <c r="Q9" s="460"/>
    </row>
    <row r="10" spans="2:17" ht="8" customHeight="1" x14ac:dyDescent="0.2">
      <c r="B10" s="54"/>
    </row>
    <row r="11" spans="2:17" x14ac:dyDescent="0.2">
      <c r="E11" s="461" t="s">
        <v>329</v>
      </c>
      <c r="F11" s="461"/>
      <c r="G11" s="461"/>
      <c r="H11" s="461"/>
      <c r="I11" s="461"/>
      <c r="J11" s="461"/>
      <c r="L11" s="461" t="s">
        <v>330</v>
      </c>
      <c r="M11" s="461"/>
      <c r="N11" s="461"/>
      <c r="O11" s="461"/>
      <c r="P11" s="461"/>
      <c r="Q11" s="461"/>
    </row>
    <row r="12" spans="2:17" x14ac:dyDescent="0.2">
      <c r="E12" s="55" t="str">
        <f>'1. Data Info and Summary'!$C17</f>
        <v>Fuel Type</v>
      </c>
      <c r="F12" s="56" t="s">
        <v>331</v>
      </c>
      <c r="G12" s="55" t="s">
        <v>52</v>
      </c>
      <c r="H12" s="57"/>
      <c r="I12" s="56" t="s">
        <v>332</v>
      </c>
      <c r="J12" s="56" t="s">
        <v>333</v>
      </c>
      <c r="L12" s="55" t="str">
        <f>'2.3a Electricity'!$B$11</f>
        <v>Electricity</v>
      </c>
      <c r="M12" s="61" t="s">
        <v>331</v>
      </c>
      <c r="N12" s="55" t="str">
        <f>'2.3a Electricity'!$C$11</f>
        <v>Unit</v>
      </c>
      <c r="O12" s="57"/>
      <c r="P12" s="56" t="s">
        <v>332</v>
      </c>
      <c r="Q12" s="55" t="s">
        <v>333</v>
      </c>
    </row>
    <row r="13" spans="2:17" x14ac:dyDescent="0.2">
      <c r="E13" s="58" t="str">
        <f>'1. Data Info and Summary'!$C18</f>
        <v>Diesel - Standby generator sets</v>
      </c>
      <c r="F13" s="59">
        <f>'1. Data Info and Summary'!$E18</f>
        <v>1104.71</v>
      </c>
      <c r="G13" s="58" t="str">
        <f>'1. Data Info and Summary'!$D18</f>
        <v>Liters</v>
      </c>
      <c r="I13" s="62">
        <f>VLOOKUP($E13,Emission_Factors!$A$1:$G$20,5,FALSE)</f>
        <v>2.68</v>
      </c>
      <c r="J13" s="63">
        <f>F13*I13</f>
        <v>2960.6228000000001</v>
      </c>
      <c r="L13" s="58" t="s">
        <v>156</v>
      </c>
      <c r="M13" s="59">
        <f>SUM('2.3a Electricity'!$D$12:$G$12)</f>
        <v>502316</v>
      </c>
      <c r="N13" s="58" t="str">
        <f>'2.3a Electricity'!$C$12</f>
        <v>Kilowatt-hour</v>
      </c>
      <c r="P13" s="62">
        <f>VLOOKUP($L13,Emission_Factors!$A$1:$G$20,5,FALSE)</f>
        <v>0.56000000000000005</v>
      </c>
      <c r="Q13" s="63">
        <f>M13*P13</f>
        <v>281296.96000000002</v>
      </c>
    </row>
    <row r="14" spans="2:17" x14ac:dyDescent="0.2">
      <c r="E14" s="58" t="str">
        <f>'1. Data Info and Summary'!$C19</f>
        <v>Diesel - Others</v>
      </c>
      <c r="F14" s="59">
        <f>'1. Data Info and Summary'!$E19</f>
        <v>0</v>
      </c>
      <c r="G14" s="58" t="str">
        <f>'1. Data Info and Summary'!$D19</f>
        <v>Liters</v>
      </c>
      <c r="I14" s="62">
        <f>VLOOKUP($E14,Emission_Factors!$A$1:$G$20,5,FALSE)</f>
        <v>2.68</v>
      </c>
      <c r="J14" s="63">
        <f t="shared" ref="J14:J17" si="0">F14*I14</f>
        <v>0</v>
      </c>
    </row>
    <row r="15" spans="2:17" x14ac:dyDescent="0.2">
      <c r="E15" s="58" t="str">
        <f>'1. Data Info and Summary'!$C20</f>
        <v>Gasoline - Others</v>
      </c>
      <c r="F15" s="59">
        <f>'1. Data Info and Summary'!$E20</f>
        <v>0</v>
      </c>
      <c r="G15" s="58" t="str">
        <f>'1. Data Info and Summary'!$D20</f>
        <v>Liters</v>
      </c>
      <c r="I15" s="62">
        <f>VLOOKUP($E15,Emission_Factors!$A$1:$G$20,5,FALSE)</f>
        <v>2.3199999999999998</v>
      </c>
      <c r="J15" s="63">
        <f t="shared" si="0"/>
        <v>0</v>
      </c>
    </row>
    <row r="16" spans="2:17" x14ac:dyDescent="0.2">
      <c r="E16" s="58" t="str">
        <f>'1. Data Info and Summary'!$C21</f>
        <v>LPG - Heating and cooking</v>
      </c>
      <c r="F16" s="59">
        <f>'1. Data Info and Summary'!$E21</f>
        <v>0</v>
      </c>
      <c r="G16" s="58" t="str">
        <f>'1. Data Info and Summary'!$D21</f>
        <v>Kilograms</v>
      </c>
      <c r="I16" s="62">
        <f>VLOOKUP($E16,Emission_Factors!$A$1:$G$20,5,FALSE)</f>
        <v>1.51</v>
      </c>
      <c r="J16" s="63">
        <f t="shared" si="0"/>
        <v>0</v>
      </c>
    </row>
    <row r="17" spans="5:10" x14ac:dyDescent="0.2">
      <c r="E17" s="58" t="str">
        <f>'1. Data Info and Summary'!$C22</f>
        <v>Compressed natural gas</v>
      </c>
      <c r="F17" s="59">
        <f>'1. Data Info and Summary'!$E22</f>
        <v>0</v>
      </c>
      <c r="G17" s="58" t="str">
        <f>'1. Data Info and Summary'!$D22</f>
        <v>Cubic meters</v>
      </c>
      <c r="I17" s="62">
        <f>VLOOKUP($E17,Emission_Factors!$A$1:$G$20,5,FALSE)</f>
        <v>1.9</v>
      </c>
      <c r="J17" s="63">
        <f t="shared" si="0"/>
        <v>0</v>
      </c>
    </row>
    <row r="18" spans="5:10" x14ac:dyDescent="0.2">
      <c r="E18" s="60" t="s">
        <v>334</v>
      </c>
      <c r="F18" s="59"/>
      <c r="G18" s="58"/>
      <c r="I18" s="62"/>
      <c r="J18" s="64">
        <f>SUM(J13:J17)</f>
        <v>2960.6228000000001</v>
      </c>
    </row>
    <row r="20" spans="5:10" x14ac:dyDescent="0.2">
      <c r="E20" s="461" t="s">
        <v>335</v>
      </c>
      <c r="F20" s="461"/>
      <c r="G20" s="461"/>
      <c r="H20" s="461"/>
      <c r="I20" s="461"/>
      <c r="J20" s="461"/>
    </row>
    <row r="21" spans="5:10" x14ac:dyDescent="0.2">
      <c r="E21" s="55" t="str">
        <f>'1. Data Info and Summary'!$C25</f>
        <v>Fuel Type</v>
      </c>
      <c r="F21" s="55" t="s">
        <v>331</v>
      </c>
      <c r="G21" s="55" t="s">
        <v>52</v>
      </c>
      <c r="H21" s="57"/>
      <c r="I21" s="56" t="s">
        <v>332</v>
      </c>
      <c r="J21" s="56" t="s">
        <v>333</v>
      </c>
    </row>
    <row r="22" spans="5:10" x14ac:dyDescent="0.2">
      <c r="E22" s="58" t="str">
        <f>'1. Data Info and Summary'!$C26</f>
        <v>Diesel - Transport vehicles</v>
      </c>
      <c r="F22" s="59">
        <f>'1. Data Info and Summary'!$E26</f>
        <v>2040.18</v>
      </c>
      <c r="G22" s="58" t="str">
        <f>'1. Data Info and Summary'!$D26</f>
        <v>Liters</v>
      </c>
      <c r="I22" s="62">
        <f>VLOOKUP($E22,Emission_Factors!$A$1:$G$20,5,FALSE)</f>
        <v>2.68</v>
      </c>
      <c r="J22" s="63">
        <f>F22*I22</f>
        <v>5467.6823999999997</v>
      </c>
    </row>
    <row r="23" spans="5:10" x14ac:dyDescent="0.2">
      <c r="E23" s="58" t="str">
        <f>'1. Data Info and Summary'!$C27</f>
        <v>Gasoline - Transport vehicles</v>
      </c>
      <c r="F23" s="59">
        <f>'1. Data Info and Summary'!$E27</f>
        <v>0</v>
      </c>
      <c r="G23" s="58" t="str">
        <f>'1. Data Info and Summary'!$D27</f>
        <v>Liters</v>
      </c>
      <c r="I23" s="62">
        <f>VLOOKUP($E23,Emission_Factors!$A$1:$G$20,5,FALSE)</f>
        <v>2.3199999999999998</v>
      </c>
      <c r="J23" s="63">
        <f t="shared" ref="J23" si="1">F23*I23</f>
        <v>0</v>
      </c>
    </row>
    <row r="24" spans="5:10" x14ac:dyDescent="0.2">
      <c r="E24" s="60" t="s">
        <v>334</v>
      </c>
      <c r="F24" s="59"/>
      <c r="G24" s="58"/>
      <c r="I24" s="62"/>
      <c r="J24" s="64">
        <f>SUM(J22:J23)</f>
        <v>5467.6823999999997</v>
      </c>
    </row>
    <row r="26" spans="5:10" x14ac:dyDescent="0.2">
      <c r="F26" s="48"/>
      <c r="I26" s="48"/>
    </row>
    <row r="27" spans="5:10" x14ac:dyDescent="0.2">
      <c r="F27" s="48"/>
      <c r="I27" s="48"/>
    </row>
    <row r="28" spans="5:10" x14ac:dyDescent="0.2">
      <c r="F28" s="48"/>
      <c r="I28" s="48"/>
    </row>
    <row r="29" spans="5:10" x14ac:dyDescent="0.2">
      <c r="F29" s="48"/>
      <c r="I29" s="48"/>
    </row>
    <row r="30" spans="5:10" x14ac:dyDescent="0.2">
      <c r="F30" s="48"/>
      <c r="I30" s="48"/>
    </row>
  </sheetData>
  <mergeCells count="6">
    <mergeCell ref="E6:Q7"/>
    <mergeCell ref="E9:J9"/>
    <mergeCell ref="L9:Q9"/>
    <mergeCell ref="E11:J11"/>
    <mergeCell ref="L11:Q11"/>
    <mergeCell ref="E20:J2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>
    <tabColor theme="3" tint="-0.249977111117893"/>
  </sheetPr>
  <dimension ref="A1:U166"/>
  <sheetViews>
    <sheetView showGridLines="0" topLeftCell="E1" workbookViewId="0">
      <selection activeCell="E10" sqref="E10"/>
    </sheetView>
  </sheetViews>
  <sheetFormatPr baseColWidth="10" defaultColWidth="11.5" defaultRowHeight="15" outlineLevelRow="1" x14ac:dyDescent="0.2"/>
  <cols>
    <col min="1" max="1" width="24" bestFit="1" customWidth="1"/>
    <col min="2" max="2" width="9.83203125" bestFit="1" customWidth="1"/>
    <col min="3" max="3" width="6.6640625" bestFit="1" customWidth="1"/>
    <col min="4" max="4" width="7.6640625" bestFit="1" customWidth="1"/>
    <col min="5" max="5" width="10" bestFit="1" customWidth="1"/>
    <col min="6" max="6" width="7.5" customWidth="1"/>
    <col min="7" max="8" width="11.33203125" customWidth="1"/>
  </cols>
  <sheetData>
    <row r="1" spans="1:17" ht="19" x14ac:dyDescent="0.25">
      <c r="A1" s="32" t="s">
        <v>153</v>
      </c>
      <c r="B1" s="33"/>
      <c r="C1" s="33"/>
      <c r="D1" s="33"/>
      <c r="E1" s="33"/>
      <c r="F1" s="33"/>
      <c r="G1" s="31"/>
      <c r="H1" s="34"/>
      <c r="I1" s="31"/>
      <c r="J1" s="31"/>
      <c r="K1" s="31"/>
      <c r="L1" s="31"/>
      <c r="M1" s="40"/>
      <c r="N1" s="40"/>
      <c r="O1" s="41"/>
      <c r="P1" s="35"/>
      <c r="Q1" s="31"/>
    </row>
    <row r="2" spans="1:17" outlineLevel="1" x14ac:dyDescent="0.2">
      <c r="A2" s="35"/>
      <c r="B2" s="35"/>
      <c r="C2" s="35"/>
      <c r="D2" s="35"/>
      <c r="E2" s="35"/>
      <c r="F2" s="35"/>
      <c r="G2" s="31"/>
      <c r="H2" s="34"/>
      <c r="I2" s="31"/>
      <c r="J2" s="31"/>
      <c r="K2" s="31"/>
      <c r="L2" s="31"/>
      <c r="M2" s="40"/>
      <c r="N2" s="40"/>
      <c r="O2" s="41"/>
      <c r="P2" s="35"/>
      <c r="Q2" s="31"/>
    </row>
    <row r="3" spans="1:17" outlineLevel="1" x14ac:dyDescent="0.2">
      <c r="C3" s="35"/>
      <c r="D3" s="35"/>
      <c r="E3" s="35"/>
      <c r="F3" s="35"/>
      <c r="G3" s="31"/>
      <c r="H3" s="34"/>
      <c r="I3" s="31"/>
      <c r="J3" s="31"/>
      <c r="K3" s="31"/>
      <c r="L3" s="31"/>
      <c r="M3" s="40"/>
      <c r="N3" s="40"/>
      <c r="O3" s="41"/>
      <c r="P3" s="35"/>
      <c r="Q3" s="31"/>
    </row>
    <row r="4" spans="1:17" outlineLevel="1" x14ac:dyDescent="0.2">
      <c r="A4" t="s">
        <v>40</v>
      </c>
      <c r="B4" t="s">
        <v>336</v>
      </c>
      <c r="C4" s="35"/>
      <c r="D4" s="35"/>
      <c r="E4" s="35"/>
      <c r="F4" s="35"/>
      <c r="G4" s="31"/>
      <c r="H4" s="34"/>
      <c r="I4" s="31"/>
      <c r="J4" s="31"/>
      <c r="K4" s="31"/>
      <c r="L4" s="31"/>
      <c r="M4" s="40"/>
      <c r="N4" s="40"/>
      <c r="O4" s="41"/>
      <c r="P4" s="35"/>
      <c r="Q4" s="31"/>
    </row>
    <row r="5" spans="1:17" outlineLevel="1" x14ac:dyDescent="0.2">
      <c r="A5" s="35"/>
      <c r="B5" s="35"/>
      <c r="C5" s="35"/>
      <c r="D5" s="35"/>
      <c r="E5" s="35"/>
      <c r="F5" s="35"/>
      <c r="G5" s="31"/>
      <c r="H5" s="34"/>
      <c r="I5" s="31"/>
      <c r="J5" s="31"/>
      <c r="K5" s="31"/>
      <c r="L5" s="31"/>
      <c r="M5" s="40"/>
      <c r="N5" s="40"/>
      <c r="O5" s="41"/>
      <c r="P5" s="35"/>
      <c r="Q5" s="31"/>
    </row>
    <row r="6" spans="1:17" outlineLevel="1" x14ac:dyDescent="0.2">
      <c r="A6" t="s">
        <v>337</v>
      </c>
      <c r="B6" t="s">
        <v>44</v>
      </c>
      <c r="G6" s="31"/>
      <c r="H6" s="34"/>
      <c r="I6" s="31"/>
      <c r="J6" s="31"/>
      <c r="K6" s="31"/>
      <c r="L6" s="31"/>
      <c r="M6" s="40"/>
      <c r="N6" s="40"/>
      <c r="O6" s="41"/>
      <c r="P6" s="35"/>
      <c r="Q6" s="31"/>
    </row>
    <row r="7" spans="1:17" outlineLevel="1" x14ac:dyDescent="0.2">
      <c r="A7" t="s">
        <v>338</v>
      </c>
      <c r="B7" t="s">
        <v>151</v>
      </c>
      <c r="C7" t="s">
        <v>152</v>
      </c>
      <c r="D7" t="s">
        <v>339</v>
      </c>
      <c r="G7" s="31"/>
      <c r="H7" s="34"/>
      <c r="I7" s="31"/>
      <c r="J7" s="31"/>
      <c r="K7" s="31"/>
      <c r="L7" s="31"/>
      <c r="M7" s="40"/>
      <c r="N7" s="40"/>
      <c r="O7" s="41"/>
      <c r="P7" s="35"/>
      <c r="Q7" s="31"/>
    </row>
    <row r="8" spans="1:17" outlineLevel="1" x14ac:dyDescent="0.2">
      <c r="A8" s="22" t="s">
        <v>340</v>
      </c>
      <c r="B8" s="36"/>
      <c r="C8" s="36"/>
      <c r="D8" s="36"/>
      <c r="G8" s="31"/>
      <c r="H8" s="34"/>
      <c r="I8" s="31"/>
      <c r="J8" s="31"/>
      <c r="K8" s="31"/>
      <c r="L8" s="31"/>
      <c r="M8" s="40"/>
      <c r="N8" s="40"/>
      <c r="O8" s="41"/>
      <c r="P8" s="35"/>
      <c r="Q8" s="31"/>
    </row>
    <row r="9" spans="1:17" outlineLevel="1" x14ac:dyDescent="0.2">
      <c r="A9" s="22" t="s">
        <v>38</v>
      </c>
      <c r="B9" s="36"/>
      <c r="C9" s="36">
        <v>100</v>
      </c>
      <c r="D9" s="36">
        <v>100</v>
      </c>
      <c r="G9" s="31"/>
      <c r="H9" s="34"/>
      <c r="I9" s="31"/>
      <c r="J9" s="31"/>
      <c r="K9" s="31"/>
      <c r="L9" s="31"/>
      <c r="M9" s="40"/>
      <c r="N9" s="40"/>
      <c r="O9" s="41"/>
      <c r="P9" s="35"/>
      <c r="Q9" s="31"/>
    </row>
    <row r="10" spans="1:17" outlineLevel="1" x14ac:dyDescent="0.2">
      <c r="A10" s="22" t="s">
        <v>339</v>
      </c>
      <c r="B10" s="36"/>
      <c r="C10" s="36">
        <v>100</v>
      </c>
      <c r="D10" s="36">
        <v>100</v>
      </c>
      <c r="G10" s="31"/>
      <c r="H10" s="34"/>
      <c r="I10" s="31"/>
      <c r="J10" s="31"/>
      <c r="K10" s="31"/>
      <c r="L10" s="31"/>
      <c r="M10" s="40"/>
      <c r="N10" s="40"/>
      <c r="O10" s="41"/>
      <c r="P10" s="35"/>
      <c r="Q10" s="31"/>
    </row>
    <row r="11" spans="1:17" outlineLevel="1" x14ac:dyDescent="0.2">
      <c r="G11" s="31"/>
      <c r="H11" s="34"/>
      <c r="I11" s="31"/>
      <c r="J11" s="31"/>
      <c r="K11" s="31"/>
      <c r="L11" s="31"/>
      <c r="M11" s="40"/>
      <c r="N11" s="40"/>
      <c r="O11" s="41"/>
      <c r="P11" s="35"/>
      <c r="Q11" s="31"/>
    </row>
    <row r="12" spans="1:17" outlineLevel="1" x14ac:dyDescent="0.2">
      <c r="G12" s="31"/>
      <c r="H12" s="34"/>
      <c r="I12" s="31"/>
      <c r="J12" s="31"/>
      <c r="K12" s="31"/>
      <c r="L12" s="31"/>
      <c r="M12" s="40"/>
      <c r="N12" s="40"/>
      <c r="O12" s="41"/>
      <c r="P12" s="35"/>
      <c r="Q12" s="31"/>
    </row>
    <row r="13" spans="1:17" outlineLevel="1" x14ac:dyDescent="0.2">
      <c r="G13" s="31"/>
      <c r="H13" s="34"/>
      <c r="I13" s="31"/>
      <c r="J13" s="31"/>
      <c r="K13" s="31"/>
      <c r="L13" s="31"/>
      <c r="M13" s="40"/>
      <c r="N13" s="40"/>
      <c r="O13" s="41"/>
      <c r="P13" s="35"/>
      <c r="Q13" s="31"/>
    </row>
    <row r="14" spans="1:17" outlineLevel="1" x14ac:dyDescent="0.2">
      <c r="G14" s="31"/>
      <c r="H14" s="34"/>
      <c r="I14" s="31"/>
      <c r="J14" s="31"/>
      <c r="K14" s="31"/>
      <c r="L14" s="31"/>
      <c r="M14" s="40"/>
      <c r="N14" s="40"/>
      <c r="O14" s="41"/>
      <c r="P14" s="35"/>
      <c r="Q14" s="31"/>
    </row>
    <row r="15" spans="1:17" outlineLevel="1" x14ac:dyDescent="0.2">
      <c r="D15" s="35"/>
      <c r="E15" s="35"/>
      <c r="F15" s="35"/>
      <c r="G15" s="31"/>
      <c r="H15" s="34"/>
      <c r="I15" s="31"/>
      <c r="J15" s="31"/>
      <c r="K15" s="31"/>
      <c r="L15" s="31"/>
      <c r="M15" s="40"/>
      <c r="N15" s="40"/>
      <c r="O15" s="41"/>
      <c r="P15" s="35"/>
      <c r="Q15" s="31"/>
    </row>
    <row r="16" spans="1:17" outlineLevel="1" x14ac:dyDescent="0.2">
      <c r="D16" s="35"/>
      <c r="E16" s="35"/>
      <c r="F16" s="35"/>
      <c r="G16" s="31"/>
      <c r="H16" s="34"/>
      <c r="I16" s="31"/>
      <c r="J16" s="31"/>
      <c r="K16" s="31"/>
      <c r="L16" s="31"/>
      <c r="M16" s="40"/>
      <c r="N16" s="40"/>
      <c r="O16" s="41"/>
      <c r="P16" s="35"/>
      <c r="Q16" s="31"/>
    </row>
    <row r="17" spans="1:19" outlineLevel="1" x14ac:dyDescent="0.2">
      <c r="D17" s="35"/>
      <c r="E17" s="35"/>
      <c r="F17" s="35"/>
      <c r="G17" s="31"/>
      <c r="H17" s="34"/>
      <c r="I17" s="31"/>
      <c r="J17" s="31"/>
      <c r="K17" s="31"/>
      <c r="L17" s="31"/>
      <c r="M17" s="40"/>
      <c r="N17" s="40"/>
      <c r="O17" s="41"/>
      <c r="P17" s="35"/>
      <c r="Q17" s="31"/>
    </row>
    <row r="18" spans="1:19" outlineLevel="1" x14ac:dyDescent="0.2">
      <c r="D18" s="35"/>
      <c r="E18" s="35"/>
      <c r="F18" s="35"/>
      <c r="G18" s="31"/>
      <c r="H18" s="34"/>
      <c r="I18" s="31"/>
      <c r="J18" s="31"/>
      <c r="K18" s="31"/>
      <c r="L18" s="31"/>
      <c r="M18" s="40"/>
      <c r="N18" s="40"/>
      <c r="O18" s="41"/>
      <c r="P18" s="35"/>
      <c r="Q18" s="31"/>
    </row>
    <row r="19" spans="1:19" outlineLevel="1" x14ac:dyDescent="0.2">
      <c r="D19" s="35"/>
      <c r="E19" s="35"/>
      <c r="F19" s="35"/>
      <c r="G19" s="31"/>
      <c r="H19" s="34"/>
      <c r="I19" s="31"/>
      <c r="J19" s="31"/>
      <c r="K19" s="31"/>
      <c r="L19" s="31"/>
      <c r="M19" s="40"/>
      <c r="N19" s="40"/>
      <c r="O19" s="41"/>
      <c r="P19" s="35"/>
      <c r="Q19" s="31"/>
    </row>
    <row r="20" spans="1:19" outlineLevel="1" x14ac:dyDescent="0.2">
      <c r="D20" s="35"/>
      <c r="E20" s="35"/>
      <c r="F20" s="35"/>
      <c r="G20" s="31"/>
      <c r="H20" s="34"/>
      <c r="I20" s="31"/>
      <c r="J20" s="31"/>
      <c r="K20" s="31"/>
      <c r="L20" s="31"/>
      <c r="M20" s="40"/>
      <c r="N20" s="40"/>
      <c r="O20" s="41"/>
      <c r="P20" s="35"/>
      <c r="Q20" s="31"/>
    </row>
    <row r="21" spans="1:19" outlineLevel="1" x14ac:dyDescent="0.2">
      <c r="D21" s="35"/>
      <c r="E21" s="35"/>
      <c r="F21" s="35"/>
      <c r="G21" s="31"/>
      <c r="H21" s="34"/>
      <c r="I21" s="31"/>
      <c r="J21" s="31"/>
      <c r="K21" s="31"/>
      <c r="L21" s="31"/>
      <c r="M21" s="40"/>
      <c r="N21" s="40"/>
      <c r="O21" s="41"/>
      <c r="P21" s="35"/>
      <c r="Q21" s="31"/>
    </row>
    <row r="25" spans="1:19" ht="19" x14ac:dyDescent="0.25">
      <c r="A25" s="32" t="s">
        <v>154</v>
      </c>
      <c r="B25" s="33"/>
      <c r="C25" s="33"/>
      <c r="D25" s="33"/>
      <c r="E25" s="33"/>
      <c r="F25" s="33"/>
    </row>
    <row r="26" spans="1:19" outlineLevel="1" x14ac:dyDescent="0.2"/>
    <row r="27" spans="1:19" outlineLevel="1" x14ac:dyDescent="0.2">
      <c r="A27" s="463" t="s">
        <v>40</v>
      </c>
      <c r="B27" t="s">
        <v>336</v>
      </c>
      <c r="C27" s="35"/>
      <c r="D27" s="35"/>
      <c r="E27" s="35"/>
      <c r="F27" s="35"/>
      <c r="G27" s="31"/>
      <c r="H27" s="34"/>
      <c r="I27" s="31"/>
      <c r="J27" s="31"/>
      <c r="K27" s="40"/>
      <c r="L27" s="40"/>
      <c r="M27" s="41"/>
      <c r="N27" s="41"/>
      <c r="O27" s="35"/>
      <c r="P27" s="41"/>
      <c r="Q27" s="31"/>
      <c r="R27" s="31"/>
      <c r="S27" s="44"/>
    </row>
    <row r="28" spans="1:19" outlineLevel="1" x14ac:dyDescent="0.2">
      <c r="A28" s="35"/>
      <c r="B28" s="35"/>
      <c r="C28" s="35"/>
      <c r="D28" s="35"/>
      <c r="E28" s="35"/>
      <c r="F28" s="35"/>
      <c r="G28" s="31"/>
      <c r="H28" s="34"/>
      <c r="I28" s="31"/>
      <c r="J28" s="31"/>
      <c r="K28" s="40"/>
      <c r="L28" s="40"/>
      <c r="M28" s="41"/>
      <c r="N28" s="41"/>
      <c r="O28" s="35"/>
      <c r="P28" s="41"/>
      <c r="Q28" s="31"/>
      <c r="R28" s="31"/>
      <c r="S28" s="44"/>
    </row>
    <row r="29" spans="1:19" outlineLevel="1" x14ac:dyDescent="0.2">
      <c r="A29" s="463" t="s">
        <v>337</v>
      </c>
      <c r="B29" s="463" t="s">
        <v>44</v>
      </c>
      <c r="I29" s="31"/>
      <c r="J29" s="31"/>
      <c r="K29" s="40"/>
      <c r="L29" s="40"/>
      <c r="M29" s="41"/>
      <c r="N29" s="41"/>
      <c r="O29" s="35"/>
      <c r="P29" s="41"/>
      <c r="Q29" s="31"/>
      <c r="R29" s="31"/>
      <c r="S29" s="44"/>
    </row>
    <row r="30" spans="1:19" outlineLevel="1" x14ac:dyDescent="0.2">
      <c r="A30" s="463" t="s">
        <v>338</v>
      </c>
      <c r="C30" t="s">
        <v>46</v>
      </c>
      <c r="D30" t="s">
        <v>150</v>
      </c>
      <c r="E30" t="s">
        <v>339</v>
      </c>
      <c r="I30" s="31"/>
      <c r="J30" s="31"/>
      <c r="K30" s="40"/>
      <c r="L30" s="40"/>
      <c r="M30" s="41"/>
      <c r="N30" s="41"/>
      <c r="O30" s="35"/>
      <c r="P30" s="41"/>
      <c r="Q30" s="31"/>
      <c r="R30" s="31"/>
      <c r="S30" s="44"/>
    </row>
    <row r="31" spans="1:19" outlineLevel="1" x14ac:dyDescent="0.2">
      <c r="A31" s="22" t="s">
        <v>341</v>
      </c>
      <c r="B31" s="36"/>
      <c r="C31" s="36"/>
      <c r="D31" s="36"/>
      <c r="E31" s="36"/>
      <c r="I31" s="31"/>
      <c r="J31" s="31"/>
      <c r="K31" s="40"/>
      <c r="L31" s="40"/>
      <c r="M31" s="41"/>
      <c r="N31" s="41"/>
      <c r="O31" s="35"/>
      <c r="P31" s="41"/>
      <c r="Q31" s="31"/>
      <c r="R31" s="31"/>
      <c r="S31" s="44"/>
    </row>
    <row r="32" spans="1:19" outlineLevel="1" x14ac:dyDescent="0.2">
      <c r="A32" s="37" t="s">
        <v>341</v>
      </c>
      <c r="B32" s="36"/>
      <c r="C32" s="36"/>
      <c r="D32" s="36"/>
      <c r="E32" s="36"/>
      <c r="I32" s="31"/>
      <c r="J32" s="31"/>
      <c r="K32" s="40"/>
      <c r="L32" s="40"/>
      <c r="M32" s="41"/>
      <c r="N32" s="41"/>
      <c r="O32" s="35"/>
      <c r="P32" s="41"/>
      <c r="Q32" s="31"/>
      <c r="R32" s="31"/>
      <c r="S32" s="44"/>
    </row>
    <row r="33" spans="1:19" outlineLevel="1" x14ac:dyDescent="0.2">
      <c r="A33" s="22" t="s">
        <v>197</v>
      </c>
      <c r="B33" s="36"/>
      <c r="C33" s="36">
        <v>113.34</v>
      </c>
      <c r="D33" s="36">
        <v>136.57999999999998</v>
      </c>
      <c r="E33" s="36">
        <v>249.92</v>
      </c>
      <c r="I33" s="31"/>
      <c r="J33" s="31"/>
      <c r="K33" s="40"/>
      <c r="L33" s="40"/>
      <c r="M33" s="41"/>
      <c r="N33" s="41"/>
      <c r="O33" s="35"/>
      <c r="P33" s="41"/>
      <c r="Q33" s="31"/>
      <c r="R33" s="31"/>
      <c r="S33" s="44"/>
    </row>
    <row r="34" spans="1:19" outlineLevel="1" x14ac:dyDescent="0.2">
      <c r="A34" s="37" t="s">
        <v>63</v>
      </c>
      <c r="B34" s="36"/>
      <c r="C34" s="36">
        <v>113.34</v>
      </c>
      <c r="D34" s="36">
        <v>136.57999999999998</v>
      </c>
      <c r="E34" s="36">
        <v>249.92</v>
      </c>
      <c r="I34" s="31"/>
      <c r="J34" s="31"/>
      <c r="K34" s="40"/>
      <c r="L34" s="40"/>
      <c r="M34" s="41"/>
      <c r="N34" s="41"/>
      <c r="O34" s="35"/>
      <c r="P34" s="41"/>
      <c r="Q34" s="31"/>
      <c r="R34" s="31"/>
      <c r="S34" s="44"/>
    </row>
    <row r="35" spans="1:19" outlineLevel="1" x14ac:dyDescent="0.2">
      <c r="A35" s="22" t="s">
        <v>189</v>
      </c>
      <c r="B35" s="36"/>
      <c r="C35" s="36">
        <v>250.43</v>
      </c>
      <c r="D35" s="36">
        <v>420.08</v>
      </c>
      <c r="E35" s="36">
        <v>670.51</v>
      </c>
      <c r="I35" s="31"/>
      <c r="J35" s="31"/>
      <c r="K35" s="40"/>
      <c r="L35" s="40"/>
      <c r="M35" s="41"/>
      <c r="N35" s="41"/>
      <c r="O35" s="35"/>
      <c r="P35" s="41"/>
      <c r="Q35" s="31"/>
      <c r="R35" s="31"/>
      <c r="S35" s="44"/>
    </row>
    <row r="36" spans="1:19" outlineLevel="1" x14ac:dyDescent="0.2">
      <c r="A36" s="37" t="s">
        <v>63</v>
      </c>
      <c r="B36" s="36"/>
      <c r="C36" s="36">
        <v>250.43</v>
      </c>
      <c r="D36" s="36">
        <v>420.08</v>
      </c>
      <c r="E36" s="36">
        <v>670.51</v>
      </c>
      <c r="H36" s="34"/>
      <c r="I36" s="31"/>
      <c r="J36" s="31"/>
      <c r="K36" s="40"/>
      <c r="L36" s="40"/>
      <c r="M36" s="41"/>
      <c r="N36" s="41"/>
      <c r="O36" s="35"/>
      <c r="P36" s="41"/>
      <c r="Q36" s="31"/>
      <c r="R36" s="31"/>
      <c r="S36" s="44"/>
    </row>
    <row r="37" spans="1:19" outlineLevel="1" x14ac:dyDescent="0.2">
      <c r="A37" s="22" t="s">
        <v>192</v>
      </c>
      <c r="B37" s="36"/>
      <c r="C37" s="36">
        <v>491.27</v>
      </c>
      <c r="D37" s="36">
        <v>628.48</v>
      </c>
      <c r="E37" s="36">
        <v>1119.75</v>
      </c>
      <c r="H37" s="34"/>
      <c r="I37" s="31"/>
      <c r="J37" s="31"/>
      <c r="K37" s="40"/>
      <c r="L37" s="40"/>
      <c r="M37" s="41"/>
      <c r="N37" s="41"/>
      <c r="O37" s="35"/>
      <c r="P37" s="41"/>
      <c r="Q37" s="31"/>
      <c r="R37" s="31"/>
      <c r="S37" s="44"/>
    </row>
    <row r="38" spans="1:19" outlineLevel="1" x14ac:dyDescent="0.2">
      <c r="A38" s="37" t="s">
        <v>63</v>
      </c>
      <c r="B38" s="36"/>
      <c r="C38" s="36">
        <v>491.27</v>
      </c>
      <c r="D38" s="36">
        <v>628.48</v>
      </c>
      <c r="E38" s="36">
        <v>1119.75</v>
      </c>
      <c r="H38" s="34"/>
      <c r="I38" s="31"/>
      <c r="J38" s="31"/>
      <c r="K38" s="40"/>
      <c r="L38" s="40"/>
      <c r="M38" s="41"/>
      <c r="N38" s="41"/>
      <c r="O38" s="35"/>
      <c r="P38" s="41"/>
      <c r="Q38" s="31"/>
      <c r="R38" s="31"/>
      <c r="S38" s="44"/>
    </row>
    <row r="39" spans="1:19" outlineLevel="1" x14ac:dyDescent="0.2">
      <c r="A39" s="22" t="s">
        <v>339</v>
      </c>
      <c r="B39" s="36"/>
      <c r="C39" s="36">
        <v>855.04</v>
      </c>
      <c r="D39" s="36">
        <v>1185.1399999999999</v>
      </c>
      <c r="E39" s="36">
        <v>2040.1799999999998</v>
      </c>
      <c r="H39" s="34"/>
      <c r="I39" s="31"/>
      <c r="J39" s="31"/>
      <c r="K39" s="40"/>
      <c r="L39" s="40"/>
      <c r="M39" s="41"/>
      <c r="N39" s="41"/>
      <c r="O39" s="35"/>
      <c r="P39" s="41"/>
      <c r="Q39" s="31"/>
      <c r="R39" s="31"/>
      <c r="S39" s="44"/>
    </row>
    <row r="40" spans="1:19" outlineLevel="1" x14ac:dyDescent="0.2">
      <c r="H40" s="34"/>
      <c r="I40" s="31"/>
      <c r="J40" s="31"/>
      <c r="K40" s="40"/>
      <c r="L40" s="40"/>
      <c r="M40" s="41"/>
      <c r="N40" s="41"/>
      <c r="O40" s="35"/>
      <c r="P40" s="41"/>
      <c r="Q40" s="31"/>
      <c r="R40" s="31"/>
      <c r="S40" s="44"/>
    </row>
    <row r="41" spans="1:19" outlineLevel="1" x14ac:dyDescent="0.2">
      <c r="H41" s="34"/>
      <c r="I41" s="31"/>
      <c r="J41" s="31"/>
      <c r="K41" s="40"/>
      <c r="L41" s="40"/>
      <c r="M41" s="41"/>
      <c r="N41" s="41"/>
      <c r="O41" s="35"/>
      <c r="P41" s="41"/>
      <c r="Q41" s="31"/>
      <c r="R41" s="31"/>
      <c r="S41" s="44"/>
    </row>
    <row r="42" spans="1:19" outlineLevel="1" x14ac:dyDescent="0.2">
      <c r="H42" s="34"/>
      <c r="I42" s="31"/>
      <c r="J42" s="31"/>
      <c r="K42" s="40"/>
      <c r="L42" s="40"/>
      <c r="M42" s="41"/>
      <c r="N42" s="41"/>
      <c r="O42" s="35"/>
      <c r="P42" s="41"/>
      <c r="Q42" s="31"/>
      <c r="R42" s="31"/>
      <c r="S42" s="44"/>
    </row>
    <row r="43" spans="1:19" outlineLevel="1" x14ac:dyDescent="0.2">
      <c r="D43" s="35"/>
      <c r="E43" s="35"/>
      <c r="F43" s="35"/>
      <c r="G43" s="31"/>
      <c r="H43" s="34"/>
      <c r="I43" s="31"/>
      <c r="J43" s="31"/>
      <c r="K43" s="40"/>
      <c r="L43" s="40"/>
      <c r="M43" s="41"/>
      <c r="N43" s="41"/>
      <c r="O43" s="35"/>
      <c r="P43" s="41"/>
      <c r="Q43" s="31"/>
      <c r="R43" s="31"/>
      <c r="S43" s="44"/>
    </row>
    <row r="44" spans="1:19" outlineLevel="1" x14ac:dyDescent="0.2">
      <c r="D44" s="35"/>
      <c r="E44" s="35"/>
      <c r="F44" s="35"/>
      <c r="G44" s="31"/>
      <c r="H44" s="34"/>
      <c r="I44" s="31"/>
      <c r="J44" s="31"/>
      <c r="K44" s="40"/>
      <c r="L44" s="40"/>
      <c r="M44" s="41"/>
      <c r="N44" s="41"/>
      <c r="O44" s="35"/>
      <c r="P44" s="41"/>
      <c r="Q44" s="31"/>
      <c r="R44" s="31"/>
      <c r="S44" s="44"/>
    </row>
    <row r="45" spans="1:19" outlineLevel="1" x14ac:dyDescent="0.2">
      <c r="D45" s="35"/>
      <c r="E45" s="35"/>
      <c r="F45" s="35"/>
      <c r="G45" s="31"/>
      <c r="H45" s="34"/>
      <c r="I45" s="31"/>
      <c r="J45" s="31"/>
      <c r="K45" s="40"/>
      <c r="L45" s="40"/>
      <c r="M45" s="41"/>
      <c r="N45" s="41"/>
      <c r="O45" s="35"/>
      <c r="P45" s="41"/>
      <c r="Q45" s="31"/>
      <c r="R45" s="31"/>
      <c r="S45" s="44"/>
    </row>
    <row r="46" spans="1:19" outlineLevel="1" x14ac:dyDescent="0.2">
      <c r="D46" s="35"/>
      <c r="E46" s="35"/>
      <c r="F46" s="35"/>
      <c r="G46" s="31"/>
      <c r="H46" s="34"/>
      <c r="I46" s="31"/>
      <c r="J46" s="31"/>
      <c r="K46" s="40"/>
      <c r="L46" s="40"/>
      <c r="M46" s="41"/>
      <c r="N46" s="41"/>
      <c r="O46" s="35"/>
      <c r="P46" s="41"/>
      <c r="Q46" s="31"/>
      <c r="R46" s="31"/>
      <c r="S46" s="44"/>
    </row>
    <row r="47" spans="1:19" outlineLevel="1" x14ac:dyDescent="0.2"/>
    <row r="48" spans="1:19" outlineLevel="1" x14ac:dyDescent="0.2"/>
    <row r="49" spans="1:18" outlineLevel="1" x14ac:dyDescent="0.2"/>
    <row r="50" spans="1:18" outlineLevel="1" x14ac:dyDescent="0.2"/>
    <row r="54" spans="1:18" ht="19" x14ac:dyDescent="0.25">
      <c r="A54" s="32" t="s">
        <v>156</v>
      </c>
      <c r="B54" s="33"/>
      <c r="C54" s="33"/>
      <c r="D54" s="33"/>
      <c r="E54" s="33"/>
      <c r="F54" s="33"/>
    </row>
    <row r="55" spans="1:18" outlineLevel="1" x14ac:dyDescent="0.2"/>
    <row r="56" spans="1:18" s="31" customFormat="1" outlineLevel="1" x14ac:dyDescent="0.2">
      <c r="A56" t="s">
        <v>40</v>
      </c>
      <c r="B56" t="s">
        <v>336</v>
      </c>
      <c r="C56" s="38"/>
      <c r="D56" s="39"/>
      <c r="E56" s="39"/>
      <c r="F56" s="39"/>
      <c r="H56" s="34"/>
      <c r="J56" s="40"/>
      <c r="K56" s="40"/>
      <c r="L56" s="41"/>
      <c r="M56" s="42"/>
      <c r="N56" s="43"/>
      <c r="Q56" s="45"/>
      <c r="R56" s="45"/>
    </row>
    <row r="57" spans="1:18" s="31" customFormat="1" ht="14" outlineLevel="1" x14ac:dyDescent="0.2">
      <c r="A57" s="35"/>
      <c r="B57" s="35"/>
      <c r="C57" s="35"/>
      <c r="D57" s="35"/>
      <c r="E57" s="35"/>
      <c r="F57" s="35"/>
      <c r="H57" s="34"/>
      <c r="J57" s="40"/>
      <c r="K57" s="40"/>
      <c r="L57" s="41"/>
      <c r="M57" s="42"/>
      <c r="N57" s="43"/>
      <c r="Q57" s="45"/>
      <c r="R57" s="45"/>
    </row>
    <row r="58" spans="1:18" outlineLevel="1" x14ac:dyDescent="0.2">
      <c r="A58" t="s">
        <v>342</v>
      </c>
      <c r="B58" t="s">
        <v>343</v>
      </c>
      <c r="H58" s="34"/>
      <c r="I58" s="31"/>
      <c r="J58" s="40"/>
      <c r="K58" s="40"/>
      <c r="L58" s="41"/>
      <c r="M58" s="42"/>
      <c r="N58" s="43"/>
      <c r="O58" s="31"/>
      <c r="P58" s="31"/>
      <c r="Q58" s="45"/>
    </row>
    <row r="59" spans="1:18" outlineLevel="1" x14ac:dyDescent="0.2">
      <c r="A59" t="s">
        <v>338</v>
      </c>
      <c r="C59" t="s">
        <v>46</v>
      </c>
      <c r="D59" t="s">
        <v>151</v>
      </c>
      <c r="E59" t="s">
        <v>152</v>
      </c>
      <c r="F59" t="s">
        <v>150</v>
      </c>
      <c r="G59" t="s">
        <v>339</v>
      </c>
      <c r="H59" s="34"/>
      <c r="I59" s="31"/>
      <c r="J59" s="40"/>
      <c r="K59" s="40"/>
      <c r="L59" s="41"/>
      <c r="M59" s="42"/>
      <c r="N59" s="43"/>
      <c r="O59" s="31"/>
      <c r="P59" s="31"/>
      <c r="Q59" s="45"/>
    </row>
    <row r="60" spans="1:18" outlineLevel="1" x14ac:dyDescent="0.2">
      <c r="A60" s="22" t="s">
        <v>344</v>
      </c>
      <c r="B60" s="36"/>
      <c r="C60" s="36">
        <v>1000</v>
      </c>
      <c r="D60" s="36">
        <v>2000</v>
      </c>
      <c r="E60" s="36">
        <v>3000</v>
      </c>
      <c r="F60" s="36">
        <v>4000</v>
      </c>
      <c r="G60" s="36">
        <v>10000</v>
      </c>
      <c r="H60" s="34"/>
      <c r="I60" s="31"/>
      <c r="J60" s="40"/>
      <c r="K60" s="40"/>
      <c r="L60" s="41"/>
      <c r="M60" s="42"/>
      <c r="N60" s="43"/>
      <c r="O60" s="31"/>
      <c r="P60" s="31"/>
      <c r="Q60" s="45"/>
    </row>
    <row r="61" spans="1:18" outlineLevel="1" x14ac:dyDescent="0.2">
      <c r="A61" s="22" t="s">
        <v>345</v>
      </c>
      <c r="B61" s="36"/>
      <c r="C61" s="36"/>
      <c r="D61" s="36"/>
      <c r="E61" s="36">
        <v>1700</v>
      </c>
      <c r="F61" s="36"/>
      <c r="G61" s="36">
        <v>1700</v>
      </c>
      <c r="H61" s="34"/>
      <c r="I61" s="31"/>
      <c r="J61" s="40"/>
      <c r="K61" s="40"/>
      <c r="L61" s="41"/>
      <c r="M61" s="42"/>
      <c r="N61" s="43"/>
      <c r="O61" s="31"/>
      <c r="P61" s="31"/>
      <c r="Q61" s="45"/>
    </row>
    <row r="62" spans="1:18" outlineLevel="1" x14ac:dyDescent="0.2">
      <c r="A62" s="22" t="s">
        <v>341</v>
      </c>
      <c r="B62" s="36"/>
      <c r="C62" s="36"/>
      <c r="D62" s="36"/>
      <c r="E62" s="36"/>
      <c r="F62" s="36"/>
      <c r="G62" s="36"/>
      <c r="H62" s="34"/>
      <c r="I62" s="31"/>
      <c r="J62" s="40"/>
      <c r="K62" s="40"/>
      <c r="L62" s="41"/>
      <c r="M62" s="42"/>
      <c r="N62" s="43"/>
      <c r="O62" s="31"/>
      <c r="P62" s="31"/>
      <c r="Q62" s="45"/>
    </row>
    <row r="63" spans="1:18" outlineLevel="1" x14ac:dyDescent="0.2">
      <c r="A63" s="22" t="s">
        <v>346</v>
      </c>
      <c r="B63" s="36"/>
      <c r="C63" s="36">
        <v>2000</v>
      </c>
      <c r="D63" s="36"/>
      <c r="E63" s="36">
        <v>3000</v>
      </c>
      <c r="F63" s="36"/>
      <c r="G63" s="36">
        <v>5000</v>
      </c>
      <c r="H63" s="34"/>
      <c r="I63" s="31"/>
      <c r="J63" s="40"/>
      <c r="K63" s="40"/>
      <c r="L63" s="41"/>
      <c r="M63" s="42"/>
      <c r="N63" s="43"/>
      <c r="O63" s="31"/>
      <c r="P63" s="31"/>
      <c r="Q63" s="45"/>
    </row>
    <row r="64" spans="1:18" outlineLevel="1" x14ac:dyDescent="0.2">
      <c r="A64" s="22" t="s">
        <v>339</v>
      </c>
      <c r="B64" s="36"/>
      <c r="C64" s="36">
        <v>3000</v>
      </c>
      <c r="D64" s="36">
        <v>2000</v>
      </c>
      <c r="E64" s="36">
        <v>7700</v>
      </c>
      <c r="F64" s="36">
        <v>4000</v>
      </c>
      <c r="G64" s="36">
        <v>16700</v>
      </c>
      <c r="H64" s="34"/>
      <c r="I64" s="31"/>
      <c r="J64" s="40"/>
      <c r="K64" s="40"/>
      <c r="L64" s="41"/>
      <c r="M64" s="42"/>
      <c r="N64" s="43"/>
      <c r="O64" s="31"/>
      <c r="P64" s="31"/>
      <c r="Q64" s="45"/>
    </row>
    <row r="65" spans="1:17" outlineLevel="1" x14ac:dyDescent="0.2">
      <c r="D65" s="35"/>
      <c r="E65" s="35"/>
      <c r="F65" s="35"/>
      <c r="G65" s="31"/>
      <c r="H65" s="34"/>
      <c r="I65" s="31"/>
      <c r="J65" s="40"/>
      <c r="K65" s="40"/>
      <c r="L65" s="41"/>
      <c r="M65" s="42"/>
      <c r="N65" s="43"/>
      <c r="O65" s="31"/>
      <c r="P65" s="31"/>
      <c r="Q65" s="45"/>
    </row>
    <row r="66" spans="1:17" outlineLevel="1" x14ac:dyDescent="0.2">
      <c r="D66" s="35"/>
      <c r="E66" s="35"/>
      <c r="F66" s="35"/>
      <c r="G66" s="31"/>
      <c r="H66" s="34"/>
      <c r="I66" s="31"/>
      <c r="J66" s="40"/>
      <c r="K66" s="40"/>
      <c r="L66" s="41"/>
      <c r="M66" s="42"/>
      <c r="N66" s="43"/>
      <c r="O66" s="31"/>
      <c r="P66" s="31"/>
      <c r="Q66" s="45"/>
    </row>
    <row r="67" spans="1:17" outlineLevel="1" x14ac:dyDescent="0.2">
      <c r="D67" s="35"/>
      <c r="E67" s="35"/>
      <c r="F67" s="35"/>
      <c r="G67" s="31"/>
      <c r="H67" s="34"/>
      <c r="I67" s="31"/>
      <c r="J67" s="40"/>
      <c r="K67" s="40"/>
      <c r="L67" s="41"/>
      <c r="M67" s="42"/>
      <c r="N67" s="43"/>
      <c r="O67" s="31"/>
      <c r="P67" s="31"/>
      <c r="Q67" s="45"/>
    </row>
    <row r="68" spans="1:17" outlineLevel="1" x14ac:dyDescent="0.2">
      <c r="D68" s="35"/>
      <c r="E68" s="35"/>
      <c r="F68" s="35"/>
      <c r="G68" s="31"/>
      <c r="H68" s="34"/>
      <c r="I68" s="31"/>
      <c r="J68" s="40"/>
      <c r="K68" s="40"/>
      <c r="L68" s="41"/>
      <c r="M68" s="42"/>
      <c r="N68" s="43"/>
      <c r="O68" s="31"/>
      <c r="P68" s="31"/>
      <c r="Q68" s="45"/>
    </row>
    <row r="69" spans="1:17" outlineLevel="1" x14ac:dyDescent="0.2">
      <c r="D69" s="35"/>
      <c r="E69" s="35"/>
      <c r="F69" s="35"/>
      <c r="G69" s="31"/>
      <c r="H69" s="34"/>
      <c r="I69" s="31"/>
      <c r="J69" s="40"/>
      <c r="K69" s="40"/>
      <c r="L69" s="41"/>
      <c r="M69" s="42"/>
      <c r="N69" s="43"/>
      <c r="O69" s="31"/>
      <c r="P69" s="31"/>
      <c r="Q69" s="45"/>
    </row>
    <row r="70" spans="1:17" outlineLevel="1" x14ac:dyDescent="0.2">
      <c r="D70" s="35"/>
      <c r="E70" s="35"/>
      <c r="F70" s="35"/>
      <c r="G70" s="31"/>
      <c r="H70" s="34"/>
      <c r="I70" s="31"/>
      <c r="J70" s="40"/>
      <c r="K70" s="40"/>
      <c r="L70" s="41"/>
      <c r="M70" s="42"/>
      <c r="N70" s="43"/>
      <c r="O70" s="31"/>
      <c r="P70" s="31"/>
      <c r="Q70" s="45"/>
    </row>
    <row r="71" spans="1:17" outlineLevel="1" x14ac:dyDescent="0.2">
      <c r="D71" s="35"/>
      <c r="E71" s="35"/>
      <c r="F71" s="35"/>
      <c r="G71" s="31"/>
      <c r="H71" s="34"/>
      <c r="I71" s="31"/>
      <c r="J71" s="40"/>
      <c r="K71" s="40"/>
      <c r="L71" s="41"/>
      <c r="M71" s="42"/>
      <c r="N71" s="43"/>
      <c r="O71" s="31"/>
      <c r="P71" s="31"/>
      <c r="Q71" s="45"/>
    </row>
    <row r="72" spans="1:17" outlineLevel="1" x14ac:dyDescent="0.2">
      <c r="D72" s="35"/>
      <c r="E72" s="35"/>
      <c r="F72" s="35"/>
      <c r="G72" s="31"/>
      <c r="H72" s="34"/>
      <c r="I72" s="31"/>
      <c r="J72" s="40"/>
      <c r="K72" s="40"/>
      <c r="L72" s="41"/>
      <c r="M72" s="42"/>
      <c r="N72" s="43"/>
      <c r="O72" s="31"/>
      <c r="P72" s="31"/>
      <c r="Q72" s="45"/>
    </row>
    <row r="73" spans="1:17" outlineLevel="1" x14ac:dyDescent="0.2">
      <c r="D73" s="35"/>
      <c r="E73" s="35"/>
      <c r="F73" s="35"/>
      <c r="G73" s="31"/>
      <c r="H73" s="34"/>
      <c r="I73" s="31"/>
      <c r="J73" s="40"/>
      <c r="K73" s="40"/>
      <c r="L73" s="41"/>
      <c r="M73" s="42"/>
      <c r="N73" s="43"/>
      <c r="O73" s="31"/>
      <c r="P73" s="31"/>
      <c r="Q73" s="45"/>
    </row>
    <row r="74" spans="1:17" outlineLevel="1" x14ac:dyDescent="0.2"/>
    <row r="75" spans="1:17" outlineLevel="1" x14ac:dyDescent="0.2"/>
    <row r="79" spans="1:17" ht="19" x14ac:dyDescent="0.25">
      <c r="A79" s="32" t="s">
        <v>347</v>
      </c>
      <c r="B79" s="33"/>
      <c r="C79" s="33"/>
      <c r="D79" s="33"/>
      <c r="E79" s="33"/>
      <c r="F79" s="33"/>
    </row>
    <row r="81" spans="1:17" s="31" customFormat="1" outlineLevel="1" x14ac:dyDescent="0.2">
      <c r="A81" t="s">
        <v>40</v>
      </c>
      <c r="B81" t="s">
        <v>336</v>
      </c>
      <c r="C81" s="46"/>
      <c r="D81" s="35"/>
      <c r="E81" s="35"/>
      <c r="F81" s="35"/>
      <c r="H81" s="34"/>
      <c r="J81" s="40"/>
      <c r="K81" s="40"/>
      <c r="L81" s="41"/>
      <c r="M81" s="42"/>
      <c r="N81" s="43"/>
      <c r="Q81" s="45"/>
    </row>
    <row r="82" spans="1:17" s="31" customFormat="1" ht="14" outlineLevel="1" x14ac:dyDescent="0.2">
      <c r="A82" s="35"/>
      <c r="B82" s="35"/>
      <c r="C82" s="35"/>
      <c r="D82" s="35"/>
      <c r="E82" s="35"/>
      <c r="F82" s="35"/>
      <c r="H82" s="34"/>
      <c r="J82" s="40"/>
      <c r="K82" s="40"/>
      <c r="L82" s="41"/>
      <c r="M82" s="42"/>
      <c r="N82" s="43"/>
      <c r="Q82" s="45"/>
    </row>
    <row r="83" spans="1:17" s="31" customFormat="1" outlineLevel="1" x14ac:dyDescent="0.2">
      <c r="A83" t="s">
        <v>342</v>
      </c>
      <c r="B83" t="s">
        <v>343</v>
      </c>
      <c r="C83"/>
      <c r="D83"/>
      <c r="E83"/>
      <c r="F83"/>
      <c r="G83"/>
      <c r="H83" s="34"/>
      <c r="J83" s="40"/>
      <c r="K83" s="40"/>
      <c r="L83" s="41"/>
      <c r="M83" s="42"/>
      <c r="N83" s="43"/>
      <c r="Q83" s="45"/>
    </row>
    <row r="84" spans="1:17" s="31" customFormat="1" outlineLevel="1" x14ac:dyDescent="0.2">
      <c r="A84" t="s">
        <v>338</v>
      </c>
      <c r="B84"/>
      <c r="C84" t="s">
        <v>46</v>
      </c>
      <c r="D84" t="s">
        <v>151</v>
      </c>
      <c r="E84" t="s">
        <v>152</v>
      </c>
      <c r="F84" t="s">
        <v>150</v>
      </c>
      <c r="G84" t="s">
        <v>339</v>
      </c>
      <c r="H84" s="34"/>
      <c r="J84" s="40"/>
      <c r="K84" s="40"/>
      <c r="L84" s="41"/>
      <c r="M84" s="42"/>
      <c r="N84" s="43"/>
      <c r="Q84" s="45"/>
    </row>
    <row r="85" spans="1:17" s="31" customFormat="1" outlineLevel="1" x14ac:dyDescent="0.2">
      <c r="A85" s="22" t="s">
        <v>344</v>
      </c>
      <c r="B85"/>
      <c r="C85">
        <v>1000</v>
      </c>
      <c r="D85">
        <v>2000</v>
      </c>
      <c r="E85">
        <v>3000</v>
      </c>
      <c r="F85">
        <v>4000</v>
      </c>
      <c r="G85">
        <v>10000</v>
      </c>
      <c r="H85" s="34"/>
      <c r="J85" s="40"/>
      <c r="K85" s="40"/>
      <c r="L85" s="41"/>
      <c r="M85" s="42"/>
      <c r="N85" s="43"/>
      <c r="Q85" s="45"/>
    </row>
    <row r="86" spans="1:17" s="31" customFormat="1" outlineLevel="1" x14ac:dyDescent="0.2">
      <c r="A86" s="22" t="s">
        <v>345</v>
      </c>
      <c r="B86"/>
      <c r="C86"/>
      <c r="D86"/>
      <c r="E86">
        <v>1700</v>
      </c>
      <c r="F86"/>
      <c r="G86">
        <v>1700</v>
      </c>
      <c r="H86" s="34"/>
      <c r="J86" s="40"/>
      <c r="K86" s="40"/>
      <c r="L86" s="41"/>
      <c r="M86" s="42"/>
      <c r="N86" s="43"/>
      <c r="Q86" s="45"/>
    </row>
    <row r="87" spans="1:17" s="31" customFormat="1" outlineLevel="1" x14ac:dyDescent="0.2">
      <c r="A87" s="22" t="s">
        <v>341</v>
      </c>
      <c r="B87"/>
      <c r="C87"/>
      <c r="D87"/>
      <c r="E87"/>
      <c r="F87"/>
      <c r="G87"/>
      <c r="H87" s="34"/>
      <c r="J87" s="40"/>
      <c r="K87" s="40"/>
      <c r="L87" s="41"/>
      <c r="M87" s="42"/>
      <c r="N87" s="43"/>
      <c r="Q87" s="45"/>
    </row>
    <row r="88" spans="1:17" s="31" customFormat="1" outlineLevel="1" x14ac:dyDescent="0.2">
      <c r="A88" s="22" t="s">
        <v>346</v>
      </c>
      <c r="B88"/>
      <c r="C88">
        <v>2000</v>
      </c>
      <c r="D88"/>
      <c r="E88">
        <v>3000</v>
      </c>
      <c r="F88"/>
      <c r="G88">
        <v>5000</v>
      </c>
      <c r="H88" s="34"/>
      <c r="J88" s="40"/>
      <c r="K88" s="40"/>
      <c r="L88" s="41"/>
      <c r="M88" s="42"/>
      <c r="N88" s="43"/>
      <c r="Q88" s="45"/>
    </row>
    <row r="89" spans="1:17" s="31" customFormat="1" outlineLevel="1" x14ac:dyDescent="0.2">
      <c r="A89" s="22" t="s">
        <v>339</v>
      </c>
      <c r="B89"/>
      <c r="C89">
        <v>3000</v>
      </c>
      <c r="D89">
        <v>2000</v>
      </c>
      <c r="E89">
        <v>7700</v>
      </c>
      <c r="F89">
        <v>4000</v>
      </c>
      <c r="G89">
        <v>16700</v>
      </c>
      <c r="H89" s="34"/>
      <c r="J89" s="40"/>
      <c r="K89" s="40"/>
      <c r="L89" s="41"/>
      <c r="M89" s="42"/>
      <c r="N89" s="43"/>
      <c r="Q89" s="45"/>
    </row>
    <row r="90" spans="1:17" s="31" customFormat="1" outlineLevel="1" x14ac:dyDescent="0.2">
      <c r="A90"/>
      <c r="B90"/>
      <c r="C90"/>
      <c r="D90" s="35"/>
      <c r="E90" s="35"/>
      <c r="F90" s="35"/>
      <c r="H90" s="34"/>
      <c r="J90" s="40"/>
      <c r="K90" s="40"/>
      <c r="L90" s="41"/>
      <c r="M90" s="42"/>
      <c r="N90" s="43"/>
      <c r="Q90" s="45"/>
    </row>
    <row r="91" spans="1:17" s="31" customFormat="1" outlineLevel="1" x14ac:dyDescent="0.2">
      <c r="A91"/>
      <c r="B91"/>
      <c r="C91"/>
      <c r="D91" s="35"/>
      <c r="E91" s="35"/>
      <c r="F91" s="35"/>
      <c r="H91" s="34"/>
      <c r="J91" s="40"/>
      <c r="K91" s="40"/>
      <c r="L91" s="41"/>
      <c r="M91" s="42"/>
      <c r="N91" s="43"/>
      <c r="Q91" s="45"/>
    </row>
    <row r="92" spans="1:17" s="31" customFormat="1" outlineLevel="1" x14ac:dyDescent="0.2">
      <c r="A92"/>
      <c r="B92"/>
      <c r="C92"/>
      <c r="D92" s="35"/>
      <c r="E92" s="35"/>
      <c r="F92" s="35"/>
      <c r="H92" s="34"/>
      <c r="J92" s="40"/>
      <c r="K92" s="40"/>
      <c r="L92" s="41"/>
      <c r="M92" s="42"/>
      <c r="N92" s="43"/>
      <c r="Q92" s="45"/>
    </row>
    <row r="93" spans="1:17" s="31" customFormat="1" outlineLevel="1" x14ac:dyDescent="0.2">
      <c r="A93"/>
      <c r="B93"/>
      <c r="C93"/>
      <c r="D93" s="35"/>
      <c r="E93" s="35"/>
      <c r="F93" s="35"/>
      <c r="H93" s="34"/>
      <c r="J93" s="40"/>
      <c r="K93" s="40"/>
      <c r="L93" s="41"/>
      <c r="M93" s="42"/>
      <c r="N93" s="43"/>
      <c r="Q93" s="45"/>
    </row>
    <row r="94" spans="1:17" s="31" customFormat="1" outlineLevel="1" x14ac:dyDescent="0.2">
      <c r="A94"/>
      <c r="B94"/>
      <c r="C94"/>
      <c r="D94" s="35"/>
      <c r="E94" s="35"/>
      <c r="F94" s="35"/>
      <c r="H94" s="34"/>
      <c r="J94" s="40"/>
      <c r="K94" s="40"/>
      <c r="L94" s="41"/>
      <c r="M94" s="42"/>
      <c r="N94" s="43"/>
      <c r="Q94" s="45"/>
    </row>
    <row r="95" spans="1:17" s="31" customFormat="1" outlineLevel="1" x14ac:dyDescent="0.2">
      <c r="A95"/>
      <c r="B95"/>
      <c r="C95"/>
      <c r="D95" s="35"/>
      <c r="E95" s="35"/>
      <c r="F95" s="35"/>
      <c r="H95" s="34"/>
      <c r="J95" s="40"/>
      <c r="K95" s="40"/>
      <c r="L95" s="41"/>
      <c r="M95" s="42"/>
      <c r="N95" s="43"/>
      <c r="Q95" s="45"/>
    </row>
    <row r="96" spans="1:17" s="31" customFormat="1" outlineLevel="1" x14ac:dyDescent="0.2">
      <c r="A96"/>
      <c r="B96"/>
      <c r="C96"/>
      <c r="D96" s="35"/>
      <c r="E96" s="35"/>
      <c r="F96" s="35"/>
      <c r="H96" s="34"/>
      <c r="J96" s="40"/>
      <c r="K96" s="40"/>
      <c r="L96" s="41"/>
      <c r="M96" s="42"/>
      <c r="N96" s="43"/>
      <c r="Q96" s="45"/>
    </row>
    <row r="97" spans="1:21" s="31" customFormat="1" outlineLevel="1" x14ac:dyDescent="0.2">
      <c r="A97"/>
      <c r="B97"/>
      <c r="C97"/>
      <c r="D97" s="35"/>
      <c r="E97" s="35"/>
      <c r="F97" s="35"/>
      <c r="H97" s="34"/>
      <c r="J97" s="40"/>
      <c r="K97" s="40"/>
      <c r="L97" s="41"/>
      <c r="M97" s="42"/>
      <c r="N97" s="43"/>
      <c r="Q97" s="45"/>
    </row>
    <row r="98" spans="1:21" outlineLevel="1" x14ac:dyDescent="0.2"/>
    <row r="99" spans="1:21" outlineLevel="1" x14ac:dyDescent="0.2"/>
    <row r="100" spans="1:21" outlineLevel="1" x14ac:dyDescent="0.2"/>
    <row r="101" spans="1:21" outlineLevel="1" x14ac:dyDescent="0.2"/>
    <row r="104" spans="1:21" ht="19" x14ac:dyDescent="0.25">
      <c r="A104" s="32" t="s">
        <v>158</v>
      </c>
      <c r="B104" s="33"/>
      <c r="C104" s="33"/>
      <c r="D104" s="33"/>
      <c r="E104" s="33"/>
      <c r="F104" s="33"/>
    </row>
    <row r="105" spans="1:21" outlineLevel="1" x14ac:dyDescent="0.2"/>
    <row r="106" spans="1:21" outlineLevel="1" x14ac:dyDescent="0.2">
      <c r="A106" t="s">
        <v>40</v>
      </c>
      <c r="B106" t="s">
        <v>336</v>
      </c>
      <c r="C106" s="35"/>
      <c r="D106" s="35"/>
      <c r="E106" s="35"/>
      <c r="F106" s="35"/>
      <c r="G106" s="31"/>
      <c r="H106" s="34"/>
      <c r="I106" s="40"/>
      <c r="J106" s="40"/>
      <c r="K106" s="40"/>
      <c r="L106" s="40"/>
      <c r="M106" s="41"/>
      <c r="N106" s="31"/>
      <c r="O106" s="31"/>
      <c r="P106" s="44"/>
      <c r="Q106" s="31"/>
      <c r="R106" s="35"/>
      <c r="S106" s="31"/>
      <c r="T106" s="31"/>
      <c r="U106" s="31"/>
    </row>
    <row r="107" spans="1:21" outlineLevel="1" x14ac:dyDescent="0.2">
      <c r="A107" s="35"/>
      <c r="B107" s="35"/>
      <c r="C107" s="35"/>
      <c r="D107" s="35"/>
      <c r="E107" s="35"/>
      <c r="F107" s="35"/>
      <c r="G107" s="31"/>
      <c r="H107" s="34"/>
      <c r="I107" s="40"/>
      <c r="J107" s="40"/>
      <c r="K107" s="40"/>
      <c r="L107" s="40"/>
      <c r="M107" s="41"/>
      <c r="N107" s="31"/>
      <c r="O107" s="31"/>
      <c r="P107" s="44"/>
      <c r="Q107" s="31"/>
      <c r="R107" s="35"/>
      <c r="S107" s="31"/>
      <c r="T107" s="31"/>
      <c r="U107" s="31"/>
    </row>
    <row r="108" spans="1:21" outlineLevel="1" x14ac:dyDescent="0.2">
      <c r="A108" t="s">
        <v>348</v>
      </c>
      <c r="B108" t="s">
        <v>44</v>
      </c>
      <c r="G108" s="31"/>
      <c r="H108" s="34"/>
      <c r="I108" s="40"/>
      <c r="J108" s="40"/>
      <c r="K108" s="40"/>
      <c r="L108" s="40"/>
      <c r="M108" s="41"/>
      <c r="N108" s="31"/>
      <c r="O108" s="31"/>
      <c r="P108" s="44"/>
      <c r="Q108" s="31"/>
      <c r="R108" s="35"/>
      <c r="S108" s="31"/>
      <c r="T108" s="31"/>
      <c r="U108" s="31"/>
    </row>
    <row r="109" spans="1:21" outlineLevel="1" x14ac:dyDescent="0.2">
      <c r="A109" t="s">
        <v>338</v>
      </c>
      <c r="B109" t="s">
        <v>46</v>
      </c>
      <c r="C109" t="s">
        <v>150</v>
      </c>
      <c r="D109" t="s">
        <v>151</v>
      </c>
      <c r="E109" t="s">
        <v>339</v>
      </c>
      <c r="G109" s="31"/>
      <c r="H109" s="34"/>
      <c r="I109" s="40"/>
      <c r="J109" s="40"/>
      <c r="K109" s="40"/>
      <c r="L109" s="40"/>
      <c r="M109" s="41"/>
      <c r="N109" s="31"/>
      <c r="O109" s="31"/>
      <c r="P109" s="44"/>
      <c r="Q109" s="31"/>
      <c r="R109" s="35"/>
      <c r="S109" s="31"/>
      <c r="T109" s="31"/>
      <c r="U109" s="31"/>
    </row>
    <row r="110" spans="1:21" outlineLevel="1" x14ac:dyDescent="0.2">
      <c r="A110" s="22" t="s">
        <v>346</v>
      </c>
      <c r="B110" s="47"/>
      <c r="C110" s="47"/>
      <c r="D110" s="47">
        <v>200</v>
      </c>
      <c r="E110" s="47">
        <v>200</v>
      </c>
      <c r="G110" s="31"/>
      <c r="H110" s="34"/>
      <c r="I110" s="40"/>
      <c r="J110" s="40"/>
      <c r="K110" s="40"/>
      <c r="L110" s="40"/>
      <c r="M110" s="41"/>
      <c r="N110" s="31"/>
      <c r="O110" s="31"/>
      <c r="P110" s="44"/>
      <c r="Q110" s="31"/>
      <c r="R110" s="35"/>
      <c r="S110" s="31"/>
      <c r="T110" s="31"/>
      <c r="U110" s="31"/>
    </row>
    <row r="111" spans="1:21" outlineLevel="1" x14ac:dyDescent="0.2">
      <c r="A111" s="37" t="s">
        <v>124</v>
      </c>
      <c r="B111" s="47"/>
      <c r="C111" s="47"/>
      <c r="D111" s="47">
        <v>200</v>
      </c>
      <c r="E111" s="47">
        <v>200</v>
      </c>
      <c r="G111" s="31"/>
      <c r="H111" s="34"/>
      <c r="I111" s="40"/>
      <c r="J111" s="40"/>
      <c r="K111" s="40"/>
      <c r="L111" s="40"/>
      <c r="M111" s="41"/>
      <c r="N111" s="31"/>
      <c r="O111" s="31"/>
      <c r="P111" s="44"/>
      <c r="Q111" s="31"/>
      <c r="R111" s="35"/>
      <c r="S111" s="31"/>
      <c r="T111" s="31"/>
      <c r="U111" s="31"/>
    </row>
    <row r="112" spans="1:21" outlineLevel="1" x14ac:dyDescent="0.2">
      <c r="A112" s="22" t="s">
        <v>345</v>
      </c>
      <c r="B112" s="47">
        <v>800</v>
      </c>
      <c r="C112" s="47"/>
      <c r="D112" s="47"/>
      <c r="E112" s="47">
        <v>800</v>
      </c>
      <c r="G112" s="31"/>
      <c r="H112" s="34"/>
      <c r="I112" s="40"/>
      <c r="J112" s="40"/>
      <c r="K112" s="40"/>
      <c r="L112" s="40"/>
      <c r="M112" s="41"/>
      <c r="N112" s="31"/>
      <c r="O112" s="31"/>
      <c r="P112" s="44"/>
      <c r="Q112" s="31"/>
      <c r="R112" s="35"/>
      <c r="S112" s="31"/>
      <c r="T112" s="31"/>
      <c r="U112" s="31"/>
    </row>
    <row r="113" spans="1:21" outlineLevel="1" x14ac:dyDescent="0.2">
      <c r="A113" s="37" t="s">
        <v>349</v>
      </c>
      <c r="B113" s="47">
        <v>300</v>
      </c>
      <c r="C113" s="47"/>
      <c r="D113" s="47"/>
      <c r="E113" s="47">
        <v>300</v>
      </c>
      <c r="G113" s="31"/>
      <c r="H113" s="34"/>
      <c r="I113" s="40"/>
      <c r="J113" s="40"/>
      <c r="K113" s="40"/>
      <c r="L113" s="40"/>
      <c r="M113" s="41"/>
      <c r="N113" s="31"/>
      <c r="O113" s="31"/>
      <c r="P113" s="44"/>
      <c r="Q113" s="31"/>
      <c r="R113" s="35"/>
      <c r="S113" s="31"/>
      <c r="T113" s="31"/>
      <c r="U113" s="31"/>
    </row>
    <row r="114" spans="1:21" outlineLevel="1" x14ac:dyDescent="0.2">
      <c r="A114" s="37" t="s">
        <v>124</v>
      </c>
      <c r="B114" s="47">
        <v>500</v>
      </c>
      <c r="C114" s="47"/>
      <c r="D114" s="47"/>
      <c r="E114" s="47">
        <v>500</v>
      </c>
      <c r="G114" s="31"/>
      <c r="H114" s="34"/>
      <c r="I114" s="40"/>
      <c r="J114" s="40"/>
      <c r="K114" s="40"/>
      <c r="L114" s="40"/>
      <c r="M114" s="41"/>
      <c r="N114" s="31"/>
      <c r="O114" s="31"/>
      <c r="P114" s="44"/>
      <c r="Q114" s="31"/>
      <c r="R114" s="35"/>
      <c r="S114" s="31"/>
      <c r="T114" s="31"/>
      <c r="U114" s="31"/>
    </row>
    <row r="115" spans="1:21" outlineLevel="1" x14ac:dyDescent="0.2">
      <c r="A115" s="22" t="s">
        <v>350</v>
      </c>
      <c r="B115" s="47"/>
      <c r="C115" s="47">
        <v>200</v>
      </c>
      <c r="D115" s="47"/>
      <c r="E115" s="47">
        <v>200</v>
      </c>
      <c r="G115" s="31"/>
      <c r="H115" s="34"/>
      <c r="I115" s="40"/>
      <c r="J115" s="40"/>
      <c r="K115" s="40"/>
      <c r="L115" s="40"/>
      <c r="M115" s="41"/>
      <c r="N115" s="31"/>
      <c r="O115" s="31"/>
      <c r="P115" s="44"/>
      <c r="Q115" s="31"/>
      <c r="R115" s="35"/>
      <c r="S115" s="31"/>
      <c r="T115" s="31"/>
      <c r="U115" s="31"/>
    </row>
    <row r="116" spans="1:21" outlineLevel="1" x14ac:dyDescent="0.2">
      <c r="A116" s="37" t="s">
        <v>349</v>
      </c>
      <c r="B116" s="47"/>
      <c r="C116" s="47">
        <v>200</v>
      </c>
      <c r="D116" s="47"/>
      <c r="E116" s="47">
        <v>200</v>
      </c>
      <c r="G116" s="31"/>
      <c r="H116" s="34"/>
      <c r="I116" s="40"/>
      <c r="J116" s="40"/>
      <c r="K116" s="40"/>
      <c r="L116" s="40"/>
      <c r="M116" s="41"/>
      <c r="N116" s="31"/>
      <c r="O116" s="31"/>
      <c r="P116" s="44"/>
      <c r="Q116" s="31"/>
      <c r="R116" s="35"/>
      <c r="S116" s="31"/>
      <c r="T116" s="31"/>
      <c r="U116" s="31"/>
    </row>
    <row r="117" spans="1:21" outlineLevel="1" x14ac:dyDescent="0.2">
      <c r="A117" s="22" t="s">
        <v>341</v>
      </c>
      <c r="B117" s="47"/>
      <c r="C117" s="47">
        <v>150</v>
      </c>
      <c r="D117" s="47"/>
      <c r="E117" s="47">
        <v>150</v>
      </c>
      <c r="G117" s="31"/>
      <c r="H117" s="34"/>
      <c r="I117" s="40"/>
      <c r="J117" s="40"/>
      <c r="K117" s="40"/>
      <c r="L117" s="40"/>
      <c r="M117" s="41"/>
      <c r="N117" s="31"/>
      <c r="O117" s="31"/>
      <c r="P117" s="44"/>
      <c r="Q117" s="31"/>
      <c r="R117" s="35"/>
      <c r="S117" s="31"/>
      <c r="T117" s="31"/>
      <c r="U117" s="31"/>
    </row>
    <row r="118" spans="1:21" outlineLevel="1" x14ac:dyDescent="0.2">
      <c r="A118" s="37" t="s">
        <v>351</v>
      </c>
      <c r="B118" s="47"/>
      <c r="C118" s="47">
        <v>150</v>
      </c>
      <c r="D118" s="47"/>
      <c r="E118" s="47">
        <v>150</v>
      </c>
      <c r="G118" s="31"/>
      <c r="H118" s="34"/>
      <c r="I118" s="40"/>
      <c r="J118" s="40"/>
      <c r="K118" s="40"/>
      <c r="L118" s="40"/>
      <c r="M118" s="41"/>
      <c r="N118" s="31"/>
      <c r="O118" s="31"/>
      <c r="P118" s="44"/>
      <c r="Q118" s="31"/>
      <c r="R118" s="35"/>
      <c r="S118" s="31"/>
      <c r="T118" s="31"/>
      <c r="U118" s="31"/>
    </row>
    <row r="119" spans="1:21" outlineLevel="1" x14ac:dyDescent="0.2">
      <c r="A119" s="22" t="s">
        <v>339</v>
      </c>
      <c r="B119" s="47">
        <v>800</v>
      </c>
      <c r="C119" s="47">
        <v>350</v>
      </c>
      <c r="D119" s="47">
        <v>200</v>
      </c>
      <c r="E119" s="47">
        <v>1350</v>
      </c>
      <c r="G119" s="31"/>
      <c r="H119" s="34"/>
      <c r="I119" s="40"/>
      <c r="J119" s="40"/>
      <c r="K119" s="40"/>
      <c r="L119" s="40"/>
      <c r="M119" s="41"/>
      <c r="N119" s="31"/>
      <c r="O119" s="31"/>
      <c r="P119" s="44"/>
      <c r="Q119" s="31"/>
      <c r="R119" s="35"/>
      <c r="S119" s="31"/>
      <c r="T119" s="31"/>
      <c r="U119" s="31"/>
    </row>
    <row r="120" spans="1:21" outlineLevel="1" x14ac:dyDescent="0.2">
      <c r="G120" s="31"/>
      <c r="H120" s="34"/>
      <c r="I120" s="40"/>
      <c r="J120" s="40"/>
      <c r="K120" s="40"/>
      <c r="L120" s="40"/>
      <c r="M120" s="41"/>
      <c r="N120" s="31"/>
      <c r="O120" s="31"/>
      <c r="P120" s="44"/>
      <c r="Q120" s="31"/>
      <c r="R120" s="35"/>
      <c r="S120" s="31"/>
      <c r="T120" s="31"/>
      <c r="U120" s="31"/>
    </row>
    <row r="121" spans="1:21" outlineLevel="1" x14ac:dyDescent="0.2">
      <c r="D121" s="35"/>
      <c r="E121" s="35"/>
      <c r="F121" s="35"/>
      <c r="G121" s="31"/>
      <c r="H121" s="34"/>
      <c r="I121" s="40"/>
      <c r="J121" s="40"/>
      <c r="K121" s="40"/>
      <c r="L121" s="40"/>
      <c r="M121" s="41"/>
      <c r="N121" s="31"/>
      <c r="O121" s="31"/>
      <c r="P121" s="44"/>
      <c r="Q121" s="31"/>
      <c r="R121" s="35"/>
      <c r="S121" s="31"/>
      <c r="T121" s="31"/>
      <c r="U121" s="31"/>
    </row>
    <row r="122" spans="1:21" outlineLevel="1" x14ac:dyDescent="0.2">
      <c r="D122" s="35"/>
      <c r="E122" s="35"/>
      <c r="F122" s="35"/>
      <c r="G122" s="31"/>
      <c r="H122" s="34"/>
      <c r="I122" s="40"/>
      <c r="J122" s="40"/>
      <c r="K122" s="40"/>
      <c r="L122" s="40"/>
      <c r="M122" s="41"/>
      <c r="N122" s="31"/>
      <c r="O122" s="31"/>
      <c r="P122" s="44"/>
      <c r="Q122" s="31"/>
      <c r="R122" s="35"/>
      <c r="S122" s="31"/>
      <c r="T122" s="31"/>
      <c r="U122" s="31"/>
    </row>
    <row r="123" spans="1:21" outlineLevel="1" x14ac:dyDescent="0.2">
      <c r="A123" t="s">
        <v>40</v>
      </c>
      <c r="B123" t="s">
        <v>336</v>
      </c>
      <c r="D123" s="35"/>
      <c r="E123" s="35"/>
      <c r="F123" s="35"/>
      <c r="G123" s="31"/>
      <c r="H123" s="34"/>
      <c r="I123" s="40"/>
      <c r="J123" s="40"/>
      <c r="K123" s="40"/>
      <c r="L123" s="40"/>
      <c r="M123" s="41"/>
      <c r="N123" s="31"/>
      <c r="O123" s="31"/>
      <c r="P123" s="44"/>
      <c r="Q123" s="31"/>
      <c r="R123" s="35"/>
      <c r="S123" s="31"/>
      <c r="T123" s="31"/>
      <c r="U123" s="31"/>
    </row>
    <row r="124" spans="1:21" outlineLevel="1" x14ac:dyDescent="0.2">
      <c r="D124" s="35"/>
      <c r="E124" s="35"/>
      <c r="F124" s="35"/>
      <c r="G124" s="31"/>
      <c r="H124" s="34"/>
      <c r="I124" s="40"/>
      <c r="J124" s="40"/>
      <c r="K124" s="40"/>
      <c r="L124" s="40"/>
      <c r="M124" s="41"/>
      <c r="N124" s="31"/>
      <c r="O124" s="31"/>
      <c r="P124" s="44"/>
      <c r="Q124" s="31"/>
      <c r="R124" s="35"/>
      <c r="S124" s="31"/>
      <c r="T124" s="31"/>
      <c r="U124" s="31"/>
    </row>
    <row r="125" spans="1:21" outlineLevel="1" x14ac:dyDescent="0.2">
      <c r="A125" t="s">
        <v>352</v>
      </c>
      <c r="B125" t="s">
        <v>44</v>
      </c>
      <c r="G125" s="31"/>
      <c r="H125" s="34"/>
      <c r="I125" s="40"/>
      <c r="J125" s="40"/>
      <c r="K125" s="40"/>
      <c r="L125" s="40"/>
      <c r="M125" s="41"/>
      <c r="N125" s="31"/>
      <c r="O125" s="31"/>
      <c r="P125" s="44"/>
      <c r="Q125" s="31"/>
      <c r="R125" s="35"/>
      <c r="S125" s="31"/>
      <c r="T125" s="31"/>
      <c r="U125" s="31"/>
    </row>
    <row r="126" spans="1:21" outlineLevel="1" x14ac:dyDescent="0.2">
      <c r="A126" t="s">
        <v>338</v>
      </c>
      <c r="B126" t="s">
        <v>46</v>
      </c>
      <c r="C126" t="s">
        <v>150</v>
      </c>
      <c r="D126" t="s">
        <v>152</v>
      </c>
      <c r="E126" t="s">
        <v>339</v>
      </c>
      <c r="G126" s="31"/>
      <c r="H126" s="34"/>
      <c r="I126" s="40"/>
      <c r="J126" s="40"/>
      <c r="K126" s="40"/>
      <c r="L126" s="40"/>
      <c r="M126" s="41"/>
      <c r="N126" s="31"/>
      <c r="O126" s="31"/>
      <c r="P126" s="44"/>
      <c r="Q126" s="31"/>
      <c r="R126" s="35"/>
      <c r="S126" s="31"/>
      <c r="T126" s="31"/>
      <c r="U126" s="31"/>
    </row>
    <row r="127" spans="1:21" outlineLevel="1" x14ac:dyDescent="0.2">
      <c r="A127" s="22" t="s">
        <v>346</v>
      </c>
      <c r="C127">
        <v>140</v>
      </c>
      <c r="E127">
        <v>140</v>
      </c>
      <c r="G127" s="31"/>
      <c r="H127" s="34"/>
      <c r="I127" s="40"/>
      <c r="J127" s="40"/>
      <c r="K127" s="40"/>
      <c r="L127" s="40"/>
      <c r="M127" s="41"/>
      <c r="N127" s="31"/>
      <c r="O127" s="31"/>
      <c r="P127" s="44"/>
      <c r="Q127" s="31"/>
      <c r="R127" s="35"/>
      <c r="S127" s="31"/>
      <c r="T127" s="31"/>
      <c r="U127" s="31"/>
    </row>
    <row r="128" spans="1:21" outlineLevel="1" x14ac:dyDescent="0.2">
      <c r="A128" s="37" t="s">
        <v>133</v>
      </c>
      <c r="C128">
        <v>140</v>
      </c>
      <c r="E128">
        <v>140</v>
      </c>
      <c r="G128" s="31"/>
      <c r="H128" s="34"/>
      <c r="I128" s="40"/>
      <c r="J128" s="40"/>
      <c r="K128" s="40"/>
      <c r="L128" s="40"/>
      <c r="M128" s="41"/>
      <c r="N128" s="31"/>
      <c r="O128" s="31"/>
      <c r="P128" s="44"/>
      <c r="Q128" s="31"/>
      <c r="R128" s="35"/>
      <c r="S128" s="31"/>
      <c r="T128" s="31"/>
      <c r="U128" s="31"/>
    </row>
    <row r="129" spans="1:21" outlineLevel="1" x14ac:dyDescent="0.2">
      <c r="A129" s="22" t="s">
        <v>345</v>
      </c>
      <c r="C129">
        <v>400</v>
      </c>
      <c r="E129">
        <v>400</v>
      </c>
      <c r="G129" s="31"/>
      <c r="H129" s="34"/>
      <c r="I129" s="40"/>
      <c r="J129" s="40"/>
      <c r="K129" s="40"/>
      <c r="L129" s="40"/>
      <c r="M129" s="41"/>
      <c r="N129" s="31"/>
      <c r="O129" s="31"/>
      <c r="P129" s="44"/>
      <c r="Q129" s="31"/>
      <c r="R129" s="35"/>
      <c r="S129" s="31"/>
      <c r="T129" s="31"/>
      <c r="U129" s="31"/>
    </row>
    <row r="130" spans="1:21" outlineLevel="1" x14ac:dyDescent="0.2">
      <c r="A130" s="37" t="s">
        <v>133</v>
      </c>
      <c r="C130">
        <v>200</v>
      </c>
      <c r="E130">
        <v>200</v>
      </c>
      <c r="G130" s="31"/>
      <c r="H130" s="34"/>
      <c r="I130" s="40"/>
      <c r="J130" s="40"/>
      <c r="K130" s="40"/>
      <c r="L130" s="40"/>
      <c r="M130" s="41"/>
      <c r="N130" s="31"/>
      <c r="O130" s="31"/>
      <c r="P130" s="44"/>
      <c r="Q130" s="31"/>
      <c r="R130" s="35"/>
      <c r="S130" s="31"/>
      <c r="T130" s="31"/>
      <c r="U130" s="31"/>
    </row>
    <row r="131" spans="1:21" outlineLevel="1" x14ac:dyDescent="0.2">
      <c r="A131" s="37" t="s">
        <v>353</v>
      </c>
      <c r="C131">
        <v>200</v>
      </c>
      <c r="E131">
        <v>200</v>
      </c>
      <c r="G131" s="31"/>
      <c r="H131" s="34"/>
      <c r="I131" s="40"/>
      <c r="J131" s="40"/>
      <c r="K131" s="40"/>
      <c r="L131" s="40"/>
      <c r="M131" s="41"/>
      <c r="N131" s="31"/>
      <c r="O131" s="31"/>
      <c r="P131" s="44"/>
      <c r="Q131" s="31"/>
      <c r="R131" s="35"/>
      <c r="S131" s="31"/>
      <c r="T131" s="31"/>
      <c r="U131" s="31"/>
    </row>
    <row r="132" spans="1:21" outlineLevel="1" x14ac:dyDescent="0.2">
      <c r="A132" s="22" t="s">
        <v>350</v>
      </c>
      <c r="B132">
        <v>120</v>
      </c>
      <c r="D132">
        <v>130</v>
      </c>
      <c r="E132">
        <v>250</v>
      </c>
      <c r="G132" s="31"/>
      <c r="H132" s="34"/>
      <c r="I132" s="40"/>
      <c r="J132" s="40"/>
      <c r="K132" s="40"/>
      <c r="L132" s="40"/>
      <c r="M132" s="41"/>
      <c r="N132" s="31"/>
      <c r="O132" s="31"/>
      <c r="P132" s="44"/>
      <c r="Q132" s="31"/>
      <c r="R132" s="35"/>
      <c r="S132" s="31"/>
      <c r="T132" s="31"/>
      <c r="U132" s="31"/>
    </row>
    <row r="133" spans="1:21" outlineLevel="1" x14ac:dyDescent="0.2">
      <c r="A133" s="37" t="s">
        <v>133</v>
      </c>
      <c r="D133">
        <v>130</v>
      </c>
      <c r="E133">
        <v>130</v>
      </c>
      <c r="G133" s="31"/>
      <c r="H133" s="34"/>
      <c r="I133" s="40"/>
      <c r="J133" s="40"/>
      <c r="K133" s="40"/>
      <c r="L133" s="40"/>
      <c r="M133" s="41"/>
      <c r="N133" s="31"/>
      <c r="O133" s="31"/>
      <c r="P133" s="44"/>
      <c r="Q133" s="31"/>
      <c r="R133" s="35"/>
      <c r="S133" s="31"/>
      <c r="T133" s="31"/>
      <c r="U133" s="31"/>
    </row>
    <row r="134" spans="1:21" outlineLevel="1" x14ac:dyDescent="0.2">
      <c r="A134" s="37" t="s">
        <v>353</v>
      </c>
      <c r="B134">
        <v>120</v>
      </c>
      <c r="E134">
        <v>120</v>
      </c>
      <c r="G134" s="31"/>
      <c r="H134" s="34"/>
      <c r="I134" s="40"/>
      <c r="J134" s="40"/>
      <c r="K134" s="40"/>
      <c r="L134" s="40"/>
      <c r="M134" s="41"/>
      <c r="N134" s="31"/>
      <c r="O134" s="31"/>
      <c r="P134" s="44"/>
      <c r="Q134" s="31"/>
      <c r="R134" s="35"/>
      <c r="S134" s="31"/>
      <c r="T134" s="31"/>
      <c r="U134" s="31"/>
    </row>
    <row r="135" spans="1:21" outlineLevel="1" x14ac:dyDescent="0.2">
      <c r="A135" s="22" t="s">
        <v>339</v>
      </c>
      <c r="B135">
        <v>120</v>
      </c>
      <c r="C135">
        <v>540</v>
      </c>
      <c r="D135">
        <v>130</v>
      </c>
      <c r="E135">
        <v>790</v>
      </c>
      <c r="G135" s="31"/>
      <c r="H135" s="34"/>
      <c r="I135" s="40"/>
      <c r="J135" s="40"/>
      <c r="K135" s="40"/>
      <c r="L135" s="40"/>
      <c r="M135" s="41"/>
      <c r="N135" s="31"/>
      <c r="O135" s="31"/>
      <c r="P135" s="44"/>
      <c r="Q135" s="31"/>
      <c r="R135" s="35"/>
      <c r="S135" s="31"/>
      <c r="T135" s="31"/>
      <c r="U135" s="31"/>
    </row>
    <row r="136" spans="1:21" outlineLevel="1" x14ac:dyDescent="0.2">
      <c r="G136" s="31"/>
      <c r="H136" s="34"/>
      <c r="I136" s="40"/>
      <c r="J136" s="40"/>
      <c r="K136" s="40"/>
      <c r="L136" s="40"/>
      <c r="M136" s="41"/>
      <c r="N136" s="31"/>
      <c r="O136" s="31"/>
      <c r="P136" s="44"/>
      <c r="Q136" s="31"/>
      <c r="R136" s="35"/>
      <c r="S136" s="31"/>
      <c r="T136" s="31"/>
      <c r="U136" s="31"/>
    </row>
    <row r="137" spans="1:21" outlineLevel="1" x14ac:dyDescent="0.2">
      <c r="G137" s="31"/>
      <c r="H137" s="34"/>
      <c r="I137" s="40"/>
      <c r="J137" s="40"/>
      <c r="K137" s="40"/>
      <c r="L137" s="40"/>
      <c r="M137" s="41"/>
      <c r="N137" s="31"/>
      <c r="O137" s="31"/>
      <c r="P137" s="44"/>
      <c r="Q137" s="31"/>
      <c r="R137" s="35"/>
      <c r="S137" s="31"/>
      <c r="T137" s="31"/>
      <c r="U137" s="31"/>
    </row>
    <row r="141" spans="1:21" ht="19" x14ac:dyDescent="0.25">
      <c r="A141" s="32" t="s">
        <v>159</v>
      </c>
      <c r="B141" s="33"/>
      <c r="C141" s="33"/>
      <c r="D141" s="33"/>
      <c r="E141" s="33"/>
      <c r="F141" s="33"/>
    </row>
    <row r="142" spans="1:21" outlineLevel="1" x14ac:dyDescent="0.2"/>
    <row r="143" spans="1:21" outlineLevel="1" x14ac:dyDescent="0.2">
      <c r="A143" t="s">
        <v>40</v>
      </c>
      <c r="B143" t="s">
        <v>336</v>
      </c>
      <c r="C143" s="35"/>
      <c r="D143" s="35"/>
      <c r="E143" s="35"/>
      <c r="F143" s="35"/>
      <c r="G143" s="35"/>
      <c r="H143" s="34"/>
      <c r="I143" s="40"/>
      <c r="J143" s="40"/>
      <c r="K143" s="31"/>
      <c r="L143" s="31"/>
      <c r="M143" s="41"/>
      <c r="N143" s="31"/>
      <c r="O143" s="31"/>
      <c r="P143" s="31"/>
    </row>
    <row r="144" spans="1:21" outlineLevel="1" x14ac:dyDescent="0.2">
      <c r="A144" s="35"/>
      <c r="B144" s="35"/>
      <c r="C144" s="35"/>
      <c r="D144" s="35"/>
      <c r="E144" s="35"/>
      <c r="F144" s="35"/>
      <c r="G144" s="35"/>
      <c r="H144" s="34"/>
      <c r="I144" s="40"/>
      <c r="J144" s="40"/>
      <c r="K144" s="31"/>
      <c r="L144" s="31"/>
      <c r="M144" s="41"/>
      <c r="N144" s="31"/>
      <c r="O144" s="31"/>
      <c r="P144" s="31"/>
    </row>
    <row r="145" spans="1:16" outlineLevel="1" x14ac:dyDescent="0.2">
      <c r="A145" t="s">
        <v>354</v>
      </c>
      <c r="B145" t="s">
        <v>343</v>
      </c>
      <c r="M145" s="41"/>
      <c r="N145" s="31"/>
      <c r="O145" s="31"/>
      <c r="P145" s="31"/>
    </row>
    <row r="146" spans="1:16" outlineLevel="1" x14ac:dyDescent="0.2">
      <c r="A146" t="s">
        <v>338</v>
      </c>
      <c r="B146" t="s">
        <v>46</v>
      </c>
      <c r="C146" t="s">
        <v>150</v>
      </c>
      <c r="D146" t="s">
        <v>151</v>
      </c>
      <c r="E146" t="s">
        <v>152</v>
      </c>
      <c r="F146" t="s">
        <v>339</v>
      </c>
      <c r="M146" s="41"/>
      <c r="N146" s="31"/>
      <c r="O146" s="31"/>
      <c r="P146" s="31"/>
    </row>
    <row r="147" spans="1:16" outlineLevel="1" x14ac:dyDescent="0.2">
      <c r="A147" s="22" t="s">
        <v>321</v>
      </c>
      <c r="B147" s="47"/>
      <c r="C147" s="47">
        <v>700</v>
      </c>
      <c r="D147" s="47">
        <v>1000</v>
      </c>
      <c r="E147" s="47">
        <v>500</v>
      </c>
      <c r="F147" s="47">
        <v>2200</v>
      </c>
      <c r="M147" s="41"/>
      <c r="N147" s="31"/>
      <c r="O147" s="31"/>
      <c r="P147" s="31"/>
    </row>
    <row r="148" spans="1:16" outlineLevel="1" x14ac:dyDescent="0.2">
      <c r="A148" s="37" t="s">
        <v>355</v>
      </c>
      <c r="B148" s="47"/>
      <c r="C148" s="47">
        <v>700</v>
      </c>
      <c r="D148" s="47">
        <v>1000</v>
      </c>
      <c r="E148" s="47">
        <v>500</v>
      </c>
      <c r="F148" s="47">
        <v>2200</v>
      </c>
      <c r="M148" s="41"/>
      <c r="N148" s="31"/>
      <c r="O148" s="31"/>
      <c r="P148" s="31"/>
    </row>
    <row r="149" spans="1:16" outlineLevel="1" x14ac:dyDescent="0.2">
      <c r="A149" s="22" t="s">
        <v>356</v>
      </c>
      <c r="B149" s="47">
        <v>1000</v>
      </c>
      <c r="C149" s="47">
        <v>500</v>
      </c>
      <c r="D149" s="47"/>
      <c r="E149" s="47">
        <v>750</v>
      </c>
      <c r="F149" s="47">
        <v>2250</v>
      </c>
      <c r="H149" s="34"/>
      <c r="I149" s="40"/>
      <c r="J149" s="40"/>
      <c r="K149" s="31"/>
      <c r="L149" s="31"/>
      <c r="M149" s="41"/>
      <c r="N149" s="31"/>
      <c r="O149" s="31"/>
      <c r="P149" s="31"/>
    </row>
    <row r="150" spans="1:16" outlineLevel="1" x14ac:dyDescent="0.2">
      <c r="A150" s="37" t="s">
        <v>357</v>
      </c>
      <c r="B150" s="47">
        <v>500</v>
      </c>
      <c r="C150" s="47"/>
      <c r="D150" s="47"/>
      <c r="E150" s="47">
        <v>750</v>
      </c>
      <c r="F150" s="47">
        <v>1250</v>
      </c>
      <c r="H150" s="34"/>
      <c r="I150" s="40"/>
      <c r="J150" s="40"/>
      <c r="K150" s="31"/>
      <c r="L150" s="31"/>
      <c r="M150" s="41"/>
      <c r="N150" s="31"/>
      <c r="O150" s="31"/>
      <c r="P150" s="31"/>
    </row>
    <row r="151" spans="1:16" outlineLevel="1" x14ac:dyDescent="0.2">
      <c r="A151" s="37" t="s">
        <v>324</v>
      </c>
      <c r="B151" s="47">
        <v>500</v>
      </c>
      <c r="C151" s="47"/>
      <c r="D151" s="47"/>
      <c r="E151" s="47"/>
      <c r="F151" s="47">
        <v>500</v>
      </c>
      <c r="H151" s="34"/>
      <c r="I151" s="40"/>
      <c r="J151" s="40"/>
      <c r="K151" s="31"/>
      <c r="L151" s="31"/>
      <c r="M151" s="41"/>
      <c r="N151" s="31"/>
      <c r="O151" s="31"/>
      <c r="P151" s="31"/>
    </row>
    <row r="152" spans="1:16" outlineLevel="1" x14ac:dyDescent="0.2">
      <c r="A152" s="37" t="s">
        <v>358</v>
      </c>
      <c r="B152" s="47"/>
      <c r="C152" s="47">
        <v>500</v>
      </c>
      <c r="D152" s="47"/>
      <c r="E152" s="47"/>
      <c r="F152" s="47">
        <v>500</v>
      </c>
      <c r="H152" s="34"/>
      <c r="I152" s="40"/>
      <c r="J152" s="40"/>
      <c r="K152" s="31"/>
      <c r="L152" s="31"/>
      <c r="M152" s="41"/>
      <c r="N152" s="31"/>
      <c r="O152" s="31"/>
      <c r="P152" s="31"/>
    </row>
    <row r="153" spans="1:16" outlineLevel="1" x14ac:dyDescent="0.2">
      <c r="A153" s="22" t="s">
        <v>339</v>
      </c>
      <c r="B153" s="47">
        <v>1000</v>
      </c>
      <c r="C153" s="47">
        <v>1200</v>
      </c>
      <c r="D153" s="47">
        <v>1000</v>
      </c>
      <c r="E153" s="47">
        <v>1250</v>
      </c>
      <c r="F153" s="47">
        <v>4450</v>
      </c>
      <c r="H153" s="34"/>
      <c r="I153" s="40"/>
      <c r="J153" s="40"/>
      <c r="K153" s="31"/>
      <c r="L153" s="31"/>
      <c r="M153" s="41"/>
      <c r="N153" s="31"/>
      <c r="O153" s="31"/>
      <c r="P153" s="31"/>
    </row>
    <row r="154" spans="1:16" outlineLevel="1" x14ac:dyDescent="0.2">
      <c r="H154" s="34"/>
      <c r="I154" s="40"/>
      <c r="J154" s="40"/>
      <c r="K154" s="31"/>
      <c r="L154" s="31"/>
      <c r="M154" s="41"/>
      <c r="N154" s="31"/>
      <c r="O154" s="31"/>
      <c r="P154" s="31"/>
    </row>
    <row r="155" spans="1:16" outlineLevel="1" x14ac:dyDescent="0.2">
      <c r="H155" s="34"/>
      <c r="I155" s="40"/>
      <c r="J155" s="40"/>
      <c r="K155" s="31"/>
      <c r="L155" s="31"/>
      <c r="M155" s="41"/>
      <c r="N155" s="31"/>
      <c r="O155" s="31"/>
      <c r="P155" s="31"/>
    </row>
    <row r="156" spans="1:16" outlineLevel="1" x14ac:dyDescent="0.2">
      <c r="H156" s="34"/>
      <c r="I156" s="40"/>
      <c r="J156" s="40"/>
      <c r="K156" s="31"/>
      <c r="L156" s="31"/>
      <c r="M156" s="41"/>
      <c r="N156" s="31"/>
      <c r="O156" s="31"/>
      <c r="P156" s="31"/>
    </row>
    <row r="157" spans="1:16" outlineLevel="1" x14ac:dyDescent="0.2">
      <c r="H157" s="34"/>
      <c r="I157" s="40"/>
      <c r="J157" s="40"/>
      <c r="K157" s="31"/>
      <c r="L157" s="31"/>
      <c r="M157" s="41"/>
      <c r="N157" s="31"/>
      <c r="O157" s="31"/>
      <c r="P157" s="31"/>
    </row>
    <row r="158" spans="1:16" outlineLevel="1" x14ac:dyDescent="0.2">
      <c r="H158" s="34"/>
      <c r="I158" s="40"/>
      <c r="J158" s="40"/>
      <c r="K158" s="31"/>
      <c r="L158" s="31"/>
      <c r="M158" s="41"/>
      <c r="N158" s="31"/>
      <c r="O158" s="31"/>
      <c r="P158" s="31"/>
    </row>
    <row r="159" spans="1:16" outlineLevel="1" x14ac:dyDescent="0.2">
      <c r="H159" s="34"/>
      <c r="I159" s="40"/>
      <c r="J159" s="40"/>
      <c r="K159" s="31"/>
      <c r="L159" s="31"/>
      <c r="M159" s="41"/>
      <c r="N159" s="31"/>
      <c r="O159" s="31"/>
      <c r="P159" s="31"/>
    </row>
    <row r="160" spans="1:16" outlineLevel="1" x14ac:dyDescent="0.2">
      <c r="H160" s="34"/>
      <c r="I160" s="40"/>
      <c r="J160" s="40"/>
      <c r="K160" s="31"/>
      <c r="L160" s="31"/>
      <c r="M160" s="41"/>
      <c r="N160" s="31"/>
      <c r="O160" s="31"/>
      <c r="P160" s="31"/>
    </row>
    <row r="161" spans="8:16" outlineLevel="1" x14ac:dyDescent="0.2">
      <c r="H161" s="34"/>
      <c r="I161" s="40"/>
      <c r="J161" s="40"/>
      <c r="K161" s="31"/>
      <c r="L161" s="31"/>
      <c r="M161" s="41"/>
      <c r="N161" s="31"/>
      <c r="O161" s="31"/>
      <c r="P161" s="31"/>
    </row>
    <row r="162" spans="8:16" outlineLevel="1" x14ac:dyDescent="0.2">
      <c r="H162" s="34"/>
      <c r="I162" s="40"/>
      <c r="J162" s="40"/>
      <c r="K162" s="31"/>
      <c r="L162" s="31"/>
      <c r="M162" s="41"/>
      <c r="N162" s="31"/>
      <c r="O162" s="31"/>
      <c r="P162" s="31"/>
    </row>
    <row r="163" spans="8:16" outlineLevel="1" x14ac:dyDescent="0.2">
      <c r="H163" s="34"/>
      <c r="I163" s="40"/>
      <c r="J163" s="40"/>
      <c r="K163" s="31"/>
      <c r="L163" s="31"/>
      <c r="M163" s="41"/>
      <c r="N163" s="31"/>
      <c r="O163" s="31"/>
      <c r="P163" s="31"/>
    </row>
    <row r="164" spans="8:16" outlineLevel="1" x14ac:dyDescent="0.2"/>
    <row r="165" spans="8:16" outlineLevel="1" x14ac:dyDescent="0.2"/>
    <row r="166" spans="8:16" outlineLevel="1" x14ac:dyDescent="0.2"/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3:AQ157"/>
  <sheetViews>
    <sheetView showGridLines="0" zoomScale="118" zoomScaleNormal="118" workbookViewId="0">
      <selection activeCell="B9" sqref="B9"/>
    </sheetView>
  </sheetViews>
  <sheetFormatPr baseColWidth="10" defaultColWidth="8.83203125" defaultRowHeight="15" x14ac:dyDescent="0.2"/>
  <cols>
    <col min="1" max="1" width="2.83203125" customWidth="1"/>
    <col min="2" max="2" width="27" customWidth="1"/>
    <col min="3" max="3" width="2.5" customWidth="1"/>
    <col min="4" max="4" width="28.33203125" customWidth="1"/>
    <col min="5" max="5" width="5.33203125" customWidth="1"/>
    <col min="6" max="6" width="2.5" customWidth="1"/>
    <col min="7" max="7" width="31.5" customWidth="1"/>
    <col min="8" max="8" width="2.5" customWidth="1"/>
    <col min="9" max="9" width="25.6640625" customWidth="1"/>
    <col min="10" max="10" width="2.5" customWidth="1"/>
    <col min="11" max="11" width="34" customWidth="1"/>
    <col min="12" max="12" width="15.83203125" customWidth="1"/>
    <col min="13" max="13" width="4.5" customWidth="1"/>
    <col min="14" max="14" width="27" customWidth="1"/>
    <col min="15" max="15" width="4.5" customWidth="1"/>
    <col min="16" max="16" width="29.6640625" customWidth="1"/>
    <col min="17" max="17" width="12.83203125" customWidth="1"/>
    <col min="18" max="18" width="5" customWidth="1"/>
    <col min="21" max="21" width="3.6640625" customWidth="1"/>
    <col min="23" max="23" width="5" customWidth="1"/>
    <col min="24" max="24" width="14.83203125" style="22" customWidth="1"/>
    <col min="25" max="25" width="4" customWidth="1"/>
    <col min="27" max="27" width="4" customWidth="1"/>
    <col min="28" max="28" width="24.33203125" customWidth="1"/>
    <col min="29" max="29" width="3.6640625" customWidth="1"/>
    <col min="30" max="30" width="4.1640625" customWidth="1"/>
    <col min="31" max="31" width="19.1640625" customWidth="1"/>
    <col min="32" max="32" width="3.5" customWidth="1"/>
    <col min="33" max="33" width="36.6640625" customWidth="1"/>
    <col min="34" max="34" width="3.6640625" customWidth="1"/>
    <col min="35" max="35" width="10" customWidth="1"/>
    <col min="36" max="36" width="3.1640625" customWidth="1"/>
    <col min="37" max="37" width="25" customWidth="1"/>
    <col min="38" max="38" width="2.6640625" customWidth="1"/>
    <col min="39" max="39" width="49" customWidth="1"/>
    <col min="40" max="40" width="2.6640625" customWidth="1"/>
    <col min="41" max="41" width="18.6640625" customWidth="1"/>
  </cols>
  <sheetData>
    <row r="3" spans="2:43" x14ac:dyDescent="0.2">
      <c r="B3" s="11" t="s">
        <v>137</v>
      </c>
      <c r="D3" s="11" t="s">
        <v>359</v>
      </c>
      <c r="E3" s="11" t="s">
        <v>360</v>
      </c>
      <c r="G3" s="23" t="s">
        <v>361</v>
      </c>
      <c r="I3" s="24" t="s">
        <v>362</v>
      </c>
      <c r="K3" s="11" t="s">
        <v>9</v>
      </c>
      <c r="L3" s="11" t="s">
        <v>362</v>
      </c>
      <c r="N3" s="25" t="s">
        <v>363</v>
      </c>
      <c r="P3" s="11" t="s">
        <v>364</v>
      </c>
      <c r="Q3" s="11" t="s">
        <v>52</v>
      </c>
      <c r="S3" s="11" t="s">
        <v>40</v>
      </c>
      <c r="T3" s="11" t="s">
        <v>365</v>
      </c>
      <c r="V3" s="11" t="s">
        <v>169</v>
      </c>
      <c r="X3" s="11" t="s">
        <v>155</v>
      </c>
      <c r="Z3" s="11" t="s">
        <v>366</v>
      </c>
      <c r="AB3" s="11" t="s">
        <v>367</v>
      </c>
      <c r="AE3" s="11" t="s">
        <v>368</v>
      </c>
      <c r="AG3" s="11" t="s">
        <v>131</v>
      </c>
      <c r="AI3" s="11" t="s">
        <v>369</v>
      </c>
      <c r="AK3" s="11" t="s">
        <v>59</v>
      </c>
      <c r="AM3" s="11" t="s">
        <v>370</v>
      </c>
      <c r="AO3" s="11" t="s">
        <v>371</v>
      </c>
      <c r="AQ3" s="11" t="s">
        <v>44</v>
      </c>
    </row>
    <row r="4" spans="2:43" x14ac:dyDescent="0.2">
      <c r="B4" s="12" t="s">
        <v>139</v>
      </c>
      <c r="D4" s="12" t="s">
        <v>321</v>
      </c>
      <c r="E4" s="12" t="s">
        <v>372</v>
      </c>
      <c r="G4" s="12" t="s">
        <v>373</v>
      </c>
      <c r="I4" s="26" t="s">
        <v>374</v>
      </c>
      <c r="K4" s="12" t="s">
        <v>375</v>
      </c>
      <c r="L4" s="12" t="s">
        <v>376</v>
      </c>
      <c r="N4" s="12" t="s">
        <v>377</v>
      </c>
      <c r="P4" s="15" t="s">
        <v>38</v>
      </c>
      <c r="Q4" s="15" t="s">
        <v>54</v>
      </c>
      <c r="S4" s="12" t="s">
        <v>190</v>
      </c>
      <c r="T4" s="12" t="s">
        <v>46</v>
      </c>
      <c r="V4" s="28">
        <v>2019</v>
      </c>
      <c r="X4" s="29" t="s">
        <v>217</v>
      </c>
      <c r="Z4" s="12" t="s">
        <v>378</v>
      </c>
      <c r="AB4" s="12" t="s">
        <v>219</v>
      </c>
      <c r="AE4" s="12" t="s">
        <v>124</v>
      </c>
      <c r="AG4" s="12" t="s">
        <v>379</v>
      </c>
      <c r="AI4" s="12" t="s">
        <v>380</v>
      </c>
      <c r="AK4" s="12" t="s">
        <v>197</v>
      </c>
      <c r="AM4" s="12" t="s">
        <v>225</v>
      </c>
      <c r="AO4" s="12" t="s">
        <v>381</v>
      </c>
      <c r="AQ4" s="12" t="s">
        <v>46</v>
      </c>
    </row>
    <row r="5" spans="2:43" x14ac:dyDescent="0.2">
      <c r="B5" s="12" t="s">
        <v>358</v>
      </c>
      <c r="D5" s="12" t="s">
        <v>325</v>
      </c>
      <c r="E5" s="12" t="s">
        <v>382</v>
      </c>
      <c r="G5" s="12" t="s">
        <v>383</v>
      </c>
      <c r="I5" s="26" t="s">
        <v>384</v>
      </c>
      <c r="K5" s="12" t="s">
        <v>385</v>
      </c>
      <c r="L5" s="12" t="s">
        <v>386</v>
      </c>
      <c r="N5" s="12"/>
      <c r="P5" s="15" t="s">
        <v>340</v>
      </c>
      <c r="Q5" s="15" t="s">
        <v>54</v>
      </c>
      <c r="S5" s="12" t="s">
        <v>89</v>
      </c>
      <c r="T5" s="12" t="s">
        <v>46</v>
      </c>
      <c r="V5" s="28">
        <v>2020</v>
      </c>
      <c r="X5" s="29" t="s">
        <v>387</v>
      </c>
      <c r="Z5" s="12" t="s">
        <v>3</v>
      </c>
      <c r="AB5" s="12" t="s">
        <v>218</v>
      </c>
      <c r="AE5" s="12" t="s">
        <v>351</v>
      </c>
      <c r="AG5" s="12" t="s">
        <v>133</v>
      </c>
      <c r="AI5" s="12" t="s">
        <v>388</v>
      </c>
      <c r="AK5" s="12" t="s">
        <v>389</v>
      </c>
      <c r="AM5" s="12" t="s">
        <v>228</v>
      </c>
      <c r="AO5" s="12" t="s">
        <v>390</v>
      </c>
      <c r="AQ5" s="12" t="s">
        <v>150</v>
      </c>
    </row>
    <row r="6" spans="2:43" x14ac:dyDescent="0.2">
      <c r="B6" s="12" t="s">
        <v>391</v>
      </c>
      <c r="D6" s="12" t="s">
        <v>392</v>
      </c>
      <c r="E6" s="12" t="s">
        <v>382</v>
      </c>
      <c r="G6" s="12" t="s">
        <v>393</v>
      </c>
      <c r="K6" s="12" t="s">
        <v>394</v>
      </c>
      <c r="L6" s="12" t="s">
        <v>395</v>
      </c>
      <c r="P6" s="15" t="s">
        <v>396</v>
      </c>
      <c r="Q6" s="15" t="s">
        <v>54</v>
      </c>
      <c r="S6" s="12" t="s">
        <v>177</v>
      </c>
      <c r="T6" s="12" t="s">
        <v>46</v>
      </c>
      <c r="V6" s="28">
        <v>2021</v>
      </c>
      <c r="X6" s="29" t="s">
        <v>397</v>
      </c>
      <c r="AB6" s="12" t="s">
        <v>86</v>
      </c>
      <c r="AE6" s="12" t="s">
        <v>349</v>
      </c>
      <c r="AG6" s="12" t="s">
        <v>255</v>
      </c>
      <c r="AK6" s="12" t="s">
        <v>192</v>
      </c>
      <c r="AM6" s="12" t="s">
        <v>216</v>
      </c>
      <c r="AO6" s="12" t="s">
        <v>398</v>
      </c>
      <c r="AQ6" s="12" t="s">
        <v>151</v>
      </c>
    </row>
    <row r="7" spans="2:43" x14ac:dyDescent="0.2">
      <c r="B7" s="12" t="s">
        <v>399</v>
      </c>
      <c r="D7" s="12" t="s">
        <v>383</v>
      </c>
      <c r="G7" s="12" t="s">
        <v>400</v>
      </c>
      <c r="K7" s="12" t="s">
        <v>401</v>
      </c>
      <c r="L7" s="12" t="s">
        <v>386</v>
      </c>
      <c r="P7" s="15" t="s">
        <v>402</v>
      </c>
      <c r="Q7" s="15" t="s">
        <v>323</v>
      </c>
      <c r="S7" s="12" t="s">
        <v>239</v>
      </c>
      <c r="T7" s="12" t="s">
        <v>150</v>
      </c>
      <c r="V7" s="28">
        <v>2022</v>
      </c>
      <c r="X7" s="29" t="s">
        <v>403</v>
      </c>
      <c r="AE7" s="12" t="s">
        <v>404</v>
      </c>
      <c r="AG7" s="12"/>
      <c r="AK7" s="12" t="s">
        <v>405</v>
      </c>
      <c r="AM7" s="12" t="s">
        <v>233</v>
      </c>
      <c r="AO7" s="12" t="s">
        <v>406</v>
      </c>
      <c r="AQ7" s="12" t="s">
        <v>152</v>
      </c>
    </row>
    <row r="8" spans="2:43" x14ac:dyDescent="0.2">
      <c r="B8" s="12" t="s">
        <v>324</v>
      </c>
      <c r="D8" s="12" t="s">
        <v>407</v>
      </c>
      <c r="G8" s="12" t="s">
        <v>255</v>
      </c>
      <c r="K8" s="12" t="s">
        <v>408</v>
      </c>
      <c r="L8" s="12" t="s">
        <v>395</v>
      </c>
      <c r="P8" s="15" t="s">
        <v>409</v>
      </c>
      <c r="Q8" s="15" t="s">
        <v>258</v>
      </c>
      <c r="S8" s="12" t="s">
        <v>242</v>
      </c>
      <c r="T8" s="12" t="s">
        <v>150</v>
      </c>
      <c r="V8" s="28">
        <v>2023</v>
      </c>
      <c r="X8" s="29" t="s">
        <v>410</v>
      </c>
      <c r="AE8" s="12" t="s">
        <v>255</v>
      </c>
      <c r="AK8" s="12" t="s">
        <v>189</v>
      </c>
      <c r="AM8" s="12" t="s">
        <v>255</v>
      </c>
      <c r="AO8" s="12" t="s">
        <v>411</v>
      </c>
    </row>
    <row r="9" spans="2:43" ht="16" x14ac:dyDescent="0.2">
      <c r="B9" s="12" t="s">
        <v>412</v>
      </c>
      <c r="D9" s="12" t="s">
        <v>413</v>
      </c>
      <c r="K9" s="12" t="s">
        <v>414</v>
      </c>
      <c r="L9" s="12" t="s">
        <v>395</v>
      </c>
      <c r="S9" s="12" t="s">
        <v>179</v>
      </c>
      <c r="T9" s="12" t="s">
        <v>150</v>
      </c>
      <c r="V9" s="28">
        <v>2024</v>
      </c>
      <c r="X9" s="29" t="s">
        <v>255</v>
      </c>
      <c r="AK9" s="30" t="s">
        <v>415</v>
      </c>
      <c r="AO9" s="12" t="s">
        <v>416</v>
      </c>
    </row>
    <row r="10" spans="2:43" ht="16" x14ac:dyDescent="0.2">
      <c r="D10" s="12" t="s">
        <v>255</v>
      </c>
      <c r="K10" s="12" t="s">
        <v>417</v>
      </c>
      <c r="L10" s="12" t="s">
        <v>386</v>
      </c>
      <c r="S10" s="12" t="s">
        <v>418</v>
      </c>
      <c r="T10" s="12" t="s">
        <v>151</v>
      </c>
      <c r="V10" s="28">
        <v>2025</v>
      </c>
      <c r="X10"/>
      <c r="AK10" s="30" t="s">
        <v>419</v>
      </c>
      <c r="AO10" s="12" t="s">
        <v>420</v>
      </c>
    </row>
    <row r="11" spans="2:43" ht="16" x14ac:dyDescent="0.2">
      <c r="K11" s="12" t="s">
        <v>421</v>
      </c>
      <c r="L11" s="12" t="s">
        <v>376</v>
      </c>
      <c r="S11" s="12" t="s">
        <v>42</v>
      </c>
      <c r="T11" s="12" t="s">
        <v>151</v>
      </c>
      <c r="V11" s="28">
        <v>2026</v>
      </c>
      <c r="X11"/>
      <c r="AK11" s="30" t="s">
        <v>422</v>
      </c>
      <c r="AO11" s="12" t="s">
        <v>423</v>
      </c>
    </row>
    <row r="12" spans="2:43" ht="16" x14ac:dyDescent="0.2">
      <c r="K12" s="12" t="s">
        <v>424</v>
      </c>
      <c r="L12" s="12" t="s">
        <v>395</v>
      </c>
      <c r="S12" s="12" t="s">
        <v>425</v>
      </c>
      <c r="T12" s="12" t="s">
        <v>151</v>
      </c>
      <c r="V12" s="28">
        <v>2027</v>
      </c>
      <c r="X12"/>
      <c r="AK12" s="30" t="s">
        <v>255</v>
      </c>
      <c r="AO12" s="12" t="s">
        <v>426</v>
      </c>
    </row>
    <row r="13" spans="2:43" x14ac:dyDescent="0.2">
      <c r="K13" s="12" t="s">
        <v>12</v>
      </c>
      <c r="L13" s="12" t="s">
        <v>427</v>
      </c>
      <c r="S13" s="12" t="s">
        <v>428</v>
      </c>
      <c r="T13" s="12" t="s">
        <v>152</v>
      </c>
      <c r="V13" s="28">
        <v>2028</v>
      </c>
      <c r="X13"/>
      <c r="AO13" s="12" t="s">
        <v>429</v>
      </c>
    </row>
    <row r="14" spans="2:43" x14ac:dyDescent="0.2">
      <c r="K14" s="12" t="s">
        <v>430</v>
      </c>
      <c r="L14" s="12" t="s">
        <v>376</v>
      </c>
      <c r="P14" s="11" t="s">
        <v>431</v>
      </c>
      <c r="Q14" s="11" t="s">
        <v>52</v>
      </c>
      <c r="S14" s="12" t="s">
        <v>432</v>
      </c>
      <c r="T14" s="12" t="s">
        <v>152</v>
      </c>
      <c r="V14" s="28">
        <v>2029</v>
      </c>
      <c r="X14"/>
      <c r="AO14" s="12" t="s">
        <v>433</v>
      </c>
    </row>
    <row r="15" spans="2:43" x14ac:dyDescent="0.2">
      <c r="K15" s="12" t="s">
        <v>434</v>
      </c>
      <c r="L15" s="12" t="s">
        <v>386</v>
      </c>
      <c r="P15" s="15" t="s">
        <v>63</v>
      </c>
      <c r="Q15" s="15" t="s">
        <v>54</v>
      </c>
      <c r="S15" s="12" t="s">
        <v>435</v>
      </c>
      <c r="T15" s="12" t="s">
        <v>152</v>
      </c>
      <c r="V15" s="28">
        <v>2030</v>
      </c>
      <c r="X15"/>
      <c r="AO15" s="12" t="s">
        <v>436</v>
      </c>
    </row>
    <row r="16" spans="2:43" x14ac:dyDescent="0.2">
      <c r="K16" s="12" t="s">
        <v>437</v>
      </c>
      <c r="L16" s="12" t="s">
        <v>438</v>
      </c>
      <c r="P16" s="15" t="s">
        <v>439</v>
      </c>
      <c r="Q16" s="15" t="s">
        <v>54</v>
      </c>
      <c r="V16" s="22"/>
      <c r="X16"/>
      <c r="AO16" s="12" t="s">
        <v>440</v>
      </c>
    </row>
    <row r="17" spans="11:41" x14ac:dyDescent="0.2">
      <c r="K17" s="12" t="s">
        <v>441</v>
      </c>
      <c r="L17" s="12" t="s">
        <v>438</v>
      </c>
      <c r="P17" s="15"/>
      <c r="Q17" s="15"/>
      <c r="X17"/>
      <c r="AO17" s="12" t="s">
        <v>442</v>
      </c>
    </row>
    <row r="18" spans="11:41" x14ac:dyDescent="0.2">
      <c r="K18" s="12" t="s">
        <v>148</v>
      </c>
      <c r="L18" s="12" t="s">
        <v>395</v>
      </c>
      <c r="P18" s="27"/>
      <c r="Q18" s="27"/>
      <c r="X18"/>
      <c r="AO18" s="12" t="s">
        <v>443</v>
      </c>
    </row>
    <row r="19" spans="11:41" x14ac:dyDescent="0.2">
      <c r="K19" s="12" t="s">
        <v>444</v>
      </c>
      <c r="L19" s="12" t="s">
        <v>386</v>
      </c>
      <c r="X19"/>
      <c r="AO19" s="12" t="s">
        <v>445</v>
      </c>
    </row>
    <row r="20" spans="11:41" x14ac:dyDescent="0.2">
      <c r="K20" s="12" t="s">
        <v>446</v>
      </c>
      <c r="L20" s="12" t="s">
        <v>395</v>
      </c>
      <c r="X20"/>
      <c r="AO20" s="12" t="s">
        <v>447</v>
      </c>
    </row>
    <row r="21" spans="11:41" x14ac:dyDescent="0.2">
      <c r="K21" s="12" t="s">
        <v>448</v>
      </c>
      <c r="L21" s="12" t="s">
        <v>438</v>
      </c>
      <c r="X21"/>
      <c r="AO21" s="12" t="s">
        <v>449</v>
      </c>
    </row>
    <row r="22" spans="11:41" x14ac:dyDescent="0.2">
      <c r="K22" s="12" t="s">
        <v>450</v>
      </c>
      <c r="L22" s="12" t="s">
        <v>376</v>
      </c>
      <c r="X22"/>
      <c r="AO22" s="12" t="s">
        <v>451</v>
      </c>
    </row>
    <row r="23" spans="11:41" x14ac:dyDescent="0.2">
      <c r="K23" s="12" t="s">
        <v>452</v>
      </c>
      <c r="L23" s="12" t="s">
        <v>386</v>
      </c>
      <c r="X23"/>
      <c r="AO23" s="12" t="s">
        <v>453</v>
      </c>
    </row>
    <row r="24" spans="11:41" x14ac:dyDescent="0.2">
      <c r="K24" s="12" t="s">
        <v>454</v>
      </c>
      <c r="L24" s="12" t="s">
        <v>427</v>
      </c>
      <c r="X24"/>
      <c r="AO24" s="12" t="s">
        <v>455</v>
      </c>
    </row>
    <row r="25" spans="11:41" x14ac:dyDescent="0.2">
      <c r="K25" s="12" t="s">
        <v>456</v>
      </c>
      <c r="L25" s="12" t="s">
        <v>438</v>
      </c>
      <c r="X25"/>
      <c r="AO25" s="12" t="s">
        <v>457</v>
      </c>
    </row>
    <row r="26" spans="11:41" x14ac:dyDescent="0.2">
      <c r="K26" s="12" t="s">
        <v>458</v>
      </c>
      <c r="L26" s="12" t="s">
        <v>376</v>
      </c>
      <c r="X26"/>
      <c r="AO26" s="12" t="s">
        <v>459</v>
      </c>
    </row>
    <row r="27" spans="11:41" x14ac:dyDescent="0.2">
      <c r="K27" s="12" t="s">
        <v>460</v>
      </c>
      <c r="L27" s="12" t="s">
        <v>386</v>
      </c>
      <c r="X27"/>
      <c r="AO27" s="12" t="s">
        <v>461</v>
      </c>
    </row>
    <row r="28" spans="11:41" x14ac:dyDescent="0.2">
      <c r="K28" s="12" t="s">
        <v>462</v>
      </c>
      <c r="L28" s="12" t="s">
        <v>376</v>
      </c>
      <c r="X28"/>
      <c r="AO28" s="12" t="s">
        <v>463</v>
      </c>
    </row>
    <row r="29" spans="11:41" x14ac:dyDescent="0.2">
      <c r="K29" s="12" t="s">
        <v>464</v>
      </c>
      <c r="L29" s="12" t="s">
        <v>395</v>
      </c>
      <c r="X29"/>
      <c r="AO29" s="12" t="s">
        <v>465</v>
      </c>
    </row>
    <row r="30" spans="11:41" x14ac:dyDescent="0.2">
      <c r="X30"/>
      <c r="AO30" s="12" t="s">
        <v>466</v>
      </c>
    </row>
    <row r="31" spans="11:41" x14ac:dyDescent="0.2">
      <c r="X31"/>
      <c r="AO31" s="12" t="s">
        <v>467</v>
      </c>
    </row>
    <row r="32" spans="11:41" x14ac:dyDescent="0.2">
      <c r="X32"/>
      <c r="AO32" s="12" t="s">
        <v>468</v>
      </c>
    </row>
    <row r="33" spans="24:41" x14ac:dyDescent="0.2">
      <c r="X33"/>
      <c r="AO33" s="12" t="s">
        <v>469</v>
      </c>
    </row>
    <row r="34" spans="24:41" x14ac:dyDescent="0.2">
      <c r="X34"/>
      <c r="AO34" s="12" t="s">
        <v>470</v>
      </c>
    </row>
    <row r="35" spans="24:41" x14ac:dyDescent="0.2">
      <c r="X35"/>
      <c r="AO35" s="12" t="s">
        <v>471</v>
      </c>
    </row>
    <row r="36" spans="24:41" x14ac:dyDescent="0.2">
      <c r="X36"/>
      <c r="AO36" s="12" t="s">
        <v>472</v>
      </c>
    </row>
    <row r="37" spans="24:41" x14ac:dyDescent="0.2">
      <c r="X37"/>
      <c r="AO37" s="12" t="s">
        <v>473</v>
      </c>
    </row>
    <row r="38" spans="24:41" x14ac:dyDescent="0.2">
      <c r="X38"/>
      <c r="AO38" s="12" t="s">
        <v>474</v>
      </c>
    </row>
    <row r="39" spans="24:41" x14ac:dyDescent="0.2">
      <c r="X39"/>
      <c r="AO39" s="12" t="s">
        <v>475</v>
      </c>
    </row>
    <row r="40" spans="24:41" x14ac:dyDescent="0.2">
      <c r="X40"/>
      <c r="AO40" s="12" t="s">
        <v>476</v>
      </c>
    </row>
    <row r="41" spans="24:41" x14ac:dyDescent="0.2">
      <c r="X41"/>
      <c r="AO41" s="12" t="s">
        <v>477</v>
      </c>
    </row>
    <row r="42" spans="24:41" x14ac:dyDescent="0.2">
      <c r="X42"/>
      <c r="AO42" t="s">
        <v>478</v>
      </c>
    </row>
    <row r="43" spans="24:41" x14ac:dyDescent="0.2">
      <c r="X43"/>
      <c r="AO43" s="12" t="s">
        <v>479</v>
      </c>
    </row>
    <row r="44" spans="24:41" x14ac:dyDescent="0.2">
      <c r="X44"/>
      <c r="AO44" s="12" t="s">
        <v>480</v>
      </c>
    </row>
    <row r="45" spans="24:41" x14ac:dyDescent="0.2">
      <c r="X45"/>
      <c r="AO45" s="12" t="s">
        <v>481</v>
      </c>
    </row>
    <row r="46" spans="24:41" x14ac:dyDescent="0.2">
      <c r="X46"/>
      <c r="AO46" s="12" t="s">
        <v>482</v>
      </c>
    </row>
    <row r="47" spans="24:41" x14ac:dyDescent="0.2">
      <c r="X47"/>
      <c r="AO47" s="12" t="s">
        <v>483</v>
      </c>
    </row>
    <row r="48" spans="24:41" x14ac:dyDescent="0.2">
      <c r="X48"/>
      <c r="AO48" s="12" t="s">
        <v>484</v>
      </c>
    </row>
    <row r="49" spans="24:41" x14ac:dyDescent="0.2">
      <c r="X49"/>
      <c r="AO49" s="12" t="s">
        <v>485</v>
      </c>
    </row>
    <row r="50" spans="24:41" x14ac:dyDescent="0.2">
      <c r="X50"/>
      <c r="AO50" t="s">
        <v>486</v>
      </c>
    </row>
    <row r="51" spans="24:41" x14ac:dyDescent="0.2">
      <c r="X51"/>
      <c r="AO51" s="12" t="s">
        <v>487</v>
      </c>
    </row>
    <row r="52" spans="24:41" x14ac:dyDescent="0.2">
      <c r="X52"/>
      <c r="AO52" s="12" t="s">
        <v>488</v>
      </c>
    </row>
    <row r="53" spans="24:41" x14ac:dyDescent="0.2">
      <c r="X53"/>
      <c r="AO53" s="12" t="s">
        <v>489</v>
      </c>
    </row>
    <row r="54" spans="24:41" x14ac:dyDescent="0.2">
      <c r="X54"/>
      <c r="AO54" s="12" t="s">
        <v>237</v>
      </c>
    </row>
    <row r="55" spans="24:41" x14ac:dyDescent="0.2">
      <c r="X55"/>
      <c r="AO55" s="12" t="s">
        <v>490</v>
      </c>
    </row>
    <row r="56" spans="24:41" x14ac:dyDescent="0.2">
      <c r="X56"/>
      <c r="AO56" s="12" t="s">
        <v>491</v>
      </c>
    </row>
    <row r="57" spans="24:41" x14ac:dyDescent="0.2">
      <c r="X57"/>
      <c r="AO57" s="12" t="s">
        <v>492</v>
      </c>
    </row>
    <row r="58" spans="24:41" x14ac:dyDescent="0.2">
      <c r="AO58" s="12" t="s">
        <v>493</v>
      </c>
    </row>
    <row r="59" spans="24:41" x14ac:dyDescent="0.2">
      <c r="AO59" s="12" t="s">
        <v>494</v>
      </c>
    </row>
    <row r="60" spans="24:41" x14ac:dyDescent="0.2">
      <c r="AO60" s="12" t="s">
        <v>495</v>
      </c>
    </row>
    <row r="61" spans="24:41" x14ac:dyDescent="0.2">
      <c r="AO61" s="12" t="s">
        <v>496</v>
      </c>
    </row>
    <row r="62" spans="24:41" x14ac:dyDescent="0.2">
      <c r="AO62" s="12" t="s">
        <v>497</v>
      </c>
    </row>
    <row r="63" spans="24:41" x14ac:dyDescent="0.2">
      <c r="AO63" s="12" t="s">
        <v>498</v>
      </c>
    </row>
    <row r="64" spans="24:41" x14ac:dyDescent="0.2">
      <c r="AO64" s="12" t="s">
        <v>499</v>
      </c>
    </row>
    <row r="65" spans="41:41" x14ac:dyDescent="0.2">
      <c r="AO65" s="12" t="s">
        <v>500</v>
      </c>
    </row>
    <row r="66" spans="41:41" x14ac:dyDescent="0.2">
      <c r="AO66" s="12" t="s">
        <v>501</v>
      </c>
    </row>
    <row r="67" spans="41:41" x14ac:dyDescent="0.2">
      <c r="AO67" s="12" t="s">
        <v>502</v>
      </c>
    </row>
    <row r="68" spans="41:41" x14ac:dyDescent="0.2">
      <c r="AO68" s="12" t="s">
        <v>503</v>
      </c>
    </row>
    <row r="69" spans="41:41" x14ac:dyDescent="0.2">
      <c r="AO69" s="12" t="s">
        <v>504</v>
      </c>
    </row>
    <row r="70" spans="41:41" x14ac:dyDescent="0.2">
      <c r="AO70" s="12" t="s">
        <v>505</v>
      </c>
    </row>
    <row r="71" spans="41:41" x14ac:dyDescent="0.2">
      <c r="AO71" s="12" t="s">
        <v>506</v>
      </c>
    </row>
    <row r="72" spans="41:41" x14ac:dyDescent="0.2">
      <c r="AO72" s="12" t="s">
        <v>507</v>
      </c>
    </row>
    <row r="73" spans="41:41" x14ac:dyDescent="0.2">
      <c r="AO73" s="12" t="s">
        <v>508</v>
      </c>
    </row>
    <row r="74" spans="41:41" x14ac:dyDescent="0.2">
      <c r="AO74" s="12" t="s">
        <v>509</v>
      </c>
    </row>
    <row r="75" spans="41:41" x14ac:dyDescent="0.2">
      <c r="AO75" s="12" t="s">
        <v>510</v>
      </c>
    </row>
    <row r="76" spans="41:41" x14ac:dyDescent="0.2">
      <c r="AO76" s="12" t="s">
        <v>511</v>
      </c>
    </row>
    <row r="77" spans="41:41" x14ac:dyDescent="0.2">
      <c r="AO77" s="12" t="s">
        <v>512</v>
      </c>
    </row>
    <row r="78" spans="41:41" x14ac:dyDescent="0.2">
      <c r="AO78" s="12" t="s">
        <v>513</v>
      </c>
    </row>
    <row r="79" spans="41:41" x14ac:dyDescent="0.2">
      <c r="AO79" s="12" t="s">
        <v>514</v>
      </c>
    </row>
    <row r="80" spans="41:41" x14ac:dyDescent="0.2">
      <c r="AO80" s="12" t="s">
        <v>515</v>
      </c>
    </row>
    <row r="81" spans="41:41" x14ac:dyDescent="0.2">
      <c r="AO81" s="12" t="s">
        <v>516</v>
      </c>
    </row>
    <row r="82" spans="41:41" x14ac:dyDescent="0.2">
      <c r="AO82" s="12" t="s">
        <v>517</v>
      </c>
    </row>
    <row r="83" spans="41:41" x14ac:dyDescent="0.2">
      <c r="AO83" s="12" t="s">
        <v>518</v>
      </c>
    </row>
    <row r="84" spans="41:41" x14ac:dyDescent="0.2">
      <c r="AO84" s="12" t="s">
        <v>519</v>
      </c>
    </row>
    <row r="85" spans="41:41" x14ac:dyDescent="0.2">
      <c r="AO85" s="12" t="s">
        <v>520</v>
      </c>
    </row>
    <row r="86" spans="41:41" x14ac:dyDescent="0.2">
      <c r="AO86" s="12" t="s">
        <v>521</v>
      </c>
    </row>
    <row r="87" spans="41:41" x14ac:dyDescent="0.2">
      <c r="AO87" s="12" t="s">
        <v>522</v>
      </c>
    </row>
    <row r="88" spans="41:41" x14ac:dyDescent="0.2">
      <c r="AO88" s="12" t="s">
        <v>523</v>
      </c>
    </row>
    <row r="89" spans="41:41" x14ac:dyDescent="0.2">
      <c r="AO89" s="12" t="s">
        <v>524</v>
      </c>
    </row>
    <row r="90" spans="41:41" x14ac:dyDescent="0.2">
      <c r="AO90" s="12" t="s">
        <v>525</v>
      </c>
    </row>
    <row r="91" spans="41:41" x14ac:dyDescent="0.2">
      <c r="AO91" s="12" t="s">
        <v>112</v>
      </c>
    </row>
    <row r="92" spans="41:41" x14ac:dyDescent="0.2">
      <c r="AO92" s="12" t="s">
        <v>526</v>
      </c>
    </row>
    <row r="93" spans="41:41" x14ac:dyDescent="0.2">
      <c r="AO93" s="12" t="s">
        <v>527</v>
      </c>
    </row>
    <row r="94" spans="41:41" x14ac:dyDescent="0.2">
      <c r="AO94" s="12" t="s">
        <v>528</v>
      </c>
    </row>
    <row r="95" spans="41:41" x14ac:dyDescent="0.2">
      <c r="AO95" s="12" t="s">
        <v>529</v>
      </c>
    </row>
    <row r="96" spans="41:41" x14ac:dyDescent="0.2">
      <c r="AO96" s="12" t="s">
        <v>530</v>
      </c>
    </row>
    <row r="97" spans="41:41" x14ac:dyDescent="0.2">
      <c r="AO97" s="12" t="s">
        <v>531</v>
      </c>
    </row>
    <row r="98" spans="41:41" x14ac:dyDescent="0.2">
      <c r="AO98" s="12" t="s">
        <v>532</v>
      </c>
    </row>
    <row r="99" spans="41:41" x14ac:dyDescent="0.2">
      <c r="AO99" s="12" t="s">
        <v>533</v>
      </c>
    </row>
    <row r="100" spans="41:41" x14ac:dyDescent="0.2">
      <c r="AO100" s="12" t="s">
        <v>534</v>
      </c>
    </row>
    <row r="101" spans="41:41" x14ac:dyDescent="0.2">
      <c r="AO101" s="12" t="s">
        <v>535</v>
      </c>
    </row>
    <row r="102" spans="41:41" x14ac:dyDescent="0.2">
      <c r="AO102" s="12" t="s">
        <v>536</v>
      </c>
    </row>
    <row r="103" spans="41:41" x14ac:dyDescent="0.2">
      <c r="AO103" s="12" t="s">
        <v>537</v>
      </c>
    </row>
    <row r="104" spans="41:41" x14ac:dyDescent="0.2">
      <c r="AO104" s="12" t="s">
        <v>538</v>
      </c>
    </row>
    <row r="105" spans="41:41" x14ac:dyDescent="0.2">
      <c r="AO105" s="12" t="s">
        <v>539</v>
      </c>
    </row>
    <row r="106" spans="41:41" x14ac:dyDescent="0.2">
      <c r="AO106" s="12" t="s">
        <v>540</v>
      </c>
    </row>
    <row r="107" spans="41:41" x14ac:dyDescent="0.2">
      <c r="AO107" s="12" t="s">
        <v>541</v>
      </c>
    </row>
    <row r="108" spans="41:41" x14ac:dyDescent="0.2">
      <c r="AO108" s="12" t="s">
        <v>542</v>
      </c>
    </row>
    <row r="109" spans="41:41" x14ac:dyDescent="0.2">
      <c r="AO109" s="12" t="s">
        <v>543</v>
      </c>
    </row>
    <row r="110" spans="41:41" x14ac:dyDescent="0.2">
      <c r="AO110" s="12" t="s">
        <v>544</v>
      </c>
    </row>
    <row r="111" spans="41:41" x14ac:dyDescent="0.2">
      <c r="AO111" s="12" t="s">
        <v>545</v>
      </c>
    </row>
    <row r="112" spans="41:41" x14ac:dyDescent="0.2">
      <c r="AO112" s="12" t="s">
        <v>546</v>
      </c>
    </row>
    <row r="113" spans="41:41" x14ac:dyDescent="0.2">
      <c r="AO113" s="12" t="s">
        <v>547</v>
      </c>
    </row>
    <row r="114" spans="41:41" x14ac:dyDescent="0.2">
      <c r="AO114" s="12" t="s">
        <v>548</v>
      </c>
    </row>
    <row r="115" spans="41:41" x14ac:dyDescent="0.2">
      <c r="AO115" s="12" t="s">
        <v>549</v>
      </c>
    </row>
    <row r="116" spans="41:41" x14ac:dyDescent="0.2">
      <c r="AO116" s="12" t="s">
        <v>550</v>
      </c>
    </row>
    <row r="117" spans="41:41" x14ac:dyDescent="0.2">
      <c r="AO117" s="12" t="s">
        <v>551</v>
      </c>
    </row>
    <row r="118" spans="41:41" x14ac:dyDescent="0.2">
      <c r="AO118" s="12" t="s">
        <v>552</v>
      </c>
    </row>
    <row r="119" spans="41:41" x14ac:dyDescent="0.2">
      <c r="AO119" s="12" t="s">
        <v>553</v>
      </c>
    </row>
    <row r="120" spans="41:41" x14ac:dyDescent="0.2">
      <c r="AO120" s="12" t="s">
        <v>554</v>
      </c>
    </row>
    <row r="121" spans="41:41" x14ac:dyDescent="0.2">
      <c r="AO121" s="12" t="s">
        <v>555</v>
      </c>
    </row>
    <row r="122" spans="41:41" x14ac:dyDescent="0.2">
      <c r="AO122" s="12" t="s">
        <v>556</v>
      </c>
    </row>
    <row r="123" spans="41:41" x14ac:dyDescent="0.2">
      <c r="AO123" s="12" t="s">
        <v>557</v>
      </c>
    </row>
    <row r="124" spans="41:41" x14ac:dyDescent="0.2">
      <c r="AO124" s="12" t="s">
        <v>558</v>
      </c>
    </row>
    <row r="125" spans="41:41" x14ac:dyDescent="0.2">
      <c r="AO125" s="12" t="s">
        <v>559</v>
      </c>
    </row>
    <row r="126" spans="41:41" x14ac:dyDescent="0.2">
      <c r="AO126" s="12" t="s">
        <v>560</v>
      </c>
    </row>
    <row r="127" spans="41:41" x14ac:dyDescent="0.2">
      <c r="AO127" s="12" t="s">
        <v>561</v>
      </c>
    </row>
    <row r="128" spans="41:41" x14ac:dyDescent="0.2">
      <c r="AO128" s="12" t="s">
        <v>562</v>
      </c>
    </row>
    <row r="129" spans="41:41" x14ac:dyDescent="0.2">
      <c r="AO129" s="12" t="s">
        <v>563</v>
      </c>
    </row>
    <row r="130" spans="41:41" x14ac:dyDescent="0.2">
      <c r="AO130" s="12" t="s">
        <v>564</v>
      </c>
    </row>
    <row r="131" spans="41:41" x14ac:dyDescent="0.2">
      <c r="AO131" s="12" t="s">
        <v>565</v>
      </c>
    </row>
    <row r="132" spans="41:41" x14ac:dyDescent="0.2">
      <c r="AO132" s="12" t="s">
        <v>566</v>
      </c>
    </row>
    <row r="133" spans="41:41" x14ac:dyDescent="0.2">
      <c r="AO133" s="12" t="s">
        <v>567</v>
      </c>
    </row>
    <row r="134" spans="41:41" x14ac:dyDescent="0.2">
      <c r="AO134" s="12" t="s">
        <v>568</v>
      </c>
    </row>
    <row r="135" spans="41:41" x14ac:dyDescent="0.2">
      <c r="AO135" s="12" t="s">
        <v>569</v>
      </c>
    </row>
    <row r="136" spans="41:41" x14ac:dyDescent="0.2">
      <c r="AO136" s="12" t="s">
        <v>570</v>
      </c>
    </row>
    <row r="137" spans="41:41" x14ac:dyDescent="0.2">
      <c r="AO137" s="12" t="s">
        <v>571</v>
      </c>
    </row>
    <row r="138" spans="41:41" x14ac:dyDescent="0.2">
      <c r="AO138" s="12" t="s">
        <v>572</v>
      </c>
    </row>
    <row r="139" spans="41:41" x14ac:dyDescent="0.2">
      <c r="AO139" s="12" t="s">
        <v>573</v>
      </c>
    </row>
    <row r="140" spans="41:41" x14ac:dyDescent="0.2">
      <c r="AO140" s="12" t="s">
        <v>574</v>
      </c>
    </row>
    <row r="141" spans="41:41" x14ac:dyDescent="0.2">
      <c r="AO141" s="12" t="s">
        <v>575</v>
      </c>
    </row>
    <row r="142" spans="41:41" x14ac:dyDescent="0.2">
      <c r="AO142" s="12" t="s">
        <v>576</v>
      </c>
    </row>
    <row r="143" spans="41:41" x14ac:dyDescent="0.2">
      <c r="AO143" s="12" t="s">
        <v>577</v>
      </c>
    </row>
    <row r="144" spans="41:41" x14ac:dyDescent="0.2">
      <c r="AO144" s="12" t="s">
        <v>578</v>
      </c>
    </row>
    <row r="145" spans="41:41" x14ac:dyDescent="0.2">
      <c r="AO145" s="12" t="s">
        <v>579</v>
      </c>
    </row>
    <row r="146" spans="41:41" x14ac:dyDescent="0.2">
      <c r="AO146" s="12" t="s">
        <v>580</v>
      </c>
    </row>
    <row r="147" spans="41:41" x14ac:dyDescent="0.2">
      <c r="AO147" s="12" t="s">
        <v>581</v>
      </c>
    </row>
    <row r="148" spans="41:41" x14ac:dyDescent="0.2">
      <c r="AO148" s="12" t="s">
        <v>582</v>
      </c>
    </row>
    <row r="149" spans="41:41" x14ac:dyDescent="0.2">
      <c r="AO149" s="12" t="s">
        <v>583</v>
      </c>
    </row>
    <row r="150" spans="41:41" x14ac:dyDescent="0.2">
      <c r="AO150" s="12" t="s">
        <v>584</v>
      </c>
    </row>
    <row r="151" spans="41:41" x14ac:dyDescent="0.2">
      <c r="AO151" s="12" t="s">
        <v>585</v>
      </c>
    </row>
    <row r="152" spans="41:41" x14ac:dyDescent="0.2">
      <c r="AO152" s="12" t="s">
        <v>586</v>
      </c>
    </row>
    <row r="153" spans="41:41" x14ac:dyDescent="0.2">
      <c r="AO153" s="12" t="s">
        <v>587</v>
      </c>
    </row>
    <row r="154" spans="41:41" x14ac:dyDescent="0.2">
      <c r="AO154" s="12" t="s">
        <v>588</v>
      </c>
    </row>
    <row r="155" spans="41:41" x14ac:dyDescent="0.2">
      <c r="AO155" s="12" t="s">
        <v>589</v>
      </c>
    </row>
    <row r="156" spans="41:41" x14ac:dyDescent="0.2">
      <c r="AO156" s="12" t="s">
        <v>590</v>
      </c>
    </row>
    <row r="157" spans="41:41" x14ac:dyDescent="0.2">
      <c r="AO157" s="12" t="s">
        <v>255</v>
      </c>
    </row>
  </sheetData>
  <sortState xmlns:xlrd2="http://schemas.microsoft.com/office/spreadsheetml/2017/richdata2" ref="X4:X8">
    <sortCondition ref="X4:X8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7"/>
  <sheetViews>
    <sheetView zoomScale="115" zoomScaleNormal="115" workbookViewId="0">
      <selection activeCell="E7" sqref="E7"/>
    </sheetView>
  </sheetViews>
  <sheetFormatPr baseColWidth="10" defaultColWidth="8.83203125" defaultRowHeight="15" x14ac:dyDescent="0.2"/>
  <cols>
    <col min="1" max="1" width="23.83203125" customWidth="1"/>
    <col min="2" max="2" width="37.1640625" customWidth="1"/>
    <col min="3" max="3" width="26.5" customWidth="1"/>
    <col min="5" max="5" width="24.83203125" customWidth="1"/>
  </cols>
  <sheetData>
    <row r="1" spans="1:12" x14ac:dyDescent="0.2">
      <c r="A1" s="4" t="s">
        <v>591</v>
      </c>
      <c r="B1" s="4" t="s">
        <v>223</v>
      </c>
      <c r="C1" s="4" t="s">
        <v>592</v>
      </c>
      <c r="D1" s="4" t="s">
        <v>52</v>
      </c>
      <c r="E1" s="4" t="s">
        <v>593</v>
      </c>
      <c r="F1" s="4" t="s">
        <v>594</v>
      </c>
    </row>
    <row r="2" spans="1:12" x14ac:dyDescent="0.2">
      <c r="A2" t="s">
        <v>38</v>
      </c>
      <c r="B2" t="s">
        <v>595</v>
      </c>
      <c r="C2" t="s">
        <v>596</v>
      </c>
      <c r="D2" t="s">
        <v>597</v>
      </c>
      <c r="E2">
        <v>2.68</v>
      </c>
      <c r="F2" t="s">
        <v>598</v>
      </c>
    </row>
    <row r="3" spans="1:12" x14ac:dyDescent="0.2">
      <c r="A3" t="s">
        <v>396</v>
      </c>
      <c r="B3" t="s">
        <v>595</v>
      </c>
      <c r="C3" t="s">
        <v>599</v>
      </c>
      <c r="D3" t="s">
        <v>597</v>
      </c>
      <c r="E3">
        <v>2.3199999999999998</v>
      </c>
      <c r="F3" t="s">
        <v>598</v>
      </c>
    </row>
    <row r="4" spans="1:12" x14ac:dyDescent="0.2">
      <c r="A4" t="s">
        <v>402</v>
      </c>
      <c r="B4" t="s">
        <v>595</v>
      </c>
      <c r="C4" t="s">
        <v>600</v>
      </c>
      <c r="D4" t="s">
        <v>601</v>
      </c>
      <c r="E4">
        <v>1.51</v>
      </c>
      <c r="F4" t="s">
        <v>598</v>
      </c>
    </row>
    <row r="5" spans="1:12" x14ac:dyDescent="0.2">
      <c r="A5" t="s">
        <v>409</v>
      </c>
      <c r="B5" t="s">
        <v>595</v>
      </c>
      <c r="C5" t="s">
        <v>602</v>
      </c>
      <c r="D5" t="s">
        <v>603</v>
      </c>
      <c r="E5">
        <v>1.9</v>
      </c>
      <c r="F5" t="s">
        <v>598</v>
      </c>
    </row>
    <row r="6" spans="1:12" x14ac:dyDescent="0.2">
      <c r="A6" t="s">
        <v>63</v>
      </c>
      <c r="B6" t="s">
        <v>604</v>
      </c>
      <c r="C6" t="s">
        <v>596</v>
      </c>
      <c r="D6" t="s">
        <v>597</v>
      </c>
      <c r="E6">
        <v>2.68</v>
      </c>
      <c r="F6" t="s">
        <v>598</v>
      </c>
      <c r="L6" s="15"/>
    </row>
    <row r="7" spans="1:12" x14ac:dyDescent="0.2">
      <c r="A7" t="s">
        <v>439</v>
      </c>
      <c r="B7" t="s">
        <v>604</v>
      </c>
      <c r="C7" t="s">
        <v>599</v>
      </c>
      <c r="D7" t="s">
        <v>597</v>
      </c>
      <c r="E7">
        <v>2.3199999999999998</v>
      </c>
      <c r="F7" t="s">
        <v>598</v>
      </c>
      <c r="L7" s="15"/>
    </row>
    <row r="8" spans="1:12" x14ac:dyDescent="0.2">
      <c r="A8" t="s">
        <v>156</v>
      </c>
      <c r="B8" t="s">
        <v>156</v>
      </c>
      <c r="C8" t="s">
        <v>605</v>
      </c>
      <c r="D8" t="s">
        <v>606</v>
      </c>
      <c r="E8">
        <v>0.56000000000000005</v>
      </c>
      <c r="F8" t="s">
        <v>607</v>
      </c>
      <c r="L8" s="15"/>
    </row>
    <row r="9" spans="1:12" x14ac:dyDescent="0.2">
      <c r="B9" t="s">
        <v>608</v>
      </c>
      <c r="C9" t="s">
        <v>609</v>
      </c>
      <c r="D9" t="s">
        <v>601</v>
      </c>
      <c r="E9">
        <v>1430</v>
      </c>
      <c r="F9" t="s">
        <v>610</v>
      </c>
      <c r="L9" s="15"/>
    </row>
    <row r="10" spans="1:12" x14ac:dyDescent="0.2">
      <c r="B10" t="s">
        <v>608</v>
      </c>
      <c r="C10" t="s">
        <v>611</v>
      </c>
      <c r="D10" t="s">
        <v>601</v>
      </c>
      <c r="E10">
        <v>2088</v>
      </c>
      <c r="F10" t="s">
        <v>610</v>
      </c>
      <c r="L10" s="15"/>
    </row>
    <row r="11" spans="1:12" x14ac:dyDescent="0.2">
      <c r="A11" s="15" t="s">
        <v>340</v>
      </c>
      <c r="B11" t="s">
        <v>255</v>
      </c>
      <c r="C11" t="s">
        <v>596</v>
      </c>
      <c r="D11" t="s">
        <v>597</v>
      </c>
      <c r="E11">
        <v>2.68</v>
      </c>
      <c r="F11" t="s">
        <v>598</v>
      </c>
      <c r="L11" s="15"/>
    </row>
    <row r="12" spans="1:12" x14ac:dyDescent="0.2">
      <c r="A12" t="s">
        <v>612</v>
      </c>
      <c r="B12" t="s">
        <v>604</v>
      </c>
      <c r="L12" s="15"/>
    </row>
    <row r="13" spans="1:12" x14ac:dyDescent="0.2">
      <c r="L13" s="15"/>
    </row>
    <row r="15" spans="1:12" x14ac:dyDescent="0.2">
      <c r="A15" s="16" t="s">
        <v>613</v>
      </c>
      <c r="B15" s="17"/>
    </row>
    <row r="16" spans="1:12" x14ac:dyDescent="0.2">
      <c r="A16" s="18" t="s">
        <v>614</v>
      </c>
      <c r="B16" s="19" t="s">
        <v>615</v>
      </c>
    </row>
    <row r="17" spans="1:2" x14ac:dyDescent="0.2">
      <c r="A17" s="20" t="s">
        <v>616</v>
      </c>
      <c r="B17" s="21">
        <v>12.010999999999999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E1438"/>
  <sheetViews>
    <sheetView showGridLines="0" zoomScale="88" zoomScaleNormal="88" workbookViewId="0">
      <selection activeCell="G12" sqref="G12"/>
    </sheetView>
  </sheetViews>
  <sheetFormatPr baseColWidth="10" defaultColWidth="11.5" defaultRowHeight="15" x14ac:dyDescent="0.2"/>
  <cols>
    <col min="1" max="1" width="17.6640625" customWidth="1"/>
    <col min="2" max="2" width="26.83203125" customWidth="1"/>
    <col min="5" max="5" width="47.33203125" customWidth="1"/>
  </cols>
  <sheetData>
    <row r="1" spans="1:5" x14ac:dyDescent="0.2">
      <c r="A1" s="13" t="s">
        <v>617</v>
      </c>
      <c r="B1" s="13" t="s">
        <v>618</v>
      </c>
      <c r="C1" s="13" t="s">
        <v>619</v>
      </c>
      <c r="D1" s="13" t="s">
        <v>620</v>
      </c>
      <c r="E1" s="13" t="s">
        <v>621</v>
      </c>
    </row>
    <row r="2" spans="1:5" x14ac:dyDescent="0.2">
      <c r="A2" s="14">
        <v>45870.383900462999</v>
      </c>
      <c r="B2" t="s">
        <v>622</v>
      </c>
      <c r="C2" t="s">
        <v>623</v>
      </c>
      <c r="D2" t="s">
        <v>624</v>
      </c>
    </row>
    <row r="3" spans="1:5" x14ac:dyDescent="0.2">
      <c r="A3" s="14">
        <v>45870.383958333303</v>
      </c>
      <c r="B3" t="s">
        <v>622</v>
      </c>
      <c r="C3" t="s">
        <v>623</v>
      </c>
      <c r="D3" t="s">
        <v>624</v>
      </c>
    </row>
    <row r="4" spans="1:5" x14ac:dyDescent="0.2">
      <c r="A4" s="14">
        <v>45870.384224537003</v>
      </c>
      <c r="B4" t="s">
        <v>622</v>
      </c>
      <c r="C4" t="s">
        <v>623</v>
      </c>
      <c r="D4" t="s">
        <v>625</v>
      </c>
    </row>
    <row r="5" spans="1:5" x14ac:dyDescent="0.2">
      <c r="A5" s="14">
        <v>45870.384328703702</v>
      </c>
      <c r="B5" t="s">
        <v>622</v>
      </c>
      <c r="C5" t="s">
        <v>623</v>
      </c>
      <c r="D5" t="s">
        <v>626</v>
      </c>
      <c r="E5" t="s">
        <v>336</v>
      </c>
    </row>
    <row r="6" spans="1:5" x14ac:dyDescent="0.2">
      <c r="A6" s="14">
        <v>45870.384328703702</v>
      </c>
      <c r="B6" t="s">
        <v>622</v>
      </c>
      <c r="C6" t="s">
        <v>623</v>
      </c>
      <c r="D6" t="s">
        <v>627</v>
      </c>
      <c r="E6" t="s">
        <v>40</v>
      </c>
    </row>
    <row r="7" spans="1:5" x14ac:dyDescent="0.2">
      <c r="A7" s="14">
        <v>45870.385231481501</v>
      </c>
      <c r="B7" t="s">
        <v>622</v>
      </c>
      <c r="C7" t="s">
        <v>623</v>
      </c>
      <c r="D7" t="s">
        <v>628</v>
      </c>
      <c r="E7" t="s">
        <v>347</v>
      </c>
    </row>
    <row r="8" spans="1:5" x14ac:dyDescent="0.2">
      <c r="A8" s="14">
        <v>45870.386203703703</v>
      </c>
      <c r="B8" t="s">
        <v>622</v>
      </c>
      <c r="C8" t="s">
        <v>623</v>
      </c>
      <c r="D8" t="s">
        <v>629</v>
      </c>
      <c r="E8" t="s">
        <v>158</v>
      </c>
    </row>
    <row r="9" spans="1:5" x14ac:dyDescent="0.2">
      <c r="A9" s="14">
        <v>45870.386597222197</v>
      </c>
      <c r="B9" t="s">
        <v>622</v>
      </c>
      <c r="C9" t="s">
        <v>623</v>
      </c>
      <c r="D9" t="s">
        <v>630</v>
      </c>
      <c r="E9" t="s">
        <v>40</v>
      </c>
    </row>
    <row r="10" spans="1:5" x14ac:dyDescent="0.2">
      <c r="A10" s="14">
        <v>45870.387233796297</v>
      </c>
      <c r="B10" t="s">
        <v>622</v>
      </c>
      <c r="C10" t="s">
        <v>623</v>
      </c>
      <c r="D10" t="s">
        <v>631</v>
      </c>
      <c r="E10" t="s">
        <v>158</v>
      </c>
    </row>
    <row r="11" spans="1:5" x14ac:dyDescent="0.2">
      <c r="A11" s="14">
        <v>45870.387638888897</v>
      </c>
      <c r="B11" t="s">
        <v>622</v>
      </c>
      <c r="C11" t="s">
        <v>623</v>
      </c>
      <c r="D11" t="s">
        <v>632</v>
      </c>
      <c r="E11" t="s">
        <v>158</v>
      </c>
    </row>
    <row r="12" spans="1:5" x14ac:dyDescent="0.2">
      <c r="A12" s="14">
        <v>45870.387673611098</v>
      </c>
      <c r="B12" t="s">
        <v>622</v>
      </c>
      <c r="C12" t="s">
        <v>623</v>
      </c>
      <c r="D12" t="s">
        <v>633</v>
      </c>
      <c r="E12" t="s">
        <v>159</v>
      </c>
    </row>
    <row r="13" spans="1:5" x14ac:dyDescent="0.2">
      <c r="A13" s="14">
        <v>45870.388043981497</v>
      </c>
      <c r="B13" t="s">
        <v>622</v>
      </c>
      <c r="C13" t="s">
        <v>623</v>
      </c>
      <c r="D13" t="s">
        <v>634</v>
      </c>
      <c r="E13" t="s">
        <v>40</v>
      </c>
    </row>
    <row r="14" spans="1:5" x14ac:dyDescent="0.2">
      <c r="A14" s="14">
        <v>45870.3883796296</v>
      </c>
      <c r="B14" t="s">
        <v>622</v>
      </c>
      <c r="C14" t="s">
        <v>623</v>
      </c>
      <c r="D14" t="s">
        <v>635</v>
      </c>
    </row>
    <row r="15" spans="1:5" x14ac:dyDescent="0.2">
      <c r="A15" s="14">
        <v>45870.388587963003</v>
      </c>
      <c r="B15" t="s">
        <v>622</v>
      </c>
      <c r="C15" t="s">
        <v>623</v>
      </c>
      <c r="D15" t="s">
        <v>636</v>
      </c>
      <c r="E15" t="s">
        <v>40</v>
      </c>
    </row>
    <row r="16" spans="1:5" x14ac:dyDescent="0.2">
      <c r="A16" s="14">
        <v>45870.392395833303</v>
      </c>
      <c r="B16" t="s">
        <v>622</v>
      </c>
      <c r="C16" t="s">
        <v>637</v>
      </c>
      <c r="D16" t="s">
        <v>638</v>
      </c>
    </row>
    <row r="17" spans="1:5" x14ac:dyDescent="0.2">
      <c r="A17" s="14">
        <v>45870.392430555599</v>
      </c>
      <c r="B17" t="s">
        <v>622</v>
      </c>
      <c r="C17" t="s">
        <v>637</v>
      </c>
      <c r="D17" t="s">
        <v>638</v>
      </c>
    </row>
    <row r="18" spans="1:5" x14ac:dyDescent="0.2">
      <c r="A18" s="14">
        <v>45870.392500000002</v>
      </c>
      <c r="B18" t="s">
        <v>622</v>
      </c>
      <c r="C18" t="s">
        <v>637</v>
      </c>
      <c r="D18" t="s">
        <v>639</v>
      </c>
    </row>
    <row r="19" spans="1:5" x14ac:dyDescent="0.2">
      <c r="A19" s="14">
        <v>45870.392534722203</v>
      </c>
      <c r="B19" t="s">
        <v>622</v>
      </c>
      <c r="C19" t="s">
        <v>637</v>
      </c>
      <c r="D19" t="s">
        <v>638</v>
      </c>
    </row>
    <row r="20" spans="1:5" x14ac:dyDescent="0.2">
      <c r="A20" s="14">
        <v>45870.3926041667</v>
      </c>
      <c r="B20" t="s">
        <v>622</v>
      </c>
      <c r="C20" t="s">
        <v>637</v>
      </c>
      <c r="D20" t="s">
        <v>640</v>
      </c>
    </row>
    <row r="21" spans="1:5" x14ac:dyDescent="0.2">
      <c r="A21" s="14">
        <v>45870.392685185201</v>
      </c>
      <c r="B21" t="s">
        <v>622</v>
      </c>
      <c r="C21" t="s">
        <v>637</v>
      </c>
      <c r="D21" t="s">
        <v>641</v>
      </c>
    </row>
    <row r="22" spans="1:5" x14ac:dyDescent="0.2">
      <c r="A22" s="14">
        <v>45870.392986111103</v>
      </c>
      <c r="B22" t="s">
        <v>622</v>
      </c>
      <c r="C22" t="s">
        <v>637</v>
      </c>
      <c r="D22" t="s">
        <v>642</v>
      </c>
      <c r="E22" t="s">
        <v>8</v>
      </c>
    </row>
    <row r="23" spans="1:5" x14ac:dyDescent="0.2">
      <c r="A23" s="14">
        <v>45870.393136574101</v>
      </c>
      <c r="B23" t="s">
        <v>622</v>
      </c>
      <c r="C23" t="s">
        <v>637</v>
      </c>
      <c r="D23" t="s">
        <v>643</v>
      </c>
    </row>
    <row r="24" spans="1:5" x14ac:dyDescent="0.2">
      <c r="A24" s="14">
        <v>45870.393784722197</v>
      </c>
      <c r="B24" t="s">
        <v>622</v>
      </c>
      <c r="C24" t="s">
        <v>637</v>
      </c>
      <c r="D24" t="s">
        <v>644</v>
      </c>
    </row>
    <row r="25" spans="1:5" x14ac:dyDescent="0.2">
      <c r="A25" s="14">
        <v>45870.393865740698</v>
      </c>
      <c r="B25" t="s">
        <v>622</v>
      </c>
      <c r="C25" t="s">
        <v>637</v>
      </c>
      <c r="D25" t="s">
        <v>645</v>
      </c>
      <c r="E25">
        <v>7</v>
      </c>
    </row>
    <row r="26" spans="1:5" x14ac:dyDescent="0.2">
      <c r="A26" s="14">
        <v>45870.394247685203</v>
      </c>
      <c r="B26" t="s">
        <v>622</v>
      </c>
      <c r="C26" t="s">
        <v>637</v>
      </c>
      <c r="D26" t="s">
        <v>646</v>
      </c>
      <c r="E26" t="s">
        <v>647</v>
      </c>
    </row>
    <row r="27" spans="1:5" x14ac:dyDescent="0.2">
      <c r="A27" s="14">
        <v>45870.394351851799</v>
      </c>
      <c r="B27" t="s">
        <v>622</v>
      </c>
      <c r="C27" t="s">
        <v>637</v>
      </c>
      <c r="D27" t="s">
        <v>648</v>
      </c>
      <c r="E27" t="s">
        <v>649</v>
      </c>
    </row>
    <row r="28" spans="1:5" x14ac:dyDescent="0.2">
      <c r="A28" s="14">
        <v>45870.394814814797</v>
      </c>
      <c r="B28" t="s">
        <v>622</v>
      </c>
      <c r="C28" t="s">
        <v>637</v>
      </c>
      <c r="D28" t="s">
        <v>650</v>
      </c>
    </row>
    <row r="29" spans="1:5" x14ac:dyDescent="0.2">
      <c r="A29" s="14">
        <v>45870.394988425898</v>
      </c>
      <c r="B29" t="s">
        <v>622</v>
      </c>
      <c r="C29" t="s">
        <v>637</v>
      </c>
      <c r="D29" t="s">
        <v>651</v>
      </c>
      <c r="E29" t="s">
        <v>652</v>
      </c>
    </row>
    <row r="30" spans="1:5" x14ac:dyDescent="0.2">
      <c r="A30" s="14">
        <v>45870.395081018498</v>
      </c>
      <c r="B30" t="s">
        <v>622</v>
      </c>
      <c r="C30" t="s">
        <v>637</v>
      </c>
      <c r="D30" t="s">
        <v>653</v>
      </c>
      <c r="E30">
        <v>4</v>
      </c>
    </row>
    <row r="31" spans="1:5" ht="64" x14ac:dyDescent="0.2">
      <c r="A31" s="14">
        <v>45870.395613425899</v>
      </c>
      <c r="B31" t="s">
        <v>622</v>
      </c>
      <c r="C31" t="s">
        <v>637</v>
      </c>
      <c r="D31" t="s">
        <v>654</v>
      </c>
      <c r="E31" s="2" t="s">
        <v>655</v>
      </c>
    </row>
    <row r="32" spans="1:5" ht="64" x14ac:dyDescent="0.2">
      <c r="A32" s="14">
        <v>45870.395659722199</v>
      </c>
      <c r="B32" t="s">
        <v>622</v>
      </c>
      <c r="C32" t="s">
        <v>637</v>
      </c>
      <c r="D32" t="s">
        <v>654</v>
      </c>
      <c r="E32" s="2" t="s">
        <v>655</v>
      </c>
    </row>
    <row r="33" spans="1:5" ht="64" x14ac:dyDescent="0.2">
      <c r="A33" s="14">
        <v>45870.395729166703</v>
      </c>
      <c r="B33" t="s">
        <v>622</v>
      </c>
      <c r="C33" t="s">
        <v>637</v>
      </c>
      <c r="D33" t="s">
        <v>654</v>
      </c>
      <c r="E33" s="2" t="s">
        <v>655</v>
      </c>
    </row>
    <row r="34" spans="1:5" x14ac:dyDescent="0.2">
      <c r="A34" s="14">
        <v>45870.395810185197</v>
      </c>
      <c r="B34" t="s">
        <v>622</v>
      </c>
      <c r="C34" t="s">
        <v>637</v>
      </c>
      <c r="D34" t="s">
        <v>656</v>
      </c>
      <c r="E34" t="s">
        <v>11</v>
      </c>
    </row>
    <row r="35" spans="1:5" x14ac:dyDescent="0.2">
      <c r="A35" s="14">
        <v>45870.395844907398</v>
      </c>
      <c r="B35" t="s">
        <v>622</v>
      </c>
      <c r="C35" t="s">
        <v>637</v>
      </c>
      <c r="D35" t="s">
        <v>657</v>
      </c>
      <c r="E35" t="s">
        <v>38</v>
      </c>
    </row>
    <row r="36" spans="1:5" x14ac:dyDescent="0.2">
      <c r="A36" s="14">
        <v>45870.395914351902</v>
      </c>
      <c r="B36" t="s">
        <v>622</v>
      </c>
      <c r="C36" t="s">
        <v>637</v>
      </c>
      <c r="D36" t="s">
        <v>657</v>
      </c>
      <c r="E36" t="s">
        <v>658</v>
      </c>
    </row>
    <row r="37" spans="1:5" x14ac:dyDescent="0.2">
      <c r="A37" s="14">
        <v>45870.396388888897</v>
      </c>
      <c r="B37" t="s">
        <v>622</v>
      </c>
      <c r="C37" t="s">
        <v>8</v>
      </c>
      <c r="D37" t="s">
        <v>659</v>
      </c>
      <c r="E37" t="s">
        <v>36</v>
      </c>
    </row>
    <row r="38" spans="1:5" x14ac:dyDescent="0.2">
      <c r="A38" s="14">
        <v>45870.429965277799</v>
      </c>
      <c r="B38" t="s">
        <v>622</v>
      </c>
      <c r="C38" t="s">
        <v>660</v>
      </c>
      <c r="D38" t="s">
        <v>661</v>
      </c>
      <c r="E38" t="s">
        <v>410</v>
      </c>
    </row>
    <row r="39" spans="1:5" x14ac:dyDescent="0.2">
      <c r="A39" s="14">
        <v>45870.429988425902</v>
      </c>
      <c r="B39" t="s">
        <v>622</v>
      </c>
      <c r="C39" t="s">
        <v>660</v>
      </c>
      <c r="D39" t="s">
        <v>662</v>
      </c>
    </row>
    <row r="40" spans="1:5" x14ac:dyDescent="0.2">
      <c r="A40" s="14">
        <v>45870.4301388889</v>
      </c>
      <c r="B40" t="s">
        <v>622</v>
      </c>
      <c r="C40" t="s">
        <v>660</v>
      </c>
      <c r="D40" t="s">
        <v>662</v>
      </c>
    </row>
    <row r="41" spans="1:5" x14ac:dyDescent="0.2">
      <c r="A41" s="14">
        <v>45870.430208333302</v>
      </c>
      <c r="B41" t="s">
        <v>622</v>
      </c>
      <c r="C41" t="s">
        <v>660</v>
      </c>
      <c r="D41" t="s">
        <v>662</v>
      </c>
    </row>
    <row r="42" spans="1:5" x14ac:dyDescent="0.2">
      <c r="A42" s="14">
        <v>45870.431111111102</v>
      </c>
      <c r="B42" t="s">
        <v>622</v>
      </c>
      <c r="C42" t="s">
        <v>660</v>
      </c>
      <c r="D42" t="s">
        <v>663</v>
      </c>
    </row>
    <row r="43" spans="1:5" ht="48" x14ac:dyDescent="0.2">
      <c r="A43" s="14">
        <v>45870.4316666667</v>
      </c>
      <c r="B43" t="s">
        <v>622</v>
      </c>
      <c r="C43" t="s">
        <v>637</v>
      </c>
      <c r="D43" t="s">
        <v>654</v>
      </c>
      <c r="E43" s="2" t="s">
        <v>664</v>
      </c>
    </row>
    <row r="44" spans="1:5" x14ac:dyDescent="0.2">
      <c r="A44" s="14">
        <v>45870.432337963</v>
      </c>
      <c r="B44" t="s">
        <v>622</v>
      </c>
      <c r="C44" t="s">
        <v>8</v>
      </c>
      <c r="D44" t="s">
        <v>665</v>
      </c>
      <c r="E44" t="s">
        <v>377</v>
      </c>
    </row>
    <row r="45" spans="1:5" x14ac:dyDescent="0.2">
      <c r="A45" s="14">
        <v>45870.432407407403</v>
      </c>
      <c r="B45" t="s">
        <v>622</v>
      </c>
      <c r="C45" t="s">
        <v>8</v>
      </c>
      <c r="D45" t="s">
        <v>666</v>
      </c>
      <c r="E45" t="s">
        <v>377</v>
      </c>
    </row>
    <row r="46" spans="1:5" x14ac:dyDescent="0.2">
      <c r="A46" s="14">
        <v>45870.432615740698</v>
      </c>
      <c r="B46" t="s">
        <v>622</v>
      </c>
      <c r="C46" t="s">
        <v>8</v>
      </c>
      <c r="D46" t="s">
        <v>666</v>
      </c>
      <c r="E46" t="s">
        <v>377</v>
      </c>
    </row>
    <row r="47" spans="1:5" x14ac:dyDescent="0.2">
      <c r="A47" s="14">
        <v>45870.432696759301</v>
      </c>
      <c r="B47" t="s">
        <v>622</v>
      </c>
      <c r="C47" t="s">
        <v>637</v>
      </c>
      <c r="D47" t="s">
        <v>654</v>
      </c>
      <c r="E47" t="s">
        <v>24</v>
      </c>
    </row>
    <row r="48" spans="1:5" x14ac:dyDescent="0.2">
      <c r="A48" s="14">
        <v>45870.432777777802</v>
      </c>
      <c r="B48" t="s">
        <v>622</v>
      </c>
      <c r="C48" t="s">
        <v>637</v>
      </c>
      <c r="D48" t="s">
        <v>656</v>
      </c>
      <c r="E48" t="s">
        <v>11</v>
      </c>
    </row>
    <row r="49" spans="1:5" x14ac:dyDescent="0.2">
      <c r="A49" s="14">
        <v>45870.432870370401</v>
      </c>
      <c r="B49" t="s">
        <v>622</v>
      </c>
      <c r="C49" t="s">
        <v>637</v>
      </c>
      <c r="D49" t="s">
        <v>656</v>
      </c>
      <c r="E49" t="s">
        <v>20</v>
      </c>
    </row>
    <row r="50" spans="1:5" x14ac:dyDescent="0.2">
      <c r="A50" s="14">
        <v>45870.432951388902</v>
      </c>
      <c r="B50" t="s">
        <v>622</v>
      </c>
      <c r="C50" t="s">
        <v>637</v>
      </c>
      <c r="D50" t="s">
        <v>657</v>
      </c>
      <c r="E50" t="s">
        <v>26</v>
      </c>
    </row>
    <row r="51" spans="1:5" x14ac:dyDescent="0.2">
      <c r="A51" s="14">
        <v>45870.432974536998</v>
      </c>
      <c r="B51" t="s">
        <v>622</v>
      </c>
      <c r="C51" t="s">
        <v>637</v>
      </c>
      <c r="D51" t="s">
        <v>657</v>
      </c>
      <c r="E51" t="s">
        <v>377</v>
      </c>
    </row>
    <row r="52" spans="1:5" x14ac:dyDescent="0.2">
      <c r="A52" s="14">
        <v>45870.433275463001</v>
      </c>
      <c r="B52" t="s">
        <v>622</v>
      </c>
      <c r="C52" t="s">
        <v>13</v>
      </c>
      <c r="D52" t="s">
        <v>667</v>
      </c>
      <c r="E52" t="s">
        <v>40</v>
      </c>
    </row>
    <row r="53" spans="1:5" x14ac:dyDescent="0.2">
      <c r="A53" s="14">
        <v>45870.433275463001</v>
      </c>
      <c r="B53" t="s">
        <v>622</v>
      </c>
      <c r="C53" t="s">
        <v>623</v>
      </c>
      <c r="D53" t="s">
        <v>668</v>
      </c>
      <c r="E53" t="s">
        <v>40</v>
      </c>
    </row>
    <row r="54" spans="1:5" x14ac:dyDescent="0.2">
      <c r="A54" s="14">
        <v>45870.433275463001</v>
      </c>
      <c r="B54" t="s">
        <v>622</v>
      </c>
      <c r="C54" t="s">
        <v>103</v>
      </c>
      <c r="D54" t="s">
        <v>669</v>
      </c>
      <c r="E54" t="s">
        <v>40</v>
      </c>
    </row>
    <row r="55" spans="1:5" x14ac:dyDescent="0.2">
      <c r="A55" s="14">
        <v>45870.433275463001</v>
      </c>
      <c r="B55" t="s">
        <v>622</v>
      </c>
      <c r="C55" t="s">
        <v>670</v>
      </c>
      <c r="D55" t="s">
        <v>671</v>
      </c>
      <c r="E55" t="s">
        <v>40</v>
      </c>
    </row>
    <row r="56" spans="1:5" x14ac:dyDescent="0.2">
      <c r="A56" s="14">
        <v>45870.433275463001</v>
      </c>
      <c r="B56" t="s">
        <v>622</v>
      </c>
      <c r="C56" t="s">
        <v>623</v>
      </c>
      <c r="D56" t="s">
        <v>672</v>
      </c>
      <c r="E56" t="s">
        <v>40</v>
      </c>
    </row>
    <row r="57" spans="1:5" x14ac:dyDescent="0.2">
      <c r="A57" s="14">
        <v>45870.433275463001</v>
      </c>
      <c r="B57" t="s">
        <v>622</v>
      </c>
      <c r="C57" t="s">
        <v>623</v>
      </c>
      <c r="D57" t="s">
        <v>673</v>
      </c>
      <c r="E57" t="s">
        <v>40</v>
      </c>
    </row>
    <row r="58" spans="1:5" x14ac:dyDescent="0.2">
      <c r="A58" s="14">
        <v>45870.433275463001</v>
      </c>
      <c r="B58" t="s">
        <v>622</v>
      </c>
      <c r="C58" t="s">
        <v>674</v>
      </c>
      <c r="D58" t="s">
        <v>675</v>
      </c>
      <c r="E58" t="s">
        <v>40</v>
      </c>
    </row>
    <row r="59" spans="1:5" x14ac:dyDescent="0.2">
      <c r="A59" s="14">
        <v>45870.433275463001</v>
      </c>
      <c r="B59" t="s">
        <v>622</v>
      </c>
      <c r="C59" t="s">
        <v>623</v>
      </c>
      <c r="D59" t="s">
        <v>676</v>
      </c>
      <c r="E59" t="s">
        <v>40</v>
      </c>
    </row>
    <row r="60" spans="1:5" x14ac:dyDescent="0.2">
      <c r="A60" s="14">
        <v>45870.433275463001</v>
      </c>
      <c r="B60" t="s">
        <v>622</v>
      </c>
      <c r="C60" t="s">
        <v>8</v>
      </c>
      <c r="D60" t="s">
        <v>677</v>
      </c>
      <c r="E60" t="s">
        <v>40</v>
      </c>
    </row>
    <row r="61" spans="1:5" x14ac:dyDescent="0.2">
      <c r="A61" s="14">
        <v>45870.433275463001</v>
      </c>
      <c r="B61" t="s">
        <v>622</v>
      </c>
      <c r="C61" t="s">
        <v>623</v>
      </c>
      <c r="D61" t="s">
        <v>678</v>
      </c>
      <c r="E61" t="s">
        <v>40</v>
      </c>
    </row>
    <row r="62" spans="1:5" x14ac:dyDescent="0.2">
      <c r="A62" s="14">
        <v>45870.433275463001</v>
      </c>
      <c r="B62" t="s">
        <v>622</v>
      </c>
      <c r="C62" t="s">
        <v>679</v>
      </c>
      <c r="D62" t="s">
        <v>680</v>
      </c>
      <c r="E62" t="s">
        <v>40</v>
      </c>
    </row>
    <row r="63" spans="1:5" x14ac:dyDescent="0.2">
      <c r="A63" s="14">
        <v>45870.433275463001</v>
      </c>
      <c r="B63" t="s">
        <v>622</v>
      </c>
      <c r="C63" t="s">
        <v>623</v>
      </c>
      <c r="D63" t="s">
        <v>681</v>
      </c>
      <c r="E63" t="s">
        <v>40</v>
      </c>
    </row>
    <row r="64" spans="1:5" x14ac:dyDescent="0.2">
      <c r="A64" s="14">
        <v>45870.433275463001</v>
      </c>
      <c r="B64" t="s">
        <v>622</v>
      </c>
      <c r="C64" t="s">
        <v>679</v>
      </c>
      <c r="D64" t="s">
        <v>682</v>
      </c>
      <c r="E64" t="s">
        <v>40</v>
      </c>
    </row>
    <row r="65" spans="1:5" x14ac:dyDescent="0.2">
      <c r="A65" s="14">
        <v>45870.433275463001</v>
      </c>
      <c r="B65" t="s">
        <v>622</v>
      </c>
      <c r="C65" t="s">
        <v>623</v>
      </c>
      <c r="D65" t="s">
        <v>683</v>
      </c>
      <c r="E65" t="s">
        <v>40</v>
      </c>
    </row>
    <row r="66" spans="1:5" x14ac:dyDescent="0.2">
      <c r="A66" s="14">
        <v>45870.442314814798</v>
      </c>
      <c r="B66" t="s">
        <v>622</v>
      </c>
      <c r="C66" t="s">
        <v>29</v>
      </c>
      <c r="D66" t="s">
        <v>684</v>
      </c>
    </row>
    <row r="67" spans="1:5" x14ac:dyDescent="0.2">
      <c r="A67" s="14">
        <v>45873.710810185199</v>
      </c>
      <c r="B67" t="s">
        <v>618</v>
      </c>
      <c r="C67" t="s">
        <v>8</v>
      </c>
      <c r="D67" t="s">
        <v>685</v>
      </c>
      <c r="E67" t="s">
        <v>54</v>
      </c>
    </row>
    <row r="68" spans="1:5" x14ac:dyDescent="0.2">
      <c r="A68" s="14">
        <v>45873.7109837963</v>
      </c>
      <c r="B68" t="s">
        <v>618</v>
      </c>
      <c r="C68" t="s">
        <v>8</v>
      </c>
      <c r="D68" t="s">
        <v>686</v>
      </c>
      <c r="E68">
        <v>9</v>
      </c>
    </row>
    <row r="69" spans="1:5" x14ac:dyDescent="0.2">
      <c r="A69" s="14">
        <v>45873.711331018501</v>
      </c>
      <c r="B69" t="s">
        <v>618</v>
      </c>
      <c r="C69" t="s">
        <v>8</v>
      </c>
      <c r="D69" t="s">
        <v>687</v>
      </c>
      <c r="E69">
        <v>1</v>
      </c>
    </row>
    <row r="70" spans="1:5" x14ac:dyDescent="0.2">
      <c r="A70" s="14">
        <v>45873.7113425926</v>
      </c>
      <c r="B70" t="s">
        <v>618</v>
      </c>
      <c r="C70" t="s">
        <v>8</v>
      </c>
      <c r="D70" t="s">
        <v>687</v>
      </c>
      <c r="E70">
        <v>3</v>
      </c>
    </row>
    <row r="71" spans="1:5" x14ac:dyDescent="0.2">
      <c r="A71" s="14">
        <v>45873.711412037002</v>
      </c>
      <c r="B71" t="s">
        <v>618</v>
      </c>
      <c r="C71" t="s">
        <v>8</v>
      </c>
      <c r="D71" t="s">
        <v>688</v>
      </c>
      <c r="E71">
        <v>1</v>
      </c>
    </row>
    <row r="72" spans="1:5" x14ac:dyDescent="0.2">
      <c r="A72" s="14">
        <v>45873.711527777799</v>
      </c>
      <c r="B72" t="s">
        <v>618</v>
      </c>
      <c r="C72" t="s">
        <v>8</v>
      </c>
      <c r="D72" t="s">
        <v>688</v>
      </c>
      <c r="E72">
        <v>2</v>
      </c>
    </row>
    <row r="73" spans="1:5" x14ac:dyDescent="0.2">
      <c r="A73" s="14">
        <v>45873.7116087963</v>
      </c>
      <c r="B73" t="s">
        <v>618</v>
      </c>
      <c r="C73" t="s">
        <v>8</v>
      </c>
      <c r="D73" t="s">
        <v>687</v>
      </c>
      <c r="E73">
        <v>3</v>
      </c>
    </row>
    <row r="74" spans="1:5" x14ac:dyDescent="0.2">
      <c r="A74" s="14">
        <v>45873.711851851898</v>
      </c>
      <c r="B74" t="s">
        <v>618</v>
      </c>
      <c r="C74" t="s">
        <v>8</v>
      </c>
      <c r="D74" t="s">
        <v>689</v>
      </c>
    </row>
    <row r="75" spans="1:5" x14ac:dyDescent="0.2">
      <c r="A75" s="14">
        <v>45873.711944444403</v>
      </c>
      <c r="B75" t="s">
        <v>618</v>
      </c>
      <c r="C75" t="s">
        <v>8</v>
      </c>
      <c r="D75" t="s">
        <v>690</v>
      </c>
      <c r="E75" t="s">
        <v>184</v>
      </c>
    </row>
    <row r="76" spans="1:5" x14ac:dyDescent="0.2">
      <c r="A76" s="14">
        <v>45873.712094907401</v>
      </c>
      <c r="B76" t="s">
        <v>618</v>
      </c>
      <c r="C76" t="s">
        <v>8</v>
      </c>
      <c r="D76" t="s">
        <v>691</v>
      </c>
    </row>
    <row r="77" spans="1:5" x14ac:dyDescent="0.2">
      <c r="A77" s="14">
        <v>45873.712164351899</v>
      </c>
      <c r="B77" t="s">
        <v>618</v>
      </c>
      <c r="C77" t="s">
        <v>8</v>
      </c>
      <c r="D77" t="s">
        <v>692</v>
      </c>
    </row>
    <row r="78" spans="1:5" x14ac:dyDescent="0.2">
      <c r="A78" s="14">
        <v>45873.712268518502</v>
      </c>
      <c r="B78" t="s">
        <v>618</v>
      </c>
      <c r="C78" t="s">
        <v>8</v>
      </c>
      <c r="D78" t="s">
        <v>693</v>
      </c>
      <c r="E78" t="s">
        <v>152</v>
      </c>
    </row>
    <row r="79" spans="1:5" x14ac:dyDescent="0.2">
      <c r="A79" s="14">
        <v>45873.7124652778</v>
      </c>
      <c r="B79" t="s">
        <v>618</v>
      </c>
      <c r="C79" t="s">
        <v>8</v>
      </c>
      <c r="D79" t="s">
        <v>694</v>
      </c>
      <c r="E79" t="s">
        <v>52</v>
      </c>
    </row>
    <row r="80" spans="1:5" x14ac:dyDescent="0.2">
      <c r="A80" s="14">
        <v>45873.712754629603</v>
      </c>
      <c r="B80" t="s">
        <v>618</v>
      </c>
      <c r="C80" t="s">
        <v>8</v>
      </c>
      <c r="D80" t="s">
        <v>695</v>
      </c>
    </row>
    <row r="81" spans="1:5" x14ac:dyDescent="0.2">
      <c r="A81" s="14">
        <v>45873.713668981502</v>
      </c>
      <c r="B81" t="s">
        <v>618</v>
      </c>
      <c r="C81" t="s">
        <v>8</v>
      </c>
      <c r="D81" t="s">
        <v>696</v>
      </c>
    </row>
    <row r="82" spans="1:5" x14ac:dyDescent="0.2">
      <c r="A82" s="14">
        <v>45873.713715277801</v>
      </c>
      <c r="B82" t="s">
        <v>618</v>
      </c>
      <c r="C82" t="s">
        <v>8</v>
      </c>
      <c r="D82" t="s">
        <v>697</v>
      </c>
    </row>
    <row r="83" spans="1:5" x14ac:dyDescent="0.2">
      <c r="A83" s="14">
        <v>45873.713784722197</v>
      </c>
      <c r="B83" t="s">
        <v>618</v>
      </c>
      <c r="C83" t="s">
        <v>8</v>
      </c>
      <c r="D83" t="s">
        <v>698</v>
      </c>
      <c r="E83" t="s">
        <v>699</v>
      </c>
    </row>
    <row r="84" spans="1:5" x14ac:dyDescent="0.2">
      <c r="A84" s="14">
        <v>45873.713784722197</v>
      </c>
      <c r="B84" t="s">
        <v>618</v>
      </c>
      <c r="C84" t="s">
        <v>8</v>
      </c>
      <c r="D84" t="s">
        <v>700</v>
      </c>
      <c r="E84" t="s">
        <v>699</v>
      </c>
    </row>
    <row r="85" spans="1:5" x14ac:dyDescent="0.2">
      <c r="A85" s="14">
        <v>45873.713796296302</v>
      </c>
      <c r="B85" t="s">
        <v>618</v>
      </c>
      <c r="C85" t="s">
        <v>8</v>
      </c>
      <c r="D85" t="s">
        <v>701</v>
      </c>
      <c r="E85" t="s">
        <v>699</v>
      </c>
    </row>
    <row r="86" spans="1:5" x14ac:dyDescent="0.2">
      <c r="A86" s="14">
        <v>45873.713796296302</v>
      </c>
      <c r="B86" t="s">
        <v>618</v>
      </c>
      <c r="C86" t="s">
        <v>8</v>
      </c>
      <c r="D86" t="s">
        <v>702</v>
      </c>
      <c r="E86" t="s">
        <v>699</v>
      </c>
    </row>
    <row r="87" spans="1:5" x14ac:dyDescent="0.2">
      <c r="A87" s="14">
        <v>45873.713796296302</v>
      </c>
      <c r="B87" t="s">
        <v>618</v>
      </c>
      <c r="C87" t="s">
        <v>8</v>
      </c>
      <c r="D87" t="s">
        <v>703</v>
      </c>
      <c r="E87" t="s">
        <v>699</v>
      </c>
    </row>
    <row r="88" spans="1:5" x14ac:dyDescent="0.2">
      <c r="A88" s="14">
        <v>45873.713796296302</v>
      </c>
      <c r="B88" t="s">
        <v>618</v>
      </c>
      <c r="C88" t="s">
        <v>8</v>
      </c>
      <c r="D88" t="s">
        <v>704</v>
      </c>
      <c r="E88" t="s">
        <v>699</v>
      </c>
    </row>
    <row r="89" spans="1:5" x14ac:dyDescent="0.2">
      <c r="A89" s="14">
        <v>45873.713831018496</v>
      </c>
      <c r="B89" t="s">
        <v>618</v>
      </c>
      <c r="C89" t="s">
        <v>8</v>
      </c>
      <c r="D89" t="s">
        <v>705</v>
      </c>
    </row>
    <row r="90" spans="1:5" x14ac:dyDescent="0.2">
      <c r="A90" s="14">
        <v>45873.713900463001</v>
      </c>
      <c r="B90" t="s">
        <v>618</v>
      </c>
      <c r="C90" t="s">
        <v>8</v>
      </c>
      <c r="D90" t="s">
        <v>706</v>
      </c>
    </row>
    <row r="91" spans="1:5" x14ac:dyDescent="0.2">
      <c r="A91" s="14">
        <v>45873.714780092603</v>
      </c>
      <c r="B91" t="s">
        <v>618</v>
      </c>
      <c r="C91" t="s">
        <v>8</v>
      </c>
      <c r="D91" t="s">
        <v>707</v>
      </c>
    </row>
    <row r="92" spans="1:5" x14ac:dyDescent="0.2">
      <c r="A92" s="14">
        <v>45873.714780092603</v>
      </c>
      <c r="B92" t="s">
        <v>618</v>
      </c>
      <c r="C92" t="s">
        <v>8</v>
      </c>
      <c r="D92" t="s">
        <v>708</v>
      </c>
      <c r="E92" t="s">
        <v>34</v>
      </c>
    </row>
    <row r="93" spans="1:5" x14ac:dyDescent="0.2">
      <c r="A93" s="14">
        <v>45873.714837963002</v>
      </c>
      <c r="B93" t="s">
        <v>618</v>
      </c>
      <c r="C93" t="s">
        <v>8</v>
      </c>
      <c r="D93" t="s">
        <v>707</v>
      </c>
      <c r="E93" t="s">
        <v>34</v>
      </c>
    </row>
    <row r="94" spans="1:5" x14ac:dyDescent="0.2">
      <c r="A94" s="14">
        <v>45873.714837963002</v>
      </c>
      <c r="B94" t="s">
        <v>618</v>
      </c>
      <c r="C94" t="s">
        <v>8</v>
      </c>
      <c r="D94" t="s">
        <v>708</v>
      </c>
    </row>
    <row r="95" spans="1:5" x14ac:dyDescent="0.2">
      <c r="A95" s="14">
        <v>45873.714837963002</v>
      </c>
      <c r="B95" t="s">
        <v>618</v>
      </c>
      <c r="C95" t="s">
        <v>8</v>
      </c>
      <c r="D95" t="s">
        <v>708</v>
      </c>
    </row>
    <row r="96" spans="1:5" x14ac:dyDescent="0.2">
      <c r="A96" s="14">
        <v>45873.714872685203</v>
      </c>
      <c r="B96" t="s">
        <v>618</v>
      </c>
      <c r="C96" t="s">
        <v>8</v>
      </c>
      <c r="D96" t="s">
        <v>707</v>
      </c>
    </row>
    <row r="97" spans="1:5" x14ac:dyDescent="0.2">
      <c r="A97" s="14">
        <v>45873.714872685203</v>
      </c>
      <c r="B97" t="s">
        <v>618</v>
      </c>
      <c r="C97" t="s">
        <v>8</v>
      </c>
      <c r="D97" t="s">
        <v>709</v>
      </c>
      <c r="E97" t="s">
        <v>34</v>
      </c>
    </row>
    <row r="98" spans="1:5" x14ac:dyDescent="0.2">
      <c r="A98" s="14">
        <v>45873.715173611097</v>
      </c>
      <c r="B98" t="s">
        <v>618</v>
      </c>
      <c r="C98" t="s">
        <v>8</v>
      </c>
      <c r="D98" t="s">
        <v>710</v>
      </c>
    </row>
    <row r="99" spans="1:5" x14ac:dyDescent="0.2">
      <c r="A99" s="14">
        <v>45873.715173611097</v>
      </c>
      <c r="B99" t="s">
        <v>618</v>
      </c>
      <c r="C99" t="s">
        <v>8</v>
      </c>
      <c r="D99" t="s">
        <v>711</v>
      </c>
      <c r="E99" t="s">
        <v>39</v>
      </c>
    </row>
    <row r="100" spans="1:5" x14ac:dyDescent="0.2">
      <c r="A100" s="14">
        <v>45873.716585648202</v>
      </c>
      <c r="B100" t="s">
        <v>618</v>
      </c>
      <c r="C100" t="s">
        <v>712</v>
      </c>
      <c r="D100" t="s">
        <v>713</v>
      </c>
    </row>
    <row r="101" spans="1:5" x14ac:dyDescent="0.2">
      <c r="A101" s="14">
        <v>45873.716585648202</v>
      </c>
      <c r="B101" t="s">
        <v>618</v>
      </c>
      <c r="C101" t="s">
        <v>712</v>
      </c>
      <c r="D101" t="s">
        <v>713</v>
      </c>
    </row>
    <row r="102" spans="1:5" x14ac:dyDescent="0.2">
      <c r="A102" s="14">
        <v>45873.716736111099</v>
      </c>
      <c r="B102" t="s">
        <v>618</v>
      </c>
      <c r="C102" t="s">
        <v>712</v>
      </c>
      <c r="D102" t="s">
        <v>714</v>
      </c>
    </row>
    <row r="103" spans="1:5" x14ac:dyDescent="0.2">
      <c r="A103" s="14">
        <v>45873.716736111099</v>
      </c>
      <c r="B103" t="s">
        <v>618</v>
      </c>
      <c r="C103" t="s">
        <v>712</v>
      </c>
      <c r="D103" t="s">
        <v>715</v>
      </c>
      <c r="E103" t="s">
        <v>175</v>
      </c>
    </row>
    <row r="104" spans="1:5" x14ac:dyDescent="0.2">
      <c r="A104" s="14">
        <v>45873.7168171296</v>
      </c>
      <c r="B104" t="s">
        <v>618</v>
      </c>
      <c r="C104" t="s">
        <v>712</v>
      </c>
      <c r="D104" t="s">
        <v>715</v>
      </c>
    </row>
    <row r="105" spans="1:5" x14ac:dyDescent="0.2">
      <c r="A105" s="14">
        <v>45873.7168171296</v>
      </c>
      <c r="B105" t="s">
        <v>618</v>
      </c>
      <c r="C105" t="s">
        <v>712</v>
      </c>
      <c r="D105" t="s">
        <v>716</v>
      </c>
      <c r="E105" t="s">
        <v>175</v>
      </c>
    </row>
    <row r="106" spans="1:5" x14ac:dyDescent="0.2">
      <c r="A106" s="14">
        <v>45873.716886574097</v>
      </c>
      <c r="B106" t="s">
        <v>618</v>
      </c>
      <c r="C106" t="s">
        <v>712</v>
      </c>
      <c r="D106" t="s">
        <v>717</v>
      </c>
    </row>
    <row r="107" spans="1:5" x14ac:dyDescent="0.2">
      <c r="A107" s="14">
        <v>45873.717048611099</v>
      </c>
      <c r="B107" t="s">
        <v>618</v>
      </c>
      <c r="C107" t="s">
        <v>712</v>
      </c>
      <c r="D107" t="s">
        <v>718</v>
      </c>
    </row>
    <row r="108" spans="1:5" x14ac:dyDescent="0.2">
      <c r="A108" s="14">
        <v>45873.717048611099</v>
      </c>
      <c r="B108" t="s">
        <v>618</v>
      </c>
      <c r="C108" t="s">
        <v>712</v>
      </c>
      <c r="D108" t="s">
        <v>719</v>
      </c>
      <c r="E108" t="s">
        <v>30</v>
      </c>
    </row>
    <row r="109" spans="1:5" x14ac:dyDescent="0.2">
      <c r="A109" s="14">
        <v>45873.717164351903</v>
      </c>
      <c r="B109" t="s">
        <v>618</v>
      </c>
      <c r="C109" t="s">
        <v>712</v>
      </c>
      <c r="D109" t="s">
        <v>720</v>
      </c>
      <c r="E109" t="s">
        <v>267</v>
      </c>
    </row>
    <row r="110" spans="1:5" x14ac:dyDescent="0.2">
      <c r="A110" s="14">
        <v>45873.7171759259</v>
      </c>
      <c r="B110" t="s">
        <v>618</v>
      </c>
      <c r="C110" t="s">
        <v>712</v>
      </c>
      <c r="D110" t="s">
        <v>720</v>
      </c>
      <c r="E110" t="s">
        <v>267</v>
      </c>
    </row>
    <row r="111" spans="1:5" x14ac:dyDescent="0.2">
      <c r="A111" s="14">
        <v>45873.717210648101</v>
      </c>
      <c r="B111" t="s">
        <v>618</v>
      </c>
      <c r="C111" t="s">
        <v>712</v>
      </c>
      <c r="D111" t="s">
        <v>721</v>
      </c>
    </row>
    <row r="112" spans="1:5" x14ac:dyDescent="0.2">
      <c r="A112" s="14">
        <v>45873.7175347222</v>
      </c>
      <c r="B112" t="s">
        <v>618</v>
      </c>
      <c r="C112" t="s">
        <v>712</v>
      </c>
      <c r="D112" t="s">
        <v>721</v>
      </c>
    </row>
    <row r="113" spans="1:5" x14ac:dyDescent="0.2">
      <c r="A113" s="14">
        <v>45873.717557870397</v>
      </c>
      <c r="B113" t="s">
        <v>618</v>
      </c>
      <c r="C113" t="s">
        <v>712</v>
      </c>
      <c r="D113" t="s">
        <v>721</v>
      </c>
    </row>
    <row r="114" spans="1:5" x14ac:dyDescent="0.2">
      <c r="A114" s="14">
        <v>45873.717754629601</v>
      </c>
      <c r="B114" t="s">
        <v>618</v>
      </c>
      <c r="C114" t="s">
        <v>712</v>
      </c>
      <c r="D114" t="s">
        <v>721</v>
      </c>
      <c r="E114" t="s">
        <v>267</v>
      </c>
    </row>
    <row r="115" spans="1:5" x14ac:dyDescent="0.2">
      <c r="A115" s="14">
        <v>45873.717777777798</v>
      </c>
      <c r="B115" t="s">
        <v>618</v>
      </c>
      <c r="C115" t="s">
        <v>712</v>
      </c>
      <c r="D115" t="s">
        <v>722</v>
      </c>
      <c r="E115" t="s">
        <v>268</v>
      </c>
    </row>
    <row r="116" spans="1:5" x14ac:dyDescent="0.2">
      <c r="A116" s="14">
        <v>45873.717800925901</v>
      </c>
      <c r="B116" t="s">
        <v>618</v>
      </c>
      <c r="C116" t="s">
        <v>712</v>
      </c>
      <c r="D116" t="s">
        <v>723</v>
      </c>
      <c r="E116" t="s">
        <v>265</v>
      </c>
    </row>
    <row r="117" spans="1:5" x14ac:dyDescent="0.2">
      <c r="A117" s="14">
        <v>45873.717812499999</v>
      </c>
      <c r="B117" t="s">
        <v>618</v>
      </c>
      <c r="C117" t="s">
        <v>712</v>
      </c>
      <c r="D117" t="s">
        <v>724</v>
      </c>
      <c r="E117" t="s">
        <v>267</v>
      </c>
    </row>
    <row r="118" spans="1:5" x14ac:dyDescent="0.2">
      <c r="A118" s="14">
        <v>45873.717835648102</v>
      </c>
      <c r="B118" t="s">
        <v>618</v>
      </c>
      <c r="C118" t="s">
        <v>712</v>
      </c>
      <c r="D118" t="s">
        <v>725</v>
      </c>
      <c r="E118" t="s">
        <v>268</v>
      </c>
    </row>
    <row r="119" spans="1:5" x14ac:dyDescent="0.2">
      <c r="A119" s="14">
        <v>45873.718958333302</v>
      </c>
      <c r="B119" t="s">
        <v>618</v>
      </c>
      <c r="C119" t="s">
        <v>712</v>
      </c>
      <c r="D119" t="s">
        <v>726</v>
      </c>
    </row>
    <row r="120" spans="1:5" x14ac:dyDescent="0.2">
      <c r="A120" s="14">
        <v>45873.718958333302</v>
      </c>
      <c r="B120" t="s">
        <v>618</v>
      </c>
      <c r="C120" t="s">
        <v>712</v>
      </c>
      <c r="D120" t="s">
        <v>727</v>
      </c>
      <c r="E120" t="s">
        <v>34</v>
      </c>
    </row>
    <row r="121" spans="1:5" x14ac:dyDescent="0.2">
      <c r="A121" s="14">
        <v>45873.718993055598</v>
      </c>
      <c r="B121" t="s">
        <v>618</v>
      </c>
      <c r="C121" t="s">
        <v>712</v>
      </c>
      <c r="D121" t="s">
        <v>727</v>
      </c>
    </row>
    <row r="122" spans="1:5" x14ac:dyDescent="0.2">
      <c r="A122" s="14">
        <v>45873.718993055598</v>
      </c>
      <c r="B122" t="s">
        <v>618</v>
      </c>
      <c r="C122" t="s">
        <v>712</v>
      </c>
      <c r="D122" t="s">
        <v>709</v>
      </c>
      <c r="E122" t="s">
        <v>34</v>
      </c>
    </row>
    <row r="123" spans="1:5" x14ac:dyDescent="0.2">
      <c r="A123" s="14">
        <v>45873.719942129603</v>
      </c>
      <c r="B123" t="s">
        <v>618</v>
      </c>
      <c r="C123" t="s">
        <v>712</v>
      </c>
      <c r="D123" t="s">
        <v>728</v>
      </c>
    </row>
    <row r="124" spans="1:5" x14ac:dyDescent="0.2">
      <c r="A124" s="14">
        <v>45873.719942129603</v>
      </c>
      <c r="B124" t="s">
        <v>618</v>
      </c>
      <c r="C124" t="s">
        <v>712</v>
      </c>
      <c r="D124" t="s">
        <v>729</v>
      </c>
      <c r="E124" t="s">
        <v>170</v>
      </c>
    </row>
    <row r="125" spans="1:5" x14ac:dyDescent="0.2">
      <c r="A125" s="14">
        <v>45873.720520833303</v>
      </c>
      <c r="B125" t="s">
        <v>618</v>
      </c>
      <c r="C125" t="s">
        <v>712</v>
      </c>
      <c r="D125" t="s">
        <v>730</v>
      </c>
    </row>
    <row r="126" spans="1:5" x14ac:dyDescent="0.2">
      <c r="A126" s="14">
        <v>45873.720520833303</v>
      </c>
      <c r="B126" t="s">
        <v>618</v>
      </c>
      <c r="C126" t="s">
        <v>712</v>
      </c>
      <c r="D126" t="s">
        <v>731</v>
      </c>
      <c r="E126" t="s">
        <v>732</v>
      </c>
    </row>
    <row r="127" spans="1:5" x14ac:dyDescent="0.2">
      <c r="A127" s="14">
        <v>45873.722569444399</v>
      </c>
      <c r="B127" t="s">
        <v>618</v>
      </c>
      <c r="C127" t="s">
        <v>8</v>
      </c>
      <c r="D127" t="s">
        <v>733</v>
      </c>
    </row>
    <row r="128" spans="1:5" x14ac:dyDescent="0.2">
      <c r="A128" s="14">
        <v>45873.722569444399</v>
      </c>
      <c r="B128" t="s">
        <v>618</v>
      </c>
      <c r="C128" t="s">
        <v>8</v>
      </c>
      <c r="D128" t="s">
        <v>734</v>
      </c>
      <c r="E128" t="s">
        <v>264</v>
      </c>
    </row>
    <row r="129" spans="1:5" x14ac:dyDescent="0.2">
      <c r="A129" s="14">
        <v>45873.722650463002</v>
      </c>
      <c r="B129" t="s">
        <v>618</v>
      </c>
      <c r="C129" t="s">
        <v>8</v>
      </c>
      <c r="D129" t="s">
        <v>709</v>
      </c>
    </row>
    <row r="130" spans="1:5" x14ac:dyDescent="0.2">
      <c r="A130" s="14">
        <v>45873.722650463002</v>
      </c>
      <c r="B130" t="s">
        <v>618</v>
      </c>
      <c r="C130" t="s">
        <v>8</v>
      </c>
      <c r="D130" t="s">
        <v>735</v>
      </c>
      <c r="E130" t="s">
        <v>34</v>
      </c>
    </row>
    <row r="131" spans="1:5" x14ac:dyDescent="0.2">
      <c r="A131" s="14">
        <v>45873.722893518498</v>
      </c>
      <c r="B131" t="s">
        <v>618</v>
      </c>
      <c r="C131" t="s">
        <v>8</v>
      </c>
      <c r="D131" t="s">
        <v>711</v>
      </c>
    </row>
    <row r="132" spans="1:5" x14ac:dyDescent="0.2">
      <c r="A132" s="14">
        <v>45873.722893518498</v>
      </c>
      <c r="B132" t="s">
        <v>618</v>
      </c>
      <c r="C132" t="s">
        <v>8</v>
      </c>
      <c r="D132" t="s">
        <v>710</v>
      </c>
      <c r="E132" t="s">
        <v>39</v>
      </c>
    </row>
    <row r="133" spans="1:5" x14ac:dyDescent="0.2">
      <c r="A133" s="14">
        <v>45873.722939814797</v>
      </c>
      <c r="B133" t="s">
        <v>618</v>
      </c>
      <c r="C133" t="s">
        <v>8</v>
      </c>
      <c r="D133" t="s">
        <v>736</v>
      </c>
      <c r="E133" t="s">
        <v>268</v>
      </c>
    </row>
    <row r="134" spans="1:5" x14ac:dyDescent="0.2">
      <c r="A134" s="14">
        <v>45873.722939814797</v>
      </c>
      <c r="B134" t="s">
        <v>618</v>
      </c>
      <c r="C134" t="s">
        <v>8</v>
      </c>
      <c r="D134" t="s">
        <v>737</v>
      </c>
      <c r="E134" t="s">
        <v>264</v>
      </c>
    </row>
    <row r="135" spans="1:5" x14ac:dyDescent="0.2">
      <c r="A135" s="14">
        <v>45873.723113425898</v>
      </c>
      <c r="B135" t="s">
        <v>618</v>
      </c>
      <c r="C135" t="s">
        <v>8</v>
      </c>
      <c r="D135" t="s">
        <v>738</v>
      </c>
    </row>
    <row r="136" spans="1:5" x14ac:dyDescent="0.2">
      <c r="A136" s="14">
        <v>45873.723333333299</v>
      </c>
      <c r="B136" t="s">
        <v>618</v>
      </c>
      <c r="C136" t="s">
        <v>8</v>
      </c>
      <c r="D136" t="s">
        <v>714</v>
      </c>
    </row>
    <row r="137" spans="1:5" x14ac:dyDescent="0.2">
      <c r="A137" s="14">
        <v>45873.723333333299</v>
      </c>
      <c r="B137" t="s">
        <v>618</v>
      </c>
      <c r="C137" t="s">
        <v>8</v>
      </c>
      <c r="D137" t="s">
        <v>739</v>
      </c>
      <c r="E137" t="s">
        <v>175</v>
      </c>
    </row>
    <row r="138" spans="1:5" x14ac:dyDescent="0.2">
      <c r="A138" s="14">
        <v>45873.723483796297</v>
      </c>
      <c r="B138" t="s">
        <v>618</v>
      </c>
      <c r="C138" t="s">
        <v>8</v>
      </c>
      <c r="D138" t="s">
        <v>740</v>
      </c>
    </row>
    <row r="139" spans="1:5" x14ac:dyDescent="0.2">
      <c r="A139" s="14">
        <v>45873.7235069444</v>
      </c>
      <c r="B139" t="s">
        <v>618</v>
      </c>
      <c r="C139" t="s">
        <v>8</v>
      </c>
      <c r="D139" t="s">
        <v>741</v>
      </c>
    </row>
    <row r="140" spans="1:5" x14ac:dyDescent="0.2">
      <c r="A140" s="14">
        <v>45873.723530092597</v>
      </c>
      <c r="B140" t="s">
        <v>618</v>
      </c>
      <c r="C140" t="s">
        <v>8</v>
      </c>
      <c r="D140" t="s">
        <v>742</v>
      </c>
    </row>
    <row r="141" spans="1:5" x14ac:dyDescent="0.2">
      <c r="A141" s="14">
        <v>45873.723541666703</v>
      </c>
      <c r="B141" t="s">
        <v>618</v>
      </c>
      <c r="C141" t="s">
        <v>8</v>
      </c>
      <c r="D141" t="s">
        <v>743</v>
      </c>
    </row>
    <row r="142" spans="1:5" x14ac:dyDescent="0.2">
      <c r="A142" s="14">
        <v>45873.723564814798</v>
      </c>
      <c r="B142" t="s">
        <v>618</v>
      </c>
      <c r="C142" t="s">
        <v>8</v>
      </c>
      <c r="D142" t="s">
        <v>744</v>
      </c>
    </row>
    <row r="143" spans="1:5" x14ac:dyDescent="0.2">
      <c r="A143" s="14">
        <v>45873.727430555598</v>
      </c>
      <c r="B143" t="s">
        <v>618</v>
      </c>
      <c r="C143" t="s">
        <v>8</v>
      </c>
      <c r="D143" t="s">
        <v>735</v>
      </c>
    </row>
    <row r="144" spans="1:5" x14ac:dyDescent="0.2">
      <c r="A144" s="14">
        <v>45873.727430555598</v>
      </c>
      <c r="B144" t="s">
        <v>618</v>
      </c>
      <c r="C144" t="s">
        <v>8</v>
      </c>
      <c r="D144" t="s">
        <v>745</v>
      </c>
      <c r="E144" t="s">
        <v>34</v>
      </c>
    </row>
    <row r="145" spans="1:5" x14ac:dyDescent="0.2">
      <c r="A145" s="14">
        <v>45873.7274652778</v>
      </c>
      <c r="B145" t="s">
        <v>618</v>
      </c>
      <c r="C145" t="s">
        <v>8</v>
      </c>
      <c r="D145" t="s">
        <v>746</v>
      </c>
    </row>
    <row r="146" spans="1:5" x14ac:dyDescent="0.2">
      <c r="A146" s="14">
        <v>45873.7274652778</v>
      </c>
      <c r="B146" t="s">
        <v>618</v>
      </c>
      <c r="C146" t="s">
        <v>8</v>
      </c>
      <c r="D146" t="s">
        <v>747</v>
      </c>
      <c r="E146" t="s">
        <v>39</v>
      </c>
    </row>
    <row r="147" spans="1:5" x14ac:dyDescent="0.2">
      <c r="A147" s="14">
        <v>45873.727546296301</v>
      </c>
      <c r="B147" t="s">
        <v>618</v>
      </c>
      <c r="C147" t="s">
        <v>8</v>
      </c>
      <c r="D147" t="s">
        <v>748</v>
      </c>
    </row>
    <row r="148" spans="1:5" x14ac:dyDescent="0.2">
      <c r="A148" s="14">
        <v>45873.727546296301</v>
      </c>
      <c r="B148" t="s">
        <v>618</v>
      </c>
      <c r="C148" t="s">
        <v>8</v>
      </c>
      <c r="D148" t="s">
        <v>749</v>
      </c>
      <c r="E148" t="s">
        <v>264</v>
      </c>
    </row>
    <row r="149" spans="1:5" x14ac:dyDescent="0.2">
      <c r="A149" s="14">
        <v>45873.727615740703</v>
      </c>
      <c r="B149" t="s">
        <v>618</v>
      </c>
      <c r="C149" t="s">
        <v>8</v>
      </c>
      <c r="D149" t="s">
        <v>750</v>
      </c>
    </row>
    <row r="150" spans="1:5" x14ac:dyDescent="0.2">
      <c r="A150" s="14">
        <v>45873.727615740703</v>
      </c>
      <c r="B150" t="s">
        <v>618</v>
      </c>
      <c r="C150" t="s">
        <v>8</v>
      </c>
      <c r="D150" t="s">
        <v>751</v>
      </c>
      <c r="E150" t="s">
        <v>34</v>
      </c>
    </row>
    <row r="151" spans="1:5" x14ac:dyDescent="0.2">
      <c r="A151" s="14">
        <v>45873.732777777797</v>
      </c>
      <c r="B151" t="s">
        <v>618</v>
      </c>
      <c r="C151" t="s">
        <v>8</v>
      </c>
      <c r="D151" t="s">
        <v>752</v>
      </c>
    </row>
    <row r="152" spans="1:5" x14ac:dyDescent="0.2">
      <c r="A152" s="14">
        <v>45873.733171296299</v>
      </c>
      <c r="B152" t="s">
        <v>618</v>
      </c>
      <c r="C152" t="s">
        <v>8</v>
      </c>
      <c r="D152" t="s">
        <v>753</v>
      </c>
      <c r="E152" t="s">
        <v>754</v>
      </c>
    </row>
    <row r="153" spans="1:5" x14ac:dyDescent="0.2">
      <c r="A153" s="14">
        <v>45873.7335185185</v>
      </c>
      <c r="B153" t="s">
        <v>618</v>
      </c>
      <c r="C153" t="s">
        <v>637</v>
      </c>
      <c r="D153" t="s">
        <v>650</v>
      </c>
    </row>
    <row r="154" spans="1:5" x14ac:dyDescent="0.2">
      <c r="A154" s="14">
        <v>45873.733587962997</v>
      </c>
      <c r="B154" t="s">
        <v>618</v>
      </c>
      <c r="C154" t="s">
        <v>637</v>
      </c>
      <c r="D154" t="s">
        <v>755</v>
      </c>
      <c r="E154">
        <v>5</v>
      </c>
    </row>
    <row r="155" spans="1:5" x14ac:dyDescent="0.2">
      <c r="A155" s="14">
        <v>45873.733634259297</v>
      </c>
      <c r="B155" t="s">
        <v>618</v>
      </c>
      <c r="C155" t="s">
        <v>637</v>
      </c>
      <c r="D155" t="s">
        <v>646</v>
      </c>
      <c r="E155" t="s">
        <v>754</v>
      </c>
    </row>
    <row r="156" spans="1:5" x14ac:dyDescent="0.2">
      <c r="A156" s="14">
        <v>45873.733668981498</v>
      </c>
      <c r="B156" t="s">
        <v>618</v>
      </c>
      <c r="C156" t="s">
        <v>637</v>
      </c>
      <c r="D156" t="s">
        <v>648</v>
      </c>
      <c r="E156" t="s">
        <v>756</v>
      </c>
    </row>
    <row r="157" spans="1:5" x14ac:dyDescent="0.2">
      <c r="A157" s="14">
        <v>45873.735729166699</v>
      </c>
      <c r="B157" t="s">
        <v>618</v>
      </c>
      <c r="C157" t="s">
        <v>13</v>
      </c>
      <c r="D157" t="s">
        <v>757</v>
      </c>
    </row>
    <row r="158" spans="1:5" x14ac:dyDescent="0.2">
      <c r="A158" s="14">
        <v>45873.735775462999</v>
      </c>
      <c r="B158" t="s">
        <v>618</v>
      </c>
      <c r="C158" t="s">
        <v>13</v>
      </c>
      <c r="D158" t="s">
        <v>758</v>
      </c>
    </row>
    <row r="159" spans="1:5" x14ac:dyDescent="0.2">
      <c r="A159" s="14">
        <v>45873.7362615741</v>
      </c>
      <c r="B159" t="s">
        <v>618</v>
      </c>
      <c r="C159" t="s">
        <v>13</v>
      </c>
      <c r="D159" t="s">
        <v>759</v>
      </c>
    </row>
    <row r="160" spans="1:5" x14ac:dyDescent="0.2">
      <c r="A160" s="14">
        <v>45873.736284722203</v>
      </c>
      <c r="B160" t="s">
        <v>618</v>
      </c>
      <c r="C160" t="s">
        <v>13</v>
      </c>
      <c r="D160" t="s">
        <v>760</v>
      </c>
    </row>
    <row r="161" spans="1:5" x14ac:dyDescent="0.2">
      <c r="A161" s="14">
        <v>45873.7363078704</v>
      </c>
      <c r="B161" t="s">
        <v>618</v>
      </c>
      <c r="C161" t="s">
        <v>13</v>
      </c>
      <c r="D161" t="s">
        <v>761</v>
      </c>
    </row>
    <row r="162" spans="1:5" x14ac:dyDescent="0.2">
      <c r="A162" s="14">
        <v>45873.736331018503</v>
      </c>
      <c r="B162" t="s">
        <v>618</v>
      </c>
      <c r="C162" t="s">
        <v>13</v>
      </c>
      <c r="D162" t="s">
        <v>762</v>
      </c>
    </row>
    <row r="163" spans="1:5" x14ac:dyDescent="0.2">
      <c r="A163" s="14">
        <v>45873.7363541667</v>
      </c>
      <c r="B163" t="s">
        <v>618</v>
      </c>
      <c r="C163" t="s">
        <v>13</v>
      </c>
      <c r="D163" t="s">
        <v>763</v>
      </c>
    </row>
    <row r="164" spans="1:5" x14ac:dyDescent="0.2">
      <c r="A164" s="14">
        <v>45873.7364930556</v>
      </c>
      <c r="B164" t="s">
        <v>618</v>
      </c>
      <c r="C164" t="s">
        <v>13</v>
      </c>
      <c r="D164" t="s">
        <v>764</v>
      </c>
    </row>
    <row r="165" spans="1:5" x14ac:dyDescent="0.2">
      <c r="A165" s="14">
        <v>45873.7364930556</v>
      </c>
      <c r="B165" t="s">
        <v>618</v>
      </c>
      <c r="C165" t="s">
        <v>13</v>
      </c>
      <c r="D165" t="s">
        <v>765</v>
      </c>
      <c r="E165" t="s">
        <v>175</v>
      </c>
    </row>
    <row r="166" spans="1:5" x14ac:dyDescent="0.2">
      <c r="A166" s="14">
        <v>45873.736550925903</v>
      </c>
      <c r="B166" t="s">
        <v>618</v>
      </c>
      <c r="C166" t="s">
        <v>13</v>
      </c>
      <c r="D166" t="s">
        <v>766</v>
      </c>
      <c r="E166" t="s">
        <v>36</v>
      </c>
    </row>
    <row r="167" spans="1:5" x14ac:dyDescent="0.2">
      <c r="A167" s="14">
        <v>45873.736550925903</v>
      </c>
      <c r="B167" t="s">
        <v>618</v>
      </c>
      <c r="C167" t="s">
        <v>13</v>
      </c>
      <c r="D167" t="s">
        <v>767</v>
      </c>
      <c r="E167" t="s">
        <v>34</v>
      </c>
    </row>
    <row r="168" spans="1:5" x14ac:dyDescent="0.2">
      <c r="A168" s="14">
        <v>45873.736643518503</v>
      </c>
      <c r="B168" t="s">
        <v>618</v>
      </c>
      <c r="C168" t="s">
        <v>13</v>
      </c>
      <c r="D168" t="s">
        <v>768</v>
      </c>
      <c r="E168" t="s">
        <v>175</v>
      </c>
    </row>
    <row r="169" spans="1:5" x14ac:dyDescent="0.2">
      <c r="A169" s="14">
        <v>45873.736770833297</v>
      </c>
      <c r="B169" t="s">
        <v>618</v>
      </c>
      <c r="C169" t="s">
        <v>13</v>
      </c>
      <c r="D169" t="s">
        <v>769</v>
      </c>
    </row>
    <row r="170" spans="1:5" x14ac:dyDescent="0.2">
      <c r="A170" s="14">
        <v>45873.736793981501</v>
      </c>
      <c r="B170" t="s">
        <v>618</v>
      </c>
      <c r="C170" t="s">
        <v>13</v>
      </c>
      <c r="D170" t="s">
        <v>770</v>
      </c>
    </row>
    <row r="171" spans="1:5" x14ac:dyDescent="0.2">
      <c r="A171" s="14">
        <v>45873.736851851798</v>
      </c>
      <c r="B171" t="s">
        <v>618</v>
      </c>
      <c r="C171" t="s">
        <v>13</v>
      </c>
      <c r="D171" t="s">
        <v>771</v>
      </c>
    </row>
    <row r="172" spans="1:5" x14ac:dyDescent="0.2">
      <c r="A172" s="14">
        <v>45873.736886574101</v>
      </c>
      <c r="B172" t="s">
        <v>618</v>
      </c>
      <c r="C172" t="s">
        <v>13</v>
      </c>
      <c r="D172" t="s">
        <v>772</v>
      </c>
    </row>
    <row r="173" spans="1:5" x14ac:dyDescent="0.2">
      <c r="A173" s="14">
        <v>45873.736967592602</v>
      </c>
      <c r="B173" t="s">
        <v>618</v>
      </c>
      <c r="C173" t="s">
        <v>13</v>
      </c>
      <c r="D173" t="s">
        <v>773</v>
      </c>
    </row>
    <row r="174" spans="1:5" x14ac:dyDescent="0.2">
      <c r="A174" s="14">
        <v>45873.736967592602</v>
      </c>
      <c r="B174" t="s">
        <v>618</v>
      </c>
      <c r="C174" t="s">
        <v>13</v>
      </c>
      <c r="D174" t="s">
        <v>773</v>
      </c>
    </row>
    <row r="175" spans="1:5" x14ac:dyDescent="0.2">
      <c r="A175" s="14">
        <v>45873.737025463</v>
      </c>
      <c r="B175" t="s">
        <v>618</v>
      </c>
      <c r="C175" t="s">
        <v>13</v>
      </c>
      <c r="D175" t="s">
        <v>774</v>
      </c>
      <c r="E175" t="s">
        <v>197</v>
      </c>
    </row>
    <row r="176" spans="1:5" x14ac:dyDescent="0.2">
      <c r="A176" s="14">
        <v>45873.7370717593</v>
      </c>
      <c r="B176" t="s">
        <v>618</v>
      </c>
      <c r="C176" t="s">
        <v>13</v>
      </c>
      <c r="D176" t="s">
        <v>775</v>
      </c>
      <c r="E176">
        <v>5</v>
      </c>
    </row>
    <row r="177" spans="1:5" x14ac:dyDescent="0.2">
      <c r="A177" s="14">
        <v>45873.737129629597</v>
      </c>
      <c r="B177" t="s">
        <v>618</v>
      </c>
      <c r="C177" t="s">
        <v>13</v>
      </c>
      <c r="D177" t="s">
        <v>776</v>
      </c>
    </row>
    <row r="178" spans="1:5" x14ac:dyDescent="0.2">
      <c r="A178" s="14">
        <v>45873.737164351798</v>
      </c>
      <c r="B178" t="s">
        <v>618</v>
      </c>
      <c r="C178" t="s">
        <v>13</v>
      </c>
      <c r="D178" t="s">
        <v>777</v>
      </c>
    </row>
    <row r="179" spans="1:5" x14ac:dyDescent="0.2">
      <c r="A179" s="14">
        <v>45873.737303240698</v>
      </c>
      <c r="B179" t="s">
        <v>618</v>
      </c>
      <c r="C179" t="s">
        <v>13</v>
      </c>
      <c r="D179" t="s">
        <v>778</v>
      </c>
      <c r="E179" t="s">
        <v>197</v>
      </c>
    </row>
    <row r="180" spans="1:5" x14ac:dyDescent="0.2">
      <c r="A180" s="14">
        <v>45873.737349536997</v>
      </c>
      <c r="B180" t="s">
        <v>618</v>
      </c>
      <c r="C180" t="s">
        <v>13</v>
      </c>
      <c r="D180" t="s">
        <v>779</v>
      </c>
    </row>
    <row r="181" spans="1:5" x14ac:dyDescent="0.2">
      <c r="A181" s="14">
        <v>45873.737418981502</v>
      </c>
      <c r="B181" t="s">
        <v>618</v>
      </c>
      <c r="C181" t="s">
        <v>13</v>
      </c>
      <c r="D181" t="s">
        <v>780</v>
      </c>
      <c r="E181" t="s">
        <v>184</v>
      </c>
    </row>
    <row r="182" spans="1:5" x14ac:dyDescent="0.2">
      <c r="A182" s="14">
        <v>45873.737476851798</v>
      </c>
      <c r="B182" t="s">
        <v>618</v>
      </c>
      <c r="C182" t="s">
        <v>13</v>
      </c>
      <c r="D182" t="s">
        <v>781</v>
      </c>
    </row>
    <row r="183" spans="1:5" x14ac:dyDescent="0.2">
      <c r="A183" s="14">
        <v>45873.737581018497</v>
      </c>
      <c r="B183" t="s">
        <v>618</v>
      </c>
      <c r="C183" t="s">
        <v>13</v>
      </c>
      <c r="D183" t="s">
        <v>782</v>
      </c>
      <c r="E183" t="s">
        <v>46</v>
      </c>
    </row>
    <row r="184" spans="1:5" x14ac:dyDescent="0.2">
      <c r="A184" s="14">
        <v>45874.372638888897</v>
      </c>
      <c r="B184" t="s">
        <v>783</v>
      </c>
      <c r="C184" t="s">
        <v>623</v>
      </c>
      <c r="D184" t="s">
        <v>784</v>
      </c>
      <c r="E184" t="s">
        <v>40</v>
      </c>
    </row>
    <row r="185" spans="1:5" x14ac:dyDescent="0.2">
      <c r="A185" s="14">
        <v>45874.372638888897</v>
      </c>
      <c r="B185" t="s">
        <v>783</v>
      </c>
      <c r="C185" t="s">
        <v>623</v>
      </c>
      <c r="D185" t="s">
        <v>683</v>
      </c>
      <c r="E185" t="s">
        <v>40</v>
      </c>
    </row>
    <row r="186" spans="1:5" x14ac:dyDescent="0.2">
      <c r="A186" s="14">
        <v>45874.372638888897</v>
      </c>
      <c r="B186" t="s">
        <v>783</v>
      </c>
      <c r="C186" t="s">
        <v>623</v>
      </c>
      <c r="D186" t="s">
        <v>681</v>
      </c>
      <c r="E186" t="s">
        <v>40</v>
      </c>
    </row>
    <row r="187" spans="1:5" x14ac:dyDescent="0.2">
      <c r="A187" s="14">
        <v>45874.372638888897</v>
      </c>
      <c r="B187" t="s">
        <v>783</v>
      </c>
      <c r="C187" t="s">
        <v>623</v>
      </c>
      <c r="D187" t="s">
        <v>785</v>
      </c>
      <c r="E187" t="s">
        <v>40</v>
      </c>
    </row>
    <row r="188" spans="1:5" x14ac:dyDescent="0.2">
      <c r="A188" s="14">
        <v>45874.372638888897</v>
      </c>
      <c r="B188" t="s">
        <v>783</v>
      </c>
      <c r="C188" t="s">
        <v>623</v>
      </c>
      <c r="D188" t="s">
        <v>676</v>
      </c>
      <c r="E188" t="s">
        <v>40</v>
      </c>
    </row>
    <row r="189" spans="1:5" x14ac:dyDescent="0.2">
      <c r="A189" s="14">
        <v>45874.372650463003</v>
      </c>
      <c r="B189" t="s">
        <v>783</v>
      </c>
      <c r="C189" t="s">
        <v>623</v>
      </c>
      <c r="D189" t="s">
        <v>673</v>
      </c>
      <c r="E189" t="s">
        <v>40</v>
      </c>
    </row>
    <row r="190" spans="1:5" x14ac:dyDescent="0.2">
      <c r="A190" s="14">
        <v>45874.372650463003</v>
      </c>
      <c r="B190" t="s">
        <v>783</v>
      </c>
      <c r="C190" t="s">
        <v>623</v>
      </c>
      <c r="D190" t="s">
        <v>672</v>
      </c>
      <c r="E190" t="s">
        <v>40</v>
      </c>
    </row>
    <row r="191" spans="1:5" x14ac:dyDescent="0.2">
      <c r="A191" s="14">
        <v>45874.385277777801</v>
      </c>
      <c r="B191" t="s">
        <v>783</v>
      </c>
      <c r="C191" t="s">
        <v>637</v>
      </c>
      <c r="D191" t="s">
        <v>786</v>
      </c>
      <c r="E191" t="s">
        <v>787</v>
      </c>
    </row>
    <row r="192" spans="1:5" x14ac:dyDescent="0.2">
      <c r="A192" s="14">
        <v>45874.432812500003</v>
      </c>
      <c r="B192" t="s">
        <v>783</v>
      </c>
      <c r="C192" t="s">
        <v>637</v>
      </c>
      <c r="D192" t="s">
        <v>788</v>
      </c>
    </row>
    <row r="193" spans="1:5" x14ac:dyDescent="0.2">
      <c r="A193" s="14">
        <v>45874.432812500003</v>
      </c>
      <c r="B193" t="s">
        <v>783</v>
      </c>
      <c r="C193" t="s">
        <v>637</v>
      </c>
      <c r="D193" t="s">
        <v>789</v>
      </c>
      <c r="E193" t="s">
        <v>39</v>
      </c>
    </row>
    <row r="194" spans="1:5" x14ac:dyDescent="0.2">
      <c r="A194" s="14">
        <v>45874.4604861111</v>
      </c>
      <c r="B194" t="s">
        <v>783</v>
      </c>
      <c r="C194" t="s">
        <v>637</v>
      </c>
      <c r="D194" t="s">
        <v>786</v>
      </c>
      <c r="E194" t="s">
        <v>790</v>
      </c>
    </row>
    <row r="195" spans="1:5" x14ac:dyDescent="0.2">
      <c r="A195" s="14">
        <v>45874.461006944402</v>
      </c>
      <c r="B195" t="s">
        <v>783</v>
      </c>
      <c r="C195" t="s">
        <v>637</v>
      </c>
      <c r="D195" t="s">
        <v>791</v>
      </c>
      <c r="E195" t="s">
        <v>792</v>
      </c>
    </row>
    <row r="196" spans="1:5" x14ac:dyDescent="0.2">
      <c r="A196" s="14">
        <v>45874.463275463</v>
      </c>
      <c r="B196" t="s">
        <v>783</v>
      </c>
      <c r="C196" t="s">
        <v>637</v>
      </c>
      <c r="D196" t="s">
        <v>791</v>
      </c>
      <c r="E196" t="s">
        <v>793</v>
      </c>
    </row>
    <row r="197" spans="1:5" x14ac:dyDescent="0.2">
      <c r="A197" s="14">
        <v>45874.463483796302</v>
      </c>
      <c r="B197" t="s">
        <v>783</v>
      </c>
      <c r="C197" t="s">
        <v>637</v>
      </c>
      <c r="D197" t="s">
        <v>794</v>
      </c>
      <c r="E197" t="s">
        <v>795</v>
      </c>
    </row>
    <row r="198" spans="1:5" x14ac:dyDescent="0.2">
      <c r="A198" s="14">
        <v>45874.463854166701</v>
      </c>
      <c r="B198" t="s">
        <v>783</v>
      </c>
      <c r="C198" t="s">
        <v>637</v>
      </c>
      <c r="D198" t="s">
        <v>794</v>
      </c>
      <c r="E198" t="s">
        <v>58</v>
      </c>
    </row>
    <row r="199" spans="1:5" x14ac:dyDescent="0.2">
      <c r="A199" s="14">
        <v>45874.464513888903</v>
      </c>
      <c r="B199" t="s">
        <v>783</v>
      </c>
      <c r="C199" t="s">
        <v>637</v>
      </c>
      <c r="D199" t="s">
        <v>648</v>
      </c>
      <c r="E199" t="s">
        <v>796</v>
      </c>
    </row>
    <row r="200" spans="1:5" x14ac:dyDescent="0.2">
      <c r="A200" s="14">
        <v>45874.465023148201</v>
      </c>
      <c r="B200" t="s">
        <v>783</v>
      </c>
      <c r="C200" t="s">
        <v>637</v>
      </c>
      <c r="D200" t="s">
        <v>791</v>
      </c>
      <c r="E200" t="s">
        <v>797</v>
      </c>
    </row>
    <row r="201" spans="1:5" x14ac:dyDescent="0.2">
      <c r="A201" s="14">
        <v>45874.465856481504</v>
      </c>
      <c r="B201" t="s">
        <v>783</v>
      </c>
      <c r="C201" t="s">
        <v>637</v>
      </c>
      <c r="D201" t="s">
        <v>791</v>
      </c>
      <c r="E201" t="s">
        <v>56</v>
      </c>
    </row>
    <row r="202" spans="1:5" x14ac:dyDescent="0.2">
      <c r="A202" s="14">
        <v>45874.473310185203</v>
      </c>
      <c r="B202" t="s">
        <v>783</v>
      </c>
      <c r="C202" t="s">
        <v>17</v>
      </c>
      <c r="D202" t="s">
        <v>759</v>
      </c>
    </row>
    <row r="203" spans="1:5" x14ac:dyDescent="0.2">
      <c r="A203" s="14">
        <v>45874.473333333299</v>
      </c>
      <c r="B203" t="s">
        <v>783</v>
      </c>
      <c r="C203" t="s">
        <v>17</v>
      </c>
      <c r="D203" t="s">
        <v>760</v>
      </c>
    </row>
    <row r="204" spans="1:5" x14ac:dyDescent="0.2">
      <c r="A204" s="14">
        <v>45874.473356481503</v>
      </c>
      <c r="B204" t="s">
        <v>783</v>
      </c>
      <c r="C204" t="s">
        <v>17</v>
      </c>
      <c r="D204" t="s">
        <v>761</v>
      </c>
    </row>
    <row r="205" spans="1:5" x14ac:dyDescent="0.2">
      <c r="A205" s="14">
        <v>45874.473379629599</v>
      </c>
      <c r="B205" t="s">
        <v>783</v>
      </c>
      <c r="C205" t="s">
        <v>17</v>
      </c>
      <c r="D205" t="s">
        <v>762</v>
      </c>
    </row>
    <row r="206" spans="1:5" x14ac:dyDescent="0.2">
      <c r="A206" s="14">
        <v>45874.473391203697</v>
      </c>
      <c r="B206" t="s">
        <v>783</v>
      </c>
      <c r="C206" t="s">
        <v>17</v>
      </c>
      <c r="D206" t="s">
        <v>763</v>
      </c>
    </row>
    <row r="207" spans="1:5" x14ac:dyDescent="0.2">
      <c r="A207" s="14">
        <v>45874.473530092597</v>
      </c>
      <c r="B207" t="s">
        <v>783</v>
      </c>
      <c r="C207" t="s">
        <v>17</v>
      </c>
      <c r="D207" t="s">
        <v>798</v>
      </c>
      <c r="E207" t="s">
        <v>181</v>
      </c>
    </row>
    <row r="208" spans="1:5" x14ac:dyDescent="0.2">
      <c r="A208" s="14">
        <v>45874.473530092597</v>
      </c>
      <c r="B208" t="s">
        <v>783</v>
      </c>
      <c r="C208" t="s">
        <v>17</v>
      </c>
      <c r="D208" t="s">
        <v>799</v>
      </c>
      <c r="E208" t="s">
        <v>39</v>
      </c>
    </row>
    <row r="209" spans="1:5" x14ac:dyDescent="0.2">
      <c r="A209" s="14">
        <v>45874.473749999997</v>
      </c>
      <c r="B209" t="s">
        <v>783</v>
      </c>
      <c r="C209" t="s">
        <v>17</v>
      </c>
      <c r="D209" t="s">
        <v>800</v>
      </c>
    </row>
    <row r="210" spans="1:5" x14ac:dyDescent="0.2">
      <c r="A210" s="14">
        <v>45874.473749999997</v>
      </c>
      <c r="B210" t="s">
        <v>783</v>
      </c>
      <c r="C210" t="s">
        <v>17</v>
      </c>
      <c r="D210" t="s">
        <v>801</v>
      </c>
      <c r="E210" t="s">
        <v>175</v>
      </c>
    </row>
    <row r="211" spans="1:5" x14ac:dyDescent="0.2">
      <c r="A211" s="14">
        <v>45874.474108796298</v>
      </c>
      <c r="B211" t="s">
        <v>783</v>
      </c>
      <c r="C211" t="s">
        <v>2</v>
      </c>
      <c r="D211" t="s">
        <v>802</v>
      </c>
      <c r="E211">
        <v>2024</v>
      </c>
    </row>
    <row r="212" spans="1:5" x14ac:dyDescent="0.2">
      <c r="A212" s="14">
        <v>45874.474259259303</v>
      </c>
      <c r="B212" t="s">
        <v>783</v>
      </c>
      <c r="C212" t="s">
        <v>2</v>
      </c>
      <c r="D212" t="s">
        <v>802</v>
      </c>
    </row>
    <row r="213" spans="1:5" x14ac:dyDescent="0.2">
      <c r="A213" s="14">
        <v>45874.474386574097</v>
      </c>
      <c r="B213" t="s">
        <v>783</v>
      </c>
      <c r="C213" t="s">
        <v>17</v>
      </c>
      <c r="D213" t="s">
        <v>803</v>
      </c>
      <c r="E213" t="s">
        <v>804</v>
      </c>
    </row>
    <row r="214" spans="1:5" x14ac:dyDescent="0.2">
      <c r="A214" s="14">
        <v>45874.474814814799</v>
      </c>
      <c r="B214" t="s">
        <v>783</v>
      </c>
      <c r="C214" t="s">
        <v>17</v>
      </c>
      <c r="D214" t="s">
        <v>803</v>
      </c>
      <c r="E214" t="s">
        <v>805</v>
      </c>
    </row>
    <row r="215" spans="1:5" x14ac:dyDescent="0.2">
      <c r="A215" s="14">
        <v>45874.476215277798</v>
      </c>
      <c r="B215" t="s">
        <v>783</v>
      </c>
      <c r="C215" t="s">
        <v>17</v>
      </c>
      <c r="D215" t="s">
        <v>806</v>
      </c>
    </row>
    <row r="216" spans="1:5" x14ac:dyDescent="0.2">
      <c r="A216" s="14">
        <v>45874.476284722201</v>
      </c>
      <c r="B216" t="s">
        <v>783</v>
      </c>
      <c r="C216" t="s">
        <v>17</v>
      </c>
      <c r="D216" t="s">
        <v>806</v>
      </c>
      <c r="E216" t="s">
        <v>26</v>
      </c>
    </row>
    <row r="217" spans="1:5" x14ac:dyDescent="0.2">
      <c r="A217" s="14">
        <v>45874.476377314801</v>
      </c>
      <c r="B217" t="s">
        <v>783</v>
      </c>
      <c r="C217" t="s">
        <v>13</v>
      </c>
      <c r="D217" t="s">
        <v>806</v>
      </c>
      <c r="E217" t="s">
        <v>26</v>
      </c>
    </row>
    <row r="218" spans="1:5" x14ac:dyDescent="0.2">
      <c r="A218" s="14">
        <v>45874.476412037002</v>
      </c>
      <c r="B218" t="s">
        <v>783</v>
      </c>
      <c r="C218" t="s">
        <v>8</v>
      </c>
      <c r="D218" t="s">
        <v>806</v>
      </c>
      <c r="E218" t="s">
        <v>26</v>
      </c>
    </row>
    <row r="219" spans="1:5" x14ac:dyDescent="0.2">
      <c r="A219" s="14">
        <v>45874.476435185199</v>
      </c>
      <c r="B219" t="s">
        <v>783</v>
      </c>
      <c r="C219" t="s">
        <v>103</v>
      </c>
      <c r="D219" t="s">
        <v>806</v>
      </c>
      <c r="E219" t="s">
        <v>26</v>
      </c>
    </row>
    <row r="220" spans="1:5" x14ac:dyDescent="0.2">
      <c r="A220" s="14">
        <v>45874.4764699074</v>
      </c>
      <c r="B220" t="s">
        <v>783</v>
      </c>
      <c r="C220" t="s">
        <v>670</v>
      </c>
      <c r="D220" t="s">
        <v>806</v>
      </c>
      <c r="E220" t="s">
        <v>26</v>
      </c>
    </row>
    <row r="221" spans="1:5" x14ac:dyDescent="0.2">
      <c r="A221" s="14">
        <v>45874.476504629602</v>
      </c>
      <c r="B221" t="s">
        <v>783</v>
      </c>
      <c r="C221" t="s">
        <v>28</v>
      </c>
      <c r="D221" t="s">
        <v>806</v>
      </c>
      <c r="E221" t="s">
        <v>26</v>
      </c>
    </row>
    <row r="222" spans="1:5" x14ac:dyDescent="0.2">
      <c r="A222" s="14">
        <v>45874.476539351897</v>
      </c>
      <c r="B222" t="s">
        <v>783</v>
      </c>
      <c r="C222" t="s">
        <v>29</v>
      </c>
      <c r="D222" t="s">
        <v>806</v>
      </c>
      <c r="E222" t="s">
        <v>26</v>
      </c>
    </row>
    <row r="223" spans="1:5" x14ac:dyDescent="0.2">
      <c r="A223" s="14">
        <v>45874.4771064815</v>
      </c>
      <c r="B223" t="s">
        <v>783</v>
      </c>
      <c r="C223" t="s">
        <v>17</v>
      </c>
      <c r="D223" t="s">
        <v>807</v>
      </c>
    </row>
    <row r="224" spans="1:5" x14ac:dyDescent="0.2">
      <c r="A224" s="14">
        <v>45874.4771064815</v>
      </c>
      <c r="B224" t="s">
        <v>783</v>
      </c>
      <c r="C224" t="s">
        <v>17</v>
      </c>
      <c r="D224" t="s">
        <v>808</v>
      </c>
      <c r="E224" t="s">
        <v>222</v>
      </c>
    </row>
    <row r="225" spans="1:5" x14ac:dyDescent="0.2">
      <c r="A225" s="14">
        <v>45874.477303240703</v>
      </c>
      <c r="B225" t="s">
        <v>783</v>
      </c>
      <c r="C225" t="s">
        <v>17</v>
      </c>
      <c r="D225" t="s">
        <v>809</v>
      </c>
    </row>
    <row r="226" spans="1:5" x14ac:dyDescent="0.2">
      <c r="A226" s="14">
        <v>45874.477303240703</v>
      </c>
      <c r="B226" t="s">
        <v>783</v>
      </c>
      <c r="C226" t="s">
        <v>17</v>
      </c>
      <c r="D226" t="s">
        <v>810</v>
      </c>
      <c r="E226" t="s">
        <v>224</v>
      </c>
    </row>
    <row r="227" spans="1:5" x14ac:dyDescent="0.2">
      <c r="A227" s="14">
        <v>45874.477615740703</v>
      </c>
      <c r="B227" t="s">
        <v>783</v>
      </c>
      <c r="C227" t="s">
        <v>17</v>
      </c>
      <c r="D227" t="s">
        <v>811</v>
      </c>
    </row>
    <row r="228" spans="1:5" x14ac:dyDescent="0.2">
      <c r="A228" s="14">
        <v>45874.4781365741</v>
      </c>
      <c r="B228" t="s">
        <v>783</v>
      </c>
      <c r="C228" t="s">
        <v>17</v>
      </c>
      <c r="D228" t="s">
        <v>812</v>
      </c>
    </row>
    <row r="229" spans="1:5" x14ac:dyDescent="0.2">
      <c r="A229" s="14">
        <v>45874.4781365741</v>
      </c>
      <c r="B229" t="s">
        <v>783</v>
      </c>
      <c r="C229" t="s">
        <v>17</v>
      </c>
      <c r="D229" t="s">
        <v>813</v>
      </c>
      <c r="E229" t="s">
        <v>228</v>
      </c>
    </row>
    <row r="230" spans="1:5" x14ac:dyDescent="0.2">
      <c r="A230" s="14">
        <v>45874.478148148097</v>
      </c>
      <c r="B230" t="s">
        <v>783</v>
      </c>
      <c r="C230" t="s">
        <v>17</v>
      </c>
      <c r="D230" t="s">
        <v>814</v>
      </c>
      <c r="E230" t="s">
        <v>699</v>
      </c>
    </row>
    <row r="231" spans="1:5" x14ac:dyDescent="0.2">
      <c r="A231" s="14">
        <v>45874.478171296301</v>
      </c>
      <c r="B231" t="s">
        <v>783</v>
      </c>
      <c r="C231" t="s">
        <v>17</v>
      </c>
      <c r="D231" t="s">
        <v>814</v>
      </c>
      <c r="E231" t="s">
        <v>228</v>
      </c>
    </row>
    <row r="232" spans="1:5" x14ac:dyDescent="0.2">
      <c r="A232" s="14">
        <v>45874.478217592601</v>
      </c>
      <c r="B232" t="s">
        <v>783</v>
      </c>
      <c r="C232" t="s">
        <v>17</v>
      </c>
      <c r="D232" t="s">
        <v>815</v>
      </c>
    </row>
    <row r="233" spans="1:5" x14ac:dyDescent="0.2">
      <c r="A233" s="14">
        <v>45874.478217592601</v>
      </c>
      <c r="B233" t="s">
        <v>783</v>
      </c>
      <c r="C233" t="s">
        <v>17</v>
      </c>
      <c r="D233" t="s">
        <v>816</v>
      </c>
      <c r="E233" t="s">
        <v>216</v>
      </c>
    </row>
    <row r="234" spans="1:5" x14ac:dyDescent="0.2">
      <c r="A234" s="14">
        <v>45874.478252314802</v>
      </c>
      <c r="B234" t="s">
        <v>783</v>
      </c>
      <c r="C234" t="s">
        <v>17</v>
      </c>
      <c r="D234" t="s">
        <v>817</v>
      </c>
    </row>
    <row r="235" spans="1:5" x14ac:dyDescent="0.2">
      <c r="A235" s="14">
        <v>45874.478252314802</v>
      </c>
      <c r="B235" t="s">
        <v>783</v>
      </c>
      <c r="C235" t="s">
        <v>17</v>
      </c>
      <c r="D235" t="s">
        <v>818</v>
      </c>
      <c r="E235" t="s">
        <v>233</v>
      </c>
    </row>
    <row r="236" spans="1:5" x14ac:dyDescent="0.2">
      <c r="A236" s="14">
        <v>45874.479872685202</v>
      </c>
      <c r="B236" t="s">
        <v>783</v>
      </c>
      <c r="C236" t="s">
        <v>17</v>
      </c>
      <c r="D236" t="s">
        <v>819</v>
      </c>
    </row>
    <row r="237" spans="1:5" x14ac:dyDescent="0.2">
      <c r="A237" s="14">
        <v>45874.479942129597</v>
      </c>
      <c r="B237" t="s">
        <v>783</v>
      </c>
      <c r="C237" t="s">
        <v>17</v>
      </c>
      <c r="D237" t="s">
        <v>820</v>
      </c>
      <c r="E237">
        <v>1</v>
      </c>
    </row>
    <row r="238" spans="1:5" x14ac:dyDescent="0.2">
      <c r="A238" s="14">
        <v>45874.479965277802</v>
      </c>
      <c r="B238" t="s">
        <v>783</v>
      </c>
      <c r="C238" t="s">
        <v>17</v>
      </c>
      <c r="D238" t="s">
        <v>820</v>
      </c>
    </row>
    <row r="239" spans="1:5" x14ac:dyDescent="0.2">
      <c r="A239" s="14">
        <v>45874.479988425897</v>
      </c>
      <c r="B239" t="s">
        <v>783</v>
      </c>
      <c r="C239" t="s">
        <v>17</v>
      </c>
      <c r="D239" t="s">
        <v>821</v>
      </c>
    </row>
    <row r="240" spans="1:5" x14ac:dyDescent="0.2">
      <c r="A240" s="14">
        <v>45874.48</v>
      </c>
      <c r="B240" t="s">
        <v>783</v>
      </c>
      <c r="C240" t="s">
        <v>17</v>
      </c>
      <c r="D240" t="s">
        <v>821</v>
      </c>
    </row>
    <row r="241" spans="1:5" x14ac:dyDescent="0.2">
      <c r="A241" s="14">
        <v>45874.480023148099</v>
      </c>
      <c r="B241" t="s">
        <v>783</v>
      </c>
      <c r="C241" t="s">
        <v>17</v>
      </c>
      <c r="D241" t="s">
        <v>821</v>
      </c>
      <c r="E241" t="s">
        <v>228</v>
      </c>
    </row>
    <row r="242" spans="1:5" x14ac:dyDescent="0.2">
      <c r="A242" s="14">
        <v>45874.480081018497</v>
      </c>
      <c r="B242" t="s">
        <v>783</v>
      </c>
      <c r="C242" t="s">
        <v>17</v>
      </c>
      <c r="D242" t="s">
        <v>822</v>
      </c>
      <c r="E242" t="s">
        <v>228</v>
      </c>
    </row>
    <row r="243" spans="1:5" x14ac:dyDescent="0.2">
      <c r="A243" s="14">
        <v>45874.480162036998</v>
      </c>
      <c r="B243" t="s">
        <v>783</v>
      </c>
      <c r="C243" t="s">
        <v>17</v>
      </c>
      <c r="D243" t="s">
        <v>823</v>
      </c>
    </row>
    <row r="244" spans="1:5" x14ac:dyDescent="0.2">
      <c r="A244" s="14">
        <v>45874.480208333298</v>
      </c>
      <c r="B244" t="s">
        <v>783</v>
      </c>
      <c r="C244" t="s">
        <v>17</v>
      </c>
      <c r="D244" t="s">
        <v>824</v>
      </c>
    </row>
    <row r="245" spans="1:5" x14ac:dyDescent="0.2">
      <c r="A245" s="14">
        <v>45874.480312500003</v>
      </c>
      <c r="B245" t="s">
        <v>783</v>
      </c>
      <c r="C245" t="s">
        <v>17</v>
      </c>
      <c r="D245" t="s">
        <v>825</v>
      </c>
      <c r="E245" t="s">
        <v>184</v>
      </c>
    </row>
    <row r="246" spans="1:5" x14ac:dyDescent="0.2">
      <c r="A246" s="14">
        <v>45874.613298611097</v>
      </c>
      <c r="B246" t="s">
        <v>783</v>
      </c>
      <c r="C246" t="s">
        <v>103</v>
      </c>
      <c r="D246" t="s">
        <v>759</v>
      </c>
    </row>
    <row r="247" spans="1:5" x14ac:dyDescent="0.2">
      <c r="A247" s="14">
        <v>45874.613321759301</v>
      </c>
      <c r="B247" t="s">
        <v>783</v>
      </c>
      <c r="C247" t="s">
        <v>103</v>
      </c>
      <c r="D247" t="s">
        <v>760</v>
      </c>
    </row>
    <row r="248" spans="1:5" x14ac:dyDescent="0.2">
      <c r="A248" s="14">
        <v>45874.613344907397</v>
      </c>
      <c r="B248" t="s">
        <v>783</v>
      </c>
      <c r="C248" t="s">
        <v>103</v>
      </c>
      <c r="D248" t="s">
        <v>761</v>
      </c>
    </row>
    <row r="249" spans="1:5" x14ac:dyDescent="0.2">
      <c r="A249" s="14">
        <v>45874.613368055601</v>
      </c>
      <c r="B249" t="s">
        <v>783</v>
      </c>
      <c r="C249" t="s">
        <v>103</v>
      </c>
      <c r="D249" t="s">
        <v>762</v>
      </c>
    </row>
    <row r="250" spans="1:5" x14ac:dyDescent="0.2">
      <c r="A250" s="14">
        <v>45874.613391203697</v>
      </c>
      <c r="B250" t="s">
        <v>783</v>
      </c>
      <c r="C250" t="s">
        <v>103</v>
      </c>
      <c r="D250" t="s">
        <v>763</v>
      </c>
    </row>
    <row r="251" spans="1:5" x14ac:dyDescent="0.2">
      <c r="A251" s="14">
        <v>45874.613530092603</v>
      </c>
      <c r="B251" t="s">
        <v>783</v>
      </c>
      <c r="C251" t="s">
        <v>103</v>
      </c>
      <c r="D251" t="s">
        <v>826</v>
      </c>
      <c r="E251" t="s">
        <v>181</v>
      </c>
    </row>
    <row r="252" spans="1:5" x14ac:dyDescent="0.2">
      <c r="A252" s="14">
        <v>45874.613530092603</v>
      </c>
      <c r="B252" t="s">
        <v>783</v>
      </c>
      <c r="C252" t="s">
        <v>103</v>
      </c>
      <c r="D252" t="s">
        <v>827</v>
      </c>
      <c r="E252" t="s">
        <v>39</v>
      </c>
    </row>
    <row r="253" spans="1:5" x14ac:dyDescent="0.2">
      <c r="A253" s="14">
        <v>45874.614178240699</v>
      </c>
      <c r="B253" t="s">
        <v>783</v>
      </c>
      <c r="C253" t="s">
        <v>103</v>
      </c>
      <c r="D253" t="s">
        <v>828</v>
      </c>
    </row>
    <row r="254" spans="1:5" x14ac:dyDescent="0.2">
      <c r="A254" s="14">
        <v>45874.614247685196</v>
      </c>
      <c r="B254" t="s">
        <v>783</v>
      </c>
      <c r="C254" t="s">
        <v>103</v>
      </c>
      <c r="D254" t="s">
        <v>829</v>
      </c>
      <c r="E254" t="s">
        <v>344</v>
      </c>
    </row>
    <row r="255" spans="1:5" x14ac:dyDescent="0.2">
      <c r="A255" s="14">
        <v>45874.614317129599</v>
      </c>
      <c r="B255" t="s">
        <v>783</v>
      </c>
      <c r="C255" t="s">
        <v>103</v>
      </c>
      <c r="D255" t="s">
        <v>830</v>
      </c>
    </row>
    <row r="256" spans="1:5" x14ac:dyDescent="0.2">
      <c r="A256" s="14">
        <v>45874.614374999997</v>
      </c>
      <c r="B256" t="s">
        <v>783</v>
      </c>
      <c r="C256" t="s">
        <v>103</v>
      </c>
      <c r="D256" t="s">
        <v>831</v>
      </c>
    </row>
    <row r="257" spans="1:5" x14ac:dyDescent="0.2">
      <c r="A257" s="14">
        <v>45874.6169212963</v>
      </c>
      <c r="B257" t="s">
        <v>783</v>
      </c>
      <c r="C257" t="s">
        <v>103</v>
      </c>
      <c r="D257" t="s">
        <v>832</v>
      </c>
      <c r="E257" t="s">
        <v>184</v>
      </c>
    </row>
    <row r="258" spans="1:5" x14ac:dyDescent="0.2">
      <c r="A258" s="14">
        <v>45874.623275462996</v>
      </c>
      <c r="B258" t="s">
        <v>783</v>
      </c>
      <c r="C258" t="s">
        <v>670</v>
      </c>
      <c r="D258" t="s">
        <v>833</v>
      </c>
    </row>
    <row r="259" spans="1:5" x14ac:dyDescent="0.2">
      <c r="A259" s="14">
        <v>45874.6234259259</v>
      </c>
      <c r="B259" t="s">
        <v>783</v>
      </c>
      <c r="C259" t="s">
        <v>670</v>
      </c>
      <c r="D259" t="s">
        <v>759</v>
      </c>
    </row>
    <row r="260" spans="1:5" x14ac:dyDescent="0.2">
      <c r="A260" s="14">
        <v>45874.623449074097</v>
      </c>
      <c r="B260" t="s">
        <v>783</v>
      </c>
      <c r="C260" t="s">
        <v>670</v>
      </c>
      <c r="D260" t="s">
        <v>760</v>
      </c>
    </row>
    <row r="261" spans="1:5" x14ac:dyDescent="0.2">
      <c r="A261" s="14">
        <v>45874.6234722222</v>
      </c>
      <c r="B261" t="s">
        <v>783</v>
      </c>
      <c r="C261" t="s">
        <v>670</v>
      </c>
      <c r="D261" t="s">
        <v>761</v>
      </c>
    </row>
    <row r="262" spans="1:5" x14ac:dyDescent="0.2">
      <c r="A262" s="14">
        <v>45874.623495370397</v>
      </c>
      <c r="B262" t="s">
        <v>783</v>
      </c>
      <c r="C262" t="s">
        <v>670</v>
      </c>
      <c r="D262" t="s">
        <v>762</v>
      </c>
    </row>
    <row r="263" spans="1:5" x14ac:dyDescent="0.2">
      <c r="A263" s="14">
        <v>45874.6235185185</v>
      </c>
      <c r="B263" t="s">
        <v>783</v>
      </c>
      <c r="C263" t="s">
        <v>670</v>
      </c>
      <c r="D263" t="s">
        <v>763</v>
      </c>
    </row>
    <row r="264" spans="1:5" x14ac:dyDescent="0.2">
      <c r="A264" s="14">
        <v>45874.623668981498</v>
      </c>
      <c r="B264" t="s">
        <v>783</v>
      </c>
      <c r="C264" t="s">
        <v>670</v>
      </c>
      <c r="D264" t="s">
        <v>834</v>
      </c>
    </row>
    <row r="265" spans="1:5" x14ac:dyDescent="0.2">
      <c r="A265" s="14">
        <v>45874.623668981498</v>
      </c>
      <c r="B265" t="s">
        <v>783</v>
      </c>
      <c r="C265" t="s">
        <v>670</v>
      </c>
      <c r="D265" t="s">
        <v>835</v>
      </c>
      <c r="E265" t="s">
        <v>175</v>
      </c>
    </row>
    <row r="266" spans="1:5" x14ac:dyDescent="0.2">
      <c r="A266" s="14">
        <v>45874.626412037003</v>
      </c>
      <c r="B266" t="s">
        <v>783</v>
      </c>
      <c r="C266" t="s">
        <v>13</v>
      </c>
      <c r="D266" t="s">
        <v>738</v>
      </c>
    </row>
    <row r="267" spans="1:5" x14ac:dyDescent="0.2">
      <c r="A267" s="14">
        <v>45874.636817129598</v>
      </c>
      <c r="B267" t="s">
        <v>783</v>
      </c>
      <c r="C267" t="s">
        <v>8</v>
      </c>
      <c r="D267" t="s">
        <v>836</v>
      </c>
      <c r="E267" t="s">
        <v>168</v>
      </c>
    </row>
    <row r="268" spans="1:5" x14ac:dyDescent="0.2">
      <c r="A268" s="14">
        <v>45874.636863425898</v>
      </c>
      <c r="B268" t="s">
        <v>783</v>
      </c>
      <c r="C268" t="s">
        <v>8</v>
      </c>
      <c r="D268" t="s">
        <v>836</v>
      </c>
      <c r="E268" t="s">
        <v>168</v>
      </c>
    </row>
    <row r="269" spans="1:5" x14ac:dyDescent="0.2">
      <c r="A269" s="14">
        <v>45874.636956018498</v>
      </c>
      <c r="B269" t="s">
        <v>783</v>
      </c>
      <c r="C269" t="s">
        <v>13</v>
      </c>
      <c r="D269" t="s">
        <v>836</v>
      </c>
      <c r="E269" t="s">
        <v>185</v>
      </c>
    </row>
    <row r="270" spans="1:5" x14ac:dyDescent="0.2">
      <c r="A270" s="14">
        <v>45874.637013888903</v>
      </c>
      <c r="B270" t="s">
        <v>783</v>
      </c>
      <c r="C270" t="s">
        <v>17</v>
      </c>
      <c r="D270" t="s">
        <v>836</v>
      </c>
      <c r="E270" t="s">
        <v>207</v>
      </c>
    </row>
    <row r="271" spans="1:5" x14ac:dyDescent="0.2">
      <c r="A271" s="14">
        <v>45874.637071759302</v>
      </c>
      <c r="B271" t="s">
        <v>783</v>
      </c>
      <c r="C271" t="s">
        <v>103</v>
      </c>
      <c r="D271" t="s">
        <v>836</v>
      </c>
      <c r="E271" t="s">
        <v>837</v>
      </c>
    </row>
    <row r="272" spans="1:5" x14ac:dyDescent="0.2">
      <c r="A272" s="14">
        <v>45874.637141203697</v>
      </c>
      <c r="B272" t="s">
        <v>783</v>
      </c>
      <c r="C272" t="s">
        <v>103</v>
      </c>
      <c r="D272" t="s">
        <v>836</v>
      </c>
      <c r="E272" t="s">
        <v>236</v>
      </c>
    </row>
    <row r="273" spans="1:5" x14ac:dyDescent="0.2">
      <c r="A273" s="14">
        <v>45874.637210648201</v>
      </c>
      <c r="B273" t="s">
        <v>783</v>
      </c>
      <c r="C273" t="s">
        <v>670</v>
      </c>
      <c r="D273" t="s">
        <v>836</v>
      </c>
      <c r="E273" t="s">
        <v>236</v>
      </c>
    </row>
    <row r="274" spans="1:5" x14ac:dyDescent="0.2">
      <c r="A274" s="14">
        <v>45874.637280092596</v>
      </c>
      <c r="B274" t="s">
        <v>783</v>
      </c>
      <c r="C274" t="s">
        <v>28</v>
      </c>
      <c r="D274" t="s">
        <v>836</v>
      </c>
      <c r="E274" t="s">
        <v>250</v>
      </c>
    </row>
    <row r="275" spans="1:5" x14ac:dyDescent="0.2">
      <c r="A275" s="14">
        <v>45874.637349536999</v>
      </c>
      <c r="B275" t="s">
        <v>783</v>
      </c>
      <c r="C275" t="s">
        <v>29</v>
      </c>
      <c r="D275" t="s">
        <v>836</v>
      </c>
      <c r="E275" t="s">
        <v>838</v>
      </c>
    </row>
    <row r="276" spans="1:5" x14ac:dyDescent="0.2">
      <c r="A276" s="14">
        <v>45874.637557870403</v>
      </c>
      <c r="B276" t="s">
        <v>783</v>
      </c>
      <c r="C276" t="s">
        <v>29</v>
      </c>
      <c r="D276" t="s">
        <v>839</v>
      </c>
    </row>
    <row r="277" spans="1:5" x14ac:dyDescent="0.2">
      <c r="A277" s="14">
        <v>45874.637557870403</v>
      </c>
      <c r="B277" t="s">
        <v>783</v>
      </c>
      <c r="C277" t="s">
        <v>29</v>
      </c>
      <c r="D277" t="s">
        <v>840</v>
      </c>
      <c r="E277" t="s">
        <v>175</v>
      </c>
    </row>
    <row r="278" spans="1:5" x14ac:dyDescent="0.2">
      <c r="A278" s="14">
        <v>45874.637627314798</v>
      </c>
      <c r="B278" t="s">
        <v>783</v>
      </c>
      <c r="C278" t="s">
        <v>29</v>
      </c>
      <c r="D278" t="s">
        <v>839</v>
      </c>
      <c r="E278" t="s">
        <v>175</v>
      </c>
    </row>
    <row r="279" spans="1:5" x14ac:dyDescent="0.2">
      <c r="A279" s="14">
        <v>45874.637627314798</v>
      </c>
      <c r="B279" t="s">
        <v>783</v>
      </c>
      <c r="C279" t="s">
        <v>29</v>
      </c>
      <c r="D279" t="s">
        <v>840</v>
      </c>
    </row>
    <row r="280" spans="1:5" x14ac:dyDescent="0.2">
      <c r="A280" s="14">
        <v>45874.637638888897</v>
      </c>
      <c r="B280" t="s">
        <v>783</v>
      </c>
      <c r="C280" t="s">
        <v>29</v>
      </c>
      <c r="D280" t="s">
        <v>840</v>
      </c>
    </row>
    <row r="281" spans="1:5" x14ac:dyDescent="0.2">
      <c r="A281" s="14">
        <v>45874.637673611098</v>
      </c>
      <c r="B281" t="s">
        <v>783</v>
      </c>
      <c r="C281" t="s">
        <v>29</v>
      </c>
      <c r="D281" t="s">
        <v>841</v>
      </c>
    </row>
    <row r="282" spans="1:5" x14ac:dyDescent="0.2">
      <c r="A282" s="14">
        <v>45874.638148148202</v>
      </c>
      <c r="B282" t="s">
        <v>783</v>
      </c>
      <c r="C282" t="s">
        <v>29</v>
      </c>
      <c r="D282" t="s">
        <v>842</v>
      </c>
      <c r="E282">
        <v>8</v>
      </c>
    </row>
    <row r="283" spans="1:5" x14ac:dyDescent="0.2">
      <c r="A283" s="14">
        <v>45874.638148148202</v>
      </c>
      <c r="B283" t="s">
        <v>783</v>
      </c>
      <c r="C283" t="s">
        <v>29</v>
      </c>
      <c r="D283" t="s">
        <v>840</v>
      </c>
      <c r="E283" t="s">
        <v>175</v>
      </c>
    </row>
    <row r="284" spans="1:5" x14ac:dyDescent="0.2">
      <c r="A284" s="14">
        <v>45874.638402777797</v>
      </c>
      <c r="B284" t="s">
        <v>783</v>
      </c>
      <c r="C284" t="s">
        <v>29</v>
      </c>
      <c r="D284" t="s">
        <v>759</v>
      </c>
    </row>
    <row r="285" spans="1:5" x14ac:dyDescent="0.2">
      <c r="A285" s="14">
        <v>45874.638437499998</v>
      </c>
      <c r="B285" t="s">
        <v>783</v>
      </c>
      <c r="C285" t="s">
        <v>29</v>
      </c>
      <c r="D285" t="s">
        <v>760</v>
      </c>
    </row>
    <row r="286" spans="1:5" x14ac:dyDescent="0.2">
      <c r="A286" s="14">
        <v>45874.638483796298</v>
      </c>
      <c r="B286" t="s">
        <v>783</v>
      </c>
      <c r="C286" t="s">
        <v>29</v>
      </c>
      <c r="D286" t="s">
        <v>761</v>
      </c>
    </row>
    <row r="287" spans="1:5" x14ac:dyDescent="0.2">
      <c r="A287" s="14">
        <v>45874.638518518499</v>
      </c>
      <c r="B287" t="s">
        <v>783</v>
      </c>
      <c r="C287" t="s">
        <v>29</v>
      </c>
      <c r="D287" t="s">
        <v>762</v>
      </c>
    </row>
    <row r="288" spans="1:5" x14ac:dyDescent="0.2">
      <c r="A288" s="14">
        <v>45874.638564814799</v>
      </c>
      <c r="B288" t="s">
        <v>783</v>
      </c>
      <c r="C288" t="s">
        <v>29</v>
      </c>
      <c r="D288" t="s">
        <v>763</v>
      </c>
    </row>
    <row r="289" spans="1:5" x14ac:dyDescent="0.2">
      <c r="A289" s="14">
        <v>45874.6386921296</v>
      </c>
      <c r="B289" t="s">
        <v>783</v>
      </c>
      <c r="C289" t="s">
        <v>29</v>
      </c>
      <c r="D289" t="s">
        <v>843</v>
      </c>
      <c r="E289" t="s">
        <v>137</v>
      </c>
    </row>
    <row r="290" spans="1:5" x14ac:dyDescent="0.2">
      <c r="A290" s="14">
        <v>45874.6386921296</v>
      </c>
      <c r="B290" t="s">
        <v>783</v>
      </c>
      <c r="C290" t="s">
        <v>29</v>
      </c>
      <c r="D290" t="s">
        <v>844</v>
      </c>
      <c r="E290" t="s">
        <v>845</v>
      </c>
    </row>
    <row r="291" spans="1:5" x14ac:dyDescent="0.2">
      <c r="A291" s="14">
        <v>45874.6477199074</v>
      </c>
      <c r="B291" t="s">
        <v>783</v>
      </c>
      <c r="C291" t="s">
        <v>28</v>
      </c>
      <c r="D291" t="s">
        <v>759</v>
      </c>
    </row>
    <row r="292" spans="1:5" x14ac:dyDescent="0.2">
      <c r="A292" s="14">
        <v>45874.6477662037</v>
      </c>
      <c r="B292" t="s">
        <v>783</v>
      </c>
      <c r="C292" t="s">
        <v>28</v>
      </c>
      <c r="D292" t="s">
        <v>760</v>
      </c>
    </row>
    <row r="293" spans="1:5" x14ac:dyDescent="0.2">
      <c r="A293" s="14">
        <v>45874.647800925901</v>
      </c>
      <c r="B293" t="s">
        <v>783</v>
      </c>
      <c r="C293" t="s">
        <v>28</v>
      </c>
      <c r="D293" t="s">
        <v>761</v>
      </c>
    </row>
    <row r="294" spans="1:5" x14ac:dyDescent="0.2">
      <c r="A294" s="14">
        <v>45874.647847222201</v>
      </c>
      <c r="B294" t="s">
        <v>783</v>
      </c>
      <c r="C294" t="s">
        <v>28</v>
      </c>
      <c r="D294" t="s">
        <v>761</v>
      </c>
    </row>
    <row r="295" spans="1:5" x14ac:dyDescent="0.2">
      <c r="A295" s="14">
        <v>45874.6478935185</v>
      </c>
      <c r="B295" t="s">
        <v>783</v>
      </c>
      <c r="C295" t="s">
        <v>28</v>
      </c>
      <c r="D295" t="s">
        <v>762</v>
      </c>
    </row>
    <row r="296" spans="1:5" x14ac:dyDescent="0.2">
      <c r="A296" s="14">
        <v>45874.6479398148</v>
      </c>
      <c r="B296" t="s">
        <v>783</v>
      </c>
      <c r="C296" t="s">
        <v>28</v>
      </c>
      <c r="D296" t="s">
        <v>763</v>
      </c>
    </row>
    <row r="297" spans="1:5" x14ac:dyDescent="0.2">
      <c r="A297" s="14">
        <v>45874.648067129601</v>
      </c>
      <c r="B297" t="s">
        <v>783</v>
      </c>
      <c r="C297" t="s">
        <v>28</v>
      </c>
      <c r="D297" t="s">
        <v>846</v>
      </c>
    </row>
    <row r="298" spans="1:5" x14ac:dyDescent="0.2">
      <c r="A298" s="14">
        <v>45874.648067129601</v>
      </c>
      <c r="B298" t="s">
        <v>783</v>
      </c>
      <c r="C298" t="s">
        <v>28</v>
      </c>
      <c r="D298" t="s">
        <v>847</v>
      </c>
      <c r="E298" t="s">
        <v>120</v>
      </c>
    </row>
    <row r="299" spans="1:5" x14ac:dyDescent="0.2">
      <c r="A299" s="14">
        <v>45874.648125</v>
      </c>
      <c r="B299" t="s">
        <v>783</v>
      </c>
      <c r="C299" t="s">
        <v>28</v>
      </c>
      <c r="D299" t="s">
        <v>848</v>
      </c>
    </row>
    <row r="300" spans="1:5" x14ac:dyDescent="0.2">
      <c r="A300" s="14">
        <v>45874.658784722204</v>
      </c>
      <c r="B300" t="s">
        <v>783</v>
      </c>
      <c r="C300" t="s">
        <v>637</v>
      </c>
      <c r="D300" t="s">
        <v>849</v>
      </c>
      <c r="E300" t="s">
        <v>850</v>
      </c>
    </row>
    <row r="301" spans="1:5" x14ac:dyDescent="0.2">
      <c r="A301" s="14">
        <v>45874.658819444398</v>
      </c>
      <c r="B301" t="s">
        <v>783</v>
      </c>
      <c r="C301" t="s">
        <v>637</v>
      </c>
      <c r="D301" t="s">
        <v>849</v>
      </c>
      <c r="E301" t="s">
        <v>850</v>
      </c>
    </row>
    <row r="302" spans="1:5" x14ac:dyDescent="0.2">
      <c r="A302" s="14">
        <v>45874.708935185197</v>
      </c>
      <c r="B302" t="s">
        <v>783</v>
      </c>
      <c r="C302" t="s">
        <v>670</v>
      </c>
      <c r="D302" t="s">
        <v>851</v>
      </c>
    </row>
    <row r="303" spans="1:5" x14ac:dyDescent="0.2">
      <c r="A303" s="14">
        <v>45874.7101273148</v>
      </c>
      <c r="B303" t="s">
        <v>783</v>
      </c>
      <c r="C303" t="s">
        <v>670</v>
      </c>
      <c r="D303" t="s">
        <v>852</v>
      </c>
    </row>
    <row r="304" spans="1:5" x14ac:dyDescent="0.2">
      <c r="A304" s="14">
        <v>45874.7103935185</v>
      </c>
      <c r="B304" t="s">
        <v>783</v>
      </c>
      <c r="C304" t="s">
        <v>670</v>
      </c>
      <c r="D304" t="s">
        <v>766</v>
      </c>
    </row>
    <row r="305" spans="1:5" x14ac:dyDescent="0.2">
      <c r="A305" s="14">
        <v>45874.7103935185</v>
      </c>
      <c r="B305" t="s">
        <v>783</v>
      </c>
      <c r="C305" t="s">
        <v>670</v>
      </c>
      <c r="D305" t="s">
        <v>853</v>
      </c>
      <c r="E305" t="s">
        <v>269</v>
      </c>
    </row>
    <row r="306" spans="1:5" x14ac:dyDescent="0.2">
      <c r="A306" s="14">
        <v>45874.710428240702</v>
      </c>
      <c r="B306" t="s">
        <v>783</v>
      </c>
      <c r="C306" t="s">
        <v>670</v>
      </c>
      <c r="D306" t="s">
        <v>854</v>
      </c>
    </row>
    <row r="307" spans="1:5" x14ac:dyDescent="0.2">
      <c r="A307" s="14">
        <v>45874.710555555597</v>
      </c>
      <c r="B307" t="s">
        <v>783</v>
      </c>
      <c r="C307" t="s">
        <v>670</v>
      </c>
      <c r="D307" t="s">
        <v>749</v>
      </c>
    </row>
    <row r="308" spans="1:5" x14ac:dyDescent="0.2">
      <c r="A308" s="14">
        <v>45874.710555555597</v>
      </c>
      <c r="B308" t="s">
        <v>783</v>
      </c>
      <c r="C308" t="s">
        <v>670</v>
      </c>
      <c r="D308" t="s">
        <v>855</v>
      </c>
      <c r="E308" t="s">
        <v>264</v>
      </c>
    </row>
    <row r="309" spans="1:5" x14ac:dyDescent="0.2">
      <c r="A309" s="14">
        <v>45874.710729166698</v>
      </c>
      <c r="B309" t="s">
        <v>783</v>
      </c>
      <c r="C309" t="s">
        <v>670</v>
      </c>
      <c r="D309" t="s">
        <v>855</v>
      </c>
      <c r="E309" t="s">
        <v>267</v>
      </c>
    </row>
    <row r="310" spans="1:5" x14ac:dyDescent="0.2">
      <c r="A310" s="14">
        <v>45874.710729166698</v>
      </c>
      <c r="B310" t="s">
        <v>783</v>
      </c>
      <c r="C310" t="s">
        <v>670</v>
      </c>
      <c r="D310" t="s">
        <v>749</v>
      </c>
      <c r="E310" t="s">
        <v>264</v>
      </c>
    </row>
    <row r="311" spans="1:5" x14ac:dyDescent="0.2">
      <c r="A311" s="14">
        <v>45874.710821759298</v>
      </c>
      <c r="B311" t="s">
        <v>783</v>
      </c>
      <c r="C311" t="s">
        <v>670</v>
      </c>
      <c r="D311" t="s">
        <v>856</v>
      </c>
      <c r="E311">
        <v>1</v>
      </c>
    </row>
    <row r="312" spans="1:5" x14ac:dyDescent="0.2">
      <c r="A312" s="14">
        <v>45874.710821759298</v>
      </c>
      <c r="B312" t="s">
        <v>783</v>
      </c>
      <c r="C312" t="s">
        <v>670</v>
      </c>
      <c r="D312" t="s">
        <v>857</v>
      </c>
      <c r="E312" t="s">
        <v>175</v>
      </c>
    </row>
    <row r="313" spans="1:5" x14ac:dyDescent="0.2">
      <c r="A313" s="14">
        <v>45874.7114814815</v>
      </c>
      <c r="B313" t="s">
        <v>783</v>
      </c>
      <c r="C313" t="s">
        <v>670</v>
      </c>
      <c r="D313" t="s">
        <v>857</v>
      </c>
    </row>
    <row r="314" spans="1:5" x14ac:dyDescent="0.2">
      <c r="A314" s="14">
        <v>45874.7114814815</v>
      </c>
      <c r="B314" t="s">
        <v>783</v>
      </c>
      <c r="C314" t="s">
        <v>670</v>
      </c>
      <c r="D314" t="s">
        <v>856</v>
      </c>
      <c r="E314" t="s">
        <v>175</v>
      </c>
    </row>
    <row r="315" spans="1:5" x14ac:dyDescent="0.2">
      <c r="A315" s="14">
        <v>45874.712430555599</v>
      </c>
      <c r="B315" t="s">
        <v>783</v>
      </c>
      <c r="C315" t="s">
        <v>670</v>
      </c>
      <c r="D315" t="s">
        <v>858</v>
      </c>
      <c r="E315" t="s">
        <v>246</v>
      </c>
    </row>
    <row r="316" spans="1:5" x14ac:dyDescent="0.2">
      <c r="A316" s="14">
        <v>45874.712569444397</v>
      </c>
      <c r="B316" t="s">
        <v>783</v>
      </c>
      <c r="C316" t="s">
        <v>670</v>
      </c>
      <c r="D316" t="s">
        <v>859</v>
      </c>
      <c r="E316" t="s">
        <v>115</v>
      </c>
    </row>
    <row r="317" spans="1:5" x14ac:dyDescent="0.2">
      <c r="A317" s="14">
        <v>45874.713032407402</v>
      </c>
      <c r="B317" t="s">
        <v>783</v>
      </c>
      <c r="C317" t="s">
        <v>670</v>
      </c>
      <c r="D317" t="s">
        <v>860</v>
      </c>
    </row>
    <row r="318" spans="1:5" x14ac:dyDescent="0.2">
      <c r="A318" s="14">
        <v>45874.713032407402</v>
      </c>
      <c r="B318" t="s">
        <v>783</v>
      </c>
      <c r="C318" t="s">
        <v>670</v>
      </c>
      <c r="D318" t="s">
        <v>861</v>
      </c>
      <c r="E318" t="s">
        <v>104</v>
      </c>
    </row>
    <row r="319" spans="1:5" x14ac:dyDescent="0.2">
      <c r="A319" s="14">
        <v>45874.713101851798</v>
      </c>
      <c r="B319" t="s">
        <v>783</v>
      </c>
      <c r="C319" t="s">
        <v>670</v>
      </c>
      <c r="D319" t="s">
        <v>788</v>
      </c>
      <c r="E319" t="s">
        <v>181</v>
      </c>
    </row>
    <row r="320" spans="1:5" x14ac:dyDescent="0.2">
      <c r="A320" s="14">
        <v>45874.713101851798</v>
      </c>
      <c r="B320" t="s">
        <v>783</v>
      </c>
      <c r="C320" t="s">
        <v>670</v>
      </c>
      <c r="D320" t="s">
        <v>862</v>
      </c>
      <c r="E320" t="s">
        <v>39</v>
      </c>
    </row>
    <row r="321" spans="1:5" x14ac:dyDescent="0.2">
      <c r="A321" s="14">
        <v>45874.713356481501</v>
      </c>
      <c r="B321" t="s">
        <v>783</v>
      </c>
      <c r="C321" t="s">
        <v>670</v>
      </c>
      <c r="D321" t="s">
        <v>863</v>
      </c>
      <c r="E321" t="s">
        <v>175</v>
      </c>
    </row>
    <row r="322" spans="1:5" x14ac:dyDescent="0.2">
      <c r="A322" s="14">
        <v>45874.713460648098</v>
      </c>
      <c r="B322" t="s">
        <v>783</v>
      </c>
      <c r="C322" t="s">
        <v>670</v>
      </c>
      <c r="D322" t="s">
        <v>864</v>
      </c>
      <c r="E322" t="s">
        <v>346</v>
      </c>
    </row>
    <row r="323" spans="1:5" x14ac:dyDescent="0.2">
      <c r="A323" s="14">
        <v>45874.713541666701</v>
      </c>
      <c r="B323" t="s">
        <v>783</v>
      </c>
      <c r="C323" t="s">
        <v>670</v>
      </c>
      <c r="D323" t="s">
        <v>865</v>
      </c>
      <c r="E323">
        <v>15</v>
      </c>
    </row>
    <row r="324" spans="1:5" x14ac:dyDescent="0.2">
      <c r="A324" s="14">
        <v>45874.713587963</v>
      </c>
      <c r="B324" t="s">
        <v>783</v>
      </c>
      <c r="C324" t="s">
        <v>670</v>
      </c>
      <c r="D324" t="s">
        <v>866</v>
      </c>
    </row>
    <row r="325" spans="1:5" x14ac:dyDescent="0.2">
      <c r="A325" s="14">
        <v>45874.713657407403</v>
      </c>
      <c r="B325" t="s">
        <v>783</v>
      </c>
      <c r="C325" t="s">
        <v>670</v>
      </c>
      <c r="D325" t="s">
        <v>867</v>
      </c>
    </row>
    <row r="326" spans="1:5" x14ac:dyDescent="0.2">
      <c r="A326" s="14">
        <v>45874.713900463001</v>
      </c>
      <c r="B326" t="s">
        <v>783</v>
      </c>
      <c r="C326" t="s">
        <v>670</v>
      </c>
      <c r="D326" t="s">
        <v>780</v>
      </c>
      <c r="E326" t="s">
        <v>184</v>
      </c>
    </row>
    <row r="327" spans="1:5" x14ac:dyDescent="0.2">
      <c r="A327" s="14">
        <v>45874.714988425898</v>
      </c>
      <c r="B327" t="s">
        <v>783</v>
      </c>
      <c r="C327" t="s">
        <v>28</v>
      </c>
      <c r="D327" t="s">
        <v>868</v>
      </c>
    </row>
    <row r="328" spans="1:5" x14ac:dyDescent="0.2">
      <c r="A328" s="14">
        <v>45874.715069444399</v>
      </c>
      <c r="B328" t="s">
        <v>783</v>
      </c>
      <c r="C328" t="s">
        <v>28</v>
      </c>
      <c r="D328" t="s">
        <v>869</v>
      </c>
      <c r="E328" t="s">
        <v>120</v>
      </c>
    </row>
    <row r="329" spans="1:5" x14ac:dyDescent="0.2">
      <c r="A329" s="14">
        <v>45874.715069444399</v>
      </c>
      <c r="B329" t="s">
        <v>783</v>
      </c>
      <c r="C329" t="s">
        <v>28</v>
      </c>
      <c r="D329" t="s">
        <v>767</v>
      </c>
      <c r="E329" t="s">
        <v>257</v>
      </c>
    </row>
    <row r="330" spans="1:5" x14ac:dyDescent="0.2">
      <c r="A330" s="14">
        <v>45874.715162036999</v>
      </c>
      <c r="B330" t="s">
        <v>783</v>
      </c>
      <c r="C330" t="s">
        <v>28</v>
      </c>
      <c r="D330" t="s">
        <v>827</v>
      </c>
      <c r="E330" t="s">
        <v>181</v>
      </c>
    </row>
    <row r="331" spans="1:5" x14ac:dyDescent="0.2">
      <c r="A331" s="14">
        <v>45874.715162036999</v>
      </c>
      <c r="B331" t="s">
        <v>783</v>
      </c>
      <c r="C331" t="s">
        <v>28</v>
      </c>
      <c r="D331" t="s">
        <v>788</v>
      </c>
      <c r="E331" t="s">
        <v>39</v>
      </c>
    </row>
    <row r="332" spans="1:5" x14ac:dyDescent="0.2">
      <c r="A332" s="14">
        <v>45874.716643518499</v>
      </c>
      <c r="B332" t="s">
        <v>783</v>
      </c>
      <c r="C332" t="s">
        <v>28</v>
      </c>
      <c r="D332" t="s">
        <v>870</v>
      </c>
      <c r="E332" t="s">
        <v>175</v>
      </c>
    </row>
    <row r="333" spans="1:5" x14ac:dyDescent="0.2">
      <c r="A333" s="14">
        <v>45874.716712963003</v>
      </c>
      <c r="B333" t="s">
        <v>783</v>
      </c>
      <c r="C333" t="s">
        <v>28</v>
      </c>
      <c r="D333" t="s">
        <v>871</v>
      </c>
      <c r="E333" t="s">
        <v>175</v>
      </c>
    </row>
    <row r="334" spans="1:5" x14ac:dyDescent="0.2">
      <c r="A334" s="14">
        <v>45874.718321759297</v>
      </c>
      <c r="B334" t="s">
        <v>783</v>
      </c>
      <c r="C334" t="s">
        <v>28</v>
      </c>
      <c r="D334" t="s">
        <v>872</v>
      </c>
      <c r="E334" t="s">
        <v>350</v>
      </c>
    </row>
    <row r="335" spans="1:5" x14ac:dyDescent="0.2">
      <c r="A335" s="14">
        <v>45874.718356481499</v>
      </c>
      <c r="B335" t="s">
        <v>783</v>
      </c>
      <c r="C335" t="s">
        <v>28</v>
      </c>
      <c r="D335" t="s">
        <v>872</v>
      </c>
    </row>
    <row r="336" spans="1:5" x14ac:dyDescent="0.2">
      <c r="A336" s="14">
        <v>45874.718622685199</v>
      </c>
      <c r="B336" t="s">
        <v>783</v>
      </c>
      <c r="C336" t="s">
        <v>28</v>
      </c>
      <c r="D336" t="s">
        <v>832</v>
      </c>
      <c r="E336" t="s">
        <v>184</v>
      </c>
    </row>
    <row r="337" spans="1:5" x14ac:dyDescent="0.2">
      <c r="A337" s="14">
        <v>45874.7188888889</v>
      </c>
      <c r="B337" t="s">
        <v>783</v>
      </c>
      <c r="C337" t="s">
        <v>29</v>
      </c>
      <c r="D337" t="s">
        <v>873</v>
      </c>
      <c r="E337" t="s">
        <v>175</v>
      </c>
    </row>
    <row r="338" spans="1:5" x14ac:dyDescent="0.2">
      <c r="A338" s="14">
        <v>45874.718981481499</v>
      </c>
      <c r="B338" t="s">
        <v>783</v>
      </c>
      <c r="C338" t="s">
        <v>29</v>
      </c>
      <c r="D338" t="s">
        <v>832</v>
      </c>
      <c r="E338" t="s">
        <v>184</v>
      </c>
    </row>
    <row r="339" spans="1:5" x14ac:dyDescent="0.2">
      <c r="A339" s="14">
        <v>45874.7335648148</v>
      </c>
      <c r="B339" t="s">
        <v>783</v>
      </c>
      <c r="C339" t="s">
        <v>29</v>
      </c>
      <c r="D339" t="s">
        <v>874</v>
      </c>
    </row>
    <row r="340" spans="1:5" x14ac:dyDescent="0.2">
      <c r="A340" s="14">
        <v>45874.7344212963</v>
      </c>
      <c r="B340" t="s">
        <v>783</v>
      </c>
      <c r="C340" t="s">
        <v>29</v>
      </c>
      <c r="D340" t="s">
        <v>875</v>
      </c>
    </row>
    <row r="341" spans="1:5" x14ac:dyDescent="0.2">
      <c r="A341" s="14">
        <v>45874.734594907401</v>
      </c>
      <c r="B341" t="s">
        <v>783</v>
      </c>
      <c r="C341" t="s">
        <v>29</v>
      </c>
      <c r="D341" t="s">
        <v>875</v>
      </c>
    </row>
    <row r="342" spans="1:5" x14ac:dyDescent="0.2">
      <c r="A342" s="14">
        <v>45874.736273148097</v>
      </c>
      <c r="B342" t="s">
        <v>783</v>
      </c>
      <c r="C342" t="s">
        <v>29</v>
      </c>
      <c r="D342" t="s">
        <v>876</v>
      </c>
    </row>
    <row r="343" spans="1:5" x14ac:dyDescent="0.2">
      <c r="A343" s="14">
        <v>45874.737025463</v>
      </c>
      <c r="B343" t="s">
        <v>783</v>
      </c>
      <c r="C343" t="s">
        <v>29</v>
      </c>
      <c r="D343" t="s">
        <v>877</v>
      </c>
    </row>
    <row r="344" spans="1:5" x14ac:dyDescent="0.2">
      <c r="A344" s="14">
        <v>45874.737199074101</v>
      </c>
      <c r="B344" t="s">
        <v>783</v>
      </c>
      <c r="C344" t="s">
        <v>29</v>
      </c>
      <c r="D344" t="s">
        <v>878</v>
      </c>
    </row>
    <row r="345" spans="1:5" x14ac:dyDescent="0.2">
      <c r="A345" s="14">
        <v>45874.755092592597</v>
      </c>
      <c r="B345" t="s">
        <v>783</v>
      </c>
      <c r="C345" t="s">
        <v>29</v>
      </c>
      <c r="D345" t="s">
        <v>879</v>
      </c>
      <c r="E345" t="s">
        <v>46</v>
      </c>
    </row>
    <row r="346" spans="1:5" x14ac:dyDescent="0.2">
      <c r="A346" s="14">
        <v>45874.755231481497</v>
      </c>
      <c r="B346" t="s">
        <v>783</v>
      </c>
      <c r="C346" t="s">
        <v>29</v>
      </c>
      <c r="D346" t="s">
        <v>880</v>
      </c>
    </row>
    <row r="347" spans="1:5" x14ac:dyDescent="0.2">
      <c r="A347" s="14">
        <v>45874.755243055602</v>
      </c>
      <c r="B347" t="s">
        <v>783</v>
      </c>
      <c r="C347" t="s">
        <v>29</v>
      </c>
      <c r="D347" t="s">
        <v>880</v>
      </c>
    </row>
    <row r="348" spans="1:5" x14ac:dyDescent="0.2">
      <c r="A348" s="14">
        <v>45874.755266203698</v>
      </c>
      <c r="B348" t="s">
        <v>783</v>
      </c>
      <c r="C348" t="s">
        <v>29</v>
      </c>
      <c r="D348" t="s">
        <v>851</v>
      </c>
    </row>
    <row r="349" spans="1:5" x14ac:dyDescent="0.2">
      <c r="A349" s="14">
        <v>45874.755300925899</v>
      </c>
      <c r="B349" t="s">
        <v>783</v>
      </c>
      <c r="C349" t="s">
        <v>29</v>
      </c>
      <c r="D349" t="s">
        <v>881</v>
      </c>
    </row>
    <row r="350" spans="1:5" x14ac:dyDescent="0.2">
      <c r="A350" s="14">
        <v>45874.757013888899</v>
      </c>
      <c r="B350" t="s">
        <v>783</v>
      </c>
      <c r="C350" t="s">
        <v>660</v>
      </c>
      <c r="D350" t="s">
        <v>882</v>
      </c>
      <c r="E350" t="s">
        <v>192</v>
      </c>
    </row>
    <row r="351" spans="1:5" x14ac:dyDescent="0.2">
      <c r="A351" s="14">
        <v>45874.757037037001</v>
      </c>
      <c r="B351" t="s">
        <v>783</v>
      </c>
      <c r="C351" t="s">
        <v>660</v>
      </c>
      <c r="D351" t="s">
        <v>883</v>
      </c>
      <c r="E351" t="s">
        <v>192</v>
      </c>
    </row>
    <row r="352" spans="1:5" x14ac:dyDescent="0.2">
      <c r="A352" s="14">
        <v>45874.757118055597</v>
      </c>
      <c r="B352" t="s">
        <v>783</v>
      </c>
      <c r="C352" t="s">
        <v>660</v>
      </c>
      <c r="D352" t="s">
        <v>884</v>
      </c>
      <c r="E352" t="s">
        <v>885</v>
      </c>
    </row>
    <row r="353" spans="1:5" x14ac:dyDescent="0.2">
      <c r="A353" s="14">
        <v>45874.757175925901</v>
      </c>
      <c r="B353" t="s">
        <v>783</v>
      </c>
      <c r="C353" t="s">
        <v>660</v>
      </c>
      <c r="D353" t="s">
        <v>886</v>
      </c>
      <c r="E353" t="s">
        <v>189</v>
      </c>
    </row>
    <row r="354" spans="1:5" ht="32" x14ac:dyDescent="0.2">
      <c r="A354" s="14">
        <v>45874.757233796299</v>
      </c>
      <c r="B354" t="s">
        <v>783</v>
      </c>
      <c r="C354" t="s">
        <v>660</v>
      </c>
      <c r="D354" t="s">
        <v>887</v>
      </c>
      <c r="E354" s="2" t="s">
        <v>888</v>
      </c>
    </row>
    <row r="355" spans="1:5" x14ac:dyDescent="0.2">
      <c r="A355" s="14">
        <v>45874.757303240702</v>
      </c>
      <c r="B355" t="s">
        <v>783</v>
      </c>
      <c r="C355" t="s">
        <v>660</v>
      </c>
      <c r="D355" t="s">
        <v>887</v>
      </c>
      <c r="E355" t="s">
        <v>889</v>
      </c>
    </row>
    <row r="356" spans="1:5" x14ac:dyDescent="0.2">
      <c r="A356" s="14">
        <v>45874.757349537002</v>
      </c>
      <c r="B356" t="s">
        <v>783</v>
      </c>
      <c r="C356" t="s">
        <v>660</v>
      </c>
      <c r="D356" t="s">
        <v>887</v>
      </c>
      <c r="E356" t="s">
        <v>890</v>
      </c>
    </row>
    <row r="357" spans="1:5" x14ac:dyDescent="0.2">
      <c r="A357" s="14">
        <v>45874.7575</v>
      </c>
      <c r="B357" t="s">
        <v>783</v>
      </c>
      <c r="C357" t="s">
        <v>660</v>
      </c>
      <c r="D357" t="s">
        <v>891</v>
      </c>
      <c r="E357" t="s">
        <v>890</v>
      </c>
    </row>
    <row r="358" spans="1:5" x14ac:dyDescent="0.2">
      <c r="A358" s="14">
        <v>45874.757511574098</v>
      </c>
      <c r="B358" t="s">
        <v>783</v>
      </c>
      <c r="C358" t="s">
        <v>660</v>
      </c>
      <c r="D358" t="s">
        <v>891</v>
      </c>
      <c r="E358" t="s">
        <v>255</v>
      </c>
    </row>
    <row r="359" spans="1:5" x14ac:dyDescent="0.2">
      <c r="A359" s="14">
        <v>45874.758831018502</v>
      </c>
      <c r="B359" t="s">
        <v>783</v>
      </c>
      <c r="C359" t="s">
        <v>8</v>
      </c>
      <c r="D359" t="s">
        <v>753</v>
      </c>
      <c r="E359" t="s">
        <v>72</v>
      </c>
    </row>
    <row r="360" spans="1:5" x14ac:dyDescent="0.2">
      <c r="A360" s="14">
        <v>45874.758923611102</v>
      </c>
      <c r="B360" t="s">
        <v>783</v>
      </c>
      <c r="C360" t="s">
        <v>637</v>
      </c>
      <c r="D360" t="s">
        <v>646</v>
      </c>
      <c r="E360" t="s">
        <v>72</v>
      </c>
    </row>
    <row r="361" spans="1:5" ht="224" x14ac:dyDescent="0.2">
      <c r="A361" s="14">
        <v>45874.767754629604</v>
      </c>
      <c r="B361" t="s">
        <v>783</v>
      </c>
      <c r="C361" t="s">
        <v>637</v>
      </c>
      <c r="D361" t="s">
        <v>892</v>
      </c>
      <c r="E361" s="2" t="s">
        <v>893</v>
      </c>
    </row>
    <row r="362" spans="1:5" ht="224" x14ac:dyDescent="0.2">
      <c r="A362" s="14">
        <v>45874.767789351798</v>
      </c>
      <c r="B362" t="s">
        <v>783</v>
      </c>
      <c r="C362" t="s">
        <v>637</v>
      </c>
      <c r="D362" t="s">
        <v>892</v>
      </c>
      <c r="E362" s="2" t="s">
        <v>893</v>
      </c>
    </row>
    <row r="363" spans="1:5" ht="224" x14ac:dyDescent="0.2">
      <c r="A363" s="14">
        <v>45874.768043981501</v>
      </c>
      <c r="B363" t="s">
        <v>783</v>
      </c>
      <c r="C363" t="s">
        <v>637</v>
      </c>
      <c r="D363" t="s">
        <v>892</v>
      </c>
      <c r="E363" s="2" t="s">
        <v>893</v>
      </c>
    </row>
    <row r="364" spans="1:5" x14ac:dyDescent="0.2">
      <c r="A364" s="14">
        <v>45874.768611111103</v>
      </c>
      <c r="B364" t="s">
        <v>783</v>
      </c>
      <c r="C364" t="s">
        <v>637</v>
      </c>
      <c r="D364" t="s">
        <v>892</v>
      </c>
      <c r="E364" t="s">
        <v>894</v>
      </c>
    </row>
    <row r="365" spans="1:5" ht="224" x14ac:dyDescent="0.2">
      <c r="A365" s="14">
        <v>45874.7686805556</v>
      </c>
      <c r="B365" t="s">
        <v>783</v>
      </c>
      <c r="C365" t="s">
        <v>637</v>
      </c>
      <c r="D365" t="s">
        <v>895</v>
      </c>
      <c r="E365" s="2" t="s">
        <v>894</v>
      </c>
    </row>
    <row r="366" spans="1:5" x14ac:dyDescent="0.2">
      <c r="A366" s="14">
        <v>45874.7727199074</v>
      </c>
      <c r="B366" t="s">
        <v>783</v>
      </c>
      <c r="C366" t="s">
        <v>660</v>
      </c>
      <c r="D366" t="s">
        <v>896</v>
      </c>
      <c r="E366" t="s">
        <v>139</v>
      </c>
    </row>
    <row r="367" spans="1:5" x14ac:dyDescent="0.2">
      <c r="A367" s="14">
        <v>45874.772743055597</v>
      </c>
      <c r="B367" t="s">
        <v>783</v>
      </c>
      <c r="C367" t="s">
        <v>660</v>
      </c>
      <c r="D367" t="s">
        <v>896</v>
      </c>
      <c r="E367" t="s">
        <v>357</v>
      </c>
    </row>
    <row r="368" spans="1:5" x14ac:dyDescent="0.2">
      <c r="A368" s="14">
        <v>45874.772847222201</v>
      </c>
      <c r="B368" t="s">
        <v>783</v>
      </c>
      <c r="C368" t="s">
        <v>660</v>
      </c>
      <c r="D368" t="s">
        <v>896</v>
      </c>
      <c r="E368" t="s">
        <v>139</v>
      </c>
    </row>
    <row r="369" spans="1:5" x14ac:dyDescent="0.2">
      <c r="A369" s="14">
        <v>45874.772881944402</v>
      </c>
      <c r="B369" t="s">
        <v>783</v>
      </c>
      <c r="C369" t="s">
        <v>660</v>
      </c>
      <c r="D369" t="s">
        <v>896</v>
      </c>
      <c r="E369" t="s">
        <v>357</v>
      </c>
    </row>
    <row r="370" spans="1:5" x14ac:dyDescent="0.2">
      <c r="A370" s="14">
        <v>45874.772951388899</v>
      </c>
      <c r="B370" t="s">
        <v>783</v>
      </c>
      <c r="C370" t="s">
        <v>660</v>
      </c>
      <c r="D370" t="s">
        <v>896</v>
      </c>
      <c r="E370" t="s">
        <v>139</v>
      </c>
    </row>
    <row r="371" spans="1:5" x14ac:dyDescent="0.2">
      <c r="A371" s="14">
        <v>45874.773287037002</v>
      </c>
      <c r="B371" t="s">
        <v>783</v>
      </c>
      <c r="C371" t="s">
        <v>660</v>
      </c>
      <c r="D371" t="s">
        <v>897</v>
      </c>
      <c r="E371" t="s">
        <v>139</v>
      </c>
    </row>
    <row r="372" spans="1:5" x14ac:dyDescent="0.2">
      <c r="A372" s="14">
        <v>45874.7746990741</v>
      </c>
      <c r="B372" t="s">
        <v>783</v>
      </c>
      <c r="C372" t="s">
        <v>660</v>
      </c>
      <c r="D372" t="s">
        <v>898</v>
      </c>
      <c r="E372" t="s">
        <v>255</v>
      </c>
    </row>
    <row r="373" spans="1:5" x14ac:dyDescent="0.2">
      <c r="A373" s="14">
        <v>45874.774803240703</v>
      </c>
      <c r="B373" t="s">
        <v>783</v>
      </c>
      <c r="C373" t="s">
        <v>660</v>
      </c>
      <c r="D373" t="s">
        <v>899</v>
      </c>
      <c r="E373" t="s">
        <v>255</v>
      </c>
    </row>
    <row r="374" spans="1:5" x14ac:dyDescent="0.2">
      <c r="A374" s="14">
        <v>45874.775972222204</v>
      </c>
      <c r="B374" t="s">
        <v>783</v>
      </c>
      <c r="C374" t="s">
        <v>29</v>
      </c>
      <c r="D374" t="s">
        <v>900</v>
      </c>
      <c r="E374" t="s">
        <v>255</v>
      </c>
    </row>
    <row r="375" spans="1:5" ht="96" x14ac:dyDescent="0.2">
      <c r="A375" s="14">
        <v>45874.778043981503</v>
      </c>
      <c r="B375" t="s">
        <v>783</v>
      </c>
      <c r="C375" t="s">
        <v>637</v>
      </c>
      <c r="D375" t="s">
        <v>901</v>
      </c>
      <c r="E375" s="2" t="s">
        <v>902</v>
      </c>
    </row>
    <row r="376" spans="1:5" ht="96" x14ac:dyDescent="0.2">
      <c r="A376" s="14">
        <v>45874.778472222199</v>
      </c>
      <c r="B376" t="s">
        <v>783</v>
      </c>
      <c r="C376" t="s">
        <v>637</v>
      </c>
      <c r="D376" t="s">
        <v>901</v>
      </c>
      <c r="E376" s="2" t="s">
        <v>903</v>
      </c>
    </row>
    <row r="377" spans="1:5" ht="80" x14ac:dyDescent="0.2">
      <c r="A377" s="14">
        <v>45874.778634259303</v>
      </c>
      <c r="B377" t="s">
        <v>783</v>
      </c>
      <c r="C377" t="s">
        <v>637</v>
      </c>
      <c r="D377" t="s">
        <v>901</v>
      </c>
      <c r="E377" s="2" t="s">
        <v>904</v>
      </c>
    </row>
    <row r="378" spans="1:5" x14ac:dyDescent="0.2">
      <c r="A378" s="14">
        <v>45874.778993055603</v>
      </c>
      <c r="B378" t="s">
        <v>783</v>
      </c>
      <c r="C378" t="s">
        <v>660</v>
      </c>
      <c r="D378" t="s">
        <v>905</v>
      </c>
      <c r="E378" t="s">
        <v>906</v>
      </c>
    </row>
    <row r="379" spans="1:5" x14ac:dyDescent="0.2">
      <c r="A379" s="14">
        <v>45874.7790046296</v>
      </c>
      <c r="B379" t="s">
        <v>783</v>
      </c>
      <c r="C379" t="s">
        <v>660</v>
      </c>
      <c r="D379" t="s">
        <v>907</v>
      </c>
    </row>
    <row r="380" spans="1:5" x14ac:dyDescent="0.2">
      <c r="A380" s="14">
        <v>45874.779328703698</v>
      </c>
      <c r="B380" t="s">
        <v>783</v>
      </c>
      <c r="C380" t="s">
        <v>660</v>
      </c>
      <c r="D380" t="s">
        <v>905</v>
      </c>
      <c r="E380" t="s">
        <v>255</v>
      </c>
    </row>
    <row r="381" spans="1:5" x14ac:dyDescent="0.2">
      <c r="A381" s="14">
        <v>45874.779340277797</v>
      </c>
      <c r="B381" t="s">
        <v>783</v>
      </c>
      <c r="C381" t="s">
        <v>660</v>
      </c>
      <c r="D381" t="s">
        <v>908</v>
      </c>
      <c r="E381" t="s">
        <v>255</v>
      </c>
    </row>
    <row r="382" spans="1:5" x14ac:dyDescent="0.2">
      <c r="A382" s="14">
        <v>45874.7824189815</v>
      </c>
      <c r="B382" t="s">
        <v>783</v>
      </c>
      <c r="C382" t="s">
        <v>29</v>
      </c>
      <c r="D382" t="s">
        <v>909</v>
      </c>
    </row>
    <row r="383" spans="1:5" x14ac:dyDescent="0.2">
      <c r="A383" s="14">
        <v>45874.7824189815</v>
      </c>
      <c r="B383" t="s">
        <v>783</v>
      </c>
      <c r="C383" t="s">
        <v>29</v>
      </c>
      <c r="D383" t="s">
        <v>910</v>
      </c>
      <c r="E383" t="s">
        <v>183</v>
      </c>
    </row>
    <row r="384" spans="1:5" x14ac:dyDescent="0.2">
      <c r="A384" s="14">
        <v>45874.782881944397</v>
      </c>
      <c r="B384" t="s">
        <v>783</v>
      </c>
      <c r="C384" t="s">
        <v>17</v>
      </c>
      <c r="D384" t="s">
        <v>911</v>
      </c>
    </row>
    <row r="385" spans="1:5" x14ac:dyDescent="0.2">
      <c r="A385" s="14">
        <v>45874.782939814802</v>
      </c>
      <c r="B385" t="s">
        <v>783</v>
      </c>
      <c r="C385" t="s">
        <v>17</v>
      </c>
      <c r="D385" t="s">
        <v>911</v>
      </c>
      <c r="E385" t="s">
        <v>912</v>
      </c>
    </row>
    <row r="386" spans="1:5" x14ac:dyDescent="0.2">
      <c r="A386" s="14">
        <v>45874.783101851899</v>
      </c>
      <c r="B386" t="s">
        <v>783</v>
      </c>
      <c r="C386" t="s">
        <v>17</v>
      </c>
      <c r="D386" t="s">
        <v>911</v>
      </c>
      <c r="E386" t="s">
        <v>221</v>
      </c>
    </row>
    <row r="387" spans="1:5" x14ac:dyDescent="0.2">
      <c r="A387" s="14">
        <v>45874.783576388902</v>
      </c>
      <c r="B387" t="s">
        <v>783</v>
      </c>
      <c r="C387" t="s">
        <v>670</v>
      </c>
      <c r="D387" t="s">
        <v>836</v>
      </c>
      <c r="E387" t="s">
        <v>243</v>
      </c>
    </row>
    <row r="388" spans="1:5" x14ac:dyDescent="0.2">
      <c r="A388" s="14">
        <v>45874.786458333299</v>
      </c>
      <c r="B388" t="s">
        <v>783</v>
      </c>
      <c r="C388" t="s">
        <v>637</v>
      </c>
      <c r="D388" t="s">
        <v>913</v>
      </c>
      <c r="E388" t="s">
        <v>914</v>
      </c>
    </row>
    <row r="389" spans="1:5" x14ac:dyDescent="0.2">
      <c r="A389" s="14">
        <v>45874.787662037001</v>
      </c>
      <c r="B389" t="s">
        <v>783</v>
      </c>
      <c r="C389" t="s">
        <v>637</v>
      </c>
      <c r="D389" t="s">
        <v>913</v>
      </c>
      <c r="E389" t="s">
        <v>915</v>
      </c>
    </row>
    <row r="390" spans="1:5" x14ac:dyDescent="0.2">
      <c r="A390" s="14">
        <v>45874.788854166698</v>
      </c>
      <c r="B390" t="s">
        <v>783</v>
      </c>
      <c r="C390" t="s">
        <v>637</v>
      </c>
      <c r="D390" t="s">
        <v>913</v>
      </c>
      <c r="E390" t="s">
        <v>916</v>
      </c>
    </row>
    <row r="391" spans="1:5" x14ac:dyDescent="0.2">
      <c r="A391" s="14">
        <v>45874.789224537002</v>
      </c>
      <c r="B391" t="s">
        <v>783</v>
      </c>
      <c r="C391" t="s">
        <v>637</v>
      </c>
      <c r="D391" t="s">
        <v>913</v>
      </c>
      <c r="E391" t="s">
        <v>917</v>
      </c>
    </row>
    <row r="392" spans="1:5" x14ac:dyDescent="0.2">
      <c r="A392" s="14">
        <v>45874.789571759298</v>
      </c>
      <c r="B392" t="s">
        <v>783</v>
      </c>
      <c r="C392" t="s">
        <v>637</v>
      </c>
      <c r="D392" t="s">
        <v>913</v>
      </c>
      <c r="E392" t="s">
        <v>918</v>
      </c>
    </row>
    <row r="393" spans="1:5" x14ac:dyDescent="0.2">
      <c r="A393" s="14">
        <v>45874.790034722202</v>
      </c>
      <c r="B393" t="s">
        <v>783</v>
      </c>
      <c r="C393" t="s">
        <v>637</v>
      </c>
      <c r="D393" t="s">
        <v>919</v>
      </c>
      <c r="E393" t="s">
        <v>27</v>
      </c>
    </row>
    <row r="394" spans="1:5" x14ac:dyDescent="0.2">
      <c r="A394" s="14">
        <v>45874.790532407402</v>
      </c>
      <c r="B394" t="s">
        <v>783</v>
      </c>
      <c r="C394" t="s">
        <v>2</v>
      </c>
      <c r="D394" t="s">
        <v>920</v>
      </c>
    </row>
    <row r="395" spans="1:5" x14ac:dyDescent="0.2">
      <c r="A395" s="14">
        <v>45874.790706018503</v>
      </c>
      <c r="B395" t="s">
        <v>783</v>
      </c>
      <c r="C395" t="s">
        <v>2</v>
      </c>
      <c r="D395" t="s">
        <v>802</v>
      </c>
    </row>
    <row r="396" spans="1:5" x14ac:dyDescent="0.2">
      <c r="A396" s="14">
        <v>45874.790775463</v>
      </c>
      <c r="B396" t="s">
        <v>783</v>
      </c>
      <c r="C396" t="s">
        <v>2</v>
      </c>
      <c r="D396" t="s">
        <v>921</v>
      </c>
    </row>
    <row r="397" spans="1:5" x14ac:dyDescent="0.2">
      <c r="A397" s="14">
        <v>45874.790914351899</v>
      </c>
      <c r="B397" t="s">
        <v>783</v>
      </c>
      <c r="C397" t="s">
        <v>2</v>
      </c>
      <c r="D397" t="s">
        <v>922</v>
      </c>
    </row>
    <row r="398" spans="1:5" x14ac:dyDescent="0.2">
      <c r="A398" s="14">
        <v>45874.790914351899</v>
      </c>
      <c r="B398" t="s">
        <v>783</v>
      </c>
      <c r="C398" t="s">
        <v>2</v>
      </c>
      <c r="D398" t="s">
        <v>923</v>
      </c>
      <c r="E398" t="s">
        <v>18</v>
      </c>
    </row>
    <row r="399" spans="1:5" x14ac:dyDescent="0.2">
      <c r="A399" s="14">
        <v>45874.790937500002</v>
      </c>
      <c r="B399" t="s">
        <v>783</v>
      </c>
      <c r="C399" t="s">
        <v>2</v>
      </c>
      <c r="D399" t="s">
        <v>922</v>
      </c>
      <c r="E399" t="s">
        <v>18</v>
      </c>
    </row>
    <row r="400" spans="1:5" x14ac:dyDescent="0.2">
      <c r="A400" s="14">
        <v>45874.790937500002</v>
      </c>
      <c r="B400" t="s">
        <v>783</v>
      </c>
      <c r="C400" t="s">
        <v>2</v>
      </c>
      <c r="D400" t="s">
        <v>923</v>
      </c>
    </row>
    <row r="401" spans="1:5" x14ac:dyDescent="0.2">
      <c r="A401" s="14">
        <v>45874.790937500002</v>
      </c>
      <c r="B401" t="s">
        <v>783</v>
      </c>
      <c r="C401" t="s">
        <v>2</v>
      </c>
      <c r="D401" t="s">
        <v>923</v>
      </c>
    </row>
    <row r="402" spans="1:5" x14ac:dyDescent="0.2">
      <c r="A402" s="14">
        <v>45874.791087963</v>
      </c>
      <c r="B402" t="s">
        <v>783</v>
      </c>
      <c r="C402" t="s">
        <v>2</v>
      </c>
      <c r="D402" t="s">
        <v>924</v>
      </c>
    </row>
    <row r="403" spans="1:5" x14ac:dyDescent="0.2">
      <c r="A403" s="14">
        <v>45874.791087963</v>
      </c>
      <c r="B403" t="s">
        <v>783</v>
      </c>
      <c r="C403" t="s">
        <v>2</v>
      </c>
      <c r="D403" t="s">
        <v>925</v>
      </c>
      <c r="E403" t="s">
        <v>160</v>
      </c>
    </row>
    <row r="404" spans="1:5" x14ac:dyDescent="0.2">
      <c r="A404" s="14">
        <v>45874.7911342593</v>
      </c>
      <c r="B404" t="s">
        <v>783</v>
      </c>
      <c r="C404" t="s">
        <v>2</v>
      </c>
      <c r="D404" t="s">
        <v>922</v>
      </c>
    </row>
    <row r="405" spans="1:5" x14ac:dyDescent="0.2">
      <c r="A405" s="14">
        <v>45874.7911342593</v>
      </c>
      <c r="B405" t="s">
        <v>783</v>
      </c>
      <c r="C405" t="s">
        <v>2</v>
      </c>
      <c r="D405" t="s">
        <v>926</v>
      </c>
      <c r="E405" t="s">
        <v>18</v>
      </c>
    </row>
    <row r="406" spans="1:5" x14ac:dyDescent="0.2">
      <c r="A406" s="14">
        <v>45874.791226851798</v>
      </c>
      <c r="B406" t="s">
        <v>783</v>
      </c>
      <c r="C406" t="s">
        <v>2</v>
      </c>
      <c r="D406" t="s">
        <v>925</v>
      </c>
      <c r="E406" t="s">
        <v>36</v>
      </c>
    </row>
    <row r="407" spans="1:5" x14ac:dyDescent="0.2">
      <c r="A407" s="14">
        <v>45874.791226851798</v>
      </c>
      <c r="B407" t="s">
        <v>783</v>
      </c>
      <c r="C407" t="s">
        <v>2</v>
      </c>
      <c r="D407" t="s">
        <v>927</v>
      </c>
      <c r="E407" t="s">
        <v>160</v>
      </c>
    </row>
    <row r="408" spans="1:5" x14ac:dyDescent="0.2">
      <c r="A408" s="14">
        <v>45874.791273148097</v>
      </c>
      <c r="B408" t="s">
        <v>783</v>
      </c>
      <c r="C408" t="s">
        <v>2</v>
      </c>
      <c r="D408" t="s">
        <v>928</v>
      </c>
    </row>
    <row r="409" spans="1:5" x14ac:dyDescent="0.2">
      <c r="A409" s="14">
        <v>45874.791608796302</v>
      </c>
      <c r="B409" t="s">
        <v>783</v>
      </c>
      <c r="C409" t="s">
        <v>2</v>
      </c>
      <c r="D409" t="s">
        <v>929</v>
      </c>
    </row>
    <row r="410" spans="1:5" x14ac:dyDescent="0.2">
      <c r="A410" s="14">
        <v>45874.791608796302</v>
      </c>
      <c r="B410" t="s">
        <v>783</v>
      </c>
      <c r="C410" t="s">
        <v>2</v>
      </c>
      <c r="D410" t="s">
        <v>930</v>
      </c>
      <c r="E410" t="s">
        <v>166</v>
      </c>
    </row>
    <row r="411" spans="1:5" x14ac:dyDescent="0.2">
      <c r="A411" s="14">
        <v>45874.7917592593</v>
      </c>
      <c r="B411" t="s">
        <v>783</v>
      </c>
      <c r="C411" t="s">
        <v>2</v>
      </c>
      <c r="D411" t="s">
        <v>931</v>
      </c>
    </row>
    <row r="412" spans="1:5" x14ac:dyDescent="0.2">
      <c r="A412" s="14">
        <v>45874.791886574101</v>
      </c>
      <c r="B412" t="s">
        <v>783</v>
      </c>
      <c r="C412" t="s">
        <v>2</v>
      </c>
      <c r="D412" t="s">
        <v>932</v>
      </c>
    </row>
    <row r="413" spans="1:5" x14ac:dyDescent="0.2">
      <c r="A413" s="14">
        <v>45874.791886574101</v>
      </c>
      <c r="B413" t="s">
        <v>783</v>
      </c>
      <c r="C413" t="s">
        <v>2</v>
      </c>
      <c r="D413" t="s">
        <v>933</v>
      </c>
      <c r="E413" t="s">
        <v>9</v>
      </c>
    </row>
    <row r="414" spans="1:5" x14ac:dyDescent="0.2">
      <c r="A414" s="14">
        <v>45874.791909722197</v>
      </c>
      <c r="B414" t="s">
        <v>783</v>
      </c>
      <c r="C414" t="s">
        <v>2</v>
      </c>
      <c r="D414" t="s">
        <v>934</v>
      </c>
    </row>
    <row r="415" spans="1:5" x14ac:dyDescent="0.2">
      <c r="A415" s="14">
        <v>45874.792152777802</v>
      </c>
      <c r="B415" t="s">
        <v>783</v>
      </c>
      <c r="C415" t="s">
        <v>637</v>
      </c>
      <c r="D415" t="s">
        <v>935</v>
      </c>
    </row>
    <row r="416" spans="1:5" x14ac:dyDescent="0.2">
      <c r="A416" s="14">
        <v>45874.792210648098</v>
      </c>
      <c r="B416" t="s">
        <v>783</v>
      </c>
      <c r="C416" t="s">
        <v>637</v>
      </c>
      <c r="D416" t="s">
        <v>936</v>
      </c>
      <c r="E416">
        <v>3</v>
      </c>
    </row>
    <row r="417" spans="1:5" x14ac:dyDescent="0.2">
      <c r="A417" s="14">
        <v>45874.792280092603</v>
      </c>
      <c r="B417" t="s">
        <v>783</v>
      </c>
      <c r="C417" t="s">
        <v>637</v>
      </c>
      <c r="D417" t="s">
        <v>937</v>
      </c>
    </row>
    <row r="418" spans="1:5" x14ac:dyDescent="0.2">
      <c r="A418" s="14">
        <v>45874.792303240698</v>
      </c>
      <c r="B418" t="s">
        <v>783</v>
      </c>
      <c r="C418" t="s">
        <v>637</v>
      </c>
      <c r="D418" t="s">
        <v>938</v>
      </c>
    </row>
    <row r="419" spans="1:5" x14ac:dyDescent="0.2">
      <c r="A419" s="14">
        <v>45874.792581018497</v>
      </c>
      <c r="B419" t="s">
        <v>783</v>
      </c>
      <c r="C419" t="s">
        <v>637</v>
      </c>
      <c r="D419" t="s">
        <v>939</v>
      </c>
      <c r="E419">
        <v>4</v>
      </c>
    </row>
    <row r="420" spans="1:5" x14ac:dyDescent="0.2">
      <c r="A420" s="14">
        <v>45874.792581018497</v>
      </c>
      <c r="B420" t="s">
        <v>783</v>
      </c>
      <c r="C420" t="s">
        <v>637</v>
      </c>
      <c r="D420" t="s">
        <v>940</v>
      </c>
      <c r="E420" t="s">
        <v>8</v>
      </c>
    </row>
    <row r="421" spans="1:5" x14ac:dyDescent="0.2">
      <c r="A421" s="14">
        <v>45874.794085648202</v>
      </c>
      <c r="B421" t="s">
        <v>783</v>
      </c>
      <c r="C421" t="s">
        <v>2</v>
      </c>
      <c r="D421" t="s">
        <v>941</v>
      </c>
    </row>
    <row r="422" spans="1:5" x14ac:dyDescent="0.2">
      <c r="A422" s="14">
        <v>45874.7941319444</v>
      </c>
      <c r="B422" t="s">
        <v>783</v>
      </c>
      <c r="C422" t="s">
        <v>2</v>
      </c>
      <c r="D422" t="s">
        <v>942</v>
      </c>
    </row>
    <row r="423" spans="1:5" x14ac:dyDescent="0.2">
      <c r="A423" s="14">
        <v>45874.794340277796</v>
      </c>
      <c r="B423" t="s">
        <v>783</v>
      </c>
      <c r="C423" t="s">
        <v>2</v>
      </c>
      <c r="D423" t="s">
        <v>943</v>
      </c>
    </row>
    <row r="424" spans="1:5" x14ac:dyDescent="0.2">
      <c r="A424" s="14">
        <v>45874.7971875</v>
      </c>
      <c r="B424" t="s">
        <v>783</v>
      </c>
      <c r="C424" t="s">
        <v>17</v>
      </c>
      <c r="D424" t="s">
        <v>944</v>
      </c>
      <c r="E424" t="s">
        <v>218</v>
      </c>
    </row>
    <row r="425" spans="1:5" ht="48" x14ac:dyDescent="0.2">
      <c r="A425" s="14">
        <v>45874.797361111101</v>
      </c>
      <c r="B425" t="s">
        <v>783</v>
      </c>
      <c r="C425" t="s">
        <v>637</v>
      </c>
      <c r="D425" t="s">
        <v>945</v>
      </c>
      <c r="E425" s="2" t="s">
        <v>946</v>
      </c>
    </row>
    <row r="426" spans="1:5" ht="48" x14ac:dyDescent="0.2">
      <c r="A426" s="14">
        <v>45874.797488425902</v>
      </c>
      <c r="B426" t="s">
        <v>783</v>
      </c>
      <c r="C426" t="s">
        <v>637</v>
      </c>
      <c r="D426" t="s">
        <v>945</v>
      </c>
      <c r="E426" s="2" t="s">
        <v>947</v>
      </c>
    </row>
    <row r="427" spans="1:5" ht="48" x14ac:dyDescent="0.2">
      <c r="A427" s="14">
        <v>45874.797557870399</v>
      </c>
      <c r="B427" t="s">
        <v>783</v>
      </c>
      <c r="C427" t="s">
        <v>637</v>
      </c>
      <c r="D427" t="s">
        <v>945</v>
      </c>
      <c r="E427" s="2" t="s">
        <v>948</v>
      </c>
    </row>
    <row r="428" spans="1:5" ht="48" x14ac:dyDescent="0.2">
      <c r="A428" s="14">
        <v>45874.7979976852</v>
      </c>
      <c r="B428" t="s">
        <v>783</v>
      </c>
      <c r="C428" t="s">
        <v>637</v>
      </c>
      <c r="D428" t="s">
        <v>945</v>
      </c>
      <c r="E428" s="2" t="s">
        <v>91</v>
      </c>
    </row>
    <row r="429" spans="1:5" x14ac:dyDescent="0.2">
      <c r="A429" s="14">
        <v>45874.798611111102</v>
      </c>
      <c r="B429" t="s">
        <v>783</v>
      </c>
      <c r="C429" t="s">
        <v>17</v>
      </c>
      <c r="D429" t="s">
        <v>851</v>
      </c>
    </row>
    <row r="430" spans="1:5" x14ac:dyDescent="0.2">
      <c r="A430" s="14">
        <v>45874.798634259299</v>
      </c>
      <c r="B430" t="s">
        <v>783</v>
      </c>
      <c r="C430" t="s">
        <v>17</v>
      </c>
      <c r="D430" t="s">
        <v>851</v>
      </c>
    </row>
    <row r="431" spans="1:5" x14ac:dyDescent="0.2">
      <c r="A431" s="14">
        <v>45874.798888888901</v>
      </c>
      <c r="B431" t="s">
        <v>783</v>
      </c>
      <c r="C431" t="s">
        <v>17</v>
      </c>
      <c r="D431" t="s">
        <v>944</v>
      </c>
      <c r="E431" t="s">
        <v>218</v>
      </c>
    </row>
    <row r="432" spans="1:5" x14ac:dyDescent="0.2">
      <c r="A432" s="14">
        <v>45874.798969907402</v>
      </c>
      <c r="B432" t="s">
        <v>783</v>
      </c>
      <c r="C432" t="s">
        <v>17</v>
      </c>
      <c r="D432" t="s">
        <v>949</v>
      </c>
      <c r="E432" t="s">
        <v>219</v>
      </c>
    </row>
    <row r="433" spans="1:5" x14ac:dyDescent="0.2">
      <c r="A433" s="14">
        <v>45874.799004629604</v>
      </c>
      <c r="B433" t="s">
        <v>783</v>
      </c>
      <c r="C433" t="s">
        <v>17</v>
      </c>
      <c r="D433" t="s">
        <v>950</v>
      </c>
      <c r="E433" t="s">
        <v>86</v>
      </c>
    </row>
    <row r="434" spans="1:5" x14ac:dyDescent="0.2">
      <c r="A434" s="14">
        <v>45874.799293981501</v>
      </c>
      <c r="B434" t="s">
        <v>783</v>
      </c>
      <c r="C434" t="s">
        <v>17</v>
      </c>
      <c r="D434" t="s">
        <v>951</v>
      </c>
      <c r="E434">
        <v>2021</v>
      </c>
    </row>
    <row r="435" spans="1:5" x14ac:dyDescent="0.2">
      <c r="A435" s="14">
        <v>45874.800752314797</v>
      </c>
      <c r="B435" t="s">
        <v>783</v>
      </c>
      <c r="C435" t="s">
        <v>17</v>
      </c>
      <c r="D435" t="s">
        <v>952</v>
      </c>
      <c r="E435">
        <v>100</v>
      </c>
    </row>
    <row r="436" spans="1:5" x14ac:dyDescent="0.2">
      <c r="A436" s="14">
        <v>45874.803854166697</v>
      </c>
      <c r="B436" t="s">
        <v>783</v>
      </c>
      <c r="C436" t="s">
        <v>637</v>
      </c>
      <c r="D436" t="s">
        <v>953</v>
      </c>
      <c r="E436" t="s">
        <v>954</v>
      </c>
    </row>
    <row r="437" spans="1:5" x14ac:dyDescent="0.2">
      <c r="A437" s="14">
        <v>45874.803993055597</v>
      </c>
      <c r="B437" t="s">
        <v>783</v>
      </c>
      <c r="C437" t="s">
        <v>637</v>
      </c>
      <c r="D437" t="s">
        <v>953</v>
      </c>
      <c r="E437" t="s">
        <v>955</v>
      </c>
    </row>
    <row r="438" spans="1:5" x14ac:dyDescent="0.2">
      <c r="A438" s="14">
        <v>45874.807453703703</v>
      </c>
      <c r="B438" t="s">
        <v>783</v>
      </c>
      <c r="C438" t="s">
        <v>637</v>
      </c>
      <c r="D438" t="s">
        <v>956</v>
      </c>
      <c r="E438" t="s">
        <v>955</v>
      </c>
    </row>
    <row r="439" spans="1:5" x14ac:dyDescent="0.2">
      <c r="A439" s="14">
        <v>45874.807523148098</v>
      </c>
      <c r="B439" t="s">
        <v>783</v>
      </c>
      <c r="C439" t="s">
        <v>637</v>
      </c>
      <c r="D439" t="s">
        <v>957</v>
      </c>
      <c r="E439" t="s">
        <v>955</v>
      </c>
    </row>
    <row r="440" spans="1:5" x14ac:dyDescent="0.2">
      <c r="A440" s="14">
        <v>45874.807986111096</v>
      </c>
      <c r="B440" t="s">
        <v>783</v>
      </c>
      <c r="C440" t="s">
        <v>637</v>
      </c>
      <c r="D440" t="s">
        <v>958</v>
      </c>
      <c r="E440" t="s">
        <v>9</v>
      </c>
    </row>
    <row r="441" spans="1:5" x14ac:dyDescent="0.2">
      <c r="A441" s="14">
        <v>45874.808275463001</v>
      </c>
      <c r="B441" t="s">
        <v>783</v>
      </c>
      <c r="C441" t="s">
        <v>27</v>
      </c>
      <c r="D441" t="s">
        <v>959</v>
      </c>
    </row>
    <row r="442" spans="1:5" x14ac:dyDescent="0.2">
      <c r="A442" s="14">
        <v>45874.808761574102</v>
      </c>
      <c r="B442" t="s">
        <v>783</v>
      </c>
      <c r="C442" t="s">
        <v>27</v>
      </c>
      <c r="D442" t="s">
        <v>960</v>
      </c>
      <c r="E442">
        <v>1</v>
      </c>
    </row>
    <row r="443" spans="1:5" x14ac:dyDescent="0.2">
      <c r="A443" s="14">
        <v>45874.808831018498</v>
      </c>
      <c r="B443" t="s">
        <v>783</v>
      </c>
      <c r="C443" t="s">
        <v>27</v>
      </c>
      <c r="D443" t="s">
        <v>961</v>
      </c>
      <c r="E443">
        <v>1</v>
      </c>
    </row>
    <row r="444" spans="1:5" x14ac:dyDescent="0.2">
      <c r="A444" s="14">
        <v>45874.808958333299</v>
      </c>
      <c r="B444" t="s">
        <v>783</v>
      </c>
      <c r="C444" t="s">
        <v>27</v>
      </c>
      <c r="D444" t="s">
        <v>962</v>
      </c>
      <c r="E444" t="e">
        <v>#VALUE!</v>
      </c>
    </row>
    <row r="445" spans="1:5" x14ac:dyDescent="0.2">
      <c r="A445" s="14">
        <v>45874.809097222198</v>
      </c>
      <c r="B445" t="s">
        <v>783</v>
      </c>
      <c r="C445" t="s">
        <v>27</v>
      </c>
      <c r="D445" t="s">
        <v>960</v>
      </c>
      <c r="E445" t="s">
        <v>175</v>
      </c>
    </row>
    <row r="446" spans="1:5" x14ac:dyDescent="0.2">
      <c r="A446" s="14">
        <v>45874.809143518498</v>
      </c>
      <c r="B446" t="s">
        <v>783</v>
      </c>
      <c r="C446" t="s">
        <v>27</v>
      </c>
      <c r="D446" t="s">
        <v>960</v>
      </c>
      <c r="E446">
        <v>1</v>
      </c>
    </row>
    <row r="447" spans="1:5" x14ac:dyDescent="0.2">
      <c r="A447" s="14">
        <v>45874.809189814798</v>
      </c>
      <c r="B447" t="s">
        <v>783</v>
      </c>
      <c r="C447" t="s">
        <v>27</v>
      </c>
      <c r="D447" t="s">
        <v>962</v>
      </c>
      <c r="E447" t="e">
        <v>#VALUE!</v>
      </c>
    </row>
    <row r="448" spans="1:5" x14ac:dyDescent="0.2">
      <c r="A448" s="14">
        <v>45874.815891203703</v>
      </c>
      <c r="B448" t="s">
        <v>783</v>
      </c>
      <c r="C448" t="s">
        <v>17</v>
      </c>
      <c r="D448" t="s">
        <v>963</v>
      </c>
      <c r="E448" t="s">
        <v>92</v>
      </c>
    </row>
    <row r="449" spans="1:5" x14ac:dyDescent="0.2">
      <c r="A449" s="14">
        <v>45874.817499999997</v>
      </c>
      <c r="B449" t="s">
        <v>783</v>
      </c>
      <c r="C449" t="s">
        <v>637</v>
      </c>
      <c r="D449" t="s">
        <v>964</v>
      </c>
      <c r="E449" t="s">
        <v>965</v>
      </c>
    </row>
    <row r="450" spans="1:5" x14ac:dyDescent="0.2">
      <c r="A450" s="14">
        <v>45874.817546296297</v>
      </c>
      <c r="B450" t="s">
        <v>783</v>
      </c>
      <c r="C450" t="s">
        <v>637</v>
      </c>
      <c r="D450" t="s">
        <v>966</v>
      </c>
      <c r="E450" t="s">
        <v>965</v>
      </c>
    </row>
    <row r="451" spans="1:5" x14ac:dyDescent="0.2">
      <c r="A451" s="14">
        <v>45874.817627314798</v>
      </c>
      <c r="B451" t="s">
        <v>783</v>
      </c>
      <c r="C451" t="s">
        <v>637</v>
      </c>
      <c r="D451" t="s">
        <v>967</v>
      </c>
      <c r="E451" t="s">
        <v>965</v>
      </c>
    </row>
    <row r="452" spans="1:5" x14ac:dyDescent="0.2">
      <c r="A452" s="14">
        <v>45874.818206018499</v>
      </c>
      <c r="B452" t="s">
        <v>783</v>
      </c>
      <c r="C452" t="s">
        <v>27</v>
      </c>
      <c r="D452" t="s">
        <v>960</v>
      </c>
      <c r="E452">
        <v>1</v>
      </c>
    </row>
    <row r="453" spans="1:5" x14ac:dyDescent="0.2">
      <c r="A453" s="14">
        <v>45874.818252314799</v>
      </c>
      <c r="B453" t="s">
        <v>783</v>
      </c>
      <c r="C453" t="s">
        <v>27</v>
      </c>
      <c r="D453" t="s">
        <v>961</v>
      </c>
    </row>
    <row r="454" spans="1:5" x14ac:dyDescent="0.2">
      <c r="A454" s="14">
        <v>45874.818298611099</v>
      </c>
      <c r="B454" t="s">
        <v>783</v>
      </c>
      <c r="C454" t="s">
        <v>27</v>
      </c>
      <c r="D454" t="s">
        <v>962</v>
      </c>
      <c r="E454">
        <v>1</v>
      </c>
    </row>
    <row r="455" spans="1:5" x14ac:dyDescent="0.2">
      <c r="A455" s="14">
        <v>45874.818356481497</v>
      </c>
      <c r="B455" t="s">
        <v>783</v>
      </c>
      <c r="C455" t="s">
        <v>27</v>
      </c>
      <c r="D455" t="s">
        <v>962</v>
      </c>
      <c r="E455">
        <v>2</v>
      </c>
    </row>
    <row r="456" spans="1:5" x14ac:dyDescent="0.2">
      <c r="A456" s="14">
        <v>45874.8184259259</v>
      </c>
      <c r="B456" t="s">
        <v>783</v>
      </c>
      <c r="C456" t="s">
        <v>27</v>
      </c>
      <c r="D456" t="s">
        <v>968</v>
      </c>
      <c r="E456">
        <v>3</v>
      </c>
    </row>
    <row r="457" spans="1:5" x14ac:dyDescent="0.2">
      <c r="A457" s="14">
        <v>45874.8187384259</v>
      </c>
      <c r="B457" t="s">
        <v>783</v>
      </c>
      <c r="C457" t="s">
        <v>637</v>
      </c>
      <c r="D457" t="s">
        <v>969</v>
      </c>
    </row>
    <row r="458" spans="1:5" ht="128" x14ac:dyDescent="0.2">
      <c r="A458" s="14">
        <v>45874.8200462963</v>
      </c>
      <c r="B458" t="s">
        <v>783</v>
      </c>
      <c r="C458" t="s">
        <v>637</v>
      </c>
      <c r="D458" t="s">
        <v>970</v>
      </c>
      <c r="E458" s="2" t="s">
        <v>971</v>
      </c>
    </row>
    <row r="459" spans="1:5" ht="128" x14ac:dyDescent="0.2">
      <c r="A459" s="14">
        <v>45874.820081018501</v>
      </c>
      <c r="B459" t="s">
        <v>783</v>
      </c>
      <c r="C459" t="s">
        <v>637</v>
      </c>
      <c r="D459" t="s">
        <v>970</v>
      </c>
      <c r="E459" s="2" t="s">
        <v>971</v>
      </c>
    </row>
    <row r="460" spans="1:5" x14ac:dyDescent="0.2">
      <c r="A460" s="14">
        <v>45874.821504629603</v>
      </c>
      <c r="B460" t="s">
        <v>783</v>
      </c>
      <c r="C460" t="s">
        <v>103</v>
      </c>
      <c r="D460" t="s">
        <v>972</v>
      </c>
      <c r="E460" t="s">
        <v>965</v>
      </c>
    </row>
    <row r="461" spans="1:5" x14ac:dyDescent="0.2">
      <c r="A461" s="14">
        <v>45874.821608796301</v>
      </c>
      <c r="B461" t="s">
        <v>783</v>
      </c>
      <c r="C461" t="s">
        <v>28</v>
      </c>
      <c r="D461" t="s">
        <v>972</v>
      </c>
      <c r="E461" t="s">
        <v>965</v>
      </c>
    </row>
    <row r="462" spans="1:5" x14ac:dyDescent="0.2">
      <c r="A462" s="14">
        <v>45874.821851851899</v>
      </c>
      <c r="B462" t="s">
        <v>783</v>
      </c>
      <c r="C462" t="s">
        <v>29</v>
      </c>
      <c r="D462" t="s">
        <v>973</v>
      </c>
    </row>
    <row r="463" spans="1:5" x14ac:dyDescent="0.2">
      <c r="A463" s="14">
        <v>45874.821909722203</v>
      </c>
      <c r="B463" t="s">
        <v>783</v>
      </c>
      <c r="C463" t="s">
        <v>29</v>
      </c>
      <c r="D463" t="s">
        <v>974</v>
      </c>
    </row>
    <row r="464" spans="1:5" x14ac:dyDescent="0.2">
      <c r="A464" s="14">
        <v>45875.170462962997</v>
      </c>
      <c r="B464" t="s">
        <v>622</v>
      </c>
      <c r="C464" t="s">
        <v>623</v>
      </c>
      <c r="D464" t="s">
        <v>975</v>
      </c>
      <c r="E464" t="s">
        <v>40</v>
      </c>
    </row>
    <row r="465" spans="1:5" x14ac:dyDescent="0.2">
      <c r="A465" s="14">
        <v>45875.172152777799</v>
      </c>
      <c r="B465" t="s">
        <v>622</v>
      </c>
      <c r="C465" t="s">
        <v>17</v>
      </c>
      <c r="D465" t="s">
        <v>752</v>
      </c>
    </row>
    <row r="466" spans="1:5" x14ac:dyDescent="0.2">
      <c r="A466" s="14">
        <v>45875.172268518501</v>
      </c>
      <c r="B466" t="s">
        <v>622</v>
      </c>
      <c r="C466" t="s">
        <v>17</v>
      </c>
      <c r="D466" t="s">
        <v>976</v>
      </c>
      <c r="E466" t="s">
        <v>78</v>
      </c>
    </row>
    <row r="467" spans="1:5" x14ac:dyDescent="0.2">
      <c r="A467" s="14">
        <v>45875.172303240703</v>
      </c>
      <c r="B467" t="s">
        <v>622</v>
      </c>
      <c r="C467" t="s">
        <v>17</v>
      </c>
      <c r="D467" t="s">
        <v>977</v>
      </c>
      <c r="E467" t="s">
        <v>81</v>
      </c>
    </row>
    <row r="468" spans="1:5" x14ac:dyDescent="0.2">
      <c r="A468" s="14">
        <v>45875.172395833302</v>
      </c>
      <c r="B468" t="s">
        <v>622</v>
      </c>
      <c r="C468" t="s">
        <v>17</v>
      </c>
      <c r="D468" t="s">
        <v>874</v>
      </c>
    </row>
    <row r="469" spans="1:5" x14ac:dyDescent="0.2">
      <c r="A469" s="14">
        <v>45875.173125000001</v>
      </c>
      <c r="B469" t="s">
        <v>622</v>
      </c>
      <c r="C469" t="s">
        <v>17</v>
      </c>
      <c r="D469" t="s">
        <v>803</v>
      </c>
      <c r="E469" t="s">
        <v>978</v>
      </c>
    </row>
    <row r="470" spans="1:5" x14ac:dyDescent="0.2">
      <c r="A470" s="14">
        <v>45875.1739930556</v>
      </c>
      <c r="B470" t="s">
        <v>622</v>
      </c>
      <c r="C470" t="s">
        <v>17</v>
      </c>
      <c r="D470" t="s">
        <v>780</v>
      </c>
      <c r="E470">
        <v>0</v>
      </c>
    </row>
    <row r="471" spans="1:5" x14ac:dyDescent="0.2">
      <c r="A471" s="14">
        <v>45875.174317129597</v>
      </c>
      <c r="B471" t="s">
        <v>622</v>
      </c>
      <c r="C471" t="s">
        <v>17</v>
      </c>
      <c r="D471" t="s">
        <v>979</v>
      </c>
      <c r="E471">
        <v>1</v>
      </c>
    </row>
    <row r="472" spans="1:5" x14ac:dyDescent="0.2">
      <c r="A472" s="14">
        <v>45875.174317129597</v>
      </c>
      <c r="B472" t="s">
        <v>622</v>
      </c>
      <c r="C472" t="s">
        <v>17</v>
      </c>
      <c r="D472" t="s">
        <v>979</v>
      </c>
      <c r="E472">
        <v>1</v>
      </c>
    </row>
    <row r="473" spans="1:5" x14ac:dyDescent="0.2">
      <c r="A473" s="14">
        <v>45875.174317129597</v>
      </c>
      <c r="B473" t="s">
        <v>622</v>
      </c>
      <c r="C473" t="s">
        <v>17</v>
      </c>
      <c r="D473" t="s">
        <v>980</v>
      </c>
      <c r="E473">
        <v>1</v>
      </c>
    </row>
    <row r="474" spans="1:5" x14ac:dyDescent="0.2">
      <c r="A474" s="14">
        <v>45875.174317129597</v>
      </c>
      <c r="B474" t="s">
        <v>622</v>
      </c>
      <c r="C474" t="s">
        <v>17</v>
      </c>
      <c r="D474" t="s">
        <v>981</v>
      </c>
      <c r="E474">
        <v>2</v>
      </c>
    </row>
    <row r="475" spans="1:5" x14ac:dyDescent="0.2">
      <c r="A475" s="14">
        <v>45875.174317129597</v>
      </c>
      <c r="B475" t="s">
        <v>622</v>
      </c>
      <c r="C475" t="s">
        <v>17</v>
      </c>
      <c r="D475" t="s">
        <v>981</v>
      </c>
      <c r="E475">
        <v>2</v>
      </c>
    </row>
    <row r="476" spans="1:5" x14ac:dyDescent="0.2">
      <c r="A476" s="14">
        <v>45875.174675925897</v>
      </c>
      <c r="B476" t="s">
        <v>622</v>
      </c>
      <c r="C476" t="s">
        <v>17</v>
      </c>
      <c r="D476" t="s">
        <v>982</v>
      </c>
      <c r="E476" t="s">
        <v>983</v>
      </c>
    </row>
    <row r="477" spans="1:5" x14ac:dyDescent="0.2">
      <c r="A477" s="14">
        <v>45875.174687500003</v>
      </c>
      <c r="B477" t="s">
        <v>622</v>
      </c>
      <c r="C477" t="s">
        <v>17</v>
      </c>
      <c r="D477" t="s">
        <v>984</v>
      </c>
      <c r="E477" t="s">
        <v>985</v>
      </c>
    </row>
    <row r="478" spans="1:5" x14ac:dyDescent="0.2">
      <c r="A478" s="14">
        <v>45875.174687500003</v>
      </c>
      <c r="B478" t="s">
        <v>622</v>
      </c>
      <c r="C478" t="s">
        <v>17</v>
      </c>
      <c r="D478" t="s">
        <v>986</v>
      </c>
      <c r="E478" t="s">
        <v>987</v>
      </c>
    </row>
    <row r="479" spans="1:5" x14ac:dyDescent="0.2">
      <c r="A479" s="14">
        <v>45875.174687500003</v>
      </c>
      <c r="B479" t="s">
        <v>622</v>
      </c>
      <c r="C479" t="s">
        <v>17</v>
      </c>
      <c r="D479" t="s">
        <v>988</v>
      </c>
      <c r="E479" t="s">
        <v>989</v>
      </c>
    </row>
    <row r="480" spans="1:5" x14ac:dyDescent="0.2">
      <c r="A480" s="14">
        <v>45875.174687500003</v>
      </c>
      <c r="B480" t="s">
        <v>622</v>
      </c>
      <c r="C480" t="s">
        <v>17</v>
      </c>
      <c r="D480" t="s">
        <v>990</v>
      </c>
      <c r="E480" t="s">
        <v>991</v>
      </c>
    </row>
    <row r="481" spans="1:5" x14ac:dyDescent="0.2">
      <c r="A481" s="14">
        <v>45875.174745370401</v>
      </c>
      <c r="B481" t="s">
        <v>622</v>
      </c>
      <c r="C481" t="s">
        <v>17</v>
      </c>
      <c r="D481" t="s">
        <v>990</v>
      </c>
    </row>
    <row r="482" spans="1:5" x14ac:dyDescent="0.2">
      <c r="A482" s="14">
        <v>45875.174745370401</v>
      </c>
      <c r="B482" t="s">
        <v>622</v>
      </c>
      <c r="C482" t="s">
        <v>17</v>
      </c>
      <c r="D482" t="s">
        <v>988</v>
      </c>
    </row>
    <row r="483" spans="1:5" x14ac:dyDescent="0.2">
      <c r="A483" s="14">
        <v>45875.174745370401</v>
      </c>
      <c r="B483" t="s">
        <v>622</v>
      </c>
      <c r="C483" t="s">
        <v>17</v>
      </c>
      <c r="D483" t="s">
        <v>986</v>
      </c>
    </row>
    <row r="484" spans="1:5" x14ac:dyDescent="0.2">
      <c r="A484" s="14">
        <v>45875.174745370401</v>
      </c>
      <c r="B484" t="s">
        <v>622</v>
      </c>
      <c r="C484" t="s">
        <v>17</v>
      </c>
      <c r="D484" t="s">
        <v>984</v>
      </c>
    </row>
    <row r="485" spans="1:5" x14ac:dyDescent="0.2">
      <c r="A485" s="14">
        <v>45875.174745370401</v>
      </c>
      <c r="B485" t="s">
        <v>622</v>
      </c>
      <c r="C485" t="s">
        <v>17</v>
      </c>
      <c r="D485" t="s">
        <v>982</v>
      </c>
    </row>
    <row r="486" spans="1:5" x14ac:dyDescent="0.2">
      <c r="A486" s="14">
        <v>45875.174849536997</v>
      </c>
      <c r="B486" t="s">
        <v>622</v>
      </c>
      <c r="C486" t="s">
        <v>17</v>
      </c>
      <c r="D486" t="s">
        <v>982</v>
      </c>
      <c r="E486" t="s">
        <v>983</v>
      </c>
    </row>
    <row r="487" spans="1:5" x14ac:dyDescent="0.2">
      <c r="A487" s="14">
        <v>45875.174849536997</v>
      </c>
      <c r="B487" t="s">
        <v>622</v>
      </c>
      <c r="C487" t="s">
        <v>17</v>
      </c>
      <c r="D487" t="s">
        <v>984</v>
      </c>
      <c r="E487" t="s">
        <v>985</v>
      </c>
    </row>
    <row r="488" spans="1:5" x14ac:dyDescent="0.2">
      <c r="A488" s="14">
        <v>45875.174849536997</v>
      </c>
      <c r="B488" t="s">
        <v>622</v>
      </c>
      <c r="C488" t="s">
        <v>17</v>
      </c>
      <c r="D488" t="s">
        <v>986</v>
      </c>
      <c r="E488" t="s">
        <v>987</v>
      </c>
    </row>
    <row r="489" spans="1:5" x14ac:dyDescent="0.2">
      <c r="A489" s="14">
        <v>45875.174849536997</v>
      </c>
      <c r="B489" t="s">
        <v>622</v>
      </c>
      <c r="C489" t="s">
        <v>17</v>
      </c>
      <c r="D489" t="s">
        <v>988</v>
      </c>
      <c r="E489" t="s">
        <v>989</v>
      </c>
    </row>
    <row r="490" spans="1:5" x14ac:dyDescent="0.2">
      <c r="A490" s="14">
        <v>45875.174849536997</v>
      </c>
      <c r="B490" t="s">
        <v>622</v>
      </c>
      <c r="C490" t="s">
        <v>17</v>
      </c>
      <c r="D490" t="s">
        <v>990</v>
      </c>
      <c r="E490" t="s">
        <v>991</v>
      </c>
    </row>
    <row r="491" spans="1:5" x14ac:dyDescent="0.2">
      <c r="A491" s="14">
        <v>45875.175694444399</v>
      </c>
      <c r="B491" t="s">
        <v>622</v>
      </c>
      <c r="C491" t="s">
        <v>17</v>
      </c>
      <c r="D491" t="s">
        <v>990</v>
      </c>
    </row>
    <row r="492" spans="1:5" x14ac:dyDescent="0.2">
      <c r="A492" s="14">
        <v>45875.175694444399</v>
      </c>
      <c r="B492" t="s">
        <v>622</v>
      </c>
      <c r="C492" t="s">
        <v>17</v>
      </c>
      <c r="D492" t="s">
        <v>988</v>
      </c>
    </row>
    <row r="493" spans="1:5" x14ac:dyDescent="0.2">
      <c r="A493" s="14">
        <v>45875.175694444399</v>
      </c>
      <c r="B493" t="s">
        <v>622</v>
      </c>
      <c r="C493" t="s">
        <v>17</v>
      </c>
      <c r="D493" t="s">
        <v>986</v>
      </c>
    </row>
    <row r="494" spans="1:5" x14ac:dyDescent="0.2">
      <c r="A494" s="14">
        <v>45875.175694444399</v>
      </c>
      <c r="B494" t="s">
        <v>622</v>
      </c>
      <c r="C494" t="s">
        <v>17</v>
      </c>
      <c r="D494" t="s">
        <v>984</v>
      </c>
    </row>
    <row r="495" spans="1:5" x14ac:dyDescent="0.2">
      <c r="A495" s="14">
        <v>45875.175694444399</v>
      </c>
      <c r="B495" t="s">
        <v>622</v>
      </c>
      <c r="C495" t="s">
        <v>17</v>
      </c>
      <c r="D495" t="s">
        <v>982</v>
      </c>
    </row>
    <row r="496" spans="1:5" x14ac:dyDescent="0.2">
      <c r="A496" s="14">
        <v>45875.176111111097</v>
      </c>
      <c r="B496" t="s">
        <v>622</v>
      </c>
      <c r="C496" t="s">
        <v>17</v>
      </c>
      <c r="D496" t="s">
        <v>992</v>
      </c>
    </row>
    <row r="497" spans="1:5" x14ac:dyDescent="0.2">
      <c r="A497" s="14">
        <v>45875.176319444399</v>
      </c>
      <c r="B497" t="s">
        <v>622</v>
      </c>
      <c r="C497" t="s">
        <v>17</v>
      </c>
      <c r="D497" t="s">
        <v>992</v>
      </c>
    </row>
    <row r="498" spans="1:5" x14ac:dyDescent="0.2">
      <c r="A498" s="14">
        <v>45875.176550925898</v>
      </c>
      <c r="B498" t="s">
        <v>622</v>
      </c>
      <c r="C498" t="s">
        <v>17</v>
      </c>
      <c r="D498" t="s">
        <v>993</v>
      </c>
      <c r="E498">
        <v>0</v>
      </c>
    </row>
    <row r="499" spans="1:5" x14ac:dyDescent="0.2">
      <c r="A499" s="14">
        <v>45875.179756944402</v>
      </c>
      <c r="B499" t="s">
        <v>622</v>
      </c>
      <c r="C499" t="s">
        <v>17</v>
      </c>
      <c r="D499" t="s">
        <v>992</v>
      </c>
    </row>
    <row r="500" spans="1:5" x14ac:dyDescent="0.2">
      <c r="A500" s="14">
        <v>45875.184328703697</v>
      </c>
      <c r="B500" t="s">
        <v>622</v>
      </c>
      <c r="C500" t="s">
        <v>17</v>
      </c>
      <c r="D500" t="s">
        <v>994</v>
      </c>
    </row>
    <row r="501" spans="1:5" x14ac:dyDescent="0.2">
      <c r="A501" s="14">
        <v>45875.184374999997</v>
      </c>
      <c r="B501" t="s">
        <v>622</v>
      </c>
      <c r="C501" t="s">
        <v>17</v>
      </c>
      <c r="D501" t="s">
        <v>995</v>
      </c>
      <c r="E501" t="s">
        <v>44</v>
      </c>
    </row>
    <row r="502" spans="1:5" x14ac:dyDescent="0.2">
      <c r="A502" s="14">
        <v>45875.184942129599</v>
      </c>
      <c r="B502" t="s">
        <v>622</v>
      </c>
      <c r="C502" t="s">
        <v>17</v>
      </c>
      <c r="D502" t="s">
        <v>996</v>
      </c>
    </row>
    <row r="503" spans="1:5" x14ac:dyDescent="0.2">
      <c r="A503" s="14">
        <v>45875.185127314799</v>
      </c>
      <c r="B503" t="s">
        <v>622</v>
      </c>
      <c r="C503" t="s">
        <v>17</v>
      </c>
      <c r="D503" t="s">
        <v>997</v>
      </c>
    </row>
    <row r="504" spans="1:5" x14ac:dyDescent="0.2">
      <c r="A504" s="14">
        <v>45875.185185185197</v>
      </c>
      <c r="B504" t="s">
        <v>622</v>
      </c>
      <c r="C504" t="s">
        <v>17</v>
      </c>
      <c r="D504" t="s">
        <v>998</v>
      </c>
    </row>
    <row r="505" spans="1:5" x14ac:dyDescent="0.2">
      <c r="A505" s="14">
        <v>45875.190069444398</v>
      </c>
      <c r="B505" t="s">
        <v>622</v>
      </c>
      <c r="C505" t="s">
        <v>17</v>
      </c>
      <c r="D505" t="s">
        <v>986</v>
      </c>
      <c r="E505" t="s">
        <v>211</v>
      </c>
    </row>
    <row r="506" spans="1:5" x14ac:dyDescent="0.2">
      <c r="A506" s="14">
        <v>45875.190104166701</v>
      </c>
      <c r="B506" t="s">
        <v>622</v>
      </c>
      <c r="C506" t="s">
        <v>17</v>
      </c>
      <c r="D506" t="s">
        <v>988</v>
      </c>
      <c r="E506" t="s">
        <v>86</v>
      </c>
    </row>
    <row r="507" spans="1:5" x14ac:dyDescent="0.2">
      <c r="A507" s="14">
        <v>45875.190138888902</v>
      </c>
      <c r="B507" t="s">
        <v>622</v>
      </c>
      <c r="C507" t="s">
        <v>17</v>
      </c>
      <c r="D507" t="s">
        <v>982</v>
      </c>
      <c r="E507" t="s">
        <v>210</v>
      </c>
    </row>
    <row r="508" spans="1:5" x14ac:dyDescent="0.2">
      <c r="A508" s="14">
        <v>45875.190925925897</v>
      </c>
      <c r="B508" t="s">
        <v>622</v>
      </c>
      <c r="C508" t="s">
        <v>17</v>
      </c>
      <c r="D508" t="s">
        <v>999</v>
      </c>
      <c r="E508" t="s">
        <v>219</v>
      </c>
    </row>
    <row r="509" spans="1:5" x14ac:dyDescent="0.2">
      <c r="A509" s="14">
        <v>45875.191666666702</v>
      </c>
      <c r="B509" t="s">
        <v>622</v>
      </c>
      <c r="C509" t="s">
        <v>17</v>
      </c>
      <c r="D509" t="s">
        <v>999</v>
      </c>
      <c r="E509" t="s">
        <v>218</v>
      </c>
    </row>
    <row r="510" spans="1:5" x14ac:dyDescent="0.2">
      <c r="A510" s="14">
        <v>45875.191701388903</v>
      </c>
      <c r="B510" t="s">
        <v>622</v>
      </c>
      <c r="C510" t="s">
        <v>17</v>
      </c>
      <c r="D510" t="s">
        <v>999</v>
      </c>
      <c r="E510" t="s">
        <v>219</v>
      </c>
    </row>
    <row r="511" spans="1:5" x14ac:dyDescent="0.2">
      <c r="A511" s="14">
        <v>45875.192187499997</v>
      </c>
      <c r="B511" t="s">
        <v>622</v>
      </c>
      <c r="C511" t="s">
        <v>17</v>
      </c>
      <c r="D511" t="s">
        <v>999</v>
      </c>
      <c r="E511" t="s">
        <v>218</v>
      </c>
    </row>
    <row r="512" spans="1:5" x14ac:dyDescent="0.2">
      <c r="A512" s="14">
        <v>45875.1964351852</v>
      </c>
      <c r="B512" t="s">
        <v>622</v>
      </c>
      <c r="C512" t="s">
        <v>17</v>
      </c>
      <c r="D512" t="s">
        <v>1000</v>
      </c>
    </row>
    <row r="513" spans="1:5" x14ac:dyDescent="0.2">
      <c r="A513" s="14">
        <v>45875.196585648097</v>
      </c>
      <c r="B513" t="s">
        <v>622</v>
      </c>
      <c r="C513" t="s">
        <v>17</v>
      </c>
      <c r="D513" t="s">
        <v>1001</v>
      </c>
    </row>
    <row r="514" spans="1:5" x14ac:dyDescent="0.2">
      <c r="A514" s="14">
        <v>45875.197812500002</v>
      </c>
      <c r="B514" t="s">
        <v>622</v>
      </c>
      <c r="C514" t="s">
        <v>17</v>
      </c>
      <c r="D514" t="s">
        <v>999</v>
      </c>
      <c r="E514" t="s">
        <v>219</v>
      </c>
    </row>
    <row r="515" spans="1:5" x14ac:dyDescent="0.2">
      <c r="A515" s="14">
        <v>45875.198090277801</v>
      </c>
      <c r="B515" t="s">
        <v>622</v>
      </c>
      <c r="C515" t="s">
        <v>17</v>
      </c>
      <c r="D515" t="s">
        <v>999</v>
      </c>
      <c r="E515" t="s">
        <v>218</v>
      </c>
    </row>
    <row r="516" spans="1:5" x14ac:dyDescent="0.2">
      <c r="A516" s="14">
        <v>45875.198113425897</v>
      </c>
      <c r="B516" t="s">
        <v>622</v>
      </c>
      <c r="C516" t="s">
        <v>17</v>
      </c>
      <c r="D516" t="s">
        <v>999</v>
      </c>
      <c r="E516" t="s">
        <v>219</v>
      </c>
    </row>
    <row r="517" spans="1:5" x14ac:dyDescent="0.2">
      <c r="A517" s="14">
        <v>45875.199050925898</v>
      </c>
      <c r="B517" t="s">
        <v>622</v>
      </c>
      <c r="C517" t="s">
        <v>17</v>
      </c>
      <c r="D517" t="s">
        <v>999</v>
      </c>
      <c r="E517" t="s">
        <v>218</v>
      </c>
    </row>
    <row r="518" spans="1:5" x14ac:dyDescent="0.2">
      <c r="A518" s="14">
        <v>45875.199074074102</v>
      </c>
      <c r="B518" t="s">
        <v>622</v>
      </c>
      <c r="C518" t="s">
        <v>17</v>
      </c>
      <c r="D518" t="s">
        <v>999</v>
      </c>
      <c r="E518" t="s">
        <v>219</v>
      </c>
    </row>
    <row r="519" spans="1:5" x14ac:dyDescent="0.2">
      <c r="A519" s="14">
        <v>45875.199525463002</v>
      </c>
      <c r="B519" t="s">
        <v>622</v>
      </c>
      <c r="C519" t="s">
        <v>17</v>
      </c>
      <c r="D519" t="s">
        <v>1002</v>
      </c>
      <c r="E519" t="s">
        <v>218</v>
      </c>
    </row>
    <row r="520" spans="1:5" x14ac:dyDescent="0.2">
      <c r="A520" s="14">
        <v>45875.199548611097</v>
      </c>
      <c r="B520" t="s">
        <v>622</v>
      </c>
      <c r="C520" t="s">
        <v>17</v>
      </c>
      <c r="D520" t="s">
        <v>1002</v>
      </c>
      <c r="E520" t="s">
        <v>219</v>
      </c>
    </row>
    <row r="521" spans="1:5" x14ac:dyDescent="0.2">
      <c r="A521" s="14">
        <v>45875.199594907397</v>
      </c>
      <c r="B521" t="s">
        <v>622</v>
      </c>
      <c r="C521" t="s">
        <v>17</v>
      </c>
      <c r="D521" t="s">
        <v>999</v>
      </c>
    </row>
    <row r="522" spans="1:5" x14ac:dyDescent="0.2">
      <c r="A522" s="14">
        <v>45875.199618055602</v>
      </c>
      <c r="B522" t="s">
        <v>622</v>
      </c>
      <c r="C522" t="s">
        <v>17</v>
      </c>
      <c r="D522" t="s">
        <v>1002</v>
      </c>
    </row>
    <row r="523" spans="1:5" x14ac:dyDescent="0.2">
      <c r="A523" s="14">
        <v>45875.201064814799</v>
      </c>
      <c r="B523" t="s">
        <v>622</v>
      </c>
      <c r="C523" t="s">
        <v>17</v>
      </c>
      <c r="D523" t="s">
        <v>999</v>
      </c>
      <c r="E523" t="s">
        <v>219</v>
      </c>
    </row>
    <row r="524" spans="1:5" x14ac:dyDescent="0.2">
      <c r="A524" s="14">
        <v>45875.2019097222</v>
      </c>
      <c r="B524" t="s">
        <v>622</v>
      </c>
      <c r="C524" t="s">
        <v>17</v>
      </c>
      <c r="D524" t="s">
        <v>999</v>
      </c>
      <c r="E524" t="s">
        <v>218</v>
      </c>
    </row>
    <row r="525" spans="1:5" x14ac:dyDescent="0.2">
      <c r="A525" s="14">
        <v>45875.202499999999</v>
      </c>
      <c r="B525" t="s">
        <v>622</v>
      </c>
      <c r="C525" t="s">
        <v>17</v>
      </c>
      <c r="D525" t="s">
        <v>1003</v>
      </c>
      <c r="E525" t="s">
        <v>218</v>
      </c>
    </row>
    <row r="526" spans="1:5" x14ac:dyDescent="0.2">
      <c r="A526" s="14">
        <v>45875.202557870398</v>
      </c>
      <c r="B526" t="s">
        <v>622</v>
      </c>
      <c r="C526" t="s">
        <v>17</v>
      </c>
      <c r="D526" t="s">
        <v>1003</v>
      </c>
    </row>
    <row r="527" spans="1:5" x14ac:dyDescent="0.2">
      <c r="A527" s="14">
        <v>45875.202754629601</v>
      </c>
      <c r="B527" t="s">
        <v>622</v>
      </c>
      <c r="C527" t="s">
        <v>17</v>
      </c>
      <c r="D527" t="s">
        <v>1004</v>
      </c>
    </row>
    <row r="528" spans="1:5" x14ac:dyDescent="0.2">
      <c r="A528" s="14">
        <v>45875.202777777798</v>
      </c>
      <c r="B528" t="s">
        <v>622</v>
      </c>
      <c r="C528" t="s">
        <v>17</v>
      </c>
      <c r="D528" t="s">
        <v>1005</v>
      </c>
    </row>
    <row r="529" spans="1:5" x14ac:dyDescent="0.2">
      <c r="A529" s="14">
        <v>45875.202777777798</v>
      </c>
      <c r="B529" t="s">
        <v>622</v>
      </c>
      <c r="C529" t="s">
        <v>17</v>
      </c>
      <c r="D529" t="s">
        <v>1006</v>
      </c>
    </row>
    <row r="530" spans="1:5" x14ac:dyDescent="0.2">
      <c r="A530" s="14">
        <v>45875.203414351898</v>
      </c>
      <c r="B530" t="s">
        <v>622</v>
      </c>
      <c r="C530" t="s">
        <v>17</v>
      </c>
      <c r="D530" t="s">
        <v>999</v>
      </c>
      <c r="E530" t="s">
        <v>86</v>
      </c>
    </row>
    <row r="531" spans="1:5" x14ac:dyDescent="0.2">
      <c r="A531" s="14">
        <v>45875.203449074099</v>
      </c>
      <c r="B531" t="s">
        <v>622</v>
      </c>
      <c r="C531" t="s">
        <v>17</v>
      </c>
      <c r="D531" t="s">
        <v>1007</v>
      </c>
      <c r="E531" t="s">
        <v>86</v>
      </c>
    </row>
    <row r="532" spans="1:5" x14ac:dyDescent="0.2">
      <c r="A532" s="14">
        <v>45875.207222222198</v>
      </c>
      <c r="B532" t="s">
        <v>622</v>
      </c>
      <c r="C532" t="s">
        <v>17</v>
      </c>
      <c r="D532" t="s">
        <v>1008</v>
      </c>
    </row>
    <row r="533" spans="1:5" x14ac:dyDescent="0.2">
      <c r="A533" s="14">
        <v>45875.207731481503</v>
      </c>
      <c r="B533" t="s">
        <v>622</v>
      </c>
      <c r="C533" t="s">
        <v>103</v>
      </c>
      <c r="D533" t="s">
        <v>1009</v>
      </c>
      <c r="E533" t="s">
        <v>46</v>
      </c>
    </row>
    <row r="534" spans="1:5" x14ac:dyDescent="0.2">
      <c r="A534" s="14">
        <v>45875.208263888897</v>
      </c>
      <c r="B534" t="s">
        <v>622</v>
      </c>
      <c r="C534" t="s">
        <v>17</v>
      </c>
      <c r="D534" t="s">
        <v>1008</v>
      </c>
    </row>
    <row r="535" spans="1:5" x14ac:dyDescent="0.2">
      <c r="A535" s="14">
        <v>45875.208333333299</v>
      </c>
      <c r="B535" t="s">
        <v>622</v>
      </c>
      <c r="C535" t="s">
        <v>17</v>
      </c>
      <c r="D535" t="s">
        <v>1004</v>
      </c>
      <c r="E535" t="s">
        <v>89</v>
      </c>
    </row>
    <row r="536" spans="1:5" x14ac:dyDescent="0.2">
      <c r="A536" s="14">
        <v>45875.208657407398</v>
      </c>
      <c r="B536" t="s">
        <v>622</v>
      </c>
      <c r="C536" t="s">
        <v>17</v>
      </c>
      <c r="D536" t="s">
        <v>1010</v>
      </c>
      <c r="E536">
        <v>0</v>
      </c>
    </row>
    <row r="537" spans="1:5" x14ac:dyDescent="0.2">
      <c r="A537" s="14">
        <v>45875.208715277797</v>
      </c>
      <c r="B537" t="s">
        <v>622</v>
      </c>
      <c r="C537" t="s">
        <v>17</v>
      </c>
      <c r="D537" t="s">
        <v>1011</v>
      </c>
      <c r="E537" t="s">
        <v>46</v>
      </c>
    </row>
    <row r="538" spans="1:5" x14ac:dyDescent="0.2">
      <c r="A538" s="14">
        <v>45875.208784722199</v>
      </c>
      <c r="B538" t="s">
        <v>622</v>
      </c>
      <c r="C538" t="s">
        <v>17</v>
      </c>
      <c r="D538" t="s">
        <v>1012</v>
      </c>
      <c r="E538" t="s">
        <v>177</v>
      </c>
    </row>
    <row r="539" spans="1:5" x14ac:dyDescent="0.2">
      <c r="A539" s="14">
        <v>45875.2088194444</v>
      </c>
      <c r="B539" t="s">
        <v>622</v>
      </c>
      <c r="C539" t="s">
        <v>17</v>
      </c>
      <c r="D539" t="s">
        <v>1012</v>
      </c>
      <c r="E539" t="s">
        <v>42</v>
      </c>
    </row>
    <row r="540" spans="1:5" x14ac:dyDescent="0.2">
      <c r="A540" s="14">
        <v>45875.209849537001</v>
      </c>
      <c r="B540" t="s">
        <v>622</v>
      </c>
      <c r="C540" t="s">
        <v>17</v>
      </c>
      <c r="D540" t="s">
        <v>1013</v>
      </c>
    </row>
    <row r="541" spans="1:5" x14ac:dyDescent="0.2">
      <c r="A541" s="14">
        <v>45875.209849537001</v>
      </c>
      <c r="B541" t="s">
        <v>622</v>
      </c>
      <c r="C541" t="s">
        <v>17</v>
      </c>
      <c r="D541" t="s">
        <v>1013</v>
      </c>
      <c r="E541">
        <v>0</v>
      </c>
    </row>
    <row r="542" spans="1:5" x14ac:dyDescent="0.2">
      <c r="A542" s="14">
        <v>45875.2100347222</v>
      </c>
      <c r="B542" t="s">
        <v>622</v>
      </c>
      <c r="C542" t="s">
        <v>103</v>
      </c>
      <c r="D542" t="s">
        <v>1014</v>
      </c>
      <c r="E542">
        <v>3000</v>
      </c>
    </row>
    <row r="543" spans="1:5" x14ac:dyDescent="0.2">
      <c r="A543" s="14">
        <v>45875.2107986111</v>
      </c>
      <c r="B543" t="s">
        <v>622</v>
      </c>
      <c r="C543" t="s">
        <v>17</v>
      </c>
      <c r="D543" t="s">
        <v>1013</v>
      </c>
      <c r="E543" t="e">
        <v>#VALUE!</v>
      </c>
    </row>
    <row r="544" spans="1:5" x14ac:dyDescent="0.2">
      <c r="A544" s="14">
        <v>45875.2108912037</v>
      </c>
      <c r="B544" t="s">
        <v>622</v>
      </c>
      <c r="C544" t="s">
        <v>17</v>
      </c>
      <c r="D544" t="s">
        <v>1013</v>
      </c>
      <c r="E544" t="e">
        <v>#VALUE!</v>
      </c>
    </row>
    <row r="545" spans="1:5" x14ac:dyDescent="0.2">
      <c r="A545" s="14">
        <v>45875.210914351897</v>
      </c>
      <c r="B545" t="s">
        <v>622</v>
      </c>
      <c r="C545" t="s">
        <v>17</v>
      </c>
      <c r="D545" t="s">
        <v>1013</v>
      </c>
    </row>
    <row r="546" spans="1:5" x14ac:dyDescent="0.2">
      <c r="A546" s="14">
        <v>45875.2117939815</v>
      </c>
      <c r="B546" t="s">
        <v>622</v>
      </c>
      <c r="C546" t="s">
        <v>29</v>
      </c>
      <c r="D546" t="s">
        <v>1013</v>
      </c>
      <c r="E546">
        <v>0</v>
      </c>
    </row>
    <row r="547" spans="1:5" x14ac:dyDescent="0.2">
      <c r="A547" s="14">
        <v>45875.212766203702</v>
      </c>
      <c r="B547" t="s">
        <v>622</v>
      </c>
      <c r="C547" t="s">
        <v>17</v>
      </c>
      <c r="D547" t="s">
        <v>1013</v>
      </c>
      <c r="E547">
        <v>0</v>
      </c>
    </row>
    <row r="548" spans="1:5" x14ac:dyDescent="0.2">
      <c r="A548" s="14">
        <v>45875.212835648097</v>
      </c>
      <c r="B548" t="s">
        <v>622</v>
      </c>
      <c r="C548" t="s">
        <v>17</v>
      </c>
      <c r="D548" t="s">
        <v>1015</v>
      </c>
      <c r="E548" t="s">
        <v>210</v>
      </c>
    </row>
    <row r="549" spans="1:5" x14ac:dyDescent="0.2">
      <c r="A549" s="14">
        <v>45875.212858796302</v>
      </c>
      <c r="B549" t="s">
        <v>622</v>
      </c>
      <c r="C549" t="s">
        <v>17</v>
      </c>
      <c r="D549" t="s">
        <v>1016</v>
      </c>
      <c r="E549" t="s">
        <v>1017</v>
      </c>
    </row>
    <row r="550" spans="1:5" x14ac:dyDescent="0.2">
      <c r="A550" s="14">
        <v>45875.212951388901</v>
      </c>
      <c r="B550" t="s">
        <v>622</v>
      </c>
      <c r="C550" t="s">
        <v>17</v>
      </c>
      <c r="D550" t="s">
        <v>1016</v>
      </c>
      <c r="E550" t="s">
        <v>211</v>
      </c>
    </row>
    <row r="551" spans="1:5" x14ac:dyDescent="0.2">
      <c r="A551" s="14">
        <v>45875.212974536997</v>
      </c>
      <c r="B551" t="s">
        <v>622</v>
      </c>
      <c r="C551" t="s">
        <v>17</v>
      </c>
      <c r="D551" t="s">
        <v>1018</v>
      </c>
      <c r="E551" t="s">
        <v>86</v>
      </c>
    </row>
    <row r="552" spans="1:5" x14ac:dyDescent="0.2">
      <c r="A552" s="14">
        <v>45875.213043981501</v>
      </c>
      <c r="B552" t="s">
        <v>622</v>
      </c>
      <c r="C552" t="s">
        <v>17</v>
      </c>
      <c r="D552" t="s">
        <v>1002</v>
      </c>
      <c r="E552" t="s">
        <v>219</v>
      </c>
    </row>
    <row r="553" spans="1:5" x14ac:dyDescent="0.2">
      <c r="A553" s="14">
        <v>45875.213159722203</v>
      </c>
      <c r="B553" t="s">
        <v>622</v>
      </c>
      <c r="C553" t="s">
        <v>17</v>
      </c>
      <c r="D553" t="s">
        <v>1015</v>
      </c>
      <c r="E553" t="s">
        <v>1019</v>
      </c>
    </row>
    <row r="554" spans="1:5" x14ac:dyDescent="0.2">
      <c r="A554" s="14">
        <v>45875.213217592602</v>
      </c>
      <c r="B554" t="s">
        <v>622</v>
      </c>
      <c r="C554" t="s">
        <v>17</v>
      </c>
      <c r="D554" t="s">
        <v>1015</v>
      </c>
      <c r="E554" t="s">
        <v>219</v>
      </c>
    </row>
    <row r="555" spans="1:5" x14ac:dyDescent="0.2">
      <c r="A555" s="14">
        <v>45875.213287036997</v>
      </c>
      <c r="B555" t="s">
        <v>622</v>
      </c>
      <c r="C555" t="s">
        <v>17</v>
      </c>
      <c r="D555" t="s">
        <v>1020</v>
      </c>
      <c r="E555" t="s">
        <v>410</v>
      </c>
    </row>
    <row r="556" spans="1:5" x14ac:dyDescent="0.2">
      <c r="A556" s="14">
        <v>45875.213310185201</v>
      </c>
      <c r="B556" t="s">
        <v>622</v>
      </c>
      <c r="C556" t="s">
        <v>17</v>
      </c>
      <c r="D556" t="s">
        <v>1021</v>
      </c>
      <c r="E556">
        <v>5</v>
      </c>
    </row>
    <row r="557" spans="1:5" x14ac:dyDescent="0.2">
      <c r="A557" s="14">
        <v>45875.213472222204</v>
      </c>
      <c r="B557" t="s">
        <v>622</v>
      </c>
      <c r="C557" t="s">
        <v>17</v>
      </c>
      <c r="D557" t="s">
        <v>1022</v>
      </c>
      <c r="E557" t="s">
        <v>89</v>
      </c>
    </row>
    <row r="558" spans="1:5" x14ac:dyDescent="0.2">
      <c r="A558" s="14">
        <v>45875.2136805556</v>
      </c>
      <c r="B558" t="s">
        <v>622</v>
      </c>
      <c r="C558" t="s">
        <v>17</v>
      </c>
      <c r="D558" t="s">
        <v>1023</v>
      </c>
      <c r="E558">
        <v>0</v>
      </c>
    </row>
    <row r="559" spans="1:5" x14ac:dyDescent="0.2">
      <c r="A559" s="14">
        <v>45875.213819444398</v>
      </c>
      <c r="B559" t="s">
        <v>622</v>
      </c>
      <c r="C559" t="s">
        <v>17</v>
      </c>
      <c r="D559" t="s">
        <v>1024</v>
      </c>
      <c r="E559">
        <v>0</v>
      </c>
    </row>
    <row r="560" spans="1:5" x14ac:dyDescent="0.2">
      <c r="A560" s="14">
        <v>45875.213865740698</v>
      </c>
      <c r="B560" t="s">
        <v>622</v>
      </c>
      <c r="C560" t="s">
        <v>17</v>
      </c>
      <c r="D560" t="s">
        <v>1025</v>
      </c>
      <c r="E560">
        <v>5</v>
      </c>
    </row>
    <row r="561" spans="1:5" x14ac:dyDescent="0.2">
      <c r="A561" s="14">
        <v>45875.213958333297</v>
      </c>
      <c r="B561" t="s">
        <v>622</v>
      </c>
      <c r="C561" t="s">
        <v>17</v>
      </c>
      <c r="D561" t="s">
        <v>1014</v>
      </c>
      <c r="E561">
        <v>0</v>
      </c>
    </row>
    <row r="562" spans="1:5" x14ac:dyDescent="0.2">
      <c r="A562" s="14">
        <v>45875.214560185203</v>
      </c>
      <c r="B562" t="s">
        <v>622</v>
      </c>
      <c r="C562" t="s">
        <v>17</v>
      </c>
      <c r="D562" t="s">
        <v>1013</v>
      </c>
      <c r="E562">
        <v>5</v>
      </c>
    </row>
    <row r="563" spans="1:5" x14ac:dyDescent="0.2">
      <c r="A563" s="14">
        <v>45875.214583333298</v>
      </c>
      <c r="B563" t="s">
        <v>622</v>
      </c>
      <c r="C563" t="s">
        <v>17</v>
      </c>
      <c r="D563" t="s">
        <v>1025</v>
      </c>
      <c r="E563">
        <v>5</v>
      </c>
    </row>
    <row r="564" spans="1:5" x14ac:dyDescent="0.2">
      <c r="A564" s="14">
        <v>45875.214652777802</v>
      </c>
      <c r="B564" t="s">
        <v>622</v>
      </c>
      <c r="C564" t="s">
        <v>17</v>
      </c>
      <c r="D564" t="s">
        <v>1014</v>
      </c>
      <c r="E564">
        <v>0</v>
      </c>
    </row>
    <row r="565" spans="1:5" x14ac:dyDescent="0.2">
      <c r="A565" s="14">
        <v>45875.214814814797</v>
      </c>
      <c r="B565" t="s">
        <v>622</v>
      </c>
      <c r="C565" t="s">
        <v>17</v>
      </c>
      <c r="D565" t="s">
        <v>1024</v>
      </c>
      <c r="E565">
        <v>0</v>
      </c>
    </row>
    <row r="566" spans="1:5" x14ac:dyDescent="0.2">
      <c r="A566" s="14">
        <v>45875.215127314797</v>
      </c>
      <c r="B566" t="s">
        <v>622</v>
      </c>
      <c r="C566" t="s">
        <v>17</v>
      </c>
      <c r="D566" t="s">
        <v>1024</v>
      </c>
      <c r="E566">
        <v>0</v>
      </c>
    </row>
    <row r="567" spans="1:5" x14ac:dyDescent="0.2">
      <c r="A567" s="14">
        <v>45875.215243055602</v>
      </c>
      <c r="B567" t="s">
        <v>622</v>
      </c>
      <c r="C567" t="s">
        <v>17</v>
      </c>
      <c r="D567" t="s">
        <v>1024</v>
      </c>
      <c r="E567">
        <v>0</v>
      </c>
    </row>
    <row r="568" spans="1:5" x14ac:dyDescent="0.2">
      <c r="A568" s="14">
        <v>45875.215312499997</v>
      </c>
      <c r="B568" t="s">
        <v>622</v>
      </c>
      <c r="C568" t="s">
        <v>17</v>
      </c>
      <c r="D568" t="s">
        <v>1026</v>
      </c>
      <c r="E568">
        <v>5</v>
      </c>
    </row>
    <row r="569" spans="1:5" x14ac:dyDescent="0.2">
      <c r="A569" s="14">
        <v>45875.215439814798</v>
      </c>
      <c r="B569" t="s">
        <v>622</v>
      </c>
      <c r="C569" t="s">
        <v>17</v>
      </c>
      <c r="D569" t="s">
        <v>1024</v>
      </c>
      <c r="E569">
        <v>0</v>
      </c>
    </row>
    <row r="570" spans="1:5" x14ac:dyDescent="0.2">
      <c r="A570" s="14">
        <v>45875.215462963002</v>
      </c>
      <c r="B570" t="s">
        <v>622</v>
      </c>
      <c r="C570" t="s">
        <v>17</v>
      </c>
      <c r="D570" t="s">
        <v>1027</v>
      </c>
      <c r="E570">
        <v>0</v>
      </c>
    </row>
    <row r="571" spans="1:5" x14ac:dyDescent="0.2">
      <c r="A571" s="14">
        <v>45875.215509259302</v>
      </c>
      <c r="B571" t="s">
        <v>622</v>
      </c>
      <c r="C571" t="s">
        <v>17</v>
      </c>
      <c r="D571" t="s">
        <v>1023</v>
      </c>
      <c r="E571">
        <v>0</v>
      </c>
    </row>
    <row r="572" spans="1:5" x14ac:dyDescent="0.2">
      <c r="A572" s="14">
        <v>45875.215578703697</v>
      </c>
      <c r="B572" t="s">
        <v>622</v>
      </c>
      <c r="C572" t="s">
        <v>17</v>
      </c>
      <c r="D572" t="s">
        <v>1028</v>
      </c>
      <c r="E572">
        <v>0</v>
      </c>
    </row>
    <row r="573" spans="1:5" x14ac:dyDescent="0.2">
      <c r="A573" s="14">
        <v>45875.215648148202</v>
      </c>
      <c r="B573" t="s">
        <v>622</v>
      </c>
      <c r="C573" t="s">
        <v>17</v>
      </c>
      <c r="D573" t="s">
        <v>1029</v>
      </c>
      <c r="E573" t="e">
        <v>#REF!</v>
      </c>
    </row>
    <row r="574" spans="1:5" x14ac:dyDescent="0.2">
      <c r="A574" s="14">
        <v>45875.2156944444</v>
      </c>
      <c r="B574" t="s">
        <v>622</v>
      </c>
      <c r="C574" t="s">
        <v>17</v>
      </c>
      <c r="D574" t="s">
        <v>1030</v>
      </c>
      <c r="E574">
        <v>0</v>
      </c>
    </row>
    <row r="575" spans="1:5" x14ac:dyDescent="0.2">
      <c r="A575" s="14">
        <v>45875.215706018498</v>
      </c>
      <c r="B575" t="s">
        <v>622</v>
      </c>
      <c r="C575" t="s">
        <v>17</v>
      </c>
      <c r="D575" t="s">
        <v>1031</v>
      </c>
      <c r="E575">
        <v>0</v>
      </c>
    </row>
    <row r="576" spans="1:5" x14ac:dyDescent="0.2">
      <c r="A576" s="14">
        <v>45875.215752314798</v>
      </c>
      <c r="B576" t="s">
        <v>622</v>
      </c>
      <c r="C576" t="s">
        <v>17</v>
      </c>
      <c r="D576" t="s">
        <v>1028</v>
      </c>
      <c r="E576">
        <v>0</v>
      </c>
    </row>
    <row r="577" spans="1:5" x14ac:dyDescent="0.2">
      <c r="A577" s="14">
        <v>45875.215775463003</v>
      </c>
      <c r="B577" t="s">
        <v>622</v>
      </c>
      <c r="C577" t="s">
        <v>17</v>
      </c>
      <c r="D577" t="s">
        <v>1032</v>
      </c>
      <c r="E577">
        <v>0</v>
      </c>
    </row>
    <row r="578" spans="1:5" x14ac:dyDescent="0.2">
      <c r="A578" s="14">
        <v>45875.215798611098</v>
      </c>
      <c r="B578" t="s">
        <v>622</v>
      </c>
      <c r="C578" t="s">
        <v>17</v>
      </c>
      <c r="D578" t="s">
        <v>1033</v>
      </c>
      <c r="E578">
        <v>0</v>
      </c>
    </row>
    <row r="579" spans="1:5" x14ac:dyDescent="0.2">
      <c r="A579" s="14">
        <v>45875.215844907398</v>
      </c>
      <c r="B579" t="s">
        <v>622</v>
      </c>
      <c r="C579" t="s">
        <v>17</v>
      </c>
      <c r="D579" t="s">
        <v>1028</v>
      </c>
      <c r="E579">
        <v>0</v>
      </c>
    </row>
    <row r="580" spans="1:5" x14ac:dyDescent="0.2">
      <c r="A580" s="14">
        <v>45875.215879629599</v>
      </c>
      <c r="B580" t="s">
        <v>622</v>
      </c>
      <c r="C580" t="s">
        <v>17</v>
      </c>
      <c r="D580" t="s">
        <v>1029</v>
      </c>
      <c r="E580">
        <v>0</v>
      </c>
    </row>
    <row r="581" spans="1:5" x14ac:dyDescent="0.2">
      <c r="A581" s="14">
        <v>45875.215937499997</v>
      </c>
      <c r="B581" t="s">
        <v>622</v>
      </c>
      <c r="C581" t="s">
        <v>17</v>
      </c>
      <c r="D581" t="s">
        <v>1034</v>
      </c>
      <c r="E581">
        <v>0</v>
      </c>
    </row>
    <row r="582" spans="1:5" x14ac:dyDescent="0.2">
      <c r="A582" s="14">
        <v>45875.215960648202</v>
      </c>
      <c r="B582" t="s">
        <v>622</v>
      </c>
      <c r="C582" t="s">
        <v>17</v>
      </c>
      <c r="D582" t="s">
        <v>1033</v>
      </c>
      <c r="E582">
        <v>0</v>
      </c>
    </row>
    <row r="583" spans="1:5" x14ac:dyDescent="0.2">
      <c r="A583" s="14">
        <v>45875.215983796297</v>
      </c>
      <c r="B583" t="s">
        <v>622</v>
      </c>
      <c r="C583" t="s">
        <v>17</v>
      </c>
      <c r="D583" t="s">
        <v>1035</v>
      </c>
      <c r="E583">
        <v>0</v>
      </c>
    </row>
    <row r="584" spans="1:5" x14ac:dyDescent="0.2">
      <c r="A584" s="14">
        <v>45875.216030092597</v>
      </c>
      <c r="B584" t="s">
        <v>622</v>
      </c>
      <c r="C584" t="s">
        <v>17</v>
      </c>
      <c r="D584" t="s">
        <v>1036</v>
      </c>
      <c r="E584">
        <v>2</v>
      </c>
    </row>
    <row r="585" spans="1:5" x14ac:dyDescent="0.2">
      <c r="A585" s="14">
        <v>45875.216076388897</v>
      </c>
      <c r="B585" t="s">
        <v>622</v>
      </c>
      <c r="C585" t="s">
        <v>17</v>
      </c>
      <c r="D585" t="s">
        <v>1004</v>
      </c>
      <c r="E585" t="s">
        <v>179</v>
      </c>
    </row>
    <row r="586" spans="1:5" x14ac:dyDescent="0.2">
      <c r="A586" s="14">
        <v>45875.216446759303</v>
      </c>
      <c r="B586" t="s">
        <v>622</v>
      </c>
      <c r="C586" t="s">
        <v>17</v>
      </c>
      <c r="D586" t="s">
        <v>1024</v>
      </c>
      <c r="E586">
        <v>0</v>
      </c>
    </row>
    <row r="587" spans="1:5" x14ac:dyDescent="0.2">
      <c r="A587" s="14">
        <v>45875.216550925899</v>
      </c>
      <c r="B587" t="s">
        <v>622</v>
      </c>
      <c r="C587" t="s">
        <v>17</v>
      </c>
      <c r="D587" t="s">
        <v>1031</v>
      </c>
      <c r="E587">
        <v>0</v>
      </c>
    </row>
    <row r="588" spans="1:5" x14ac:dyDescent="0.2">
      <c r="A588" s="14">
        <v>45875.216597222199</v>
      </c>
      <c r="B588" t="s">
        <v>622</v>
      </c>
      <c r="C588" t="s">
        <v>17</v>
      </c>
      <c r="D588" t="s">
        <v>1024</v>
      </c>
      <c r="E588">
        <v>0</v>
      </c>
    </row>
    <row r="589" spans="1:5" x14ac:dyDescent="0.2">
      <c r="A589" s="14">
        <v>45875.216666666704</v>
      </c>
      <c r="B589" t="s">
        <v>622</v>
      </c>
      <c r="C589" t="s">
        <v>17</v>
      </c>
      <c r="D589" t="s">
        <v>1031</v>
      </c>
      <c r="E589">
        <v>0</v>
      </c>
    </row>
    <row r="590" spans="1:5" x14ac:dyDescent="0.2">
      <c r="A590" s="14">
        <v>45875.2167708333</v>
      </c>
      <c r="B590" t="s">
        <v>622</v>
      </c>
      <c r="C590" t="s">
        <v>17</v>
      </c>
      <c r="D590" t="s">
        <v>1031</v>
      </c>
      <c r="E590">
        <v>0</v>
      </c>
    </row>
    <row r="591" spans="1:5" x14ac:dyDescent="0.2">
      <c r="A591" s="14">
        <v>45875.216805555603</v>
      </c>
      <c r="B591" t="s">
        <v>622</v>
      </c>
      <c r="C591" t="s">
        <v>17</v>
      </c>
      <c r="D591" t="s">
        <v>1024</v>
      </c>
      <c r="E591">
        <v>0</v>
      </c>
    </row>
    <row r="592" spans="1:5" x14ac:dyDescent="0.2">
      <c r="A592" s="14">
        <v>45875.217013888898</v>
      </c>
      <c r="B592" t="s">
        <v>622</v>
      </c>
      <c r="C592" t="s">
        <v>17</v>
      </c>
      <c r="D592" t="s">
        <v>1030</v>
      </c>
      <c r="E592">
        <v>0</v>
      </c>
    </row>
    <row r="593" spans="1:5" x14ac:dyDescent="0.2">
      <c r="A593" s="14">
        <v>45875.2170833333</v>
      </c>
      <c r="B593" t="s">
        <v>622</v>
      </c>
      <c r="C593" t="s">
        <v>17</v>
      </c>
      <c r="D593" t="s">
        <v>1031</v>
      </c>
      <c r="E593">
        <v>0</v>
      </c>
    </row>
    <row r="594" spans="1:5" x14ac:dyDescent="0.2">
      <c r="A594" s="14">
        <v>45875.217280092598</v>
      </c>
      <c r="B594" t="s">
        <v>622</v>
      </c>
      <c r="C594" t="s">
        <v>17</v>
      </c>
      <c r="D594" t="s">
        <v>1014</v>
      </c>
      <c r="E594">
        <v>0</v>
      </c>
    </row>
    <row r="595" spans="1:5" x14ac:dyDescent="0.2">
      <c r="A595" s="14">
        <v>45875.217361111099</v>
      </c>
      <c r="B595" t="s">
        <v>622</v>
      </c>
      <c r="C595" t="s">
        <v>17</v>
      </c>
      <c r="D595" t="s">
        <v>1013</v>
      </c>
      <c r="E595">
        <v>5</v>
      </c>
    </row>
    <row r="596" spans="1:5" x14ac:dyDescent="0.2">
      <c r="A596" s="14">
        <v>45875.217395833301</v>
      </c>
      <c r="B596" t="s">
        <v>622</v>
      </c>
      <c r="C596" t="s">
        <v>17</v>
      </c>
      <c r="D596" t="s">
        <v>1025</v>
      </c>
      <c r="E596">
        <v>5</v>
      </c>
    </row>
    <row r="597" spans="1:5" x14ac:dyDescent="0.2">
      <c r="A597" s="14">
        <v>45875.217418981498</v>
      </c>
      <c r="B597" t="s">
        <v>622</v>
      </c>
      <c r="C597" t="s">
        <v>17</v>
      </c>
      <c r="D597" t="s">
        <v>1013</v>
      </c>
      <c r="E597">
        <v>5</v>
      </c>
    </row>
    <row r="598" spans="1:5" x14ac:dyDescent="0.2">
      <c r="A598" s="14">
        <v>45875.217453703699</v>
      </c>
      <c r="B598" t="s">
        <v>622</v>
      </c>
      <c r="C598" t="s">
        <v>17</v>
      </c>
      <c r="D598" t="s">
        <v>1014</v>
      </c>
      <c r="E598">
        <v>0</v>
      </c>
    </row>
    <row r="599" spans="1:5" x14ac:dyDescent="0.2">
      <c r="A599" s="14">
        <v>45875.2174884259</v>
      </c>
      <c r="B599" t="s">
        <v>622</v>
      </c>
      <c r="C599" t="s">
        <v>17</v>
      </c>
      <c r="D599" t="s">
        <v>1037</v>
      </c>
      <c r="E599">
        <v>0</v>
      </c>
    </row>
    <row r="600" spans="1:5" x14ac:dyDescent="0.2">
      <c r="A600" s="14">
        <v>45875.217569444401</v>
      </c>
      <c r="B600" t="s">
        <v>622</v>
      </c>
      <c r="C600" t="s">
        <v>17</v>
      </c>
      <c r="D600" t="s">
        <v>1024</v>
      </c>
      <c r="E600">
        <v>0</v>
      </c>
    </row>
    <row r="601" spans="1:5" x14ac:dyDescent="0.2">
      <c r="A601" s="14">
        <v>45875.217604166697</v>
      </c>
      <c r="B601" t="s">
        <v>622</v>
      </c>
      <c r="C601" t="s">
        <v>17</v>
      </c>
      <c r="D601" t="s">
        <v>1030</v>
      </c>
      <c r="E601">
        <v>0</v>
      </c>
    </row>
    <row r="602" spans="1:5" x14ac:dyDescent="0.2">
      <c r="A602" s="14">
        <v>45875.217650462997</v>
      </c>
      <c r="B602" t="s">
        <v>622</v>
      </c>
      <c r="C602" t="s">
        <v>17</v>
      </c>
      <c r="D602" t="s">
        <v>1031</v>
      </c>
      <c r="E602">
        <v>0</v>
      </c>
    </row>
    <row r="603" spans="1:5" x14ac:dyDescent="0.2">
      <c r="A603" s="14">
        <v>45875.217766203699</v>
      </c>
      <c r="B603" t="s">
        <v>622</v>
      </c>
      <c r="C603" t="s">
        <v>17</v>
      </c>
      <c r="D603" t="s">
        <v>1031</v>
      </c>
      <c r="E603">
        <v>0</v>
      </c>
    </row>
    <row r="604" spans="1:5" x14ac:dyDescent="0.2">
      <c r="A604" s="14">
        <v>45875.2179398148</v>
      </c>
      <c r="B604" t="s">
        <v>622</v>
      </c>
      <c r="C604" t="s">
        <v>17</v>
      </c>
      <c r="D604" t="s">
        <v>1013</v>
      </c>
      <c r="E604">
        <v>5</v>
      </c>
    </row>
    <row r="605" spans="1:5" x14ac:dyDescent="0.2">
      <c r="A605" s="14">
        <v>45875.217974537001</v>
      </c>
      <c r="B605" t="s">
        <v>622</v>
      </c>
      <c r="C605" t="s">
        <v>17</v>
      </c>
      <c r="D605" t="s">
        <v>1025</v>
      </c>
      <c r="E605">
        <v>5</v>
      </c>
    </row>
    <row r="606" spans="1:5" x14ac:dyDescent="0.2">
      <c r="A606" s="14">
        <v>45875.218020833301</v>
      </c>
      <c r="B606" t="s">
        <v>622</v>
      </c>
      <c r="C606" t="s">
        <v>17</v>
      </c>
      <c r="D606" t="s">
        <v>1013</v>
      </c>
      <c r="E606">
        <v>5</v>
      </c>
    </row>
    <row r="607" spans="1:5" x14ac:dyDescent="0.2">
      <c r="A607" s="14">
        <v>45875.218136574098</v>
      </c>
      <c r="B607" t="s">
        <v>622</v>
      </c>
      <c r="C607" t="s">
        <v>17</v>
      </c>
      <c r="D607" t="s">
        <v>1014</v>
      </c>
      <c r="E607">
        <v>0</v>
      </c>
    </row>
    <row r="608" spans="1:5" x14ac:dyDescent="0.2">
      <c r="A608" s="14">
        <v>45875.218182870398</v>
      </c>
      <c r="B608" t="s">
        <v>622</v>
      </c>
      <c r="C608" t="s">
        <v>17</v>
      </c>
      <c r="D608" t="s">
        <v>1037</v>
      </c>
      <c r="E608">
        <v>0</v>
      </c>
    </row>
    <row r="609" spans="1:5" x14ac:dyDescent="0.2">
      <c r="A609" s="14">
        <v>45875.218217592599</v>
      </c>
      <c r="B609" t="s">
        <v>622</v>
      </c>
      <c r="C609" t="s">
        <v>17</v>
      </c>
      <c r="D609" t="s">
        <v>1024</v>
      </c>
      <c r="E609">
        <v>0</v>
      </c>
    </row>
    <row r="610" spans="1:5" x14ac:dyDescent="0.2">
      <c r="A610" s="14">
        <v>45875.218240740702</v>
      </c>
      <c r="B610" t="s">
        <v>622</v>
      </c>
      <c r="C610" t="s">
        <v>17</v>
      </c>
      <c r="D610" t="s">
        <v>1038</v>
      </c>
      <c r="E610">
        <v>5</v>
      </c>
    </row>
    <row r="611" spans="1:5" x14ac:dyDescent="0.2">
      <c r="A611" s="14">
        <v>45875.2183912037</v>
      </c>
      <c r="B611" t="s">
        <v>622</v>
      </c>
      <c r="C611" t="s">
        <v>17</v>
      </c>
      <c r="D611" t="s">
        <v>1024</v>
      </c>
      <c r="E611">
        <v>0</v>
      </c>
    </row>
    <row r="612" spans="1:5" x14ac:dyDescent="0.2">
      <c r="A612" s="14">
        <v>45875.2184375</v>
      </c>
      <c r="B612" t="s">
        <v>622</v>
      </c>
      <c r="C612" t="s">
        <v>17</v>
      </c>
      <c r="D612" t="s">
        <v>1028</v>
      </c>
      <c r="E612">
        <v>0</v>
      </c>
    </row>
    <row r="613" spans="1:5" x14ac:dyDescent="0.2">
      <c r="A613" s="14">
        <v>45875.218460648102</v>
      </c>
      <c r="B613" t="s">
        <v>622</v>
      </c>
      <c r="C613" t="s">
        <v>17</v>
      </c>
      <c r="D613" t="s">
        <v>1034</v>
      </c>
      <c r="E613">
        <v>0</v>
      </c>
    </row>
    <row r="614" spans="1:5" x14ac:dyDescent="0.2">
      <c r="A614" s="14">
        <v>45875.218495370398</v>
      </c>
      <c r="B614" t="s">
        <v>622</v>
      </c>
      <c r="C614" t="s">
        <v>17</v>
      </c>
      <c r="D614" t="s">
        <v>1024</v>
      </c>
      <c r="E614">
        <v>0</v>
      </c>
    </row>
    <row r="615" spans="1:5" x14ac:dyDescent="0.2">
      <c r="A615" s="14">
        <v>45875.218518518501</v>
      </c>
      <c r="B615" t="s">
        <v>622</v>
      </c>
      <c r="C615" t="s">
        <v>17</v>
      </c>
      <c r="D615" t="s">
        <v>1027</v>
      </c>
      <c r="E615">
        <v>0</v>
      </c>
    </row>
    <row r="616" spans="1:5" x14ac:dyDescent="0.2">
      <c r="A616" s="14">
        <v>45875.218553240702</v>
      </c>
      <c r="B616" t="s">
        <v>622</v>
      </c>
      <c r="C616" t="s">
        <v>17</v>
      </c>
      <c r="D616" t="s">
        <v>1032</v>
      </c>
      <c r="E616">
        <v>0</v>
      </c>
    </row>
    <row r="617" spans="1:5" x14ac:dyDescent="0.2">
      <c r="A617" s="14">
        <v>45875.218576388899</v>
      </c>
      <c r="B617" t="s">
        <v>622</v>
      </c>
      <c r="C617" t="s">
        <v>17</v>
      </c>
      <c r="D617" t="s">
        <v>1033</v>
      </c>
      <c r="E617">
        <v>0</v>
      </c>
    </row>
    <row r="618" spans="1:5" x14ac:dyDescent="0.2">
      <c r="A618" s="14">
        <v>45875.2186111111</v>
      </c>
      <c r="B618" t="s">
        <v>622</v>
      </c>
      <c r="C618" t="s">
        <v>17</v>
      </c>
      <c r="D618" t="s">
        <v>1039</v>
      </c>
      <c r="E618" t="s">
        <v>225</v>
      </c>
    </row>
    <row r="619" spans="1:5" x14ac:dyDescent="0.2">
      <c r="A619" s="14">
        <v>45875.218634259298</v>
      </c>
      <c r="B619" t="s">
        <v>622</v>
      </c>
      <c r="C619" t="s">
        <v>17</v>
      </c>
      <c r="D619" t="s">
        <v>1040</v>
      </c>
      <c r="E619">
        <v>5</v>
      </c>
    </row>
    <row r="620" spans="1:5" x14ac:dyDescent="0.2">
      <c r="A620" s="14">
        <v>45875.218668981499</v>
      </c>
      <c r="B620" t="s">
        <v>622</v>
      </c>
      <c r="C620" t="s">
        <v>17</v>
      </c>
      <c r="D620" t="s">
        <v>1041</v>
      </c>
      <c r="E620" t="s">
        <v>403</v>
      </c>
    </row>
    <row r="621" spans="1:5" x14ac:dyDescent="0.2">
      <c r="A621" s="14">
        <v>45875.218715277799</v>
      </c>
      <c r="B621" t="s">
        <v>622</v>
      </c>
      <c r="C621" t="s">
        <v>17</v>
      </c>
      <c r="D621" t="s">
        <v>1003</v>
      </c>
      <c r="E621" t="s">
        <v>218</v>
      </c>
    </row>
    <row r="622" spans="1:5" x14ac:dyDescent="0.2">
      <c r="A622" s="14">
        <v>45875.218784722201</v>
      </c>
      <c r="B622" t="s">
        <v>622</v>
      </c>
      <c r="C622" t="s">
        <v>17</v>
      </c>
      <c r="D622" t="s">
        <v>1042</v>
      </c>
      <c r="E622" t="s">
        <v>239</v>
      </c>
    </row>
    <row r="623" spans="1:5" x14ac:dyDescent="0.2">
      <c r="A623" s="14">
        <v>45875.2188425926</v>
      </c>
      <c r="B623" t="s">
        <v>622</v>
      </c>
      <c r="C623" t="s">
        <v>17</v>
      </c>
      <c r="D623" t="s">
        <v>1042</v>
      </c>
      <c r="E623" t="s">
        <v>432</v>
      </c>
    </row>
    <row r="624" spans="1:5" x14ac:dyDescent="0.2">
      <c r="A624" s="14">
        <v>45875.218969907401</v>
      </c>
      <c r="B624" t="s">
        <v>622</v>
      </c>
      <c r="C624" t="s">
        <v>17</v>
      </c>
      <c r="D624" t="s">
        <v>773</v>
      </c>
      <c r="E624" t="s">
        <v>216</v>
      </c>
    </row>
    <row r="625" spans="1:5" x14ac:dyDescent="0.2">
      <c r="A625" s="14">
        <v>45875.218993055598</v>
      </c>
      <c r="B625" t="s">
        <v>622</v>
      </c>
      <c r="C625" t="s">
        <v>17</v>
      </c>
      <c r="D625" t="s">
        <v>1043</v>
      </c>
      <c r="E625">
        <v>1</v>
      </c>
    </row>
    <row r="626" spans="1:5" x14ac:dyDescent="0.2">
      <c r="A626" s="14">
        <v>45875.219027777799</v>
      </c>
      <c r="B626" t="s">
        <v>622</v>
      </c>
      <c r="C626" t="s">
        <v>17</v>
      </c>
      <c r="D626" t="s">
        <v>1044</v>
      </c>
      <c r="E626" t="s">
        <v>397</v>
      </c>
    </row>
    <row r="627" spans="1:5" x14ac:dyDescent="0.2">
      <c r="A627" s="14">
        <v>45875.2190625</v>
      </c>
      <c r="B627" t="s">
        <v>622</v>
      </c>
      <c r="C627" t="s">
        <v>17</v>
      </c>
      <c r="D627" t="s">
        <v>949</v>
      </c>
      <c r="E627" t="s">
        <v>219</v>
      </c>
    </row>
    <row r="628" spans="1:5" x14ac:dyDescent="0.2">
      <c r="A628" s="14">
        <v>45875.2191087963</v>
      </c>
      <c r="B628" t="s">
        <v>622</v>
      </c>
      <c r="C628" t="s">
        <v>17</v>
      </c>
      <c r="D628" t="s">
        <v>1045</v>
      </c>
      <c r="E628" t="s">
        <v>425</v>
      </c>
    </row>
    <row r="629" spans="1:5" x14ac:dyDescent="0.2">
      <c r="A629" s="14">
        <v>45875.2195138889</v>
      </c>
      <c r="B629" t="s">
        <v>622</v>
      </c>
      <c r="C629" t="s">
        <v>17</v>
      </c>
      <c r="D629" t="s">
        <v>1046</v>
      </c>
    </row>
    <row r="630" spans="1:5" x14ac:dyDescent="0.2">
      <c r="A630" s="14">
        <v>45875.2196527778</v>
      </c>
      <c r="B630" t="s">
        <v>622</v>
      </c>
      <c r="C630" t="s">
        <v>17</v>
      </c>
      <c r="D630" t="s">
        <v>1047</v>
      </c>
    </row>
    <row r="631" spans="1:5" x14ac:dyDescent="0.2">
      <c r="A631" s="14">
        <v>45875.220046296301</v>
      </c>
      <c r="B631" t="s">
        <v>622</v>
      </c>
      <c r="C631" t="s">
        <v>17</v>
      </c>
      <c r="D631" t="s">
        <v>1048</v>
      </c>
    </row>
    <row r="632" spans="1:5" x14ac:dyDescent="0.2">
      <c r="A632" s="14">
        <v>45875.220196759299</v>
      </c>
      <c r="B632" t="s">
        <v>622</v>
      </c>
      <c r="C632" t="s">
        <v>17</v>
      </c>
      <c r="D632" t="s">
        <v>1049</v>
      </c>
    </row>
    <row r="633" spans="1:5" x14ac:dyDescent="0.2">
      <c r="A633" s="14">
        <v>45875.220798611103</v>
      </c>
      <c r="B633" t="s">
        <v>622</v>
      </c>
      <c r="C633" t="s">
        <v>17</v>
      </c>
      <c r="D633" t="s">
        <v>684</v>
      </c>
      <c r="E633" t="s">
        <v>40</v>
      </c>
    </row>
    <row r="634" spans="1:5" x14ac:dyDescent="0.2">
      <c r="A634" s="14">
        <v>45875.220833333296</v>
      </c>
      <c r="B634" t="s">
        <v>622</v>
      </c>
      <c r="C634" t="s">
        <v>17</v>
      </c>
      <c r="D634" t="s">
        <v>1050</v>
      </c>
      <c r="E634" t="s">
        <v>40</v>
      </c>
    </row>
    <row r="635" spans="1:5" x14ac:dyDescent="0.2">
      <c r="A635" s="14">
        <v>45875.220879629604</v>
      </c>
      <c r="B635" t="s">
        <v>622</v>
      </c>
      <c r="C635" t="s">
        <v>17</v>
      </c>
      <c r="D635" t="s">
        <v>1051</v>
      </c>
      <c r="E635" t="s">
        <v>40</v>
      </c>
    </row>
    <row r="636" spans="1:5" x14ac:dyDescent="0.2">
      <c r="A636" s="14">
        <v>45875.221307870401</v>
      </c>
      <c r="B636" t="s">
        <v>622</v>
      </c>
      <c r="C636" t="s">
        <v>637</v>
      </c>
      <c r="D636" t="s">
        <v>1052</v>
      </c>
      <c r="E636" t="s">
        <v>978</v>
      </c>
    </row>
    <row r="637" spans="1:5" ht="112" x14ac:dyDescent="0.2">
      <c r="A637" s="14">
        <v>45875.221423611103</v>
      </c>
      <c r="B637" t="s">
        <v>622</v>
      </c>
      <c r="C637" t="s">
        <v>637</v>
      </c>
      <c r="D637" t="s">
        <v>1053</v>
      </c>
      <c r="E637" s="2" t="s">
        <v>1054</v>
      </c>
    </row>
    <row r="638" spans="1:5" x14ac:dyDescent="0.2">
      <c r="A638" s="14">
        <v>45875.221828703703</v>
      </c>
      <c r="B638" t="s">
        <v>622</v>
      </c>
      <c r="C638" t="s">
        <v>637</v>
      </c>
      <c r="D638" t="s">
        <v>1055</v>
      </c>
      <c r="E638" t="s">
        <v>87</v>
      </c>
    </row>
    <row r="639" spans="1:5" x14ac:dyDescent="0.2">
      <c r="A639" s="14">
        <v>45875.221944444398</v>
      </c>
      <c r="B639" t="s">
        <v>622</v>
      </c>
      <c r="C639" t="s">
        <v>637</v>
      </c>
      <c r="D639" t="s">
        <v>1056</v>
      </c>
      <c r="E639" t="s">
        <v>1057</v>
      </c>
    </row>
    <row r="640" spans="1:5" x14ac:dyDescent="0.2">
      <c r="A640" s="14">
        <v>45875.222280092603</v>
      </c>
      <c r="B640" t="s">
        <v>622</v>
      </c>
      <c r="C640" t="s">
        <v>637</v>
      </c>
      <c r="D640" t="s">
        <v>1058</v>
      </c>
    </row>
    <row r="641" spans="1:5" x14ac:dyDescent="0.2">
      <c r="A641" s="14">
        <v>45875.222349536998</v>
      </c>
      <c r="B641" t="s">
        <v>622</v>
      </c>
      <c r="C641" t="s">
        <v>637</v>
      </c>
      <c r="D641" t="s">
        <v>1059</v>
      </c>
      <c r="E641">
        <v>8</v>
      </c>
    </row>
    <row r="642" spans="1:5" x14ac:dyDescent="0.2">
      <c r="A642" s="14">
        <v>45875.222615740699</v>
      </c>
      <c r="B642" t="s">
        <v>622</v>
      </c>
      <c r="C642" t="s">
        <v>637</v>
      </c>
      <c r="D642" t="s">
        <v>1060</v>
      </c>
      <c r="E642">
        <v>10</v>
      </c>
    </row>
    <row r="643" spans="1:5" x14ac:dyDescent="0.2">
      <c r="A643" s="14">
        <v>45875.222650463002</v>
      </c>
      <c r="B643" t="s">
        <v>622</v>
      </c>
      <c r="C643" t="s">
        <v>637</v>
      </c>
      <c r="D643" t="s">
        <v>1061</v>
      </c>
      <c r="E643" t="s">
        <v>98</v>
      </c>
    </row>
    <row r="644" spans="1:5" x14ac:dyDescent="0.2">
      <c r="A644" s="14">
        <v>45875.224050925899</v>
      </c>
      <c r="B644" t="s">
        <v>622</v>
      </c>
      <c r="C644" t="s">
        <v>637</v>
      </c>
      <c r="D644" t="s">
        <v>1062</v>
      </c>
      <c r="E644" t="s">
        <v>1063</v>
      </c>
    </row>
    <row r="645" spans="1:5" x14ac:dyDescent="0.2">
      <c r="A645" s="14">
        <v>45875.224699074097</v>
      </c>
      <c r="B645" t="s">
        <v>622</v>
      </c>
      <c r="C645" t="s">
        <v>17</v>
      </c>
      <c r="D645" t="s">
        <v>1064</v>
      </c>
    </row>
    <row r="646" spans="1:5" x14ac:dyDescent="0.2">
      <c r="A646" s="14">
        <v>45875.224884259304</v>
      </c>
      <c r="B646" t="s">
        <v>622</v>
      </c>
      <c r="C646" t="s">
        <v>637</v>
      </c>
      <c r="D646" t="s">
        <v>1065</v>
      </c>
    </row>
    <row r="647" spans="1:5" x14ac:dyDescent="0.2">
      <c r="A647" s="14">
        <v>45875.224953703699</v>
      </c>
      <c r="B647" t="s">
        <v>622</v>
      </c>
      <c r="C647" t="s">
        <v>637</v>
      </c>
      <c r="D647" t="s">
        <v>1066</v>
      </c>
      <c r="E647">
        <v>9</v>
      </c>
    </row>
    <row r="648" spans="1:5" x14ac:dyDescent="0.2">
      <c r="A648" s="14">
        <v>45875.2249884259</v>
      </c>
      <c r="B648" t="s">
        <v>622</v>
      </c>
      <c r="C648" t="s">
        <v>637</v>
      </c>
      <c r="D648" t="s">
        <v>1067</v>
      </c>
      <c r="E648">
        <v>9</v>
      </c>
    </row>
    <row r="649" spans="1:5" x14ac:dyDescent="0.2">
      <c r="A649" s="14">
        <v>45875.225208333301</v>
      </c>
      <c r="B649" t="s">
        <v>622</v>
      </c>
      <c r="C649" t="s">
        <v>637</v>
      </c>
      <c r="D649" t="s">
        <v>1065</v>
      </c>
    </row>
    <row r="650" spans="1:5" x14ac:dyDescent="0.2">
      <c r="A650" s="14">
        <v>45875.225266203699</v>
      </c>
      <c r="B650" t="s">
        <v>622</v>
      </c>
      <c r="C650" t="s">
        <v>637</v>
      </c>
      <c r="D650" t="s">
        <v>1068</v>
      </c>
      <c r="E650">
        <v>9</v>
      </c>
    </row>
    <row r="651" spans="1:5" x14ac:dyDescent="0.2">
      <c r="A651" s="14">
        <v>45875.225509259297</v>
      </c>
      <c r="B651" t="s">
        <v>622</v>
      </c>
      <c r="C651" t="s">
        <v>637</v>
      </c>
      <c r="D651" t="s">
        <v>1069</v>
      </c>
    </row>
    <row r="652" spans="1:5" x14ac:dyDescent="0.2">
      <c r="A652" s="14">
        <v>45875.225613425901</v>
      </c>
      <c r="B652" t="s">
        <v>622</v>
      </c>
      <c r="C652" t="s">
        <v>637</v>
      </c>
      <c r="D652" t="s">
        <v>1070</v>
      </c>
      <c r="E652" t="s">
        <v>94</v>
      </c>
    </row>
    <row r="653" spans="1:5" x14ac:dyDescent="0.2">
      <c r="A653" s="14">
        <v>45875.226006944402</v>
      </c>
      <c r="B653" t="s">
        <v>622</v>
      </c>
      <c r="C653" t="s">
        <v>637</v>
      </c>
      <c r="D653" t="s">
        <v>1071</v>
      </c>
      <c r="E653" t="s">
        <v>1072</v>
      </c>
    </row>
    <row r="654" spans="1:5" x14ac:dyDescent="0.2">
      <c r="A654" s="14">
        <v>45875.2261111111</v>
      </c>
      <c r="B654" t="s">
        <v>622</v>
      </c>
      <c r="C654" t="s">
        <v>637</v>
      </c>
      <c r="D654" t="s">
        <v>1073</v>
      </c>
      <c r="E654" t="s">
        <v>80</v>
      </c>
    </row>
    <row r="655" spans="1:5" x14ac:dyDescent="0.2">
      <c r="A655" s="14">
        <v>45875.226226851897</v>
      </c>
      <c r="B655" t="s">
        <v>622</v>
      </c>
      <c r="C655" t="s">
        <v>637</v>
      </c>
      <c r="D655" t="s">
        <v>1074</v>
      </c>
      <c r="E655" t="s">
        <v>11</v>
      </c>
    </row>
    <row r="656" spans="1:5" x14ac:dyDescent="0.2">
      <c r="A656" s="14">
        <v>45875.226400462998</v>
      </c>
      <c r="B656" t="s">
        <v>622</v>
      </c>
      <c r="C656" t="s">
        <v>637</v>
      </c>
      <c r="D656" t="s">
        <v>1075</v>
      </c>
    </row>
    <row r="657" spans="1:5" x14ac:dyDescent="0.2">
      <c r="A657" s="14">
        <v>45875.226458333302</v>
      </c>
      <c r="B657" t="s">
        <v>622</v>
      </c>
      <c r="C657" t="s">
        <v>637</v>
      </c>
      <c r="D657" t="s">
        <v>1076</v>
      </c>
      <c r="E657">
        <v>10</v>
      </c>
    </row>
    <row r="658" spans="1:5" x14ac:dyDescent="0.2">
      <c r="A658" s="14">
        <v>45875.226712962998</v>
      </c>
      <c r="B658" t="s">
        <v>622</v>
      </c>
      <c r="C658" t="s">
        <v>637</v>
      </c>
      <c r="D658" t="s">
        <v>1077</v>
      </c>
    </row>
    <row r="659" spans="1:5" x14ac:dyDescent="0.2">
      <c r="A659" s="14">
        <v>45875.226759259298</v>
      </c>
      <c r="B659" t="s">
        <v>622</v>
      </c>
      <c r="C659" t="s">
        <v>637</v>
      </c>
      <c r="D659" t="s">
        <v>1078</v>
      </c>
      <c r="E659" t="s">
        <v>98</v>
      </c>
    </row>
    <row r="660" spans="1:5" x14ac:dyDescent="0.2">
      <c r="A660" s="14">
        <v>45875.226909722202</v>
      </c>
      <c r="B660" t="s">
        <v>622</v>
      </c>
      <c r="C660" t="s">
        <v>637</v>
      </c>
      <c r="D660" t="s">
        <v>1079</v>
      </c>
      <c r="E660" t="s">
        <v>1063</v>
      </c>
    </row>
    <row r="661" spans="1:5" x14ac:dyDescent="0.2">
      <c r="A661" s="14">
        <v>45875.226944444403</v>
      </c>
      <c r="B661" t="s">
        <v>622</v>
      </c>
      <c r="C661" t="s">
        <v>637</v>
      </c>
      <c r="D661" t="s">
        <v>1080</v>
      </c>
      <c r="E661">
        <v>12</v>
      </c>
    </row>
    <row r="662" spans="1:5" x14ac:dyDescent="0.2">
      <c r="A662" s="14">
        <v>45875.227002314801</v>
      </c>
      <c r="B662" t="s">
        <v>622</v>
      </c>
      <c r="C662" t="s">
        <v>637</v>
      </c>
      <c r="D662" t="s">
        <v>1081</v>
      </c>
      <c r="E662" t="s">
        <v>80</v>
      </c>
    </row>
    <row r="663" spans="1:5" x14ac:dyDescent="0.2">
      <c r="A663" s="14">
        <v>45875.227083333302</v>
      </c>
      <c r="B663" t="s">
        <v>622</v>
      </c>
      <c r="C663" t="s">
        <v>637</v>
      </c>
      <c r="D663" t="s">
        <v>1073</v>
      </c>
      <c r="E663" t="s">
        <v>66</v>
      </c>
    </row>
    <row r="664" spans="1:5" x14ac:dyDescent="0.2">
      <c r="A664" s="14">
        <v>45875.227094907401</v>
      </c>
      <c r="B664" t="s">
        <v>622</v>
      </c>
      <c r="C664" t="s">
        <v>637</v>
      </c>
      <c r="D664" t="s">
        <v>1073</v>
      </c>
      <c r="E664" t="s">
        <v>80</v>
      </c>
    </row>
    <row r="665" spans="1:5" x14ac:dyDescent="0.2">
      <c r="A665" s="14">
        <v>45875.227129629602</v>
      </c>
      <c r="B665" t="s">
        <v>622</v>
      </c>
      <c r="C665" t="s">
        <v>637</v>
      </c>
      <c r="D665" t="s">
        <v>1073</v>
      </c>
      <c r="E665" t="s">
        <v>66</v>
      </c>
    </row>
    <row r="666" spans="1:5" x14ac:dyDescent="0.2">
      <c r="A666" s="14">
        <v>45875.227152777799</v>
      </c>
      <c r="B666" t="s">
        <v>622</v>
      </c>
      <c r="C666" t="s">
        <v>637</v>
      </c>
      <c r="D666" t="s">
        <v>1081</v>
      </c>
      <c r="E666" t="s">
        <v>66</v>
      </c>
    </row>
    <row r="667" spans="1:5" x14ac:dyDescent="0.2">
      <c r="A667" s="14">
        <v>45875.227604166699</v>
      </c>
      <c r="B667" t="s">
        <v>622</v>
      </c>
      <c r="C667" t="s">
        <v>637</v>
      </c>
      <c r="D667" t="s">
        <v>1082</v>
      </c>
      <c r="E667">
        <v>2</v>
      </c>
    </row>
    <row r="668" spans="1:5" x14ac:dyDescent="0.2">
      <c r="A668" s="14">
        <v>45875.228472222203</v>
      </c>
      <c r="B668" t="s">
        <v>622</v>
      </c>
      <c r="C668" t="s">
        <v>29</v>
      </c>
      <c r="D668" t="s">
        <v>1083</v>
      </c>
    </row>
    <row r="669" spans="1:5" x14ac:dyDescent="0.2">
      <c r="A669" s="14">
        <v>45875.228472222203</v>
      </c>
      <c r="B669" t="s">
        <v>622</v>
      </c>
      <c r="C669" t="s">
        <v>29</v>
      </c>
      <c r="D669" t="s">
        <v>1084</v>
      </c>
      <c r="E669" t="s">
        <v>1085</v>
      </c>
    </row>
    <row r="670" spans="1:5" x14ac:dyDescent="0.2">
      <c r="A670" s="14">
        <v>45875.228518518503</v>
      </c>
      <c r="B670" t="s">
        <v>622</v>
      </c>
      <c r="C670" t="s">
        <v>29</v>
      </c>
      <c r="D670" t="s">
        <v>1086</v>
      </c>
      <c r="E670" t="s">
        <v>399</v>
      </c>
    </row>
    <row r="671" spans="1:5" x14ac:dyDescent="0.2">
      <c r="A671" s="14">
        <v>45875.2285416667</v>
      </c>
      <c r="B671" t="s">
        <v>622</v>
      </c>
      <c r="C671" t="s">
        <v>29</v>
      </c>
      <c r="D671" t="s">
        <v>1087</v>
      </c>
      <c r="E671" t="s">
        <v>324</v>
      </c>
    </row>
    <row r="672" spans="1:5" x14ac:dyDescent="0.2">
      <c r="A672" s="14">
        <v>45875.2286342593</v>
      </c>
      <c r="B672" t="s">
        <v>622</v>
      </c>
      <c r="C672" t="s">
        <v>29</v>
      </c>
      <c r="D672" t="s">
        <v>1088</v>
      </c>
      <c r="E672" t="s">
        <v>323</v>
      </c>
    </row>
    <row r="673" spans="1:5" x14ac:dyDescent="0.2">
      <c r="A673" s="14">
        <v>45875.229027777801</v>
      </c>
      <c r="B673" t="s">
        <v>622</v>
      </c>
      <c r="C673" t="s">
        <v>29</v>
      </c>
      <c r="D673" t="s">
        <v>1014</v>
      </c>
      <c r="E673">
        <v>0</v>
      </c>
    </row>
    <row r="674" spans="1:5" x14ac:dyDescent="0.2">
      <c r="A674" s="14">
        <v>45875.229201388902</v>
      </c>
      <c r="B674" t="s">
        <v>622</v>
      </c>
      <c r="C674" t="s">
        <v>29</v>
      </c>
      <c r="D674" t="s">
        <v>1013</v>
      </c>
      <c r="E674">
        <v>0</v>
      </c>
    </row>
    <row r="675" spans="1:5" x14ac:dyDescent="0.2">
      <c r="A675" s="14">
        <v>45875.2292592593</v>
      </c>
      <c r="B675" t="s">
        <v>622</v>
      </c>
      <c r="C675" t="s">
        <v>29</v>
      </c>
      <c r="D675" t="s">
        <v>1014</v>
      </c>
      <c r="E675">
        <v>0</v>
      </c>
    </row>
    <row r="676" spans="1:5" x14ac:dyDescent="0.2">
      <c r="A676" s="14">
        <v>45875.2293055556</v>
      </c>
      <c r="B676" t="s">
        <v>622</v>
      </c>
      <c r="C676" t="s">
        <v>29</v>
      </c>
      <c r="D676" t="s">
        <v>1013</v>
      </c>
      <c r="E676">
        <v>0</v>
      </c>
    </row>
    <row r="677" spans="1:5" x14ac:dyDescent="0.2">
      <c r="A677" s="14">
        <v>45875.229351851798</v>
      </c>
      <c r="B677" t="s">
        <v>622</v>
      </c>
      <c r="C677" t="s">
        <v>29</v>
      </c>
      <c r="D677" t="s">
        <v>1089</v>
      </c>
      <c r="E677">
        <v>0</v>
      </c>
    </row>
    <row r="678" spans="1:5" x14ac:dyDescent="0.2">
      <c r="A678" s="14">
        <v>45875.229421296302</v>
      </c>
      <c r="B678" t="s">
        <v>622</v>
      </c>
      <c r="C678" t="s">
        <v>29</v>
      </c>
      <c r="D678" t="s">
        <v>1013</v>
      </c>
      <c r="E678">
        <v>0</v>
      </c>
    </row>
    <row r="679" spans="1:5" x14ac:dyDescent="0.2">
      <c r="A679" s="14">
        <v>45875.229525463001</v>
      </c>
      <c r="B679" t="s">
        <v>622</v>
      </c>
      <c r="C679" t="s">
        <v>29</v>
      </c>
      <c r="D679" t="s">
        <v>1090</v>
      </c>
      <c r="E679">
        <v>0</v>
      </c>
    </row>
    <row r="680" spans="1:5" x14ac:dyDescent="0.2">
      <c r="A680" s="14">
        <v>45875.229629629597</v>
      </c>
      <c r="B680" t="s">
        <v>622</v>
      </c>
      <c r="C680" t="s">
        <v>29</v>
      </c>
      <c r="D680" t="s">
        <v>1013</v>
      </c>
      <c r="E680">
        <v>0</v>
      </c>
    </row>
    <row r="681" spans="1:5" x14ac:dyDescent="0.2">
      <c r="A681" s="14">
        <v>45875.229664351798</v>
      </c>
      <c r="B681" t="s">
        <v>622</v>
      </c>
      <c r="C681" t="s">
        <v>29</v>
      </c>
      <c r="D681" t="s">
        <v>1089</v>
      </c>
      <c r="E681">
        <v>0</v>
      </c>
    </row>
    <row r="682" spans="1:5" x14ac:dyDescent="0.2">
      <c r="A682" s="14">
        <v>45875.229768518497</v>
      </c>
      <c r="B682" t="s">
        <v>622</v>
      </c>
      <c r="C682" t="s">
        <v>29</v>
      </c>
      <c r="D682" t="s">
        <v>1013</v>
      </c>
      <c r="E682">
        <v>0</v>
      </c>
    </row>
    <row r="683" spans="1:5" x14ac:dyDescent="0.2">
      <c r="A683" s="14">
        <v>45875.229791666701</v>
      </c>
      <c r="B683" t="s">
        <v>622</v>
      </c>
      <c r="C683" t="s">
        <v>29</v>
      </c>
      <c r="D683" t="s">
        <v>1038</v>
      </c>
      <c r="E683">
        <v>0</v>
      </c>
    </row>
    <row r="684" spans="1:5" x14ac:dyDescent="0.2">
      <c r="A684" s="14">
        <v>45875.229837963001</v>
      </c>
      <c r="B684" t="s">
        <v>622</v>
      </c>
      <c r="C684" t="s">
        <v>29</v>
      </c>
      <c r="D684" t="s">
        <v>1024</v>
      </c>
      <c r="E684">
        <v>0</v>
      </c>
    </row>
    <row r="685" spans="1:5" x14ac:dyDescent="0.2">
      <c r="A685" s="14">
        <v>45875.229907407404</v>
      </c>
      <c r="B685" t="s">
        <v>622</v>
      </c>
      <c r="C685" t="s">
        <v>29</v>
      </c>
      <c r="D685" t="s">
        <v>1024</v>
      </c>
      <c r="E685">
        <v>0</v>
      </c>
    </row>
    <row r="686" spans="1:5" x14ac:dyDescent="0.2">
      <c r="A686" s="14">
        <v>45875.229942129597</v>
      </c>
      <c r="B686" t="s">
        <v>622</v>
      </c>
      <c r="C686" t="s">
        <v>29</v>
      </c>
      <c r="D686" t="s">
        <v>1091</v>
      </c>
      <c r="E686">
        <v>0</v>
      </c>
    </row>
    <row r="687" spans="1:5" x14ac:dyDescent="0.2">
      <c r="A687" s="14">
        <v>45875.230081018497</v>
      </c>
      <c r="B687" t="s">
        <v>622</v>
      </c>
      <c r="C687" t="s">
        <v>29</v>
      </c>
      <c r="D687" t="s">
        <v>1092</v>
      </c>
      <c r="E687" t="s">
        <v>358</v>
      </c>
    </row>
    <row r="688" spans="1:5" x14ac:dyDescent="0.2">
      <c r="A688" s="14">
        <v>45875.230115740698</v>
      </c>
      <c r="B688" t="s">
        <v>622</v>
      </c>
      <c r="C688" t="s">
        <v>29</v>
      </c>
      <c r="D688" t="s">
        <v>1041</v>
      </c>
      <c r="E688" t="s">
        <v>399</v>
      </c>
    </row>
    <row r="689" spans="1:5" x14ac:dyDescent="0.2">
      <c r="A689" s="14">
        <v>45875.230138888903</v>
      </c>
      <c r="B689" t="s">
        <v>622</v>
      </c>
      <c r="C689" t="s">
        <v>29</v>
      </c>
      <c r="D689" t="s">
        <v>1044</v>
      </c>
      <c r="E689" t="s">
        <v>1093</v>
      </c>
    </row>
    <row r="690" spans="1:5" x14ac:dyDescent="0.2">
      <c r="A690" s="14">
        <v>45875.230173611097</v>
      </c>
      <c r="B690" t="s">
        <v>622</v>
      </c>
      <c r="C690" t="s">
        <v>29</v>
      </c>
      <c r="D690" t="s">
        <v>1094</v>
      </c>
      <c r="E690" t="s">
        <v>358</v>
      </c>
    </row>
    <row r="691" spans="1:5" x14ac:dyDescent="0.2">
      <c r="A691" s="14">
        <v>45875.230196759301</v>
      </c>
      <c r="B691" t="s">
        <v>622</v>
      </c>
      <c r="C691" t="s">
        <v>29</v>
      </c>
      <c r="D691" t="s">
        <v>1095</v>
      </c>
      <c r="E691" t="s">
        <v>391</v>
      </c>
    </row>
    <row r="692" spans="1:5" x14ac:dyDescent="0.2">
      <c r="A692" s="14">
        <v>45875.230254629598</v>
      </c>
      <c r="B692" t="s">
        <v>622</v>
      </c>
      <c r="C692" t="s">
        <v>29</v>
      </c>
      <c r="D692" t="s">
        <v>1028</v>
      </c>
      <c r="E692">
        <v>0</v>
      </c>
    </row>
    <row r="693" spans="1:5" x14ac:dyDescent="0.2">
      <c r="A693" s="14">
        <v>45875.230277777802</v>
      </c>
      <c r="B693" t="s">
        <v>622</v>
      </c>
      <c r="C693" t="s">
        <v>29</v>
      </c>
      <c r="D693" t="s">
        <v>1029</v>
      </c>
      <c r="E693">
        <v>0</v>
      </c>
    </row>
    <row r="694" spans="1:5" x14ac:dyDescent="0.2">
      <c r="A694" s="14">
        <v>45875.230347222197</v>
      </c>
      <c r="B694" t="s">
        <v>622</v>
      </c>
      <c r="C694" t="s">
        <v>29</v>
      </c>
      <c r="D694" t="s">
        <v>1096</v>
      </c>
      <c r="E694">
        <v>0</v>
      </c>
    </row>
    <row r="695" spans="1:5" x14ac:dyDescent="0.2">
      <c r="A695" s="14">
        <v>45875.230428240699</v>
      </c>
      <c r="B695" t="s">
        <v>622</v>
      </c>
      <c r="C695" t="s">
        <v>29</v>
      </c>
      <c r="D695" t="s">
        <v>1029</v>
      </c>
      <c r="E695">
        <v>0</v>
      </c>
    </row>
    <row r="696" spans="1:5" x14ac:dyDescent="0.2">
      <c r="A696" s="14">
        <v>45875.230462963002</v>
      </c>
      <c r="B696" t="s">
        <v>622</v>
      </c>
      <c r="C696" t="s">
        <v>29</v>
      </c>
      <c r="D696" t="s">
        <v>1096</v>
      </c>
      <c r="E696">
        <v>0</v>
      </c>
    </row>
    <row r="697" spans="1:5" x14ac:dyDescent="0.2">
      <c r="A697" s="14">
        <v>45875.230497685203</v>
      </c>
      <c r="B697" t="s">
        <v>622</v>
      </c>
      <c r="C697" t="s">
        <v>29</v>
      </c>
      <c r="D697" t="s">
        <v>1028</v>
      </c>
      <c r="E697">
        <v>0</v>
      </c>
    </row>
    <row r="698" spans="1:5" x14ac:dyDescent="0.2">
      <c r="A698" s="14">
        <v>45875.230509259301</v>
      </c>
      <c r="B698" t="s">
        <v>622</v>
      </c>
      <c r="C698" t="s">
        <v>29</v>
      </c>
      <c r="D698" t="s">
        <v>1029</v>
      </c>
      <c r="E698">
        <v>0</v>
      </c>
    </row>
    <row r="699" spans="1:5" x14ac:dyDescent="0.2">
      <c r="A699" s="14">
        <v>45875.230590277803</v>
      </c>
      <c r="B699" t="s">
        <v>622</v>
      </c>
      <c r="C699" t="s">
        <v>29</v>
      </c>
      <c r="D699" t="s">
        <v>1097</v>
      </c>
      <c r="E699">
        <v>0</v>
      </c>
    </row>
    <row r="700" spans="1:5" x14ac:dyDescent="0.2">
      <c r="A700" s="14">
        <v>45875.230659722198</v>
      </c>
      <c r="B700" t="s">
        <v>622</v>
      </c>
      <c r="C700" t="s">
        <v>29</v>
      </c>
      <c r="D700" t="s">
        <v>1028</v>
      </c>
      <c r="E700">
        <v>0</v>
      </c>
    </row>
    <row r="701" spans="1:5" x14ac:dyDescent="0.2">
      <c r="A701" s="14">
        <v>45875.230682870402</v>
      </c>
      <c r="B701" t="s">
        <v>622</v>
      </c>
      <c r="C701" t="s">
        <v>29</v>
      </c>
      <c r="D701" t="s">
        <v>1096</v>
      </c>
      <c r="E701">
        <v>0</v>
      </c>
    </row>
    <row r="702" spans="1:5" x14ac:dyDescent="0.2">
      <c r="A702" s="14">
        <v>45875.230752314797</v>
      </c>
      <c r="B702" t="s">
        <v>622</v>
      </c>
      <c r="C702" t="s">
        <v>29</v>
      </c>
      <c r="D702" t="s">
        <v>1098</v>
      </c>
      <c r="E702">
        <v>1000</v>
      </c>
    </row>
    <row r="703" spans="1:5" x14ac:dyDescent="0.2">
      <c r="A703" s="14">
        <v>45875.230833333299</v>
      </c>
      <c r="B703" t="s">
        <v>622</v>
      </c>
      <c r="C703" t="s">
        <v>29</v>
      </c>
      <c r="D703" t="s">
        <v>1034</v>
      </c>
      <c r="E703">
        <v>0</v>
      </c>
    </row>
    <row r="704" spans="1:5" x14ac:dyDescent="0.2">
      <c r="A704" s="14">
        <v>45875.230868055602</v>
      </c>
      <c r="B704" t="s">
        <v>622</v>
      </c>
      <c r="C704" t="s">
        <v>29</v>
      </c>
      <c r="D704" t="s">
        <v>1099</v>
      </c>
      <c r="E704">
        <v>0</v>
      </c>
    </row>
    <row r="705" spans="1:5" x14ac:dyDescent="0.2">
      <c r="A705" s="14">
        <v>45875.230891203697</v>
      </c>
      <c r="B705" t="s">
        <v>622</v>
      </c>
      <c r="C705" t="s">
        <v>29</v>
      </c>
      <c r="D705" t="s">
        <v>1034</v>
      </c>
      <c r="E705">
        <v>0</v>
      </c>
    </row>
    <row r="706" spans="1:5" x14ac:dyDescent="0.2">
      <c r="A706" s="14">
        <v>45875.230914351901</v>
      </c>
      <c r="B706" t="s">
        <v>622</v>
      </c>
      <c r="C706" t="s">
        <v>29</v>
      </c>
      <c r="D706" t="s">
        <v>1100</v>
      </c>
      <c r="E706">
        <v>0</v>
      </c>
    </row>
    <row r="707" spans="1:5" x14ac:dyDescent="0.2">
      <c r="A707" s="14">
        <v>45875.380208333299</v>
      </c>
      <c r="B707" t="s">
        <v>783</v>
      </c>
      <c r="C707" t="s">
        <v>623</v>
      </c>
      <c r="D707" t="s">
        <v>975</v>
      </c>
      <c r="E707" t="s">
        <v>40</v>
      </c>
    </row>
    <row r="708" spans="1:5" x14ac:dyDescent="0.2">
      <c r="A708" s="14">
        <v>45875.381342592598</v>
      </c>
      <c r="B708" t="s">
        <v>783</v>
      </c>
      <c r="C708" t="s">
        <v>637</v>
      </c>
      <c r="D708" t="s">
        <v>1030</v>
      </c>
      <c r="E708" t="s">
        <v>965</v>
      </c>
    </row>
    <row r="709" spans="1:5" ht="128" x14ac:dyDescent="0.2">
      <c r="A709" s="14">
        <v>45875.381666666697</v>
      </c>
      <c r="B709" t="s">
        <v>783</v>
      </c>
      <c r="C709" t="s">
        <v>637</v>
      </c>
      <c r="D709" t="s">
        <v>970</v>
      </c>
      <c r="E709" s="2" t="s">
        <v>1101</v>
      </c>
    </row>
    <row r="710" spans="1:5" x14ac:dyDescent="0.2">
      <c r="A710" s="14">
        <v>45875.381886574098</v>
      </c>
      <c r="B710" t="s">
        <v>783</v>
      </c>
      <c r="C710" t="s">
        <v>637</v>
      </c>
      <c r="D710" t="s">
        <v>1102</v>
      </c>
    </row>
    <row r="711" spans="1:5" x14ac:dyDescent="0.2">
      <c r="A711" s="14">
        <v>45875.3819560185</v>
      </c>
      <c r="B711" t="s">
        <v>783</v>
      </c>
      <c r="C711" t="s">
        <v>637</v>
      </c>
      <c r="D711" t="s">
        <v>1103</v>
      </c>
      <c r="E711">
        <v>9</v>
      </c>
    </row>
    <row r="712" spans="1:5" x14ac:dyDescent="0.2">
      <c r="A712" s="14">
        <v>45875.383819444403</v>
      </c>
      <c r="B712" t="s">
        <v>783</v>
      </c>
      <c r="C712" t="s">
        <v>17</v>
      </c>
      <c r="D712" t="s">
        <v>1104</v>
      </c>
    </row>
    <row r="713" spans="1:5" x14ac:dyDescent="0.2">
      <c r="A713" s="14">
        <v>45875.387025463002</v>
      </c>
      <c r="B713" t="s">
        <v>783</v>
      </c>
      <c r="C713" t="s">
        <v>17</v>
      </c>
      <c r="D713" t="s">
        <v>1105</v>
      </c>
    </row>
    <row r="714" spans="1:5" x14ac:dyDescent="0.2">
      <c r="A714" s="14">
        <v>45875.387083333299</v>
      </c>
      <c r="B714" t="s">
        <v>783</v>
      </c>
      <c r="C714" t="s">
        <v>17</v>
      </c>
      <c r="D714" t="s">
        <v>950</v>
      </c>
      <c r="E714" t="s">
        <v>218</v>
      </c>
    </row>
    <row r="715" spans="1:5" x14ac:dyDescent="0.2">
      <c r="A715" s="14">
        <v>45875.387106481503</v>
      </c>
      <c r="B715" t="s">
        <v>783</v>
      </c>
      <c r="C715" t="s">
        <v>17</v>
      </c>
      <c r="D715" t="s">
        <v>950</v>
      </c>
      <c r="E715" t="s">
        <v>219</v>
      </c>
    </row>
    <row r="716" spans="1:5" x14ac:dyDescent="0.2">
      <c r="A716" s="14">
        <v>45875.387118055602</v>
      </c>
      <c r="B716" t="s">
        <v>783</v>
      </c>
      <c r="C716" t="s">
        <v>17</v>
      </c>
      <c r="D716" t="s">
        <v>950</v>
      </c>
    </row>
    <row r="717" spans="1:5" x14ac:dyDescent="0.2">
      <c r="A717" s="14">
        <v>45875.387581018498</v>
      </c>
      <c r="B717" t="s">
        <v>783</v>
      </c>
      <c r="C717" t="s">
        <v>29</v>
      </c>
      <c r="D717" t="s">
        <v>836</v>
      </c>
      <c r="E717" t="s">
        <v>319</v>
      </c>
    </row>
    <row r="718" spans="1:5" x14ac:dyDescent="0.2">
      <c r="A718" s="14">
        <v>45875.387708333299</v>
      </c>
      <c r="B718" t="s">
        <v>783</v>
      </c>
      <c r="C718" t="s">
        <v>29</v>
      </c>
      <c r="D718" t="s">
        <v>1106</v>
      </c>
      <c r="E718" t="s">
        <v>1107</v>
      </c>
    </row>
    <row r="719" spans="1:5" x14ac:dyDescent="0.2">
      <c r="A719" s="14">
        <v>45875.388090277796</v>
      </c>
      <c r="B719" t="s">
        <v>783</v>
      </c>
      <c r="C719" t="s">
        <v>637</v>
      </c>
      <c r="D719" t="s">
        <v>866</v>
      </c>
    </row>
    <row r="720" spans="1:5" x14ac:dyDescent="0.2">
      <c r="A720" s="14">
        <v>45875.388657407399</v>
      </c>
      <c r="B720" t="s">
        <v>783</v>
      </c>
      <c r="C720" t="s">
        <v>637</v>
      </c>
      <c r="D720" t="s">
        <v>1108</v>
      </c>
      <c r="E720">
        <v>4</v>
      </c>
    </row>
    <row r="721" spans="1:5" x14ac:dyDescent="0.2">
      <c r="A721" s="14">
        <v>45875.389027777797</v>
      </c>
      <c r="B721" t="s">
        <v>783</v>
      </c>
      <c r="C721" t="s">
        <v>637</v>
      </c>
      <c r="D721" t="s">
        <v>1109</v>
      </c>
      <c r="E721" t="s">
        <v>845</v>
      </c>
    </row>
    <row r="722" spans="1:5" x14ac:dyDescent="0.2">
      <c r="A722" s="14">
        <v>45875.3890972222</v>
      </c>
      <c r="B722" t="s">
        <v>783</v>
      </c>
      <c r="C722" t="s">
        <v>637</v>
      </c>
      <c r="D722" t="s">
        <v>1110</v>
      </c>
      <c r="E722" t="s">
        <v>1085</v>
      </c>
    </row>
    <row r="723" spans="1:5" x14ac:dyDescent="0.2">
      <c r="A723" s="14">
        <v>45875.389351851903</v>
      </c>
      <c r="B723" t="s">
        <v>783</v>
      </c>
      <c r="C723" t="s">
        <v>29</v>
      </c>
      <c r="D723" t="s">
        <v>1111</v>
      </c>
    </row>
    <row r="724" spans="1:5" x14ac:dyDescent="0.2">
      <c r="A724" s="14">
        <v>45875.389351851903</v>
      </c>
      <c r="B724" t="s">
        <v>783</v>
      </c>
      <c r="C724" t="s">
        <v>29</v>
      </c>
      <c r="D724" t="s">
        <v>1112</v>
      </c>
      <c r="E724" t="s">
        <v>175</v>
      </c>
    </row>
    <row r="725" spans="1:5" x14ac:dyDescent="0.2">
      <c r="A725" s="14">
        <v>45875.389560185198</v>
      </c>
      <c r="B725" t="s">
        <v>783</v>
      </c>
      <c r="C725" t="s">
        <v>29</v>
      </c>
      <c r="D725" t="s">
        <v>1113</v>
      </c>
      <c r="E725" t="s">
        <v>320</v>
      </c>
    </row>
    <row r="726" spans="1:5" x14ac:dyDescent="0.2">
      <c r="A726" s="14">
        <v>45875.3897222222</v>
      </c>
      <c r="B726" t="s">
        <v>783</v>
      </c>
      <c r="C726" t="s">
        <v>29</v>
      </c>
      <c r="D726" t="s">
        <v>1114</v>
      </c>
      <c r="E726" t="s">
        <v>320</v>
      </c>
    </row>
    <row r="727" spans="1:5" x14ac:dyDescent="0.2">
      <c r="A727" s="14">
        <v>45875.389791666697</v>
      </c>
      <c r="B727" t="s">
        <v>783</v>
      </c>
      <c r="C727" t="s">
        <v>29</v>
      </c>
      <c r="D727" t="s">
        <v>1115</v>
      </c>
      <c r="E727" t="s">
        <v>1116</v>
      </c>
    </row>
    <row r="728" spans="1:5" x14ac:dyDescent="0.2">
      <c r="A728" s="14">
        <v>45875.389895833301</v>
      </c>
      <c r="B728" t="s">
        <v>783</v>
      </c>
      <c r="C728" t="s">
        <v>637</v>
      </c>
      <c r="D728" t="s">
        <v>1117</v>
      </c>
      <c r="E728" t="s">
        <v>320</v>
      </c>
    </row>
    <row r="729" spans="1:5" x14ac:dyDescent="0.2">
      <c r="A729" s="14">
        <v>45875.3902662037</v>
      </c>
      <c r="B729" t="s">
        <v>783</v>
      </c>
      <c r="C729" t="s">
        <v>637</v>
      </c>
      <c r="D729" t="s">
        <v>1118</v>
      </c>
      <c r="E729" t="s">
        <v>1119</v>
      </c>
    </row>
    <row r="730" spans="1:5" x14ac:dyDescent="0.2">
      <c r="A730" s="14">
        <v>45875.390381944402</v>
      </c>
      <c r="B730" t="s">
        <v>783</v>
      </c>
      <c r="C730" t="s">
        <v>637</v>
      </c>
      <c r="D730" t="s">
        <v>1120</v>
      </c>
      <c r="E730" t="s">
        <v>140</v>
      </c>
    </row>
    <row r="731" spans="1:5" x14ac:dyDescent="0.2">
      <c r="A731" s="14">
        <v>45875.3907175926</v>
      </c>
      <c r="B731" t="s">
        <v>783</v>
      </c>
      <c r="C731" t="s">
        <v>637</v>
      </c>
      <c r="D731" t="s">
        <v>1121</v>
      </c>
    </row>
    <row r="732" spans="1:5" x14ac:dyDescent="0.2">
      <c r="A732" s="14">
        <v>45875.3907175926</v>
      </c>
      <c r="B732" t="s">
        <v>783</v>
      </c>
      <c r="C732" t="s">
        <v>637</v>
      </c>
      <c r="D732" t="s">
        <v>1121</v>
      </c>
    </row>
    <row r="733" spans="1:5" x14ac:dyDescent="0.2">
      <c r="A733" s="14">
        <v>45875.390810185199</v>
      </c>
      <c r="B733" t="s">
        <v>783</v>
      </c>
      <c r="C733" t="s">
        <v>637</v>
      </c>
      <c r="D733" t="s">
        <v>1122</v>
      </c>
    </row>
    <row r="734" spans="1:5" x14ac:dyDescent="0.2">
      <c r="A734" s="14">
        <v>45875.390844907401</v>
      </c>
      <c r="B734" t="s">
        <v>783</v>
      </c>
      <c r="C734" t="s">
        <v>637</v>
      </c>
      <c r="D734" t="s">
        <v>1123</v>
      </c>
      <c r="E734">
        <v>5</v>
      </c>
    </row>
    <row r="735" spans="1:5" x14ac:dyDescent="0.2">
      <c r="A735" s="14">
        <v>45875.3908912037</v>
      </c>
      <c r="B735" t="s">
        <v>783</v>
      </c>
      <c r="C735" t="s">
        <v>637</v>
      </c>
      <c r="D735" t="s">
        <v>1124</v>
      </c>
    </row>
    <row r="736" spans="1:5" x14ac:dyDescent="0.2">
      <c r="A736" s="14">
        <v>45875.391006944403</v>
      </c>
      <c r="B736" t="s">
        <v>783</v>
      </c>
      <c r="C736" t="s">
        <v>637</v>
      </c>
      <c r="D736" t="s">
        <v>1125</v>
      </c>
      <c r="E736" t="s">
        <v>35</v>
      </c>
    </row>
    <row r="737" spans="1:5" x14ac:dyDescent="0.2">
      <c r="A737" s="14">
        <v>45875.391087962998</v>
      </c>
      <c r="B737" t="s">
        <v>783</v>
      </c>
      <c r="C737" t="s">
        <v>637</v>
      </c>
      <c r="D737" t="s">
        <v>1126</v>
      </c>
      <c r="E737" t="s">
        <v>55</v>
      </c>
    </row>
    <row r="738" spans="1:5" x14ac:dyDescent="0.2">
      <c r="A738" s="14">
        <v>45875.391134259298</v>
      </c>
      <c r="B738" t="s">
        <v>783</v>
      </c>
      <c r="C738" t="s">
        <v>637</v>
      </c>
      <c r="D738" t="s">
        <v>1127</v>
      </c>
      <c r="E738" t="s">
        <v>35</v>
      </c>
    </row>
    <row r="739" spans="1:5" x14ac:dyDescent="0.2">
      <c r="A739" s="14">
        <v>45875.391319444403</v>
      </c>
      <c r="B739" t="s">
        <v>783</v>
      </c>
      <c r="C739" t="s">
        <v>637</v>
      </c>
      <c r="D739" t="s">
        <v>1128</v>
      </c>
      <c r="E739" t="s">
        <v>1129</v>
      </c>
    </row>
    <row r="740" spans="1:5" x14ac:dyDescent="0.2">
      <c r="A740" s="14">
        <v>45875.391365740703</v>
      </c>
      <c r="B740" t="s">
        <v>783</v>
      </c>
      <c r="C740" t="s">
        <v>637</v>
      </c>
      <c r="D740" t="s">
        <v>1128</v>
      </c>
      <c r="E740" t="s">
        <v>1130</v>
      </c>
    </row>
    <row r="741" spans="1:5" ht="144" x14ac:dyDescent="0.2">
      <c r="A741" s="14">
        <v>45875.3918865741</v>
      </c>
      <c r="B741" t="s">
        <v>783</v>
      </c>
      <c r="C741" t="s">
        <v>637</v>
      </c>
      <c r="D741" t="s">
        <v>1131</v>
      </c>
      <c r="E741" s="2" t="s">
        <v>1132</v>
      </c>
    </row>
    <row r="742" spans="1:5" ht="48" x14ac:dyDescent="0.2">
      <c r="A742" s="14">
        <v>45875.391921296301</v>
      </c>
      <c r="B742" t="s">
        <v>783</v>
      </c>
      <c r="C742" t="s">
        <v>637</v>
      </c>
      <c r="D742" t="s">
        <v>1131</v>
      </c>
      <c r="E742" s="2" t="s">
        <v>1133</v>
      </c>
    </row>
    <row r="743" spans="1:5" ht="48" x14ac:dyDescent="0.2">
      <c r="A743" s="14">
        <v>45875.391967592601</v>
      </c>
      <c r="B743" t="s">
        <v>783</v>
      </c>
      <c r="C743" t="s">
        <v>637</v>
      </c>
      <c r="D743" t="s">
        <v>1131</v>
      </c>
      <c r="E743" s="2" t="s">
        <v>1134</v>
      </c>
    </row>
    <row r="744" spans="1:5" ht="80" x14ac:dyDescent="0.2">
      <c r="A744" s="14">
        <v>45875.392037037003</v>
      </c>
      <c r="B744" t="s">
        <v>783</v>
      </c>
      <c r="C744" t="s">
        <v>637</v>
      </c>
      <c r="D744" t="s">
        <v>1135</v>
      </c>
      <c r="E744" s="2" t="s">
        <v>1136</v>
      </c>
    </row>
    <row r="745" spans="1:5" ht="80" x14ac:dyDescent="0.2">
      <c r="A745" s="14">
        <v>45875.392129629603</v>
      </c>
      <c r="B745" t="s">
        <v>783</v>
      </c>
      <c r="C745" t="s">
        <v>637</v>
      </c>
      <c r="D745" t="s">
        <v>1135</v>
      </c>
      <c r="E745" s="2" t="s">
        <v>1137</v>
      </c>
    </row>
    <row r="746" spans="1:5" x14ac:dyDescent="0.2">
      <c r="A746" s="14">
        <v>45875.392789351798</v>
      </c>
      <c r="B746" t="s">
        <v>783</v>
      </c>
      <c r="C746" t="s">
        <v>637</v>
      </c>
      <c r="D746" t="s">
        <v>1138</v>
      </c>
      <c r="E746" t="s">
        <v>321</v>
      </c>
    </row>
    <row r="747" spans="1:5" ht="64" x14ac:dyDescent="0.2">
      <c r="A747" s="14">
        <v>45875.392962963</v>
      </c>
      <c r="B747" t="s">
        <v>783</v>
      </c>
      <c r="C747" t="s">
        <v>637</v>
      </c>
      <c r="D747" t="s">
        <v>1131</v>
      </c>
      <c r="E747" s="2" t="s">
        <v>1139</v>
      </c>
    </row>
    <row r="748" spans="1:5" x14ac:dyDescent="0.2">
      <c r="A748" s="14">
        <v>45875.392997685201</v>
      </c>
      <c r="B748" t="s">
        <v>783</v>
      </c>
      <c r="C748" t="s">
        <v>637</v>
      </c>
      <c r="D748" t="s">
        <v>1140</v>
      </c>
      <c r="E748" t="s">
        <v>1141</v>
      </c>
    </row>
    <row r="749" spans="1:5" ht="64" x14ac:dyDescent="0.2">
      <c r="A749" s="14">
        <v>45875.3930092593</v>
      </c>
      <c r="B749" t="s">
        <v>783</v>
      </c>
      <c r="C749" t="s">
        <v>637</v>
      </c>
      <c r="D749" t="s">
        <v>1131</v>
      </c>
      <c r="E749" s="2" t="s">
        <v>1142</v>
      </c>
    </row>
    <row r="750" spans="1:5" ht="80" x14ac:dyDescent="0.2">
      <c r="A750" s="14">
        <v>45875.393043981501</v>
      </c>
      <c r="B750" t="s">
        <v>783</v>
      </c>
      <c r="C750" t="s">
        <v>637</v>
      </c>
      <c r="D750" t="s">
        <v>1131</v>
      </c>
      <c r="E750" s="2" t="s">
        <v>1143</v>
      </c>
    </row>
    <row r="751" spans="1:5" x14ac:dyDescent="0.2">
      <c r="A751" s="14">
        <v>45875.393078703702</v>
      </c>
      <c r="B751" t="s">
        <v>783</v>
      </c>
      <c r="C751" t="s">
        <v>637</v>
      </c>
      <c r="D751" t="s">
        <v>1144</v>
      </c>
    </row>
    <row r="752" spans="1:5" ht="96" x14ac:dyDescent="0.2">
      <c r="A752" s="14">
        <v>45875.393136574101</v>
      </c>
      <c r="B752" t="s">
        <v>783</v>
      </c>
      <c r="C752" t="s">
        <v>637</v>
      </c>
      <c r="D752" t="s">
        <v>1131</v>
      </c>
      <c r="E752" s="2" t="s">
        <v>1145</v>
      </c>
    </row>
    <row r="753" spans="1:5" x14ac:dyDescent="0.2">
      <c r="A753" s="14">
        <v>45875.393159722204</v>
      </c>
      <c r="B753" t="s">
        <v>783</v>
      </c>
      <c r="C753" t="s">
        <v>637</v>
      </c>
      <c r="D753" t="s">
        <v>1146</v>
      </c>
    </row>
    <row r="754" spans="1:5" ht="96" x14ac:dyDescent="0.2">
      <c r="A754" s="14">
        <v>45875.393333333297</v>
      </c>
      <c r="B754" t="s">
        <v>783</v>
      </c>
      <c r="C754" t="s">
        <v>637</v>
      </c>
      <c r="D754" t="s">
        <v>1131</v>
      </c>
      <c r="E754" s="2" t="s">
        <v>1145</v>
      </c>
    </row>
    <row r="755" spans="1:5" ht="112" x14ac:dyDescent="0.2">
      <c r="A755" s="14">
        <v>45875.3933680556</v>
      </c>
      <c r="B755" t="s">
        <v>783</v>
      </c>
      <c r="C755" t="s">
        <v>637</v>
      </c>
      <c r="D755" t="s">
        <v>1131</v>
      </c>
      <c r="E755" s="2" t="s">
        <v>1147</v>
      </c>
    </row>
    <row r="756" spans="1:5" ht="96" x14ac:dyDescent="0.2">
      <c r="A756" s="14">
        <v>45875.393460648098</v>
      </c>
      <c r="B756" t="s">
        <v>783</v>
      </c>
      <c r="C756" t="s">
        <v>637</v>
      </c>
      <c r="D756" t="s">
        <v>1135</v>
      </c>
      <c r="E756" s="2" t="s">
        <v>1148</v>
      </c>
    </row>
    <row r="757" spans="1:5" x14ac:dyDescent="0.2">
      <c r="A757" s="14">
        <v>45875.393587963001</v>
      </c>
      <c r="B757" t="s">
        <v>783</v>
      </c>
      <c r="C757" t="s">
        <v>637</v>
      </c>
      <c r="D757" t="s">
        <v>1149</v>
      </c>
      <c r="E757" t="s">
        <v>373</v>
      </c>
    </row>
    <row r="758" spans="1:5" ht="112" x14ac:dyDescent="0.2">
      <c r="A758" s="14">
        <v>45875.393726851798</v>
      </c>
      <c r="B758" t="s">
        <v>783</v>
      </c>
      <c r="C758" t="s">
        <v>637</v>
      </c>
      <c r="D758" t="s">
        <v>1135</v>
      </c>
      <c r="E758" s="2" t="s">
        <v>1150</v>
      </c>
    </row>
    <row r="759" spans="1:5" ht="112" x14ac:dyDescent="0.2">
      <c r="A759" s="14">
        <v>45875.393819444398</v>
      </c>
      <c r="B759" t="s">
        <v>783</v>
      </c>
      <c r="C759" t="s">
        <v>637</v>
      </c>
      <c r="D759" t="s">
        <v>1135</v>
      </c>
      <c r="E759" s="2" t="s">
        <v>1151</v>
      </c>
    </row>
    <row r="760" spans="1:5" ht="112" x14ac:dyDescent="0.2">
      <c r="A760" s="14">
        <v>45875.393865740698</v>
      </c>
      <c r="B760" t="s">
        <v>783</v>
      </c>
      <c r="C760" t="s">
        <v>637</v>
      </c>
      <c r="D760" t="s">
        <v>1135</v>
      </c>
      <c r="E760" s="2" t="s">
        <v>1151</v>
      </c>
    </row>
    <row r="761" spans="1:5" x14ac:dyDescent="0.2">
      <c r="A761" s="14">
        <v>45875.393877314797</v>
      </c>
      <c r="B761" t="s">
        <v>783</v>
      </c>
      <c r="C761" t="s">
        <v>637</v>
      </c>
      <c r="D761" t="s">
        <v>1152</v>
      </c>
    </row>
    <row r="762" spans="1:5" x14ac:dyDescent="0.2">
      <c r="A762" s="14">
        <v>45875.394108796303</v>
      </c>
      <c r="B762" t="s">
        <v>783</v>
      </c>
      <c r="C762" t="s">
        <v>637</v>
      </c>
      <c r="D762" t="s">
        <v>1153</v>
      </c>
      <c r="E762" t="s">
        <v>103</v>
      </c>
    </row>
    <row r="763" spans="1:5" x14ac:dyDescent="0.2">
      <c r="A763" s="14">
        <v>45875.394479166702</v>
      </c>
      <c r="B763" t="s">
        <v>783</v>
      </c>
      <c r="C763" t="s">
        <v>8</v>
      </c>
      <c r="D763" t="s">
        <v>753</v>
      </c>
      <c r="E763" t="s">
        <v>965</v>
      </c>
    </row>
    <row r="764" spans="1:5" x14ac:dyDescent="0.2">
      <c r="A764" s="14">
        <v>45875.394791666702</v>
      </c>
      <c r="B764" t="s">
        <v>783</v>
      </c>
      <c r="C764" t="s">
        <v>17</v>
      </c>
      <c r="D764" t="s">
        <v>1105</v>
      </c>
      <c r="E764" t="s">
        <v>177</v>
      </c>
    </row>
    <row r="765" spans="1:5" x14ac:dyDescent="0.2">
      <c r="A765" s="14">
        <v>45875.397152777798</v>
      </c>
      <c r="B765" t="s">
        <v>783</v>
      </c>
      <c r="C765" t="s">
        <v>17</v>
      </c>
      <c r="D765" t="s">
        <v>1154</v>
      </c>
    </row>
    <row r="766" spans="1:5" x14ac:dyDescent="0.2">
      <c r="A766" s="14">
        <v>45875.3972685185</v>
      </c>
      <c r="B766" t="s">
        <v>783</v>
      </c>
      <c r="C766" t="s">
        <v>17</v>
      </c>
      <c r="D766" t="s">
        <v>1007</v>
      </c>
    </row>
    <row r="767" spans="1:5" x14ac:dyDescent="0.2">
      <c r="A767" s="14">
        <v>45875.402025463001</v>
      </c>
      <c r="B767" t="s">
        <v>783</v>
      </c>
      <c r="C767" t="s">
        <v>637</v>
      </c>
      <c r="D767" t="s">
        <v>1155</v>
      </c>
      <c r="E767" t="s">
        <v>84</v>
      </c>
    </row>
    <row r="768" spans="1:5" ht="112" x14ac:dyDescent="0.2">
      <c r="A768" s="14">
        <v>45875.402268518497</v>
      </c>
      <c r="B768" t="s">
        <v>783</v>
      </c>
      <c r="C768" t="s">
        <v>637</v>
      </c>
      <c r="D768" t="s">
        <v>1156</v>
      </c>
      <c r="E768" s="2" t="s">
        <v>1157</v>
      </c>
    </row>
    <row r="769" spans="1:5" ht="112" x14ac:dyDescent="0.2">
      <c r="A769" s="14">
        <v>45875.402407407397</v>
      </c>
      <c r="B769" t="s">
        <v>783</v>
      </c>
      <c r="C769" t="s">
        <v>637</v>
      </c>
      <c r="D769" t="s">
        <v>1156</v>
      </c>
      <c r="E769" s="2" t="s">
        <v>1158</v>
      </c>
    </row>
    <row r="770" spans="1:5" x14ac:dyDescent="0.2">
      <c r="A770" s="14">
        <v>45875.402592592603</v>
      </c>
      <c r="B770" t="s">
        <v>783</v>
      </c>
      <c r="C770" t="s">
        <v>17</v>
      </c>
      <c r="D770" t="s">
        <v>803</v>
      </c>
      <c r="E770" t="s">
        <v>84</v>
      </c>
    </row>
    <row r="771" spans="1:5" x14ac:dyDescent="0.2">
      <c r="A771" s="14">
        <v>45875.403402777803</v>
      </c>
      <c r="B771" t="s">
        <v>783</v>
      </c>
      <c r="C771" t="s">
        <v>17</v>
      </c>
      <c r="D771" t="s">
        <v>684</v>
      </c>
      <c r="E771" t="s">
        <v>87</v>
      </c>
    </row>
    <row r="772" spans="1:5" x14ac:dyDescent="0.2">
      <c r="A772" s="14">
        <v>45875.403599537</v>
      </c>
      <c r="B772" t="s">
        <v>783</v>
      </c>
      <c r="C772" t="s">
        <v>17</v>
      </c>
      <c r="D772" t="s">
        <v>1159</v>
      </c>
      <c r="E772" t="s">
        <v>92</v>
      </c>
    </row>
    <row r="773" spans="1:5" x14ac:dyDescent="0.2">
      <c r="A773" s="14">
        <v>45875.403657407398</v>
      </c>
      <c r="B773" t="s">
        <v>783</v>
      </c>
      <c r="C773" t="s">
        <v>17</v>
      </c>
      <c r="D773" t="s">
        <v>684</v>
      </c>
      <c r="E773" t="s">
        <v>212</v>
      </c>
    </row>
    <row r="774" spans="1:5" x14ac:dyDescent="0.2">
      <c r="A774" s="14">
        <v>45875.403749999998</v>
      </c>
      <c r="B774" t="s">
        <v>783</v>
      </c>
      <c r="C774" t="s">
        <v>17</v>
      </c>
      <c r="D774" t="s">
        <v>1160</v>
      </c>
      <c r="E774" t="s">
        <v>96</v>
      </c>
    </row>
    <row r="775" spans="1:5" x14ac:dyDescent="0.2">
      <c r="A775" s="14">
        <v>45875.4038657407</v>
      </c>
      <c r="B775" t="s">
        <v>783</v>
      </c>
      <c r="C775" t="s">
        <v>637</v>
      </c>
      <c r="D775" t="s">
        <v>1055</v>
      </c>
      <c r="E775" t="s">
        <v>92</v>
      </c>
    </row>
    <row r="776" spans="1:5" x14ac:dyDescent="0.2">
      <c r="A776" s="14">
        <v>45875.458935185197</v>
      </c>
      <c r="B776" t="s">
        <v>622</v>
      </c>
      <c r="C776" t="s">
        <v>623</v>
      </c>
      <c r="D776" t="s">
        <v>975</v>
      </c>
      <c r="E776" t="s">
        <v>40</v>
      </c>
    </row>
    <row r="777" spans="1:5" x14ac:dyDescent="0.2">
      <c r="A777" s="14">
        <v>45875.459247685198</v>
      </c>
      <c r="B777" t="s">
        <v>622</v>
      </c>
      <c r="C777" t="s">
        <v>2</v>
      </c>
      <c r="D777" t="s">
        <v>1161</v>
      </c>
      <c r="E777" t="s">
        <v>1162</v>
      </c>
    </row>
    <row r="778" spans="1:5" x14ac:dyDescent="0.2">
      <c r="A778" s="14">
        <v>45875.459444444401</v>
      </c>
      <c r="B778" t="s">
        <v>622</v>
      </c>
      <c r="C778" t="s">
        <v>2</v>
      </c>
      <c r="D778" t="s">
        <v>1163</v>
      </c>
      <c r="E778" t="e">
        <v>#REF!</v>
      </c>
    </row>
    <row r="779" spans="1:5" x14ac:dyDescent="0.2">
      <c r="A779" s="14">
        <v>45875.459884259297</v>
      </c>
      <c r="B779" t="s">
        <v>622</v>
      </c>
      <c r="C779" t="s">
        <v>2</v>
      </c>
      <c r="D779" t="s">
        <v>1163</v>
      </c>
      <c r="E779" t="s">
        <v>1162</v>
      </c>
    </row>
    <row r="780" spans="1:5" x14ac:dyDescent="0.2">
      <c r="A780" s="14">
        <v>45875.459942129601</v>
      </c>
      <c r="B780" t="s">
        <v>622</v>
      </c>
      <c r="C780" t="s">
        <v>2</v>
      </c>
      <c r="D780" t="s">
        <v>1164</v>
      </c>
      <c r="E780" t="s">
        <v>1162</v>
      </c>
    </row>
    <row r="781" spans="1:5" x14ac:dyDescent="0.2">
      <c r="A781" s="14">
        <v>45875.460046296299</v>
      </c>
      <c r="B781" t="s">
        <v>622</v>
      </c>
      <c r="C781" t="s">
        <v>29</v>
      </c>
      <c r="D781" t="s">
        <v>1165</v>
      </c>
      <c r="E781" t="s">
        <v>324</v>
      </c>
    </row>
    <row r="782" spans="1:5" x14ac:dyDescent="0.2">
      <c r="A782" s="14">
        <v>45875.460115740701</v>
      </c>
      <c r="B782" t="s">
        <v>622</v>
      </c>
      <c r="C782" t="s">
        <v>29</v>
      </c>
      <c r="D782" t="s">
        <v>1166</v>
      </c>
    </row>
    <row r="783" spans="1:5" x14ac:dyDescent="0.2">
      <c r="A783" s="14">
        <v>45875.460115740701</v>
      </c>
      <c r="B783" t="s">
        <v>622</v>
      </c>
      <c r="C783" t="s">
        <v>29</v>
      </c>
      <c r="D783" t="s">
        <v>1167</v>
      </c>
      <c r="E783" t="s">
        <v>39</v>
      </c>
    </row>
    <row r="784" spans="1:5" x14ac:dyDescent="0.2">
      <c r="A784" s="14">
        <v>45875.4601273148</v>
      </c>
      <c r="B784" t="s">
        <v>622</v>
      </c>
      <c r="C784" t="s">
        <v>29</v>
      </c>
      <c r="D784" t="s">
        <v>1168</v>
      </c>
      <c r="E784" t="s">
        <v>324</v>
      </c>
    </row>
    <row r="785" spans="1:5" x14ac:dyDescent="0.2">
      <c r="A785" s="14">
        <v>45875.460138888899</v>
      </c>
      <c r="B785" t="s">
        <v>622</v>
      </c>
      <c r="C785" t="s">
        <v>29</v>
      </c>
      <c r="D785" t="s">
        <v>1169</v>
      </c>
      <c r="E785" t="s">
        <v>323</v>
      </c>
    </row>
    <row r="786" spans="1:5" x14ac:dyDescent="0.2">
      <c r="A786" s="14">
        <v>45875.460428240702</v>
      </c>
      <c r="B786" t="s">
        <v>622</v>
      </c>
      <c r="C786" t="s">
        <v>29</v>
      </c>
      <c r="D786" t="s">
        <v>1170</v>
      </c>
      <c r="E786">
        <v>0</v>
      </c>
    </row>
    <row r="787" spans="1:5" x14ac:dyDescent="0.2">
      <c r="A787" s="14">
        <v>45875.460474537002</v>
      </c>
      <c r="B787" t="s">
        <v>622</v>
      </c>
      <c r="C787" t="s">
        <v>29</v>
      </c>
      <c r="D787" t="s">
        <v>1171</v>
      </c>
      <c r="E787">
        <v>0</v>
      </c>
    </row>
    <row r="788" spans="1:5" x14ac:dyDescent="0.2">
      <c r="A788" s="14">
        <v>45875.460543981499</v>
      </c>
      <c r="B788" t="s">
        <v>622</v>
      </c>
      <c r="C788" t="s">
        <v>29</v>
      </c>
      <c r="D788" t="s">
        <v>1172</v>
      </c>
      <c r="E788">
        <v>0</v>
      </c>
    </row>
    <row r="789" spans="1:5" x14ac:dyDescent="0.2">
      <c r="A789" s="14">
        <v>45875.4605787037</v>
      </c>
      <c r="B789" t="s">
        <v>622</v>
      </c>
      <c r="C789" t="s">
        <v>29</v>
      </c>
      <c r="D789" t="s">
        <v>1173</v>
      </c>
      <c r="E789">
        <v>0</v>
      </c>
    </row>
    <row r="790" spans="1:5" x14ac:dyDescent="0.2">
      <c r="A790" s="14">
        <v>45875.460601851897</v>
      </c>
      <c r="B790" t="s">
        <v>622</v>
      </c>
      <c r="C790" t="s">
        <v>29</v>
      </c>
      <c r="D790" t="s">
        <v>1174</v>
      </c>
      <c r="E790">
        <v>0</v>
      </c>
    </row>
    <row r="791" spans="1:5" x14ac:dyDescent="0.2">
      <c r="A791" s="14">
        <v>45875.460752314801</v>
      </c>
      <c r="B791" t="s">
        <v>622</v>
      </c>
      <c r="C791" t="s">
        <v>29</v>
      </c>
      <c r="D791" t="s">
        <v>1175</v>
      </c>
      <c r="E791">
        <v>0</v>
      </c>
    </row>
    <row r="792" spans="1:5" x14ac:dyDescent="0.2">
      <c r="A792" s="14">
        <v>45875.460810185199</v>
      </c>
      <c r="B792" t="s">
        <v>622</v>
      </c>
      <c r="C792" t="s">
        <v>29</v>
      </c>
      <c r="D792" t="s">
        <v>1170</v>
      </c>
      <c r="E792">
        <v>0</v>
      </c>
    </row>
    <row r="793" spans="1:5" x14ac:dyDescent="0.2">
      <c r="A793" s="14">
        <v>45875.4608449074</v>
      </c>
      <c r="B793" t="s">
        <v>622</v>
      </c>
      <c r="C793" t="s">
        <v>29</v>
      </c>
      <c r="D793" t="s">
        <v>1173</v>
      </c>
      <c r="E793">
        <v>0</v>
      </c>
    </row>
    <row r="794" spans="1:5" x14ac:dyDescent="0.2">
      <c r="A794" s="14">
        <v>45875.461006944402</v>
      </c>
      <c r="B794" t="s">
        <v>622</v>
      </c>
      <c r="C794" t="s">
        <v>29</v>
      </c>
      <c r="D794" t="s">
        <v>1172</v>
      </c>
      <c r="E794">
        <v>0</v>
      </c>
    </row>
    <row r="795" spans="1:5" x14ac:dyDescent="0.2">
      <c r="A795" s="14">
        <v>45875.4610300926</v>
      </c>
      <c r="B795" t="s">
        <v>622</v>
      </c>
      <c r="C795" t="s">
        <v>29</v>
      </c>
      <c r="D795" t="s">
        <v>1176</v>
      </c>
      <c r="E795">
        <v>0</v>
      </c>
    </row>
    <row r="796" spans="1:5" x14ac:dyDescent="0.2">
      <c r="A796" s="14">
        <v>45875.4610763889</v>
      </c>
      <c r="B796" t="s">
        <v>622</v>
      </c>
      <c r="C796" t="s">
        <v>29</v>
      </c>
      <c r="D796" t="s">
        <v>1177</v>
      </c>
      <c r="E796">
        <v>0</v>
      </c>
    </row>
    <row r="797" spans="1:5" x14ac:dyDescent="0.2">
      <c r="A797" s="14">
        <v>45875.461122685199</v>
      </c>
      <c r="B797" t="s">
        <v>622</v>
      </c>
      <c r="C797" t="s">
        <v>29</v>
      </c>
      <c r="D797" t="s">
        <v>1172</v>
      </c>
      <c r="E797">
        <v>0</v>
      </c>
    </row>
    <row r="798" spans="1:5" x14ac:dyDescent="0.2">
      <c r="A798" s="14">
        <v>45875.461157407401</v>
      </c>
      <c r="B798" t="s">
        <v>622</v>
      </c>
      <c r="C798" t="s">
        <v>29</v>
      </c>
      <c r="D798" t="s">
        <v>1178</v>
      </c>
      <c r="E798">
        <v>0</v>
      </c>
    </row>
    <row r="799" spans="1:5" x14ac:dyDescent="0.2">
      <c r="A799" s="14">
        <v>45875.461180555598</v>
      </c>
      <c r="B799" t="s">
        <v>622</v>
      </c>
      <c r="C799" t="s">
        <v>29</v>
      </c>
      <c r="D799" t="s">
        <v>1179</v>
      </c>
      <c r="E799">
        <v>0</v>
      </c>
    </row>
    <row r="800" spans="1:5" x14ac:dyDescent="0.2">
      <c r="A800" s="14">
        <v>45875.4612037037</v>
      </c>
      <c r="B800" t="s">
        <v>622</v>
      </c>
      <c r="C800" t="s">
        <v>29</v>
      </c>
      <c r="D800" t="s">
        <v>1180</v>
      </c>
      <c r="E800">
        <v>0</v>
      </c>
    </row>
    <row r="801" spans="1:5" x14ac:dyDescent="0.2">
      <c r="A801" s="14">
        <v>45875.461273148103</v>
      </c>
      <c r="B801" t="s">
        <v>622</v>
      </c>
      <c r="C801" t="s">
        <v>29</v>
      </c>
      <c r="D801" t="s">
        <v>1181</v>
      </c>
      <c r="E801">
        <v>0</v>
      </c>
    </row>
    <row r="802" spans="1:5" x14ac:dyDescent="0.2">
      <c r="A802" s="14">
        <v>45875.4613425926</v>
      </c>
      <c r="B802" t="s">
        <v>622</v>
      </c>
      <c r="C802" t="s">
        <v>29</v>
      </c>
      <c r="D802" t="s">
        <v>1182</v>
      </c>
      <c r="E802">
        <v>500</v>
      </c>
    </row>
    <row r="803" spans="1:5" x14ac:dyDescent="0.2">
      <c r="A803" s="14">
        <v>45875.461377314801</v>
      </c>
      <c r="B803" t="s">
        <v>622</v>
      </c>
      <c r="C803" t="s">
        <v>29</v>
      </c>
      <c r="D803" t="s">
        <v>1183</v>
      </c>
      <c r="E803">
        <v>0</v>
      </c>
    </row>
    <row r="804" spans="1:5" x14ac:dyDescent="0.2">
      <c r="A804" s="14">
        <v>45875.461400462998</v>
      </c>
      <c r="B804" t="s">
        <v>622</v>
      </c>
      <c r="C804" t="s">
        <v>29</v>
      </c>
      <c r="D804" t="s">
        <v>1184</v>
      </c>
      <c r="E804">
        <v>500</v>
      </c>
    </row>
    <row r="805" spans="1:5" x14ac:dyDescent="0.2">
      <c r="A805" s="14">
        <v>45875.461446759298</v>
      </c>
      <c r="B805" t="s">
        <v>622</v>
      </c>
      <c r="C805" t="s">
        <v>29</v>
      </c>
      <c r="D805" t="s">
        <v>1185</v>
      </c>
      <c r="E805">
        <v>0</v>
      </c>
    </row>
    <row r="806" spans="1:5" x14ac:dyDescent="0.2">
      <c r="A806" s="14">
        <v>45875.461469907401</v>
      </c>
      <c r="B806" t="s">
        <v>622</v>
      </c>
      <c r="C806" t="s">
        <v>29</v>
      </c>
      <c r="D806" t="s">
        <v>1186</v>
      </c>
      <c r="E806">
        <v>0</v>
      </c>
    </row>
    <row r="807" spans="1:5" x14ac:dyDescent="0.2">
      <c r="A807" s="14">
        <v>45875.461493055598</v>
      </c>
      <c r="B807" t="s">
        <v>622</v>
      </c>
      <c r="C807" t="s">
        <v>29</v>
      </c>
      <c r="D807" t="s">
        <v>1187</v>
      </c>
      <c r="E807">
        <v>0</v>
      </c>
    </row>
    <row r="808" spans="1:5" x14ac:dyDescent="0.2">
      <c r="A808" s="14">
        <v>45875.461539351898</v>
      </c>
      <c r="B808" t="s">
        <v>622</v>
      </c>
      <c r="C808" t="s">
        <v>29</v>
      </c>
      <c r="D808" t="s">
        <v>1188</v>
      </c>
      <c r="E808">
        <v>0</v>
      </c>
    </row>
    <row r="809" spans="1:5" x14ac:dyDescent="0.2">
      <c r="A809" s="14">
        <v>45875.461574074099</v>
      </c>
      <c r="B809" t="s">
        <v>622</v>
      </c>
      <c r="C809" t="s">
        <v>29</v>
      </c>
      <c r="D809" t="s">
        <v>1189</v>
      </c>
      <c r="E809">
        <v>0</v>
      </c>
    </row>
    <row r="810" spans="1:5" x14ac:dyDescent="0.2">
      <c r="A810" s="14">
        <v>45875.461585648103</v>
      </c>
      <c r="B810" t="s">
        <v>622</v>
      </c>
      <c r="C810" t="s">
        <v>29</v>
      </c>
      <c r="D810" t="s">
        <v>1190</v>
      </c>
      <c r="E810">
        <v>0</v>
      </c>
    </row>
    <row r="811" spans="1:5" x14ac:dyDescent="0.2">
      <c r="A811" s="14">
        <v>45875.461620370399</v>
      </c>
      <c r="B811" t="s">
        <v>622</v>
      </c>
      <c r="C811" t="s">
        <v>29</v>
      </c>
      <c r="D811" t="s">
        <v>970</v>
      </c>
      <c r="E811">
        <v>0</v>
      </c>
    </row>
    <row r="812" spans="1:5" x14ac:dyDescent="0.2">
      <c r="A812" s="14">
        <v>45875.4616550926</v>
      </c>
      <c r="B812" t="s">
        <v>622</v>
      </c>
      <c r="C812" t="s">
        <v>29</v>
      </c>
      <c r="D812" t="s">
        <v>1191</v>
      </c>
      <c r="E812">
        <v>0</v>
      </c>
    </row>
    <row r="813" spans="1:5" x14ac:dyDescent="0.2">
      <c r="A813" s="14">
        <v>45875.461724537003</v>
      </c>
      <c r="B813" t="s">
        <v>622</v>
      </c>
      <c r="C813" t="s">
        <v>29</v>
      </c>
      <c r="D813" t="s">
        <v>1192</v>
      </c>
    </row>
    <row r="814" spans="1:5" x14ac:dyDescent="0.2">
      <c r="A814" s="14">
        <v>45875.461770833303</v>
      </c>
      <c r="B814" t="s">
        <v>622</v>
      </c>
      <c r="C814" t="s">
        <v>29</v>
      </c>
      <c r="D814" t="s">
        <v>1193</v>
      </c>
    </row>
    <row r="815" spans="1:5" x14ac:dyDescent="0.2">
      <c r="A815" s="14">
        <v>45876.401851851799</v>
      </c>
      <c r="B815" t="s">
        <v>622</v>
      </c>
      <c r="C815" t="s">
        <v>623</v>
      </c>
      <c r="D815" t="s">
        <v>975</v>
      </c>
      <c r="E815" t="s">
        <v>40</v>
      </c>
    </row>
    <row r="816" spans="1:5" x14ac:dyDescent="0.2">
      <c r="A816" s="14">
        <v>45876.4149189815</v>
      </c>
      <c r="B816" t="s">
        <v>622</v>
      </c>
      <c r="C816" t="s">
        <v>145</v>
      </c>
      <c r="D816" t="s">
        <v>1194</v>
      </c>
    </row>
    <row r="817" spans="1:5" x14ac:dyDescent="0.2">
      <c r="A817" s="14">
        <v>45876.414976851898</v>
      </c>
      <c r="B817" t="s">
        <v>622</v>
      </c>
      <c r="C817" t="s">
        <v>145</v>
      </c>
      <c r="D817" t="s">
        <v>1195</v>
      </c>
    </row>
    <row r="818" spans="1:5" x14ac:dyDescent="0.2">
      <c r="A818" s="14">
        <v>45882.470520833303</v>
      </c>
      <c r="B818" t="s">
        <v>783</v>
      </c>
      <c r="C818" t="s">
        <v>660</v>
      </c>
      <c r="D818" t="s">
        <v>891</v>
      </c>
      <c r="E818" t="s">
        <v>415</v>
      </c>
    </row>
    <row r="819" spans="1:5" x14ac:dyDescent="0.2">
      <c r="A819" s="14">
        <v>45882.470659722203</v>
      </c>
      <c r="B819" t="s">
        <v>783</v>
      </c>
      <c r="C819" t="s">
        <v>660</v>
      </c>
      <c r="D819" t="s">
        <v>1196</v>
      </c>
      <c r="E819" t="s">
        <v>1197</v>
      </c>
    </row>
    <row r="820" spans="1:5" x14ac:dyDescent="0.2">
      <c r="A820" s="14">
        <v>45882.470694444397</v>
      </c>
      <c r="B820" t="s">
        <v>783</v>
      </c>
      <c r="C820" t="s">
        <v>660</v>
      </c>
      <c r="D820" t="s">
        <v>1198</v>
      </c>
      <c r="E820" t="s">
        <v>1199</v>
      </c>
    </row>
    <row r="821" spans="1:5" x14ac:dyDescent="0.2">
      <c r="A821" s="14">
        <v>45882.470740740697</v>
      </c>
      <c r="B821" t="s">
        <v>783</v>
      </c>
      <c r="C821" t="s">
        <v>660</v>
      </c>
      <c r="D821" t="s">
        <v>886</v>
      </c>
      <c r="E821" t="s">
        <v>405</v>
      </c>
    </row>
    <row r="822" spans="1:5" x14ac:dyDescent="0.2">
      <c r="A822" s="14">
        <v>45882.470775463</v>
      </c>
      <c r="B822" t="s">
        <v>783</v>
      </c>
      <c r="C822" t="s">
        <v>660</v>
      </c>
      <c r="D822" t="s">
        <v>882</v>
      </c>
      <c r="E822" t="s">
        <v>389</v>
      </c>
    </row>
    <row r="823" spans="1:5" x14ac:dyDescent="0.2">
      <c r="A823" s="14">
        <v>45882.652337963002</v>
      </c>
      <c r="B823" t="s">
        <v>783</v>
      </c>
      <c r="C823" t="s">
        <v>637</v>
      </c>
      <c r="D823" t="s">
        <v>789</v>
      </c>
    </row>
    <row r="824" spans="1:5" x14ac:dyDescent="0.2">
      <c r="A824" s="14">
        <v>45882.652337963002</v>
      </c>
      <c r="B824" t="s">
        <v>783</v>
      </c>
      <c r="C824" t="s">
        <v>637</v>
      </c>
      <c r="D824" t="s">
        <v>862</v>
      </c>
      <c r="E824" t="s">
        <v>39</v>
      </c>
    </row>
    <row r="825" spans="1:5" x14ac:dyDescent="0.2">
      <c r="A825" s="14">
        <v>45882.654074074097</v>
      </c>
      <c r="B825" t="s">
        <v>783</v>
      </c>
      <c r="C825" t="s">
        <v>637</v>
      </c>
      <c r="D825" t="s">
        <v>862</v>
      </c>
      <c r="E825" t="s">
        <v>43</v>
      </c>
    </row>
    <row r="826" spans="1:5" x14ac:dyDescent="0.2">
      <c r="A826" s="14">
        <v>45882.654074074097</v>
      </c>
      <c r="B826" t="s">
        <v>783</v>
      </c>
      <c r="C826" t="s">
        <v>637</v>
      </c>
      <c r="D826" t="s">
        <v>1200</v>
      </c>
      <c r="E826" t="s">
        <v>39</v>
      </c>
    </row>
    <row r="827" spans="1:5" x14ac:dyDescent="0.2">
      <c r="A827" s="14">
        <v>45882.654108796298</v>
      </c>
      <c r="B827" t="s">
        <v>783</v>
      </c>
      <c r="C827" t="s">
        <v>637</v>
      </c>
      <c r="D827" t="s">
        <v>1200</v>
      </c>
      <c r="E827" t="s">
        <v>47</v>
      </c>
    </row>
    <row r="828" spans="1:5" x14ac:dyDescent="0.2">
      <c r="A828" s="14">
        <v>45882.654108796298</v>
      </c>
      <c r="B828" t="s">
        <v>783</v>
      </c>
      <c r="C828" t="s">
        <v>637</v>
      </c>
      <c r="D828" t="s">
        <v>789</v>
      </c>
      <c r="E828" t="s">
        <v>39</v>
      </c>
    </row>
    <row r="829" spans="1:5" x14ac:dyDescent="0.2">
      <c r="A829" s="14">
        <v>45882.654293981497</v>
      </c>
      <c r="B829" t="s">
        <v>783</v>
      </c>
      <c r="C829" t="s">
        <v>637</v>
      </c>
      <c r="D829" t="s">
        <v>1201</v>
      </c>
    </row>
    <row r="830" spans="1:5" x14ac:dyDescent="0.2">
      <c r="A830" s="14">
        <v>45882.654293981497</v>
      </c>
      <c r="B830" t="s">
        <v>783</v>
      </c>
      <c r="C830" t="s">
        <v>637</v>
      </c>
      <c r="D830" t="s">
        <v>1202</v>
      </c>
      <c r="E830" t="s">
        <v>28</v>
      </c>
    </row>
    <row r="831" spans="1:5" x14ac:dyDescent="0.2">
      <c r="A831" s="14">
        <v>45882.654351851903</v>
      </c>
      <c r="B831" t="s">
        <v>783</v>
      </c>
      <c r="C831" t="s">
        <v>637</v>
      </c>
      <c r="D831" t="s">
        <v>1203</v>
      </c>
    </row>
    <row r="832" spans="1:5" x14ac:dyDescent="0.2">
      <c r="A832" s="14">
        <v>45882.654351851903</v>
      </c>
      <c r="B832" t="s">
        <v>783</v>
      </c>
      <c r="C832" t="s">
        <v>637</v>
      </c>
      <c r="D832" t="s">
        <v>862</v>
      </c>
      <c r="E832" t="s">
        <v>39</v>
      </c>
    </row>
    <row r="833" spans="1:5" x14ac:dyDescent="0.2">
      <c r="A833" s="14">
        <v>45882.654467592598</v>
      </c>
      <c r="B833" t="s">
        <v>783</v>
      </c>
      <c r="C833" t="s">
        <v>637</v>
      </c>
      <c r="D833" t="s">
        <v>1204</v>
      </c>
      <c r="E833" t="s">
        <v>27</v>
      </c>
    </row>
    <row r="834" spans="1:5" x14ac:dyDescent="0.2">
      <c r="A834" s="14">
        <v>45882.654502314799</v>
      </c>
      <c r="B834" t="s">
        <v>783</v>
      </c>
      <c r="C834" t="s">
        <v>637</v>
      </c>
      <c r="D834" t="s">
        <v>1204</v>
      </c>
      <c r="E834" t="s">
        <v>27</v>
      </c>
    </row>
    <row r="835" spans="1:5" x14ac:dyDescent="0.2">
      <c r="A835" s="14">
        <v>45882.658842592602</v>
      </c>
      <c r="B835" t="s">
        <v>783</v>
      </c>
      <c r="C835" t="s">
        <v>637</v>
      </c>
      <c r="D835" t="s">
        <v>1205</v>
      </c>
      <c r="E835" t="s">
        <v>1206</v>
      </c>
    </row>
    <row r="836" spans="1:5" x14ac:dyDescent="0.2">
      <c r="A836" s="14">
        <v>45882.660798611098</v>
      </c>
      <c r="B836" t="s">
        <v>783</v>
      </c>
      <c r="C836" t="s">
        <v>660</v>
      </c>
      <c r="D836" t="s">
        <v>1196</v>
      </c>
      <c r="E836" t="s">
        <v>1207</v>
      </c>
    </row>
    <row r="837" spans="1:5" x14ac:dyDescent="0.2">
      <c r="A837" s="14">
        <v>45882.660844907397</v>
      </c>
      <c r="B837" t="s">
        <v>783</v>
      </c>
      <c r="C837" t="s">
        <v>660</v>
      </c>
      <c r="D837" t="s">
        <v>1198</v>
      </c>
      <c r="E837" t="s">
        <v>1208</v>
      </c>
    </row>
    <row r="838" spans="1:5" ht="160" x14ac:dyDescent="0.2">
      <c r="A838" s="14">
        <v>45882.662280092598</v>
      </c>
      <c r="B838" t="s">
        <v>783</v>
      </c>
      <c r="C838" t="s">
        <v>637</v>
      </c>
      <c r="D838" t="s">
        <v>1209</v>
      </c>
      <c r="E838" s="2" t="s">
        <v>1210</v>
      </c>
    </row>
    <row r="839" spans="1:5" ht="160" x14ac:dyDescent="0.2">
      <c r="A839" s="14">
        <v>45882.663437499999</v>
      </c>
      <c r="B839" t="s">
        <v>783</v>
      </c>
      <c r="C839" t="s">
        <v>637</v>
      </c>
      <c r="D839" t="s">
        <v>1209</v>
      </c>
      <c r="E839" s="2" t="s">
        <v>1211</v>
      </c>
    </row>
    <row r="840" spans="1:5" ht="176" x14ac:dyDescent="0.2">
      <c r="A840" s="14">
        <v>45882.663634259297</v>
      </c>
      <c r="B840" t="s">
        <v>783</v>
      </c>
      <c r="C840" t="s">
        <v>637</v>
      </c>
      <c r="D840" t="s">
        <v>1209</v>
      </c>
      <c r="E840" s="2" t="s">
        <v>1212</v>
      </c>
    </row>
    <row r="841" spans="1:5" ht="176" x14ac:dyDescent="0.2">
      <c r="A841" s="14">
        <v>45882.663738425901</v>
      </c>
      <c r="B841" t="s">
        <v>783</v>
      </c>
      <c r="C841" t="s">
        <v>637</v>
      </c>
      <c r="D841" t="s">
        <v>1209</v>
      </c>
      <c r="E841" s="2" t="s">
        <v>1213</v>
      </c>
    </row>
    <row r="842" spans="1:5" x14ac:dyDescent="0.2">
      <c r="A842" s="14">
        <v>45882.665416666699</v>
      </c>
      <c r="B842" t="s">
        <v>783</v>
      </c>
      <c r="C842" t="s">
        <v>637</v>
      </c>
      <c r="D842" t="s">
        <v>1205</v>
      </c>
      <c r="E842" t="s">
        <v>1214</v>
      </c>
    </row>
    <row r="843" spans="1:5" x14ac:dyDescent="0.2">
      <c r="A843" s="14">
        <v>45882.665509259299</v>
      </c>
      <c r="B843" t="s">
        <v>783</v>
      </c>
      <c r="C843" t="s">
        <v>637</v>
      </c>
      <c r="D843" t="s">
        <v>1205</v>
      </c>
      <c r="E843" t="s">
        <v>49</v>
      </c>
    </row>
    <row r="844" spans="1:5" x14ac:dyDescent="0.2">
      <c r="A844" s="14">
        <v>45883.497835648202</v>
      </c>
      <c r="B844" t="s">
        <v>783</v>
      </c>
      <c r="C844" t="s">
        <v>637</v>
      </c>
      <c r="D844" t="s">
        <v>1126</v>
      </c>
      <c r="E844" t="s">
        <v>142</v>
      </c>
    </row>
    <row r="845" spans="1:5" ht="176" x14ac:dyDescent="0.2">
      <c r="A845" s="14">
        <v>45883.558935185203</v>
      </c>
      <c r="B845" t="s">
        <v>783</v>
      </c>
      <c r="C845" t="s">
        <v>637</v>
      </c>
      <c r="D845" t="s">
        <v>1209</v>
      </c>
      <c r="E845" s="2" t="s">
        <v>1215</v>
      </c>
    </row>
    <row r="846" spans="1:5" x14ac:dyDescent="0.2">
      <c r="A846" s="14">
        <v>45883.595173611102</v>
      </c>
      <c r="B846" t="s">
        <v>783</v>
      </c>
      <c r="C846" t="s">
        <v>623</v>
      </c>
      <c r="D846" t="s">
        <v>1216</v>
      </c>
      <c r="E846" t="s">
        <v>40</v>
      </c>
    </row>
    <row r="847" spans="1:5" x14ac:dyDescent="0.2">
      <c r="A847" s="14">
        <v>45883.604722222197</v>
      </c>
      <c r="B847" t="s">
        <v>783</v>
      </c>
      <c r="C847" t="s">
        <v>28</v>
      </c>
      <c r="D847" t="s">
        <v>1217</v>
      </c>
      <c r="E847" t="s">
        <v>89</v>
      </c>
    </row>
    <row r="848" spans="1:5" x14ac:dyDescent="0.2">
      <c r="A848" s="14">
        <v>45883.604756944398</v>
      </c>
      <c r="B848" t="s">
        <v>783</v>
      </c>
      <c r="C848" t="s">
        <v>28</v>
      </c>
      <c r="D848" t="s">
        <v>1217</v>
      </c>
      <c r="E848" t="s">
        <v>190</v>
      </c>
    </row>
    <row r="849" spans="1:5" x14ac:dyDescent="0.2">
      <c r="A849" s="14">
        <v>45883.604861111096</v>
      </c>
      <c r="B849" t="s">
        <v>783</v>
      </c>
      <c r="C849" t="s">
        <v>28</v>
      </c>
      <c r="D849" t="s">
        <v>999</v>
      </c>
      <c r="E849">
        <v>1</v>
      </c>
    </row>
    <row r="850" spans="1:5" x14ac:dyDescent="0.2">
      <c r="A850" s="14">
        <v>45883.604895833298</v>
      </c>
      <c r="B850" t="s">
        <v>783</v>
      </c>
      <c r="C850" t="s">
        <v>28</v>
      </c>
      <c r="D850" t="s">
        <v>1217</v>
      </c>
    </row>
    <row r="851" spans="1:5" x14ac:dyDescent="0.2">
      <c r="A851" s="14">
        <v>45883.605902777803</v>
      </c>
      <c r="B851" t="s">
        <v>783</v>
      </c>
      <c r="C851" t="s">
        <v>637</v>
      </c>
      <c r="D851" t="s">
        <v>1218</v>
      </c>
      <c r="E851" t="s">
        <v>107</v>
      </c>
    </row>
    <row r="852" spans="1:5" x14ac:dyDescent="0.2">
      <c r="A852" s="14">
        <v>45883.606249999997</v>
      </c>
      <c r="B852" t="s">
        <v>783</v>
      </c>
      <c r="C852" t="s">
        <v>637</v>
      </c>
      <c r="D852" t="s">
        <v>1218</v>
      </c>
      <c r="E852" t="s">
        <v>107</v>
      </c>
    </row>
    <row r="853" spans="1:5" x14ac:dyDescent="0.2">
      <c r="A853" s="14">
        <v>45883.606296296297</v>
      </c>
      <c r="B853" t="s">
        <v>783</v>
      </c>
      <c r="C853" t="s">
        <v>637</v>
      </c>
      <c r="D853" t="s">
        <v>1219</v>
      </c>
      <c r="E853" t="s">
        <v>126</v>
      </c>
    </row>
    <row r="854" spans="1:5" x14ac:dyDescent="0.2">
      <c r="A854" s="14">
        <v>45883.606331018498</v>
      </c>
      <c r="B854" t="s">
        <v>783</v>
      </c>
      <c r="C854" t="s">
        <v>637</v>
      </c>
      <c r="D854" t="s">
        <v>957</v>
      </c>
      <c r="E854" t="s">
        <v>130</v>
      </c>
    </row>
    <row r="855" spans="1:5" x14ac:dyDescent="0.2">
      <c r="A855" s="14">
        <v>45883.612731481502</v>
      </c>
      <c r="B855" t="s">
        <v>783</v>
      </c>
      <c r="C855" t="s">
        <v>660</v>
      </c>
      <c r="D855" t="s">
        <v>1220</v>
      </c>
      <c r="E855" t="s">
        <v>412</v>
      </c>
    </row>
    <row r="856" spans="1:5" ht="224" x14ac:dyDescent="0.2">
      <c r="A856" s="14">
        <v>45883.612870370402</v>
      </c>
      <c r="B856" t="s">
        <v>783</v>
      </c>
      <c r="C856" t="s">
        <v>637</v>
      </c>
      <c r="D856" t="s">
        <v>1221</v>
      </c>
      <c r="E856" s="2" t="s">
        <v>1222</v>
      </c>
    </row>
    <row r="857" spans="1:5" ht="224" x14ac:dyDescent="0.2">
      <c r="A857" s="14">
        <v>45883.612939814797</v>
      </c>
      <c r="B857" t="s">
        <v>783</v>
      </c>
      <c r="C857" t="s">
        <v>637</v>
      </c>
      <c r="D857" t="s">
        <v>1221</v>
      </c>
      <c r="E857" s="2" t="s">
        <v>1222</v>
      </c>
    </row>
    <row r="858" spans="1:5" x14ac:dyDescent="0.2">
      <c r="A858" s="14">
        <v>45883.621597222198</v>
      </c>
      <c r="B858" t="s">
        <v>783</v>
      </c>
      <c r="C858" t="s">
        <v>2</v>
      </c>
      <c r="D858" t="s">
        <v>1223</v>
      </c>
    </row>
    <row r="859" spans="1:5" x14ac:dyDescent="0.2">
      <c r="A859" s="14">
        <v>45883.621597222198</v>
      </c>
      <c r="B859" t="s">
        <v>783</v>
      </c>
      <c r="C859" t="s">
        <v>2</v>
      </c>
      <c r="D859" t="s">
        <v>1223</v>
      </c>
    </row>
    <row r="860" spans="1:5" x14ac:dyDescent="0.2">
      <c r="A860" s="14">
        <v>45883.621631944399</v>
      </c>
      <c r="B860" t="s">
        <v>783</v>
      </c>
      <c r="C860" t="s">
        <v>2</v>
      </c>
      <c r="D860" t="s">
        <v>644</v>
      </c>
    </row>
    <row r="861" spans="1:5" x14ac:dyDescent="0.2">
      <c r="A861" s="14">
        <v>45883.621655092596</v>
      </c>
      <c r="B861" t="s">
        <v>783</v>
      </c>
      <c r="C861" t="s">
        <v>2</v>
      </c>
      <c r="D861" t="s">
        <v>644</v>
      </c>
    </row>
    <row r="862" spans="1:5" x14ac:dyDescent="0.2">
      <c r="A862" s="14">
        <v>45883.621655092596</v>
      </c>
      <c r="B862" t="s">
        <v>783</v>
      </c>
      <c r="C862" t="s">
        <v>2</v>
      </c>
      <c r="D862" t="s">
        <v>1223</v>
      </c>
    </row>
    <row r="863" spans="1:5" x14ac:dyDescent="0.2">
      <c r="A863" s="14">
        <v>45883.621689814798</v>
      </c>
      <c r="B863" t="s">
        <v>783</v>
      </c>
      <c r="C863" t="s">
        <v>2</v>
      </c>
      <c r="D863" t="s">
        <v>1224</v>
      </c>
    </row>
    <row r="864" spans="1:5" x14ac:dyDescent="0.2">
      <c r="A864" s="14">
        <v>45883.621736111098</v>
      </c>
      <c r="B864" t="s">
        <v>783</v>
      </c>
      <c r="C864" t="s">
        <v>2</v>
      </c>
      <c r="D864" t="s">
        <v>1224</v>
      </c>
    </row>
    <row r="865" spans="1:5" x14ac:dyDescent="0.2">
      <c r="A865" s="14">
        <v>45883.621805555602</v>
      </c>
      <c r="B865" t="s">
        <v>783</v>
      </c>
      <c r="C865" t="s">
        <v>2</v>
      </c>
      <c r="D865" t="s">
        <v>1225</v>
      </c>
    </row>
    <row r="866" spans="1:5" x14ac:dyDescent="0.2">
      <c r="A866" s="14">
        <v>45883.621805555602</v>
      </c>
      <c r="B866" t="s">
        <v>783</v>
      </c>
      <c r="C866" t="s">
        <v>2</v>
      </c>
      <c r="D866" t="s">
        <v>1225</v>
      </c>
    </row>
    <row r="867" spans="1:5" x14ac:dyDescent="0.2">
      <c r="A867" s="14">
        <v>45883.621851851902</v>
      </c>
      <c r="B867" t="s">
        <v>783</v>
      </c>
      <c r="C867" t="s">
        <v>2</v>
      </c>
      <c r="D867" t="s">
        <v>811</v>
      </c>
    </row>
    <row r="868" spans="1:5" x14ac:dyDescent="0.2">
      <c r="A868" s="14">
        <v>45883.622025463003</v>
      </c>
      <c r="B868" t="s">
        <v>783</v>
      </c>
      <c r="C868" t="s">
        <v>2</v>
      </c>
      <c r="D868" t="s">
        <v>1226</v>
      </c>
      <c r="E868" t="s">
        <v>164</v>
      </c>
    </row>
    <row r="869" spans="1:5" x14ac:dyDescent="0.2">
      <c r="A869" s="14">
        <v>45883.622824074097</v>
      </c>
      <c r="B869" t="s">
        <v>783</v>
      </c>
      <c r="C869" t="s">
        <v>2</v>
      </c>
      <c r="D869" t="s">
        <v>1227</v>
      </c>
      <c r="E869" t="s">
        <v>115</v>
      </c>
    </row>
    <row r="870" spans="1:5" x14ac:dyDescent="0.2">
      <c r="A870" s="14">
        <v>45883.623171296298</v>
      </c>
      <c r="B870" t="s">
        <v>783</v>
      </c>
      <c r="C870" t="s">
        <v>2</v>
      </c>
      <c r="D870" t="s">
        <v>1228</v>
      </c>
      <c r="E870" t="s">
        <v>241</v>
      </c>
    </row>
    <row r="871" spans="1:5" x14ac:dyDescent="0.2">
      <c r="A871" s="14">
        <v>45883.623263888898</v>
      </c>
      <c r="B871" t="s">
        <v>783</v>
      </c>
      <c r="C871" t="s">
        <v>2</v>
      </c>
      <c r="D871" t="s">
        <v>1229</v>
      </c>
      <c r="E871" t="s">
        <v>240</v>
      </c>
    </row>
    <row r="872" spans="1:5" x14ac:dyDescent="0.2">
      <c r="A872" s="14">
        <v>45883.623437499999</v>
      </c>
      <c r="B872" t="s">
        <v>783</v>
      </c>
      <c r="C872" t="s">
        <v>27</v>
      </c>
      <c r="D872" t="s">
        <v>1220</v>
      </c>
      <c r="E872" t="s">
        <v>248</v>
      </c>
    </row>
    <row r="873" spans="1:5" x14ac:dyDescent="0.2">
      <c r="A873" s="14">
        <v>45883.623645833301</v>
      </c>
      <c r="B873" t="s">
        <v>783</v>
      </c>
      <c r="C873" t="s">
        <v>27</v>
      </c>
      <c r="D873" t="s">
        <v>1204</v>
      </c>
      <c r="E873" t="s">
        <v>249</v>
      </c>
    </row>
    <row r="874" spans="1:5" x14ac:dyDescent="0.2">
      <c r="A874" s="14">
        <v>45883.624016203699</v>
      </c>
      <c r="B874" t="s">
        <v>783</v>
      </c>
      <c r="C874" t="s">
        <v>2</v>
      </c>
      <c r="D874" t="s">
        <v>1230</v>
      </c>
      <c r="E874" t="s">
        <v>52</v>
      </c>
    </row>
    <row r="875" spans="1:5" x14ac:dyDescent="0.2">
      <c r="A875" s="14">
        <v>45883.624305555597</v>
      </c>
      <c r="B875" t="s">
        <v>783</v>
      </c>
      <c r="C875" t="s">
        <v>2</v>
      </c>
      <c r="D875" t="s">
        <v>1231</v>
      </c>
      <c r="E875">
        <v>1000</v>
      </c>
    </row>
    <row r="876" spans="1:5" x14ac:dyDescent="0.2">
      <c r="A876" s="14">
        <v>45883.624652777798</v>
      </c>
      <c r="B876" t="s">
        <v>783</v>
      </c>
      <c r="C876" t="s">
        <v>2</v>
      </c>
      <c r="D876" t="s">
        <v>1227</v>
      </c>
      <c r="E876" t="s">
        <v>248</v>
      </c>
    </row>
    <row r="877" spans="1:5" x14ac:dyDescent="0.2">
      <c r="A877" s="14">
        <v>45883.624918981499</v>
      </c>
      <c r="B877" t="s">
        <v>783</v>
      </c>
      <c r="C877" t="s">
        <v>2</v>
      </c>
      <c r="D877" t="s">
        <v>1232</v>
      </c>
    </row>
    <row r="878" spans="1:5" x14ac:dyDescent="0.2">
      <c r="A878" s="14">
        <v>45883.625081018501</v>
      </c>
      <c r="B878" t="s">
        <v>783</v>
      </c>
      <c r="C878" t="s">
        <v>2</v>
      </c>
      <c r="D878" t="s">
        <v>1233</v>
      </c>
      <c r="E878" t="s">
        <v>157</v>
      </c>
    </row>
    <row r="879" spans="1:5" x14ac:dyDescent="0.2">
      <c r="A879" s="14">
        <v>45883.625787037003</v>
      </c>
      <c r="B879" t="s">
        <v>783</v>
      </c>
      <c r="C879" t="s">
        <v>2</v>
      </c>
      <c r="D879" t="s">
        <v>1234</v>
      </c>
      <c r="E879" t="s">
        <v>1162</v>
      </c>
    </row>
    <row r="880" spans="1:5" x14ac:dyDescent="0.2">
      <c r="A880" s="14">
        <v>45883.6258564815</v>
      </c>
      <c r="B880" t="s">
        <v>783</v>
      </c>
      <c r="C880" t="s">
        <v>2</v>
      </c>
      <c r="D880" t="s">
        <v>1235</v>
      </c>
      <c r="E880" t="s">
        <v>1162</v>
      </c>
    </row>
    <row r="881" spans="1:5" x14ac:dyDescent="0.2">
      <c r="A881" s="14">
        <v>45883.626145833303</v>
      </c>
      <c r="B881" t="s">
        <v>783</v>
      </c>
      <c r="C881" t="s">
        <v>2</v>
      </c>
      <c r="D881" t="s">
        <v>1236</v>
      </c>
      <c r="E881" t="s">
        <v>324</v>
      </c>
    </row>
    <row r="882" spans="1:5" x14ac:dyDescent="0.2">
      <c r="A882" s="14">
        <v>45883.6261689815</v>
      </c>
      <c r="B882" t="s">
        <v>783</v>
      </c>
      <c r="C882" t="s">
        <v>2</v>
      </c>
      <c r="D882" t="s">
        <v>1237</v>
      </c>
      <c r="E882" t="s">
        <v>412</v>
      </c>
    </row>
    <row r="883" spans="1:5" x14ac:dyDescent="0.2">
      <c r="A883" s="14">
        <v>45883.626608796301</v>
      </c>
      <c r="B883" t="s">
        <v>783</v>
      </c>
      <c r="C883" t="s">
        <v>637</v>
      </c>
      <c r="D883" t="s">
        <v>1238</v>
      </c>
      <c r="E883" t="s">
        <v>1239</v>
      </c>
    </row>
    <row r="884" spans="1:5" x14ac:dyDescent="0.2">
      <c r="A884" s="14">
        <v>45883.626655092601</v>
      </c>
      <c r="B884" t="s">
        <v>783</v>
      </c>
      <c r="C884" t="s">
        <v>637</v>
      </c>
      <c r="D884" t="s">
        <v>1238</v>
      </c>
      <c r="E884" t="s">
        <v>114</v>
      </c>
    </row>
    <row r="885" spans="1:5" x14ac:dyDescent="0.2">
      <c r="A885" s="14">
        <v>45883.674768518496</v>
      </c>
      <c r="B885" t="s">
        <v>622</v>
      </c>
      <c r="C885" t="s">
        <v>103</v>
      </c>
      <c r="D885" t="s">
        <v>1240</v>
      </c>
    </row>
    <row r="886" spans="1:5" x14ac:dyDescent="0.2">
      <c r="A886" s="14">
        <v>45883.674803240698</v>
      </c>
      <c r="B886" t="s">
        <v>622</v>
      </c>
      <c r="C886" t="s">
        <v>103</v>
      </c>
      <c r="D886" t="s">
        <v>1240</v>
      </c>
    </row>
    <row r="887" spans="1:5" x14ac:dyDescent="0.2">
      <c r="A887" s="14">
        <v>45883.674803240698</v>
      </c>
      <c r="B887" t="s">
        <v>622</v>
      </c>
      <c r="C887" t="s">
        <v>103</v>
      </c>
      <c r="D887" t="s">
        <v>1241</v>
      </c>
    </row>
    <row r="888" spans="1:5" x14ac:dyDescent="0.2">
      <c r="A888" s="14">
        <v>45883.675081018497</v>
      </c>
      <c r="B888" t="s">
        <v>622</v>
      </c>
      <c r="C888" t="s">
        <v>103</v>
      </c>
      <c r="D888" t="s">
        <v>1242</v>
      </c>
    </row>
    <row r="889" spans="1:5" x14ac:dyDescent="0.2">
      <c r="A889" s="14">
        <v>45883.675185185202</v>
      </c>
      <c r="B889" t="s">
        <v>622</v>
      </c>
      <c r="C889" t="s">
        <v>103</v>
      </c>
      <c r="D889" t="s">
        <v>1243</v>
      </c>
    </row>
    <row r="890" spans="1:5" x14ac:dyDescent="0.2">
      <c r="A890" s="14">
        <v>45883.675254629597</v>
      </c>
      <c r="B890" t="s">
        <v>622</v>
      </c>
      <c r="C890" t="s">
        <v>103</v>
      </c>
      <c r="D890" t="s">
        <v>1240</v>
      </c>
    </row>
    <row r="891" spans="1:5" x14ac:dyDescent="0.2">
      <c r="A891" s="14">
        <v>45883.676053240699</v>
      </c>
      <c r="B891" t="s">
        <v>622</v>
      </c>
      <c r="C891" t="s">
        <v>13</v>
      </c>
      <c r="D891" t="s">
        <v>962</v>
      </c>
    </row>
    <row r="892" spans="1:5" x14ac:dyDescent="0.2">
      <c r="A892" s="14">
        <v>45883.679444444402</v>
      </c>
      <c r="B892" t="s">
        <v>622</v>
      </c>
      <c r="C892" t="s">
        <v>27</v>
      </c>
      <c r="D892" t="s">
        <v>1244</v>
      </c>
    </row>
    <row r="893" spans="1:5" x14ac:dyDescent="0.2">
      <c r="A893" s="14">
        <v>45883.679537037002</v>
      </c>
      <c r="B893" t="s">
        <v>622</v>
      </c>
      <c r="C893" t="s">
        <v>27</v>
      </c>
      <c r="D893" t="s">
        <v>1245</v>
      </c>
    </row>
    <row r="894" spans="1:5" x14ac:dyDescent="0.2">
      <c r="A894" s="14">
        <v>45883.682129629597</v>
      </c>
      <c r="B894" t="s">
        <v>622</v>
      </c>
      <c r="C894" t="s">
        <v>29</v>
      </c>
      <c r="D894" t="s">
        <v>962</v>
      </c>
    </row>
    <row r="895" spans="1:5" x14ac:dyDescent="0.2">
      <c r="A895" s="14">
        <v>45883.682500000003</v>
      </c>
      <c r="B895" t="s">
        <v>622</v>
      </c>
      <c r="C895" t="s">
        <v>29</v>
      </c>
      <c r="D895" t="s">
        <v>962</v>
      </c>
    </row>
    <row r="896" spans="1:5" x14ac:dyDescent="0.2">
      <c r="A896" s="14">
        <v>45883.682557870401</v>
      </c>
      <c r="B896" t="s">
        <v>622</v>
      </c>
      <c r="C896" t="s">
        <v>29</v>
      </c>
      <c r="D896" t="s">
        <v>1246</v>
      </c>
    </row>
    <row r="897" spans="1:5" x14ac:dyDescent="0.2">
      <c r="A897" s="14">
        <v>45883.682638888902</v>
      </c>
      <c r="B897" t="s">
        <v>622</v>
      </c>
      <c r="C897" t="s">
        <v>29</v>
      </c>
      <c r="D897" t="s">
        <v>1247</v>
      </c>
    </row>
    <row r="898" spans="1:5" x14ac:dyDescent="0.2">
      <c r="A898" s="14">
        <v>45887.74</v>
      </c>
      <c r="B898" t="s">
        <v>618</v>
      </c>
      <c r="C898" t="s">
        <v>29</v>
      </c>
      <c r="D898" t="s">
        <v>803</v>
      </c>
      <c r="E898" t="s">
        <v>140</v>
      </c>
    </row>
    <row r="899" spans="1:5" x14ac:dyDescent="0.2">
      <c r="A899" s="14">
        <v>45887.740023148202</v>
      </c>
      <c r="B899" t="s">
        <v>618</v>
      </c>
      <c r="C899" t="s">
        <v>29</v>
      </c>
      <c r="D899" t="s">
        <v>803</v>
      </c>
      <c r="E899" t="s">
        <v>140</v>
      </c>
    </row>
    <row r="900" spans="1:5" x14ac:dyDescent="0.2">
      <c r="A900" s="14">
        <v>45887.740034722199</v>
      </c>
      <c r="B900" t="s">
        <v>618</v>
      </c>
      <c r="C900" t="s">
        <v>29</v>
      </c>
      <c r="D900" t="s">
        <v>803</v>
      </c>
      <c r="E900" t="s">
        <v>140</v>
      </c>
    </row>
    <row r="901" spans="1:5" x14ac:dyDescent="0.2">
      <c r="A901" s="14">
        <v>45887.740046296298</v>
      </c>
      <c r="B901" t="s">
        <v>618</v>
      </c>
      <c r="C901" t="s">
        <v>29</v>
      </c>
      <c r="D901" t="s">
        <v>803</v>
      </c>
      <c r="E901" t="s">
        <v>140</v>
      </c>
    </row>
    <row r="902" spans="1:5" x14ac:dyDescent="0.2">
      <c r="A902" s="14">
        <v>45887.7400694444</v>
      </c>
      <c r="B902" t="s">
        <v>618</v>
      </c>
      <c r="C902" t="s">
        <v>29</v>
      </c>
      <c r="D902" t="s">
        <v>803</v>
      </c>
      <c r="E902" t="s">
        <v>140</v>
      </c>
    </row>
    <row r="903" spans="1:5" x14ac:dyDescent="0.2">
      <c r="A903" s="14">
        <v>45887.740185185197</v>
      </c>
      <c r="B903" t="s">
        <v>618</v>
      </c>
      <c r="C903" t="s">
        <v>29</v>
      </c>
      <c r="D903" t="s">
        <v>1220</v>
      </c>
      <c r="E903" t="s">
        <v>134</v>
      </c>
    </row>
    <row r="904" spans="1:5" x14ac:dyDescent="0.2">
      <c r="A904" s="14">
        <v>45887.740763888898</v>
      </c>
      <c r="B904" t="s">
        <v>618</v>
      </c>
      <c r="C904" t="s">
        <v>29</v>
      </c>
      <c r="D904" t="s">
        <v>826</v>
      </c>
      <c r="E904" t="s">
        <v>182</v>
      </c>
    </row>
    <row r="905" spans="1:5" x14ac:dyDescent="0.2">
      <c r="A905" s="14">
        <v>45887.740763888898</v>
      </c>
      <c r="B905" t="s">
        <v>618</v>
      </c>
      <c r="C905" t="s">
        <v>29</v>
      </c>
      <c r="D905" t="s">
        <v>788</v>
      </c>
      <c r="E905" t="s">
        <v>39</v>
      </c>
    </row>
    <row r="906" spans="1:5" x14ac:dyDescent="0.2">
      <c r="A906" s="14">
        <v>45887.740856481498</v>
      </c>
      <c r="B906" t="s">
        <v>618</v>
      </c>
      <c r="C906" t="s">
        <v>29</v>
      </c>
      <c r="D906" t="s">
        <v>1248</v>
      </c>
      <c r="E906" t="s">
        <v>173</v>
      </c>
    </row>
    <row r="907" spans="1:5" x14ac:dyDescent="0.2">
      <c r="A907" s="14">
        <v>45887.741145833301</v>
      </c>
      <c r="B907" t="s">
        <v>618</v>
      </c>
      <c r="C907" t="s">
        <v>2</v>
      </c>
      <c r="D907" t="s">
        <v>1249</v>
      </c>
    </row>
    <row r="908" spans="1:5" x14ac:dyDescent="0.2">
      <c r="A908" s="14">
        <v>45887.742974537003</v>
      </c>
      <c r="B908" t="s">
        <v>618</v>
      </c>
      <c r="C908" t="s">
        <v>2</v>
      </c>
      <c r="D908" t="s">
        <v>1163</v>
      </c>
    </row>
    <row r="909" spans="1:5" x14ac:dyDescent="0.2">
      <c r="A909" s="14">
        <v>45887.743032407401</v>
      </c>
      <c r="B909" t="s">
        <v>618</v>
      </c>
      <c r="C909" t="s">
        <v>2</v>
      </c>
      <c r="D909" t="s">
        <v>1164</v>
      </c>
    </row>
    <row r="910" spans="1:5" ht="144" x14ac:dyDescent="0.2">
      <c r="A910" s="14">
        <v>45887.743611111102</v>
      </c>
      <c r="B910" t="s">
        <v>618</v>
      </c>
      <c r="C910" t="s">
        <v>637</v>
      </c>
      <c r="D910" t="s">
        <v>1250</v>
      </c>
      <c r="E910" s="2" t="s">
        <v>1251</v>
      </c>
    </row>
    <row r="911" spans="1:5" x14ac:dyDescent="0.2">
      <c r="A911" s="14">
        <v>45887.753923611097</v>
      </c>
      <c r="B911" t="s">
        <v>618</v>
      </c>
      <c r="C911" t="s">
        <v>28</v>
      </c>
      <c r="D911" t="s">
        <v>1252</v>
      </c>
      <c r="E911" t="s">
        <v>251</v>
      </c>
    </row>
    <row r="912" spans="1:5" x14ac:dyDescent="0.2">
      <c r="A912" s="14">
        <v>45887.754027777803</v>
      </c>
      <c r="B912" t="s">
        <v>618</v>
      </c>
      <c r="C912" t="s">
        <v>28</v>
      </c>
      <c r="D912" t="s">
        <v>1253</v>
      </c>
      <c r="E912" t="s">
        <v>252</v>
      </c>
    </row>
    <row r="913" spans="1:5" x14ac:dyDescent="0.2">
      <c r="A913" s="14">
        <v>45887.754548611098</v>
      </c>
      <c r="B913" t="s">
        <v>618</v>
      </c>
      <c r="C913" t="s">
        <v>27</v>
      </c>
      <c r="D913" t="s">
        <v>1252</v>
      </c>
      <c r="E913" t="s">
        <v>1254</v>
      </c>
    </row>
    <row r="914" spans="1:5" x14ac:dyDescent="0.2">
      <c r="A914" s="14">
        <v>45887.754571759302</v>
      </c>
      <c r="B914" t="s">
        <v>618</v>
      </c>
      <c r="C914" t="s">
        <v>27</v>
      </c>
      <c r="D914" t="s">
        <v>1252</v>
      </c>
      <c r="E914" t="s">
        <v>244</v>
      </c>
    </row>
    <row r="915" spans="1:5" ht="32" x14ac:dyDescent="0.2">
      <c r="A915" s="14">
        <v>45887.755104166703</v>
      </c>
      <c r="B915" t="s">
        <v>618</v>
      </c>
      <c r="C915" t="s">
        <v>2</v>
      </c>
      <c r="D915" t="s">
        <v>1255</v>
      </c>
      <c r="E915" s="2" t="s">
        <v>167</v>
      </c>
    </row>
    <row r="916" spans="1:5" x14ac:dyDescent="0.2">
      <c r="A916" s="14">
        <v>45901.394027777802</v>
      </c>
      <c r="B916" t="s">
        <v>618</v>
      </c>
      <c r="C916" t="s">
        <v>623</v>
      </c>
      <c r="D916" t="s">
        <v>1256</v>
      </c>
      <c r="E916" t="s">
        <v>40</v>
      </c>
    </row>
    <row r="917" spans="1:5" x14ac:dyDescent="0.2">
      <c r="A917" s="14">
        <v>45901.394560185203</v>
      </c>
      <c r="B917" t="s">
        <v>618</v>
      </c>
      <c r="C917" t="s">
        <v>623</v>
      </c>
      <c r="D917" t="s">
        <v>1256</v>
      </c>
      <c r="E917" t="s">
        <v>40</v>
      </c>
    </row>
    <row r="918" spans="1:5" x14ac:dyDescent="0.2">
      <c r="A918" s="14">
        <v>45901.396724537</v>
      </c>
      <c r="B918" t="s">
        <v>618</v>
      </c>
      <c r="C918" t="s">
        <v>623</v>
      </c>
      <c r="D918" t="s">
        <v>1256</v>
      </c>
      <c r="E918" t="s">
        <v>40</v>
      </c>
    </row>
    <row r="919" spans="1:5" x14ac:dyDescent="0.2">
      <c r="A919" s="14">
        <v>45901.596331018503</v>
      </c>
      <c r="B919" t="s">
        <v>622</v>
      </c>
      <c r="C919" t="s">
        <v>623</v>
      </c>
      <c r="D919" t="s">
        <v>1256</v>
      </c>
      <c r="E919" t="s">
        <v>40</v>
      </c>
    </row>
    <row r="920" spans="1:5" x14ac:dyDescent="0.2">
      <c r="A920" s="14">
        <v>45901.666747685202</v>
      </c>
      <c r="B920" t="s">
        <v>622</v>
      </c>
      <c r="C920" t="s">
        <v>623</v>
      </c>
      <c r="D920" t="s">
        <v>1256</v>
      </c>
      <c r="E920" t="s">
        <v>40</v>
      </c>
    </row>
    <row r="921" spans="1:5" x14ac:dyDescent="0.2">
      <c r="A921" s="14">
        <v>45901.666967592602</v>
      </c>
      <c r="B921" t="s">
        <v>622</v>
      </c>
      <c r="C921" t="s">
        <v>637</v>
      </c>
      <c r="D921" t="s">
        <v>1257</v>
      </c>
      <c r="E921" t="s">
        <v>2</v>
      </c>
    </row>
    <row r="922" spans="1:5" x14ac:dyDescent="0.2">
      <c r="A922" s="14">
        <v>45901.666990740698</v>
      </c>
      <c r="B922" t="s">
        <v>622</v>
      </c>
      <c r="C922" t="s">
        <v>637</v>
      </c>
      <c r="D922" t="s">
        <v>1257</v>
      </c>
      <c r="E922" t="s">
        <v>2</v>
      </c>
    </row>
    <row r="923" spans="1:5" x14ac:dyDescent="0.2">
      <c r="A923" s="14">
        <v>45901.667071759301</v>
      </c>
      <c r="B923" t="s">
        <v>622</v>
      </c>
      <c r="C923" t="s">
        <v>637</v>
      </c>
      <c r="D923" t="s">
        <v>1257</v>
      </c>
      <c r="E923" t="s">
        <v>2</v>
      </c>
    </row>
    <row r="924" spans="1:5" x14ac:dyDescent="0.2">
      <c r="A924" s="14">
        <v>45901.6671180556</v>
      </c>
      <c r="B924" t="s">
        <v>622</v>
      </c>
      <c r="C924" t="s">
        <v>637</v>
      </c>
      <c r="D924" t="s">
        <v>1257</v>
      </c>
      <c r="E924" t="s">
        <v>2</v>
      </c>
    </row>
    <row r="925" spans="1:5" x14ac:dyDescent="0.2">
      <c r="A925" s="14">
        <v>45901.667210648098</v>
      </c>
      <c r="B925" t="s">
        <v>622</v>
      </c>
      <c r="C925" t="s">
        <v>637</v>
      </c>
      <c r="D925" t="s">
        <v>1248</v>
      </c>
      <c r="E925" t="s">
        <v>8</v>
      </c>
    </row>
    <row r="926" spans="1:5" x14ac:dyDescent="0.2">
      <c r="A926" s="14">
        <v>45901.667256944398</v>
      </c>
      <c r="B926" t="s">
        <v>622</v>
      </c>
      <c r="C926" t="s">
        <v>637</v>
      </c>
      <c r="D926" t="s">
        <v>1258</v>
      </c>
      <c r="E926" t="s">
        <v>13</v>
      </c>
    </row>
    <row r="927" spans="1:5" x14ac:dyDescent="0.2">
      <c r="A927" s="14">
        <v>45909.436863425901</v>
      </c>
      <c r="B927" t="s">
        <v>1259</v>
      </c>
      <c r="C927" t="s">
        <v>8</v>
      </c>
      <c r="D927" t="s">
        <v>1260</v>
      </c>
    </row>
    <row r="928" spans="1:5" x14ac:dyDescent="0.2">
      <c r="A928" s="14">
        <v>45909.437025462998</v>
      </c>
      <c r="B928" t="s">
        <v>1259</v>
      </c>
      <c r="C928" t="s">
        <v>8</v>
      </c>
      <c r="D928" t="s">
        <v>972</v>
      </c>
      <c r="E928" t="s">
        <v>38</v>
      </c>
    </row>
    <row r="929" spans="1:5" x14ac:dyDescent="0.2">
      <c r="A929" s="14">
        <v>45909.4370949074</v>
      </c>
      <c r="B929" t="s">
        <v>1259</v>
      </c>
      <c r="C929" t="s">
        <v>8</v>
      </c>
      <c r="D929" t="s">
        <v>976</v>
      </c>
      <c r="E929" t="s">
        <v>89</v>
      </c>
    </row>
    <row r="930" spans="1:5" x14ac:dyDescent="0.2">
      <c r="A930" s="14">
        <v>45909.437222222201</v>
      </c>
      <c r="B930" t="s">
        <v>1259</v>
      </c>
      <c r="C930" t="s">
        <v>8</v>
      </c>
      <c r="D930" t="s">
        <v>803</v>
      </c>
      <c r="E930">
        <v>1400</v>
      </c>
    </row>
    <row r="931" spans="1:5" x14ac:dyDescent="0.2">
      <c r="A931" s="14">
        <v>45909.437754629602</v>
      </c>
      <c r="B931" t="s">
        <v>1259</v>
      </c>
      <c r="C931" t="s">
        <v>8</v>
      </c>
      <c r="D931" t="s">
        <v>976</v>
      </c>
      <c r="E931" t="s">
        <v>435</v>
      </c>
    </row>
    <row r="932" spans="1:5" x14ac:dyDescent="0.2">
      <c r="A932" s="14">
        <v>45909.437916666699</v>
      </c>
      <c r="B932" t="s">
        <v>1259</v>
      </c>
      <c r="C932" t="s">
        <v>8</v>
      </c>
      <c r="D932" t="s">
        <v>1261</v>
      </c>
      <c r="E932" t="s">
        <v>38</v>
      </c>
    </row>
    <row r="933" spans="1:5" x14ac:dyDescent="0.2">
      <c r="A933" s="14">
        <v>45909.4381712963</v>
      </c>
      <c r="B933" t="s">
        <v>1259</v>
      </c>
      <c r="C933" t="s">
        <v>8</v>
      </c>
      <c r="D933" t="s">
        <v>1262</v>
      </c>
      <c r="E933">
        <v>1000</v>
      </c>
    </row>
    <row r="934" spans="1:5" x14ac:dyDescent="0.2">
      <c r="A934" s="14">
        <v>45909.438252314802</v>
      </c>
      <c r="B934" t="s">
        <v>1259</v>
      </c>
      <c r="C934" t="s">
        <v>8</v>
      </c>
      <c r="D934" t="s">
        <v>1262</v>
      </c>
      <c r="E934">
        <v>1000</v>
      </c>
    </row>
    <row r="935" spans="1:5" x14ac:dyDescent="0.2">
      <c r="A935" s="14">
        <v>45909.438541666699</v>
      </c>
      <c r="B935" t="s">
        <v>1259</v>
      </c>
      <c r="C935" t="s">
        <v>17</v>
      </c>
      <c r="D935" t="s">
        <v>1092</v>
      </c>
      <c r="E935">
        <v>2</v>
      </c>
    </row>
    <row r="936" spans="1:5" x14ac:dyDescent="0.2">
      <c r="A936" s="14">
        <v>45909.4385763889</v>
      </c>
      <c r="B936" t="s">
        <v>1259</v>
      </c>
      <c r="C936" t="s">
        <v>17</v>
      </c>
      <c r="D936" t="s">
        <v>999</v>
      </c>
      <c r="E936" t="s">
        <v>217</v>
      </c>
    </row>
    <row r="937" spans="1:5" x14ac:dyDescent="0.2">
      <c r="A937" s="14">
        <v>45909.438634259299</v>
      </c>
      <c r="B937" t="s">
        <v>1259</v>
      </c>
      <c r="C937" t="s">
        <v>17</v>
      </c>
      <c r="D937" t="s">
        <v>952</v>
      </c>
      <c r="E937" t="s">
        <v>218</v>
      </c>
    </row>
    <row r="938" spans="1:5" x14ac:dyDescent="0.2">
      <c r="A938" s="14">
        <v>45909.4387615741</v>
      </c>
      <c r="B938" t="s">
        <v>1259</v>
      </c>
      <c r="C938" t="s">
        <v>17</v>
      </c>
      <c r="D938" t="s">
        <v>1036</v>
      </c>
      <c r="E938" t="s">
        <v>216</v>
      </c>
    </row>
    <row r="939" spans="1:5" x14ac:dyDescent="0.2">
      <c r="A939" s="14">
        <v>45909.438923611102</v>
      </c>
      <c r="B939" t="s">
        <v>1259</v>
      </c>
      <c r="C939" t="s">
        <v>17</v>
      </c>
      <c r="D939" t="s">
        <v>1217</v>
      </c>
      <c r="E939" t="s">
        <v>215</v>
      </c>
    </row>
    <row r="940" spans="1:5" x14ac:dyDescent="0.2">
      <c r="A940" s="14">
        <v>45909.439629629604</v>
      </c>
      <c r="B940" t="s">
        <v>1259</v>
      </c>
      <c r="C940" t="s">
        <v>2</v>
      </c>
      <c r="D940" t="s">
        <v>1263</v>
      </c>
      <c r="E940" t="s">
        <v>148</v>
      </c>
    </row>
    <row r="941" spans="1:5" x14ac:dyDescent="0.2">
      <c r="A941" s="14">
        <v>45909.439699074101</v>
      </c>
      <c r="B941" t="s">
        <v>1259</v>
      </c>
      <c r="C941" t="s">
        <v>2</v>
      </c>
      <c r="D941" t="s">
        <v>1264</v>
      </c>
      <c r="E941">
        <v>2024</v>
      </c>
    </row>
    <row r="942" spans="1:5" x14ac:dyDescent="0.2">
      <c r="A942" s="14">
        <v>45909.439780092602</v>
      </c>
      <c r="B942" t="s">
        <v>1259</v>
      </c>
      <c r="C942" t="s">
        <v>2</v>
      </c>
      <c r="D942" t="s">
        <v>1264</v>
      </c>
      <c r="E942">
        <v>2024</v>
      </c>
    </row>
    <row r="943" spans="1:5" x14ac:dyDescent="0.2">
      <c r="A943" s="14">
        <v>45909.439780092602</v>
      </c>
      <c r="B943" t="s">
        <v>1259</v>
      </c>
      <c r="C943" t="s">
        <v>2</v>
      </c>
      <c r="D943" t="s">
        <v>1264</v>
      </c>
      <c r="E943">
        <v>2024</v>
      </c>
    </row>
    <row r="944" spans="1:5" x14ac:dyDescent="0.2">
      <c r="A944" s="14">
        <v>45909.439953703702</v>
      </c>
      <c r="B944" t="s">
        <v>1259</v>
      </c>
      <c r="C944" t="s">
        <v>2</v>
      </c>
      <c r="D944" t="s">
        <v>898</v>
      </c>
      <c r="E944">
        <v>1400</v>
      </c>
    </row>
    <row r="945" spans="1:5" x14ac:dyDescent="0.2">
      <c r="A945" s="14">
        <v>45909.440000000002</v>
      </c>
      <c r="B945" t="s">
        <v>1259</v>
      </c>
      <c r="C945" t="s">
        <v>2</v>
      </c>
      <c r="D945" t="s">
        <v>899</v>
      </c>
      <c r="E945">
        <v>1000</v>
      </c>
    </row>
    <row r="946" spans="1:5" x14ac:dyDescent="0.2">
      <c r="A946" s="14">
        <v>45909.440173611103</v>
      </c>
      <c r="B946" t="s">
        <v>1259</v>
      </c>
      <c r="C946" t="s">
        <v>2</v>
      </c>
      <c r="D946" t="s">
        <v>1265</v>
      </c>
      <c r="E946">
        <v>1</v>
      </c>
    </row>
    <row r="947" spans="1:5" x14ac:dyDescent="0.2">
      <c r="A947" s="14">
        <v>45909.440416666701</v>
      </c>
      <c r="B947" t="s">
        <v>1259</v>
      </c>
      <c r="C947" t="s">
        <v>8</v>
      </c>
      <c r="D947" t="s">
        <v>1266</v>
      </c>
      <c r="E947" t="s">
        <v>177</v>
      </c>
    </row>
    <row r="948" spans="1:5" x14ac:dyDescent="0.2">
      <c r="A948" s="14">
        <v>45909.440682870401</v>
      </c>
      <c r="B948" t="s">
        <v>1259</v>
      </c>
      <c r="C948" t="s">
        <v>2</v>
      </c>
      <c r="D948" t="s">
        <v>1265</v>
      </c>
      <c r="E948">
        <v>2</v>
      </c>
    </row>
    <row r="949" spans="1:5" x14ac:dyDescent="0.2">
      <c r="A949" s="14">
        <v>45909.441574074102</v>
      </c>
      <c r="B949" t="s">
        <v>1259</v>
      </c>
      <c r="C949" t="s">
        <v>17</v>
      </c>
      <c r="D949" t="s">
        <v>1267</v>
      </c>
      <c r="E949" t="s">
        <v>89</v>
      </c>
    </row>
    <row r="950" spans="1:5" x14ac:dyDescent="0.2">
      <c r="A950" s="14">
        <v>45909.442210648202</v>
      </c>
      <c r="B950" t="s">
        <v>1259</v>
      </c>
      <c r="C950" t="s">
        <v>17</v>
      </c>
      <c r="D950" t="s">
        <v>1001</v>
      </c>
      <c r="E950">
        <v>0.2</v>
      </c>
    </row>
    <row r="951" spans="1:5" x14ac:dyDescent="0.2">
      <c r="A951" s="14">
        <v>45909.442337963003</v>
      </c>
      <c r="B951" t="s">
        <v>1259</v>
      </c>
      <c r="C951" t="s">
        <v>17</v>
      </c>
      <c r="D951" t="s">
        <v>1268</v>
      </c>
      <c r="E951" t="s">
        <v>89</v>
      </c>
    </row>
    <row r="952" spans="1:5" x14ac:dyDescent="0.2">
      <c r="A952" s="14">
        <v>45909.442442129599</v>
      </c>
      <c r="B952" t="s">
        <v>1259</v>
      </c>
      <c r="C952" t="s">
        <v>17</v>
      </c>
      <c r="D952" t="s">
        <v>1001</v>
      </c>
    </row>
    <row r="953" spans="1:5" x14ac:dyDescent="0.2">
      <c r="A953" s="14">
        <v>45909.442453703698</v>
      </c>
      <c r="B953" t="s">
        <v>1259</v>
      </c>
      <c r="C953" t="s">
        <v>17</v>
      </c>
      <c r="D953" t="s">
        <v>1267</v>
      </c>
    </row>
    <row r="954" spans="1:5" x14ac:dyDescent="0.2">
      <c r="A954" s="14">
        <v>45909.618773148097</v>
      </c>
      <c r="B954" t="s">
        <v>1259</v>
      </c>
      <c r="C954" t="s">
        <v>623</v>
      </c>
      <c r="D954" t="s">
        <v>1256</v>
      </c>
      <c r="E954" t="s">
        <v>40</v>
      </c>
    </row>
    <row r="955" spans="1:5" x14ac:dyDescent="0.2">
      <c r="A955" s="14">
        <v>45909.618900463</v>
      </c>
      <c r="B955" t="s">
        <v>1259</v>
      </c>
      <c r="C955" t="s">
        <v>8</v>
      </c>
      <c r="D955" t="s">
        <v>1261</v>
      </c>
      <c r="E955" t="s">
        <v>38</v>
      </c>
    </row>
    <row r="956" spans="1:5" x14ac:dyDescent="0.2">
      <c r="A956" s="14">
        <v>45909.619004629603</v>
      </c>
      <c r="B956" t="s">
        <v>1259</v>
      </c>
      <c r="C956" t="s">
        <v>8</v>
      </c>
      <c r="D956" t="s">
        <v>1266</v>
      </c>
      <c r="E956" t="s">
        <v>89</v>
      </c>
    </row>
    <row r="957" spans="1:5" x14ac:dyDescent="0.2">
      <c r="A957" s="14">
        <v>45909.619097222203</v>
      </c>
      <c r="B957" t="s">
        <v>1259</v>
      </c>
      <c r="C957" t="s">
        <v>2</v>
      </c>
      <c r="D957" t="s">
        <v>1264</v>
      </c>
      <c r="E957">
        <v>2024</v>
      </c>
    </row>
    <row r="958" spans="1:5" x14ac:dyDescent="0.2">
      <c r="A958" s="14">
        <v>45909.6194328704</v>
      </c>
      <c r="B958" t="s">
        <v>1259</v>
      </c>
      <c r="C958" t="s">
        <v>8</v>
      </c>
      <c r="D958" t="s">
        <v>982</v>
      </c>
      <c r="E958">
        <v>2024</v>
      </c>
    </row>
    <row r="959" spans="1:5" x14ac:dyDescent="0.2">
      <c r="A959" s="14">
        <v>45909.619456018503</v>
      </c>
      <c r="B959" t="s">
        <v>1259</v>
      </c>
      <c r="C959" t="s">
        <v>8</v>
      </c>
      <c r="D959" t="s">
        <v>684</v>
      </c>
      <c r="E959">
        <v>2024</v>
      </c>
    </row>
    <row r="960" spans="1:5" x14ac:dyDescent="0.2">
      <c r="A960" s="14">
        <v>45909.619652777801</v>
      </c>
      <c r="B960" t="s">
        <v>1259</v>
      </c>
      <c r="C960" t="s">
        <v>8</v>
      </c>
      <c r="D960" t="s">
        <v>1267</v>
      </c>
      <c r="E960">
        <v>2025</v>
      </c>
    </row>
    <row r="961" spans="1:5" x14ac:dyDescent="0.2">
      <c r="A961" s="14">
        <v>45909.619733796302</v>
      </c>
      <c r="B961" t="s">
        <v>1259</v>
      </c>
      <c r="C961" t="s">
        <v>8</v>
      </c>
      <c r="D961" t="s">
        <v>1269</v>
      </c>
      <c r="E961">
        <v>2024</v>
      </c>
    </row>
    <row r="962" spans="1:5" x14ac:dyDescent="0.2">
      <c r="A962" s="14">
        <v>45909.619826388902</v>
      </c>
      <c r="B962" t="s">
        <v>1259</v>
      </c>
      <c r="C962" t="s">
        <v>8</v>
      </c>
      <c r="D962" t="s">
        <v>1217</v>
      </c>
      <c r="E962" t="s">
        <v>38</v>
      </c>
    </row>
    <row r="963" spans="1:5" x14ac:dyDescent="0.2">
      <c r="A963" s="14">
        <v>45909.6198842593</v>
      </c>
      <c r="B963" t="s">
        <v>1259</v>
      </c>
      <c r="C963" t="s">
        <v>8</v>
      </c>
      <c r="D963" t="s">
        <v>1036</v>
      </c>
      <c r="E963" t="s">
        <v>177</v>
      </c>
    </row>
    <row r="964" spans="1:5" x14ac:dyDescent="0.2">
      <c r="A964" s="14">
        <v>45909.6199305556</v>
      </c>
      <c r="B964" t="s">
        <v>1259</v>
      </c>
      <c r="C964" t="s">
        <v>8</v>
      </c>
      <c r="D964" t="s">
        <v>999</v>
      </c>
      <c r="E964">
        <v>1500</v>
      </c>
    </row>
    <row r="965" spans="1:5" x14ac:dyDescent="0.2">
      <c r="A965" s="14">
        <v>45909.619976851798</v>
      </c>
      <c r="B965" t="s">
        <v>1259</v>
      </c>
      <c r="C965" t="s">
        <v>8</v>
      </c>
      <c r="D965" t="s">
        <v>1267</v>
      </c>
      <c r="E965">
        <v>2025</v>
      </c>
    </row>
    <row r="966" spans="1:5" x14ac:dyDescent="0.2">
      <c r="A966" s="14">
        <v>45909.620150463001</v>
      </c>
      <c r="B966" t="s">
        <v>1259</v>
      </c>
      <c r="C966" t="s">
        <v>8</v>
      </c>
      <c r="D966" t="s">
        <v>999</v>
      </c>
      <c r="E966">
        <v>1500</v>
      </c>
    </row>
    <row r="967" spans="1:5" x14ac:dyDescent="0.2">
      <c r="A967" s="14">
        <v>45909.620185185202</v>
      </c>
      <c r="B967" t="s">
        <v>1259</v>
      </c>
      <c r="C967" t="s">
        <v>8</v>
      </c>
      <c r="D967" t="s">
        <v>1270</v>
      </c>
    </row>
    <row r="968" spans="1:5" x14ac:dyDescent="0.2">
      <c r="A968" s="14">
        <v>45909.620196759301</v>
      </c>
      <c r="B968" t="s">
        <v>1259</v>
      </c>
      <c r="C968" t="s">
        <v>8</v>
      </c>
      <c r="D968" t="s">
        <v>1270</v>
      </c>
    </row>
    <row r="969" spans="1:5" x14ac:dyDescent="0.2">
      <c r="A969" s="14">
        <v>45909.620208333297</v>
      </c>
      <c r="B969" t="s">
        <v>1259</v>
      </c>
      <c r="C969" t="s">
        <v>8</v>
      </c>
      <c r="D969" t="s">
        <v>1270</v>
      </c>
    </row>
    <row r="970" spans="1:5" x14ac:dyDescent="0.2">
      <c r="A970" s="14">
        <v>45911.622523148202</v>
      </c>
      <c r="B970" t="s">
        <v>1271</v>
      </c>
      <c r="C970" t="s">
        <v>13</v>
      </c>
      <c r="D970" t="s">
        <v>977</v>
      </c>
      <c r="E970" t="s">
        <v>89</v>
      </c>
    </row>
    <row r="971" spans="1:5" x14ac:dyDescent="0.2">
      <c r="A971" s="14">
        <v>45911.6242361111</v>
      </c>
      <c r="B971" t="s">
        <v>1271</v>
      </c>
      <c r="C971" t="s">
        <v>13</v>
      </c>
      <c r="D971" t="s">
        <v>1272</v>
      </c>
      <c r="E971">
        <v>37.479999999999997</v>
      </c>
    </row>
    <row r="972" spans="1:5" x14ac:dyDescent="0.2">
      <c r="A972" s="14">
        <v>45911.625162037002</v>
      </c>
      <c r="B972" t="s">
        <v>1271</v>
      </c>
      <c r="C972" t="s">
        <v>1273</v>
      </c>
      <c r="D972" t="s">
        <v>977</v>
      </c>
      <c r="E972" t="s">
        <v>1274</v>
      </c>
    </row>
    <row r="973" spans="1:5" x14ac:dyDescent="0.2">
      <c r="A973" s="14">
        <v>45911.625196759298</v>
      </c>
      <c r="B973" t="s">
        <v>1271</v>
      </c>
      <c r="C973" t="s">
        <v>1273</v>
      </c>
      <c r="D973" t="s">
        <v>977</v>
      </c>
      <c r="E973" t="s">
        <v>193</v>
      </c>
    </row>
    <row r="974" spans="1:5" x14ac:dyDescent="0.2">
      <c r="A974" s="14">
        <v>45911.625231481499</v>
      </c>
      <c r="B974" t="s">
        <v>1271</v>
      </c>
      <c r="C974" t="s">
        <v>1273</v>
      </c>
      <c r="D974" t="s">
        <v>1272</v>
      </c>
      <c r="E974">
        <v>0</v>
      </c>
    </row>
    <row r="975" spans="1:5" x14ac:dyDescent="0.2">
      <c r="A975" s="14">
        <v>45911.625254629602</v>
      </c>
      <c r="B975" t="s">
        <v>1271</v>
      </c>
      <c r="C975" t="s">
        <v>1273</v>
      </c>
      <c r="D975" t="s">
        <v>984</v>
      </c>
      <c r="E975">
        <v>0</v>
      </c>
    </row>
    <row r="976" spans="1:5" x14ac:dyDescent="0.2">
      <c r="A976" s="14">
        <v>45911.625335648103</v>
      </c>
      <c r="B976" t="s">
        <v>1271</v>
      </c>
      <c r="C976" t="s">
        <v>1273</v>
      </c>
      <c r="D976" t="s">
        <v>1009</v>
      </c>
      <c r="E976" t="s">
        <v>193</v>
      </c>
    </row>
    <row r="977" spans="1:5" x14ac:dyDescent="0.2">
      <c r="A977" s="14">
        <v>45911.625335648103</v>
      </c>
      <c r="B977" t="s">
        <v>1271</v>
      </c>
      <c r="C977" t="s">
        <v>1273</v>
      </c>
      <c r="D977" t="s">
        <v>1092</v>
      </c>
      <c r="E977" t="s">
        <v>193</v>
      </c>
    </row>
    <row r="978" spans="1:5" x14ac:dyDescent="0.2">
      <c r="A978" s="14">
        <v>45911.625347222202</v>
      </c>
      <c r="B978" t="s">
        <v>1271</v>
      </c>
      <c r="C978" t="s">
        <v>1273</v>
      </c>
      <c r="D978" t="s">
        <v>1020</v>
      </c>
      <c r="E978" t="s">
        <v>193</v>
      </c>
    </row>
    <row r="979" spans="1:5" x14ac:dyDescent="0.2">
      <c r="A979" s="14">
        <v>45911.6253587963</v>
      </c>
      <c r="B979" t="s">
        <v>1271</v>
      </c>
      <c r="C979" t="s">
        <v>1273</v>
      </c>
      <c r="D979" t="s">
        <v>1041</v>
      </c>
      <c r="E979" t="s">
        <v>193</v>
      </c>
    </row>
    <row r="980" spans="1:5" x14ac:dyDescent="0.2">
      <c r="A980" s="14">
        <v>45911.6253587963</v>
      </c>
      <c r="B980" t="s">
        <v>1271</v>
      </c>
      <c r="C980" t="s">
        <v>1273</v>
      </c>
      <c r="D980" t="s">
        <v>1044</v>
      </c>
      <c r="E980" t="s">
        <v>193</v>
      </c>
    </row>
    <row r="981" spans="1:5" x14ac:dyDescent="0.2">
      <c r="A981" s="14">
        <v>45911.625370370399</v>
      </c>
      <c r="B981" t="s">
        <v>1271</v>
      </c>
      <c r="C981" t="s">
        <v>1273</v>
      </c>
      <c r="D981" t="s">
        <v>1094</v>
      </c>
      <c r="E981" t="s">
        <v>193</v>
      </c>
    </row>
    <row r="982" spans="1:5" x14ac:dyDescent="0.2">
      <c r="A982" s="14">
        <v>45911.626203703701</v>
      </c>
      <c r="B982" t="s">
        <v>1271</v>
      </c>
      <c r="C982" t="s">
        <v>1273</v>
      </c>
      <c r="D982" t="s">
        <v>963</v>
      </c>
      <c r="E982">
        <v>36.04</v>
      </c>
    </row>
    <row r="983" spans="1:5" x14ac:dyDescent="0.2">
      <c r="A983" s="14">
        <v>45911.627928240698</v>
      </c>
      <c r="B983" t="s">
        <v>1271</v>
      </c>
      <c r="C983" t="s">
        <v>1273</v>
      </c>
      <c r="D983" t="s">
        <v>1275</v>
      </c>
      <c r="E983" t="s">
        <v>192</v>
      </c>
    </row>
    <row r="984" spans="1:5" x14ac:dyDescent="0.2">
      <c r="A984" s="14">
        <v>45911.627974536997</v>
      </c>
      <c r="B984" t="s">
        <v>1271</v>
      </c>
      <c r="C984" t="s">
        <v>1273</v>
      </c>
      <c r="D984" t="s">
        <v>1276</v>
      </c>
      <c r="E984" t="s">
        <v>63</v>
      </c>
    </row>
    <row r="985" spans="1:5" x14ac:dyDescent="0.2">
      <c r="A985" s="14">
        <v>45911.627997685202</v>
      </c>
      <c r="B985" t="s">
        <v>1271</v>
      </c>
      <c r="C985" t="s">
        <v>1273</v>
      </c>
      <c r="D985" t="s">
        <v>1095</v>
      </c>
      <c r="E985" t="s">
        <v>190</v>
      </c>
    </row>
    <row r="986" spans="1:5" x14ac:dyDescent="0.2">
      <c r="A986" s="14">
        <v>45911.628240740698</v>
      </c>
      <c r="B986" t="s">
        <v>1271</v>
      </c>
      <c r="C986" t="s">
        <v>1273</v>
      </c>
      <c r="D986" t="s">
        <v>1277</v>
      </c>
      <c r="E986">
        <v>0</v>
      </c>
    </row>
    <row r="987" spans="1:5" x14ac:dyDescent="0.2">
      <c r="A987" s="14">
        <v>45911.628599536998</v>
      </c>
      <c r="B987" t="s">
        <v>1271</v>
      </c>
      <c r="C987" t="s">
        <v>1273</v>
      </c>
      <c r="D987" t="s">
        <v>952</v>
      </c>
      <c r="E987">
        <v>32.06</v>
      </c>
    </row>
    <row r="988" spans="1:5" x14ac:dyDescent="0.2">
      <c r="A988" s="14">
        <v>45911.628715277802</v>
      </c>
      <c r="B988" t="s">
        <v>1271</v>
      </c>
      <c r="C988" t="s">
        <v>1273</v>
      </c>
      <c r="D988" t="s">
        <v>900</v>
      </c>
      <c r="E988">
        <v>66.489999999999995</v>
      </c>
    </row>
    <row r="989" spans="1:5" x14ac:dyDescent="0.2">
      <c r="A989" s="14">
        <v>45911.628784722197</v>
      </c>
      <c r="B989" t="s">
        <v>1271</v>
      </c>
      <c r="C989" t="s">
        <v>1273</v>
      </c>
      <c r="D989" t="s">
        <v>1278</v>
      </c>
      <c r="E989">
        <v>86.2</v>
      </c>
    </row>
    <row r="990" spans="1:5" x14ac:dyDescent="0.2">
      <c r="A990" s="14">
        <v>45911.628842592603</v>
      </c>
      <c r="B990" t="s">
        <v>1271</v>
      </c>
      <c r="C990" t="s">
        <v>1273</v>
      </c>
      <c r="D990" t="s">
        <v>1279</v>
      </c>
      <c r="E990">
        <v>0</v>
      </c>
    </row>
    <row r="991" spans="1:5" x14ac:dyDescent="0.2">
      <c r="A991" s="14">
        <v>45911.628877314797</v>
      </c>
      <c r="B991" t="s">
        <v>1271</v>
      </c>
      <c r="C991" t="s">
        <v>1273</v>
      </c>
      <c r="D991" t="s">
        <v>1280</v>
      </c>
      <c r="E991">
        <v>0</v>
      </c>
    </row>
    <row r="992" spans="1:5" x14ac:dyDescent="0.2">
      <c r="A992" s="14">
        <v>45911.631249999999</v>
      </c>
      <c r="B992" t="s">
        <v>1271</v>
      </c>
      <c r="C992" t="s">
        <v>1273</v>
      </c>
      <c r="D992" t="s">
        <v>986</v>
      </c>
      <c r="E992" t="s">
        <v>191</v>
      </c>
    </row>
    <row r="993" spans="1:5" x14ac:dyDescent="0.2">
      <c r="A993" s="14">
        <v>45911.631319444401</v>
      </c>
      <c r="B993" t="s">
        <v>1271</v>
      </c>
      <c r="C993" t="s">
        <v>1273</v>
      </c>
      <c r="D993" t="s">
        <v>1050</v>
      </c>
      <c r="E993" t="s">
        <v>1281</v>
      </c>
    </row>
    <row r="994" spans="1:5" x14ac:dyDescent="0.2">
      <c r="A994" s="14">
        <v>45911.631388888898</v>
      </c>
      <c r="B994" t="s">
        <v>1271</v>
      </c>
      <c r="C994" t="s">
        <v>1273</v>
      </c>
      <c r="D994" t="s">
        <v>998</v>
      </c>
      <c r="E994" t="s">
        <v>1281</v>
      </c>
    </row>
    <row r="995" spans="1:5" x14ac:dyDescent="0.2">
      <c r="A995" s="14">
        <v>45911.631458333301</v>
      </c>
      <c r="B995" t="s">
        <v>1271</v>
      </c>
      <c r="C995" t="s">
        <v>1273</v>
      </c>
      <c r="D995" t="s">
        <v>1282</v>
      </c>
      <c r="E995" t="s">
        <v>1283</v>
      </c>
    </row>
    <row r="996" spans="1:5" x14ac:dyDescent="0.2">
      <c r="A996" s="14">
        <v>45911.6315509259</v>
      </c>
      <c r="B996" t="s">
        <v>1271</v>
      </c>
      <c r="C996" t="s">
        <v>1273</v>
      </c>
      <c r="D996" t="s">
        <v>1042</v>
      </c>
      <c r="E996" t="s">
        <v>1284</v>
      </c>
    </row>
    <row r="997" spans="1:5" x14ac:dyDescent="0.2">
      <c r="A997" s="14">
        <v>45911.6316898148</v>
      </c>
      <c r="B997" t="s">
        <v>1271</v>
      </c>
      <c r="C997" t="s">
        <v>1273</v>
      </c>
      <c r="D997" t="s">
        <v>1285</v>
      </c>
      <c r="E997" t="s">
        <v>1286</v>
      </c>
    </row>
    <row r="998" spans="1:5" x14ac:dyDescent="0.2">
      <c r="A998" s="14">
        <v>45911.631805555597</v>
      </c>
      <c r="B998" t="s">
        <v>1271</v>
      </c>
      <c r="C998" t="s">
        <v>1273</v>
      </c>
      <c r="D998" t="s">
        <v>1287</v>
      </c>
      <c r="E998" t="s">
        <v>1284</v>
      </c>
    </row>
    <row r="999" spans="1:5" x14ac:dyDescent="0.2">
      <c r="A999" s="14">
        <v>45911.632025462997</v>
      </c>
      <c r="B999" t="s">
        <v>1271</v>
      </c>
      <c r="C999" t="s">
        <v>1273</v>
      </c>
      <c r="D999" t="s">
        <v>1288</v>
      </c>
      <c r="E999" t="s">
        <v>1289</v>
      </c>
    </row>
    <row r="1000" spans="1:5" x14ac:dyDescent="0.2">
      <c r="A1000" s="14">
        <v>45911.632291666698</v>
      </c>
      <c r="B1000" t="s">
        <v>1271</v>
      </c>
      <c r="C1000" t="s">
        <v>1273</v>
      </c>
      <c r="D1000" t="s">
        <v>1290</v>
      </c>
      <c r="E1000" t="s">
        <v>188</v>
      </c>
    </row>
    <row r="1001" spans="1:5" x14ac:dyDescent="0.2">
      <c r="A1001" s="14">
        <v>45911.6332638889</v>
      </c>
      <c r="B1001" t="s">
        <v>1271</v>
      </c>
      <c r="C1001" t="s">
        <v>1273</v>
      </c>
      <c r="D1001" t="s">
        <v>1291</v>
      </c>
      <c r="E1001" t="s">
        <v>189</v>
      </c>
    </row>
    <row r="1002" spans="1:5" x14ac:dyDescent="0.2">
      <c r="A1002" s="14">
        <v>45911.633287037002</v>
      </c>
      <c r="B1002" t="s">
        <v>1271</v>
      </c>
      <c r="C1002" t="s">
        <v>1273</v>
      </c>
      <c r="D1002" t="s">
        <v>1291</v>
      </c>
    </row>
    <row r="1003" spans="1:5" x14ac:dyDescent="0.2">
      <c r="A1003" s="14">
        <v>45911.633321759298</v>
      </c>
      <c r="B1003" t="s">
        <v>1271</v>
      </c>
      <c r="C1003" t="s">
        <v>1273</v>
      </c>
      <c r="D1003" t="s">
        <v>1292</v>
      </c>
      <c r="E1003" t="s">
        <v>189</v>
      </c>
    </row>
    <row r="1004" spans="1:5" x14ac:dyDescent="0.2">
      <c r="A1004" s="14">
        <v>45911.633414351898</v>
      </c>
      <c r="B1004" t="s">
        <v>1271</v>
      </c>
      <c r="C1004" t="s">
        <v>1273</v>
      </c>
      <c r="D1004" t="s">
        <v>1293</v>
      </c>
      <c r="E1004" t="s">
        <v>1294</v>
      </c>
    </row>
    <row r="1005" spans="1:5" x14ac:dyDescent="0.2">
      <c r="A1005" s="14">
        <v>45911.6334837963</v>
      </c>
      <c r="B1005" t="s">
        <v>1271</v>
      </c>
      <c r="C1005" t="s">
        <v>1273</v>
      </c>
      <c r="D1005" t="s">
        <v>1295</v>
      </c>
      <c r="E1005" t="s">
        <v>1294</v>
      </c>
    </row>
    <row r="1006" spans="1:5" x14ac:dyDescent="0.2">
      <c r="A1006" s="14">
        <v>45911.6334837963</v>
      </c>
      <c r="B1006" t="s">
        <v>1271</v>
      </c>
      <c r="C1006" t="s">
        <v>1273</v>
      </c>
      <c r="D1006" t="s">
        <v>1295</v>
      </c>
      <c r="E1006" t="s">
        <v>89</v>
      </c>
    </row>
    <row r="1007" spans="1:5" x14ac:dyDescent="0.2">
      <c r="A1007" s="14">
        <v>45911.633495370399</v>
      </c>
      <c r="B1007" t="s">
        <v>1271</v>
      </c>
      <c r="C1007" t="s">
        <v>1273</v>
      </c>
      <c r="D1007" t="s">
        <v>1295</v>
      </c>
      <c r="E1007" t="s">
        <v>1294</v>
      </c>
    </row>
    <row r="1008" spans="1:5" x14ac:dyDescent="0.2">
      <c r="A1008" s="14">
        <v>45911.633750000001</v>
      </c>
      <c r="B1008" t="s">
        <v>1271</v>
      </c>
      <c r="C1008" t="s">
        <v>1273</v>
      </c>
      <c r="D1008" t="s">
        <v>1296</v>
      </c>
      <c r="E1008" t="s">
        <v>1294</v>
      </c>
    </row>
    <row r="1009" spans="1:5" x14ac:dyDescent="0.2">
      <c r="A1009" s="14">
        <v>45911.633773148104</v>
      </c>
      <c r="B1009" t="s">
        <v>1271</v>
      </c>
      <c r="C1009" t="s">
        <v>1273</v>
      </c>
      <c r="D1009" t="s">
        <v>1297</v>
      </c>
      <c r="E1009" t="s">
        <v>1294</v>
      </c>
    </row>
    <row r="1010" spans="1:5" x14ac:dyDescent="0.2">
      <c r="A1010" s="14">
        <v>45911.633773148104</v>
      </c>
      <c r="B1010" t="s">
        <v>1271</v>
      </c>
      <c r="C1010" t="s">
        <v>1273</v>
      </c>
      <c r="D1010" t="s">
        <v>1298</v>
      </c>
      <c r="E1010" t="s">
        <v>1294</v>
      </c>
    </row>
    <row r="1011" spans="1:5" x14ac:dyDescent="0.2">
      <c r="A1011" s="14">
        <v>45911.633784722202</v>
      </c>
      <c r="B1011" t="s">
        <v>1271</v>
      </c>
      <c r="C1011" t="s">
        <v>1273</v>
      </c>
      <c r="D1011" t="s">
        <v>1299</v>
      </c>
      <c r="E1011" t="s">
        <v>1294</v>
      </c>
    </row>
    <row r="1012" spans="1:5" x14ac:dyDescent="0.2">
      <c r="A1012" s="14">
        <v>45911.633796296301</v>
      </c>
      <c r="B1012" t="s">
        <v>1271</v>
      </c>
      <c r="C1012" t="s">
        <v>1273</v>
      </c>
      <c r="D1012" t="s">
        <v>1300</v>
      </c>
      <c r="E1012" t="s">
        <v>1294</v>
      </c>
    </row>
    <row r="1013" spans="1:5" x14ac:dyDescent="0.2">
      <c r="A1013" s="14">
        <v>45911.633796296301</v>
      </c>
      <c r="B1013" t="s">
        <v>1271</v>
      </c>
      <c r="C1013" t="s">
        <v>1273</v>
      </c>
      <c r="D1013" t="s">
        <v>1301</v>
      </c>
      <c r="E1013" t="s">
        <v>1294</v>
      </c>
    </row>
    <row r="1014" spans="1:5" x14ac:dyDescent="0.2">
      <c r="A1014" s="14">
        <v>45911.633842592601</v>
      </c>
      <c r="B1014" t="s">
        <v>1271</v>
      </c>
      <c r="C1014" t="s">
        <v>1273</v>
      </c>
      <c r="D1014" t="s">
        <v>1293</v>
      </c>
      <c r="E1014" t="s">
        <v>89</v>
      </c>
    </row>
    <row r="1015" spans="1:5" x14ac:dyDescent="0.2">
      <c r="A1015" s="14">
        <v>45911.633865740703</v>
      </c>
      <c r="B1015" t="s">
        <v>1271</v>
      </c>
      <c r="C1015" t="s">
        <v>1273</v>
      </c>
      <c r="D1015" t="s">
        <v>1293</v>
      </c>
      <c r="E1015" t="s">
        <v>89</v>
      </c>
    </row>
    <row r="1016" spans="1:5" x14ac:dyDescent="0.2">
      <c r="A1016" s="14">
        <v>45911.634039351899</v>
      </c>
      <c r="B1016" t="s">
        <v>1271</v>
      </c>
      <c r="C1016" t="s">
        <v>1273</v>
      </c>
      <c r="D1016" t="s">
        <v>1302</v>
      </c>
      <c r="E1016">
        <v>37.479999999999997</v>
      </c>
    </row>
    <row r="1017" spans="1:5" x14ac:dyDescent="0.2">
      <c r="A1017" s="14">
        <v>45911.634062500001</v>
      </c>
      <c r="B1017" t="s">
        <v>1271</v>
      </c>
      <c r="C1017" t="s">
        <v>1273</v>
      </c>
      <c r="D1017" t="s">
        <v>1303</v>
      </c>
      <c r="E1017">
        <v>0</v>
      </c>
    </row>
    <row r="1018" spans="1:5" x14ac:dyDescent="0.2">
      <c r="A1018" s="14">
        <v>45911.634131944404</v>
      </c>
      <c r="B1018" t="s">
        <v>1271</v>
      </c>
      <c r="C1018" t="s">
        <v>1273</v>
      </c>
      <c r="D1018" t="s">
        <v>1304</v>
      </c>
      <c r="E1018">
        <v>118.318</v>
      </c>
    </row>
    <row r="1019" spans="1:5" x14ac:dyDescent="0.2">
      <c r="A1019" s="14">
        <v>45911.634236111102</v>
      </c>
      <c r="B1019" t="s">
        <v>1271</v>
      </c>
      <c r="C1019" t="s">
        <v>1273</v>
      </c>
      <c r="D1019" t="s">
        <v>1305</v>
      </c>
      <c r="E1019">
        <v>139.30000000000001</v>
      </c>
    </row>
    <row r="1020" spans="1:5" x14ac:dyDescent="0.2">
      <c r="A1020" s="14">
        <v>45911.634305555599</v>
      </c>
      <c r="B1020" t="s">
        <v>1271</v>
      </c>
      <c r="C1020" t="s">
        <v>1273</v>
      </c>
      <c r="D1020" t="s">
        <v>1306</v>
      </c>
      <c r="E1020">
        <v>208.78</v>
      </c>
    </row>
    <row r="1021" spans="1:5" x14ac:dyDescent="0.2">
      <c r="A1021" s="14">
        <v>45911.6343402778</v>
      </c>
      <c r="B1021" t="s">
        <v>1271</v>
      </c>
      <c r="C1021" t="s">
        <v>1273</v>
      </c>
      <c r="D1021" t="s">
        <v>1307</v>
      </c>
      <c r="E1021">
        <v>0</v>
      </c>
    </row>
    <row r="1022" spans="1:5" x14ac:dyDescent="0.2">
      <c r="A1022" s="14">
        <v>45911.634502314802</v>
      </c>
      <c r="B1022" t="s">
        <v>1271</v>
      </c>
      <c r="C1022" t="s">
        <v>1273</v>
      </c>
      <c r="D1022" t="s">
        <v>1308</v>
      </c>
      <c r="E1022">
        <v>52.51</v>
      </c>
    </row>
    <row r="1023" spans="1:5" x14ac:dyDescent="0.2">
      <c r="A1023" s="14">
        <v>45911.634606481501</v>
      </c>
      <c r="B1023" t="s">
        <v>1271</v>
      </c>
      <c r="C1023" t="s">
        <v>1273</v>
      </c>
      <c r="D1023" t="s">
        <v>1309</v>
      </c>
      <c r="E1023">
        <v>91.61</v>
      </c>
    </row>
    <row r="1024" spans="1:5" x14ac:dyDescent="0.2">
      <c r="A1024" s="14">
        <v>45911.6346990741</v>
      </c>
      <c r="B1024" t="s">
        <v>1271</v>
      </c>
      <c r="C1024" t="s">
        <v>1273</v>
      </c>
      <c r="D1024" t="s">
        <v>1293</v>
      </c>
      <c r="E1024" t="s">
        <v>89</v>
      </c>
    </row>
    <row r="1025" spans="1:5" x14ac:dyDescent="0.2">
      <c r="A1025" s="14">
        <v>45911.634733796302</v>
      </c>
      <c r="B1025" t="s">
        <v>1271</v>
      </c>
      <c r="C1025" t="s">
        <v>1273</v>
      </c>
      <c r="D1025" t="s">
        <v>1295</v>
      </c>
      <c r="E1025" t="s">
        <v>89</v>
      </c>
    </row>
    <row r="1026" spans="1:5" x14ac:dyDescent="0.2">
      <c r="A1026" s="14">
        <v>45911.634768518503</v>
      </c>
      <c r="B1026" t="s">
        <v>1271</v>
      </c>
      <c r="C1026" t="s">
        <v>1273</v>
      </c>
      <c r="D1026" t="s">
        <v>1296</v>
      </c>
      <c r="E1026" t="s">
        <v>89</v>
      </c>
    </row>
    <row r="1027" spans="1:5" x14ac:dyDescent="0.2">
      <c r="A1027" s="14">
        <v>45911.6347916667</v>
      </c>
      <c r="B1027" t="s">
        <v>1271</v>
      </c>
      <c r="C1027" t="s">
        <v>1273</v>
      </c>
      <c r="D1027" t="s">
        <v>1297</v>
      </c>
      <c r="E1027" t="s">
        <v>89</v>
      </c>
    </row>
    <row r="1028" spans="1:5" x14ac:dyDescent="0.2">
      <c r="A1028" s="14">
        <v>45911.634837963</v>
      </c>
      <c r="B1028" t="s">
        <v>1271</v>
      </c>
      <c r="C1028" t="s">
        <v>1273</v>
      </c>
      <c r="D1028" t="s">
        <v>1298</v>
      </c>
      <c r="E1028" t="s">
        <v>89</v>
      </c>
    </row>
    <row r="1029" spans="1:5" x14ac:dyDescent="0.2">
      <c r="A1029" s="14">
        <v>45911.634861111103</v>
      </c>
      <c r="B1029" t="s">
        <v>1271</v>
      </c>
      <c r="C1029" t="s">
        <v>1273</v>
      </c>
      <c r="D1029" t="s">
        <v>1299</v>
      </c>
      <c r="E1029" t="s">
        <v>89</v>
      </c>
    </row>
    <row r="1030" spans="1:5" x14ac:dyDescent="0.2">
      <c r="A1030" s="14">
        <v>45911.6348842593</v>
      </c>
      <c r="B1030" t="s">
        <v>1271</v>
      </c>
      <c r="C1030" t="s">
        <v>1273</v>
      </c>
      <c r="D1030" t="s">
        <v>1300</v>
      </c>
      <c r="E1030" t="s">
        <v>89</v>
      </c>
    </row>
    <row r="1031" spans="1:5" x14ac:dyDescent="0.2">
      <c r="A1031" s="14">
        <v>45911.634907407402</v>
      </c>
      <c r="B1031" t="s">
        <v>1271</v>
      </c>
      <c r="C1031" t="s">
        <v>1273</v>
      </c>
      <c r="D1031" t="s">
        <v>1301</v>
      </c>
      <c r="E1031" t="s">
        <v>89</v>
      </c>
    </row>
    <row r="1032" spans="1:5" x14ac:dyDescent="0.2">
      <c r="A1032" s="14">
        <v>45911.635069444397</v>
      </c>
      <c r="B1032" t="s">
        <v>1271</v>
      </c>
      <c r="C1032" t="s">
        <v>13</v>
      </c>
      <c r="D1032" t="s">
        <v>1310</v>
      </c>
      <c r="E1032" t="s">
        <v>191</v>
      </c>
    </row>
    <row r="1033" spans="1:5" x14ac:dyDescent="0.2">
      <c r="A1033" s="14">
        <v>45911.635150463</v>
      </c>
      <c r="B1033" t="s">
        <v>1271</v>
      </c>
      <c r="C1033" t="s">
        <v>13</v>
      </c>
      <c r="D1033" t="s">
        <v>1311</v>
      </c>
      <c r="E1033" t="s">
        <v>191</v>
      </c>
    </row>
    <row r="1034" spans="1:5" x14ac:dyDescent="0.2">
      <c r="A1034" s="14">
        <v>45911.635173611103</v>
      </c>
      <c r="B1034" t="s">
        <v>1271</v>
      </c>
      <c r="C1034" t="s">
        <v>13</v>
      </c>
      <c r="D1034" t="s">
        <v>1312</v>
      </c>
      <c r="E1034" t="s">
        <v>191</v>
      </c>
    </row>
    <row r="1035" spans="1:5" x14ac:dyDescent="0.2">
      <c r="A1035" s="14">
        <v>45911.6351967593</v>
      </c>
      <c r="B1035" t="s">
        <v>1271</v>
      </c>
      <c r="C1035" t="s">
        <v>13</v>
      </c>
      <c r="D1035" t="s">
        <v>1313</v>
      </c>
      <c r="E1035" t="s">
        <v>191</v>
      </c>
    </row>
    <row r="1036" spans="1:5" x14ac:dyDescent="0.2">
      <c r="A1036" s="14">
        <v>45911.635208333297</v>
      </c>
      <c r="B1036" t="s">
        <v>1271</v>
      </c>
      <c r="C1036" t="s">
        <v>13</v>
      </c>
      <c r="D1036" t="s">
        <v>1314</v>
      </c>
      <c r="E1036" t="s">
        <v>191</v>
      </c>
    </row>
    <row r="1037" spans="1:5" x14ac:dyDescent="0.2">
      <c r="A1037" s="14">
        <v>45911.6352430556</v>
      </c>
      <c r="B1037" t="s">
        <v>1271</v>
      </c>
      <c r="C1037" t="s">
        <v>13</v>
      </c>
      <c r="D1037" t="s">
        <v>1315</v>
      </c>
      <c r="E1037" t="s">
        <v>191</v>
      </c>
    </row>
    <row r="1038" spans="1:5" x14ac:dyDescent="0.2">
      <c r="A1038" s="14">
        <v>45911.635266203702</v>
      </c>
      <c r="B1038" t="s">
        <v>1271</v>
      </c>
      <c r="C1038" t="s">
        <v>13</v>
      </c>
      <c r="D1038" t="s">
        <v>1316</v>
      </c>
      <c r="E1038" t="s">
        <v>191</v>
      </c>
    </row>
    <row r="1039" spans="1:5" x14ac:dyDescent="0.2">
      <c r="A1039" s="14">
        <v>45911.635277777801</v>
      </c>
      <c r="B1039" t="s">
        <v>1271</v>
      </c>
      <c r="C1039" t="s">
        <v>13</v>
      </c>
      <c r="D1039" t="s">
        <v>1317</v>
      </c>
      <c r="E1039" t="s">
        <v>191</v>
      </c>
    </row>
    <row r="1040" spans="1:5" x14ac:dyDescent="0.2">
      <c r="A1040" s="14">
        <v>45911.635486111103</v>
      </c>
      <c r="B1040" t="s">
        <v>1271</v>
      </c>
      <c r="C1040" t="s">
        <v>13</v>
      </c>
      <c r="D1040" t="s">
        <v>1318</v>
      </c>
      <c r="E1040" t="s">
        <v>189</v>
      </c>
    </row>
    <row r="1041" spans="1:5" x14ac:dyDescent="0.2">
      <c r="A1041" s="14">
        <v>45911.635497685202</v>
      </c>
      <c r="B1041" t="s">
        <v>1271</v>
      </c>
      <c r="C1041" t="s">
        <v>13</v>
      </c>
      <c r="D1041" t="s">
        <v>1319</v>
      </c>
      <c r="E1041" t="s">
        <v>189</v>
      </c>
    </row>
    <row r="1042" spans="1:5" x14ac:dyDescent="0.2">
      <c r="A1042" s="14">
        <v>45911.635520833297</v>
      </c>
      <c r="B1042" t="s">
        <v>1271</v>
      </c>
      <c r="C1042" t="s">
        <v>13</v>
      </c>
      <c r="D1042" t="s">
        <v>1320</v>
      </c>
      <c r="E1042" t="s">
        <v>189</v>
      </c>
    </row>
    <row r="1043" spans="1:5" x14ac:dyDescent="0.2">
      <c r="A1043" s="14">
        <v>45911.635567129597</v>
      </c>
      <c r="B1043" t="s">
        <v>1271</v>
      </c>
      <c r="C1043" t="s">
        <v>13</v>
      </c>
      <c r="D1043" t="s">
        <v>1321</v>
      </c>
      <c r="E1043" t="s">
        <v>189</v>
      </c>
    </row>
    <row r="1044" spans="1:5" x14ac:dyDescent="0.2">
      <c r="A1044" s="14">
        <v>45911.635613425897</v>
      </c>
      <c r="B1044" t="s">
        <v>1271</v>
      </c>
      <c r="C1044" t="s">
        <v>13</v>
      </c>
      <c r="D1044" t="s">
        <v>1322</v>
      </c>
      <c r="E1044" t="s">
        <v>189</v>
      </c>
    </row>
    <row r="1045" spans="1:5" x14ac:dyDescent="0.2">
      <c r="A1045" s="14">
        <v>45911.635636574101</v>
      </c>
      <c r="B1045" t="s">
        <v>1271</v>
      </c>
      <c r="C1045" t="s">
        <v>13</v>
      </c>
      <c r="D1045" t="s">
        <v>1323</v>
      </c>
      <c r="E1045" t="s">
        <v>189</v>
      </c>
    </row>
    <row r="1046" spans="1:5" x14ac:dyDescent="0.2">
      <c r="A1046" s="14">
        <v>45911.635659722197</v>
      </c>
      <c r="B1046" t="s">
        <v>1271</v>
      </c>
      <c r="C1046" t="s">
        <v>13</v>
      </c>
      <c r="D1046" t="s">
        <v>1324</v>
      </c>
      <c r="E1046" t="s">
        <v>189</v>
      </c>
    </row>
    <row r="1047" spans="1:5" x14ac:dyDescent="0.2">
      <c r="A1047" s="14">
        <v>45911.635682870401</v>
      </c>
      <c r="B1047" t="s">
        <v>1271</v>
      </c>
      <c r="C1047" t="s">
        <v>13</v>
      </c>
      <c r="D1047" t="s">
        <v>1325</v>
      </c>
      <c r="E1047" t="s">
        <v>189</v>
      </c>
    </row>
    <row r="1048" spans="1:5" x14ac:dyDescent="0.2">
      <c r="A1048" s="14">
        <v>45911.635706018496</v>
      </c>
      <c r="B1048" t="s">
        <v>1271</v>
      </c>
      <c r="C1048" t="s">
        <v>13</v>
      </c>
      <c r="D1048" t="s">
        <v>1326</v>
      </c>
      <c r="E1048" t="s">
        <v>189</v>
      </c>
    </row>
    <row r="1049" spans="1:5" x14ac:dyDescent="0.2">
      <c r="A1049" s="14">
        <v>45911.635717592602</v>
      </c>
      <c r="B1049" t="s">
        <v>1271</v>
      </c>
      <c r="C1049" t="s">
        <v>13</v>
      </c>
      <c r="D1049" t="s">
        <v>1327</v>
      </c>
      <c r="E1049" t="s">
        <v>189</v>
      </c>
    </row>
    <row r="1050" spans="1:5" x14ac:dyDescent="0.2">
      <c r="A1050" s="14">
        <v>45911.635740740698</v>
      </c>
      <c r="B1050" t="s">
        <v>1271</v>
      </c>
      <c r="C1050" t="s">
        <v>13</v>
      </c>
      <c r="D1050" t="s">
        <v>1328</v>
      </c>
    </row>
    <row r="1051" spans="1:5" x14ac:dyDescent="0.2">
      <c r="A1051" s="14">
        <v>45911.6358680556</v>
      </c>
      <c r="B1051" t="s">
        <v>1271</v>
      </c>
      <c r="C1051" t="s">
        <v>13</v>
      </c>
      <c r="D1051" t="s">
        <v>1329</v>
      </c>
      <c r="E1051" t="s">
        <v>177</v>
      </c>
    </row>
    <row r="1052" spans="1:5" x14ac:dyDescent="0.2">
      <c r="A1052" s="14">
        <v>45911.635902777802</v>
      </c>
      <c r="B1052" t="s">
        <v>1271</v>
      </c>
      <c r="C1052" t="s">
        <v>13</v>
      </c>
      <c r="D1052" t="s">
        <v>1330</v>
      </c>
      <c r="E1052" t="s">
        <v>177</v>
      </c>
    </row>
    <row r="1053" spans="1:5" x14ac:dyDescent="0.2">
      <c r="A1053" s="14">
        <v>45911.635914351798</v>
      </c>
      <c r="B1053" t="s">
        <v>1271</v>
      </c>
      <c r="C1053" t="s">
        <v>13</v>
      </c>
      <c r="D1053" t="s">
        <v>1331</v>
      </c>
      <c r="E1053" t="s">
        <v>177</v>
      </c>
    </row>
    <row r="1054" spans="1:5" x14ac:dyDescent="0.2">
      <c r="A1054" s="14">
        <v>45911.635925925897</v>
      </c>
      <c r="B1054" t="s">
        <v>1271</v>
      </c>
      <c r="C1054" t="s">
        <v>13</v>
      </c>
      <c r="D1054" t="s">
        <v>1332</v>
      </c>
      <c r="E1054" t="s">
        <v>177</v>
      </c>
    </row>
    <row r="1055" spans="1:5" x14ac:dyDescent="0.2">
      <c r="A1055" s="14">
        <v>45911.635937500003</v>
      </c>
      <c r="B1055" t="s">
        <v>1271</v>
      </c>
      <c r="C1055" t="s">
        <v>13</v>
      </c>
      <c r="D1055" t="s">
        <v>1333</v>
      </c>
      <c r="E1055" t="s">
        <v>201</v>
      </c>
    </row>
    <row r="1056" spans="1:5" x14ac:dyDescent="0.2">
      <c r="A1056" s="14">
        <v>45911.635960648098</v>
      </c>
      <c r="B1056" t="s">
        <v>1271</v>
      </c>
      <c r="C1056" t="s">
        <v>13</v>
      </c>
      <c r="D1056" t="s">
        <v>1334</v>
      </c>
      <c r="E1056" t="s">
        <v>201</v>
      </c>
    </row>
    <row r="1057" spans="1:5" x14ac:dyDescent="0.2">
      <c r="A1057" s="14">
        <v>45911.636342592603</v>
      </c>
      <c r="B1057" t="s">
        <v>1271</v>
      </c>
      <c r="C1057" t="s">
        <v>13</v>
      </c>
      <c r="D1057" t="s">
        <v>1335</v>
      </c>
      <c r="E1057" t="s">
        <v>177</v>
      </c>
    </row>
    <row r="1058" spans="1:5" x14ac:dyDescent="0.2">
      <c r="A1058" s="14">
        <v>45911.636365740698</v>
      </c>
      <c r="B1058" t="s">
        <v>1271</v>
      </c>
      <c r="C1058" t="s">
        <v>13</v>
      </c>
      <c r="D1058" t="s">
        <v>1336</v>
      </c>
      <c r="E1058" t="s">
        <v>177</v>
      </c>
    </row>
    <row r="1059" spans="1:5" x14ac:dyDescent="0.2">
      <c r="A1059" s="14">
        <v>45911.636423611097</v>
      </c>
      <c r="B1059" t="s">
        <v>1271</v>
      </c>
      <c r="C1059" t="s">
        <v>13</v>
      </c>
      <c r="D1059" t="s">
        <v>1337</v>
      </c>
      <c r="E1059" t="s">
        <v>202</v>
      </c>
    </row>
    <row r="1060" spans="1:5" x14ac:dyDescent="0.2">
      <c r="A1060" s="14">
        <v>45911.636469907397</v>
      </c>
      <c r="B1060" t="s">
        <v>1271</v>
      </c>
      <c r="C1060" t="s">
        <v>13</v>
      </c>
      <c r="D1060" t="s">
        <v>1338</v>
      </c>
      <c r="E1060" t="s">
        <v>202</v>
      </c>
    </row>
    <row r="1061" spans="1:5" x14ac:dyDescent="0.2">
      <c r="A1061" s="14">
        <v>45911.636481481502</v>
      </c>
      <c r="B1061" t="s">
        <v>1271</v>
      </c>
      <c r="C1061" t="s">
        <v>13</v>
      </c>
      <c r="D1061" t="s">
        <v>1339</v>
      </c>
      <c r="E1061" t="s">
        <v>202</v>
      </c>
    </row>
    <row r="1062" spans="1:5" x14ac:dyDescent="0.2">
      <c r="A1062" s="14">
        <v>45911.636493055601</v>
      </c>
      <c r="B1062" t="s">
        <v>1271</v>
      </c>
      <c r="C1062" t="s">
        <v>13</v>
      </c>
      <c r="D1062" t="s">
        <v>1340</v>
      </c>
      <c r="E1062" t="s">
        <v>202</v>
      </c>
    </row>
    <row r="1063" spans="1:5" x14ac:dyDescent="0.2">
      <c r="A1063" s="14">
        <v>45911.636504629598</v>
      </c>
      <c r="B1063" t="s">
        <v>1271</v>
      </c>
      <c r="C1063" t="s">
        <v>13</v>
      </c>
      <c r="D1063" t="s">
        <v>1341</v>
      </c>
      <c r="E1063" t="s">
        <v>202</v>
      </c>
    </row>
    <row r="1064" spans="1:5" x14ac:dyDescent="0.2">
      <c r="A1064" s="14">
        <v>45911.636527777802</v>
      </c>
      <c r="B1064" t="s">
        <v>1271</v>
      </c>
      <c r="C1064" t="s">
        <v>13</v>
      </c>
      <c r="D1064" t="s">
        <v>1342</v>
      </c>
      <c r="E1064" t="s">
        <v>202</v>
      </c>
    </row>
    <row r="1065" spans="1:5" x14ac:dyDescent="0.2">
      <c r="A1065" s="14">
        <v>45911.636539351799</v>
      </c>
      <c r="B1065" t="s">
        <v>1271</v>
      </c>
      <c r="C1065" t="s">
        <v>13</v>
      </c>
      <c r="D1065" t="s">
        <v>1343</v>
      </c>
      <c r="E1065" t="s">
        <v>202</v>
      </c>
    </row>
    <row r="1066" spans="1:5" x14ac:dyDescent="0.2">
      <c r="A1066" s="14">
        <v>45911.636585648099</v>
      </c>
      <c r="B1066" t="s">
        <v>1271</v>
      </c>
      <c r="C1066" t="s">
        <v>13</v>
      </c>
      <c r="D1066" t="s">
        <v>1344</v>
      </c>
      <c r="E1066" t="s">
        <v>202</v>
      </c>
    </row>
    <row r="1067" spans="1:5" x14ac:dyDescent="0.2">
      <c r="A1067" s="14">
        <v>45911.636759259301</v>
      </c>
      <c r="B1067" t="s">
        <v>1271</v>
      </c>
      <c r="C1067" t="s">
        <v>13</v>
      </c>
      <c r="D1067" t="s">
        <v>1345</v>
      </c>
      <c r="E1067" t="s">
        <v>203</v>
      </c>
    </row>
    <row r="1068" spans="1:5" x14ac:dyDescent="0.2">
      <c r="A1068" s="14">
        <v>45911.636782407397</v>
      </c>
      <c r="B1068" t="s">
        <v>1271</v>
      </c>
      <c r="C1068" t="s">
        <v>13</v>
      </c>
      <c r="D1068" t="s">
        <v>1346</v>
      </c>
      <c r="E1068" t="s">
        <v>206</v>
      </c>
    </row>
    <row r="1069" spans="1:5" x14ac:dyDescent="0.2">
      <c r="A1069" s="14">
        <v>45911.637002314797</v>
      </c>
      <c r="B1069" t="s">
        <v>1271</v>
      </c>
      <c r="C1069" t="s">
        <v>13</v>
      </c>
      <c r="D1069" t="s">
        <v>1347</v>
      </c>
      <c r="E1069" t="s">
        <v>1348</v>
      </c>
    </row>
    <row r="1070" spans="1:5" x14ac:dyDescent="0.2">
      <c r="A1070" s="14">
        <v>45911.637222222198</v>
      </c>
      <c r="B1070" t="s">
        <v>1271</v>
      </c>
      <c r="C1070" t="s">
        <v>13</v>
      </c>
      <c r="D1070" t="s">
        <v>1349</v>
      </c>
      <c r="E1070" t="s">
        <v>42</v>
      </c>
    </row>
    <row r="1071" spans="1:5" x14ac:dyDescent="0.2">
      <c r="A1071" s="14">
        <v>45911.637488425898</v>
      </c>
      <c r="B1071" t="s">
        <v>1271</v>
      </c>
      <c r="C1071" t="s">
        <v>13</v>
      </c>
      <c r="D1071" t="s">
        <v>1350</v>
      </c>
      <c r="E1071" t="s">
        <v>1351</v>
      </c>
    </row>
    <row r="1072" spans="1:5" x14ac:dyDescent="0.2">
      <c r="A1072" s="14">
        <v>45911.637638888897</v>
      </c>
      <c r="B1072" t="s">
        <v>1271</v>
      </c>
      <c r="C1072" t="s">
        <v>13</v>
      </c>
      <c r="D1072" t="s">
        <v>1352</v>
      </c>
    </row>
    <row r="1073" spans="1:5" x14ac:dyDescent="0.2">
      <c r="A1073" s="14">
        <v>45911.637650463003</v>
      </c>
      <c r="B1073" t="s">
        <v>1271</v>
      </c>
      <c r="C1073" t="s">
        <v>13</v>
      </c>
      <c r="D1073" t="s">
        <v>1352</v>
      </c>
    </row>
    <row r="1074" spans="1:5" x14ac:dyDescent="0.2">
      <c r="A1074" s="14">
        <v>45911.637662036999</v>
      </c>
      <c r="B1074" t="s">
        <v>1271</v>
      </c>
      <c r="C1074" t="s">
        <v>13</v>
      </c>
      <c r="D1074" t="s">
        <v>1352</v>
      </c>
      <c r="E1074" t="s">
        <v>1353</v>
      </c>
    </row>
    <row r="1075" spans="1:5" x14ac:dyDescent="0.2">
      <c r="A1075" s="14">
        <v>45911.637893518498</v>
      </c>
      <c r="B1075" t="s">
        <v>1271</v>
      </c>
      <c r="C1075" t="s">
        <v>13</v>
      </c>
      <c r="D1075" t="s">
        <v>1354</v>
      </c>
      <c r="E1075" t="s">
        <v>1355</v>
      </c>
    </row>
    <row r="1076" spans="1:5" x14ac:dyDescent="0.2">
      <c r="A1076" s="14">
        <v>45911.638032407398</v>
      </c>
      <c r="B1076" t="s">
        <v>1271</v>
      </c>
      <c r="C1076" t="s">
        <v>13</v>
      </c>
      <c r="D1076" t="s">
        <v>1356</v>
      </c>
      <c r="E1076" t="s">
        <v>1357</v>
      </c>
    </row>
    <row r="1077" spans="1:5" x14ac:dyDescent="0.2">
      <c r="A1077" s="14">
        <v>45911.638101851902</v>
      </c>
      <c r="B1077" t="s">
        <v>1271</v>
      </c>
      <c r="C1077" t="s">
        <v>13</v>
      </c>
      <c r="D1077" t="s">
        <v>1327</v>
      </c>
    </row>
    <row r="1078" spans="1:5" x14ac:dyDescent="0.2">
      <c r="A1078" s="14">
        <v>45911.638657407399</v>
      </c>
      <c r="B1078" t="s">
        <v>1271</v>
      </c>
      <c r="C1078" t="s">
        <v>13</v>
      </c>
      <c r="D1078" t="s">
        <v>1358</v>
      </c>
      <c r="E1078" t="s">
        <v>203</v>
      </c>
    </row>
    <row r="1079" spans="1:5" x14ac:dyDescent="0.2">
      <c r="A1079" s="14">
        <v>45911.638668981497</v>
      </c>
      <c r="B1079" t="s">
        <v>1271</v>
      </c>
      <c r="C1079" t="s">
        <v>13</v>
      </c>
      <c r="D1079" t="s">
        <v>1358</v>
      </c>
      <c r="E1079" t="s">
        <v>242</v>
      </c>
    </row>
    <row r="1080" spans="1:5" x14ac:dyDescent="0.2">
      <c r="A1080" s="14">
        <v>45911.638668981497</v>
      </c>
      <c r="B1080" t="s">
        <v>1271</v>
      </c>
      <c r="C1080" t="s">
        <v>13</v>
      </c>
      <c r="D1080" t="s">
        <v>1358</v>
      </c>
      <c r="E1080" t="s">
        <v>203</v>
      </c>
    </row>
    <row r="1081" spans="1:5" x14ac:dyDescent="0.2">
      <c r="A1081" s="14">
        <v>45911.638680555603</v>
      </c>
      <c r="B1081" t="s">
        <v>1271</v>
      </c>
      <c r="C1081" t="s">
        <v>13</v>
      </c>
      <c r="D1081" t="s">
        <v>1359</v>
      </c>
      <c r="E1081" t="s">
        <v>203</v>
      </c>
    </row>
    <row r="1082" spans="1:5" x14ac:dyDescent="0.2">
      <c r="A1082" s="14">
        <v>45911.6386921296</v>
      </c>
      <c r="B1082" t="s">
        <v>1271</v>
      </c>
      <c r="C1082" t="s">
        <v>13</v>
      </c>
      <c r="D1082" t="s">
        <v>1360</v>
      </c>
      <c r="E1082" t="s">
        <v>203</v>
      </c>
    </row>
    <row r="1083" spans="1:5" x14ac:dyDescent="0.2">
      <c r="A1083" s="14">
        <v>45911.638703703698</v>
      </c>
      <c r="B1083" t="s">
        <v>1271</v>
      </c>
      <c r="C1083" t="s">
        <v>13</v>
      </c>
      <c r="D1083" t="s">
        <v>1361</v>
      </c>
      <c r="E1083" t="s">
        <v>203</v>
      </c>
    </row>
    <row r="1084" spans="1:5" x14ac:dyDescent="0.2">
      <c r="A1084" s="14">
        <v>45911.638715277797</v>
      </c>
      <c r="B1084" t="s">
        <v>1271</v>
      </c>
      <c r="C1084" t="s">
        <v>13</v>
      </c>
      <c r="D1084" t="s">
        <v>1362</v>
      </c>
      <c r="E1084" t="s">
        <v>203</v>
      </c>
    </row>
    <row r="1085" spans="1:5" x14ac:dyDescent="0.2">
      <c r="A1085" s="14">
        <v>45911.638715277797</v>
      </c>
      <c r="B1085" t="s">
        <v>1271</v>
      </c>
      <c r="C1085" t="s">
        <v>13</v>
      </c>
      <c r="D1085" t="s">
        <v>1363</v>
      </c>
      <c r="E1085" t="s">
        <v>203</v>
      </c>
    </row>
    <row r="1086" spans="1:5" x14ac:dyDescent="0.2">
      <c r="A1086" s="14">
        <v>45911.638726851903</v>
      </c>
      <c r="B1086" t="s">
        <v>1271</v>
      </c>
      <c r="C1086" t="s">
        <v>13</v>
      </c>
      <c r="D1086" t="s">
        <v>1364</v>
      </c>
      <c r="E1086" t="s">
        <v>203</v>
      </c>
    </row>
    <row r="1087" spans="1:5" x14ac:dyDescent="0.2">
      <c r="A1087" s="14">
        <v>45911.6387384259</v>
      </c>
      <c r="B1087" t="s">
        <v>1271</v>
      </c>
      <c r="C1087" t="s">
        <v>13</v>
      </c>
      <c r="D1087" t="s">
        <v>1364</v>
      </c>
      <c r="E1087" t="s">
        <v>242</v>
      </c>
    </row>
    <row r="1088" spans="1:5" x14ac:dyDescent="0.2">
      <c r="A1088" s="14">
        <v>45911.638784722199</v>
      </c>
      <c r="B1088" t="s">
        <v>1271</v>
      </c>
      <c r="C1088" t="s">
        <v>13</v>
      </c>
      <c r="D1088" t="s">
        <v>1365</v>
      </c>
      <c r="E1088" t="s">
        <v>206</v>
      </c>
    </row>
    <row r="1089" spans="1:5" x14ac:dyDescent="0.2">
      <c r="A1089" s="14">
        <v>45911.638796296298</v>
      </c>
      <c r="B1089" t="s">
        <v>1271</v>
      </c>
      <c r="C1089" t="s">
        <v>13</v>
      </c>
      <c r="D1089" t="s">
        <v>1366</v>
      </c>
      <c r="E1089" t="s">
        <v>206</v>
      </c>
    </row>
    <row r="1090" spans="1:5" x14ac:dyDescent="0.2">
      <c r="A1090" s="14">
        <v>45911.638807870397</v>
      </c>
      <c r="B1090" t="s">
        <v>1271</v>
      </c>
      <c r="C1090" t="s">
        <v>13</v>
      </c>
      <c r="D1090" t="s">
        <v>1367</v>
      </c>
      <c r="E1090" t="s">
        <v>206</v>
      </c>
    </row>
    <row r="1091" spans="1:5" x14ac:dyDescent="0.2">
      <c r="A1091" s="14">
        <v>45911.638819444401</v>
      </c>
      <c r="B1091" t="s">
        <v>1271</v>
      </c>
      <c r="C1091" t="s">
        <v>13</v>
      </c>
      <c r="D1091" t="s">
        <v>1368</v>
      </c>
      <c r="E1091" t="s">
        <v>206</v>
      </c>
    </row>
    <row r="1092" spans="1:5" x14ac:dyDescent="0.2">
      <c r="A1092" s="14">
        <v>45911.638819444401</v>
      </c>
      <c r="B1092" t="s">
        <v>1271</v>
      </c>
      <c r="C1092" t="s">
        <v>13</v>
      </c>
      <c r="D1092" t="s">
        <v>1369</v>
      </c>
      <c r="E1092" t="s">
        <v>206</v>
      </c>
    </row>
    <row r="1093" spans="1:5" x14ac:dyDescent="0.2">
      <c r="A1093" s="14">
        <v>45911.638831018499</v>
      </c>
      <c r="B1093" t="s">
        <v>1271</v>
      </c>
      <c r="C1093" t="s">
        <v>13</v>
      </c>
      <c r="D1093" t="s">
        <v>1370</v>
      </c>
      <c r="E1093" t="s">
        <v>206</v>
      </c>
    </row>
    <row r="1094" spans="1:5" x14ac:dyDescent="0.2">
      <c r="A1094" s="14">
        <v>45911.638842592598</v>
      </c>
      <c r="B1094" t="s">
        <v>1271</v>
      </c>
      <c r="C1094" t="s">
        <v>13</v>
      </c>
      <c r="D1094" t="s">
        <v>1371</v>
      </c>
      <c r="E1094" t="s">
        <v>206</v>
      </c>
    </row>
    <row r="1095" spans="1:5" x14ac:dyDescent="0.2">
      <c r="A1095" s="14">
        <v>45911.638877314799</v>
      </c>
      <c r="B1095" t="s">
        <v>1271</v>
      </c>
      <c r="C1095" t="s">
        <v>13</v>
      </c>
      <c r="D1095" t="s">
        <v>1372</v>
      </c>
      <c r="E1095" t="s">
        <v>1348</v>
      </c>
    </row>
    <row r="1096" spans="1:5" x14ac:dyDescent="0.2">
      <c r="A1096" s="14">
        <v>45911.638888888898</v>
      </c>
      <c r="B1096" t="s">
        <v>1271</v>
      </c>
      <c r="C1096" t="s">
        <v>13</v>
      </c>
      <c r="D1096" t="s">
        <v>1373</v>
      </c>
      <c r="E1096" t="s">
        <v>1348</v>
      </c>
    </row>
    <row r="1097" spans="1:5" x14ac:dyDescent="0.2">
      <c r="A1097" s="14">
        <v>45911.638888888898</v>
      </c>
      <c r="B1097" t="s">
        <v>1271</v>
      </c>
      <c r="C1097" t="s">
        <v>13</v>
      </c>
      <c r="D1097" t="s">
        <v>1374</v>
      </c>
      <c r="E1097" t="s">
        <v>1348</v>
      </c>
    </row>
    <row r="1098" spans="1:5" x14ac:dyDescent="0.2">
      <c r="A1098" s="14">
        <v>45911.638912037</v>
      </c>
      <c r="B1098" t="s">
        <v>1271</v>
      </c>
      <c r="C1098" t="s">
        <v>13</v>
      </c>
      <c r="D1098" t="s">
        <v>1375</v>
      </c>
      <c r="E1098" t="s">
        <v>1348</v>
      </c>
    </row>
    <row r="1099" spans="1:5" x14ac:dyDescent="0.2">
      <c r="A1099" s="14">
        <v>45911.638923611099</v>
      </c>
      <c r="B1099" t="s">
        <v>1271</v>
      </c>
      <c r="C1099" t="s">
        <v>13</v>
      </c>
      <c r="D1099" t="s">
        <v>1376</v>
      </c>
      <c r="E1099" t="s">
        <v>1348</v>
      </c>
    </row>
    <row r="1100" spans="1:5" x14ac:dyDescent="0.2">
      <c r="A1100" s="14">
        <v>45911.638935185198</v>
      </c>
      <c r="B1100" t="s">
        <v>1271</v>
      </c>
      <c r="C1100" t="s">
        <v>13</v>
      </c>
      <c r="D1100" t="s">
        <v>1377</v>
      </c>
      <c r="E1100" t="s">
        <v>1348</v>
      </c>
    </row>
    <row r="1101" spans="1:5" x14ac:dyDescent="0.2">
      <c r="A1101" s="14">
        <v>45911.638935185198</v>
      </c>
      <c r="B1101" t="s">
        <v>1271</v>
      </c>
      <c r="C1101" t="s">
        <v>13</v>
      </c>
      <c r="D1101" t="s">
        <v>1378</v>
      </c>
      <c r="E1101" t="s">
        <v>1348</v>
      </c>
    </row>
    <row r="1102" spans="1:5" x14ac:dyDescent="0.2">
      <c r="A1102" s="14">
        <v>45911.6390046296</v>
      </c>
      <c r="B1102" t="s">
        <v>1271</v>
      </c>
      <c r="C1102" t="s">
        <v>13</v>
      </c>
      <c r="D1102" t="s">
        <v>1349</v>
      </c>
      <c r="E1102" t="s">
        <v>242</v>
      </c>
    </row>
    <row r="1103" spans="1:5" x14ac:dyDescent="0.2">
      <c r="A1103" s="14">
        <v>45911.6390509259</v>
      </c>
      <c r="B1103" t="s">
        <v>1271</v>
      </c>
      <c r="C1103" t="s">
        <v>13</v>
      </c>
      <c r="D1103" t="s">
        <v>1349</v>
      </c>
      <c r="E1103" t="s">
        <v>42</v>
      </c>
    </row>
    <row r="1104" spans="1:5" x14ac:dyDescent="0.2">
      <c r="A1104" s="14">
        <v>45911.639074074097</v>
      </c>
      <c r="B1104" t="s">
        <v>1271</v>
      </c>
      <c r="C1104" t="s">
        <v>13</v>
      </c>
      <c r="D1104" t="s">
        <v>1379</v>
      </c>
      <c r="E1104" t="s">
        <v>42</v>
      </c>
    </row>
    <row r="1105" spans="1:5" x14ac:dyDescent="0.2">
      <c r="A1105" s="14">
        <v>45911.639085648101</v>
      </c>
      <c r="B1105" t="s">
        <v>1271</v>
      </c>
      <c r="C1105" t="s">
        <v>13</v>
      </c>
      <c r="D1105" t="s">
        <v>1380</v>
      </c>
      <c r="E1105" t="s">
        <v>42</v>
      </c>
    </row>
    <row r="1106" spans="1:5" x14ac:dyDescent="0.2">
      <c r="A1106" s="14">
        <v>45911.6390972222</v>
      </c>
      <c r="B1106" t="s">
        <v>1271</v>
      </c>
      <c r="C1106" t="s">
        <v>13</v>
      </c>
      <c r="D1106" t="s">
        <v>1381</v>
      </c>
      <c r="E1106" t="s">
        <v>42</v>
      </c>
    </row>
    <row r="1107" spans="1:5" x14ac:dyDescent="0.2">
      <c r="A1107" s="14">
        <v>45911.639108796298</v>
      </c>
      <c r="B1107" t="s">
        <v>1271</v>
      </c>
      <c r="C1107" t="s">
        <v>13</v>
      </c>
      <c r="D1107" t="s">
        <v>1382</v>
      </c>
      <c r="E1107" t="s">
        <v>42</v>
      </c>
    </row>
    <row r="1108" spans="1:5" x14ac:dyDescent="0.2">
      <c r="A1108" s="14">
        <v>45911.639120370397</v>
      </c>
      <c r="B1108" t="s">
        <v>1271</v>
      </c>
      <c r="C1108" t="s">
        <v>13</v>
      </c>
      <c r="D1108" t="s">
        <v>1383</v>
      </c>
      <c r="E1108" t="s">
        <v>42</v>
      </c>
    </row>
    <row r="1109" spans="1:5" x14ac:dyDescent="0.2">
      <c r="A1109" s="14">
        <v>45911.639131944401</v>
      </c>
      <c r="B1109" t="s">
        <v>1271</v>
      </c>
      <c r="C1109" t="s">
        <v>13</v>
      </c>
      <c r="D1109" t="s">
        <v>1384</v>
      </c>
      <c r="E1109" t="s">
        <v>42</v>
      </c>
    </row>
    <row r="1110" spans="1:5" x14ac:dyDescent="0.2">
      <c r="A1110" s="14">
        <v>45911.639155092598</v>
      </c>
      <c r="B1110" t="s">
        <v>1271</v>
      </c>
      <c r="C1110" t="s">
        <v>13</v>
      </c>
      <c r="D1110" t="s">
        <v>1385</v>
      </c>
      <c r="E1110" t="s">
        <v>42</v>
      </c>
    </row>
    <row r="1111" spans="1:5" x14ac:dyDescent="0.2">
      <c r="A1111" s="14">
        <v>45911.639189814799</v>
      </c>
      <c r="B1111" t="s">
        <v>1271</v>
      </c>
      <c r="C1111" t="s">
        <v>13</v>
      </c>
      <c r="D1111" t="s">
        <v>1386</v>
      </c>
      <c r="E1111" t="s">
        <v>1351</v>
      </c>
    </row>
    <row r="1112" spans="1:5" x14ac:dyDescent="0.2">
      <c r="A1112" s="14">
        <v>45911.639201388898</v>
      </c>
      <c r="B1112" t="s">
        <v>1271</v>
      </c>
      <c r="C1112" t="s">
        <v>13</v>
      </c>
      <c r="D1112" t="s">
        <v>1387</v>
      </c>
      <c r="E1112" t="s">
        <v>1351</v>
      </c>
    </row>
    <row r="1113" spans="1:5" x14ac:dyDescent="0.2">
      <c r="A1113" s="14">
        <v>45911.639212962997</v>
      </c>
      <c r="B1113" t="s">
        <v>1271</v>
      </c>
      <c r="C1113" t="s">
        <v>13</v>
      </c>
      <c r="D1113" t="s">
        <v>1388</v>
      </c>
      <c r="E1113" t="s">
        <v>1351</v>
      </c>
    </row>
    <row r="1114" spans="1:5" x14ac:dyDescent="0.2">
      <c r="A1114" s="14">
        <v>45911.639247685198</v>
      </c>
      <c r="B1114" t="s">
        <v>1271</v>
      </c>
      <c r="C1114" t="s">
        <v>13</v>
      </c>
      <c r="D1114" t="s">
        <v>1389</v>
      </c>
      <c r="E1114" t="s">
        <v>1351</v>
      </c>
    </row>
    <row r="1115" spans="1:5" x14ac:dyDescent="0.2">
      <c r="A1115" s="14">
        <v>45911.639270833301</v>
      </c>
      <c r="B1115" t="s">
        <v>1271</v>
      </c>
      <c r="C1115" t="s">
        <v>13</v>
      </c>
      <c r="D1115" t="s">
        <v>1390</v>
      </c>
      <c r="E1115" t="s">
        <v>1351</v>
      </c>
    </row>
    <row r="1116" spans="1:5" x14ac:dyDescent="0.2">
      <c r="A1116" s="14">
        <v>45911.639282407399</v>
      </c>
      <c r="B1116" t="s">
        <v>1271</v>
      </c>
      <c r="C1116" t="s">
        <v>13</v>
      </c>
      <c r="D1116" t="s">
        <v>1391</v>
      </c>
      <c r="E1116" t="s">
        <v>1351</v>
      </c>
    </row>
    <row r="1117" spans="1:5" x14ac:dyDescent="0.2">
      <c r="A1117" s="14">
        <v>45911.639282407399</v>
      </c>
      <c r="B1117" t="s">
        <v>1271</v>
      </c>
      <c r="C1117" t="s">
        <v>13</v>
      </c>
      <c r="D1117" t="s">
        <v>1392</v>
      </c>
      <c r="E1117" t="s">
        <v>1351</v>
      </c>
    </row>
    <row r="1118" spans="1:5" x14ac:dyDescent="0.2">
      <c r="A1118" s="14">
        <v>45911.6393171296</v>
      </c>
      <c r="B1118" t="s">
        <v>1271</v>
      </c>
      <c r="C1118" t="s">
        <v>13</v>
      </c>
      <c r="D1118" t="s">
        <v>1393</v>
      </c>
      <c r="E1118" t="s">
        <v>1353</v>
      </c>
    </row>
    <row r="1119" spans="1:5" x14ac:dyDescent="0.2">
      <c r="A1119" s="14">
        <v>45911.639351851903</v>
      </c>
      <c r="B1119" t="s">
        <v>1271</v>
      </c>
      <c r="C1119" t="s">
        <v>13</v>
      </c>
      <c r="D1119" t="s">
        <v>1394</v>
      </c>
      <c r="E1119" t="s">
        <v>1353</v>
      </c>
    </row>
    <row r="1120" spans="1:5" x14ac:dyDescent="0.2">
      <c r="A1120" s="14">
        <v>45911.639374999999</v>
      </c>
      <c r="B1120" t="s">
        <v>1271</v>
      </c>
      <c r="C1120" t="s">
        <v>13</v>
      </c>
      <c r="D1120" t="s">
        <v>1395</v>
      </c>
      <c r="E1120" t="s">
        <v>1353</v>
      </c>
    </row>
    <row r="1121" spans="1:5" x14ac:dyDescent="0.2">
      <c r="A1121" s="14">
        <v>45911.639421296299</v>
      </c>
      <c r="B1121" t="s">
        <v>1271</v>
      </c>
      <c r="C1121" t="s">
        <v>13</v>
      </c>
      <c r="D1121" t="s">
        <v>1396</v>
      </c>
      <c r="E1121" t="s">
        <v>1353</v>
      </c>
    </row>
    <row r="1122" spans="1:5" x14ac:dyDescent="0.2">
      <c r="A1122" s="14">
        <v>45911.639432870397</v>
      </c>
      <c r="B1122" t="s">
        <v>1271</v>
      </c>
      <c r="C1122" t="s">
        <v>13</v>
      </c>
      <c r="D1122" t="s">
        <v>1396</v>
      </c>
      <c r="E1122" t="s">
        <v>242</v>
      </c>
    </row>
    <row r="1123" spans="1:5" x14ac:dyDescent="0.2">
      <c r="A1123" s="14">
        <v>45911.639467592599</v>
      </c>
      <c r="B1123" t="s">
        <v>1271</v>
      </c>
      <c r="C1123" t="s">
        <v>13</v>
      </c>
      <c r="D1123" t="s">
        <v>1396</v>
      </c>
      <c r="E1123" t="s">
        <v>1353</v>
      </c>
    </row>
    <row r="1124" spans="1:5" x14ac:dyDescent="0.2">
      <c r="A1124" s="14">
        <v>45911.639490740701</v>
      </c>
      <c r="B1124" t="s">
        <v>1271</v>
      </c>
      <c r="C1124" t="s">
        <v>13</v>
      </c>
      <c r="D1124" t="s">
        <v>1397</v>
      </c>
      <c r="E1124" t="s">
        <v>1353</v>
      </c>
    </row>
    <row r="1125" spans="1:5" x14ac:dyDescent="0.2">
      <c r="A1125" s="14">
        <v>45911.6395023148</v>
      </c>
      <c r="B1125" t="s">
        <v>1271</v>
      </c>
      <c r="C1125" t="s">
        <v>13</v>
      </c>
      <c r="D1125" t="s">
        <v>1398</v>
      </c>
      <c r="E1125" t="s">
        <v>1353</v>
      </c>
    </row>
    <row r="1126" spans="1:5" x14ac:dyDescent="0.2">
      <c r="A1126" s="14">
        <v>45911.639513888898</v>
      </c>
      <c r="B1126" t="s">
        <v>1271</v>
      </c>
      <c r="C1126" t="s">
        <v>13</v>
      </c>
      <c r="D1126" t="s">
        <v>1399</v>
      </c>
      <c r="E1126" t="s">
        <v>1353</v>
      </c>
    </row>
    <row r="1127" spans="1:5" x14ac:dyDescent="0.2">
      <c r="A1127" s="14">
        <v>45911.639560185198</v>
      </c>
      <c r="B1127" t="s">
        <v>1271</v>
      </c>
      <c r="C1127" t="s">
        <v>13</v>
      </c>
      <c r="D1127" t="s">
        <v>1354</v>
      </c>
      <c r="E1127" t="s">
        <v>242</v>
      </c>
    </row>
    <row r="1128" spans="1:5" x14ac:dyDescent="0.2">
      <c r="A1128" s="14">
        <v>45911.639606481498</v>
      </c>
      <c r="B1128" t="s">
        <v>1271</v>
      </c>
      <c r="C1128" t="s">
        <v>13</v>
      </c>
      <c r="D1128" t="s">
        <v>1354</v>
      </c>
      <c r="E1128" t="s">
        <v>1355</v>
      </c>
    </row>
    <row r="1129" spans="1:5" x14ac:dyDescent="0.2">
      <c r="A1129" s="14">
        <v>45911.639687499999</v>
      </c>
      <c r="B1129" t="s">
        <v>1271</v>
      </c>
      <c r="C1129" t="s">
        <v>13</v>
      </c>
      <c r="D1129" t="s">
        <v>1400</v>
      </c>
      <c r="E1129" t="s">
        <v>1355</v>
      </c>
    </row>
    <row r="1130" spans="1:5" x14ac:dyDescent="0.2">
      <c r="A1130" s="14">
        <v>45911.639710648102</v>
      </c>
      <c r="B1130" t="s">
        <v>1271</v>
      </c>
      <c r="C1130" t="s">
        <v>13</v>
      </c>
      <c r="D1130" t="s">
        <v>1401</v>
      </c>
      <c r="E1130" t="s">
        <v>1355</v>
      </c>
    </row>
    <row r="1131" spans="1:5" x14ac:dyDescent="0.2">
      <c r="A1131" s="14">
        <v>45911.6397222222</v>
      </c>
      <c r="B1131" t="s">
        <v>1271</v>
      </c>
      <c r="C1131" t="s">
        <v>13</v>
      </c>
      <c r="D1131" t="s">
        <v>1402</v>
      </c>
      <c r="E1131" t="s">
        <v>1355</v>
      </c>
    </row>
    <row r="1132" spans="1:5" x14ac:dyDescent="0.2">
      <c r="A1132" s="14">
        <v>45911.639733796299</v>
      </c>
      <c r="B1132" t="s">
        <v>1271</v>
      </c>
      <c r="C1132" t="s">
        <v>13</v>
      </c>
      <c r="D1132" t="s">
        <v>1403</v>
      </c>
      <c r="E1132" t="s">
        <v>1355</v>
      </c>
    </row>
    <row r="1133" spans="1:5" x14ac:dyDescent="0.2">
      <c r="A1133" s="14">
        <v>45911.639745370398</v>
      </c>
      <c r="B1133" t="s">
        <v>1271</v>
      </c>
      <c r="C1133" t="s">
        <v>13</v>
      </c>
      <c r="D1133" t="s">
        <v>1404</v>
      </c>
      <c r="E1133" t="s">
        <v>1355</v>
      </c>
    </row>
    <row r="1134" spans="1:5" x14ac:dyDescent="0.2">
      <c r="A1134" s="14">
        <v>45911.639988425901</v>
      </c>
      <c r="B1134" t="s">
        <v>1271</v>
      </c>
      <c r="C1134" t="s">
        <v>13</v>
      </c>
      <c r="D1134" t="s">
        <v>1405</v>
      </c>
      <c r="E1134" t="s">
        <v>242</v>
      </c>
    </row>
    <row r="1135" spans="1:5" x14ac:dyDescent="0.2">
      <c r="A1135" s="14">
        <v>45911.640104166698</v>
      </c>
      <c r="B1135" t="s">
        <v>1271</v>
      </c>
      <c r="C1135" t="s">
        <v>13</v>
      </c>
      <c r="D1135" t="s">
        <v>1405</v>
      </c>
      <c r="E1135" t="s">
        <v>242</v>
      </c>
    </row>
    <row r="1136" spans="1:5" x14ac:dyDescent="0.2">
      <c r="A1136" s="14">
        <v>45911.640162037002</v>
      </c>
      <c r="B1136" t="s">
        <v>1271</v>
      </c>
      <c r="C1136" t="s">
        <v>13</v>
      </c>
      <c r="D1136" t="s">
        <v>1406</v>
      </c>
      <c r="E1136" t="s">
        <v>1355</v>
      </c>
    </row>
    <row r="1137" spans="1:5" x14ac:dyDescent="0.2">
      <c r="A1137" s="14">
        <v>45911.640439814801</v>
      </c>
      <c r="B1137" t="s">
        <v>1271</v>
      </c>
      <c r="C1137" t="s">
        <v>13</v>
      </c>
      <c r="D1137" t="s">
        <v>1407</v>
      </c>
    </row>
    <row r="1138" spans="1:5" x14ac:dyDescent="0.2">
      <c r="A1138" s="14">
        <v>45911.640439814801</v>
      </c>
      <c r="B1138" t="s">
        <v>1271</v>
      </c>
      <c r="C1138" t="s">
        <v>13</v>
      </c>
      <c r="D1138" t="s">
        <v>1407</v>
      </c>
    </row>
    <row r="1139" spans="1:5" x14ac:dyDescent="0.2">
      <c r="A1139" s="14">
        <v>45911.6404861111</v>
      </c>
      <c r="B1139" t="s">
        <v>1271</v>
      </c>
      <c r="C1139" t="s">
        <v>13</v>
      </c>
      <c r="D1139" t="s">
        <v>1327</v>
      </c>
      <c r="E1139" t="s">
        <v>189</v>
      </c>
    </row>
    <row r="1140" spans="1:5" x14ac:dyDescent="0.2">
      <c r="A1140" s="14">
        <v>45911.640543981499</v>
      </c>
      <c r="B1140" t="s">
        <v>1271</v>
      </c>
      <c r="C1140" t="s">
        <v>13</v>
      </c>
      <c r="D1140" t="s">
        <v>1407</v>
      </c>
      <c r="E1140" t="s">
        <v>1357</v>
      </c>
    </row>
    <row r="1141" spans="1:5" x14ac:dyDescent="0.2">
      <c r="A1141" s="14">
        <v>45911.640601851897</v>
      </c>
      <c r="B1141" t="s">
        <v>1271</v>
      </c>
      <c r="C1141" t="s">
        <v>13</v>
      </c>
      <c r="D1141" t="s">
        <v>1408</v>
      </c>
      <c r="E1141" t="s">
        <v>1357</v>
      </c>
    </row>
    <row r="1142" spans="1:5" x14ac:dyDescent="0.2">
      <c r="A1142" s="14">
        <v>45911.641597222202</v>
      </c>
      <c r="B1142" t="s">
        <v>1271</v>
      </c>
      <c r="C1142" t="s">
        <v>13</v>
      </c>
      <c r="D1142" t="s">
        <v>1409</v>
      </c>
      <c r="E1142" t="s">
        <v>191</v>
      </c>
    </row>
    <row r="1143" spans="1:5" x14ac:dyDescent="0.2">
      <c r="A1143" s="14">
        <v>45911.641724537003</v>
      </c>
      <c r="B1143" t="s">
        <v>1271</v>
      </c>
      <c r="C1143" t="s">
        <v>13</v>
      </c>
      <c r="D1143" t="s">
        <v>1410</v>
      </c>
      <c r="E1143" t="s">
        <v>191</v>
      </c>
    </row>
    <row r="1144" spans="1:5" x14ac:dyDescent="0.2">
      <c r="A1144" s="14">
        <v>45911.6419328704</v>
      </c>
      <c r="B1144" t="s">
        <v>1271</v>
      </c>
      <c r="C1144" t="s">
        <v>13</v>
      </c>
      <c r="D1144" t="s">
        <v>1411</v>
      </c>
      <c r="E1144">
        <v>30.88</v>
      </c>
    </row>
    <row r="1145" spans="1:5" x14ac:dyDescent="0.2">
      <c r="A1145" s="14">
        <v>45911.642025462999</v>
      </c>
      <c r="B1145" t="s">
        <v>1271</v>
      </c>
      <c r="C1145" t="s">
        <v>13</v>
      </c>
      <c r="D1145" t="s">
        <v>1412</v>
      </c>
      <c r="E1145">
        <v>0</v>
      </c>
    </row>
    <row r="1146" spans="1:5" x14ac:dyDescent="0.2">
      <c r="A1146" s="14">
        <v>45911.642268518503</v>
      </c>
      <c r="B1146" t="s">
        <v>1271</v>
      </c>
      <c r="C1146" t="s">
        <v>13</v>
      </c>
      <c r="D1146" t="s">
        <v>1413</v>
      </c>
      <c r="E1146">
        <v>42.27</v>
      </c>
    </row>
    <row r="1147" spans="1:5" x14ac:dyDescent="0.2">
      <c r="A1147" s="14">
        <v>45911.642384259299</v>
      </c>
      <c r="B1147" t="s">
        <v>1271</v>
      </c>
      <c r="C1147" t="s">
        <v>13</v>
      </c>
      <c r="D1147" t="s">
        <v>1414</v>
      </c>
      <c r="E1147">
        <v>165.54</v>
      </c>
    </row>
    <row r="1148" spans="1:5" x14ac:dyDescent="0.2">
      <c r="A1148" s="14">
        <v>45911.642430555599</v>
      </c>
      <c r="B1148" t="s">
        <v>1271</v>
      </c>
      <c r="C1148" t="s">
        <v>13</v>
      </c>
      <c r="D1148" t="s">
        <v>1415</v>
      </c>
      <c r="E1148">
        <v>58</v>
      </c>
    </row>
    <row r="1149" spans="1:5" x14ac:dyDescent="0.2">
      <c r="A1149" s="14">
        <v>45911.642476851899</v>
      </c>
      <c r="B1149" t="s">
        <v>1271</v>
      </c>
      <c r="C1149" t="s">
        <v>13</v>
      </c>
      <c r="D1149" t="s">
        <v>1416</v>
      </c>
      <c r="E1149">
        <v>0</v>
      </c>
    </row>
    <row r="1150" spans="1:5" x14ac:dyDescent="0.2">
      <c r="A1150" s="14">
        <v>45911.642627314803</v>
      </c>
      <c r="B1150" t="s">
        <v>1271</v>
      </c>
      <c r="C1150" t="s">
        <v>13</v>
      </c>
      <c r="D1150" t="s">
        <v>1417</v>
      </c>
      <c r="E1150">
        <v>30.88</v>
      </c>
    </row>
    <row r="1151" spans="1:5" x14ac:dyDescent="0.2">
      <c r="A1151" s="14">
        <v>45911.642685185201</v>
      </c>
      <c r="B1151" t="s">
        <v>1271</v>
      </c>
      <c r="C1151" t="s">
        <v>13</v>
      </c>
      <c r="D1151" t="s">
        <v>1418</v>
      </c>
      <c r="E1151">
        <v>0</v>
      </c>
    </row>
    <row r="1152" spans="1:5" x14ac:dyDescent="0.2">
      <c r="A1152" s="14">
        <v>45911.642789351798</v>
      </c>
      <c r="B1152" t="s">
        <v>1271</v>
      </c>
      <c r="C1152" t="s">
        <v>13</v>
      </c>
      <c r="D1152" t="s">
        <v>1416</v>
      </c>
      <c r="E1152" t="s">
        <v>1419</v>
      </c>
    </row>
    <row r="1153" spans="1:5" x14ac:dyDescent="0.2">
      <c r="A1153" s="14">
        <v>45911.642847222203</v>
      </c>
      <c r="B1153" t="s">
        <v>1271</v>
      </c>
      <c r="C1153" t="s">
        <v>13</v>
      </c>
      <c r="D1153" t="s">
        <v>1416</v>
      </c>
      <c r="E1153">
        <v>0</v>
      </c>
    </row>
    <row r="1154" spans="1:5" x14ac:dyDescent="0.2">
      <c r="A1154" s="14">
        <v>45911.6430092593</v>
      </c>
      <c r="B1154" t="s">
        <v>1271</v>
      </c>
      <c r="C1154" t="s">
        <v>13</v>
      </c>
      <c r="D1154" t="s">
        <v>1420</v>
      </c>
      <c r="E1154">
        <v>93.73</v>
      </c>
    </row>
    <row r="1155" spans="1:5" x14ac:dyDescent="0.2">
      <c r="A1155" s="14">
        <v>45911.643252314803</v>
      </c>
      <c r="B1155" t="s">
        <v>1271</v>
      </c>
      <c r="C1155" t="s">
        <v>13</v>
      </c>
      <c r="D1155" t="s">
        <v>1421</v>
      </c>
      <c r="E1155">
        <v>36.64</v>
      </c>
    </row>
    <row r="1156" spans="1:5" x14ac:dyDescent="0.2">
      <c r="A1156" s="14">
        <v>45911.643287036997</v>
      </c>
      <c r="B1156" t="s">
        <v>1271</v>
      </c>
      <c r="C1156" t="s">
        <v>13</v>
      </c>
      <c r="D1156" t="s">
        <v>1422</v>
      </c>
      <c r="E1156">
        <v>0</v>
      </c>
    </row>
    <row r="1157" spans="1:5" x14ac:dyDescent="0.2">
      <c r="A1157" s="14">
        <v>45911.643414351798</v>
      </c>
      <c r="B1157" t="s">
        <v>1271</v>
      </c>
      <c r="C1157" t="s">
        <v>13</v>
      </c>
      <c r="D1157" t="s">
        <v>1423</v>
      </c>
      <c r="E1157">
        <v>170.48</v>
      </c>
    </row>
    <row r="1158" spans="1:5" x14ac:dyDescent="0.2">
      <c r="A1158" s="14">
        <v>45911.643483796302</v>
      </c>
      <c r="B1158" t="s">
        <v>1271</v>
      </c>
      <c r="C1158" t="s">
        <v>13</v>
      </c>
      <c r="D1158" t="s">
        <v>1424</v>
      </c>
      <c r="E1158">
        <v>200.75</v>
      </c>
    </row>
    <row r="1159" spans="1:5" x14ac:dyDescent="0.2">
      <c r="A1159" s="14">
        <v>45911.643831018497</v>
      </c>
      <c r="B1159" t="s">
        <v>1271</v>
      </c>
      <c r="C1159" t="s">
        <v>13</v>
      </c>
      <c r="D1159" t="s">
        <v>1425</v>
      </c>
      <c r="E1159">
        <v>0</v>
      </c>
    </row>
    <row r="1160" spans="1:5" x14ac:dyDescent="0.2">
      <c r="A1160" s="14">
        <v>45911.643865740698</v>
      </c>
      <c r="B1160" t="s">
        <v>1271</v>
      </c>
      <c r="C1160" t="s">
        <v>13</v>
      </c>
      <c r="D1160" t="s">
        <v>1424</v>
      </c>
    </row>
    <row r="1161" spans="1:5" x14ac:dyDescent="0.2">
      <c r="A1161" s="14">
        <v>45911.644016203703</v>
      </c>
      <c r="B1161" t="s">
        <v>1271</v>
      </c>
      <c r="C1161" t="s">
        <v>13</v>
      </c>
      <c r="D1161" t="s">
        <v>1426</v>
      </c>
      <c r="E1161">
        <v>36.64</v>
      </c>
    </row>
    <row r="1162" spans="1:5" x14ac:dyDescent="0.2">
      <c r="A1162" s="14">
        <v>45911.644143518497</v>
      </c>
      <c r="B1162" t="s">
        <v>1271</v>
      </c>
      <c r="C1162" t="s">
        <v>13</v>
      </c>
      <c r="D1162" t="s">
        <v>1424</v>
      </c>
      <c r="E1162">
        <v>117.54</v>
      </c>
    </row>
    <row r="1163" spans="1:5" x14ac:dyDescent="0.2">
      <c r="A1163" s="14">
        <v>45911.644178240698</v>
      </c>
      <c r="B1163" t="s">
        <v>1271</v>
      </c>
      <c r="C1163" t="s">
        <v>13</v>
      </c>
      <c r="D1163" t="s">
        <v>1427</v>
      </c>
      <c r="E1163">
        <v>0</v>
      </c>
    </row>
    <row r="1164" spans="1:5" x14ac:dyDescent="0.2">
      <c r="A1164" s="14">
        <v>45911.644560185203</v>
      </c>
      <c r="B1164" t="s">
        <v>1271</v>
      </c>
      <c r="C1164" t="s">
        <v>13</v>
      </c>
      <c r="D1164" t="s">
        <v>1428</v>
      </c>
      <c r="E1164">
        <v>91.05</v>
      </c>
    </row>
    <row r="1165" spans="1:5" x14ac:dyDescent="0.2">
      <c r="A1165" s="14">
        <v>45911.644583333298</v>
      </c>
      <c r="B1165" t="s">
        <v>1271</v>
      </c>
      <c r="C1165" t="s">
        <v>13</v>
      </c>
      <c r="D1165" t="s">
        <v>1429</v>
      </c>
      <c r="E1165">
        <v>0</v>
      </c>
    </row>
    <row r="1166" spans="1:5" x14ac:dyDescent="0.2">
      <c r="A1166" s="14">
        <v>45911.6464583333</v>
      </c>
      <c r="B1166" t="s">
        <v>1271</v>
      </c>
      <c r="C1166" t="s">
        <v>13</v>
      </c>
      <c r="D1166" t="s">
        <v>1430</v>
      </c>
      <c r="E1166">
        <v>0</v>
      </c>
    </row>
    <row r="1167" spans="1:5" x14ac:dyDescent="0.2">
      <c r="A1167" s="14">
        <v>45911.646527777797</v>
      </c>
      <c r="B1167" t="s">
        <v>1271</v>
      </c>
      <c r="C1167" t="s">
        <v>13</v>
      </c>
      <c r="D1167" t="s">
        <v>1431</v>
      </c>
      <c r="E1167">
        <v>96.51</v>
      </c>
    </row>
    <row r="1168" spans="1:5" x14ac:dyDescent="0.2">
      <c r="A1168" s="14">
        <v>45911.646585648101</v>
      </c>
      <c r="B1168" t="s">
        <v>1271</v>
      </c>
      <c r="C1168" t="s">
        <v>13</v>
      </c>
      <c r="D1168" t="s">
        <v>1432</v>
      </c>
      <c r="E1168">
        <v>80.599999999999994</v>
      </c>
    </row>
    <row r="1169" spans="1:5" x14ac:dyDescent="0.2">
      <c r="A1169" s="14">
        <v>45911.646666666697</v>
      </c>
      <c r="B1169" t="s">
        <v>1271</v>
      </c>
      <c r="C1169" t="s">
        <v>13</v>
      </c>
      <c r="D1169" t="s">
        <v>1433</v>
      </c>
      <c r="E1169">
        <v>49.7</v>
      </c>
    </row>
    <row r="1170" spans="1:5" x14ac:dyDescent="0.2">
      <c r="A1170" s="14">
        <v>45911.646736111099</v>
      </c>
      <c r="B1170" t="s">
        <v>1271</v>
      </c>
      <c r="C1170" t="s">
        <v>13</v>
      </c>
      <c r="D1170" t="s">
        <v>1434</v>
      </c>
      <c r="E1170">
        <v>70.13</v>
      </c>
    </row>
    <row r="1171" spans="1:5" x14ac:dyDescent="0.2">
      <c r="A1171" s="14">
        <v>45911.6467708333</v>
      </c>
      <c r="B1171" t="s">
        <v>1271</v>
      </c>
      <c r="C1171" t="s">
        <v>13</v>
      </c>
      <c r="D1171" t="s">
        <v>1435</v>
      </c>
      <c r="E1171">
        <v>0</v>
      </c>
    </row>
    <row r="1172" spans="1:5" x14ac:dyDescent="0.2">
      <c r="A1172" s="14">
        <v>45911.646874999999</v>
      </c>
      <c r="B1172" t="s">
        <v>1271</v>
      </c>
      <c r="C1172" t="s">
        <v>13</v>
      </c>
      <c r="D1172" t="s">
        <v>1436</v>
      </c>
      <c r="E1172">
        <v>62.69</v>
      </c>
    </row>
    <row r="1173" spans="1:5" x14ac:dyDescent="0.2">
      <c r="A1173" s="14">
        <v>45911.646990740701</v>
      </c>
      <c r="B1173" t="s">
        <v>1271</v>
      </c>
      <c r="C1173" t="s">
        <v>13</v>
      </c>
      <c r="D1173" t="s">
        <v>1437</v>
      </c>
      <c r="E1173">
        <v>109.38</v>
      </c>
    </row>
    <row r="1174" spans="1:5" x14ac:dyDescent="0.2">
      <c r="A1174" s="14">
        <v>45911.647372685198</v>
      </c>
      <c r="B1174" t="s">
        <v>1271</v>
      </c>
      <c r="C1174" t="s">
        <v>13</v>
      </c>
      <c r="D1174" t="s">
        <v>1438</v>
      </c>
      <c r="E1174">
        <v>0</v>
      </c>
    </row>
    <row r="1175" spans="1:5" x14ac:dyDescent="0.2">
      <c r="A1175" s="14">
        <v>45911.647430555597</v>
      </c>
      <c r="B1175" t="s">
        <v>1271</v>
      </c>
      <c r="C1175" t="s">
        <v>13</v>
      </c>
      <c r="D1175" t="s">
        <v>1439</v>
      </c>
      <c r="E1175">
        <v>96.22</v>
      </c>
    </row>
    <row r="1176" spans="1:5" x14ac:dyDescent="0.2">
      <c r="A1176" s="14">
        <v>45911.647592592599</v>
      </c>
      <c r="B1176" t="s">
        <v>1271</v>
      </c>
      <c r="C1176" t="s">
        <v>13</v>
      </c>
      <c r="D1176" t="s">
        <v>1440</v>
      </c>
      <c r="E1176">
        <v>69.39</v>
      </c>
    </row>
    <row r="1177" spans="1:5" x14ac:dyDescent="0.2">
      <c r="A1177" s="14">
        <v>45911.6476273148</v>
      </c>
      <c r="B1177" t="s">
        <v>1271</v>
      </c>
      <c r="C1177" t="s">
        <v>13</v>
      </c>
      <c r="D1177" t="s">
        <v>1440</v>
      </c>
      <c r="E1177">
        <v>69.400000000000006</v>
      </c>
    </row>
    <row r="1178" spans="1:5" x14ac:dyDescent="0.2">
      <c r="A1178" s="14">
        <v>45911.6477199074</v>
      </c>
      <c r="B1178" t="s">
        <v>1271</v>
      </c>
      <c r="C1178" t="s">
        <v>13</v>
      </c>
      <c r="D1178" t="s">
        <v>1441</v>
      </c>
      <c r="E1178">
        <v>166.43</v>
      </c>
    </row>
    <row r="1179" spans="1:5" x14ac:dyDescent="0.2">
      <c r="A1179" s="14">
        <v>45911.647777777798</v>
      </c>
      <c r="B1179" t="s">
        <v>1271</v>
      </c>
      <c r="C1179" t="s">
        <v>13</v>
      </c>
      <c r="D1179" t="s">
        <v>1442</v>
      </c>
      <c r="E1179">
        <v>109.26</v>
      </c>
    </row>
    <row r="1180" spans="1:5" x14ac:dyDescent="0.2">
      <c r="A1180" s="14">
        <v>45911.647824074098</v>
      </c>
      <c r="B1180" t="s">
        <v>1271</v>
      </c>
      <c r="C1180" t="s">
        <v>13</v>
      </c>
      <c r="D1180" t="s">
        <v>1443</v>
      </c>
      <c r="E1180">
        <v>0</v>
      </c>
    </row>
    <row r="1181" spans="1:5" x14ac:dyDescent="0.2">
      <c r="A1181" s="14">
        <v>45911.647835648102</v>
      </c>
      <c r="B1181" t="s">
        <v>1271</v>
      </c>
      <c r="C1181" t="s">
        <v>13</v>
      </c>
      <c r="D1181" t="s">
        <v>1444</v>
      </c>
      <c r="E1181">
        <v>0</v>
      </c>
    </row>
    <row r="1182" spans="1:5" x14ac:dyDescent="0.2">
      <c r="A1182" s="14">
        <v>45911.647858796299</v>
      </c>
      <c r="B1182" t="s">
        <v>1271</v>
      </c>
      <c r="C1182" t="s">
        <v>13</v>
      </c>
      <c r="D1182" t="s">
        <v>1445</v>
      </c>
      <c r="E1182">
        <v>0</v>
      </c>
    </row>
    <row r="1183" spans="1:5" x14ac:dyDescent="0.2">
      <c r="A1183" s="14">
        <v>45911.648090277798</v>
      </c>
      <c r="B1183" t="s">
        <v>1271</v>
      </c>
      <c r="C1183" t="s">
        <v>13</v>
      </c>
      <c r="D1183" t="s">
        <v>1446</v>
      </c>
      <c r="E1183">
        <v>0</v>
      </c>
    </row>
    <row r="1184" spans="1:5" x14ac:dyDescent="0.2">
      <c r="A1184" s="14">
        <v>45911.6487962963</v>
      </c>
      <c r="B1184" t="s">
        <v>1271</v>
      </c>
      <c r="C1184" t="s">
        <v>13</v>
      </c>
      <c r="D1184" t="s">
        <v>1447</v>
      </c>
      <c r="E1184">
        <v>0</v>
      </c>
    </row>
    <row r="1185" spans="1:5" x14ac:dyDescent="0.2">
      <c r="A1185" s="14">
        <v>45911.6488425926</v>
      </c>
      <c r="B1185" t="s">
        <v>1271</v>
      </c>
      <c r="C1185" t="s">
        <v>13</v>
      </c>
      <c r="D1185" t="s">
        <v>1448</v>
      </c>
      <c r="E1185">
        <v>49.86</v>
      </c>
    </row>
    <row r="1186" spans="1:5" x14ac:dyDescent="0.2">
      <c r="A1186" s="14">
        <v>45911.648912037002</v>
      </c>
      <c r="B1186" t="s">
        <v>1271</v>
      </c>
      <c r="C1186" t="s">
        <v>13</v>
      </c>
      <c r="D1186" t="s">
        <v>1449</v>
      </c>
      <c r="E1186">
        <v>46.26</v>
      </c>
    </row>
    <row r="1187" spans="1:5" x14ac:dyDescent="0.2">
      <c r="A1187" s="14">
        <v>45911.649016203701</v>
      </c>
      <c r="B1187" t="s">
        <v>1271</v>
      </c>
      <c r="C1187" t="s">
        <v>13</v>
      </c>
      <c r="D1187" t="s">
        <v>1450</v>
      </c>
      <c r="E1187">
        <v>123.17</v>
      </c>
    </row>
    <row r="1188" spans="1:5" x14ac:dyDescent="0.2">
      <c r="A1188" s="14">
        <v>45911.649120370399</v>
      </c>
      <c r="B1188" t="s">
        <v>1271</v>
      </c>
      <c r="C1188" t="s">
        <v>13</v>
      </c>
      <c r="D1188" t="s">
        <v>1450</v>
      </c>
      <c r="E1188">
        <v>123.19</v>
      </c>
    </row>
    <row r="1189" spans="1:5" x14ac:dyDescent="0.2">
      <c r="A1189" s="14">
        <v>45911.649212962999</v>
      </c>
      <c r="B1189" t="s">
        <v>1271</v>
      </c>
      <c r="C1189" t="s">
        <v>13</v>
      </c>
      <c r="D1189" t="s">
        <v>1451</v>
      </c>
      <c r="E1189">
        <v>275.51</v>
      </c>
    </row>
    <row r="1190" spans="1:5" x14ac:dyDescent="0.2">
      <c r="A1190" s="14">
        <v>45911.649317129602</v>
      </c>
      <c r="B1190" t="s">
        <v>1271</v>
      </c>
      <c r="C1190" t="s">
        <v>13</v>
      </c>
      <c r="D1190" t="s">
        <v>1452</v>
      </c>
      <c r="E1190">
        <v>0</v>
      </c>
    </row>
    <row r="1191" spans="1:5" x14ac:dyDescent="0.2">
      <c r="A1191" s="14">
        <v>45911.649409722202</v>
      </c>
      <c r="B1191" t="s">
        <v>1271</v>
      </c>
      <c r="C1191" t="s">
        <v>13</v>
      </c>
      <c r="D1191" t="s">
        <v>1453</v>
      </c>
      <c r="E1191">
        <v>96.28</v>
      </c>
    </row>
    <row r="1192" spans="1:5" x14ac:dyDescent="0.2">
      <c r="A1192" s="14">
        <v>45911.650856481501</v>
      </c>
      <c r="B1192" t="s">
        <v>1271</v>
      </c>
      <c r="C1192" t="s">
        <v>13</v>
      </c>
      <c r="D1192" t="s">
        <v>1446</v>
      </c>
      <c r="E1192">
        <v>101.08</v>
      </c>
    </row>
    <row r="1193" spans="1:5" x14ac:dyDescent="0.2">
      <c r="A1193" s="14">
        <v>45911.650937500002</v>
      </c>
      <c r="B1193" t="s">
        <v>1271</v>
      </c>
      <c r="C1193" t="s">
        <v>13</v>
      </c>
      <c r="D1193" t="s">
        <v>1454</v>
      </c>
      <c r="E1193">
        <v>0</v>
      </c>
    </row>
    <row r="1194" spans="1:5" x14ac:dyDescent="0.2">
      <c r="A1194" s="14">
        <v>45911.651041666701</v>
      </c>
      <c r="B1194" t="s">
        <v>1271</v>
      </c>
      <c r="C1194" t="s">
        <v>13</v>
      </c>
      <c r="D1194" t="s">
        <v>1455</v>
      </c>
      <c r="E1194">
        <v>49.86</v>
      </c>
    </row>
    <row r="1195" spans="1:5" x14ac:dyDescent="0.2">
      <c r="A1195" s="14">
        <v>45911.6511342593</v>
      </c>
      <c r="B1195" t="s">
        <v>1271</v>
      </c>
      <c r="C1195" t="s">
        <v>13</v>
      </c>
      <c r="D1195" t="s">
        <v>1454</v>
      </c>
    </row>
    <row r="1196" spans="1:5" x14ac:dyDescent="0.2">
      <c r="A1196" s="14">
        <v>45911.651192129597</v>
      </c>
      <c r="B1196" t="s">
        <v>1271</v>
      </c>
      <c r="C1196" t="s">
        <v>13</v>
      </c>
      <c r="D1196" t="s">
        <v>1456</v>
      </c>
      <c r="E1196">
        <v>0</v>
      </c>
    </row>
    <row r="1197" spans="1:5" x14ac:dyDescent="0.2">
      <c r="A1197" s="14">
        <v>45911.651446759301</v>
      </c>
      <c r="B1197" t="s">
        <v>1271</v>
      </c>
      <c r="C1197" t="s">
        <v>13</v>
      </c>
      <c r="D1197" t="s">
        <v>1454</v>
      </c>
      <c r="E1197">
        <v>96.38</v>
      </c>
    </row>
    <row r="1198" spans="1:5" x14ac:dyDescent="0.2">
      <c r="A1198" s="14">
        <v>45911.651481481502</v>
      </c>
      <c r="B1198" t="s">
        <v>1271</v>
      </c>
      <c r="C1198" t="s">
        <v>13</v>
      </c>
      <c r="D1198" t="s">
        <v>1457</v>
      </c>
      <c r="E1198">
        <v>0</v>
      </c>
    </row>
    <row r="1199" spans="1:5" x14ac:dyDescent="0.2">
      <c r="A1199" s="14">
        <v>45911.651550925897</v>
      </c>
      <c r="B1199" t="s">
        <v>1271</v>
      </c>
      <c r="C1199" t="s">
        <v>13</v>
      </c>
      <c r="D1199" t="s">
        <v>1458</v>
      </c>
      <c r="E1199">
        <v>89.09</v>
      </c>
    </row>
    <row r="1200" spans="1:5" x14ac:dyDescent="0.2">
      <c r="A1200" s="14">
        <v>45911.651655092603</v>
      </c>
      <c r="B1200" t="s">
        <v>1271</v>
      </c>
      <c r="C1200" t="s">
        <v>13</v>
      </c>
      <c r="D1200" t="s">
        <v>1459</v>
      </c>
      <c r="E1200">
        <v>136.1</v>
      </c>
    </row>
    <row r="1201" spans="1:5" x14ac:dyDescent="0.2">
      <c r="A1201" s="14">
        <v>45911.651678240698</v>
      </c>
      <c r="B1201" t="s">
        <v>1271</v>
      </c>
      <c r="C1201" t="s">
        <v>13</v>
      </c>
      <c r="D1201" t="s">
        <v>1460</v>
      </c>
      <c r="E1201">
        <v>0</v>
      </c>
    </row>
    <row r="1202" spans="1:5" x14ac:dyDescent="0.2">
      <c r="A1202" s="14">
        <v>45911.651747685202</v>
      </c>
      <c r="B1202" t="s">
        <v>1271</v>
      </c>
      <c r="C1202" t="s">
        <v>13</v>
      </c>
      <c r="D1202" t="s">
        <v>1461</v>
      </c>
      <c r="E1202">
        <v>81.97</v>
      </c>
    </row>
    <row r="1203" spans="1:5" x14ac:dyDescent="0.2">
      <c r="A1203" s="14">
        <v>45911.651840277802</v>
      </c>
      <c r="B1203" t="s">
        <v>1271</v>
      </c>
      <c r="C1203" t="s">
        <v>13</v>
      </c>
      <c r="D1203" t="s">
        <v>1462</v>
      </c>
      <c r="E1203">
        <v>69.78</v>
      </c>
    </row>
    <row r="1204" spans="1:5" x14ac:dyDescent="0.2">
      <c r="A1204" s="14">
        <v>45911.651990740698</v>
      </c>
      <c r="B1204" t="s">
        <v>1271</v>
      </c>
      <c r="C1204" t="s">
        <v>13</v>
      </c>
      <c r="D1204" t="s">
        <v>1463</v>
      </c>
      <c r="E1204">
        <v>47.98</v>
      </c>
    </row>
    <row r="1205" spans="1:5" x14ac:dyDescent="0.2">
      <c r="A1205" s="14">
        <v>45911.652060185203</v>
      </c>
      <c r="B1205" t="s">
        <v>1271</v>
      </c>
      <c r="C1205" t="s">
        <v>13</v>
      </c>
      <c r="D1205" t="s">
        <v>1463</v>
      </c>
      <c r="E1205">
        <v>47.99</v>
      </c>
    </row>
    <row r="1206" spans="1:5" x14ac:dyDescent="0.2">
      <c r="A1206" s="14">
        <v>45911.652129629598</v>
      </c>
      <c r="B1206" t="s">
        <v>1271</v>
      </c>
      <c r="C1206" t="s">
        <v>13</v>
      </c>
      <c r="D1206" t="s">
        <v>1464</v>
      </c>
      <c r="E1206">
        <v>42.61</v>
      </c>
    </row>
    <row r="1207" spans="1:5" x14ac:dyDescent="0.2">
      <c r="A1207" s="14">
        <v>45911.652210648099</v>
      </c>
      <c r="B1207" t="s">
        <v>1271</v>
      </c>
      <c r="C1207" t="s">
        <v>13</v>
      </c>
      <c r="D1207" t="s">
        <v>1465</v>
      </c>
      <c r="E1207">
        <v>152.13999999999999</v>
      </c>
    </row>
    <row r="1208" spans="1:5" x14ac:dyDescent="0.2">
      <c r="A1208" s="14">
        <v>45911.652291666702</v>
      </c>
      <c r="B1208" t="s">
        <v>1271</v>
      </c>
      <c r="C1208" t="s">
        <v>13</v>
      </c>
      <c r="D1208" t="s">
        <v>1466</v>
      </c>
      <c r="E1208">
        <v>249.19</v>
      </c>
    </row>
    <row r="1209" spans="1:5" x14ac:dyDescent="0.2">
      <c r="A1209" s="14">
        <v>45911.652303240699</v>
      </c>
      <c r="B1209" t="s">
        <v>1271</v>
      </c>
      <c r="C1209" t="s">
        <v>13</v>
      </c>
      <c r="D1209" t="s">
        <v>1467</v>
      </c>
      <c r="E1209">
        <v>0</v>
      </c>
    </row>
    <row r="1210" spans="1:5" x14ac:dyDescent="0.2">
      <c r="A1210" s="14">
        <v>45911.652395833298</v>
      </c>
      <c r="B1210" t="s">
        <v>1271</v>
      </c>
      <c r="C1210" t="s">
        <v>13</v>
      </c>
      <c r="D1210" t="s">
        <v>1468</v>
      </c>
      <c r="E1210">
        <v>72.930000000000007</v>
      </c>
    </row>
    <row r="1211" spans="1:5" x14ac:dyDescent="0.2">
      <c r="A1211" s="14">
        <v>45911.652488425898</v>
      </c>
      <c r="B1211" t="s">
        <v>1271</v>
      </c>
      <c r="C1211" t="s">
        <v>13</v>
      </c>
      <c r="D1211" t="s">
        <v>1469</v>
      </c>
      <c r="E1211">
        <v>92.56</v>
      </c>
    </row>
    <row r="1212" spans="1:5" x14ac:dyDescent="0.2">
      <c r="A1212" s="14">
        <v>45911.652511574102</v>
      </c>
      <c r="B1212" t="s">
        <v>1271</v>
      </c>
      <c r="C1212" t="s">
        <v>13</v>
      </c>
      <c r="D1212" t="s">
        <v>1470</v>
      </c>
      <c r="E1212">
        <v>0</v>
      </c>
    </row>
    <row r="1213" spans="1:5" x14ac:dyDescent="0.2">
      <c r="A1213" s="14">
        <v>45911.652581018498</v>
      </c>
      <c r="B1213" t="s">
        <v>1271</v>
      </c>
      <c r="C1213" t="s">
        <v>13</v>
      </c>
      <c r="D1213" t="s">
        <v>1471</v>
      </c>
      <c r="E1213">
        <v>0</v>
      </c>
    </row>
    <row r="1214" spans="1:5" x14ac:dyDescent="0.2">
      <c r="A1214" s="14">
        <v>45911.652650463002</v>
      </c>
      <c r="B1214" t="s">
        <v>1271</v>
      </c>
      <c r="C1214" t="s">
        <v>13</v>
      </c>
      <c r="D1214" t="s">
        <v>1472</v>
      </c>
      <c r="E1214">
        <v>44.97</v>
      </c>
    </row>
    <row r="1215" spans="1:5" x14ac:dyDescent="0.2">
      <c r="A1215" s="14">
        <v>45911.652708333299</v>
      </c>
      <c r="B1215" t="s">
        <v>1271</v>
      </c>
      <c r="C1215" t="s">
        <v>13</v>
      </c>
      <c r="D1215" t="s">
        <v>1473</v>
      </c>
      <c r="E1215">
        <v>71.69</v>
      </c>
    </row>
    <row r="1216" spans="1:5" x14ac:dyDescent="0.2">
      <c r="A1216" s="14">
        <v>45911.652766203697</v>
      </c>
      <c r="B1216" t="s">
        <v>1271</v>
      </c>
      <c r="C1216" t="s">
        <v>13</v>
      </c>
      <c r="D1216" t="s">
        <v>1474</v>
      </c>
      <c r="E1216">
        <v>110.84</v>
      </c>
    </row>
    <row r="1217" spans="1:5" x14ac:dyDescent="0.2">
      <c r="A1217" s="14">
        <v>45911.652847222198</v>
      </c>
      <c r="B1217" t="s">
        <v>1271</v>
      </c>
      <c r="C1217" t="s">
        <v>13</v>
      </c>
      <c r="D1217" t="s">
        <v>1475</v>
      </c>
      <c r="E1217">
        <v>130.51</v>
      </c>
    </row>
    <row r="1218" spans="1:5" x14ac:dyDescent="0.2">
      <c r="A1218" s="14">
        <v>45911.652881944399</v>
      </c>
      <c r="B1218" t="s">
        <v>1271</v>
      </c>
      <c r="C1218" t="s">
        <v>13</v>
      </c>
      <c r="D1218" t="s">
        <v>1476</v>
      </c>
      <c r="E1218">
        <v>0</v>
      </c>
    </row>
    <row r="1219" spans="1:5" x14ac:dyDescent="0.2">
      <c r="A1219" s="14">
        <v>45911.653009259302</v>
      </c>
      <c r="B1219" t="s">
        <v>1271</v>
      </c>
      <c r="C1219" t="s">
        <v>13</v>
      </c>
      <c r="D1219" t="s">
        <v>1477</v>
      </c>
      <c r="E1219">
        <v>0</v>
      </c>
    </row>
    <row r="1220" spans="1:5" x14ac:dyDescent="0.2">
      <c r="A1220" s="14">
        <v>45911.653009259302</v>
      </c>
      <c r="B1220" t="s">
        <v>1271</v>
      </c>
      <c r="C1220" t="s">
        <v>13</v>
      </c>
      <c r="D1220" t="s">
        <v>1478</v>
      </c>
      <c r="E1220">
        <v>0</v>
      </c>
    </row>
    <row r="1221" spans="1:5" x14ac:dyDescent="0.2">
      <c r="A1221" s="14">
        <v>45911.653935185197</v>
      </c>
      <c r="B1221" t="s">
        <v>1271</v>
      </c>
      <c r="C1221" t="s">
        <v>13</v>
      </c>
      <c r="D1221" t="s">
        <v>1479</v>
      </c>
      <c r="E1221">
        <v>104.1</v>
      </c>
    </row>
    <row r="1222" spans="1:5" x14ac:dyDescent="0.2">
      <c r="A1222" s="14">
        <v>45911.654039351903</v>
      </c>
      <c r="B1222" t="s">
        <v>1271</v>
      </c>
      <c r="C1222" t="s">
        <v>13</v>
      </c>
      <c r="D1222" t="s">
        <v>1480</v>
      </c>
      <c r="E1222">
        <v>40.83</v>
      </c>
    </row>
    <row r="1223" spans="1:5" x14ac:dyDescent="0.2">
      <c r="A1223" s="14">
        <v>45911.654120370396</v>
      </c>
      <c r="B1223" t="s">
        <v>1271</v>
      </c>
      <c r="C1223" t="s">
        <v>13</v>
      </c>
      <c r="D1223" t="s">
        <v>1481</v>
      </c>
      <c r="E1223">
        <v>45.82</v>
      </c>
    </row>
    <row r="1224" spans="1:5" x14ac:dyDescent="0.2">
      <c r="A1224" s="14">
        <v>45911.654143518499</v>
      </c>
      <c r="B1224" t="s">
        <v>1271</v>
      </c>
      <c r="C1224" t="s">
        <v>13</v>
      </c>
      <c r="D1224" t="s">
        <v>1482</v>
      </c>
      <c r="E1224">
        <v>0</v>
      </c>
    </row>
    <row r="1225" spans="1:5" x14ac:dyDescent="0.2">
      <c r="A1225" s="14">
        <v>45911.654212963003</v>
      </c>
      <c r="B1225" t="s">
        <v>1271</v>
      </c>
      <c r="C1225" t="s">
        <v>13</v>
      </c>
      <c r="D1225" t="s">
        <v>1483</v>
      </c>
      <c r="E1225">
        <v>126.42</v>
      </c>
    </row>
    <row r="1226" spans="1:5" x14ac:dyDescent="0.2">
      <c r="A1226" s="14">
        <v>45911.654386574097</v>
      </c>
      <c r="B1226" t="s">
        <v>1271</v>
      </c>
      <c r="C1226" t="s">
        <v>13</v>
      </c>
      <c r="D1226" t="s">
        <v>1484</v>
      </c>
      <c r="E1226">
        <v>45.817999999999998</v>
      </c>
    </row>
    <row r="1227" spans="1:5" x14ac:dyDescent="0.2">
      <c r="A1227" s="14">
        <v>45911.654432870397</v>
      </c>
      <c r="B1227" t="s">
        <v>1271</v>
      </c>
      <c r="C1227" t="s">
        <v>13</v>
      </c>
      <c r="D1227" t="s">
        <v>1485</v>
      </c>
      <c r="E1227">
        <v>0</v>
      </c>
    </row>
    <row r="1228" spans="1:5" x14ac:dyDescent="0.2">
      <c r="A1228" s="14">
        <v>45911.654456018499</v>
      </c>
      <c r="B1228" t="s">
        <v>1271</v>
      </c>
      <c r="C1228" t="s">
        <v>13</v>
      </c>
      <c r="D1228" t="s">
        <v>1486</v>
      </c>
      <c r="E1228">
        <v>0</v>
      </c>
    </row>
    <row r="1229" spans="1:5" x14ac:dyDescent="0.2">
      <c r="A1229" s="14">
        <v>45911.654490740701</v>
      </c>
      <c r="B1229" t="s">
        <v>1271</v>
      </c>
      <c r="C1229" t="s">
        <v>13</v>
      </c>
      <c r="D1229" t="s">
        <v>1487</v>
      </c>
      <c r="E1229">
        <v>0</v>
      </c>
    </row>
    <row r="1230" spans="1:5" x14ac:dyDescent="0.2">
      <c r="A1230" s="14">
        <v>45911.654548611099</v>
      </c>
      <c r="B1230" t="s">
        <v>1271</v>
      </c>
      <c r="C1230" t="s">
        <v>13</v>
      </c>
      <c r="D1230" t="s">
        <v>1488</v>
      </c>
      <c r="E1230">
        <v>0</v>
      </c>
    </row>
    <row r="1231" spans="1:5" x14ac:dyDescent="0.2">
      <c r="A1231" s="14">
        <v>45911.654594907399</v>
      </c>
      <c r="B1231" t="s">
        <v>1271</v>
      </c>
      <c r="C1231" t="s">
        <v>13</v>
      </c>
      <c r="D1231" t="s">
        <v>1489</v>
      </c>
      <c r="E1231">
        <v>123.88</v>
      </c>
    </row>
    <row r="1232" spans="1:5" x14ac:dyDescent="0.2">
      <c r="A1232" s="14">
        <v>45911.654699074097</v>
      </c>
      <c r="B1232" t="s">
        <v>1271</v>
      </c>
      <c r="C1232" t="s">
        <v>13</v>
      </c>
      <c r="D1232" t="s">
        <v>1488</v>
      </c>
      <c r="E1232">
        <v>123.88</v>
      </c>
    </row>
    <row r="1233" spans="1:5" x14ac:dyDescent="0.2">
      <c r="A1233" s="14">
        <v>45911.654780092598</v>
      </c>
      <c r="B1233" t="s">
        <v>1271</v>
      </c>
      <c r="C1233" t="s">
        <v>13</v>
      </c>
      <c r="D1233" t="s">
        <v>1489</v>
      </c>
      <c r="E1233">
        <v>63.57</v>
      </c>
    </row>
    <row r="1234" spans="1:5" x14ac:dyDescent="0.2">
      <c r="A1234" s="14">
        <v>45911.654837962997</v>
      </c>
      <c r="B1234" t="s">
        <v>1271</v>
      </c>
      <c r="C1234" t="s">
        <v>13</v>
      </c>
      <c r="D1234" t="s">
        <v>1490</v>
      </c>
      <c r="E1234">
        <v>41.23</v>
      </c>
    </row>
    <row r="1235" spans="1:5" x14ac:dyDescent="0.2">
      <c r="A1235" s="14">
        <v>45911.654930555596</v>
      </c>
      <c r="B1235" t="s">
        <v>1271</v>
      </c>
      <c r="C1235" t="s">
        <v>13</v>
      </c>
      <c r="D1235" t="s">
        <v>1491</v>
      </c>
      <c r="E1235">
        <v>114.91</v>
      </c>
    </row>
    <row r="1236" spans="1:5" x14ac:dyDescent="0.2">
      <c r="A1236" s="14">
        <v>45911.655011574097</v>
      </c>
      <c r="B1236" t="s">
        <v>1271</v>
      </c>
      <c r="C1236" t="s">
        <v>13</v>
      </c>
      <c r="D1236" t="s">
        <v>1492</v>
      </c>
      <c r="E1236">
        <v>160.32</v>
      </c>
    </row>
    <row r="1237" spans="1:5" x14ac:dyDescent="0.2">
      <c r="A1237" s="14">
        <v>45911.655115740701</v>
      </c>
      <c r="B1237" t="s">
        <v>1271</v>
      </c>
      <c r="C1237" t="s">
        <v>13</v>
      </c>
      <c r="D1237" t="s">
        <v>1493</v>
      </c>
      <c r="E1237">
        <v>51.2</v>
      </c>
    </row>
    <row r="1238" spans="1:5" x14ac:dyDescent="0.2">
      <c r="A1238" s="14">
        <v>45911.655150462997</v>
      </c>
      <c r="B1238" t="s">
        <v>1271</v>
      </c>
      <c r="C1238" t="s">
        <v>13</v>
      </c>
      <c r="D1238" t="s">
        <v>1494</v>
      </c>
      <c r="E1238">
        <v>0</v>
      </c>
    </row>
    <row r="1239" spans="1:5" x14ac:dyDescent="0.2">
      <c r="A1239" s="14">
        <v>45911.655543981498</v>
      </c>
      <c r="B1239" t="s">
        <v>1271</v>
      </c>
      <c r="C1239" t="s">
        <v>13</v>
      </c>
      <c r="D1239" t="s">
        <v>1495</v>
      </c>
      <c r="E1239">
        <v>11</v>
      </c>
    </row>
    <row r="1240" spans="1:5" x14ac:dyDescent="0.2">
      <c r="A1240" s="14">
        <v>45911.656435185199</v>
      </c>
      <c r="B1240" t="s">
        <v>1271</v>
      </c>
      <c r="C1240" t="s">
        <v>13</v>
      </c>
      <c r="D1240" t="s">
        <v>1160</v>
      </c>
      <c r="E1240">
        <v>8.4700000000000006</v>
      </c>
    </row>
    <row r="1241" spans="1:5" x14ac:dyDescent="0.2">
      <c r="A1241" s="14">
        <v>45911.672824074099</v>
      </c>
      <c r="B1241" t="s">
        <v>1271</v>
      </c>
      <c r="C1241" t="s">
        <v>13</v>
      </c>
      <c r="D1241" t="s">
        <v>1496</v>
      </c>
      <c r="E1241">
        <v>8.4700000000000006</v>
      </c>
    </row>
    <row r="1242" spans="1:5" x14ac:dyDescent="0.2">
      <c r="A1242" s="14">
        <v>45911.673750000002</v>
      </c>
      <c r="B1242" t="s">
        <v>1271</v>
      </c>
      <c r="C1242" t="s">
        <v>13</v>
      </c>
      <c r="D1242" t="s">
        <v>1160</v>
      </c>
      <c r="E1242">
        <v>15.5</v>
      </c>
    </row>
    <row r="1243" spans="1:5" x14ac:dyDescent="0.2">
      <c r="A1243" s="14">
        <v>45911.673773148097</v>
      </c>
      <c r="B1243" t="s">
        <v>1271</v>
      </c>
      <c r="C1243" t="s">
        <v>13</v>
      </c>
      <c r="D1243" t="s">
        <v>1496</v>
      </c>
      <c r="E1243">
        <v>15.5</v>
      </c>
    </row>
    <row r="1244" spans="1:5" x14ac:dyDescent="0.2">
      <c r="A1244" s="14">
        <v>45911.675381944398</v>
      </c>
      <c r="B1244" t="s">
        <v>1271</v>
      </c>
      <c r="C1244" t="s">
        <v>13</v>
      </c>
      <c r="D1244" t="s">
        <v>1497</v>
      </c>
      <c r="E1244" t="s">
        <v>1498</v>
      </c>
    </row>
    <row r="1245" spans="1:5" x14ac:dyDescent="0.2">
      <c r="A1245" s="14">
        <v>45911.675416666701</v>
      </c>
      <c r="B1245" t="s">
        <v>1271</v>
      </c>
      <c r="C1245" t="s">
        <v>13</v>
      </c>
      <c r="D1245" t="s">
        <v>1497</v>
      </c>
      <c r="E1245">
        <v>13</v>
      </c>
    </row>
    <row r="1246" spans="1:5" x14ac:dyDescent="0.2">
      <c r="A1246" s="14">
        <v>45911.681898148097</v>
      </c>
      <c r="B1246" t="s">
        <v>1271</v>
      </c>
      <c r="C1246" t="s">
        <v>13</v>
      </c>
      <c r="D1246" t="s">
        <v>1499</v>
      </c>
    </row>
    <row r="1247" spans="1:5" x14ac:dyDescent="0.2">
      <c r="A1247" s="14">
        <v>45911.682187500002</v>
      </c>
      <c r="B1247" t="s">
        <v>1271</v>
      </c>
      <c r="C1247" t="s">
        <v>13</v>
      </c>
      <c r="D1247" t="s">
        <v>1497</v>
      </c>
      <c r="E1247">
        <v>8.3800000000000008</v>
      </c>
    </row>
    <row r="1248" spans="1:5" x14ac:dyDescent="0.2">
      <c r="A1248" s="14">
        <v>45911.682476851798</v>
      </c>
      <c r="B1248" t="s">
        <v>1271</v>
      </c>
      <c r="C1248" t="s">
        <v>13</v>
      </c>
      <c r="D1248" t="s">
        <v>1500</v>
      </c>
      <c r="E1248">
        <v>5.55</v>
      </c>
    </row>
    <row r="1249" spans="1:5" x14ac:dyDescent="0.2">
      <c r="A1249" s="14">
        <v>45911.682523148098</v>
      </c>
      <c r="B1249" t="s">
        <v>1271</v>
      </c>
      <c r="C1249" t="s">
        <v>13</v>
      </c>
      <c r="D1249" t="s">
        <v>1495</v>
      </c>
      <c r="E1249" t="s">
        <v>1501</v>
      </c>
    </row>
    <row r="1250" spans="1:5" x14ac:dyDescent="0.2">
      <c r="A1250" s="14">
        <v>45911.682557870401</v>
      </c>
      <c r="B1250" t="s">
        <v>1271</v>
      </c>
      <c r="C1250" t="s">
        <v>13</v>
      </c>
      <c r="D1250" t="s">
        <v>1495</v>
      </c>
    </row>
    <row r="1251" spans="1:5" x14ac:dyDescent="0.2">
      <c r="A1251" s="14">
        <v>45911.682592592602</v>
      </c>
      <c r="B1251" t="s">
        <v>1271</v>
      </c>
      <c r="C1251" t="s">
        <v>13</v>
      </c>
      <c r="D1251" t="s">
        <v>1502</v>
      </c>
    </row>
    <row r="1252" spans="1:5" x14ac:dyDescent="0.2">
      <c r="A1252" s="14">
        <v>45911.682627314804</v>
      </c>
      <c r="B1252" t="s">
        <v>1271</v>
      </c>
      <c r="C1252" t="s">
        <v>13</v>
      </c>
      <c r="D1252" t="s">
        <v>1495</v>
      </c>
      <c r="E1252">
        <v>0</v>
      </c>
    </row>
    <row r="1253" spans="1:5" x14ac:dyDescent="0.2">
      <c r="A1253" s="14">
        <v>45911.682789351798</v>
      </c>
      <c r="B1253" t="s">
        <v>1271</v>
      </c>
      <c r="C1253" t="s">
        <v>13</v>
      </c>
      <c r="D1253" t="s">
        <v>1497</v>
      </c>
      <c r="E1253">
        <v>8.3800000000000008</v>
      </c>
    </row>
    <row r="1254" spans="1:5" x14ac:dyDescent="0.2">
      <c r="A1254" s="14">
        <v>45911.682893518497</v>
      </c>
      <c r="B1254" t="s">
        <v>1271</v>
      </c>
      <c r="C1254" t="s">
        <v>13</v>
      </c>
      <c r="D1254" t="s">
        <v>1500</v>
      </c>
      <c r="E1254">
        <v>5.55</v>
      </c>
    </row>
    <row r="1255" spans="1:5" x14ac:dyDescent="0.2">
      <c r="A1255" s="14">
        <v>45911.683125000003</v>
      </c>
      <c r="B1255" t="s">
        <v>1271</v>
      </c>
      <c r="C1255" t="s">
        <v>13</v>
      </c>
      <c r="D1255" t="s">
        <v>1160</v>
      </c>
      <c r="E1255">
        <v>6.68</v>
      </c>
    </row>
    <row r="1256" spans="1:5" x14ac:dyDescent="0.2">
      <c r="A1256" s="14">
        <v>45911.683217592603</v>
      </c>
      <c r="B1256" t="s">
        <v>1271</v>
      </c>
      <c r="C1256" t="s">
        <v>13</v>
      </c>
      <c r="D1256" t="s">
        <v>1050</v>
      </c>
      <c r="E1256" t="s">
        <v>194</v>
      </c>
    </row>
    <row r="1257" spans="1:5" x14ac:dyDescent="0.2">
      <c r="A1257" s="14">
        <v>45911.683321759301</v>
      </c>
      <c r="B1257" t="s">
        <v>1271</v>
      </c>
      <c r="C1257" t="s">
        <v>13</v>
      </c>
      <c r="D1257" t="s">
        <v>998</v>
      </c>
      <c r="E1257" t="s">
        <v>195</v>
      </c>
    </row>
    <row r="1258" spans="1:5" x14ac:dyDescent="0.2">
      <c r="A1258" s="14">
        <v>45911.683414351799</v>
      </c>
      <c r="B1258" t="s">
        <v>1271</v>
      </c>
      <c r="C1258" t="s">
        <v>13</v>
      </c>
      <c r="D1258" t="s">
        <v>1496</v>
      </c>
      <c r="E1258">
        <v>4.88</v>
      </c>
    </row>
    <row r="1259" spans="1:5" x14ac:dyDescent="0.2">
      <c r="A1259" s="14">
        <v>45911.684050925898</v>
      </c>
      <c r="B1259" t="s">
        <v>1271</v>
      </c>
      <c r="C1259" t="s">
        <v>13</v>
      </c>
      <c r="D1259" t="s">
        <v>1497</v>
      </c>
      <c r="E1259">
        <v>6.62</v>
      </c>
    </row>
    <row r="1260" spans="1:5" x14ac:dyDescent="0.2">
      <c r="A1260" s="14">
        <v>45911.684467592597</v>
      </c>
      <c r="B1260" t="s">
        <v>1271</v>
      </c>
      <c r="C1260" t="s">
        <v>13</v>
      </c>
      <c r="D1260" t="s">
        <v>1042</v>
      </c>
      <c r="E1260" t="s">
        <v>198</v>
      </c>
    </row>
    <row r="1261" spans="1:5" x14ac:dyDescent="0.2">
      <c r="A1261" s="14">
        <v>45911.684664351902</v>
      </c>
      <c r="B1261" t="s">
        <v>1271</v>
      </c>
      <c r="C1261" t="s">
        <v>13</v>
      </c>
      <c r="D1261" t="s">
        <v>1285</v>
      </c>
      <c r="E1261" t="s">
        <v>199</v>
      </c>
    </row>
    <row r="1262" spans="1:5" x14ac:dyDescent="0.2">
      <c r="A1262" s="14">
        <v>45911.684780092597</v>
      </c>
      <c r="B1262" t="s">
        <v>1271</v>
      </c>
      <c r="C1262" t="s">
        <v>13</v>
      </c>
      <c r="D1262" t="s">
        <v>1287</v>
      </c>
      <c r="E1262" t="s">
        <v>200</v>
      </c>
    </row>
    <row r="1263" spans="1:5" x14ac:dyDescent="0.2">
      <c r="A1263" s="14">
        <v>45911.6852083333</v>
      </c>
      <c r="B1263" t="s">
        <v>1271</v>
      </c>
      <c r="C1263" t="s">
        <v>13</v>
      </c>
      <c r="D1263" t="s">
        <v>1503</v>
      </c>
      <c r="E1263">
        <v>1.76</v>
      </c>
    </row>
    <row r="1264" spans="1:5" x14ac:dyDescent="0.2">
      <c r="A1264" s="14">
        <v>45911.685532407399</v>
      </c>
      <c r="B1264" t="s">
        <v>1271</v>
      </c>
      <c r="C1264" t="s">
        <v>13</v>
      </c>
      <c r="D1264" t="s">
        <v>1504</v>
      </c>
      <c r="E1264">
        <v>4.07</v>
      </c>
    </row>
    <row r="1265" spans="1:5" x14ac:dyDescent="0.2">
      <c r="A1265" s="14">
        <v>45911.685659722199</v>
      </c>
      <c r="B1265" t="s">
        <v>1271</v>
      </c>
      <c r="C1265" t="s">
        <v>13</v>
      </c>
      <c r="D1265" t="s">
        <v>1051</v>
      </c>
      <c r="E1265">
        <v>8.5500000000000007</v>
      </c>
    </row>
    <row r="1266" spans="1:5" x14ac:dyDescent="0.2">
      <c r="A1266" s="14">
        <v>45911.685810185198</v>
      </c>
      <c r="B1266" t="s">
        <v>1271</v>
      </c>
      <c r="C1266" t="s">
        <v>13</v>
      </c>
      <c r="D1266" t="s">
        <v>1004</v>
      </c>
      <c r="E1266">
        <v>8.43</v>
      </c>
    </row>
    <row r="1267" spans="1:5" x14ac:dyDescent="0.2">
      <c r="A1267" s="14">
        <v>45911.686099537001</v>
      </c>
      <c r="B1267" t="s">
        <v>1271</v>
      </c>
      <c r="C1267" t="s">
        <v>13</v>
      </c>
      <c r="D1267" t="s">
        <v>1282</v>
      </c>
      <c r="E1267" t="s">
        <v>196</v>
      </c>
    </row>
    <row r="1268" spans="1:5" x14ac:dyDescent="0.2">
      <c r="A1268" s="14">
        <v>45911.686388888898</v>
      </c>
      <c r="B1268" t="s">
        <v>1271</v>
      </c>
      <c r="C1268" t="s">
        <v>13</v>
      </c>
      <c r="D1268" t="s">
        <v>1505</v>
      </c>
      <c r="E1268">
        <v>7.44</v>
      </c>
    </row>
    <row r="1269" spans="1:5" x14ac:dyDescent="0.2">
      <c r="A1269" s="14">
        <v>45911.686620370398</v>
      </c>
      <c r="B1269" t="s">
        <v>1271</v>
      </c>
      <c r="C1269" t="s">
        <v>13</v>
      </c>
      <c r="D1269" t="s">
        <v>1506</v>
      </c>
      <c r="E1269">
        <v>6.35</v>
      </c>
    </row>
    <row r="1270" spans="1:5" x14ac:dyDescent="0.2">
      <c r="A1270" s="14">
        <v>45911.6867824074</v>
      </c>
      <c r="B1270" t="s">
        <v>1271</v>
      </c>
      <c r="C1270" t="s">
        <v>13</v>
      </c>
      <c r="D1270" t="s">
        <v>1507</v>
      </c>
      <c r="E1270">
        <v>1.27</v>
      </c>
    </row>
    <row r="1271" spans="1:5" x14ac:dyDescent="0.2">
      <c r="A1271" s="14">
        <v>45911.687847222202</v>
      </c>
      <c r="B1271" t="s">
        <v>1271</v>
      </c>
      <c r="C1271" t="s">
        <v>13</v>
      </c>
      <c r="D1271" t="s">
        <v>986</v>
      </c>
      <c r="E1271" t="s">
        <v>191</v>
      </c>
    </row>
    <row r="1272" spans="1:5" x14ac:dyDescent="0.2">
      <c r="A1272" s="14">
        <v>45911.688032407401</v>
      </c>
      <c r="B1272" t="s">
        <v>1271</v>
      </c>
      <c r="C1272" t="s">
        <v>13</v>
      </c>
      <c r="D1272" t="s">
        <v>1508</v>
      </c>
      <c r="E1272">
        <v>6.35</v>
      </c>
    </row>
    <row r="1273" spans="1:5" x14ac:dyDescent="0.2">
      <c r="A1273" s="14">
        <v>45911.6881712963</v>
      </c>
      <c r="B1273" t="s">
        <v>1271</v>
      </c>
      <c r="C1273" t="s">
        <v>13</v>
      </c>
      <c r="D1273" t="s">
        <v>1509</v>
      </c>
      <c r="E1273">
        <v>4.83</v>
      </c>
    </row>
    <row r="1274" spans="1:5" x14ac:dyDescent="0.2">
      <c r="A1274" s="14">
        <v>45911.688495370399</v>
      </c>
      <c r="B1274" t="s">
        <v>1271</v>
      </c>
      <c r="C1274" t="s">
        <v>13</v>
      </c>
      <c r="D1274" t="s">
        <v>1005</v>
      </c>
      <c r="E1274">
        <v>0.14000000000000001</v>
      </c>
    </row>
    <row r="1275" spans="1:5" x14ac:dyDescent="0.2">
      <c r="A1275" s="14">
        <v>45911.688541666699</v>
      </c>
      <c r="B1275" t="s">
        <v>1271</v>
      </c>
      <c r="C1275" t="s">
        <v>13</v>
      </c>
      <c r="D1275" t="s">
        <v>1005</v>
      </c>
      <c r="E1275">
        <v>9.14</v>
      </c>
    </row>
    <row r="1276" spans="1:5" x14ac:dyDescent="0.2">
      <c r="A1276" s="14">
        <v>45911.688657407401</v>
      </c>
      <c r="B1276" t="s">
        <v>1271</v>
      </c>
      <c r="C1276" t="s">
        <v>13</v>
      </c>
      <c r="D1276" t="s">
        <v>1510</v>
      </c>
      <c r="E1276">
        <v>10.43</v>
      </c>
    </row>
    <row r="1277" spans="1:5" x14ac:dyDescent="0.2">
      <c r="A1277" s="14">
        <v>45911.688842592601</v>
      </c>
      <c r="B1277" t="s">
        <v>1271</v>
      </c>
      <c r="C1277" t="s">
        <v>13</v>
      </c>
      <c r="D1277" t="s">
        <v>1511</v>
      </c>
      <c r="E1277">
        <v>2.5099999999999998</v>
      </c>
    </row>
    <row r="1278" spans="1:5" x14ac:dyDescent="0.2">
      <c r="A1278" s="14">
        <v>45911.6889814815</v>
      </c>
      <c r="B1278" t="s">
        <v>1271</v>
      </c>
      <c r="C1278" t="s">
        <v>13</v>
      </c>
      <c r="D1278" t="s">
        <v>1512</v>
      </c>
      <c r="E1278">
        <v>1.33</v>
      </c>
    </row>
    <row r="1279" spans="1:5" x14ac:dyDescent="0.2">
      <c r="A1279" s="14">
        <v>45911.689236111102</v>
      </c>
      <c r="B1279" t="s">
        <v>1271</v>
      </c>
      <c r="C1279" t="s">
        <v>13</v>
      </c>
      <c r="D1279" t="s">
        <v>1288</v>
      </c>
      <c r="E1279" t="s">
        <v>1513</v>
      </c>
    </row>
    <row r="1280" spans="1:5" x14ac:dyDescent="0.2">
      <c r="A1280" s="14">
        <v>45911.689305555599</v>
      </c>
      <c r="B1280" t="s">
        <v>1271</v>
      </c>
      <c r="C1280" t="s">
        <v>13</v>
      </c>
      <c r="D1280" t="s">
        <v>1514</v>
      </c>
      <c r="E1280">
        <v>4.88</v>
      </c>
    </row>
    <row r="1281" spans="1:5" x14ac:dyDescent="0.2">
      <c r="A1281" s="14">
        <v>45911.689444444397</v>
      </c>
      <c r="B1281" t="s">
        <v>1271</v>
      </c>
      <c r="C1281" t="s">
        <v>13</v>
      </c>
      <c r="D1281" t="s">
        <v>1515</v>
      </c>
      <c r="E1281">
        <v>11.49</v>
      </c>
    </row>
    <row r="1282" spans="1:5" x14ac:dyDescent="0.2">
      <c r="A1282" s="14">
        <v>45911.689641203702</v>
      </c>
      <c r="B1282" t="s">
        <v>1271</v>
      </c>
      <c r="C1282" t="s">
        <v>13</v>
      </c>
      <c r="D1282" t="s">
        <v>1516</v>
      </c>
      <c r="E1282">
        <v>9.0500000000000007</v>
      </c>
    </row>
    <row r="1283" spans="1:5" x14ac:dyDescent="0.2">
      <c r="A1283" s="14">
        <v>45911.689768518503</v>
      </c>
      <c r="B1283" t="s">
        <v>1271</v>
      </c>
      <c r="C1283" t="s">
        <v>13</v>
      </c>
      <c r="D1283" t="s">
        <v>1006</v>
      </c>
      <c r="E1283">
        <v>11.08</v>
      </c>
    </row>
    <row r="1284" spans="1:5" x14ac:dyDescent="0.2">
      <c r="A1284" s="14">
        <v>45911.6898842593</v>
      </c>
      <c r="B1284" t="s">
        <v>1271</v>
      </c>
      <c r="C1284" t="s">
        <v>13</v>
      </c>
      <c r="D1284" t="s">
        <v>1517</v>
      </c>
      <c r="E1284">
        <v>3.96</v>
      </c>
    </row>
    <row r="1285" spans="1:5" x14ac:dyDescent="0.2">
      <c r="A1285" s="14">
        <v>45911.691759259302</v>
      </c>
      <c r="B1285" t="s">
        <v>1271</v>
      </c>
      <c r="C1285" t="s">
        <v>13</v>
      </c>
      <c r="D1285" t="s">
        <v>1518</v>
      </c>
      <c r="E1285">
        <v>1.17</v>
      </c>
    </row>
    <row r="1286" spans="1:5" x14ac:dyDescent="0.2">
      <c r="A1286" s="14">
        <v>45911.692175925898</v>
      </c>
      <c r="B1286" t="s">
        <v>1271</v>
      </c>
      <c r="C1286" t="s">
        <v>13</v>
      </c>
      <c r="D1286" t="s">
        <v>995</v>
      </c>
      <c r="E1286">
        <v>3.5</v>
      </c>
    </row>
    <row r="1287" spans="1:5" x14ac:dyDescent="0.2">
      <c r="A1287" s="14">
        <v>45911.692326388897</v>
      </c>
      <c r="B1287" t="s">
        <v>1271</v>
      </c>
      <c r="C1287" t="s">
        <v>13</v>
      </c>
      <c r="D1287" t="s">
        <v>1519</v>
      </c>
      <c r="E1287">
        <v>7.65</v>
      </c>
    </row>
    <row r="1288" spans="1:5" x14ac:dyDescent="0.2">
      <c r="A1288" s="14">
        <v>45911.692488425899</v>
      </c>
      <c r="B1288" t="s">
        <v>1271</v>
      </c>
      <c r="C1288" t="s">
        <v>13</v>
      </c>
      <c r="D1288" t="s">
        <v>1008</v>
      </c>
      <c r="E1288">
        <v>5.59</v>
      </c>
    </row>
    <row r="1289" spans="1:5" x14ac:dyDescent="0.2">
      <c r="A1289" s="14">
        <v>45911.692627314798</v>
      </c>
      <c r="B1289" t="s">
        <v>1271</v>
      </c>
      <c r="C1289" t="s">
        <v>13</v>
      </c>
      <c r="D1289" t="s">
        <v>1520</v>
      </c>
      <c r="E1289">
        <v>18.68</v>
      </c>
    </row>
    <row r="1290" spans="1:5" x14ac:dyDescent="0.2">
      <c r="A1290" s="14">
        <v>45911.693159722199</v>
      </c>
      <c r="B1290" t="s">
        <v>1271</v>
      </c>
      <c r="C1290" t="s">
        <v>13</v>
      </c>
      <c r="D1290" t="s">
        <v>1521</v>
      </c>
      <c r="E1290">
        <v>2.02</v>
      </c>
    </row>
    <row r="1291" spans="1:5" x14ac:dyDescent="0.2">
      <c r="A1291" s="14">
        <v>45911.6933333333</v>
      </c>
      <c r="B1291" t="s">
        <v>1271</v>
      </c>
      <c r="C1291" t="s">
        <v>13</v>
      </c>
      <c r="D1291" t="s">
        <v>1522</v>
      </c>
      <c r="E1291">
        <v>1.39</v>
      </c>
    </row>
    <row r="1292" spans="1:5" x14ac:dyDescent="0.2">
      <c r="A1292" s="14">
        <v>45911.6936458333</v>
      </c>
      <c r="B1292" t="s">
        <v>1271</v>
      </c>
      <c r="C1292" t="s">
        <v>13</v>
      </c>
      <c r="D1292" t="s">
        <v>1523</v>
      </c>
      <c r="E1292">
        <v>3.9</v>
      </c>
    </row>
    <row r="1293" spans="1:5" x14ac:dyDescent="0.2">
      <c r="A1293" s="14">
        <v>45911.693749999999</v>
      </c>
      <c r="B1293" t="s">
        <v>1271</v>
      </c>
      <c r="C1293" t="s">
        <v>13</v>
      </c>
      <c r="D1293" t="s">
        <v>1524</v>
      </c>
      <c r="E1293">
        <v>10.15</v>
      </c>
    </row>
    <row r="1294" spans="1:5" x14ac:dyDescent="0.2">
      <c r="A1294" s="14">
        <v>45911.693819444401</v>
      </c>
      <c r="B1294" t="s">
        <v>1271</v>
      </c>
      <c r="C1294" t="s">
        <v>13</v>
      </c>
      <c r="D1294" t="s">
        <v>1525</v>
      </c>
      <c r="E1294">
        <v>8.08</v>
      </c>
    </row>
    <row r="1295" spans="1:5" x14ac:dyDescent="0.2">
      <c r="A1295" s="14">
        <v>45911.693877314799</v>
      </c>
      <c r="B1295" t="s">
        <v>1271</v>
      </c>
      <c r="C1295" t="s">
        <v>13</v>
      </c>
      <c r="D1295" t="s">
        <v>1526</v>
      </c>
      <c r="E1295">
        <v>3.84</v>
      </c>
    </row>
    <row r="1296" spans="1:5" x14ac:dyDescent="0.2">
      <c r="A1296" s="14">
        <v>45911.694178240701</v>
      </c>
      <c r="B1296" t="s">
        <v>1271</v>
      </c>
      <c r="C1296" t="s">
        <v>13</v>
      </c>
      <c r="D1296" t="s">
        <v>1527</v>
      </c>
      <c r="E1296">
        <v>1.84</v>
      </c>
    </row>
    <row r="1297" spans="1:5" x14ac:dyDescent="0.2">
      <c r="A1297" s="14">
        <v>45911.694305555597</v>
      </c>
      <c r="B1297" t="s">
        <v>1271</v>
      </c>
      <c r="C1297" t="s">
        <v>13</v>
      </c>
      <c r="D1297" t="s">
        <v>1528</v>
      </c>
      <c r="E1297">
        <v>1.39</v>
      </c>
    </row>
    <row r="1298" spans="1:5" x14ac:dyDescent="0.2">
      <c r="A1298" s="14">
        <v>45911.6948611111</v>
      </c>
      <c r="B1298" t="s">
        <v>1271</v>
      </c>
      <c r="C1298" t="s">
        <v>13</v>
      </c>
      <c r="D1298" t="s">
        <v>1529</v>
      </c>
      <c r="E1298">
        <v>18.89</v>
      </c>
    </row>
    <row r="1299" spans="1:5" x14ac:dyDescent="0.2">
      <c r="A1299" s="14">
        <v>45911.694942129601</v>
      </c>
      <c r="B1299" t="s">
        <v>1271</v>
      </c>
      <c r="C1299" t="s">
        <v>13</v>
      </c>
      <c r="D1299" t="s">
        <v>1530</v>
      </c>
      <c r="E1299">
        <v>4.7225000000000001</v>
      </c>
    </row>
    <row r="1300" spans="1:5" x14ac:dyDescent="0.2">
      <c r="A1300" s="14">
        <v>45911.694976851897</v>
      </c>
      <c r="B1300" t="s">
        <v>1271</v>
      </c>
      <c r="C1300" t="s">
        <v>13</v>
      </c>
      <c r="D1300" t="s">
        <v>1531</v>
      </c>
      <c r="E1300">
        <v>46.91</v>
      </c>
    </row>
    <row r="1301" spans="1:5" x14ac:dyDescent="0.2">
      <c r="A1301" s="14">
        <v>45911.870729166701</v>
      </c>
      <c r="B1301" t="s">
        <v>1271</v>
      </c>
      <c r="C1301" t="s">
        <v>13</v>
      </c>
      <c r="D1301" t="s">
        <v>1532</v>
      </c>
      <c r="E1301">
        <v>11.727499999999999</v>
      </c>
    </row>
    <row r="1302" spans="1:5" x14ac:dyDescent="0.2">
      <c r="A1302" s="14">
        <v>45911.870810185203</v>
      </c>
      <c r="B1302" t="s">
        <v>1271</v>
      </c>
      <c r="C1302" t="s">
        <v>13</v>
      </c>
      <c r="D1302" t="s">
        <v>1533</v>
      </c>
      <c r="E1302">
        <v>6.7014285714285702</v>
      </c>
    </row>
    <row r="1303" spans="1:5" x14ac:dyDescent="0.2">
      <c r="A1303" s="14">
        <v>45911.870879629598</v>
      </c>
      <c r="B1303" t="s">
        <v>1271</v>
      </c>
      <c r="C1303" t="s">
        <v>13</v>
      </c>
      <c r="D1303" t="s">
        <v>1534</v>
      </c>
      <c r="E1303">
        <v>6.7428571428571402</v>
      </c>
    </row>
    <row r="1304" spans="1:5" x14ac:dyDescent="0.2">
      <c r="A1304" s="14">
        <v>45911.870972222197</v>
      </c>
      <c r="B1304" t="s">
        <v>1271</v>
      </c>
      <c r="C1304" t="s">
        <v>13</v>
      </c>
      <c r="D1304" t="s">
        <v>1535</v>
      </c>
      <c r="E1304">
        <v>7.2814285714285703</v>
      </c>
    </row>
    <row r="1305" spans="1:5" x14ac:dyDescent="0.2">
      <c r="A1305" s="14">
        <v>45911.871099536998</v>
      </c>
      <c r="B1305" t="s">
        <v>1271</v>
      </c>
      <c r="C1305" t="s">
        <v>13</v>
      </c>
      <c r="D1305" t="s">
        <v>1536</v>
      </c>
      <c r="E1305">
        <v>1.7849999999999999</v>
      </c>
    </row>
    <row r="1306" spans="1:5" x14ac:dyDescent="0.2">
      <c r="A1306" s="14">
        <v>45911.871192129598</v>
      </c>
      <c r="B1306" t="s">
        <v>1271</v>
      </c>
      <c r="C1306" t="s">
        <v>13</v>
      </c>
      <c r="D1306" t="s">
        <v>1537</v>
      </c>
      <c r="E1306">
        <v>2.3149999999999999</v>
      </c>
    </row>
    <row r="1307" spans="1:5" x14ac:dyDescent="0.2">
      <c r="A1307" s="14">
        <v>45911.871331018498</v>
      </c>
      <c r="B1307" t="s">
        <v>1271</v>
      </c>
      <c r="C1307" t="s">
        <v>13</v>
      </c>
      <c r="D1307" t="s">
        <v>1538</v>
      </c>
      <c r="E1307">
        <v>1.02</v>
      </c>
    </row>
    <row r="1308" spans="1:5" x14ac:dyDescent="0.2">
      <c r="A1308" s="14">
        <v>45911.871412036999</v>
      </c>
      <c r="B1308" t="s">
        <v>1271</v>
      </c>
      <c r="C1308" t="s">
        <v>13</v>
      </c>
      <c r="D1308" t="s">
        <v>1539</v>
      </c>
      <c r="E1308">
        <v>0</v>
      </c>
    </row>
    <row r="1309" spans="1:5" x14ac:dyDescent="0.2">
      <c r="A1309" s="14">
        <v>45911.871504629598</v>
      </c>
      <c r="B1309" t="s">
        <v>1271</v>
      </c>
      <c r="C1309" t="s">
        <v>13</v>
      </c>
      <c r="D1309" t="s">
        <v>1540</v>
      </c>
      <c r="E1309">
        <v>20.85</v>
      </c>
    </row>
    <row r="1310" spans="1:5" x14ac:dyDescent="0.2">
      <c r="A1310" s="14">
        <v>45911.871585648201</v>
      </c>
      <c r="B1310" t="s">
        <v>1271</v>
      </c>
      <c r="C1310" t="s">
        <v>13</v>
      </c>
      <c r="D1310" t="s">
        <v>1539</v>
      </c>
      <c r="E1310">
        <v>5.2125000000000004</v>
      </c>
    </row>
    <row r="1311" spans="1:5" x14ac:dyDescent="0.2">
      <c r="A1311" s="14">
        <v>45911.874247685198</v>
      </c>
      <c r="B1311" t="s">
        <v>1271</v>
      </c>
      <c r="C1311" t="s">
        <v>13</v>
      </c>
      <c r="D1311" t="s">
        <v>1290</v>
      </c>
    </row>
    <row r="1312" spans="1:5" x14ac:dyDescent="0.2">
      <c r="A1312" s="14">
        <v>45911.874247685198</v>
      </c>
      <c r="B1312" t="s">
        <v>1271</v>
      </c>
      <c r="C1312" t="s">
        <v>13</v>
      </c>
      <c r="D1312" t="s">
        <v>1541</v>
      </c>
      <c r="E1312" t="s">
        <v>188</v>
      </c>
    </row>
    <row r="1313" spans="1:5" x14ac:dyDescent="0.2">
      <c r="A1313" s="14">
        <v>45912.258009259298</v>
      </c>
      <c r="B1313" t="s">
        <v>1271</v>
      </c>
      <c r="C1313" t="s">
        <v>13</v>
      </c>
      <c r="D1313" t="s">
        <v>984</v>
      </c>
      <c r="E1313">
        <v>0</v>
      </c>
    </row>
    <row r="1314" spans="1:5" x14ac:dyDescent="0.2">
      <c r="A1314" s="14">
        <v>45912.258206018501</v>
      </c>
      <c r="B1314" t="s">
        <v>1271</v>
      </c>
      <c r="C1314" t="s">
        <v>13</v>
      </c>
      <c r="D1314" t="s">
        <v>1542</v>
      </c>
      <c r="E1314">
        <v>0</v>
      </c>
    </row>
    <row r="1315" spans="1:5" x14ac:dyDescent="0.2">
      <c r="A1315" s="14">
        <v>45912.258240740703</v>
      </c>
      <c r="B1315" t="s">
        <v>1271</v>
      </c>
      <c r="C1315" t="s">
        <v>13</v>
      </c>
      <c r="D1315" t="s">
        <v>1542</v>
      </c>
    </row>
    <row r="1316" spans="1:5" x14ac:dyDescent="0.2">
      <c r="A1316" s="14">
        <v>45912.258379629602</v>
      </c>
      <c r="B1316" t="s">
        <v>1271</v>
      </c>
      <c r="C1316" t="s">
        <v>13</v>
      </c>
      <c r="D1316" t="s">
        <v>1542</v>
      </c>
      <c r="E1316">
        <v>0</v>
      </c>
    </row>
    <row r="1317" spans="1:5" x14ac:dyDescent="0.2">
      <c r="A1317" s="14">
        <v>45912.258402777799</v>
      </c>
      <c r="B1317" t="s">
        <v>1271</v>
      </c>
      <c r="C1317" t="s">
        <v>13</v>
      </c>
      <c r="D1317" t="s">
        <v>1542</v>
      </c>
    </row>
    <row r="1318" spans="1:5" x14ac:dyDescent="0.2">
      <c r="A1318" s="14">
        <v>45912.258472222202</v>
      </c>
      <c r="B1318" t="s">
        <v>1271</v>
      </c>
      <c r="C1318" t="s">
        <v>13</v>
      </c>
      <c r="D1318" t="s">
        <v>1542</v>
      </c>
      <c r="E1318">
        <v>4.7225000000000001</v>
      </c>
    </row>
    <row r="1319" spans="1:5" x14ac:dyDescent="0.2">
      <c r="A1319" s="14">
        <v>45912.258587962999</v>
      </c>
      <c r="B1319" t="s">
        <v>1271</v>
      </c>
      <c r="C1319" t="s">
        <v>13</v>
      </c>
      <c r="D1319" t="s">
        <v>1543</v>
      </c>
      <c r="E1319">
        <v>4.7225000000000001</v>
      </c>
    </row>
    <row r="1320" spans="1:5" x14ac:dyDescent="0.2">
      <c r="A1320" s="14">
        <v>45912.259467592601</v>
      </c>
      <c r="B1320" t="s">
        <v>1271</v>
      </c>
      <c r="C1320" t="s">
        <v>13</v>
      </c>
      <c r="D1320" t="s">
        <v>1544</v>
      </c>
      <c r="E1320">
        <v>4.7225000000000001</v>
      </c>
    </row>
    <row r="1321" spans="1:5" x14ac:dyDescent="0.2">
      <c r="A1321" s="14">
        <v>45912.259560185201</v>
      </c>
      <c r="B1321" t="s">
        <v>1271</v>
      </c>
      <c r="C1321" t="s">
        <v>13</v>
      </c>
      <c r="D1321" t="s">
        <v>1545</v>
      </c>
      <c r="E1321">
        <v>4.7225000000000001</v>
      </c>
    </row>
    <row r="1322" spans="1:5" x14ac:dyDescent="0.2">
      <c r="A1322" s="14">
        <v>45912.259629629603</v>
      </c>
      <c r="B1322" t="s">
        <v>1271</v>
      </c>
      <c r="C1322" t="s">
        <v>13</v>
      </c>
      <c r="D1322" t="s">
        <v>1546</v>
      </c>
      <c r="E1322">
        <v>4.7225000000000001</v>
      </c>
    </row>
    <row r="1323" spans="1:5" x14ac:dyDescent="0.2">
      <c r="A1323" s="14">
        <v>45912.259710648097</v>
      </c>
      <c r="B1323" t="s">
        <v>1271</v>
      </c>
      <c r="C1323" t="s">
        <v>13</v>
      </c>
      <c r="D1323" t="s">
        <v>1547</v>
      </c>
      <c r="E1323">
        <v>4.7225000000000001</v>
      </c>
    </row>
    <row r="1324" spans="1:5" x14ac:dyDescent="0.2">
      <c r="A1324" s="14">
        <v>45912.259756944397</v>
      </c>
      <c r="B1324" t="s">
        <v>1271</v>
      </c>
      <c r="C1324" t="s">
        <v>13</v>
      </c>
      <c r="D1324" t="s">
        <v>1548</v>
      </c>
      <c r="E1324">
        <v>4.7225000000000001</v>
      </c>
    </row>
    <row r="1325" spans="1:5" x14ac:dyDescent="0.2">
      <c r="A1325" s="14">
        <v>45912.259837963</v>
      </c>
      <c r="B1325" t="s">
        <v>1271</v>
      </c>
      <c r="C1325" t="s">
        <v>13</v>
      </c>
      <c r="D1325" t="s">
        <v>1549</v>
      </c>
      <c r="E1325">
        <v>4.7225000000000001</v>
      </c>
    </row>
    <row r="1326" spans="1:5" x14ac:dyDescent="0.2">
      <c r="A1326" s="14">
        <v>45912.259895833296</v>
      </c>
      <c r="B1326" t="s">
        <v>1271</v>
      </c>
      <c r="C1326" t="s">
        <v>13</v>
      </c>
      <c r="D1326" t="s">
        <v>1550</v>
      </c>
      <c r="E1326">
        <v>4.7225000000000001</v>
      </c>
    </row>
    <row r="1327" spans="1:5" x14ac:dyDescent="0.2">
      <c r="A1327" s="14">
        <v>45912.259976851798</v>
      </c>
      <c r="B1327" t="s">
        <v>1271</v>
      </c>
      <c r="C1327" t="s">
        <v>13</v>
      </c>
      <c r="D1327" t="s">
        <v>1551</v>
      </c>
      <c r="E1327">
        <v>4.7225000000000001</v>
      </c>
    </row>
    <row r="1328" spans="1:5" x14ac:dyDescent="0.2">
      <c r="A1328" s="14">
        <v>45912.260046296302</v>
      </c>
      <c r="B1328" t="s">
        <v>1271</v>
      </c>
      <c r="C1328" t="s">
        <v>13</v>
      </c>
      <c r="D1328" t="s">
        <v>1552</v>
      </c>
      <c r="E1328">
        <v>4.7225000000000001</v>
      </c>
    </row>
    <row r="1329" spans="1:5" x14ac:dyDescent="0.2">
      <c r="A1329" s="14">
        <v>45912.263449074097</v>
      </c>
      <c r="B1329" t="s">
        <v>1271</v>
      </c>
      <c r="C1329" t="s">
        <v>2</v>
      </c>
      <c r="D1329" t="s">
        <v>898</v>
      </c>
      <c r="E1329" t="s">
        <v>1162</v>
      </c>
    </row>
    <row r="1330" spans="1:5" x14ac:dyDescent="0.2">
      <c r="A1330" s="14">
        <v>45912.2635532407</v>
      </c>
      <c r="B1330" t="s">
        <v>1271</v>
      </c>
      <c r="C1330" t="s">
        <v>2</v>
      </c>
      <c r="D1330" t="s">
        <v>899</v>
      </c>
    </row>
    <row r="1331" spans="1:5" x14ac:dyDescent="0.2">
      <c r="A1331" s="14">
        <v>45912.263599537</v>
      </c>
      <c r="B1331" t="s">
        <v>1271</v>
      </c>
      <c r="C1331" t="s">
        <v>2</v>
      </c>
      <c r="D1331" t="s">
        <v>898</v>
      </c>
      <c r="E1331">
        <v>1500</v>
      </c>
    </row>
    <row r="1332" spans="1:5" x14ac:dyDescent="0.2">
      <c r="A1332" s="14">
        <v>45912.2679166667</v>
      </c>
      <c r="B1332" t="s">
        <v>1271</v>
      </c>
      <c r="C1332" t="s">
        <v>13</v>
      </c>
      <c r="D1332" t="s">
        <v>1275</v>
      </c>
    </row>
    <row r="1333" spans="1:5" x14ac:dyDescent="0.2">
      <c r="A1333" s="14">
        <v>45912.268067129597</v>
      </c>
      <c r="B1333" t="s">
        <v>1271</v>
      </c>
      <c r="C1333" t="s">
        <v>13</v>
      </c>
      <c r="D1333" t="s">
        <v>1275</v>
      </c>
      <c r="E1333" t="s">
        <v>192</v>
      </c>
    </row>
    <row r="1334" spans="1:5" x14ac:dyDescent="0.2">
      <c r="A1334" s="14">
        <v>45912.268796296303</v>
      </c>
      <c r="B1334" t="s">
        <v>1271</v>
      </c>
      <c r="C1334" t="s">
        <v>13</v>
      </c>
      <c r="D1334" t="s">
        <v>1553</v>
      </c>
    </row>
    <row r="1335" spans="1:5" x14ac:dyDescent="0.2">
      <c r="A1335" s="14">
        <v>45912.268935185202</v>
      </c>
      <c r="B1335" t="s">
        <v>1271</v>
      </c>
      <c r="C1335" t="s">
        <v>13</v>
      </c>
      <c r="D1335" t="s">
        <v>1554</v>
      </c>
      <c r="E1335" t="s">
        <v>189</v>
      </c>
    </row>
    <row r="1336" spans="1:5" x14ac:dyDescent="0.2">
      <c r="A1336" s="14">
        <v>45912.268993055601</v>
      </c>
      <c r="B1336" t="s">
        <v>1271</v>
      </c>
      <c r="C1336" t="s">
        <v>13</v>
      </c>
      <c r="D1336" t="s">
        <v>704</v>
      </c>
    </row>
    <row r="1337" spans="1:5" x14ac:dyDescent="0.2">
      <c r="A1337" s="14">
        <v>45912.269120370402</v>
      </c>
      <c r="B1337" t="s">
        <v>1271</v>
      </c>
      <c r="C1337" t="s">
        <v>13</v>
      </c>
      <c r="D1337" t="s">
        <v>1555</v>
      </c>
      <c r="E1337" t="s">
        <v>189</v>
      </c>
    </row>
    <row r="1338" spans="1:5" x14ac:dyDescent="0.2">
      <c r="A1338" s="14">
        <v>45912.269155092603</v>
      </c>
      <c r="B1338" t="s">
        <v>1271</v>
      </c>
      <c r="C1338" t="s">
        <v>13</v>
      </c>
      <c r="D1338" t="s">
        <v>1556</v>
      </c>
    </row>
    <row r="1339" spans="1:5" x14ac:dyDescent="0.2">
      <c r="A1339" s="14">
        <v>45912.269236111097</v>
      </c>
      <c r="B1339" t="s">
        <v>1271</v>
      </c>
      <c r="C1339" t="s">
        <v>13</v>
      </c>
      <c r="D1339" t="s">
        <v>1557</v>
      </c>
      <c r="E1339" t="s">
        <v>189</v>
      </c>
    </row>
    <row r="1340" spans="1:5" x14ac:dyDescent="0.2">
      <c r="A1340" s="14">
        <v>45912.269270833298</v>
      </c>
      <c r="B1340" t="s">
        <v>1271</v>
      </c>
      <c r="C1340" t="s">
        <v>13</v>
      </c>
      <c r="D1340" t="s">
        <v>1558</v>
      </c>
    </row>
    <row r="1341" spans="1:5" x14ac:dyDescent="0.2">
      <c r="A1341" s="14">
        <v>45912.269340277802</v>
      </c>
      <c r="B1341" t="s">
        <v>1271</v>
      </c>
      <c r="C1341" t="s">
        <v>13</v>
      </c>
      <c r="D1341" t="s">
        <v>1559</v>
      </c>
      <c r="E1341" t="s">
        <v>189</v>
      </c>
    </row>
    <row r="1342" spans="1:5" x14ac:dyDescent="0.2">
      <c r="A1342" s="14">
        <v>45912.269375000003</v>
      </c>
      <c r="B1342" t="s">
        <v>1271</v>
      </c>
      <c r="C1342" t="s">
        <v>13</v>
      </c>
      <c r="D1342" t="s">
        <v>1560</v>
      </c>
    </row>
    <row r="1343" spans="1:5" x14ac:dyDescent="0.2">
      <c r="A1343" s="14">
        <v>45912.269456018497</v>
      </c>
      <c r="B1343" t="s">
        <v>1271</v>
      </c>
      <c r="C1343" t="s">
        <v>13</v>
      </c>
      <c r="D1343" t="s">
        <v>1561</v>
      </c>
      <c r="E1343" t="s">
        <v>189</v>
      </c>
    </row>
    <row r="1344" spans="1:5" x14ac:dyDescent="0.2">
      <c r="A1344" s="14">
        <v>45912.269490740699</v>
      </c>
      <c r="B1344" t="s">
        <v>1271</v>
      </c>
      <c r="C1344" t="s">
        <v>13</v>
      </c>
      <c r="D1344" t="s">
        <v>1562</v>
      </c>
    </row>
    <row r="1345" spans="1:5" x14ac:dyDescent="0.2">
      <c r="A1345" s="14">
        <v>45912.269583333298</v>
      </c>
      <c r="B1345" t="s">
        <v>1271</v>
      </c>
      <c r="C1345" t="s">
        <v>13</v>
      </c>
      <c r="D1345" t="s">
        <v>1563</v>
      </c>
      <c r="E1345" t="s">
        <v>189</v>
      </c>
    </row>
    <row r="1346" spans="1:5" x14ac:dyDescent="0.2">
      <c r="A1346" s="14">
        <v>45912.269629629598</v>
      </c>
      <c r="B1346" t="s">
        <v>1271</v>
      </c>
      <c r="C1346" t="s">
        <v>13</v>
      </c>
      <c r="D1346" t="s">
        <v>1564</v>
      </c>
    </row>
    <row r="1347" spans="1:5" x14ac:dyDescent="0.2">
      <c r="A1347" s="14">
        <v>45912.269710648201</v>
      </c>
      <c r="B1347" t="s">
        <v>1271</v>
      </c>
      <c r="C1347" t="s">
        <v>13</v>
      </c>
      <c r="D1347" t="s">
        <v>1565</v>
      </c>
      <c r="E1347" t="s">
        <v>189</v>
      </c>
    </row>
    <row r="1348" spans="1:5" x14ac:dyDescent="0.2">
      <c r="A1348" s="14">
        <v>45912.269756944399</v>
      </c>
      <c r="B1348" t="s">
        <v>1271</v>
      </c>
      <c r="C1348" t="s">
        <v>13</v>
      </c>
      <c r="D1348" t="s">
        <v>1566</v>
      </c>
    </row>
    <row r="1349" spans="1:5" x14ac:dyDescent="0.2">
      <c r="A1349" s="14">
        <v>45912.269930555602</v>
      </c>
      <c r="B1349" t="s">
        <v>1271</v>
      </c>
      <c r="C1349" t="s">
        <v>13</v>
      </c>
      <c r="D1349" t="s">
        <v>1567</v>
      </c>
      <c r="E1349" t="s">
        <v>255</v>
      </c>
    </row>
    <row r="1350" spans="1:5" x14ac:dyDescent="0.2">
      <c r="A1350" s="14">
        <v>45912.269988425898</v>
      </c>
      <c r="B1350" t="s">
        <v>1271</v>
      </c>
      <c r="C1350" t="s">
        <v>13</v>
      </c>
      <c r="D1350" t="s">
        <v>1567</v>
      </c>
    </row>
    <row r="1351" spans="1:5" x14ac:dyDescent="0.2">
      <c r="A1351" s="14">
        <v>45912.270057870403</v>
      </c>
      <c r="B1351" t="s">
        <v>1271</v>
      </c>
      <c r="C1351" t="s">
        <v>13</v>
      </c>
      <c r="D1351" t="s">
        <v>1568</v>
      </c>
    </row>
    <row r="1352" spans="1:5" x14ac:dyDescent="0.2">
      <c r="A1352" s="14">
        <v>45912.270231481503</v>
      </c>
      <c r="B1352" t="s">
        <v>1271</v>
      </c>
      <c r="C1352" t="s">
        <v>13</v>
      </c>
      <c r="D1352" t="s">
        <v>1565</v>
      </c>
    </row>
    <row r="1353" spans="1:5" x14ac:dyDescent="0.2">
      <c r="A1353" s="14">
        <v>45912.270347222198</v>
      </c>
      <c r="B1353" t="s">
        <v>1271</v>
      </c>
      <c r="C1353" t="s">
        <v>13</v>
      </c>
      <c r="D1353" t="s">
        <v>1569</v>
      </c>
    </row>
    <row r="1354" spans="1:5" x14ac:dyDescent="0.2">
      <c r="A1354" s="14">
        <v>45912.270497685196</v>
      </c>
      <c r="B1354" t="s">
        <v>1271</v>
      </c>
      <c r="C1354" t="s">
        <v>13</v>
      </c>
      <c r="D1354" t="s">
        <v>1570</v>
      </c>
    </row>
    <row r="1355" spans="1:5" x14ac:dyDescent="0.2">
      <c r="A1355" s="14">
        <v>45912.270833333299</v>
      </c>
      <c r="B1355" t="s">
        <v>1271</v>
      </c>
      <c r="C1355" t="s">
        <v>13</v>
      </c>
      <c r="D1355" t="s">
        <v>1288</v>
      </c>
    </row>
    <row r="1356" spans="1:5" x14ac:dyDescent="0.2">
      <c r="A1356" s="14">
        <v>45912.270902777796</v>
      </c>
      <c r="B1356" t="s">
        <v>1271</v>
      </c>
      <c r="C1356" t="s">
        <v>13</v>
      </c>
      <c r="D1356" t="s">
        <v>1571</v>
      </c>
    </row>
    <row r="1357" spans="1:5" x14ac:dyDescent="0.2">
      <c r="A1357" s="14">
        <v>45912.2710069444</v>
      </c>
      <c r="B1357" t="s">
        <v>1271</v>
      </c>
      <c r="C1357" t="s">
        <v>13</v>
      </c>
      <c r="D1357" t="s">
        <v>1572</v>
      </c>
      <c r="E1357" t="s">
        <v>191</v>
      </c>
    </row>
    <row r="1358" spans="1:5" x14ac:dyDescent="0.2">
      <c r="A1358" s="14">
        <v>45912.271041666703</v>
      </c>
      <c r="B1358" t="s">
        <v>1271</v>
      </c>
      <c r="C1358" t="s">
        <v>13</v>
      </c>
      <c r="D1358" t="s">
        <v>1573</v>
      </c>
      <c r="E1358" t="s">
        <v>191</v>
      </c>
    </row>
    <row r="1359" spans="1:5" x14ac:dyDescent="0.2">
      <c r="A1359" s="14">
        <v>45912.271076388897</v>
      </c>
      <c r="B1359" t="s">
        <v>1271</v>
      </c>
      <c r="C1359" t="s">
        <v>13</v>
      </c>
      <c r="D1359" t="s">
        <v>1574</v>
      </c>
      <c r="E1359" t="s">
        <v>191</v>
      </c>
    </row>
    <row r="1360" spans="1:5" x14ac:dyDescent="0.2">
      <c r="A1360" s="14">
        <v>45912.271099537</v>
      </c>
      <c r="B1360" t="s">
        <v>1271</v>
      </c>
      <c r="C1360" t="s">
        <v>13</v>
      </c>
      <c r="D1360" t="s">
        <v>1575</v>
      </c>
      <c r="E1360" t="s">
        <v>191</v>
      </c>
    </row>
    <row r="1361" spans="1:5" x14ac:dyDescent="0.2">
      <c r="A1361" s="14">
        <v>45912.271134259303</v>
      </c>
      <c r="B1361" t="s">
        <v>1271</v>
      </c>
      <c r="C1361" t="s">
        <v>13</v>
      </c>
      <c r="D1361" t="s">
        <v>1576</v>
      </c>
      <c r="E1361" t="s">
        <v>191</v>
      </c>
    </row>
    <row r="1362" spans="1:5" x14ac:dyDescent="0.2">
      <c r="A1362" s="14">
        <v>45912.2711458333</v>
      </c>
      <c r="B1362" t="s">
        <v>1271</v>
      </c>
      <c r="C1362" t="s">
        <v>13</v>
      </c>
      <c r="D1362" t="s">
        <v>1577</v>
      </c>
      <c r="E1362" t="s">
        <v>191</v>
      </c>
    </row>
    <row r="1363" spans="1:5" x14ac:dyDescent="0.2">
      <c r="A1363" s="14">
        <v>45912.271331018499</v>
      </c>
      <c r="B1363" t="s">
        <v>1271</v>
      </c>
      <c r="C1363" t="s">
        <v>13</v>
      </c>
      <c r="D1363" t="s">
        <v>1578</v>
      </c>
    </row>
    <row r="1364" spans="1:5" x14ac:dyDescent="0.2">
      <c r="A1364" s="14">
        <v>45912.271446759303</v>
      </c>
      <c r="B1364" t="s">
        <v>1271</v>
      </c>
      <c r="C1364" t="s">
        <v>13</v>
      </c>
      <c r="D1364" t="s">
        <v>1579</v>
      </c>
    </row>
    <row r="1365" spans="1:5" x14ac:dyDescent="0.2">
      <c r="A1365" s="14">
        <v>45912.274097222202</v>
      </c>
      <c r="B1365" t="s">
        <v>1271</v>
      </c>
      <c r="C1365" t="s">
        <v>13</v>
      </c>
      <c r="D1365" t="s">
        <v>1272</v>
      </c>
      <c r="E1365">
        <v>44.09</v>
      </c>
    </row>
    <row r="1366" spans="1:5" x14ac:dyDescent="0.2">
      <c r="A1366" s="14">
        <v>45912.274131944403</v>
      </c>
      <c r="B1366" t="s">
        <v>1271</v>
      </c>
      <c r="C1366" t="s">
        <v>13</v>
      </c>
      <c r="D1366" t="s">
        <v>963</v>
      </c>
      <c r="E1366">
        <v>0</v>
      </c>
    </row>
    <row r="1367" spans="1:5" x14ac:dyDescent="0.2">
      <c r="A1367" s="14">
        <v>45912.2742013889</v>
      </c>
      <c r="B1367" t="s">
        <v>1271</v>
      </c>
      <c r="C1367" t="s">
        <v>13</v>
      </c>
      <c r="D1367" t="s">
        <v>952</v>
      </c>
      <c r="E1367">
        <v>91.5</v>
      </c>
    </row>
    <row r="1368" spans="1:5" x14ac:dyDescent="0.2">
      <c r="A1368" s="14">
        <v>45912.274270833303</v>
      </c>
      <c r="B1368" t="s">
        <v>1271</v>
      </c>
      <c r="C1368" t="s">
        <v>13</v>
      </c>
      <c r="D1368" t="s">
        <v>900</v>
      </c>
      <c r="E1368">
        <v>54.53</v>
      </c>
    </row>
    <row r="1369" spans="1:5" x14ac:dyDescent="0.2">
      <c r="A1369" s="14">
        <v>45912.274328703701</v>
      </c>
      <c r="B1369" t="s">
        <v>1271</v>
      </c>
      <c r="C1369" t="s">
        <v>13</v>
      </c>
      <c r="D1369" t="s">
        <v>1278</v>
      </c>
      <c r="E1369">
        <v>0</v>
      </c>
    </row>
    <row r="1370" spans="1:5" x14ac:dyDescent="0.2">
      <c r="A1370" s="14">
        <v>45912.274363425902</v>
      </c>
      <c r="B1370" t="s">
        <v>1271</v>
      </c>
      <c r="C1370" t="s">
        <v>13</v>
      </c>
      <c r="D1370" t="s">
        <v>1279</v>
      </c>
      <c r="E1370">
        <v>0</v>
      </c>
    </row>
    <row r="1371" spans="1:5" x14ac:dyDescent="0.2">
      <c r="A1371" s="14">
        <v>45912.274386574099</v>
      </c>
      <c r="B1371" t="s">
        <v>1271</v>
      </c>
      <c r="C1371" t="s">
        <v>13</v>
      </c>
      <c r="D1371" t="s">
        <v>1280</v>
      </c>
      <c r="E1371">
        <v>0</v>
      </c>
    </row>
    <row r="1372" spans="1:5" x14ac:dyDescent="0.2">
      <c r="A1372" s="14">
        <v>45912.274444444403</v>
      </c>
      <c r="B1372" t="s">
        <v>1271</v>
      </c>
      <c r="C1372" t="s">
        <v>13</v>
      </c>
      <c r="D1372" t="s">
        <v>1277</v>
      </c>
      <c r="E1372">
        <v>0</v>
      </c>
    </row>
    <row r="1373" spans="1:5" x14ac:dyDescent="0.2">
      <c r="A1373" s="14">
        <v>45912.274490740703</v>
      </c>
      <c r="B1373" t="s">
        <v>1271</v>
      </c>
      <c r="C1373" t="s">
        <v>13</v>
      </c>
      <c r="D1373" t="s">
        <v>1303</v>
      </c>
      <c r="E1373">
        <v>78.78</v>
      </c>
    </row>
    <row r="1374" spans="1:5" x14ac:dyDescent="0.2">
      <c r="A1374" s="14">
        <v>45912.274571759299</v>
      </c>
      <c r="B1374" t="s">
        <v>1271</v>
      </c>
      <c r="C1374" t="s">
        <v>13</v>
      </c>
      <c r="D1374" t="s">
        <v>1304</v>
      </c>
      <c r="E1374">
        <v>100.95</v>
      </c>
    </row>
    <row r="1375" spans="1:5" x14ac:dyDescent="0.2">
      <c r="A1375" s="14">
        <v>45912.274629629603</v>
      </c>
      <c r="B1375" t="s">
        <v>1271</v>
      </c>
      <c r="C1375" t="s">
        <v>13</v>
      </c>
      <c r="D1375" t="s">
        <v>1305</v>
      </c>
      <c r="E1375">
        <v>22.52</v>
      </c>
    </row>
    <row r="1376" spans="1:5" x14ac:dyDescent="0.2">
      <c r="A1376" s="14">
        <v>45912.2746990741</v>
      </c>
      <c r="B1376" t="s">
        <v>1271</v>
      </c>
      <c r="C1376" t="s">
        <v>13</v>
      </c>
      <c r="D1376" t="s">
        <v>1306</v>
      </c>
      <c r="E1376">
        <v>113.34</v>
      </c>
    </row>
    <row r="1377" spans="1:5" x14ac:dyDescent="0.2">
      <c r="A1377" s="14">
        <v>45912.274756944404</v>
      </c>
      <c r="B1377" t="s">
        <v>1271</v>
      </c>
      <c r="C1377" t="s">
        <v>13</v>
      </c>
      <c r="D1377" t="s">
        <v>1307</v>
      </c>
      <c r="E1377">
        <v>0</v>
      </c>
    </row>
    <row r="1378" spans="1:5" x14ac:dyDescent="0.2">
      <c r="A1378" s="14">
        <v>45912.274756944404</v>
      </c>
      <c r="B1378" t="s">
        <v>1271</v>
      </c>
      <c r="C1378" t="s">
        <v>13</v>
      </c>
      <c r="D1378" t="s">
        <v>1308</v>
      </c>
      <c r="E1378">
        <v>0</v>
      </c>
    </row>
    <row r="1379" spans="1:5" x14ac:dyDescent="0.2">
      <c r="A1379" s="14">
        <v>45912.274884259299</v>
      </c>
      <c r="B1379" t="s">
        <v>1271</v>
      </c>
      <c r="C1379" t="s">
        <v>13</v>
      </c>
      <c r="D1379" t="s">
        <v>1309</v>
      </c>
      <c r="E1379">
        <v>40.380000000000003</v>
      </c>
    </row>
    <row r="1380" spans="1:5" x14ac:dyDescent="0.2">
      <c r="A1380" s="14">
        <v>45912.274988425903</v>
      </c>
      <c r="B1380" t="s">
        <v>1271</v>
      </c>
      <c r="C1380" t="s">
        <v>13</v>
      </c>
      <c r="D1380" t="s">
        <v>1302</v>
      </c>
      <c r="E1380">
        <v>98.51</v>
      </c>
    </row>
    <row r="1381" spans="1:5" x14ac:dyDescent="0.2">
      <c r="A1381" s="14">
        <v>45912.275069444397</v>
      </c>
      <c r="B1381" t="s">
        <v>1271</v>
      </c>
      <c r="C1381" t="s">
        <v>13</v>
      </c>
      <c r="D1381" t="s">
        <v>1411</v>
      </c>
      <c r="E1381">
        <v>121.53</v>
      </c>
    </row>
    <row r="1382" spans="1:5" x14ac:dyDescent="0.2">
      <c r="A1382" s="14">
        <v>45912.275162037004</v>
      </c>
      <c r="B1382" t="s">
        <v>1271</v>
      </c>
      <c r="C1382" t="s">
        <v>13</v>
      </c>
      <c r="D1382" t="s">
        <v>1412</v>
      </c>
      <c r="E1382">
        <v>88.91</v>
      </c>
    </row>
    <row r="1383" spans="1:5" x14ac:dyDescent="0.2">
      <c r="A1383" s="14">
        <v>45912.275277777801</v>
      </c>
      <c r="B1383" t="s">
        <v>1271</v>
      </c>
      <c r="C1383" t="s">
        <v>13</v>
      </c>
      <c r="D1383" t="s">
        <v>1413</v>
      </c>
      <c r="E1383">
        <v>0</v>
      </c>
    </row>
    <row r="1384" spans="1:5" x14ac:dyDescent="0.2">
      <c r="A1384" s="14">
        <v>45912.275289351899</v>
      </c>
      <c r="B1384" t="s">
        <v>1271</v>
      </c>
      <c r="C1384" t="s">
        <v>13</v>
      </c>
      <c r="D1384" t="s">
        <v>1414</v>
      </c>
      <c r="E1384">
        <v>0</v>
      </c>
    </row>
    <row r="1385" spans="1:5" x14ac:dyDescent="0.2">
      <c r="A1385" s="14">
        <v>45912.275300925903</v>
      </c>
      <c r="B1385" t="s">
        <v>1271</v>
      </c>
      <c r="C1385" t="s">
        <v>13</v>
      </c>
      <c r="D1385" t="s">
        <v>1415</v>
      </c>
      <c r="E1385">
        <v>0</v>
      </c>
    </row>
    <row r="1386" spans="1:5" x14ac:dyDescent="0.2">
      <c r="A1386" s="14">
        <v>45912.2756828704</v>
      </c>
      <c r="B1386" t="s">
        <v>1271</v>
      </c>
      <c r="C1386" t="s">
        <v>13</v>
      </c>
      <c r="D1386" t="s">
        <v>977</v>
      </c>
      <c r="E1386" t="s">
        <v>190</v>
      </c>
    </row>
    <row r="1387" spans="1:5" x14ac:dyDescent="0.2">
      <c r="A1387" s="14">
        <v>45912.275787036997</v>
      </c>
      <c r="B1387" t="s">
        <v>1271</v>
      </c>
      <c r="C1387" t="s">
        <v>13</v>
      </c>
      <c r="D1387" t="s">
        <v>1095</v>
      </c>
      <c r="E1387" t="s">
        <v>89</v>
      </c>
    </row>
    <row r="1388" spans="1:5" x14ac:dyDescent="0.2">
      <c r="A1388" s="14">
        <v>45912.275937500002</v>
      </c>
      <c r="B1388" t="s">
        <v>1271</v>
      </c>
      <c r="C1388" t="s">
        <v>13</v>
      </c>
      <c r="D1388" t="s">
        <v>1300</v>
      </c>
      <c r="E1388" t="s">
        <v>201</v>
      </c>
    </row>
    <row r="1389" spans="1:5" x14ac:dyDescent="0.2">
      <c r="A1389" s="14">
        <v>45912.275949074101</v>
      </c>
      <c r="B1389" t="s">
        <v>1271</v>
      </c>
      <c r="C1389" t="s">
        <v>13</v>
      </c>
      <c r="D1389" t="s">
        <v>1301</v>
      </c>
      <c r="E1389" t="s">
        <v>201</v>
      </c>
    </row>
    <row r="1390" spans="1:5" x14ac:dyDescent="0.2">
      <c r="A1390" s="14">
        <v>45912.276041666701</v>
      </c>
      <c r="B1390" t="s">
        <v>1271</v>
      </c>
      <c r="C1390" t="s">
        <v>13</v>
      </c>
      <c r="D1390" t="s">
        <v>1334</v>
      </c>
      <c r="E1390" t="s">
        <v>201</v>
      </c>
    </row>
    <row r="1391" spans="1:5" x14ac:dyDescent="0.2">
      <c r="A1391" s="14">
        <v>45912.276053240697</v>
      </c>
      <c r="B1391" t="s">
        <v>1271</v>
      </c>
      <c r="C1391" t="s">
        <v>13</v>
      </c>
      <c r="D1391" t="s">
        <v>1334</v>
      </c>
      <c r="E1391" t="s">
        <v>201</v>
      </c>
    </row>
    <row r="1392" spans="1:5" x14ac:dyDescent="0.2">
      <c r="A1392" s="14">
        <v>45912.276076388902</v>
      </c>
      <c r="B1392" t="s">
        <v>1271</v>
      </c>
      <c r="C1392" t="s">
        <v>13</v>
      </c>
      <c r="D1392" t="s">
        <v>1334</v>
      </c>
      <c r="E1392" t="s">
        <v>202</v>
      </c>
    </row>
    <row r="1393" spans="1:5" x14ac:dyDescent="0.2">
      <c r="A1393" s="14">
        <v>45912.276099536997</v>
      </c>
      <c r="B1393" t="s">
        <v>1271</v>
      </c>
      <c r="C1393" t="s">
        <v>13</v>
      </c>
      <c r="D1393" t="s">
        <v>1335</v>
      </c>
      <c r="E1393" t="s">
        <v>202</v>
      </c>
    </row>
    <row r="1394" spans="1:5" x14ac:dyDescent="0.2">
      <c r="A1394" s="14">
        <v>45912.2761342593</v>
      </c>
      <c r="B1394" t="s">
        <v>1271</v>
      </c>
      <c r="C1394" t="s">
        <v>13</v>
      </c>
      <c r="D1394" t="s">
        <v>1336</v>
      </c>
      <c r="E1394" t="s">
        <v>202</v>
      </c>
    </row>
    <row r="1395" spans="1:5" x14ac:dyDescent="0.2">
      <c r="A1395" s="14">
        <v>45912.276273148098</v>
      </c>
      <c r="B1395" t="s">
        <v>1271</v>
      </c>
      <c r="C1395" t="s">
        <v>13</v>
      </c>
      <c r="D1395" t="s">
        <v>1341</v>
      </c>
      <c r="E1395" t="s">
        <v>203</v>
      </c>
    </row>
    <row r="1396" spans="1:5" x14ac:dyDescent="0.2">
      <c r="A1396" s="14">
        <v>45912.276354166701</v>
      </c>
      <c r="B1396" t="s">
        <v>1271</v>
      </c>
      <c r="C1396" t="s">
        <v>13</v>
      </c>
      <c r="D1396" t="s">
        <v>1342</v>
      </c>
      <c r="E1396" t="s">
        <v>203</v>
      </c>
    </row>
    <row r="1397" spans="1:5" x14ac:dyDescent="0.2">
      <c r="A1397" s="14">
        <v>45912.276354166701</v>
      </c>
      <c r="B1397" t="s">
        <v>1271</v>
      </c>
      <c r="C1397" t="s">
        <v>13</v>
      </c>
      <c r="D1397" t="s">
        <v>1342</v>
      </c>
      <c r="E1397" t="s">
        <v>203</v>
      </c>
    </row>
    <row r="1398" spans="1:5" x14ac:dyDescent="0.2">
      <c r="A1398" s="14">
        <v>45912.276354166701</v>
      </c>
      <c r="B1398" t="s">
        <v>1271</v>
      </c>
      <c r="C1398" t="s">
        <v>13</v>
      </c>
      <c r="D1398" t="s">
        <v>1342</v>
      </c>
      <c r="E1398" t="s">
        <v>203</v>
      </c>
    </row>
    <row r="1399" spans="1:5" x14ac:dyDescent="0.2">
      <c r="A1399" s="14">
        <v>45912.276412036997</v>
      </c>
      <c r="B1399" t="s">
        <v>1271</v>
      </c>
      <c r="C1399" t="s">
        <v>13</v>
      </c>
      <c r="D1399" t="s">
        <v>1343</v>
      </c>
      <c r="E1399" t="s">
        <v>203</v>
      </c>
    </row>
    <row r="1400" spans="1:5" x14ac:dyDescent="0.2">
      <c r="A1400" s="14">
        <v>45912.276620370401</v>
      </c>
      <c r="B1400" t="s">
        <v>1271</v>
      </c>
      <c r="C1400" t="s">
        <v>13</v>
      </c>
      <c r="D1400" t="s">
        <v>1344</v>
      </c>
      <c r="E1400" t="s">
        <v>204</v>
      </c>
    </row>
    <row r="1401" spans="1:5" x14ac:dyDescent="0.2">
      <c r="A1401" s="14">
        <v>45912.276747685202</v>
      </c>
      <c r="B1401" t="s">
        <v>1271</v>
      </c>
      <c r="C1401" t="s">
        <v>13</v>
      </c>
      <c r="D1401" t="s">
        <v>1360</v>
      </c>
      <c r="E1401" t="s">
        <v>205</v>
      </c>
    </row>
    <row r="1402" spans="1:5" x14ac:dyDescent="0.2">
      <c r="A1402" s="14">
        <v>45912.276747685202</v>
      </c>
      <c r="B1402" t="s">
        <v>1271</v>
      </c>
      <c r="C1402" t="s">
        <v>13</v>
      </c>
      <c r="D1402" t="s">
        <v>1360</v>
      </c>
      <c r="E1402" t="s">
        <v>205</v>
      </c>
    </row>
    <row r="1403" spans="1:5" x14ac:dyDescent="0.2">
      <c r="A1403" s="14">
        <v>45912.276747685202</v>
      </c>
      <c r="B1403" t="s">
        <v>1271</v>
      </c>
      <c r="C1403" t="s">
        <v>13</v>
      </c>
      <c r="D1403" t="s">
        <v>1360</v>
      </c>
      <c r="E1403" t="s">
        <v>205</v>
      </c>
    </row>
    <row r="1404" spans="1:5" x14ac:dyDescent="0.2">
      <c r="A1404" s="14">
        <v>45912.276817129597</v>
      </c>
      <c r="B1404" t="s">
        <v>1271</v>
      </c>
      <c r="C1404" t="s">
        <v>13</v>
      </c>
      <c r="D1404" t="s">
        <v>1360</v>
      </c>
      <c r="E1404" t="s">
        <v>242</v>
      </c>
    </row>
    <row r="1405" spans="1:5" x14ac:dyDescent="0.2">
      <c r="A1405" s="14">
        <v>45912.276840277802</v>
      </c>
      <c r="B1405" t="s">
        <v>1271</v>
      </c>
      <c r="C1405" t="s">
        <v>13</v>
      </c>
      <c r="D1405" t="s">
        <v>1360</v>
      </c>
      <c r="E1405" t="s">
        <v>205</v>
      </c>
    </row>
    <row r="1406" spans="1:5" x14ac:dyDescent="0.2">
      <c r="A1406" s="14">
        <v>45912.276909722197</v>
      </c>
      <c r="B1406" t="s">
        <v>1271</v>
      </c>
      <c r="C1406" t="s">
        <v>13</v>
      </c>
      <c r="D1406" t="s">
        <v>1361</v>
      </c>
      <c r="E1406" t="s">
        <v>205</v>
      </c>
    </row>
    <row r="1407" spans="1:5" x14ac:dyDescent="0.2">
      <c r="A1407" s="14">
        <v>45912.276932870402</v>
      </c>
      <c r="B1407" t="s">
        <v>1271</v>
      </c>
      <c r="C1407" t="s">
        <v>13</v>
      </c>
      <c r="D1407" t="s">
        <v>1362</v>
      </c>
      <c r="E1407" t="s">
        <v>205</v>
      </c>
    </row>
    <row r="1408" spans="1:5" x14ac:dyDescent="0.2">
      <c r="A1408" s="14">
        <v>45912.276956018497</v>
      </c>
      <c r="B1408" t="s">
        <v>1271</v>
      </c>
      <c r="C1408" t="s">
        <v>13</v>
      </c>
      <c r="D1408" t="s">
        <v>1363</v>
      </c>
      <c r="E1408" t="s">
        <v>205</v>
      </c>
    </row>
    <row r="1409" spans="1:5" x14ac:dyDescent="0.2">
      <c r="A1409" s="14">
        <v>45912.276990740698</v>
      </c>
      <c r="B1409" t="s">
        <v>1271</v>
      </c>
      <c r="C1409" t="s">
        <v>13</v>
      </c>
      <c r="D1409" t="s">
        <v>1364</v>
      </c>
      <c r="E1409" t="s">
        <v>205</v>
      </c>
    </row>
    <row r="1410" spans="1:5" x14ac:dyDescent="0.2">
      <c r="A1410" s="14">
        <v>45912.277442129598</v>
      </c>
      <c r="B1410" t="s">
        <v>1271</v>
      </c>
      <c r="C1410" t="s">
        <v>13</v>
      </c>
      <c r="D1410" t="s">
        <v>1580</v>
      </c>
    </row>
    <row r="1411" spans="1:5" x14ac:dyDescent="0.2">
      <c r="A1411" s="14">
        <v>45912.277488425898</v>
      </c>
      <c r="B1411" t="s">
        <v>1271</v>
      </c>
      <c r="C1411" t="s">
        <v>13</v>
      </c>
      <c r="D1411" t="s">
        <v>1581</v>
      </c>
    </row>
    <row r="1412" spans="1:5" x14ac:dyDescent="0.2">
      <c r="A1412" s="14">
        <v>45912.277523148201</v>
      </c>
      <c r="B1412" t="s">
        <v>1271</v>
      </c>
      <c r="C1412" t="s">
        <v>13</v>
      </c>
      <c r="D1412" t="s">
        <v>1577</v>
      </c>
    </row>
    <row r="1413" spans="1:5" x14ac:dyDescent="0.2">
      <c r="A1413" s="14">
        <v>45912.277800925898</v>
      </c>
      <c r="B1413" t="s">
        <v>1271</v>
      </c>
      <c r="C1413" t="s">
        <v>13</v>
      </c>
      <c r="D1413" t="s">
        <v>1416</v>
      </c>
      <c r="E1413">
        <v>43.26</v>
      </c>
    </row>
    <row r="1414" spans="1:5" x14ac:dyDescent="0.2">
      <c r="A1414" s="14">
        <v>45912.281076388899</v>
      </c>
      <c r="B1414" t="s">
        <v>1271</v>
      </c>
      <c r="C1414" t="s">
        <v>13</v>
      </c>
      <c r="D1414" t="s">
        <v>1420</v>
      </c>
      <c r="E1414">
        <v>115.28</v>
      </c>
    </row>
    <row r="1415" spans="1:5" x14ac:dyDescent="0.2">
      <c r="A1415" s="14">
        <v>45912.281180555598</v>
      </c>
      <c r="B1415" t="s">
        <v>1271</v>
      </c>
      <c r="C1415" t="s">
        <v>13</v>
      </c>
      <c r="D1415" t="s">
        <v>1417</v>
      </c>
      <c r="E1415">
        <v>82.75</v>
      </c>
    </row>
    <row r="1416" spans="1:5" x14ac:dyDescent="0.2">
      <c r="A1416" s="14">
        <v>45912.281273148103</v>
      </c>
      <c r="B1416" t="s">
        <v>1271</v>
      </c>
      <c r="C1416" t="s">
        <v>13</v>
      </c>
      <c r="D1416" t="s">
        <v>1421</v>
      </c>
      <c r="E1416">
        <v>80.66</v>
      </c>
    </row>
    <row r="1417" spans="1:5" x14ac:dyDescent="0.2">
      <c r="A1417" s="14">
        <v>45912.281504629602</v>
      </c>
      <c r="B1417" t="s">
        <v>1271</v>
      </c>
      <c r="C1417" t="s">
        <v>13</v>
      </c>
      <c r="D1417" t="s">
        <v>1422</v>
      </c>
      <c r="E1417">
        <v>46.25</v>
      </c>
    </row>
    <row r="1418" spans="1:5" x14ac:dyDescent="0.2">
      <c r="A1418" s="14">
        <v>45912.281574074099</v>
      </c>
      <c r="B1418" t="s">
        <v>1271</v>
      </c>
      <c r="C1418" t="s">
        <v>13</v>
      </c>
      <c r="D1418" t="s">
        <v>1423</v>
      </c>
      <c r="E1418">
        <v>90.33</v>
      </c>
    </row>
    <row r="1419" spans="1:5" x14ac:dyDescent="0.2">
      <c r="A1419" s="14">
        <v>45912.2816087963</v>
      </c>
      <c r="B1419" t="s">
        <v>1271</v>
      </c>
      <c r="C1419" t="s">
        <v>13</v>
      </c>
      <c r="D1419" t="s">
        <v>1424</v>
      </c>
      <c r="E1419">
        <v>0</v>
      </c>
    </row>
    <row r="1420" spans="1:5" x14ac:dyDescent="0.2">
      <c r="A1420" s="14">
        <v>45912.281724537002</v>
      </c>
      <c r="B1420" t="s">
        <v>1271</v>
      </c>
      <c r="C1420" t="s">
        <v>13</v>
      </c>
      <c r="D1420" t="s">
        <v>1427</v>
      </c>
      <c r="E1420">
        <v>44.81</v>
      </c>
    </row>
    <row r="1421" spans="1:5" x14ac:dyDescent="0.2">
      <c r="A1421" s="14">
        <v>45912.2817939815</v>
      </c>
      <c r="B1421" t="s">
        <v>1271</v>
      </c>
      <c r="C1421" t="s">
        <v>13</v>
      </c>
      <c r="D1421" t="s">
        <v>1428</v>
      </c>
      <c r="E1421">
        <v>40.21</v>
      </c>
    </row>
    <row r="1422" spans="1:5" x14ac:dyDescent="0.2">
      <c r="A1422" s="14">
        <v>45912.281898148103</v>
      </c>
      <c r="B1422" t="s">
        <v>1271</v>
      </c>
      <c r="C1422" t="s">
        <v>13</v>
      </c>
      <c r="D1422" t="s">
        <v>1429</v>
      </c>
      <c r="E1422">
        <v>92.78</v>
      </c>
    </row>
    <row r="1423" spans="1:5" x14ac:dyDescent="0.2">
      <c r="A1423" s="14">
        <v>45912.282071759299</v>
      </c>
      <c r="B1423" t="s">
        <v>1271</v>
      </c>
      <c r="C1423" t="s">
        <v>13</v>
      </c>
      <c r="D1423" t="s">
        <v>1426</v>
      </c>
      <c r="E1423">
        <v>125.78</v>
      </c>
    </row>
    <row r="1424" spans="1:5" x14ac:dyDescent="0.2">
      <c r="A1424" s="14">
        <v>45912.2821064815</v>
      </c>
      <c r="B1424" t="s">
        <v>1271</v>
      </c>
      <c r="C1424" t="s">
        <v>13</v>
      </c>
      <c r="D1424" t="s">
        <v>1431</v>
      </c>
      <c r="E1424">
        <v>0</v>
      </c>
    </row>
    <row r="1425" spans="1:5" x14ac:dyDescent="0.2">
      <c r="A1425" s="14">
        <v>45912.2821064815</v>
      </c>
      <c r="B1425" t="s">
        <v>1271</v>
      </c>
      <c r="C1425" t="s">
        <v>13</v>
      </c>
      <c r="D1425" t="s">
        <v>1432</v>
      </c>
      <c r="E1425">
        <v>0</v>
      </c>
    </row>
    <row r="1426" spans="1:5" x14ac:dyDescent="0.2">
      <c r="A1426" s="14">
        <v>45912.282118055598</v>
      </c>
      <c r="B1426" t="s">
        <v>1271</v>
      </c>
      <c r="C1426" t="s">
        <v>13</v>
      </c>
      <c r="D1426" t="s">
        <v>1433</v>
      </c>
      <c r="E1426">
        <v>0</v>
      </c>
    </row>
    <row r="1427" spans="1:5" x14ac:dyDescent="0.2">
      <c r="A1427" s="14">
        <v>45912.282233796301</v>
      </c>
      <c r="B1427" t="s">
        <v>1271</v>
      </c>
      <c r="C1427" t="s">
        <v>13</v>
      </c>
      <c r="D1427" t="s">
        <v>1434</v>
      </c>
      <c r="E1427">
        <v>29.57</v>
      </c>
    </row>
    <row r="1428" spans="1:5" x14ac:dyDescent="0.2">
      <c r="A1428" s="14">
        <v>45912.282337962999</v>
      </c>
      <c r="B1428" t="s">
        <v>1271</v>
      </c>
      <c r="C1428" t="s">
        <v>13</v>
      </c>
      <c r="D1428" t="s">
        <v>1435</v>
      </c>
      <c r="E1428">
        <v>204.19</v>
      </c>
    </row>
    <row r="1429" spans="1:5" x14ac:dyDescent="0.2">
      <c r="A1429" s="14">
        <v>45912.282407407401</v>
      </c>
      <c r="B1429" t="s">
        <v>1271</v>
      </c>
      <c r="C1429" t="s">
        <v>13</v>
      </c>
      <c r="D1429" t="s">
        <v>1436</v>
      </c>
      <c r="E1429">
        <v>93.27</v>
      </c>
    </row>
    <row r="1430" spans="1:5" x14ac:dyDescent="0.2">
      <c r="A1430" s="14">
        <v>45912.2825115741</v>
      </c>
      <c r="B1430" t="s">
        <v>1271</v>
      </c>
      <c r="C1430" t="s">
        <v>13</v>
      </c>
      <c r="D1430" t="s">
        <v>1437</v>
      </c>
      <c r="E1430">
        <v>96</v>
      </c>
    </row>
    <row r="1431" spans="1:5" x14ac:dyDescent="0.2">
      <c r="A1431" s="14">
        <v>45912.282546296301</v>
      </c>
      <c r="B1431" t="s">
        <v>1271</v>
      </c>
      <c r="C1431" t="s">
        <v>13</v>
      </c>
      <c r="D1431" t="s">
        <v>1430</v>
      </c>
      <c r="E1431">
        <v>0</v>
      </c>
    </row>
    <row r="1432" spans="1:5" x14ac:dyDescent="0.2">
      <c r="A1432" s="14">
        <v>45912.282546296301</v>
      </c>
      <c r="B1432" t="s">
        <v>1271</v>
      </c>
      <c r="C1432" t="s">
        <v>13</v>
      </c>
      <c r="D1432" t="s">
        <v>1439</v>
      </c>
      <c r="E1432">
        <v>0</v>
      </c>
    </row>
    <row r="1433" spans="1:5" x14ac:dyDescent="0.2">
      <c r="A1433" s="14">
        <v>45912.2825578704</v>
      </c>
      <c r="B1433" t="s">
        <v>1271</v>
      </c>
      <c r="C1433" t="s">
        <v>13</v>
      </c>
      <c r="D1433" t="s">
        <v>1440</v>
      </c>
      <c r="E1433">
        <v>0</v>
      </c>
    </row>
    <row r="1434" spans="1:5" x14ac:dyDescent="0.2">
      <c r="A1434" s="14">
        <v>45912.283738425896</v>
      </c>
      <c r="B1434" t="s">
        <v>1271</v>
      </c>
      <c r="C1434" t="s">
        <v>2</v>
      </c>
      <c r="D1434" t="s">
        <v>1582</v>
      </c>
      <c r="E1434">
        <v>855.04</v>
      </c>
    </row>
    <row r="1435" spans="1:5" x14ac:dyDescent="0.2">
      <c r="A1435" s="14">
        <v>45912.283935185202</v>
      </c>
      <c r="B1435" t="s">
        <v>1271</v>
      </c>
      <c r="C1435" t="s">
        <v>2</v>
      </c>
      <c r="D1435" t="s">
        <v>1583</v>
      </c>
      <c r="E1435">
        <v>1185.1400000000001</v>
      </c>
    </row>
    <row r="1436" spans="1:5" x14ac:dyDescent="0.2">
      <c r="A1436" s="14">
        <v>45916.912974537037</v>
      </c>
      <c r="B1436" t="s">
        <v>622</v>
      </c>
      <c r="C1436" t="s">
        <v>623</v>
      </c>
      <c r="D1436" t="s">
        <v>1782</v>
      </c>
      <c r="E1436" t="s">
        <v>40</v>
      </c>
    </row>
    <row r="1437" spans="1:5" x14ac:dyDescent="0.2">
      <c r="A1437" s="14">
        <v>45916.913206018522</v>
      </c>
      <c r="B1437" t="s">
        <v>622</v>
      </c>
      <c r="C1437" t="s">
        <v>8</v>
      </c>
      <c r="D1437" t="s">
        <v>1783</v>
      </c>
      <c r="E1437" t="s">
        <v>54</v>
      </c>
    </row>
    <row r="1438" spans="1:5" x14ac:dyDescent="0.2">
      <c r="A1438" s="14">
        <v>45916.91333333333</v>
      </c>
      <c r="B1438" t="s">
        <v>622</v>
      </c>
      <c r="C1438" t="s">
        <v>8</v>
      </c>
      <c r="D1438" t="s">
        <v>1784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O156"/>
  <sheetViews>
    <sheetView workbookViewId="0">
      <selection activeCell="I150" sqref="I150"/>
    </sheetView>
  </sheetViews>
  <sheetFormatPr baseColWidth="10" defaultColWidth="8.83203125" defaultRowHeight="15" x14ac:dyDescent="0.2"/>
  <cols>
    <col min="3" max="3" width="56.6640625" customWidth="1"/>
    <col min="9" max="9" width="17.33203125" customWidth="1"/>
    <col min="10" max="10" width="10.83203125" customWidth="1"/>
    <col min="12" max="12" width="18.6640625" customWidth="1"/>
  </cols>
  <sheetData>
    <row r="1" spans="1:14" ht="20" x14ac:dyDescent="0.2">
      <c r="A1" s="7" t="s">
        <v>1584</v>
      </c>
      <c r="B1" s="8"/>
      <c r="C1" s="7" t="s">
        <v>360</v>
      </c>
      <c r="D1" s="7" t="s">
        <v>1585</v>
      </c>
      <c r="E1" s="7" t="s">
        <v>1586</v>
      </c>
      <c r="I1" t="s">
        <v>371</v>
      </c>
      <c r="J1" t="s">
        <v>1585</v>
      </c>
      <c r="L1" s="11" t="s">
        <v>371</v>
      </c>
    </row>
    <row r="2" spans="1:14" ht="20" x14ac:dyDescent="0.2">
      <c r="A2" s="9">
        <v>6</v>
      </c>
      <c r="B2" s="10" t="s">
        <v>381</v>
      </c>
      <c r="C2" s="9" t="s">
        <v>1587</v>
      </c>
      <c r="D2" s="9" t="s">
        <v>1588</v>
      </c>
      <c r="E2" s="9" t="s">
        <v>1589</v>
      </c>
      <c r="F2" s="9" t="s">
        <v>1590</v>
      </c>
      <c r="I2" t="s">
        <v>381</v>
      </c>
      <c r="J2" t="s">
        <v>1588</v>
      </c>
      <c r="L2" s="12" t="s">
        <v>381</v>
      </c>
      <c r="N2" t="str">
        <f t="shared" ref="N2:N65" si="0">IF(I2=L2,"","X")</f>
        <v/>
      </c>
    </row>
    <row r="3" spans="1:14" ht="20" x14ac:dyDescent="0.2">
      <c r="A3" s="9">
        <v>22</v>
      </c>
      <c r="B3" s="7" t="s">
        <v>390</v>
      </c>
      <c r="C3" s="9" t="s">
        <v>1591</v>
      </c>
      <c r="D3" s="9" t="s">
        <v>1592</v>
      </c>
      <c r="E3" s="9" t="s">
        <v>1589</v>
      </c>
      <c r="F3" s="9" t="s">
        <v>1593</v>
      </c>
      <c r="I3" t="s">
        <v>390</v>
      </c>
      <c r="J3" t="s">
        <v>1592</v>
      </c>
      <c r="L3" s="12" t="s">
        <v>390</v>
      </c>
      <c r="N3" t="str">
        <f t="shared" si="0"/>
        <v/>
      </c>
    </row>
    <row r="4" spans="1:14" ht="20" x14ac:dyDescent="0.2">
      <c r="A4" s="9">
        <v>74</v>
      </c>
      <c r="B4" s="7" t="s">
        <v>398</v>
      </c>
      <c r="C4" s="9" t="s">
        <v>1594</v>
      </c>
      <c r="D4" s="9" t="s">
        <v>1595</v>
      </c>
      <c r="E4" s="9" t="s">
        <v>376</v>
      </c>
      <c r="F4" s="9" t="s">
        <v>1596</v>
      </c>
      <c r="I4" t="s">
        <v>398</v>
      </c>
      <c r="J4" t="s">
        <v>1595</v>
      </c>
      <c r="L4" s="12" t="s">
        <v>398</v>
      </c>
      <c r="N4" t="str">
        <f t="shared" si="0"/>
        <v/>
      </c>
    </row>
    <row r="5" spans="1:14" ht="20" x14ac:dyDescent="0.2">
      <c r="A5" s="9">
        <v>62</v>
      </c>
      <c r="B5" s="7" t="s">
        <v>406</v>
      </c>
      <c r="C5" s="9" t="s">
        <v>1597</v>
      </c>
      <c r="D5" s="9" t="s">
        <v>1595</v>
      </c>
      <c r="E5" s="9" t="s">
        <v>1589</v>
      </c>
      <c r="F5" s="9" t="s">
        <v>1598</v>
      </c>
      <c r="I5" t="s">
        <v>406</v>
      </c>
      <c r="J5" t="s">
        <v>1595</v>
      </c>
      <c r="L5" s="12" t="s">
        <v>406</v>
      </c>
      <c r="N5" t="str">
        <f t="shared" si="0"/>
        <v/>
      </c>
    </row>
    <row r="6" spans="1:14" ht="20" x14ac:dyDescent="0.2">
      <c r="A6" s="9">
        <v>136</v>
      </c>
      <c r="B6" s="7" t="s">
        <v>411</v>
      </c>
      <c r="C6" s="9" t="s">
        <v>1599</v>
      </c>
      <c r="D6" s="9" t="s">
        <v>1595</v>
      </c>
      <c r="E6" s="9" t="s">
        <v>395</v>
      </c>
      <c r="F6" s="9" t="s">
        <v>1600</v>
      </c>
      <c r="I6" t="s">
        <v>411</v>
      </c>
      <c r="J6" t="s">
        <v>1595</v>
      </c>
      <c r="L6" s="12" t="s">
        <v>411</v>
      </c>
      <c r="N6" t="str">
        <f t="shared" si="0"/>
        <v/>
      </c>
    </row>
    <row r="7" spans="1:14" ht="20" x14ac:dyDescent="0.2">
      <c r="A7" s="9">
        <v>75</v>
      </c>
      <c r="B7" s="7" t="s">
        <v>416</v>
      </c>
      <c r="C7" s="9" t="s">
        <v>1601</v>
      </c>
      <c r="D7" s="9" t="s">
        <v>1595</v>
      </c>
      <c r="E7" s="9" t="s">
        <v>376</v>
      </c>
      <c r="F7" s="9" t="s">
        <v>1596</v>
      </c>
      <c r="I7" t="s">
        <v>416</v>
      </c>
      <c r="J7" t="s">
        <v>1595</v>
      </c>
      <c r="L7" s="12" t="s">
        <v>416</v>
      </c>
      <c r="N7" t="str">
        <f t="shared" si="0"/>
        <v/>
      </c>
    </row>
    <row r="8" spans="1:14" ht="20" x14ac:dyDescent="0.2">
      <c r="A8" s="9">
        <v>137</v>
      </c>
      <c r="B8" s="7" t="s">
        <v>420</v>
      </c>
      <c r="C8" s="9" t="s">
        <v>1602</v>
      </c>
      <c r="D8" s="9" t="s">
        <v>1595</v>
      </c>
      <c r="E8" s="9" t="s">
        <v>395</v>
      </c>
      <c r="F8" s="9" t="s">
        <v>1600</v>
      </c>
      <c r="I8" t="s">
        <v>420</v>
      </c>
      <c r="J8" t="s">
        <v>1595</v>
      </c>
      <c r="L8" s="12" t="s">
        <v>420</v>
      </c>
      <c r="N8" t="str">
        <f t="shared" si="0"/>
        <v/>
      </c>
    </row>
    <row r="9" spans="1:14" ht="20" x14ac:dyDescent="0.2">
      <c r="A9" s="9">
        <v>29</v>
      </c>
      <c r="B9" s="7" t="s">
        <v>423</v>
      </c>
      <c r="C9" s="9" t="s">
        <v>1603</v>
      </c>
      <c r="D9" s="9" t="s">
        <v>1595</v>
      </c>
      <c r="E9" s="9" t="s">
        <v>1589</v>
      </c>
      <c r="F9" s="9" t="s">
        <v>1593</v>
      </c>
      <c r="I9" t="s">
        <v>423</v>
      </c>
      <c r="J9" t="s">
        <v>1595</v>
      </c>
      <c r="L9" s="12" t="s">
        <v>423</v>
      </c>
      <c r="N9" t="str">
        <f t="shared" si="0"/>
        <v/>
      </c>
    </row>
    <row r="10" spans="1:14" ht="20" x14ac:dyDescent="0.2">
      <c r="A10" s="9">
        <v>96</v>
      </c>
      <c r="B10" s="7" t="s">
        <v>426</v>
      </c>
      <c r="C10" s="9" t="s">
        <v>1604</v>
      </c>
      <c r="D10" s="9" t="s">
        <v>1605</v>
      </c>
      <c r="E10" s="9" t="s">
        <v>376</v>
      </c>
      <c r="F10" s="9" t="s">
        <v>1606</v>
      </c>
      <c r="I10" t="s">
        <v>426</v>
      </c>
      <c r="J10" t="s">
        <v>1605</v>
      </c>
      <c r="L10" s="12" t="s">
        <v>426</v>
      </c>
      <c r="N10" t="str">
        <f t="shared" si="0"/>
        <v/>
      </c>
    </row>
    <row r="11" spans="1:14" ht="20" x14ac:dyDescent="0.2">
      <c r="A11" s="9">
        <v>59</v>
      </c>
      <c r="B11" s="7" t="s">
        <v>1607</v>
      </c>
      <c r="C11" s="9" t="s">
        <v>1608</v>
      </c>
      <c r="D11" s="9" t="s">
        <v>1609</v>
      </c>
      <c r="E11" s="9" t="s">
        <v>1589</v>
      </c>
      <c r="F11" s="9" t="s">
        <v>1610</v>
      </c>
      <c r="I11" t="s">
        <v>1607</v>
      </c>
      <c r="J11" t="s">
        <v>1609</v>
      </c>
      <c r="L11" t="s">
        <v>1607</v>
      </c>
      <c r="N11" t="str">
        <f t="shared" si="0"/>
        <v/>
      </c>
    </row>
    <row r="12" spans="1:14" ht="20" x14ac:dyDescent="0.2">
      <c r="A12" s="9">
        <v>145</v>
      </c>
      <c r="B12" s="7" t="s">
        <v>429</v>
      </c>
      <c r="C12" s="9" t="s">
        <v>1611</v>
      </c>
      <c r="D12" s="9" t="s">
        <v>1605</v>
      </c>
      <c r="E12" s="9" t="s">
        <v>395</v>
      </c>
      <c r="F12" s="9" t="s">
        <v>1612</v>
      </c>
      <c r="I12" t="s">
        <v>429</v>
      </c>
      <c r="J12" t="s">
        <v>1605</v>
      </c>
      <c r="L12" s="12" t="s">
        <v>429</v>
      </c>
      <c r="N12" t="str">
        <f t="shared" si="0"/>
        <v/>
      </c>
    </row>
    <row r="13" spans="1:14" ht="20" x14ac:dyDescent="0.2">
      <c r="A13" s="9">
        <v>21</v>
      </c>
      <c r="B13" s="7" t="s">
        <v>433</v>
      </c>
      <c r="C13" s="9" t="s">
        <v>1613</v>
      </c>
      <c r="D13" s="9" t="s">
        <v>1605</v>
      </c>
      <c r="E13" s="9" t="s">
        <v>1589</v>
      </c>
      <c r="F13" s="9" t="s">
        <v>1614</v>
      </c>
      <c r="I13" t="s">
        <v>433</v>
      </c>
      <c r="J13" t="s">
        <v>1605</v>
      </c>
      <c r="L13" s="12" t="s">
        <v>433</v>
      </c>
      <c r="N13" t="str">
        <f t="shared" si="0"/>
        <v/>
      </c>
    </row>
    <row r="14" spans="1:14" ht="20" x14ac:dyDescent="0.2">
      <c r="A14" s="9">
        <v>45</v>
      </c>
      <c r="B14" s="7" t="s">
        <v>436</v>
      </c>
      <c r="C14" s="9" t="s">
        <v>1615</v>
      </c>
      <c r="D14" s="9" t="s">
        <v>1595</v>
      </c>
      <c r="E14" s="9" t="s">
        <v>1589</v>
      </c>
      <c r="F14" s="9" t="s">
        <v>1616</v>
      </c>
      <c r="I14" t="s">
        <v>436</v>
      </c>
      <c r="J14" t="s">
        <v>1595</v>
      </c>
      <c r="L14" s="12" t="s">
        <v>436</v>
      </c>
      <c r="N14" t="str">
        <f t="shared" si="0"/>
        <v/>
      </c>
    </row>
    <row r="15" spans="1:14" ht="20" x14ac:dyDescent="0.2">
      <c r="A15" s="9">
        <v>46</v>
      </c>
      <c r="B15" s="7" t="s">
        <v>440</v>
      </c>
      <c r="C15" s="9" t="s">
        <v>1617</v>
      </c>
      <c r="D15" s="9" t="s">
        <v>1595</v>
      </c>
      <c r="E15" s="9" t="s">
        <v>1589</v>
      </c>
      <c r="F15" s="9" t="s">
        <v>1616</v>
      </c>
      <c r="I15" t="s">
        <v>440</v>
      </c>
      <c r="J15" t="s">
        <v>1595</v>
      </c>
      <c r="L15" s="12" t="s">
        <v>440</v>
      </c>
      <c r="N15" t="str">
        <f t="shared" si="0"/>
        <v/>
      </c>
    </row>
    <row r="16" spans="1:14" ht="20" x14ac:dyDescent="0.2">
      <c r="A16" s="9">
        <v>2</v>
      </c>
      <c r="B16" s="10" t="s">
        <v>442</v>
      </c>
      <c r="C16" s="9" t="s">
        <v>1618</v>
      </c>
      <c r="D16" s="9" t="s">
        <v>1595</v>
      </c>
      <c r="E16" s="9" t="s">
        <v>1589</v>
      </c>
      <c r="F16" s="9" t="s">
        <v>1590</v>
      </c>
      <c r="I16" t="s">
        <v>442</v>
      </c>
      <c r="J16" t="s">
        <v>1595</v>
      </c>
      <c r="L16" s="12" t="s">
        <v>442</v>
      </c>
      <c r="N16" t="str">
        <f t="shared" si="0"/>
        <v/>
      </c>
    </row>
    <row r="17" spans="1:14" ht="20" x14ac:dyDescent="0.2">
      <c r="A17" s="9">
        <v>84</v>
      </c>
      <c r="B17" s="7" t="s">
        <v>443</v>
      </c>
      <c r="C17" s="9" t="s">
        <v>1619</v>
      </c>
      <c r="D17" s="9" t="s">
        <v>1592</v>
      </c>
      <c r="E17" s="9" t="s">
        <v>376</v>
      </c>
      <c r="F17" s="9" t="s">
        <v>1606</v>
      </c>
      <c r="I17" t="s">
        <v>443</v>
      </c>
      <c r="J17" t="s">
        <v>1592</v>
      </c>
      <c r="L17" s="12" t="s">
        <v>443</v>
      </c>
      <c r="N17" t="str">
        <f t="shared" si="0"/>
        <v/>
      </c>
    </row>
    <row r="18" spans="1:14" ht="20" x14ac:dyDescent="0.2">
      <c r="A18" s="9">
        <v>99</v>
      </c>
      <c r="B18" s="7" t="s">
        <v>445</v>
      </c>
      <c r="C18" s="9" t="s">
        <v>1620</v>
      </c>
      <c r="D18" s="9" t="s">
        <v>1595</v>
      </c>
      <c r="E18" s="9" t="s">
        <v>376</v>
      </c>
      <c r="F18" s="9" t="s">
        <v>1621</v>
      </c>
      <c r="I18" t="s">
        <v>445</v>
      </c>
      <c r="J18" t="s">
        <v>1595</v>
      </c>
      <c r="L18" s="12" t="s">
        <v>445</v>
      </c>
      <c r="N18" t="str">
        <f t="shared" si="0"/>
        <v/>
      </c>
    </row>
    <row r="19" spans="1:14" ht="20" x14ac:dyDescent="0.2">
      <c r="A19" s="9">
        <v>51</v>
      </c>
      <c r="B19" s="7" t="s">
        <v>447</v>
      </c>
      <c r="C19" s="9" t="s">
        <v>1622</v>
      </c>
      <c r="D19" s="9" t="s">
        <v>1605</v>
      </c>
      <c r="E19" s="9" t="s">
        <v>1589</v>
      </c>
      <c r="F19" s="9" t="s">
        <v>1610</v>
      </c>
      <c r="I19" t="s">
        <v>447</v>
      </c>
      <c r="J19" t="s">
        <v>1605</v>
      </c>
      <c r="L19" s="12" t="s">
        <v>447</v>
      </c>
      <c r="N19" t="str">
        <f t="shared" si="0"/>
        <v/>
      </c>
    </row>
    <row r="20" spans="1:14" ht="20" x14ac:dyDescent="0.2">
      <c r="A20" s="9">
        <v>85</v>
      </c>
      <c r="B20" s="7" t="s">
        <v>449</v>
      </c>
      <c r="C20" s="9" t="s">
        <v>1623</v>
      </c>
      <c r="D20" s="9" t="s">
        <v>1592</v>
      </c>
      <c r="E20" s="9" t="s">
        <v>376</v>
      </c>
      <c r="F20" s="9" t="s">
        <v>1606</v>
      </c>
      <c r="I20" t="s">
        <v>449</v>
      </c>
      <c r="J20" t="s">
        <v>1592</v>
      </c>
      <c r="L20" s="12" t="s">
        <v>449</v>
      </c>
      <c r="N20" t="str">
        <f t="shared" si="0"/>
        <v/>
      </c>
    </row>
    <row r="21" spans="1:14" ht="20" x14ac:dyDescent="0.2">
      <c r="A21" s="9">
        <v>89</v>
      </c>
      <c r="B21" s="7" t="s">
        <v>451</v>
      </c>
      <c r="C21" s="9" t="s">
        <v>1624</v>
      </c>
      <c r="D21" s="9" t="s">
        <v>1595</v>
      </c>
      <c r="E21" s="9" t="s">
        <v>376</v>
      </c>
      <c r="F21" s="9" t="s">
        <v>1606</v>
      </c>
      <c r="I21" t="s">
        <v>451</v>
      </c>
      <c r="J21" t="s">
        <v>1595</v>
      </c>
      <c r="L21" s="12" t="s">
        <v>451</v>
      </c>
      <c r="N21" t="str">
        <f t="shared" si="0"/>
        <v/>
      </c>
    </row>
    <row r="22" spans="1:14" ht="20" x14ac:dyDescent="0.2">
      <c r="A22" s="9">
        <v>90</v>
      </c>
      <c r="B22" s="7" t="s">
        <v>453</v>
      </c>
      <c r="C22" s="9" t="s">
        <v>1625</v>
      </c>
      <c r="D22" s="9" t="s">
        <v>1595</v>
      </c>
      <c r="E22" s="9" t="s">
        <v>376</v>
      </c>
      <c r="F22" s="9" t="s">
        <v>1606</v>
      </c>
      <c r="I22" t="s">
        <v>453</v>
      </c>
      <c r="J22" t="s">
        <v>1595</v>
      </c>
      <c r="L22" s="12" t="s">
        <v>453</v>
      </c>
      <c r="N22" t="str">
        <f t="shared" si="0"/>
        <v/>
      </c>
    </row>
    <row r="23" spans="1:14" ht="20" x14ac:dyDescent="0.2">
      <c r="A23" s="9">
        <v>150</v>
      </c>
      <c r="B23" s="7" t="s">
        <v>455</v>
      </c>
      <c r="C23" s="9" t="s">
        <v>1626</v>
      </c>
      <c r="D23" s="9" t="s">
        <v>1609</v>
      </c>
      <c r="E23" s="9" t="s">
        <v>395</v>
      </c>
      <c r="F23" s="9" t="s">
        <v>1612</v>
      </c>
      <c r="I23" t="s">
        <v>455</v>
      </c>
      <c r="J23" t="s">
        <v>1609</v>
      </c>
      <c r="L23" s="12" t="s">
        <v>455</v>
      </c>
      <c r="N23" t="str">
        <f t="shared" si="0"/>
        <v/>
      </c>
    </row>
    <row r="24" spans="1:14" ht="20" x14ac:dyDescent="0.2">
      <c r="A24" s="9">
        <v>118</v>
      </c>
      <c r="B24" s="7" t="s">
        <v>457</v>
      </c>
      <c r="C24" s="9" t="s">
        <v>1627</v>
      </c>
      <c r="D24" s="9" t="s">
        <v>1595</v>
      </c>
      <c r="E24" s="9" t="s">
        <v>395</v>
      </c>
      <c r="F24" s="9" t="s">
        <v>1628</v>
      </c>
      <c r="I24" t="s">
        <v>457</v>
      </c>
      <c r="J24" t="s">
        <v>1595</v>
      </c>
      <c r="L24" s="12" t="s">
        <v>457</v>
      </c>
      <c r="N24" t="str">
        <f t="shared" si="0"/>
        <v/>
      </c>
    </row>
    <row r="25" spans="1:14" ht="20" x14ac:dyDescent="0.2">
      <c r="A25" s="9">
        <v>15</v>
      </c>
      <c r="B25" s="7" t="s">
        <v>459</v>
      </c>
      <c r="C25" s="9" t="s">
        <v>1629</v>
      </c>
      <c r="D25" s="9" t="s">
        <v>1595</v>
      </c>
      <c r="E25" s="9" t="s">
        <v>1589</v>
      </c>
      <c r="F25" s="9" t="s">
        <v>1614</v>
      </c>
      <c r="I25" t="s">
        <v>459</v>
      </c>
      <c r="J25" t="s">
        <v>1595</v>
      </c>
      <c r="L25" s="12" t="s">
        <v>459</v>
      </c>
      <c r="N25" t="str">
        <f t="shared" si="0"/>
        <v/>
      </c>
    </row>
    <row r="26" spans="1:14" ht="20" x14ac:dyDescent="0.2">
      <c r="A26" s="9">
        <v>16</v>
      </c>
      <c r="B26" s="7" t="s">
        <v>461</v>
      </c>
      <c r="C26" s="9" t="s">
        <v>1630</v>
      </c>
      <c r="D26" s="9" t="s">
        <v>1595</v>
      </c>
      <c r="E26" s="9" t="s">
        <v>1589</v>
      </c>
      <c r="F26" s="9" t="s">
        <v>1614</v>
      </c>
      <c r="I26" t="s">
        <v>461</v>
      </c>
      <c r="J26" t="s">
        <v>1595</v>
      </c>
      <c r="L26" s="12" t="s">
        <v>461</v>
      </c>
      <c r="N26" t="str">
        <f t="shared" si="0"/>
        <v/>
      </c>
    </row>
    <row r="27" spans="1:14" ht="20" x14ac:dyDescent="0.2">
      <c r="A27" s="9">
        <v>119</v>
      </c>
      <c r="B27" s="7" t="s">
        <v>463</v>
      </c>
      <c r="C27" s="9" t="s">
        <v>1631</v>
      </c>
      <c r="D27" s="9" t="s">
        <v>1595</v>
      </c>
      <c r="E27" s="9" t="s">
        <v>395</v>
      </c>
      <c r="F27" s="9" t="s">
        <v>1628</v>
      </c>
      <c r="I27" t="s">
        <v>463</v>
      </c>
      <c r="J27" t="s">
        <v>1595</v>
      </c>
      <c r="L27" s="12" t="s">
        <v>463</v>
      </c>
      <c r="N27" t="str">
        <f t="shared" si="0"/>
        <v/>
      </c>
    </row>
    <row r="28" spans="1:14" ht="20" x14ac:dyDescent="0.2">
      <c r="A28" s="9">
        <v>63</v>
      </c>
      <c r="B28" s="7" t="s">
        <v>465</v>
      </c>
      <c r="C28" s="9" t="s">
        <v>1632</v>
      </c>
      <c r="D28" s="9" t="s">
        <v>1595</v>
      </c>
      <c r="E28" s="9" t="s">
        <v>1589</v>
      </c>
      <c r="F28" s="9" t="s">
        <v>1598</v>
      </c>
      <c r="I28" t="s">
        <v>465</v>
      </c>
      <c r="J28" t="s">
        <v>1595</v>
      </c>
      <c r="L28" s="12" t="s">
        <v>465</v>
      </c>
      <c r="N28" t="str">
        <f t="shared" si="0"/>
        <v/>
      </c>
    </row>
    <row r="29" spans="1:14" ht="20" x14ac:dyDescent="0.2">
      <c r="A29" s="9">
        <v>76</v>
      </c>
      <c r="B29" s="7" t="s">
        <v>466</v>
      </c>
      <c r="C29" s="9" t="s">
        <v>1633</v>
      </c>
      <c r="D29" s="9" t="s">
        <v>1595</v>
      </c>
      <c r="E29" s="9" t="s">
        <v>376</v>
      </c>
      <c r="F29" s="9" t="s">
        <v>1596</v>
      </c>
      <c r="I29" t="s">
        <v>466</v>
      </c>
      <c r="J29" t="s">
        <v>1595</v>
      </c>
      <c r="L29" s="12" t="s">
        <v>466</v>
      </c>
      <c r="N29" t="str">
        <f t="shared" si="0"/>
        <v/>
      </c>
    </row>
    <row r="30" spans="1:14" ht="20" x14ac:dyDescent="0.2">
      <c r="A30" s="9">
        <v>146</v>
      </c>
      <c r="B30" s="7" t="s">
        <v>467</v>
      </c>
      <c r="C30" s="9" t="s">
        <v>1634</v>
      </c>
      <c r="D30" s="9" t="s">
        <v>1605</v>
      </c>
      <c r="E30" s="9" t="s">
        <v>395</v>
      </c>
      <c r="F30" s="9" t="s">
        <v>1612</v>
      </c>
      <c r="I30" t="s">
        <v>467</v>
      </c>
      <c r="J30" t="s">
        <v>1605</v>
      </c>
      <c r="L30" s="12" t="s">
        <v>467</v>
      </c>
      <c r="N30" t="str">
        <f t="shared" si="0"/>
        <v/>
      </c>
    </row>
    <row r="31" spans="1:14" ht="20" x14ac:dyDescent="0.2">
      <c r="A31" s="9">
        <v>64</v>
      </c>
      <c r="B31" s="7" t="s">
        <v>468</v>
      </c>
      <c r="C31" s="9" t="s">
        <v>1635</v>
      </c>
      <c r="D31" s="9" t="s">
        <v>1595</v>
      </c>
      <c r="E31" s="9" t="s">
        <v>1589</v>
      </c>
      <c r="F31" s="9" t="s">
        <v>1598</v>
      </c>
      <c r="I31" t="s">
        <v>468</v>
      </c>
      <c r="J31" t="s">
        <v>1595</v>
      </c>
      <c r="L31" s="12" t="s">
        <v>468</v>
      </c>
      <c r="N31" t="str">
        <f t="shared" si="0"/>
        <v/>
      </c>
    </row>
    <row r="32" spans="1:14" ht="20" x14ac:dyDescent="0.2">
      <c r="A32" s="9">
        <v>65</v>
      </c>
      <c r="B32" s="7" t="s">
        <v>469</v>
      </c>
      <c r="C32" s="9" t="s">
        <v>1636</v>
      </c>
      <c r="D32" s="9" t="s">
        <v>1595</v>
      </c>
      <c r="E32" s="9" t="s">
        <v>1589</v>
      </c>
      <c r="F32" s="9" t="s">
        <v>1598</v>
      </c>
      <c r="I32" t="s">
        <v>469</v>
      </c>
      <c r="J32" t="s">
        <v>1595</v>
      </c>
      <c r="L32" s="12" t="s">
        <v>469</v>
      </c>
      <c r="N32" t="str">
        <f t="shared" si="0"/>
        <v/>
      </c>
    </row>
    <row r="33" spans="1:14" ht="20" x14ac:dyDescent="0.2">
      <c r="A33" s="9">
        <v>66</v>
      </c>
      <c r="B33" s="7" t="s">
        <v>470</v>
      </c>
      <c r="C33" s="9" t="s">
        <v>1637</v>
      </c>
      <c r="D33" s="9" t="s">
        <v>1595</v>
      </c>
      <c r="E33" s="9" t="s">
        <v>1589</v>
      </c>
      <c r="F33" s="9" t="s">
        <v>1598</v>
      </c>
      <c r="I33" t="s">
        <v>470</v>
      </c>
      <c r="J33" t="s">
        <v>1595</v>
      </c>
      <c r="L33" s="12" t="s">
        <v>470</v>
      </c>
      <c r="N33" t="str">
        <f t="shared" si="0"/>
        <v/>
      </c>
    </row>
    <row r="34" spans="1:14" ht="20" x14ac:dyDescent="0.2">
      <c r="A34" s="9">
        <v>67</v>
      </c>
      <c r="B34" s="7" t="s">
        <v>471</v>
      </c>
      <c r="C34" s="9" t="s">
        <v>1638</v>
      </c>
      <c r="D34" s="9" t="s">
        <v>1595</v>
      </c>
      <c r="E34" s="9" t="s">
        <v>1589</v>
      </c>
      <c r="F34" s="9" t="s">
        <v>1598</v>
      </c>
      <c r="I34" t="s">
        <v>471</v>
      </c>
      <c r="J34" t="s">
        <v>1595</v>
      </c>
      <c r="L34" s="12" t="s">
        <v>471</v>
      </c>
      <c r="N34" t="str">
        <f t="shared" si="0"/>
        <v/>
      </c>
    </row>
    <row r="35" spans="1:14" ht="20" x14ac:dyDescent="0.2">
      <c r="A35" s="9">
        <v>91</v>
      </c>
      <c r="B35" s="7" t="s">
        <v>472</v>
      </c>
      <c r="C35" s="9" t="s">
        <v>1639</v>
      </c>
      <c r="D35" s="9" t="s">
        <v>1595</v>
      </c>
      <c r="E35" s="9" t="s">
        <v>376</v>
      </c>
      <c r="F35" s="9" t="s">
        <v>1606</v>
      </c>
      <c r="I35" t="s">
        <v>472</v>
      </c>
      <c r="J35" t="s">
        <v>1595</v>
      </c>
      <c r="L35" s="12" t="s">
        <v>472</v>
      </c>
      <c r="N35" t="str">
        <f t="shared" si="0"/>
        <v/>
      </c>
    </row>
    <row r="36" spans="1:14" ht="20" x14ac:dyDescent="0.2">
      <c r="A36" s="9">
        <v>92</v>
      </c>
      <c r="B36" s="7" t="s">
        <v>473</v>
      </c>
      <c r="C36" s="9" t="s">
        <v>1640</v>
      </c>
      <c r="D36" s="9" t="s">
        <v>1595</v>
      </c>
      <c r="E36" s="9" t="s">
        <v>376</v>
      </c>
      <c r="F36" s="9" t="s">
        <v>1606</v>
      </c>
      <c r="I36" t="s">
        <v>473</v>
      </c>
      <c r="J36" t="s">
        <v>1595</v>
      </c>
      <c r="L36" s="12" t="s">
        <v>473</v>
      </c>
      <c r="N36" t="str">
        <f t="shared" si="0"/>
        <v/>
      </c>
    </row>
    <row r="37" spans="1:14" ht="20" x14ac:dyDescent="0.2">
      <c r="A37" s="9">
        <v>93</v>
      </c>
      <c r="B37" s="7" t="s">
        <v>474</v>
      </c>
      <c r="C37" s="9" t="s">
        <v>1641</v>
      </c>
      <c r="D37" s="9" t="s">
        <v>1595</v>
      </c>
      <c r="E37" s="9" t="s">
        <v>376</v>
      </c>
      <c r="F37" s="9" t="s">
        <v>1606</v>
      </c>
      <c r="I37" t="s">
        <v>474</v>
      </c>
      <c r="J37" t="s">
        <v>1595</v>
      </c>
      <c r="L37" s="12" t="s">
        <v>474</v>
      </c>
      <c r="N37" t="str">
        <f t="shared" si="0"/>
        <v/>
      </c>
    </row>
    <row r="38" spans="1:14" ht="20" x14ac:dyDescent="0.2">
      <c r="A38" s="9">
        <v>23</v>
      </c>
      <c r="B38" s="7" t="s">
        <v>475</v>
      </c>
      <c r="C38" s="9" t="s">
        <v>1642</v>
      </c>
      <c r="D38" s="9" t="s">
        <v>1592</v>
      </c>
      <c r="E38" s="9" t="s">
        <v>1589</v>
      </c>
      <c r="F38" s="9" t="s">
        <v>1593</v>
      </c>
      <c r="I38" t="s">
        <v>475</v>
      </c>
      <c r="J38" t="s">
        <v>1592</v>
      </c>
      <c r="L38" s="12" t="s">
        <v>475</v>
      </c>
      <c r="N38" t="str">
        <f t="shared" si="0"/>
        <v/>
      </c>
    </row>
    <row r="39" spans="1:14" ht="20" x14ac:dyDescent="0.2">
      <c r="A39" s="9">
        <v>97</v>
      </c>
      <c r="B39" s="7" t="s">
        <v>476</v>
      </c>
      <c r="C39" s="9" t="s">
        <v>1643</v>
      </c>
      <c r="D39" s="9" t="s">
        <v>1605</v>
      </c>
      <c r="E39" s="9" t="s">
        <v>376</v>
      </c>
      <c r="F39" s="9" t="s">
        <v>1606</v>
      </c>
      <c r="I39" t="s">
        <v>476</v>
      </c>
      <c r="J39" t="s">
        <v>1605</v>
      </c>
      <c r="L39" s="12" t="s">
        <v>476</v>
      </c>
      <c r="N39" t="str">
        <f t="shared" si="0"/>
        <v/>
      </c>
    </row>
    <row r="40" spans="1:14" ht="20" x14ac:dyDescent="0.2">
      <c r="A40" s="9">
        <v>24</v>
      </c>
      <c r="B40" s="7" t="s">
        <v>477</v>
      </c>
      <c r="C40" s="9" t="s">
        <v>1644</v>
      </c>
      <c r="D40" s="9" t="s">
        <v>1592</v>
      </c>
      <c r="E40" s="9" t="s">
        <v>1589</v>
      </c>
      <c r="F40" s="9" t="s">
        <v>1593</v>
      </c>
      <c r="I40" t="s">
        <v>477</v>
      </c>
      <c r="J40" t="s">
        <v>1592</v>
      </c>
      <c r="L40" s="12" t="s">
        <v>477</v>
      </c>
      <c r="N40" t="str">
        <f t="shared" si="0"/>
        <v/>
      </c>
    </row>
    <row r="41" spans="1:14" ht="20" x14ac:dyDescent="0.2">
      <c r="A41" s="9">
        <v>77</v>
      </c>
      <c r="B41" s="7" t="s">
        <v>478</v>
      </c>
      <c r="C41" s="9" t="s">
        <v>1645</v>
      </c>
      <c r="D41" s="9" t="s">
        <v>1595</v>
      </c>
      <c r="E41" s="9" t="s">
        <v>376</v>
      </c>
      <c r="F41" s="9" t="s">
        <v>1596</v>
      </c>
      <c r="I41" t="s">
        <v>478</v>
      </c>
      <c r="J41" t="s">
        <v>1595</v>
      </c>
      <c r="L41" t="s">
        <v>478</v>
      </c>
      <c r="N41" t="str">
        <f t="shared" si="0"/>
        <v/>
      </c>
    </row>
    <row r="42" spans="1:14" ht="20" x14ac:dyDescent="0.2">
      <c r="A42" s="9">
        <v>9</v>
      </c>
      <c r="B42" s="10" t="s">
        <v>479</v>
      </c>
      <c r="C42" s="9" t="s">
        <v>1646</v>
      </c>
      <c r="D42" s="9" t="s">
        <v>1595</v>
      </c>
      <c r="E42" s="9" t="s">
        <v>1589</v>
      </c>
      <c r="F42" s="9" t="s">
        <v>1647</v>
      </c>
      <c r="I42" t="s">
        <v>479</v>
      </c>
      <c r="J42" t="s">
        <v>1595</v>
      </c>
      <c r="L42" s="12" t="s">
        <v>479</v>
      </c>
      <c r="N42" t="str">
        <f t="shared" si="0"/>
        <v/>
      </c>
    </row>
    <row r="43" spans="1:14" ht="20" x14ac:dyDescent="0.2">
      <c r="A43" s="9">
        <v>116</v>
      </c>
      <c r="B43" s="7" t="s">
        <v>480</v>
      </c>
      <c r="C43" s="9" t="s">
        <v>1648</v>
      </c>
      <c r="D43" s="9" t="s">
        <v>1592</v>
      </c>
      <c r="E43" s="9" t="s">
        <v>395</v>
      </c>
      <c r="F43" s="9" t="s">
        <v>1628</v>
      </c>
      <c r="I43" t="s">
        <v>480</v>
      </c>
      <c r="J43" t="s">
        <v>1592</v>
      </c>
      <c r="L43" s="12" t="s">
        <v>480</v>
      </c>
      <c r="N43" t="str">
        <f t="shared" si="0"/>
        <v/>
      </c>
    </row>
    <row r="44" spans="1:14" ht="20" x14ac:dyDescent="0.2">
      <c r="A44" s="9">
        <v>130</v>
      </c>
      <c r="B44" s="7" t="s">
        <v>481</v>
      </c>
      <c r="C44" s="9" t="s">
        <v>1649</v>
      </c>
      <c r="D44" s="9" t="s">
        <v>1592</v>
      </c>
      <c r="E44" s="9" t="s">
        <v>395</v>
      </c>
      <c r="F44" s="9" t="s">
        <v>1650</v>
      </c>
      <c r="I44" t="s">
        <v>481</v>
      </c>
      <c r="J44" t="s">
        <v>1592</v>
      </c>
      <c r="L44" s="12" t="s">
        <v>481</v>
      </c>
      <c r="N44" t="str">
        <f t="shared" si="0"/>
        <v/>
      </c>
    </row>
    <row r="45" spans="1:14" ht="20" x14ac:dyDescent="0.2">
      <c r="A45" s="9">
        <v>60</v>
      </c>
      <c r="B45" s="7" t="s">
        <v>482</v>
      </c>
      <c r="C45" s="9" t="s">
        <v>1651</v>
      </c>
      <c r="D45" s="9" t="s">
        <v>1609</v>
      </c>
      <c r="E45" s="9" t="s">
        <v>1589</v>
      </c>
      <c r="F45" s="9" t="s">
        <v>1610</v>
      </c>
      <c r="I45" t="s">
        <v>482</v>
      </c>
      <c r="J45" t="s">
        <v>1609</v>
      </c>
      <c r="L45" s="12" t="s">
        <v>482</v>
      </c>
      <c r="N45" t="str">
        <f t="shared" si="0"/>
        <v/>
      </c>
    </row>
    <row r="46" spans="1:14" ht="20" x14ac:dyDescent="0.2">
      <c r="A46" s="9">
        <v>61</v>
      </c>
      <c r="B46" s="7" t="s">
        <v>483</v>
      </c>
      <c r="C46" s="9" t="s">
        <v>1652</v>
      </c>
      <c r="D46" s="9" t="s">
        <v>1609</v>
      </c>
      <c r="E46" s="9" t="s">
        <v>1589</v>
      </c>
      <c r="F46" s="9" t="s">
        <v>1610</v>
      </c>
      <c r="I46" t="s">
        <v>483</v>
      </c>
      <c r="J46" t="s">
        <v>1609</v>
      </c>
      <c r="L46" s="12" t="s">
        <v>483</v>
      </c>
      <c r="N46" t="str">
        <f t="shared" si="0"/>
        <v/>
      </c>
    </row>
    <row r="47" spans="1:14" ht="20" x14ac:dyDescent="0.2">
      <c r="A47" s="9">
        <v>131</v>
      </c>
      <c r="B47" s="7" t="s">
        <v>484</v>
      </c>
      <c r="C47" s="9" t="s">
        <v>1653</v>
      </c>
      <c r="D47" s="9" t="s">
        <v>1595</v>
      </c>
      <c r="E47" s="9" t="s">
        <v>395</v>
      </c>
      <c r="F47" s="9" t="s">
        <v>1650</v>
      </c>
      <c r="I47" t="s">
        <v>484</v>
      </c>
      <c r="J47" t="s">
        <v>1595</v>
      </c>
      <c r="L47" s="12" t="s">
        <v>484</v>
      </c>
      <c r="N47" t="str">
        <f t="shared" si="0"/>
        <v/>
      </c>
    </row>
    <row r="48" spans="1:14" ht="20" x14ac:dyDescent="0.2">
      <c r="A48" s="9">
        <v>132</v>
      </c>
      <c r="B48" s="7" t="s">
        <v>485</v>
      </c>
      <c r="C48" s="9" t="s">
        <v>1654</v>
      </c>
      <c r="D48" s="9" t="s">
        <v>1595</v>
      </c>
      <c r="E48" s="9" t="s">
        <v>395</v>
      </c>
      <c r="F48" s="9" t="s">
        <v>1650</v>
      </c>
      <c r="I48" t="s">
        <v>485</v>
      </c>
      <c r="J48" t="s">
        <v>1595</v>
      </c>
      <c r="L48" s="12" t="s">
        <v>485</v>
      </c>
      <c r="N48" t="str">
        <f t="shared" si="0"/>
        <v/>
      </c>
    </row>
    <row r="49" spans="1:14" ht="20" x14ac:dyDescent="0.2">
      <c r="A49" s="9">
        <v>127</v>
      </c>
      <c r="B49" s="7" t="s">
        <v>486</v>
      </c>
      <c r="C49" s="9" t="s">
        <v>1655</v>
      </c>
      <c r="D49" s="9" t="s">
        <v>1595</v>
      </c>
      <c r="E49" s="9" t="s">
        <v>395</v>
      </c>
      <c r="F49" s="9" t="s">
        <v>1656</v>
      </c>
      <c r="I49" t="s">
        <v>486</v>
      </c>
      <c r="J49" t="s">
        <v>1595</v>
      </c>
      <c r="L49" t="s">
        <v>486</v>
      </c>
      <c r="N49" t="str">
        <f t="shared" si="0"/>
        <v/>
      </c>
    </row>
    <row r="50" spans="1:14" ht="20" x14ac:dyDescent="0.2">
      <c r="A50" s="9">
        <v>128</v>
      </c>
      <c r="B50" s="7" t="s">
        <v>487</v>
      </c>
      <c r="C50" s="9" t="s">
        <v>1657</v>
      </c>
      <c r="D50" s="9" t="s">
        <v>1595</v>
      </c>
      <c r="E50" s="9" t="s">
        <v>395</v>
      </c>
      <c r="F50" s="9" t="s">
        <v>1656</v>
      </c>
      <c r="I50" t="s">
        <v>487</v>
      </c>
      <c r="J50" t="s">
        <v>1595</v>
      </c>
      <c r="L50" s="12" t="s">
        <v>487</v>
      </c>
      <c r="N50" t="str">
        <f t="shared" si="0"/>
        <v/>
      </c>
    </row>
    <row r="51" spans="1:14" ht="20" x14ac:dyDescent="0.2">
      <c r="A51" s="9">
        <v>7</v>
      </c>
      <c r="B51" s="10" t="s">
        <v>488</v>
      </c>
      <c r="C51" s="9" t="s">
        <v>1658</v>
      </c>
      <c r="D51" s="9" t="s">
        <v>1592</v>
      </c>
      <c r="E51" s="9" t="s">
        <v>1589</v>
      </c>
      <c r="F51" s="9" t="s">
        <v>1647</v>
      </c>
      <c r="I51" t="s">
        <v>488</v>
      </c>
      <c r="J51" t="s">
        <v>1592</v>
      </c>
      <c r="L51" s="12" t="s">
        <v>488</v>
      </c>
      <c r="N51" t="str">
        <f t="shared" si="0"/>
        <v/>
      </c>
    </row>
    <row r="52" spans="1:14" ht="20" x14ac:dyDescent="0.2">
      <c r="A52" s="9">
        <v>142</v>
      </c>
      <c r="B52" s="7" t="s">
        <v>489</v>
      </c>
      <c r="C52" s="9" t="s">
        <v>1659</v>
      </c>
      <c r="D52" s="9" t="s">
        <v>1605</v>
      </c>
      <c r="E52" s="9" t="s">
        <v>395</v>
      </c>
      <c r="F52" s="9" t="s">
        <v>1600</v>
      </c>
      <c r="I52" t="s">
        <v>489</v>
      </c>
      <c r="J52" t="s">
        <v>1605</v>
      </c>
      <c r="L52" s="12" t="s">
        <v>489</v>
      </c>
      <c r="N52" t="str">
        <f t="shared" si="0"/>
        <v/>
      </c>
    </row>
    <row r="53" spans="1:14" ht="20" x14ac:dyDescent="0.2">
      <c r="A53" s="9">
        <v>126</v>
      </c>
      <c r="B53" s="7" t="s">
        <v>237</v>
      </c>
      <c r="C53" s="9" t="s">
        <v>1660</v>
      </c>
      <c r="D53" s="9" t="s">
        <v>1592</v>
      </c>
      <c r="E53" s="9" t="s">
        <v>395</v>
      </c>
      <c r="F53" s="9" t="s">
        <v>1656</v>
      </c>
      <c r="I53" t="s">
        <v>237</v>
      </c>
      <c r="J53" t="s">
        <v>1592</v>
      </c>
      <c r="L53" s="12" t="s">
        <v>237</v>
      </c>
      <c r="N53" t="str">
        <f t="shared" si="0"/>
        <v/>
      </c>
    </row>
    <row r="54" spans="1:14" ht="20" x14ac:dyDescent="0.2">
      <c r="A54" s="9">
        <v>129</v>
      </c>
      <c r="B54" s="7" t="s">
        <v>490</v>
      </c>
      <c r="C54" s="9" t="s">
        <v>1661</v>
      </c>
      <c r="D54" s="9" t="s">
        <v>1595</v>
      </c>
      <c r="E54" s="9" t="s">
        <v>395</v>
      </c>
      <c r="F54" s="9" t="s">
        <v>1656</v>
      </c>
      <c r="I54" t="s">
        <v>490</v>
      </c>
      <c r="J54" t="s">
        <v>1595</v>
      </c>
      <c r="L54" s="12" t="s">
        <v>490</v>
      </c>
      <c r="N54" t="str">
        <f t="shared" si="0"/>
        <v/>
      </c>
    </row>
    <row r="55" spans="1:14" ht="20" x14ac:dyDescent="0.2">
      <c r="A55" s="9">
        <v>100</v>
      </c>
      <c r="B55" s="7" t="s">
        <v>491</v>
      </c>
      <c r="C55" s="9" t="s">
        <v>1662</v>
      </c>
      <c r="D55" s="9" t="s">
        <v>1595</v>
      </c>
      <c r="E55" s="9" t="s">
        <v>376</v>
      </c>
      <c r="F55" s="9" t="s">
        <v>1621</v>
      </c>
      <c r="I55" t="s">
        <v>491</v>
      </c>
      <c r="J55" t="s">
        <v>1595</v>
      </c>
      <c r="L55" s="12" t="s">
        <v>491</v>
      </c>
      <c r="N55" t="str">
        <f t="shared" si="0"/>
        <v/>
      </c>
    </row>
    <row r="56" spans="1:14" ht="20" x14ac:dyDescent="0.2">
      <c r="A56" s="9">
        <v>101</v>
      </c>
      <c r="B56" s="7" t="s">
        <v>492</v>
      </c>
      <c r="C56" s="9" t="s">
        <v>1663</v>
      </c>
      <c r="D56" s="9" t="s">
        <v>1595</v>
      </c>
      <c r="E56" s="9" t="s">
        <v>376</v>
      </c>
      <c r="F56" s="9" t="s">
        <v>1621</v>
      </c>
      <c r="I56" t="s">
        <v>492</v>
      </c>
      <c r="J56" t="s">
        <v>1595</v>
      </c>
      <c r="L56" s="12" t="s">
        <v>492</v>
      </c>
      <c r="N56" t="str">
        <f t="shared" si="0"/>
        <v/>
      </c>
    </row>
    <row r="57" spans="1:14" ht="20" x14ac:dyDescent="0.2">
      <c r="A57" s="9">
        <v>50</v>
      </c>
      <c r="B57" s="7" t="s">
        <v>493</v>
      </c>
      <c r="C57" s="9" t="s">
        <v>1664</v>
      </c>
      <c r="D57" s="9" t="s">
        <v>1609</v>
      </c>
      <c r="E57" s="9" t="s">
        <v>1589</v>
      </c>
      <c r="F57" s="9" t="s">
        <v>1616</v>
      </c>
      <c r="I57" t="s">
        <v>493</v>
      </c>
      <c r="J57" t="s">
        <v>1609</v>
      </c>
      <c r="L57" s="12" t="s">
        <v>493</v>
      </c>
      <c r="N57" t="str">
        <f t="shared" si="0"/>
        <v/>
      </c>
    </row>
    <row r="58" spans="1:14" ht="20" x14ac:dyDescent="0.2">
      <c r="A58" s="9">
        <v>120</v>
      </c>
      <c r="B58" s="7" t="s">
        <v>494</v>
      </c>
      <c r="C58" s="9" t="s">
        <v>1665</v>
      </c>
      <c r="D58" s="9" t="s">
        <v>1595</v>
      </c>
      <c r="E58" s="9" t="s">
        <v>395</v>
      </c>
      <c r="F58" s="9" t="s">
        <v>1628</v>
      </c>
      <c r="I58" t="s">
        <v>494</v>
      </c>
      <c r="J58" t="s">
        <v>1595</v>
      </c>
      <c r="L58" s="12" t="s">
        <v>494</v>
      </c>
      <c r="N58" t="str">
        <f t="shared" si="0"/>
        <v/>
      </c>
    </row>
    <row r="59" spans="1:14" ht="20" x14ac:dyDescent="0.2">
      <c r="A59" s="9">
        <v>70</v>
      </c>
      <c r="B59" s="7" t="s">
        <v>495</v>
      </c>
      <c r="C59" s="9" t="s">
        <v>1666</v>
      </c>
      <c r="D59" s="9" t="s">
        <v>1605</v>
      </c>
      <c r="E59" s="9" t="s">
        <v>1589</v>
      </c>
      <c r="F59" s="9" t="s">
        <v>1598</v>
      </c>
      <c r="I59" t="s">
        <v>495</v>
      </c>
      <c r="J59" t="s">
        <v>1605</v>
      </c>
      <c r="L59" s="12" t="s">
        <v>495</v>
      </c>
      <c r="N59" t="str">
        <f t="shared" si="0"/>
        <v/>
      </c>
    </row>
    <row r="60" spans="1:14" ht="20" x14ac:dyDescent="0.2">
      <c r="A60" s="9">
        <v>47</v>
      </c>
      <c r="B60" s="7" t="s">
        <v>496</v>
      </c>
      <c r="C60" s="9" t="s">
        <v>1667</v>
      </c>
      <c r="D60" s="9" t="s">
        <v>1595</v>
      </c>
      <c r="E60" s="9" t="s">
        <v>1589</v>
      </c>
      <c r="F60" s="9" t="s">
        <v>1616</v>
      </c>
      <c r="I60" t="s">
        <v>496</v>
      </c>
      <c r="J60" t="s">
        <v>1595</v>
      </c>
      <c r="L60" s="12" t="s">
        <v>496</v>
      </c>
      <c r="N60" t="str">
        <f t="shared" si="0"/>
        <v/>
      </c>
    </row>
    <row r="61" spans="1:14" ht="20" x14ac:dyDescent="0.2">
      <c r="A61" s="9">
        <v>78</v>
      </c>
      <c r="B61" s="7" t="s">
        <v>497</v>
      </c>
      <c r="C61" s="9" t="s">
        <v>1668</v>
      </c>
      <c r="D61" s="9" t="s">
        <v>1595</v>
      </c>
      <c r="E61" s="9" t="s">
        <v>376</v>
      </c>
      <c r="F61" s="9" t="s">
        <v>1596</v>
      </c>
      <c r="I61" t="s">
        <v>497</v>
      </c>
      <c r="J61" t="s">
        <v>1595</v>
      </c>
      <c r="L61" s="12" t="s">
        <v>497</v>
      </c>
      <c r="N61" t="str">
        <f t="shared" si="0"/>
        <v/>
      </c>
    </row>
    <row r="62" spans="1:14" ht="20" x14ac:dyDescent="0.2">
      <c r="A62" s="9">
        <v>110</v>
      </c>
      <c r="B62" s="7" t="s">
        <v>498</v>
      </c>
      <c r="C62" s="9" t="s">
        <v>1669</v>
      </c>
      <c r="D62" s="9" t="s">
        <v>1670</v>
      </c>
      <c r="E62" s="9" t="s">
        <v>376</v>
      </c>
      <c r="F62" s="9" t="s">
        <v>1621</v>
      </c>
      <c r="I62" t="s">
        <v>498</v>
      </c>
      <c r="J62" t="s">
        <v>1670</v>
      </c>
      <c r="L62" s="12" t="s">
        <v>498</v>
      </c>
      <c r="N62" t="str">
        <f t="shared" si="0"/>
        <v/>
      </c>
    </row>
    <row r="63" spans="1:14" ht="20" x14ac:dyDescent="0.2">
      <c r="A63" s="9">
        <v>44</v>
      </c>
      <c r="B63" s="7" t="s">
        <v>1671</v>
      </c>
      <c r="C63" s="9" t="s">
        <v>1672</v>
      </c>
      <c r="D63" s="9" t="s">
        <v>1592</v>
      </c>
      <c r="E63" s="9" t="s">
        <v>1589</v>
      </c>
      <c r="F63" s="9" t="s">
        <v>1616</v>
      </c>
      <c r="I63" t="s">
        <v>499</v>
      </c>
      <c r="J63" t="s">
        <v>1592</v>
      </c>
      <c r="L63" s="12" t="s">
        <v>499</v>
      </c>
      <c r="N63" t="str">
        <f t="shared" si="0"/>
        <v/>
      </c>
    </row>
    <row r="64" spans="1:14" ht="20" x14ac:dyDescent="0.2">
      <c r="A64" s="9">
        <v>3</v>
      </c>
      <c r="B64" s="10" t="s">
        <v>500</v>
      </c>
      <c r="C64" s="9" t="s">
        <v>1673</v>
      </c>
      <c r="D64" s="9" t="s">
        <v>1595</v>
      </c>
      <c r="E64" s="9" t="s">
        <v>1589</v>
      </c>
      <c r="F64" s="9" t="s">
        <v>1590</v>
      </c>
      <c r="I64" t="s">
        <v>500</v>
      </c>
      <c r="J64" t="s">
        <v>1595</v>
      </c>
      <c r="L64" s="12" t="s">
        <v>500</v>
      </c>
      <c r="N64" t="str">
        <f t="shared" si="0"/>
        <v/>
      </c>
    </row>
    <row r="65" spans="1:14" ht="20" x14ac:dyDescent="0.2">
      <c r="A65" s="9">
        <v>79</v>
      </c>
      <c r="B65" s="7" t="s">
        <v>501</v>
      </c>
      <c r="C65" s="9" t="s">
        <v>1674</v>
      </c>
      <c r="D65" s="9" t="s">
        <v>1595</v>
      </c>
      <c r="E65" s="9" t="s">
        <v>376</v>
      </c>
      <c r="F65" s="9" t="s">
        <v>1596</v>
      </c>
      <c r="I65" t="s">
        <v>501</v>
      </c>
      <c r="J65" t="s">
        <v>1595</v>
      </c>
      <c r="L65" s="12" t="s">
        <v>501</v>
      </c>
      <c r="N65" t="str">
        <f t="shared" si="0"/>
        <v/>
      </c>
    </row>
    <row r="66" spans="1:14" ht="20" x14ac:dyDescent="0.2">
      <c r="A66" s="9">
        <v>80</v>
      </c>
      <c r="B66" s="7" t="s">
        <v>502</v>
      </c>
      <c r="C66" s="9" t="s">
        <v>1675</v>
      </c>
      <c r="D66" s="9" t="s">
        <v>1595</v>
      </c>
      <c r="E66" s="9" t="s">
        <v>376</v>
      </c>
      <c r="F66" s="9" t="s">
        <v>1596</v>
      </c>
      <c r="I66" t="s">
        <v>502</v>
      </c>
      <c r="J66" t="s">
        <v>1595</v>
      </c>
      <c r="L66" s="12" t="s">
        <v>502</v>
      </c>
      <c r="N66" t="str">
        <f t="shared" ref="N66:N129" si="1">IF(I66=L66,"","X")</f>
        <v/>
      </c>
    </row>
    <row r="67" spans="1:14" ht="20" x14ac:dyDescent="0.2">
      <c r="A67" s="9">
        <v>81</v>
      </c>
      <c r="B67" s="7" t="s">
        <v>503</v>
      </c>
      <c r="C67" s="9" t="s">
        <v>1676</v>
      </c>
      <c r="D67" s="9" t="s">
        <v>1595</v>
      </c>
      <c r="E67" s="9" t="s">
        <v>376</v>
      </c>
      <c r="F67" s="9" t="s">
        <v>1596</v>
      </c>
      <c r="I67" t="s">
        <v>503</v>
      </c>
      <c r="J67" t="s">
        <v>1595</v>
      </c>
      <c r="L67" s="12" t="s">
        <v>503</v>
      </c>
      <c r="N67" t="str">
        <f t="shared" si="1"/>
        <v/>
      </c>
    </row>
    <row r="68" spans="1:14" ht="20" x14ac:dyDescent="0.2">
      <c r="A68" s="9">
        <v>117</v>
      </c>
      <c r="B68" s="7" t="s">
        <v>504</v>
      </c>
      <c r="C68" s="9" t="s">
        <v>1677</v>
      </c>
      <c r="D68" s="9" t="s">
        <v>1592</v>
      </c>
      <c r="E68" s="9" t="s">
        <v>395</v>
      </c>
      <c r="F68" s="9" t="s">
        <v>1628</v>
      </c>
      <c r="I68" t="s">
        <v>504</v>
      </c>
      <c r="J68" t="s">
        <v>1592</v>
      </c>
      <c r="L68" s="12" t="s">
        <v>504</v>
      </c>
      <c r="N68" t="str">
        <f t="shared" si="1"/>
        <v/>
      </c>
    </row>
    <row r="69" spans="1:14" ht="20" x14ac:dyDescent="0.2">
      <c r="A69" s="9">
        <v>10</v>
      </c>
      <c r="B69" s="10" t="s">
        <v>505</v>
      </c>
      <c r="C69" s="9" t="s">
        <v>1678</v>
      </c>
      <c r="D69" s="9" t="s">
        <v>1595</v>
      </c>
      <c r="E69" s="9" t="s">
        <v>1589</v>
      </c>
      <c r="F69" s="9" t="s">
        <v>1647</v>
      </c>
      <c r="I69" t="s">
        <v>505</v>
      </c>
      <c r="J69" t="s">
        <v>1595</v>
      </c>
      <c r="L69" s="12" t="s">
        <v>505</v>
      </c>
      <c r="N69" t="str">
        <f t="shared" si="1"/>
        <v/>
      </c>
    </row>
    <row r="70" spans="1:14" ht="20" x14ac:dyDescent="0.2">
      <c r="A70" s="9">
        <v>11</v>
      </c>
      <c r="B70" s="7" t="s">
        <v>506</v>
      </c>
      <c r="C70" s="9" t="s">
        <v>1679</v>
      </c>
      <c r="D70" s="9" t="s">
        <v>1595</v>
      </c>
      <c r="E70" s="9" t="s">
        <v>1589</v>
      </c>
      <c r="F70" s="9" t="s">
        <v>1647</v>
      </c>
      <c r="I70" t="s">
        <v>506</v>
      </c>
      <c r="J70" t="s">
        <v>1595</v>
      </c>
      <c r="L70" s="12" t="s">
        <v>506</v>
      </c>
      <c r="N70" t="str">
        <f t="shared" si="1"/>
        <v/>
      </c>
    </row>
    <row r="71" spans="1:14" ht="20" x14ac:dyDescent="0.2">
      <c r="A71" s="9">
        <v>17</v>
      </c>
      <c r="B71" s="7" t="s">
        <v>507</v>
      </c>
      <c r="C71" s="9" t="s">
        <v>1680</v>
      </c>
      <c r="D71" s="9" t="s">
        <v>1595</v>
      </c>
      <c r="E71" s="9" t="s">
        <v>1589</v>
      </c>
      <c r="F71" s="9" t="s">
        <v>1614</v>
      </c>
      <c r="I71" t="s">
        <v>507</v>
      </c>
      <c r="J71" t="s">
        <v>1595</v>
      </c>
      <c r="L71" s="12" t="s">
        <v>507</v>
      </c>
      <c r="N71" t="str">
        <f t="shared" si="1"/>
        <v/>
      </c>
    </row>
    <row r="72" spans="1:14" ht="20" x14ac:dyDescent="0.2">
      <c r="A72" s="9">
        <v>18</v>
      </c>
      <c r="B72" s="7" t="s">
        <v>508</v>
      </c>
      <c r="C72" s="9" t="s">
        <v>1681</v>
      </c>
      <c r="D72" s="9" t="s">
        <v>1588</v>
      </c>
      <c r="E72" s="9" t="s">
        <v>1589</v>
      </c>
      <c r="F72" s="9" t="s">
        <v>1614</v>
      </c>
      <c r="I72" t="s">
        <v>508</v>
      </c>
      <c r="J72" t="s">
        <v>1588</v>
      </c>
      <c r="L72" s="12" t="s">
        <v>508</v>
      </c>
      <c r="N72" t="str">
        <f t="shared" si="1"/>
        <v/>
      </c>
    </row>
    <row r="73" spans="1:14" ht="20" x14ac:dyDescent="0.2">
      <c r="A73" s="9">
        <v>4</v>
      </c>
      <c r="B73" s="10" t="s">
        <v>509</v>
      </c>
      <c r="C73" s="9" t="s">
        <v>1682</v>
      </c>
      <c r="D73" s="9" t="s">
        <v>1595</v>
      </c>
      <c r="E73" s="9" t="s">
        <v>1589</v>
      </c>
      <c r="F73" s="9" t="s">
        <v>1590</v>
      </c>
      <c r="I73" t="s">
        <v>509</v>
      </c>
      <c r="J73" t="s">
        <v>1595</v>
      </c>
      <c r="L73" s="12" t="s">
        <v>509</v>
      </c>
      <c r="N73" t="str">
        <f t="shared" si="1"/>
        <v/>
      </c>
    </row>
    <row r="74" spans="1:14" ht="20" x14ac:dyDescent="0.2">
      <c r="A74" s="9">
        <v>121</v>
      </c>
      <c r="B74" s="7" t="s">
        <v>510</v>
      </c>
      <c r="C74" s="9" t="s">
        <v>1683</v>
      </c>
      <c r="D74" s="9" t="s">
        <v>1595</v>
      </c>
      <c r="E74" s="9" t="s">
        <v>395</v>
      </c>
      <c r="F74" s="9" t="s">
        <v>1628</v>
      </c>
      <c r="I74" t="s">
        <v>510</v>
      </c>
      <c r="J74" t="s">
        <v>1595</v>
      </c>
      <c r="L74" s="12" t="s">
        <v>510</v>
      </c>
      <c r="N74" t="str">
        <f t="shared" si="1"/>
        <v/>
      </c>
    </row>
    <row r="75" spans="1:14" ht="20" x14ac:dyDescent="0.2">
      <c r="A75" s="9">
        <v>143</v>
      </c>
      <c r="B75" s="7" t="s">
        <v>511</v>
      </c>
      <c r="C75" s="9" t="s">
        <v>1684</v>
      </c>
      <c r="D75" s="9" t="s">
        <v>1595</v>
      </c>
      <c r="E75" s="9" t="s">
        <v>395</v>
      </c>
      <c r="F75" s="9" t="s">
        <v>1612</v>
      </c>
      <c r="I75" t="s">
        <v>511</v>
      </c>
      <c r="J75" t="s">
        <v>1595</v>
      </c>
      <c r="L75" s="12" t="s">
        <v>511</v>
      </c>
      <c r="N75" t="str">
        <f t="shared" si="1"/>
        <v/>
      </c>
    </row>
    <row r="76" spans="1:14" ht="20" x14ac:dyDescent="0.2">
      <c r="A76" s="9">
        <v>102</v>
      </c>
      <c r="B76" s="7" t="s">
        <v>512</v>
      </c>
      <c r="C76" s="9" t="s">
        <v>1685</v>
      </c>
      <c r="D76" s="9" t="s">
        <v>1595</v>
      </c>
      <c r="E76" s="9" t="s">
        <v>376</v>
      </c>
      <c r="F76" s="9" t="s">
        <v>1621</v>
      </c>
      <c r="I76" t="s">
        <v>512</v>
      </c>
      <c r="J76" t="s">
        <v>1595</v>
      </c>
      <c r="L76" s="12" t="s">
        <v>512</v>
      </c>
      <c r="N76" t="str">
        <f t="shared" si="1"/>
        <v/>
      </c>
    </row>
    <row r="77" spans="1:14" ht="20" x14ac:dyDescent="0.2">
      <c r="A77" s="9">
        <v>103</v>
      </c>
      <c r="B77" s="7" t="s">
        <v>513</v>
      </c>
      <c r="C77" s="9" t="s">
        <v>1686</v>
      </c>
      <c r="D77" s="9" t="s">
        <v>1595</v>
      </c>
      <c r="E77" s="9" t="s">
        <v>376</v>
      </c>
      <c r="F77" s="9" t="s">
        <v>1621</v>
      </c>
      <c r="I77" t="s">
        <v>513</v>
      </c>
      <c r="J77" t="s">
        <v>1595</v>
      </c>
      <c r="L77" s="12" t="s">
        <v>513</v>
      </c>
      <c r="N77" t="str">
        <f t="shared" si="1"/>
        <v/>
      </c>
    </row>
    <row r="78" spans="1:14" ht="20" x14ac:dyDescent="0.2">
      <c r="A78" s="9">
        <v>104</v>
      </c>
      <c r="B78" s="7" t="s">
        <v>514</v>
      </c>
      <c r="C78" s="9" t="s">
        <v>1687</v>
      </c>
      <c r="D78" s="9" t="s">
        <v>1595</v>
      </c>
      <c r="E78" s="9" t="s">
        <v>376</v>
      </c>
      <c r="F78" s="9" t="s">
        <v>1621</v>
      </c>
      <c r="I78" t="s">
        <v>514</v>
      </c>
      <c r="J78" t="s">
        <v>1595</v>
      </c>
      <c r="L78" s="12" t="s">
        <v>514</v>
      </c>
      <c r="N78" t="str">
        <f t="shared" si="1"/>
        <v/>
      </c>
    </row>
    <row r="79" spans="1:14" ht="20" x14ac:dyDescent="0.2">
      <c r="A79" s="9">
        <v>105</v>
      </c>
      <c r="B79" s="7" t="s">
        <v>515</v>
      </c>
      <c r="C79" s="9" t="s">
        <v>1688</v>
      </c>
      <c r="D79" s="9" t="s">
        <v>1595</v>
      </c>
      <c r="E79" s="9" t="s">
        <v>376</v>
      </c>
      <c r="F79" s="9" t="s">
        <v>1621</v>
      </c>
      <c r="I79" t="s">
        <v>515</v>
      </c>
      <c r="J79" t="s">
        <v>1595</v>
      </c>
      <c r="L79" s="12" t="s">
        <v>515</v>
      </c>
      <c r="N79" t="str">
        <f t="shared" si="1"/>
        <v/>
      </c>
    </row>
    <row r="80" spans="1:14" ht="20" x14ac:dyDescent="0.2">
      <c r="A80" s="9">
        <v>51</v>
      </c>
      <c r="B80" s="7" t="s">
        <v>516</v>
      </c>
      <c r="C80" s="9" t="s">
        <v>1689</v>
      </c>
      <c r="D80" s="9"/>
      <c r="E80" s="9"/>
      <c r="F80" s="9" t="s">
        <v>1690</v>
      </c>
      <c r="I80" t="s">
        <v>516</v>
      </c>
      <c r="L80" s="12" t="s">
        <v>516</v>
      </c>
      <c r="N80" t="str">
        <f t="shared" si="1"/>
        <v/>
      </c>
    </row>
    <row r="81" spans="1:14" ht="20" x14ac:dyDescent="0.2">
      <c r="A81" s="9">
        <v>52</v>
      </c>
      <c r="B81" s="7" t="s">
        <v>517</v>
      </c>
      <c r="C81" s="9" t="s">
        <v>1691</v>
      </c>
      <c r="D81" s="9" t="s">
        <v>1605</v>
      </c>
      <c r="E81" s="9" t="s">
        <v>1589</v>
      </c>
      <c r="F81" s="9" t="s">
        <v>1610</v>
      </c>
      <c r="I81" t="s">
        <v>517</v>
      </c>
      <c r="J81" t="s">
        <v>1605</v>
      </c>
      <c r="L81" s="12" t="s">
        <v>517</v>
      </c>
      <c r="N81" t="str">
        <f t="shared" si="1"/>
        <v/>
      </c>
    </row>
    <row r="82" spans="1:14" ht="20" x14ac:dyDescent="0.2">
      <c r="A82" s="9">
        <v>8</v>
      </c>
      <c r="B82" s="10" t="s">
        <v>518</v>
      </c>
      <c r="C82" s="9" t="s">
        <v>1692</v>
      </c>
      <c r="D82" s="9" t="s">
        <v>1592</v>
      </c>
      <c r="E82" s="9" t="s">
        <v>1589</v>
      </c>
      <c r="F82" s="9" t="s">
        <v>1647</v>
      </c>
      <c r="I82" t="s">
        <v>518</v>
      </c>
      <c r="J82" t="s">
        <v>1592</v>
      </c>
      <c r="L82" s="12" t="s">
        <v>518</v>
      </c>
      <c r="N82" t="str">
        <f t="shared" si="1"/>
        <v/>
      </c>
    </row>
    <row r="83" spans="1:14" ht="20" x14ac:dyDescent="0.2">
      <c r="A83" s="9">
        <v>12</v>
      </c>
      <c r="B83" s="7" t="s">
        <v>519</v>
      </c>
      <c r="C83" s="9" t="s">
        <v>1693</v>
      </c>
      <c r="D83" s="9" t="s">
        <v>1595</v>
      </c>
      <c r="E83" s="9" t="s">
        <v>1589</v>
      </c>
      <c r="F83" s="9" t="s">
        <v>1647</v>
      </c>
      <c r="I83" t="s">
        <v>519</v>
      </c>
      <c r="J83" t="s">
        <v>1595</v>
      </c>
      <c r="L83" s="12" t="s">
        <v>519</v>
      </c>
      <c r="N83" t="str">
        <f t="shared" si="1"/>
        <v/>
      </c>
    </row>
    <row r="84" spans="1:14" ht="20" x14ac:dyDescent="0.2">
      <c r="A84" s="9">
        <v>144</v>
      </c>
      <c r="B84" s="7" t="s">
        <v>520</v>
      </c>
      <c r="C84" s="9" t="s">
        <v>1694</v>
      </c>
      <c r="D84" s="9" t="s">
        <v>1595</v>
      </c>
      <c r="E84" s="9" t="s">
        <v>395</v>
      </c>
      <c r="F84" s="9" t="s">
        <v>1612</v>
      </c>
      <c r="I84" t="s">
        <v>520</v>
      </c>
      <c r="J84" t="s">
        <v>1595</v>
      </c>
      <c r="L84" s="12" t="s">
        <v>520</v>
      </c>
      <c r="N84" t="str">
        <f t="shared" si="1"/>
        <v/>
      </c>
    </row>
    <row r="85" spans="1:14" ht="20" x14ac:dyDescent="0.2">
      <c r="A85" s="9">
        <v>152</v>
      </c>
      <c r="B85" s="7" t="s">
        <v>521</v>
      </c>
      <c r="C85" s="9" t="s">
        <v>521</v>
      </c>
      <c r="D85" s="9"/>
      <c r="E85" s="9"/>
      <c r="F85" s="9" t="s">
        <v>1690</v>
      </c>
      <c r="I85" t="s">
        <v>521</v>
      </c>
      <c r="L85" s="12" t="s">
        <v>521</v>
      </c>
      <c r="N85" t="str">
        <f t="shared" si="1"/>
        <v/>
      </c>
    </row>
    <row r="86" spans="1:14" ht="20" x14ac:dyDescent="0.2">
      <c r="A86" s="9">
        <v>53</v>
      </c>
      <c r="B86" s="7" t="s">
        <v>522</v>
      </c>
      <c r="C86" s="9" t="s">
        <v>1695</v>
      </c>
      <c r="D86" s="9" t="s">
        <v>1605</v>
      </c>
      <c r="E86" s="9" t="s">
        <v>1589</v>
      </c>
      <c r="F86" s="9" t="s">
        <v>1610</v>
      </c>
      <c r="I86" t="s">
        <v>522</v>
      </c>
      <c r="J86" t="s">
        <v>1605</v>
      </c>
      <c r="L86" s="12" t="s">
        <v>522</v>
      </c>
      <c r="N86" t="str">
        <f t="shared" si="1"/>
        <v/>
      </c>
    </row>
    <row r="87" spans="1:14" ht="20" x14ac:dyDescent="0.2">
      <c r="A87" s="9">
        <v>71</v>
      </c>
      <c r="B87" s="7" t="s">
        <v>523</v>
      </c>
      <c r="C87" s="9" t="s">
        <v>1696</v>
      </c>
      <c r="D87" s="9" t="s">
        <v>1605</v>
      </c>
      <c r="E87" s="9" t="s">
        <v>1589</v>
      </c>
      <c r="F87" s="9" t="s">
        <v>1598</v>
      </c>
      <c r="I87" t="s">
        <v>523</v>
      </c>
      <c r="J87" t="s">
        <v>1605</v>
      </c>
      <c r="L87" s="12" t="s">
        <v>523</v>
      </c>
      <c r="N87" t="str">
        <f t="shared" si="1"/>
        <v/>
      </c>
    </row>
    <row r="88" spans="1:14" ht="20" x14ac:dyDescent="0.2">
      <c r="A88" s="9">
        <v>86</v>
      </c>
      <c r="B88" s="7" t="s">
        <v>524</v>
      </c>
      <c r="C88" s="9" t="s">
        <v>1697</v>
      </c>
      <c r="D88" s="9" t="s">
        <v>1592</v>
      </c>
      <c r="E88" s="9" t="s">
        <v>376</v>
      </c>
      <c r="F88" s="9" t="s">
        <v>1606</v>
      </c>
      <c r="I88" t="s">
        <v>524</v>
      </c>
      <c r="J88" t="s">
        <v>1592</v>
      </c>
      <c r="L88" s="12" t="s">
        <v>524</v>
      </c>
      <c r="N88" t="str">
        <f t="shared" si="1"/>
        <v/>
      </c>
    </row>
    <row r="89" spans="1:14" ht="20" x14ac:dyDescent="0.2">
      <c r="A89" s="9">
        <v>73</v>
      </c>
      <c r="B89" s="7" t="s">
        <v>525</v>
      </c>
      <c r="C89" s="9" t="s">
        <v>1698</v>
      </c>
      <c r="D89" s="9" t="s">
        <v>1592</v>
      </c>
      <c r="E89" s="9" t="s">
        <v>376</v>
      </c>
      <c r="F89" s="9" t="s">
        <v>1596</v>
      </c>
      <c r="I89" t="s">
        <v>525</v>
      </c>
      <c r="J89" t="s">
        <v>1592</v>
      </c>
      <c r="L89" s="12" t="s">
        <v>525</v>
      </c>
      <c r="N89" t="str">
        <f t="shared" si="1"/>
        <v/>
      </c>
    </row>
    <row r="90" spans="1:14" ht="20" x14ac:dyDescent="0.2">
      <c r="A90" s="9">
        <v>1</v>
      </c>
      <c r="B90" s="10" t="s">
        <v>112</v>
      </c>
      <c r="C90" s="9" t="s">
        <v>1699</v>
      </c>
      <c r="D90" s="9" t="s">
        <v>1592</v>
      </c>
      <c r="E90" s="9" t="s">
        <v>1589</v>
      </c>
      <c r="F90" s="9" t="s">
        <v>1700</v>
      </c>
      <c r="I90" t="s">
        <v>112</v>
      </c>
      <c r="J90" t="s">
        <v>1592</v>
      </c>
      <c r="L90" s="12" t="s">
        <v>112</v>
      </c>
      <c r="N90" t="str">
        <f t="shared" si="1"/>
        <v/>
      </c>
    </row>
    <row r="91" spans="1:14" ht="20" x14ac:dyDescent="0.2">
      <c r="A91" s="9">
        <v>87</v>
      </c>
      <c r="B91" s="7" t="s">
        <v>526</v>
      </c>
      <c r="C91" s="9" t="s">
        <v>1701</v>
      </c>
      <c r="D91" s="9" t="s">
        <v>1592</v>
      </c>
      <c r="E91" s="9" t="s">
        <v>376</v>
      </c>
      <c r="F91" s="9" t="s">
        <v>1606</v>
      </c>
      <c r="I91" t="s">
        <v>526</v>
      </c>
      <c r="J91" t="s">
        <v>1592</v>
      </c>
      <c r="L91" s="12" t="s">
        <v>526</v>
      </c>
      <c r="N91" t="str">
        <f t="shared" si="1"/>
        <v/>
      </c>
    </row>
    <row r="92" spans="1:14" ht="20" x14ac:dyDescent="0.2">
      <c r="A92" s="9">
        <v>111</v>
      </c>
      <c r="B92" s="7" t="s">
        <v>527</v>
      </c>
      <c r="C92" s="9" t="s">
        <v>1702</v>
      </c>
      <c r="D92" s="9" t="s">
        <v>1670</v>
      </c>
      <c r="E92" s="9" t="s">
        <v>376</v>
      </c>
      <c r="F92" s="9" t="s">
        <v>1621</v>
      </c>
      <c r="I92" t="s">
        <v>527</v>
      </c>
      <c r="J92" t="s">
        <v>1670</v>
      </c>
      <c r="L92" s="12" t="s">
        <v>527</v>
      </c>
      <c r="N92" t="str">
        <f t="shared" si="1"/>
        <v/>
      </c>
    </row>
    <row r="93" spans="1:14" ht="20" x14ac:dyDescent="0.2">
      <c r="A93" s="9">
        <v>122</v>
      </c>
      <c r="B93" s="7" t="s">
        <v>528</v>
      </c>
      <c r="C93" s="9" t="s">
        <v>1703</v>
      </c>
      <c r="D93" s="9" t="s">
        <v>1595</v>
      </c>
      <c r="E93" s="9" t="s">
        <v>395</v>
      </c>
      <c r="F93" s="9" t="s">
        <v>1628</v>
      </c>
      <c r="I93" t="s">
        <v>528</v>
      </c>
      <c r="J93" t="s">
        <v>1595</v>
      </c>
      <c r="L93" s="12" t="s">
        <v>528</v>
      </c>
      <c r="N93" t="str">
        <f t="shared" si="1"/>
        <v/>
      </c>
    </row>
    <row r="94" spans="1:14" ht="20" x14ac:dyDescent="0.2">
      <c r="A94" s="9">
        <v>123</v>
      </c>
      <c r="B94" s="7" t="s">
        <v>529</v>
      </c>
      <c r="C94" s="9" t="s">
        <v>1704</v>
      </c>
      <c r="D94" s="9" t="s">
        <v>1595</v>
      </c>
      <c r="E94" s="9" t="s">
        <v>395</v>
      </c>
      <c r="F94" s="9" t="s">
        <v>1628</v>
      </c>
      <c r="I94" t="s">
        <v>529</v>
      </c>
      <c r="J94" t="s">
        <v>1595</v>
      </c>
      <c r="L94" s="12" t="s">
        <v>529</v>
      </c>
      <c r="N94" t="str">
        <f t="shared" si="1"/>
        <v/>
      </c>
    </row>
    <row r="95" spans="1:14" ht="20" x14ac:dyDescent="0.2">
      <c r="A95" s="9">
        <v>5</v>
      </c>
      <c r="B95" s="10" t="s">
        <v>530</v>
      </c>
      <c r="C95" s="9" t="s">
        <v>1705</v>
      </c>
      <c r="D95" s="9" t="s">
        <v>1595</v>
      </c>
      <c r="E95" s="9" t="s">
        <v>1589</v>
      </c>
      <c r="F95" s="9" t="s">
        <v>1590</v>
      </c>
      <c r="I95" t="s">
        <v>530</v>
      </c>
      <c r="J95" t="s">
        <v>1595</v>
      </c>
      <c r="L95" s="12" t="s">
        <v>530</v>
      </c>
      <c r="N95" t="str">
        <f t="shared" si="1"/>
        <v/>
      </c>
    </row>
    <row r="96" spans="1:14" ht="20" x14ac:dyDescent="0.2">
      <c r="A96" s="9">
        <v>124</v>
      </c>
      <c r="B96" s="7" t="s">
        <v>531</v>
      </c>
      <c r="C96" s="9" t="s">
        <v>1706</v>
      </c>
      <c r="D96" s="9" t="s">
        <v>1595</v>
      </c>
      <c r="E96" s="9" t="s">
        <v>395</v>
      </c>
      <c r="F96" s="9" t="s">
        <v>1628</v>
      </c>
      <c r="I96" t="s">
        <v>531</v>
      </c>
      <c r="J96" t="s">
        <v>1595</v>
      </c>
      <c r="L96" s="12" t="s">
        <v>531</v>
      </c>
      <c r="N96" t="str">
        <f t="shared" si="1"/>
        <v/>
      </c>
    </row>
    <row r="97" spans="1:15" ht="20" x14ac:dyDescent="0.2">
      <c r="A97" s="9">
        <v>125</v>
      </c>
      <c r="B97" s="7" t="s">
        <v>532</v>
      </c>
      <c r="C97" s="9" t="s">
        <v>1707</v>
      </c>
      <c r="D97" s="9" t="s">
        <v>1595</v>
      </c>
      <c r="E97" s="9" t="s">
        <v>395</v>
      </c>
      <c r="F97" s="9" t="s">
        <v>1628</v>
      </c>
      <c r="I97" t="s">
        <v>532</v>
      </c>
      <c r="J97" t="s">
        <v>1595</v>
      </c>
      <c r="L97" s="12" t="s">
        <v>532</v>
      </c>
      <c r="N97" t="str">
        <f t="shared" si="1"/>
        <v/>
      </c>
    </row>
    <row r="98" spans="1:15" ht="20" x14ac:dyDescent="0.2">
      <c r="A98" s="9">
        <v>30</v>
      </c>
      <c r="B98" s="7" t="s">
        <v>533</v>
      </c>
      <c r="C98" s="9" t="s">
        <v>1708</v>
      </c>
      <c r="D98" s="9" t="s">
        <v>1595</v>
      </c>
      <c r="E98" s="9" t="s">
        <v>1589</v>
      </c>
      <c r="F98" s="9" t="s">
        <v>1593</v>
      </c>
      <c r="I98" t="s">
        <v>533</v>
      </c>
      <c r="J98" t="s">
        <v>1595</v>
      </c>
      <c r="L98" s="12" t="s">
        <v>533</v>
      </c>
      <c r="N98" t="str">
        <f t="shared" si="1"/>
        <v/>
      </c>
    </row>
    <row r="99" spans="1:15" ht="20" x14ac:dyDescent="0.2">
      <c r="A99" s="9">
        <v>31</v>
      </c>
      <c r="B99" s="7" t="s">
        <v>534</v>
      </c>
      <c r="C99" s="9" t="s">
        <v>1709</v>
      </c>
      <c r="D99" s="9" t="s">
        <v>1595</v>
      </c>
      <c r="E99" s="9" t="s">
        <v>1589</v>
      </c>
      <c r="F99" s="9" t="s">
        <v>1593</v>
      </c>
      <c r="I99" t="s">
        <v>534</v>
      </c>
      <c r="J99" t="s">
        <v>1595</v>
      </c>
      <c r="L99" t="s">
        <v>534</v>
      </c>
      <c r="N99" t="str">
        <f t="shared" si="1"/>
        <v/>
      </c>
    </row>
    <row r="100" spans="1:15" ht="20" x14ac:dyDescent="0.2">
      <c r="A100" s="9">
        <v>32</v>
      </c>
      <c r="B100" s="7" t="s">
        <v>535</v>
      </c>
      <c r="C100" s="9" t="s">
        <v>1710</v>
      </c>
      <c r="D100" s="9" t="s">
        <v>1595</v>
      </c>
      <c r="E100" s="9" t="s">
        <v>1589</v>
      </c>
      <c r="F100" s="9" t="s">
        <v>1593</v>
      </c>
      <c r="I100" t="s">
        <v>535</v>
      </c>
      <c r="J100" t="s">
        <v>1595</v>
      </c>
      <c r="L100" t="s">
        <v>535</v>
      </c>
      <c r="N100" t="str">
        <f t="shared" si="1"/>
        <v/>
      </c>
    </row>
    <row r="101" spans="1:15" ht="20" x14ac:dyDescent="0.2">
      <c r="A101" s="9">
        <v>83</v>
      </c>
      <c r="B101" s="7" t="s">
        <v>537</v>
      </c>
      <c r="C101" s="9" t="s">
        <v>1711</v>
      </c>
      <c r="D101" s="9" t="s">
        <v>1588</v>
      </c>
      <c r="E101" s="9" t="s">
        <v>376</v>
      </c>
      <c r="F101" s="9" t="s">
        <v>1596</v>
      </c>
      <c r="L101" s="12" t="s">
        <v>536</v>
      </c>
      <c r="N101" t="str">
        <f t="shared" si="1"/>
        <v>X</v>
      </c>
      <c r="O101" s="12" t="s">
        <v>536</v>
      </c>
    </row>
    <row r="102" spans="1:15" ht="20" x14ac:dyDescent="0.2">
      <c r="A102" s="9">
        <v>82</v>
      </c>
      <c r="B102" s="7" t="s">
        <v>539</v>
      </c>
      <c r="C102" s="9" t="s">
        <v>1712</v>
      </c>
      <c r="D102" s="9" t="s">
        <v>1595</v>
      </c>
      <c r="E102" s="9" t="s">
        <v>376</v>
      </c>
      <c r="F102" s="9" t="s">
        <v>1596</v>
      </c>
      <c r="I102" t="s">
        <v>537</v>
      </c>
      <c r="J102" t="s">
        <v>1588</v>
      </c>
      <c r="L102" s="12" t="s">
        <v>537</v>
      </c>
      <c r="N102" t="str">
        <f t="shared" si="1"/>
        <v/>
      </c>
    </row>
    <row r="103" spans="1:15" ht="20" x14ac:dyDescent="0.2">
      <c r="A103" s="9">
        <v>94</v>
      </c>
      <c r="B103" s="7" t="s">
        <v>540</v>
      </c>
      <c r="C103" s="9" t="s">
        <v>1713</v>
      </c>
      <c r="D103" s="9" t="s">
        <v>1595</v>
      </c>
      <c r="E103" s="9" t="s">
        <v>376</v>
      </c>
      <c r="F103" s="9" t="s">
        <v>1606</v>
      </c>
      <c r="L103" s="12" t="s">
        <v>538</v>
      </c>
      <c r="N103" t="str">
        <f t="shared" si="1"/>
        <v>X</v>
      </c>
      <c r="O103" s="12" t="s">
        <v>538</v>
      </c>
    </row>
    <row r="104" spans="1:15" ht="20" x14ac:dyDescent="0.2">
      <c r="A104" s="9">
        <v>95</v>
      </c>
      <c r="B104" s="7" t="s">
        <v>541</v>
      </c>
      <c r="C104" s="9" t="s">
        <v>1714</v>
      </c>
      <c r="D104" s="9" t="s">
        <v>1588</v>
      </c>
      <c r="E104" s="9" t="s">
        <v>376</v>
      </c>
      <c r="F104" s="9" t="s">
        <v>1606</v>
      </c>
      <c r="I104" t="s">
        <v>539</v>
      </c>
      <c r="J104" t="s">
        <v>1595</v>
      </c>
      <c r="L104" s="12" t="s">
        <v>539</v>
      </c>
      <c r="N104" t="str">
        <f t="shared" si="1"/>
        <v/>
      </c>
    </row>
    <row r="105" spans="1:15" ht="20" x14ac:dyDescent="0.2">
      <c r="A105" s="9">
        <v>106</v>
      </c>
      <c r="B105" s="7" t="s">
        <v>542</v>
      </c>
      <c r="C105" s="9" t="s">
        <v>1715</v>
      </c>
      <c r="D105" s="9" t="s">
        <v>1595</v>
      </c>
      <c r="E105" s="9" t="s">
        <v>376</v>
      </c>
      <c r="F105" s="9" t="s">
        <v>1621</v>
      </c>
      <c r="I105" t="s">
        <v>540</v>
      </c>
      <c r="J105" t="s">
        <v>1595</v>
      </c>
      <c r="L105" s="12" t="s">
        <v>540</v>
      </c>
      <c r="N105" t="str">
        <f t="shared" si="1"/>
        <v/>
      </c>
    </row>
    <row r="106" spans="1:15" ht="20" x14ac:dyDescent="0.2">
      <c r="A106" s="9">
        <v>19</v>
      </c>
      <c r="B106" s="7" t="s">
        <v>543</v>
      </c>
      <c r="C106" s="9" t="s">
        <v>1716</v>
      </c>
      <c r="D106" s="9" t="s">
        <v>1588</v>
      </c>
      <c r="E106" s="9" t="s">
        <v>1589</v>
      </c>
      <c r="F106" s="9" t="s">
        <v>1614</v>
      </c>
      <c r="I106" t="s">
        <v>541</v>
      </c>
      <c r="J106" t="s">
        <v>1588</v>
      </c>
      <c r="L106" s="12" t="s">
        <v>541</v>
      </c>
      <c r="N106" t="str">
        <f t="shared" si="1"/>
        <v/>
      </c>
    </row>
    <row r="107" spans="1:15" ht="20" x14ac:dyDescent="0.2">
      <c r="A107" s="9">
        <v>25</v>
      </c>
      <c r="B107" s="7" t="s">
        <v>544</v>
      </c>
      <c r="C107" s="9" t="s">
        <v>1717</v>
      </c>
      <c r="D107" s="9" t="s">
        <v>1592</v>
      </c>
      <c r="E107" s="9" t="s">
        <v>1589</v>
      </c>
      <c r="F107" s="9" t="s">
        <v>1593</v>
      </c>
      <c r="I107" t="s">
        <v>542</v>
      </c>
      <c r="J107" t="s">
        <v>1595</v>
      </c>
      <c r="L107" s="12" t="s">
        <v>542</v>
      </c>
      <c r="N107" t="str">
        <f t="shared" si="1"/>
        <v/>
      </c>
    </row>
    <row r="108" spans="1:15" ht="20" x14ac:dyDescent="0.2">
      <c r="A108" s="9">
        <v>54</v>
      </c>
      <c r="B108" s="7" t="s">
        <v>545</v>
      </c>
      <c r="C108" s="9" t="s">
        <v>1718</v>
      </c>
      <c r="D108" s="9" t="s">
        <v>1605</v>
      </c>
      <c r="E108" s="9" t="s">
        <v>1589</v>
      </c>
      <c r="F108" s="9" t="s">
        <v>1610</v>
      </c>
      <c r="I108" t="s">
        <v>543</v>
      </c>
      <c r="J108" t="s">
        <v>1588</v>
      </c>
      <c r="L108" s="12" t="s">
        <v>543</v>
      </c>
      <c r="N108" t="str">
        <f t="shared" si="1"/>
        <v/>
      </c>
    </row>
    <row r="109" spans="1:15" ht="20" x14ac:dyDescent="0.2">
      <c r="A109" s="9">
        <v>55</v>
      </c>
      <c r="B109" s="7" t="s">
        <v>546</v>
      </c>
      <c r="C109" s="9" t="s">
        <v>1719</v>
      </c>
      <c r="D109" s="9" t="s">
        <v>1605</v>
      </c>
      <c r="E109" s="9" t="s">
        <v>1589</v>
      </c>
      <c r="F109" s="9" t="s">
        <v>1610</v>
      </c>
      <c r="I109" t="s">
        <v>544</v>
      </c>
      <c r="J109" t="s">
        <v>1592</v>
      </c>
      <c r="L109" s="12" t="s">
        <v>544</v>
      </c>
      <c r="N109" t="str">
        <f t="shared" si="1"/>
        <v/>
      </c>
    </row>
    <row r="110" spans="1:15" ht="20" x14ac:dyDescent="0.2">
      <c r="A110" s="9">
        <v>56</v>
      </c>
      <c r="B110" s="7" t="s">
        <v>547</v>
      </c>
      <c r="C110" s="9" t="s">
        <v>1720</v>
      </c>
      <c r="D110" s="9" t="s">
        <v>1721</v>
      </c>
      <c r="E110" s="9" t="s">
        <v>1589</v>
      </c>
      <c r="F110" s="9" t="s">
        <v>1610</v>
      </c>
      <c r="I110" t="s">
        <v>545</v>
      </c>
      <c r="J110" t="s">
        <v>1605</v>
      </c>
      <c r="L110" s="12" t="s">
        <v>545</v>
      </c>
      <c r="N110" t="str">
        <f t="shared" si="1"/>
        <v/>
      </c>
    </row>
    <row r="111" spans="1:15" ht="20" x14ac:dyDescent="0.2">
      <c r="A111" s="9">
        <v>43</v>
      </c>
      <c r="B111" s="7" t="s">
        <v>548</v>
      </c>
      <c r="C111" s="9" t="s">
        <v>1722</v>
      </c>
      <c r="D111" s="9" t="s">
        <v>1609</v>
      </c>
      <c r="E111" s="9" t="s">
        <v>1589</v>
      </c>
      <c r="F111" s="9" t="s">
        <v>1593</v>
      </c>
      <c r="I111" t="s">
        <v>546</v>
      </c>
      <c r="J111" t="s">
        <v>1605</v>
      </c>
      <c r="L111" s="12" t="s">
        <v>546</v>
      </c>
      <c r="N111" t="str">
        <f t="shared" si="1"/>
        <v/>
      </c>
    </row>
    <row r="112" spans="1:15" ht="20" x14ac:dyDescent="0.2">
      <c r="A112" s="9">
        <v>13</v>
      </c>
      <c r="B112" s="7" t="s">
        <v>549</v>
      </c>
      <c r="C112" s="9" t="s">
        <v>1723</v>
      </c>
      <c r="D112" s="9" t="s">
        <v>1588</v>
      </c>
      <c r="E112" s="9" t="s">
        <v>1589</v>
      </c>
      <c r="F112" s="9" t="s">
        <v>1647</v>
      </c>
      <c r="I112" t="s">
        <v>547</v>
      </c>
      <c r="J112" t="s">
        <v>1721</v>
      </c>
      <c r="L112" s="12" t="s">
        <v>547</v>
      </c>
      <c r="N112" t="str">
        <f t="shared" si="1"/>
        <v/>
      </c>
    </row>
    <row r="113" spans="1:14" ht="20" x14ac:dyDescent="0.2">
      <c r="A113" s="9">
        <v>14</v>
      </c>
      <c r="B113" s="7" t="s">
        <v>550</v>
      </c>
      <c r="C113" s="9" t="s">
        <v>1724</v>
      </c>
      <c r="D113" s="9" t="s">
        <v>1588</v>
      </c>
      <c r="E113" s="9" t="s">
        <v>1589</v>
      </c>
      <c r="F113" s="9" t="s">
        <v>1647</v>
      </c>
      <c r="I113" t="s">
        <v>548</v>
      </c>
      <c r="J113" t="s">
        <v>1609</v>
      </c>
      <c r="L113" s="12" t="s">
        <v>548</v>
      </c>
      <c r="N113" t="str">
        <f t="shared" si="1"/>
        <v/>
      </c>
    </row>
    <row r="114" spans="1:14" ht="20" x14ac:dyDescent="0.2">
      <c r="A114" s="9">
        <v>33</v>
      </c>
      <c r="B114" s="7" t="s">
        <v>551</v>
      </c>
      <c r="C114" s="9" t="s">
        <v>1725</v>
      </c>
      <c r="D114" s="9" t="s">
        <v>1595</v>
      </c>
      <c r="E114" s="9" t="s">
        <v>1589</v>
      </c>
      <c r="F114" s="9" t="s">
        <v>1593</v>
      </c>
      <c r="I114" t="s">
        <v>549</v>
      </c>
      <c r="J114" t="s">
        <v>1588</v>
      </c>
      <c r="L114" s="12" t="s">
        <v>549</v>
      </c>
      <c r="N114" t="str">
        <f t="shared" si="1"/>
        <v/>
      </c>
    </row>
    <row r="115" spans="1:14" ht="20" x14ac:dyDescent="0.2">
      <c r="A115" s="9">
        <v>34</v>
      </c>
      <c r="B115" s="7" t="s">
        <v>552</v>
      </c>
      <c r="C115" s="9" t="s">
        <v>1726</v>
      </c>
      <c r="D115" s="9" t="s">
        <v>1595</v>
      </c>
      <c r="E115" s="9" t="s">
        <v>1589</v>
      </c>
      <c r="F115" s="9" t="s">
        <v>1593</v>
      </c>
      <c r="I115" t="s">
        <v>550</v>
      </c>
      <c r="J115" t="s">
        <v>1588</v>
      </c>
      <c r="L115" s="12" t="s">
        <v>550</v>
      </c>
      <c r="N115" t="str">
        <f t="shared" si="1"/>
        <v/>
      </c>
    </row>
    <row r="116" spans="1:14" ht="20" x14ac:dyDescent="0.2">
      <c r="A116" s="9">
        <v>35</v>
      </c>
      <c r="B116" s="7" t="s">
        <v>553</v>
      </c>
      <c r="C116" s="9" t="s">
        <v>1727</v>
      </c>
      <c r="D116" s="9" t="s">
        <v>1595</v>
      </c>
      <c r="E116" s="9" t="s">
        <v>1589</v>
      </c>
      <c r="F116" s="9" t="s">
        <v>1593</v>
      </c>
      <c r="I116" t="s">
        <v>551</v>
      </c>
      <c r="J116" t="s">
        <v>1595</v>
      </c>
      <c r="L116" s="12" t="s">
        <v>551</v>
      </c>
      <c r="N116" t="str">
        <f t="shared" si="1"/>
        <v/>
      </c>
    </row>
    <row r="117" spans="1:14" ht="20" x14ac:dyDescent="0.2">
      <c r="A117" s="9">
        <v>36</v>
      </c>
      <c r="B117" s="7" t="s">
        <v>554</v>
      </c>
      <c r="C117" s="9" t="s">
        <v>1728</v>
      </c>
      <c r="D117" s="9" t="s">
        <v>1595</v>
      </c>
      <c r="E117" s="9" t="s">
        <v>1589</v>
      </c>
      <c r="F117" s="9" t="s">
        <v>1593</v>
      </c>
      <c r="I117" t="s">
        <v>552</v>
      </c>
      <c r="J117" t="s">
        <v>1595</v>
      </c>
      <c r="L117" s="12" t="s">
        <v>552</v>
      </c>
      <c r="N117" t="str">
        <f t="shared" si="1"/>
        <v/>
      </c>
    </row>
    <row r="118" spans="1:14" ht="20" x14ac:dyDescent="0.2">
      <c r="A118" s="9">
        <v>37</v>
      </c>
      <c r="B118" s="7" t="s">
        <v>555</v>
      </c>
      <c r="C118" s="9" t="s">
        <v>1729</v>
      </c>
      <c r="D118" s="9" t="s">
        <v>1595</v>
      </c>
      <c r="E118" s="9" t="s">
        <v>1589</v>
      </c>
      <c r="F118" s="9" t="s">
        <v>1593</v>
      </c>
      <c r="I118" t="s">
        <v>553</v>
      </c>
      <c r="J118" t="s">
        <v>1595</v>
      </c>
      <c r="L118" s="12" t="s">
        <v>553</v>
      </c>
      <c r="N118" t="str">
        <f t="shared" si="1"/>
        <v/>
      </c>
    </row>
    <row r="119" spans="1:14" ht="20" x14ac:dyDescent="0.2">
      <c r="A119" s="9">
        <v>98</v>
      </c>
      <c r="B119" s="7" t="s">
        <v>556</v>
      </c>
      <c r="C119" s="9" t="s">
        <v>1730</v>
      </c>
      <c r="D119" s="9" t="s">
        <v>1605</v>
      </c>
      <c r="E119" s="9" t="s">
        <v>376</v>
      </c>
      <c r="F119" s="9" t="s">
        <v>1606</v>
      </c>
      <c r="I119" t="s">
        <v>554</v>
      </c>
      <c r="J119" t="s">
        <v>1595</v>
      </c>
      <c r="L119" s="12" t="s">
        <v>554</v>
      </c>
      <c r="N119" t="str">
        <f t="shared" si="1"/>
        <v/>
      </c>
    </row>
    <row r="120" spans="1:14" ht="20" x14ac:dyDescent="0.2">
      <c r="A120" s="9">
        <v>48</v>
      </c>
      <c r="B120" s="7" t="s">
        <v>557</v>
      </c>
      <c r="C120" s="9" t="s">
        <v>1731</v>
      </c>
      <c r="D120" s="9" t="s">
        <v>1595</v>
      </c>
      <c r="E120" s="9" t="s">
        <v>1589</v>
      </c>
      <c r="F120" s="9" t="s">
        <v>1616</v>
      </c>
      <c r="I120" t="s">
        <v>555</v>
      </c>
      <c r="J120" t="s">
        <v>1595</v>
      </c>
      <c r="L120" s="12" t="s">
        <v>555</v>
      </c>
      <c r="N120" t="str">
        <f t="shared" si="1"/>
        <v/>
      </c>
    </row>
    <row r="121" spans="1:14" ht="20" x14ac:dyDescent="0.2">
      <c r="A121" s="9">
        <v>49</v>
      </c>
      <c r="B121" s="7" t="s">
        <v>558</v>
      </c>
      <c r="C121" s="9" t="s">
        <v>1732</v>
      </c>
      <c r="D121" s="9" t="s">
        <v>1595</v>
      </c>
      <c r="E121" s="9" t="s">
        <v>1589</v>
      </c>
      <c r="F121" s="9" t="s">
        <v>1616</v>
      </c>
      <c r="I121" t="s">
        <v>556</v>
      </c>
      <c r="J121" t="s">
        <v>1605</v>
      </c>
      <c r="L121" s="12" t="s">
        <v>556</v>
      </c>
      <c r="N121" t="str">
        <f t="shared" si="1"/>
        <v/>
      </c>
    </row>
    <row r="122" spans="1:14" ht="20" x14ac:dyDescent="0.2">
      <c r="A122" s="9">
        <v>20</v>
      </c>
      <c r="B122" s="7" t="s">
        <v>559</v>
      </c>
      <c r="C122" s="9" t="s">
        <v>1733</v>
      </c>
      <c r="D122" s="9" t="s">
        <v>1588</v>
      </c>
      <c r="E122" s="9" t="s">
        <v>1589</v>
      </c>
      <c r="F122" s="9" t="s">
        <v>1614</v>
      </c>
      <c r="I122" t="s">
        <v>557</v>
      </c>
      <c r="J122" t="s">
        <v>1595</v>
      </c>
      <c r="L122" s="12" t="s">
        <v>557</v>
      </c>
      <c r="N122" t="str">
        <f t="shared" si="1"/>
        <v/>
      </c>
    </row>
    <row r="123" spans="1:14" ht="20" x14ac:dyDescent="0.2">
      <c r="A123" s="9">
        <v>57</v>
      </c>
      <c r="B123" s="7" t="s">
        <v>560</v>
      </c>
      <c r="C123" s="9" t="s">
        <v>1734</v>
      </c>
      <c r="D123" s="9" t="s">
        <v>1605</v>
      </c>
      <c r="E123" s="9" t="s">
        <v>1589</v>
      </c>
      <c r="F123" s="9" t="s">
        <v>1610</v>
      </c>
      <c r="I123" t="s">
        <v>558</v>
      </c>
      <c r="J123" t="s">
        <v>1595</v>
      </c>
      <c r="L123" s="12" t="s">
        <v>558</v>
      </c>
      <c r="N123" t="str">
        <f t="shared" si="1"/>
        <v/>
      </c>
    </row>
    <row r="124" spans="1:14" ht="20" x14ac:dyDescent="0.2">
      <c r="A124" s="9">
        <v>38</v>
      </c>
      <c r="B124" s="7" t="s">
        <v>561</v>
      </c>
      <c r="C124" s="9" t="s">
        <v>1735</v>
      </c>
      <c r="D124" s="9" t="s">
        <v>1595</v>
      </c>
      <c r="E124" s="9" t="s">
        <v>1589</v>
      </c>
      <c r="F124" s="9" t="s">
        <v>1593</v>
      </c>
      <c r="I124" t="s">
        <v>559</v>
      </c>
      <c r="J124" t="s">
        <v>1588</v>
      </c>
      <c r="L124" s="12" t="s">
        <v>559</v>
      </c>
      <c r="N124" t="str">
        <f t="shared" si="1"/>
        <v/>
      </c>
    </row>
    <row r="125" spans="1:14" ht="20" x14ac:dyDescent="0.2">
      <c r="A125" s="9">
        <v>107</v>
      </c>
      <c r="B125" s="7" t="s">
        <v>562</v>
      </c>
      <c r="C125" s="9" t="s">
        <v>1736</v>
      </c>
      <c r="D125" s="9" t="s">
        <v>1595</v>
      </c>
      <c r="E125" s="9" t="s">
        <v>376</v>
      </c>
      <c r="F125" s="9" t="s">
        <v>1621</v>
      </c>
      <c r="I125" t="s">
        <v>560</v>
      </c>
      <c r="J125" t="s">
        <v>1605</v>
      </c>
      <c r="L125" s="12" t="s">
        <v>560</v>
      </c>
      <c r="N125" t="str">
        <f t="shared" si="1"/>
        <v/>
      </c>
    </row>
    <row r="126" spans="1:14" ht="20" x14ac:dyDescent="0.2">
      <c r="A126" s="9">
        <v>108</v>
      </c>
      <c r="B126" s="7" t="s">
        <v>563</v>
      </c>
      <c r="C126" s="9" t="s">
        <v>1737</v>
      </c>
      <c r="D126" s="9" t="s">
        <v>1595</v>
      </c>
      <c r="E126" s="9" t="s">
        <v>376</v>
      </c>
      <c r="F126" s="9" t="s">
        <v>1621</v>
      </c>
      <c r="I126" t="s">
        <v>561</v>
      </c>
      <c r="J126" t="s">
        <v>1595</v>
      </c>
      <c r="L126" s="12" t="s">
        <v>561</v>
      </c>
      <c r="N126" t="str">
        <f t="shared" si="1"/>
        <v/>
      </c>
    </row>
    <row r="127" spans="1:14" ht="20" x14ac:dyDescent="0.2">
      <c r="A127" s="9">
        <v>26</v>
      </c>
      <c r="B127" s="7" t="s">
        <v>564</v>
      </c>
      <c r="C127" s="9" t="s">
        <v>1738</v>
      </c>
      <c r="D127" s="9" t="s">
        <v>1592</v>
      </c>
      <c r="E127" s="9" t="s">
        <v>1589</v>
      </c>
      <c r="F127" s="9" t="s">
        <v>1593</v>
      </c>
      <c r="I127" t="s">
        <v>562</v>
      </c>
      <c r="J127" t="s">
        <v>1595</v>
      </c>
      <c r="L127" s="12" t="s">
        <v>562</v>
      </c>
      <c r="N127" t="str">
        <f t="shared" si="1"/>
        <v/>
      </c>
    </row>
    <row r="128" spans="1:14" ht="20" x14ac:dyDescent="0.2">
      <c r="A128" s="9">
        <v>27</v>
      </c>
      <c r="B128" s="7" t="s">
        <v>565</v>
      </c>
      <c r="C128" s="9" t="s">
        <v>1739</v>
      </c>
      <c r="D128" s="9" t="s">
        <v>1592</v>
      </c>
      <c r="E128" s="9" t="s">
        <v>1589</v>
      </c>
      <c r="F128" s="9" t="s">
        <v>1593</v>
      </c>
      <c r="I128" t="s">
        <v>563</v>
      </c>
      <c r="J128" t="s">
        <v>1595</v>
      </c>
      <c r="L128" s="12" t="s">
        <v>563</v>
      </c>
      <c r="N128" t="str">
        <f t="shared" si="1"/>
        <v/>
      </c>
    </row>
    <row r="129" spans="1:14" ht="20" x14ac:dyDescent="0.2">
      <c r="A129" s="9">
        <v>138</v>
      </c>
      <c r="B129" s="7" t="s">
        <v>566</v>
      </c>
      <c r="C129" s="9" t="s">
        <v>1740</v>
      </c>
      <c r="D129" s="9" t="s">
        <v>1595</v>
      </c>
      <c r="E129" s="9" t="s">
        <v>395</v>
      </c>
      <c r="F129" s="9" t="s">
        <v>1600</v>
      </c>
      <c r="I129" t="s">
        <v>564</v>
      </c>
      <c r="J129" t="s">
        <v>1592</v>
      </c>
      <c r="L129" s="12" t="s">
        <v>564</v>
      </c>
      <c r="N129" t="str">
        <f t="shared" si="1"/>
        <v/>
      </c>
    </row>
    <row r="130" spans="1:14" ht="20" x14ac:dyDescent="0.2">
      <c r="A130" s="9">
        <v>147</v>
      </c>
      <c r="B130" s="7" t="s">
        <v>567</v>
      </c>
      <c r="C130" s="9" t="s">
        <v>1741</v>
      </c>
      <c r="D130" s="9" t="s">
        <v>1605</v>
      </c>
      <c r="E130" s="9" t="s">
        <v>395</v>
      </c>
      <c r="F130" s="9" t="s">
        <v>1612</v>
      </c>
      <c r="I130" t="s">
        <v>565</v>
      </c>
      <c r="J130" t="s">
        <v>1592</v>
      </c>
      <c r="L130" s="12" t="s">
        <v>565</v>
      </c>
      <c r="N130" t="str">
        <f t="shared" ref="N130:N156" si="2">IF(I130=L130,"","X")</f>
        <v/>
      </c>
    </row>
    <row r="131" spans="1:14" ht="20" x14ac:dyDescent="0.2">
      <c r="A131" s="9">
        <v>133</v>
      </c>
      <c r="B131" s="7" t="s">
        <v>568</v>
      </c>
      <c r="C131" s="9" t="s">
        <v>1742</v>
      </c>
      <c r="D131" s="9" t="s">
        <v>1595</v>
      </c>
      <c r="E131" s="9" t="s">
        <v>395</v>
      </c>
      <c r="F131" s="9" t="s">
        <v>1650</v>
      </c>
      <c r="I131" t="s">
        <v>566</v>
      </c>
      <c r="J131" t="s">
        <v>1595</v>
      </c>
      <c r="L131" s="12" t="s">
        <v>566</v>
      </c>
      <c r="N131" t="str">
        <f t="shared" si="2"/>
        <v/>
      </c>
    </row>
    <row r="132" spans="1:14" ht="20" x14ac:dyDescent="0.2">
      <c r="A132" s="9">
        <v>134</v>
      </c>
      <c r="B132" s="7" t="s">
        <v>569</v>
      </c>
      <c r="C132" s="9" t="s">
        <v>1743</v>
      </c>
      <c r="D132" s="9" t="s">
        <v>1595</v>
      </c>
      <c r="E132" s="9" t="s">
        <v>395</v>
      </c>
      <c r="F132" s="9" t="s">
        <v>1650</v>
      </c>
      <c r="I132" t="s">
        <v>567</v>
      </c>
      <c r="J132" t="s">
        <v>1605</v>
      </c>
      <c r="L132" s="12" t="s">
        <v>567</v>
      </c>
      <c r="N132" t="str">
        <f t="shared" si="2"/>
        <v/>
      </c>
    </row>
    <row r="133" spans="1:14" ht="20" x14ac:dyDescent="0.2">
      <c r="A133" s="9">
        <v>109</v>
      </c>
      <c r="B133" s="7" t="s">
        <v>570</v>
      </c>
      <c r="C133" s="9" t="s">
        <v>1744</v>
      </c>
      <c r="D133" s="9" t="s">
        <v>1595</v>
      </c>
      <c r="E133" s="9" t="s">
        <v>376</v>
      </c>
      <c r="F133" s="9" t="s">
        <v>1621</v>
      </c>
      <c r="I133" t="s">
        <v>568</v>
      </c>
      <c r="J133" t="s">
        <v>1595</v>
      </c>
      <c r="L133" s="12" t="s">
        <v>568</v>
      </c>
      <c r="N133" t="str">
        <f t="shared" si="2"/>
        <v/>
      </c>
    </row>
    <row r="134" spans="1:14" ht="20" x14ac:dyDescent="0.2">
      <c r="A134" s="9">
        <v>68</v>
      </c>
      <c r="B134" s="7" t="s">
        <v>571</v>
      </c>
      <c r="C134" s="9" t="s">
        <v>1745</v>
      </c>
      <c r="D134" s="9" t="s">
        <v>1595</v>
      </c>
      <c r="E134" s="9" t="s">
        <v>1589</v>
      </c>
      <c r="F134" s="9" t="s">
        <v>1598</v>
      </c>
      <c r="I134" t="s">
        <v>569</v>
      </c>
      <c r="J134" t="s">
        <v>1595</v>
      </c>
      <c r="L134" s="12" t="s">
        <v>569</v>
      </c>
      <c r="N134" t="str">
        <f t="shared" si="2"/>
        <v/>
      </c>
    </row>
    <row r="135" spans="1:14" ht="20" x14ac:dyDescent="0.2">
      <c r="A135" s="9">
        <v>69</v>
      </c>
      <c r="B135" s="7" t="s">
        <v>572</v>
      </c>
      <c r="C135" s="9" t="s">
        <v>1746</v>
      </c>
      <c r="D135" s="9" t="s">
        <v>1588</v>
      </c>
      <c r="E135" s="9" t="s">
        <v>1589</v>
      </c>
      <c r="F135" s="9" t="s">
        <v>1598</v>
      </c>
      <c r="I135" t="s">
        <v>570</v>
      </c>
      <c r="J135" t="s">
        <v>1595</v>
      </c>
      <c r="L135" s="12" t="s">
        <v>570</v>
      </c>
      <c r="N135" t="str">
        <f t="shared" si="2"/>
        <v/>
      </c>
    </row>
    <row r="136" spans="1:14" ht="20" x14ac:dyDescent="0.2">
      <c r="A136" s="9">
        <v>135</v>
      </c>
      <c r="B136" s="7" t="s">
        <v>573</v>
      </c>
      <c r="C136" s="9" t="s">
        <v>1747</v>
      </c>
      <c r="D136" s="9" t="s">
        <v>1595</v>
      </c>
      <c r="E136" s="9" t="s">
        <v>395</v>
      </c>
      <c r="F136" s="9" t="s">
        <v>1650</v>
      </c>
      <c r="I136" t="s">
        <v>571</v>
      </c>
      <c r="J136" t="s">
        <v>1595</v>
      </c>
      <c r="L136" s="12" t="s">
        <v>571</v>
      </c>
      <c r="N136" t="str">
        <f t="shared" si="2"/>
        <v/>
      </c>
    </row>
    <row r="137" spans="1:14" ht="20" x14ac:dyDescent="0.2">
      <c r="A137" s="9">
        <v>148</v>
      </c>
      <c r="B137" s="7" t="s">
        <v>574</v>
      </c>
      <c r="C137" s="9" t="s">
        <v>1748</v>
      </c>
      <c r="D137" s="9" t="s">
        <v>1605</v>
      </c>
      <c r="E137" s="9" t="s">
        <v>395</v>
      </c>
      <c r="F137" s="9" t="s">
        <v>1612</v>
      </c>
      <c r="I137" t="s">
        <v>572</v>
      </c>
      <c r="J137" t="s">
        <v>1588</v>
      </c>
      <c r="L137" s="12" t="s">
        <v>572</v>
      </c>
      <c r="N137" t="str">
        <f t="shared" si="2"/>
        <v/>
      </c>
    </row>
    <row r="138" spans="1:14" ht="20" x14ac:dyDescent="0.2">
      <c r="A138" s="9">
        <v>139</v>
      </c>
      <c r="B138" s="7" t="s">
        <v>575</v>
      </c>
      <c r="C138" s="9" t="s">
        <v>1749</v>
      </c>
      <c r="D138" s="9" t="s">
        <v>1595</v>
      </c>
      <c r="E138" s="9" t="s">
        <v>395</v>
      </c>
      <c r="F138" s="9" t="s">
        <v>1600</v>
      </c>
      <c r="I138" t="s">
        <v>573</v>
      </c>
      <c r="J138" t="s">
        <v>1595</v>
      </c>
      <c r="L138" s="12" t="s">
        <v>573</v>
      </c>
      <c r="N138" t="str">
        <f t="shared" si="2"/>
        <v/>
      </c>
    </row>
    <row r="139" spans="1:14" ht="20" x14ac:dyDescent="0.2">
      <c r="A139" s="9">
        <v>140</v>
      </c>
      <c r="B139" s="7" t="s">
        <v>576</v>
      </c>
      <c r="C139" s="9" t="s">
        <v>1750</v>
      </c>
      <c r="D139" s="9" t="s">
        <v>1595</v>
      </c>
      <c r="E139" s="9" t="s">
        <v>395</v>
      </c>
      <c r="F139" s="9" t="s">
        <v>1600</v>
      </c>
      <c r="I139" t="s">
        <v>574</v>
      </c>
      <c r="J139" t="s">
        <v>1605</v>
      </c>
      <c r="L139" s="12" t="s">
        <v>574</v>
      </c>
      <c r="N139" t="str">
        <f t="shared" si="2"/>
        <v/>
      </c>
    </row>
    <row r="140" spans="1:14" ht="20" x14ac:dyDescent="0.2">
      <c r="A140" s="9">
        <v>41</v>
      </c>
      <c r="B140" s="7" t="s">
        <v>577</v>
      </c>
      <c r="C140" s="9" t="s">
        <v>1751</v>
      </c>
      <c r="D140" s="9" t="s">
        <v>1595</v>
      </c>
      <c r="E140" s="9" t="s">
        <v>395</v>
      </c>
      <c r="F140" s="9" t="s">
        <v>1600</v>
      </c>
      <c r="I140" t="s">
        <v>575</v>
      </c>
      <c r="J140" t="s">
        <v>1595</v>
      </c>
      <c r="L140" s="12" t="s">
        <v>575</v>
      </c>
      <c r="N140" t="str">
        <f t="shared" si="2"/>
        <v/>
      </c>
    </row>
    <row r="141" spans="1:14" ht="20" x14ac:dyDescent="0.2">
      <c r="A141" s="9">
        <v>39</v>
      </c>
      <c r="B141" s="7" t="s">
        <v>578</v>
      </c>
      <c r="C141" s="9" t="s">
        <v>1752</v>
      </c>
      <c r="D141" s="9" t="s">
        <v>1595</v>
      </c>
      <c r="E141" s="9" t="s">
        <v>1589</v>
      </c>
      <c r="F141" s="9" t="s">
        <v>1593</v>
      </c>
      <c r="I141" t="s">
        <v>576</v>
      </c>
      <c r="J141" t="s">
        <v>1595</v>
      </c>
      <c r="L141" s="12" t="s">
        <v>576</v>
      </c>
      <c r="N141" t="str">
        <f t="shared" si="2"/>
        <v/>
      </c>
    </row>
    <row r="142" spans="1:14" ht="20" x14ac:dyDescent="0.2">
      <c r="A142" s="9">
        <v>40</v>
      </c>
      <c r="B142" s="7" t="s">
        <v>579</v>
      </c>
      <c r="C142" s="9" t="s">
        <v>1753</v>
      </c>
      <c r="D142" s="9" t="s">
        <v>1595</v>
      </c>
      <c r="E142" s="9" t="s">
        <v>1589</v>
      </c>
      <c r="F142" s="9" t="s">
        <v>1593</v>
      </c>
      <c r="I142" t="s">
        <v>577</v>
      </c>
      <c r="J142" t="s">
        <v>1595</v>
      </c>
      <c r="L142" s="12" t="s">
        <v>577</v>
      </c>
      <c r="N142" t="str">
        <f t="shared" si="2"/>
        <v/>
      </c>
    </row>
    <row r="143" spans="1:14" ht="20" x14ac:dyDescent="0.2">
      <c r="A143" s="9">
        <v>149</v>
      </c>
      <c r="B143" s="7" t="s">
        <v>580</v>
      </c>
      <c r="C143" s="9" t="s">
        <v>1754</v>
      </c>
      <c r="D143" s="9" t="s">
        <v>1605</v>
      </c>
      <c r="E143" s="9" t="s">
        <v>395</v>
      </c>
      <c r="F143" s="9" t="s">
        <v>1612</v>
      </c>
      <c r="I143" t="s">
        <v>578</v>
      </c>
      <c r="J143" t="s">
        <v>1595</v>
      </c>
      <c r="L143" s="12" t="s">
        <v>578</v>
      </c>
      <c r="N143" t="str">
        <f t="shared" si="2"/>
        <v/>
      </c>
    </row>
    <row r="144" spans="1:14" ht="20" x14ac:dyDescent="0.2">
      <c r="A144" s="9">
        <v>28</v>
      </c>
      <c r="B144" s="7" t="s">
        <v>581</v>
      </c>
      <c r="C144" s="9" t="s">
        <v>1755</v>
      </c>
      <c r="D144" s="9" t="s">
        <v>1592</v>
      </c>
      <c r="E144" s="9" t="s">
        <v>1589</v>
      </c>
      <c r="F144" s="9" t="s">
        <v>1593</v>
      </c>
      <c r="I144" t="s">
        <v>579</v>
      </c>
      <c r="J144" t="s">
        <v>1595</v>
      </c>
      <c r="L144" s="12" t="s">
        <v>579</v>
      </c>
      <c r="N144" t="str">
        <f t="shared" si="2"/>
        <v/>
      </c>
    </row>
    <row r="145" spans="1:14" ht="20" x14ac:dyDescent="0.2">
      <c r="A145" s="9">
        <v>58</v>
      </c>
      <c r="B145" s="7" t="s">
        <v>582</v>
      </c>
      <c r="C145" s="9" t="s">
        <v>1756</v>
      </c>
      <c r="D145" s="9" t="s">
        <v>1605</v>
      </c>
      <c r="E145" s="9" t="s">
        <v>1589</v>
      </c>
      <c r="F145" s="9" t="s">
        <v>1610</v>
      </c>
      <c r="I145" t="s">
        <v>580</v>
      </c>
      <c r="J145" t="s">
        <v>1605</v>
      </c>
      <c r="L145" s="12" t="s">
        <v>580</v>
      </c>
      <c r="N145" t="str">
        <f t="shared" si="2"/>
        <v/>
      </c>
    </row>
    <row r="146" spans="1:14" ht="20" x14ac:dyDescent="0.2">
      <c r="A146" s="9">
        <v>72</v>
      </c>
      <c r="B146" s="7" t="s">
        <v>583</v>
      </c>
      <c r="C146" s="9" t="s">
        <v>1757</v>
      </c>
      <c r="D146" s="9" t="s">
        <v>1605</v>
      </c>
      <c r="E146" s="9" t="s">
        <v>1589</v>
      </c>
      <c r="F146" s="9" t="s">
        <v>1598</v>
      </c>
      <c r="I146" t="s">
        <v>581</v>
      </c>
      <c r="J146" t="s">
        <v>1592</v>
      </c>
      <c r="L146" s="12" t="s">
        <v>581</v>
      </c>
      <c r="N146" t="str">
        <f t="shared" si="2"/>
        <v/>
      </c>
    </row>
    <row r="147" spans="1:14" ht="20" x14ac:dyDescent="0.2">
      <c r="A147" s="9">
        <v>88</v>
      </c>
      <c r="B147" s="7" t="s">
        <v>584</v>
      </c>
      <c r="C147" s="9" t="s">
        <v>1758</v>
      </c>
      <c r="D147" s="9" t="s">
        <v>1592</v>
      </c>
      <c r="E147" s="9" t="s">
        <v>376</v>
      </c>
      <c r="F147" s="9" t="s">
        <v>1606</v>
      </c>
      <c r="I147" t="s">
        <v>582</v>
      </c>
      <c r="J147" t="s">
        <v>1605</v>
      </c>
      <c r="L147" s="12" t="s">
        <v>582</v>
      </c>
      <c r="N147" t="str">
        <f t="shared" si="2"/>
        <v/>
      </c>
    </row>
    <row r="148" spans="1:14" ht="20" x14ac:dyDescent="0.2">
      <c r="A148" s="9">
        <v>112</v>
      </c>
      <c r="B148" s="7" t="s">
        <v>585</v>
      </c>
      <c r="C148" s="9" t="s">
        <v>1759</v>
      </c>
      <c r="D148" s="9" t="s">
        <v>1595</v>
      </c>
      <c r="E148" s="9" t="s">
        <v>395</v>
      </c>
      <c r="F148" s="9" t="s">
        <v>1760</v>
      </c>
      <c r="I148" t="s">
        <v>583</v>
      </c>
      <c r="J148" t="s">
        <v>1605</v>
      </c>
      <c r="L148" s="12" t="s">
        <v>583</v>
      </c>
      <c r="N148" t="str">
        <f t="shared" si="2"/>
        <v/>
      </c>
    </row>
    <row r="149" spans="1:14" ht="20" x14ac:dyDescent="0.2">
      <c r="A149" s="9">
        <v>41</v>
      </c>
      <c r="B149" s="7" t="s">
        <v>586</v>
      </c>
      <c r="C149" s="9" t="s">
        <v>1761</v>
      </c>
      <c r="D149" s="9" t="s">
        <v>1595</v>
      </c>
      <c r="E149" s="9" t="s">
        <v>1589</v>
      </c>
      <c r="F149" s="9" t="s">
        <v>1593</v>
      </c>
      <c r="I149" t="s">
        <v>584</v>
      </c>
      <c r="J149" t="s">
        <v>1592</v>
      </c>
      <c r="L149" s="12" t="s">
        <v>584</v>
      </c>
      <c r="N149" t="str">
        <f t="shared" si="2"/>
        <v/>
      </c>
    </row>
    <row r="150" spans="1:14" ht="20" x14ac:dyDescent="0.2">
      <c r="A150" s="9">
        <v>42</v>
      </c>
      <c r="B150" s="7" t="s">
        <v>587</v>
      </c>
      <c r="C150" s="9" t="s">
        <v>1762</v>
      </c>
      <c r="D150" s="9" t="s">
        <v>1595</v>
      </c>
      <c r="E150" s="9" t="s">
        <v>1589</v>
      </c>
      <c r="F150" s="9" t="s">
        <v>1593</v>
      </c>
      <c r="I150" t="s">
        <v>585</v>
      </c>
      <c r="J150" t="s">
        <v>1595</v>
      </c>
      <c r="L150" s="12" t="s">
        <v>585</v>
      </c>
      <c r="N150" t="str">
        <f t="shared" si="2"/>
        <v/>
      </c>
    </row>
    <row r="151" spans="1:14" ht="20" x14ac:dyDescent="0.2">
      <c r="A151" s="9">
        <v>113</v>
      </c>
      <c r="B151" s="7" t="s">
        <v>588</v>
      </c>
      <c r="C151" s="9" t="s">
        <v>1763</v>
      </c>
      <c r="D151" s="9" t="s">
        <v>1595</v>
      </c>
      <c r="E151" s="9" t="s">
        <v>395</v>
      </c>
      <c r="F151" s="9" t="s">
        <v>1760</v>
      </c>
      <c r="I151" t="s">
        <v>586</v>
      </c>
      <c r="J151" t="s">
        <v>1595</v>
      </c>
      <c r="L151" s="12" t="s">
        <v>586</v>
      </c>
      <c r="N151" t="str">
        <f t="shared" si="2"/>
        <v/>
      </c>
    </row>
    <row r="152" spans="1:14" ht="20" x14ac:dyDescent="0.2">
      <c r="A152" s="9">
        <v>114</v>
      </c>
      <c r="B152" s="7" t="s">
        <v>589</v>
      </c>
      <c r="C152" s="9" t="s">
        <v>1764</v>
      </c>
      <c r="D152" s="9" t="s">
        <v>1595</v>
      </c>
      <c r="E152" s="9" t="s">
        <v>395</v>
      </c>
      <c r="F152" s="9" t="s">
        <v>1760</v>
      </c>
      <c r="I152" t="s">
        <v>587</v>
      </c>
      <c r="J152" t="s">
        <v>1595</v>
      </c>
      <c r="L152" s="12" t="s">
        <v>587</v>
      </c>
      <c r="N152" t="str">
        <f t="shared" si="2"/>
        <v/>
      </c>
    </row>
    <row r="153" spans="1:14" ht="20" x14ac:dyDescent="0.2">
      <c r="A153" s="9">
        <v>115</v>
      </c>
      <c r="B153" s="7" t="s">
        <v>590</v>
      </c>
      <c r="C153" s="9" t="s">
        <v>1765</v>
      </c>
      <c r="D153" s="9" t="s">
        <v>1595</v>
      </c>
      <c r="E153" s="9" t="s">
        <v>395</v>
      </c>
      <c r="F153" s="9" t="s">
        <v>1760</v>
      </c>
      <c r="I153" t="s">
        <v>588</v>
      </c>
      <c r="J153" t="s">
        <v>1595</v>
      </c>
      <c r="L153" s="12" t="s">
        <v>588</v>
      </c>
      <c r="N153" t="str">
        <f t="shared" si="2"/>
        <v/>
      </c>
    </row>
    <row r="154" spans="1:14" x14ac:dyDescent="0.2">
      <c r="I154" t="s">
        <v>589</v>
      </c>
      <c r="J154" t="s">
        <v>1595</v>
      </c>
      <c r="L154" s="12" t="s">
        <v>589</v>
      </c>
      <c r="N154" t="str">
        <f t="shared" si="2"/>
        <v/>
      </c>
    </row>
    <row r="155" spans="1:14" x14ac:dyDescent="0.2">
      <c r="I155" t="s">
        <v>590</v>
      </c>
      <c r="J155" t="s">
        <v>1595</v>
      </c>
      <c r="L155" s="12" t="s">
        <v>590</v>
      </c>
      <c r="N155" t="str">
        <f t="shared" si="2"/>
        <v/>
      </c>
    </row>
    <row r="156" spans="1:14" x14ac:dyDescent="0.2">
      <c r="L156" s="12" t="s">
        <v>255</v>
      </c>
      <c r="N156" t="str">
        <f t="shared" si="2"/>
        <v>X</v>
      </c>
    </row>
  </sheetData>
  <sortState xmlns:xlrd2="http://schemas.microsoft.com/office/spreadsheetml/2017/richdata2" ref="A1:F156">
    <sortCondition ref="B2:B156"/>
  </sortState>
  <hyperlinks>
    <hyperlink ref="B90" r:id="rId1" xr:uid="{00000000-0004-0000-0F00-000000000000}"/>
    <hyperlink ref="B16" r:id="rId2" xr:uid="{00000000-0004-0000-0F00-000001000000}"/>
    <hyperlink ref="B64" r:id="rId3" xr:uid="{00000000-0004-0000-0F00-000002000000}"/>
    <hyperlink ref="B73" r:id="rId4" xr:uid="{00000000-0004-0000-0F00-000003000000}"/>
    <hyperlink ref="B95" r:id="rId5" xr:uid="{00000000-0004-0000-0F00-000004000000}"/>
    <hyperlink ref="B2" r:id="rId6" xr:uid="{00000000-0004-0000-0F00-000005000000}"/>
    <hyperlink ref="B51" r:id="rId7" xr:uid="{00000000-0004-0000-0F00-000006000000}"/>
    <hyperlink ref="B82" r:id="rId8" xr:uid="{00000000-0004-0000-0F00-000007000000}"/>
    <hyperlink ref="B42" r:id="rId9" xr:uid="{00000000-0004-0000-0F00-000008000000}"/>
    <hyperlink ref="B69" r:id="rId10" xr:uid="{00000000-0004-0000-0F00-000009000000}"/>
    <hyperlink ref="B70" r:id="rId11" xr:uid="{00000000-0004-0000-0F00-00000A000000}"/>
    <hyperlink ref="B83" r:id="rId12" xr:uid="{00000000-0004-0000-0F00-00000B000000}"/>
    <hyperlink ref="B112" r:id="rId13" xr:uid="{00000000-0004-0000-0F00-00000C000000}"/>
    <hyperlink ref="B113" r:id="rId14" xr:uid="{00000000-0004-0000-0F00-00000D000000}"/>
    <hyperlink ref="B25" r:id="rId15" xr:uid="{00000000-0004-0000-0F00-00000E000000}"/>
    <hyperlink ref="B26" r:id="rId16" xr:uid="{00000000-0004-0000-0F00-00000F000000}"/>
    <hyperlink ref="B71" r:id="rId17" xr:uid="{00000000-0004-0000-0F00-000010000000}"/>
    <hyperlink ref="B72" r:id="rId18" xr:uid="{00000000-0004-0000-0F00-000011000000}"/>
    <hyperlink ref="B106" r:id="rId19" xr:uid="{00000000-0004-0000-0F00-000012000000}"/>
    <hyperlink ref="B122" r:id="rId20" xr:uid="{00000000-0004-0000-0F00-000013000000}"/>
    <hyperlink ref="B13" r:id="rId21" xr:uid="{00000000-0004-0000-0F00-000014000000}"/>
    <hyperlink ref="B3" r:id="rId22" xr:uid="{00000000-0004-0000-0F00-000015000000}"/>
    <hyperlink ref="B38" r:id="rId23" xr:uid="{00000000-0004-0000-0F00-000016000000}"/>
    <hyperlink ref="B40" r:id="rId24" xr:uid="{00000000-0004-0000-0F00-000017000000}"/>
    <hyperlink ref="B107" r:id="rId25" xr:uid="{00000000-0004-0000-0F00-000018000000}"/>
    <hyperlink ref="B127" r:id="rId26" xr:uid="{00000000-0004-0000-0F00-000019000000}"/>
    <hyperlink ref="B128" r:id="rId27" xr:uid="{00000000-0004-0000-0F00-00001A000000}"/>
    <hyperlink ref="B144" r:id="rId28" xr:uid="{00000000-0004-0000-0F00-00001B000000}"/>
    <hyperlink ref="B9" r:id="rId29" xr:uid="{00000000-0004-0000-0F00-00001C000000}"/>
    <hyperlink ref="B98" r:id="rId30" xr:uid="{00000000-0004-0000-0F00-00001D000000}"/>
    <hyperlink ref="B99" r:id="rId31" xr:uid="{00000000-0004-0000-0F00-00001E000000}"/>
    <hyperlink ref="B100" r:id="rId32" xr:uid="{00000000-0004-0000-0F00-00001F000000}"/>
    <hyperlink ref="B114" r:id="rId33" xr:uid="{00000000-0004-0000-0F00-000020000000}"/>
    <hyperlink ref="B115" r:id="rId34" xr:uid="{00000000-0004-0000-0F00-000021000000}"/>
    <hyperlink ref="B116" r:id="rId35" xr:uid="{00000000-0004-0000-0F00-000022000000}"/>
    <hyperlink ref="B117" r:id="rId36" xr:uid="{00000000-0004-0000-0F00-000023000000}"/>
    <hyperlink ref="B118" r:id="rId37" xr:uid="{00000000-0004-0000-0F00-000024000000}"/>
    <hyperlink ref="B124" r:id="rId38" xr:uid="{00000000-0004-0000-0F00-000025000000}"/>
    <hyperlink ref="B141" r:id="rId39" xr:uid="{00000000-0004-0000-0F00-000026000000}"/>
    <hyperlink ref="B142" r:id="rId40" xr:uid="{00000000-0004-0000-0F00-000027000000}"/>
    <hyperlink ref="B149" r:id="rId41" xr:uid="{00000000-0004-0000-0F00-000028000000}"/>
    <hyperlink ref="B150" r:id="rId42" xr:uid="{00000000-0004-0000-0F00-000029000000}"/>
    <hyperlink ref="B111" r:id="rId43" xr:uid="{00000000-0004-0000-0F00-00002A000000}"/>
    <hyperlink ref="B63" r:id="rId44" xr:uid="{00000000-0004-0000-0F00-00002B000000}"/>
    <hyperlink ref="B14" r:id="rId45" xr:uid="{00000000-0004-0000-0F00-00002C000000}"/>
    <hyperlink ref="B15" r:id="rId46" xr:uid="{00000000-0004-0000-0F00-00002D000000}"/>
    <hyperlink ref="B60" r:id="rId47" xr:uid="{00000000-0004-0000-0F00-00002E000000}"/>
    <hyperlink ref="B120" r:id="rId48" xr:uid="{00000000-0004-0000-0F00-00002F000000}"/>
    <hyperlink ref="B121" r:id="rId49" xr:uid="{00000000-0004-0000-0F00-000030000000}"/>
    <hyperlink ref="B57" r:id="rId50" xr:uid="{00000000-0004-0000-0F00-000031000000}"/>
    <hyperlink ref="B19" r:id="rId51" xr:uid="{00000000-0004-0000-0F00-000032000000}"/>
    <hyperlink ref="B81" r:id="rId52" xr:uid="{00000000-0004-0000-0F00-000033000000}"/>
    <hyperlink ref="B86" r:id="rId53" xr:uid="{00000000-0004-0000-0F00-000034000000}"/>
    <hyperlink ref="B108" r:id="rId54" xr:uid="{00000000-0004-0000-0F00-000035000000}"/>
    <hyperlink ref="B109" r:id="rId55" xr:uid="{00000000-0004-0000-0F00-000036000000}"/>
    <hyperlink ref="B110" r:id="rId56" xr:uid="{00000000-0004-0000-0F00-000037000000}"/>
    <hyperlink ref="B123" r:id="rId57" xr:uid="{00000000-0004-0000-0F00-000038000000}"/>
    <hyperlink ref="B145" r:id="rId58" xr:uid="{00000000-0004-0000-0F00-000039000000}"/>
    <hyperlink ref="B11" r:id="rId59" xr:uid="{00000000-0004-0000-0F00-00003A000000}"/>
    <hyperlink ref="B45" r:id="rId60" xr:uid="{00000000-0004-0000-0F00-00003B000000}"/>
    <hyperlink ref="B46" r:id="rId61" xr:uid="{00000000-0004-0000-0F00-00003C000000}"/>
    <hyperlink ref="B5" r:id="rId62" xr:uid="{00000000-0004-0000-0F00-00003D000000}"/>
    <hyperlink ref="B28" r:id="rId63" xr:uid="{00000000-0004-0000-0F00-00003E000000}"/>
    <hyperlink ref="B31" r:id="rId64" xr:uid="{00000000-0004-0000-0F00-00003F000000}"/>
    <hyperlink ref="B32" r:id="rId65" xr:uid="{00000000-0004-0000-0F00-000040000000}"/>
    <hyperlink ref="B33" r:id="rId66" xr:uid="{00000000-0004-0000-0F00-000041000000}"/>
    <hyperlink ref="B34" r:id="rId67" xr:uid="{00000000-0004-0000-0F00-000042000000}"/>
    <hyperlink ref="B134" r:id="rId68" xr:uid="{00000000-0004-0000-0F00-000043000000}"/>
    <hyperlink ref="B135" r:id="rId69" xr:uid="{00000000-0004-0000-0F00-000044000000}"/>
    <hyperlink ref="B59" r:id="rId70" xr:uid="{00000000-0004-0000-0F00-000045000000}"/>
    <hyperlink ref="B87" r:id="rId71" xr:uid="{00000000-0004-0000-0F00-000046000000}"/>
    <hyperlink ref="B146" r:id="rId72" xr:uid="{00000000-0004-0000-0F00-000047000000}"/>
    <hyperlink ref="B89" r:id="rId73" xr:uid="{00000000-0004-0000-0F00-000048000000}"/>
    <hyperlink ref="B4" r:id="rId74" xr:uid="{00000000-0004-0000-0F00-000049000000}"/>
    <hyperlink ref="B7" r:id="rId75" xr:uid="{00000000-0004-0000-0F00-00004A000000}"/>
    <hyperlink ref="B29" r:id="rId76" xr:uid="{00000000-0004-0000-0F00-00004B000000}"/>
    <hyperlink ref="B41" r:id="rId77" xr:uid="{00000000-0004-0000-0F00-00004C000000}"/>
    <hyperlink ref="B61" r:id="rId78" xr:uid="{00000000-0004-0000-0F00-00004D000000}"/>
    <hyperlink ref="B65" r:id="rId79" xr:uid="{00000000-0004-0000-0F00-00004E000000}"/>
    <hyperlink ref="B66" r:id="rId80" xr:uid="{00000000-0004-0000-0F00-00004F000000}"/>
    <hyperlink ref="B67" r:id="rId81" xr:uid="{00000000-0004-0000-0F00-000050000000}"/>
    <hyperlink ref="B102" r:id="rId82" xr:uid="{00000000-0004-0000-0F00-000051000000}"/>
    <hyperlink ref="B101" r:id="rId83" xr:uid="{00000000-0004-0000-0F00-000052000000}"/>
    <hyperlink ref="B17" r:id="rId84" xr:uid="{00000000-0004-0000-0F00-000053000000}"/>
    <hyperlink ref="B20" r:id="rId85" xr:uid="{00000000-0004-0000-0F00-000054000000}"/>
    <hyperlink ref="B88" r:id="rId86" xr:uid="{00000000-0004-0000-0F00-000055000000}"/>
    <hyperlink ref="B91" r:id="rId87" xr:uid="{00000000-0004-0000-0F00-000056000000}"/>
    <hyperlink ref="B147" r:id="rId88" xr:uid="{00000000-0004-0000-0F00-000057000000}"/>
    <hyperlink ref="B21" r:id="rId89" xr:uid="{00000000-0004-0000-0F00-000058000000}"/>
    <hyperlink ref="B22" r:id="rId90" xr:uid="{00000000-0004-0000-0F00-000059000000}"/>
    <hyperlink ref="B35" r:id="rId91" xr:uid="{00000000-0004-0000-0F00-00005A000000}"/>
    <hyperlink ref="B36" r:id="rId92" xr:uid="{00000000-0004-0000-0F00-00005B000000}"/>
    <hyperlink ref="B37" r:id="rId93" xr:uid="{00000000-0004-0000-0F00-00005C000000}"/>
    <hyperlink ref="B103" r:id="rId94" xr:uid="{00000000-0004-0000-0F00-00005D000000}"/>
    <hyperlink ref="B104" r:id="rId95" xr:uid="{00000000-0004-0000-0F00-00005E000000}"/>
    <hyperlink ref="B10" r:id="rId96" xr:uid="{00000000-0004-0000-0F00-00005F000000}"/>
    <hyperlink ref="B39" r:id="rId97" xr:uid="{00000000-0004-0000-0F00-000060000000}"/>
    <hyperlink ref="B119" r:id="rId98" xr:uid="{00000000-0004-0000-0F00-000061000000}"/>
    <hyperlink ref="B18" r:id="rId99" xr:uid="{00000000-0004-0000-0F00-000062000000}"/>
    <hyperlink ref="B55" r:id="rId100" xr:uid="{00000000-0004-0000-0F00-000063000000}"/>
    <hyperlink ref="B56" r:id="rId101" xr:uid="{00000000-0004-0000-0F00-000064000000}"/>
    <hyperlink ref="B76" r:id="rId102" xr:uid="{00000000-0004-0000-0F00-000065000000}"/>
    <hyperlink ref="B77" r:id="rId103" xr:uid="{00000000-0004-0000-0F00-000066000000}"/>
    <hyperlink ref="B78" r:id="rId104" xr:uid="{00000000-0004-0000-0F00-000067000000}"/>
    <hyperlink ref="B79" r:id="rId105" xr:uid="{00000000-0004-0000-0F00-000068000000}"/>
    <hyperlink ref="B105" r:id="rId106" xr:uid="{00000000-0004-0000-0F00-000069000000}"/>
    <hyperlink ref="B125" r:id="rId107" xr:uid="{00000000-0004-0000-0F00-00006A000000}"/>
    <hyperlink ref="B126" r:id="rId108" xr:uid="{00000000-0004-0000-0F00-00006B000000}"/>
    <hyperlink ref="B133" r:id="rId109" xr:uid="{00000000-0004-0000-0F00-00006C000000}"/>
    <hyperlink ref="B62" r:id="rId110" xr:uid="{00000000-0004-0000-0F00-00006D000000}"/>
    <hyperlink ref="B92" r:id="rId111" xr:uid="{00000000-0004-0000-0F00-00006E000000}"/>
    <hyperlink ref="B148" r:id="rId112" xr:uid="{00000000-0004-0000-0F00-00006F000000}"/>
    <hyperlink ref="B151" r:id="rId113" xr:uid="{00000000-0004-0000-0F00-000070000000}"/>
    <hyperlink ref="B152" r:id="rId114" xr:uid="{00000000-0004-0000-0F00-000071000000}"/>
    <hyperlink ref="B153" r:id="rId115" xr:uid="{00000000-0004-0000-0F00-000072000000}"/>
    <hyperlink ref="B43" r:id="rId116" xr:uid="{00000000-0004-0000-0F00-000073000000}"/>
    <hyperlink ref="B68" r:id="rId117" xr:uid="{00000000-0004-0000-0F00-000074000000}"/>
    <hyperlink ref="B24" r:id="rId118" xr:uid="{00000000-0004-0000-0F00-000075000000}"/>
    <hyperlink ref="B27" r:id="rId119" xr:uid="{00000000-0004-0000-0F00-000076000000}"/>
    <hyperlink ref="B58" r:id="rId120" xr:uid="{00000000-0004-0000-0F00-000077000000}"/>
    <hyperlink ref="B74" r:id="rId121" xr:uid="{00000000-0004-0000-0F00-000078000000}"/>
    <hyperlink ref="B93" r:id="rId122" xr:uid="{00000000-0004-0000-0F00-000079000000}"/>
    <hyperlink ref="B94" r:id="rId123" xr:uid="{00000000-0004-0000-0F00-00007A000000}"/>
    <hyperlink ref="B96" r:id="rId124" xr:uid="{00000000-0004-0000-0F00-00007B000000}"/>
    <hyperlink ref="B97" r:id="rId125" xr:uid="{00000000-0004-0000-0F00-00007C000000}"/>
    <hyperlink ref="B53" r:id="rId126" xr:uid="{00000000-0004-0000-0F00-00007D000000}"/>
    <hyperlink ref="B49" r:id="rId127" xr:uid="{00000000-0004-0000-0F00-00007E000000}"/>
    <hyperlink ref="B50" r:id="rId128" xr:uid="{00000000-0004-0000-0F00-00007F000000}"/>
    <hyperlink ref="B54" r:id="rId129" xr:uid="{00000000-0004-0000-0F00-000080000000}"/>
    <hyperlink ref="B44" r:id="rId130" xr:uid="{00000000-0004-0000-0F00-000081000000}"/>
    <hyperlink ref="B47" r:id="rId131" xr:uid="{00000000-0004-0000-0F00-000082000000}"/>
    <hyperlink ref="B48" r:id="rId132" xr:uid="{00000000-0004-0000-0F00-000083000000}"/>
    <hyperlink ref="B131" r:id="rId133" xr:uid="{00000000-0004-0000-0F00-000084000000}"/>
    <hyperlink ref="B132" r:id="rId134" xr:uid="{00000000-0004-0000-0F00-000085000000}"/>
    <hyperlink ref="B136" r:id="rId135" xr:uid="{00000000-0004-0000-0F00-000086000000}"/>
    <hyperlink ref="B6" r:id="rId136" xr:uid="{00000000-0004-0000-0F00-000087000000}"/>
    <hyperlink ref="B8" r:id="rId137" xr:uid="{00000000-0004-0000-0F00-000088000000}"/>
    <hyperlink ref="B129" r:id="rId138" xr:uid="{00000000-0004-0000-0F00-000089000000}"/>
    <hyperlink ref="B138" r:id="rId139" xr:uid="{00000000-0004-0000-0F00-00008A000000}"/>
    <hyperlink ref="B139" r:id="rId140" xr:uid="{00000000-0004-0000-0F00-00008B000000}"/>
    <hyperlink ref="B140" r:id="rId141" xr:uid="{00000000-0004-0000-0F00-00008C000000}"/>
    <hyperlink ref="B52" r:id="rId142" xr:uid="{00000000-0004-0000-0F00-00008D000000}"/>
    <hyperlink ref="B75" r:id="rId143" xr:uid="{00000000-0004-0000-0F00-00008E000000}"/>
    <hyperlink ref="B84" r:id="rId144" xr:uid="{00000000-0004-0000-0F00-00008F000000}"/>
    <hyperlink ref="B12" r:id="rId145" xr:uid="{00000000-0004-0000-0F00-000090000000}"/>
    <hyperlink ref="B30" r:id="rId146" xr:uid="{00000000-0004-0000-0F00-000091000000}"/>
    <hyperlink ref="B130" r:id="rId147" xr:uid="{00000000-0004-0000-0F00-000092000000}"/>
    <hyperlink ref="B137" r:id="rId148" xr:uid="{00000000-0004-0000-0F00-000093000000}"/>
    <hyperlink ref="B143" r:id="rId149" xr:uid="{00000000-0004-0000-0F00-000094000000}"/>
    <hyperlink ref="B23" r:id="rId150" xr:uid="{00000000-0004-0000-0F00-000095000000}"/>
    <hyperlink ref="B80" r:id="rId151" xr:uid="{00000000-0004-0000-0F00-000096000000}"/>
    <hyperlink ref="B85" r:id="rId152" xr:uid="{00000000-0004-0000-0F00-000097000000}"/>
    <hyperlink ref="E1" r:id="rId153" tooltip="sort by Region" xr:uid="{00000000-0004-0000-0F00-000098000000}"/>
    <hyperlink ref="D1" r:id="rId154" tooltip="sort by Grid" xr:uid="{00000000-0004-0000-0F00-000099000000}"/>
    <hyperlink ref="C1" r:id="rId155" tooltip="sort by Type" xr:uid="{00000000-0004-0000-0F00-00009A000000}"/>
    <hyperlink ref="A1" r:id="rId156" tooltip="sort by Distribution Utility" xr:uid="{00000000-0004-0000-0F00-00009B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E5"/>
  <sheetViews>
    <sheetView topLeftCell="A4" workbookViewId="0">
      <selection activeCell="C4" sqref="C4"/>
    </sheetView>
  </sheetViews>
  <sheetFormatPr baseColWidth="10" defaultColWidth="8.83203125" defaultRowHeight="15" x14ac:dyDescent="0.2"/>
  <cols>
    <col min="1" max="2" width="27" style="1" customWidth="1"/>
    <col min="3" max="3" width="27" customWidth="1"/>
    <col min="4" max="4" width="54.33203125" style="2" customWidth="1"/>
  </cols>
  <sheetData>
    <row r="1" spans="1:5" ht="16" x14ac:dyDescent="0.2">
      <c r="A1" s="3" t="s">
        <v>4</v>
      </c>
      <c r="B1" s="3" t="s">
        <v>1766</v>
      </c>
      <c r="C1" s="4" t="s">
        <v>1767</v>
      </c>
      <c r="D1" s="5" t="s">
        <v>1768</v>
      </c>
    </row>
    <row r="2" spans="1:5" ht="304" x14ac:dyDescent="0.2">
      <c r="A2" s="1" t="s">
        <v>1769</v>
      </c>
      <c r="B2" s="1" t="s">
        <v>1770</v>
      </c>
      <c r="C2" t="s">
        <v>1771</v>
      </c>
      <c r="D2" s="2" t="s">
        <v>1772</v>
      </c>
      <c r="E2" s="1" t="s">
        <v>1773</v>
      </c>
    </row>
    <row r="3" spans="1:5" ht="144" x14ac:dyDescent="0.2">
      <c r="A3" s="1" t="s">
        <v>156</v>
      </c>
      <c r="B3" s="1" t="s">
        <v>1774</v>
      </c>
      <c r="C3" s="6" t="s">
        <v>1775</v>
      </c>
      <c r="D3" s="2" t="s">
        <v>1776</v>
      </c>
    </row>
    <row r="4" spans="1:5" ht="272" x14ac:dyDescent="0.2">
      <c r="A4" s="1" t="s">
        <v>158</v>
      </c>
      <c r="B4" s="1" t="s">
        <v>1777</v>
      </c>
      <c r="C4" t="s">
        <v>1778</v>
      </c>
      <c r="D4" s="5" t="s">
        <v>1779</v>
      </c>
    </row>
    <row r="5" spans="1:5" ht="208" x14ac:dyDescent="0.2">
      <c r="A5" s="1" t="s">
        <v>159</v>
      </c>
      <c r="B5" s="1" t="s">
        <v>1780</v>
      </c>
      <c r="D5" s="2" t="s">
        <v>1781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856290-1c23-4b19-9f06-96fbc727204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FD4557039659478CBF0BB6D62635CE" ma:contentTypeVersion="11" ma:contentTypeDescription="Create a new document." ma:contentTypeScope="" ma:versionID="12512ae147ba808f3077ecd707fb80f1">
  <xsd:schema xmlns:xsd="http://www.w3.org/2001/XMLSchema" xmlns:xs="http://www.w3.org/2001/XMLSchema" xmlns:p="http://schemas.microsoft.com/office/2006/metadata/properties" xmlns:ns2="85856290-1c23-4b19-9f06-96fbc7272041" targetNamespace="http://schemas.microsoft.com/office/2006/metadata/properties" ma:root="true" ma:fieldsID="006de5e10873c40dc8e256d74269ee47" ns2:_="">
    <xsd:import namespace="85856290-1c23-4b19-9f06-96fbc72720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BillingMetadata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856290-1c23-4b19-9f06-96fbc72720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ecb7a70a-0ab6-4622-a090-cdcd879a33e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BillingMetadata" ma:index="17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37" master="" otherUserPermission="visible"/>
  <rangeList sheetStid="34" master="" otherUserPermission="visible">
    <arrUserId title="Range1" rangeCreator="" othersAccessPermission="edit"/>
    <arrUserId title="Range1_1" rangeCreator="" othersAccessPermission="edit"/>
    <arrUserId title="Range1_2" rangeCreator="" othersAccessPermission="edit"/>
  </rangeList>
  <rangeList sheetStid="44" master="" otherUserPermission="visible">
    <arrUserId title="Range1" rangeCreator="" othersAccessPermission="edit"/>
  </rangeList>
  <rangeList sheetStid="38" master="" otherUserPermission="visible">
    <arrUserId title="Range1" rangeCreator="" othersAccessPermission="edit"/>
  </rangeList>
  <rangeList sheetStid="39" master="" otherUserPermission="visible">
    <arrUserId title="Range1" rangeCreator="" othersAccessPermission="edit"/>
    <arrUserId title="Range1_1" rangeCreator="" othersAccessPermission="edit"/>
    <arrUserId title="Range1_2" rangeCreator="" othersAccessPermission="edit"/>
  </rangeList>
  <rangeList sheetStid="50" master="" otherUserPermission="visible"/>
  <rangeList sheetStid="41" master="" otherUserPermission="visible">
    <arrUserId title="Range1" rangeCreator="" othersAccessPermission="edit"/>
    <arrUserId title="Range1_1" rangeCreator="" othersAccessPermission="edit"/>
    <arrUserId title="Range1_2" rangeCreator="" othersAccessPermission="edit"/>
    <arrUserId title="Range1_3" rangeCreator="" othersAccessPermission="edit"/>
    <arrUserId title="Range1_4" rangeCreator="" othersAccessPermission="edit"/>
    <arrUserId title="Range1_5" rangeCreator="" othersAccessPermission="edit"/>
  </rangeList>
  <rangeList sheetStid="48" master="" otherUserPermission="visible"/>
  <rangeList sheetStid="40" master="" otherUserPermission="visible">
    <arrUserId title="Range1" rangeCreator="" othersAccessPermission="edit"/>
    <arrUserId title="Range1_1" rangeCreator="" othersAccessPermission="edit"/>
    <arrUserId title="Range1_2" rangeCreator="" othersAccessPermission="edit"/>
    <arrUserId title="Range1_3" rangeCreator="" othersAccessPermission="edit"/>
  </rangeList>
  <rangeList sheetStid="43" master="" otherUserPermission="visible"/>
  <rangeList sheetStid="51" master="" otherUserPermission="visible"/>
  <rangeList sheetStid="30" master="" otherUserPermission="visible"/>
  <rangeList sheetStid="42" master="" otherUserPermission="visible"/>
  <rangeList sheetStid="49" master="" otherUserPermission="visible"/>
  <rangeList sheetStid="45" master="" otherUserPermission="visible"/>
  <rangeList sheetStid="9" master="" otherUserPermission="visible"/>
</allowEditUser>
</file>

<file path=customXml/itemProps1.xml><?xml version="1.0" encoding="utf-8"?>
<ds:datastoreItem xmlns:ds="http://schemas.openxmlformats.org/officeDocument/2006/customXml" ds:itemID="{9B267B6D-EF5A-4ADB-8EFB-A61F770FA06B}">
  <ds:schemaRefs/>
</ds:datastoreItem>
</file>

<file path=customXml/itemProps2.xml><?xml version="1.0" encoding="utf-8"?>
<ds:datastoreItem xmlns:ds="http://schemas.openxmlformats.org/officeDocument/2006/customXml" ds:itemID="{C4AF58EB-FF60-41A5-85DA-CE222EAB2BAD}">
  <ds:schemaRefs/>
</ds:datastoreItem>
</file>

<file path=customXml/itemProps3.xml><?xml version="1.0" encoding="utf-8"?>
<ds:datastoreItem xmlns:ds="http://schemas.openxmlformats.org/officeDocument/2006/customXml" ds:itemID="{6BFF0D39-3661-481E-B3B6-00FDA404A818}">
  <ds:schemaRefs/>
</ds:datastoreItem>
</file>

<file path=customXml/itemProps4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Instructions</vt:lpstr>
      <vt:lpstr>1. Data Info and Summary</vt:lpstr>
      <vt:lpstr>2.1a Fuel - Buildings</vt:lpstr>
      <vt:lpstr>2.1b Fuel - Vehicles</vt:lpstr>
      <vt:lpstr>2.2 Refrigerants</vt:lpstr>
      <vt:lpstr>2.3a Electricity</vt:lpstr>
      <vt:lpstr>2.3b RE - Solar</vt:lpstr>
      <vt:lpstr>2.4 Water</vt:lpstr>
      <vt:lpstr>2.7 Waste Gases</vt:lpstr>
      <vt:lpstr>2.5 Waste</vt:lpstr>
      <vt:lpstr>3. Emissions Summary</vt:lpstr>
      <vt:lpstr>4. Dashboard</vt:lpstr>
      <vt:lpstr>dropdown</vt:lpstr>
      <vt:lpstr>Emission_Factors</vt:lpstr>
      <vt:lpstr>Change Log</vt:lpstr>
      <vt:lpstr>Sheet2</vt:lpstr>
      <vt:lpstr>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 Lyle A. Constantino</dc:creator>
  <cp:lastModifiedBy>Finella Jianna A. Villaluz</cp:lastModifiedBy>
  <dcterms:created xsi:type="dcterms:W3CDTF">2024-09-16T05:48:00Z</dcterms:created>
  <dcterms:modified xsi:type="dcterms:W3CDTF">2025-09-16T13:55:43Z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a2f4c6-d10d-4c1c-82e1-7a921120c69a_Enabled">
    <vt:lpwstr>true</vt:lpwstr>
  </property>
  <property fmtid="{D5CDD505-2E9C-101B-9397-08002B2CF9AE}" pid="3" name="MSIP_Label_d9a2f4c6-d10d-4c1c-82e1-7a921120c69a_SetDate">
    <vt:lpwstr>2024-09-16T06:26:53Z</vt:lpwstr>
  </property>
  <property fmtid="{D5CDD505-2E9C-101B-9397-08002B2CF9AE}" pid="4" name="MSIP_Label_d9a2f4c6-d10d-4c1c-82e1-7a921120c69a_Method">
    <vt:lpwstr>Standard</vt:lpwstr>
  </property>
  <property fmtid="{D5CDD505-2E9C-101B-9397-08002B2CF9AE}" pid="5" name="MSIP_Label_d9a2f4c6-d10d-4c1c-82e1-7a921120c69a_Name">
    <vt:lpwstr>General - Anyone</vt:lpwstr>
  </property>
  <property fmtid="{D5CDD505-2E9C-101B-9397-08002B2CF9AE}" pid="6" name="MSIP_Label_d9a2f4c6-d10d-4c1c-82e1-7a921120c69a_SiteId">
    <vt:lpwstr>c6d1c7a1-4b0d-4c53-86ec-d6d1d8e5b97c</vt:lpwstr>
  </property>
  <property fmtid="{D5CDD505-2E9C-101B-9397-08002B2CF9AE}" pid="7" name="MSIP_Label_d9a2f4c6-d10d-4c1c-82e1-7a921120c69a_ActionId">
    <vt:lpwstr>51b73fb5-0ba8-4342-a2ab-83211ee15d9d</vt:lpwstr>
  </property>
  <property fmtid="{D5CDD505-2E9C-101B-9397-08002B2CF9AE}" pid="8" name="MSIP_Label_d9a2f4c6-d10d-4c1c-82e1-7a921120c69a_ContentBits">
    <vt:lpwstr>2</vt:lpwstr>
  </property>
  <property fmtid="{D5CDD505-2E9C-101B-9397-08002B2CF9AE}" pid="9" name="ContentTypeId">
    <vt:lpwstr>0x01010080FD4557039659478CBF0BB6D62635CE</vt:lpwstr>
  </property>
  <property fmtid="{D5CDD505-2E9C-101B-9397-08002B2CF9AE}" pid="10" name="Order">
    <vt:r8>610300</vt:r8>
  </property>
  <property fmtid="{D5CDD505-2E9C-101B-9397-08002B2CF9AE}" pid="11" name="ComplianceAssetId">
    <vt:lpwstr/>
  </property>
  <property fmtid="{D5CDD505-2E9C-101B-9397-08002B2CF9AE}" pid="12" name="_ExtendedDescription">
    <vt:lpwstr/>
  </property>
  <property fmtid="{D5CDD505-2E9C-101B-9397-08002B2CF9AE}" pid="13" name="TriggerFlowInfo">
    <vt:lpwstr/>
  </property>
  <property fmtid="{D5CDD505-2E9C-101B-9397-08002B2CF9AE}" pid="14" name="MediaServiceImageTags">
    <vt:lpwstr/>
  </property>
  <property fmtid="{D5CDD505-2E9C-101B-9397-08002B2CF9AE}" pid="15" name="xd_Signature">
    <vt:bool>false</vt:bool>
  </property>
  <property fmtid="{D5CDD505-2E9C-101B-9397-08002B2CF9AE}" pid="16" name="xd_ProgID">
    <vt:lpwstr/>
  </property>
  <property fmtid="{D5CDD505-2E9C-101B-9397-08002B2CF9AE}" pid="17" name="TemplateUrl">
    <vt:lpwstr/>
  </property>
  <property fmtid="{D5CDD505-2E9C-101B-9397-08002B2CF9AE}" pid="18" name="SV_QUERY_LIST_4F35BF76-6C0D-4D9B-82B2-816C12CF3733">
    <vt:lpwstr>empty_477D106A-C0D6-4607-AEBD-E2C9D60EA279</vt:lpwstr>
  </property>
  <property fmtid="{D5CDD505-2E9C-101B-9397-08002B2CF9AE}" pid="19" name="SV_HIDDEN_GRID_QUERY_LIST_4F35BF76-6C0D-4D9B-82B2-816C12CF3733">
    <vt:lpwstr>empty_477D106A-C0D6-4607-AEBD-E2C9D60EA279</vt:lpwstr>
  </property>
  <property fmtid="{D5CDD505-2E9C-101B-9397-08002B2CF9AE}" pid="20" name="ICV">
    <vt:lpwstr>5C0B536AA256468DA927EB886CFD4058_12</vt:lpwstr>
  </property>
  <property fmtid="{D5CDD505-2E9C-101B-9397-08002B2CF9AE}" pid="21" name="KSOProductBuildVer">
    <vt:lpwstr>1033-12.2.0.22549</vt:lpwstr>
  </property>
</Properties>
</file>