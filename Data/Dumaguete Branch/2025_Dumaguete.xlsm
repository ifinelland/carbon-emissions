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Dumaguete Branch/"/>
    </mc:Choice>
  </mc:AlternateContent>
  <xr:revisionPtr revIDLastSave="0" documentId="13_ncr:1_{2888E6FF-4D82-4F47-9EC5-86E9D5483F8B}" xr6:coauthVersionLast="47" xr6:coauthVersionMax="47" xr10:uidLastSave="{00000000-0000-0000-0000-000000000000}"/>
  <bookViews>
    <workbookView xWindow="0" yWindow="740" windowWidth="29400" windowHeight="17100" tabRatio="850"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598" r:id="rId19"/>
    <pivotCache cacheId="599" r:id="rId20"/>
    <pivotCache cacheId="600" r:id="rId21"/>
    <pivotCache cacheId="601" r:id="rId22"/>
    <pivotCache cacheId="602" r:id="rId23"/>
    <pivotCache cacheId="610"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11" i="40"/>
  <c r="I12" i="40" s="1"/>
  <c r="I13" i="40" s="1"/>
  <c r="I14" i="40" s="1"/>
  <c r="I15" i="40" s="1"/>
  <c r="I16" i="40" s="1"/>
  <c r="I17" i="40" s="1"/>
  <c r="I18" i="40" s="1"/>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F13" i="38"/>
  <c r="F12" i="38"/>
  <c r="E13" i="38"/>
  <c r="E12" i="38"/>
  <c r="D13" i="38"/>
  <c r="D12"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s="1"/>
  <c r="I13" i="34" s="1"/>
  <c r="I7" i="34"/>
  <c r="I18" i="39"/>
  <c r="I19" i="39" s="1"/>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E11" i="38" s="1"/>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I32" i="40" s="1"/>
  <c r="I33" i="40" s="1"/>
  <c r="I34" i="40" s="1"/>
  <c r="I35" i="40" s="1"/>
  <c r="I36" i="40" s="1"/>
  <c r="I37" i="40" s="1"/>
  <c r="I38" i="40" s="1"/>
  <c r="I39" i="40" s="1"/>
  <c r="I40" i="40" s="1"/>
  <c r="I41" i="40" s="1"/>
  <c r="I42" i="40" s="1"/>
  <c r="I43" i="40" s="1"/>
  <c r="I44"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F11" i="38" l="1"/>
  <c r="D11" i="38"/>
  <c r="G11" i="38"/>
  <c r="D12" i="39"/>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3" i="34" l="1"/>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F13" i="37"/>
  <c r="G13" i="37"/>
  <c r="E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F11" i="44" l="1"/>
  <c r="E11" i="44"/>
  <c r="D11" i="44"/>
  <c r="G11" i="44"/>
  <c r="F12" i="44"/>
  <c r="E12" i="44"/>
  <c r="D12" i="44"/>
  <c r="G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4" i="34" l="1"/>
  <c r="D14" i="34"/>
  <c r="G14" i="34"/>
  <c r="E14" i="34"/>
  <c r="E13" i="34"/>
  <c r="F13" i="34"/>
  <c r="D13" i="34"/>
  <c r="G13" i="34"/>
  <c r="E12" i="34"/>
  <c r="D12" i="34"/>
  <c r="G12" i="34"/>
  <c r="F12" i="34"/>
  <c r="G11" i="34"/>
  <c r="E11" i="34"/>
  <c r="F11" i="34"/>
  <c r="D11" i="34"/>
  <c r="D15" i="34"/>
  <c r="E15" i="34"/>
  <c r="F15" i="34"/>
  <c r="G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<sst xmlns="http://schemas.openxmlformats.org/spreadsheetml/2006/main" count="8400" uniqueCount="1754">
  <si>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</si>
  <si>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</si>
  <si>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</si>
  <si>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</si>
  <si>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</si>
  <si>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</si>
  <si>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</si>
  <si>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</si>
  <si>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</si>
  <si>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</si>
  <si>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</si>
  <si>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</si>
  <si>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</si>
  <si>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</si>
  <si>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</si>
  <si>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</si>
  <si>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</si>
  <si>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</si>
  <si>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</si>
  <si>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</si>
  <si>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</si>
  <si>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</si>
  <si>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</si>
  <si>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</si>
  <si>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</si>
  <si>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</si>
  <si>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</si>
  <si>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</si>
  <si>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</si>
  <si>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</si>
  <si>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</si>
  <si>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</si>
  <si>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</si>
  <si>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</si>
  <si>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</si>
  <si>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</si>
  <si>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</si>
  <si>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</si>
  <si>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</si>
  <si>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</si>
  <si>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</si>
  <si>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</si>
  <si>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</si>
  <si>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</si>
  <si>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</si>
  <si>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</si>
  <si>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</si>
  <si>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</si>
  <si>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</si>
  <si>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</si>
  <si>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</si>
  <si>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</si>
  <si>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</si>
  <si>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</si>
  <si>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</si>
  <si>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</si>
  <si>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</si>
  <si>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</si>
  <si>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</si>
  <si>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</si>
  <si>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</si>
  <si>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</si>
  <si>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</si>
  <si>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</si>
  <si>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</si>
  <si>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</si>
  <si>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</si>
  <si>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</si>
  <si>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</si>
  <si>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</si>
  <si>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</si>
  <si>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</si>
  <si>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</si>
  <si>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</si>
  <si>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</si>
  <si>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</si>
  <si>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</si>
  <si>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</si>
  <si>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</si>
  <si>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</si>
  <si>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</si>
  <si>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</si>
  <si>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</si>
  <si>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</si>
  <si>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</si>
  <si>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</si>
  <si>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</si>
  <si>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</si>
  <si>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</si>
  <si>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</si>
  <si>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</si>
  <si>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</si>
  <si>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</si>
  <si>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</si>
  <si>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</si>
  <si>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</si>
  <si>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</si>
  <si>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</si>
  <si>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</si>
  <si>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</si>
  <si>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</si>
  <si>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</si>
  <si>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</si>
  <si>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</si>
  <si>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</si>
  <si>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</si>
  <si>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</si>
  <si>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</si>
  <si>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</si>
  <si>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</si>
  <si>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</si>
  <si>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</si>
  <si>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</si>
  <si>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</si>
  <si>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</si>
  <si>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</si>
  <si>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</si>
  <si>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</si>
  <si>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</si>
  <si>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</si>
  <si>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</si>
  <si>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</si>
  <si>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</si>
  <si>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</si>
  <si>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</si>
  <si>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</si>
  <si>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</si>
  <si>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</si>
  <si>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</si>
  <si>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</si>
  <si>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</si>
  <si>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</si>
  <si>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</si>
  <si>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</si>
  <si>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</si>
  <si>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</si>
  <si>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</si>
  <si>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</si>
  <si>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</si>
  <si>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</si>
  <si>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</si>
  <si>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</si>
  <si>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</si>
  <si>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</si>
  <si>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</si>
  <si>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</si>
  <si>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</si>
  <si>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</si>
  <si>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</si>
  <si>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</si>
  <si>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</si>
  <si>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</si>
  <si>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</si>
  <si>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</si>
  <si>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</si>
  <si>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</si>
  <si>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</si>
  <si>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</si>
  <si>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</si>
  <si>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</si>
  <si>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</si>
  <si>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</si>
  <si>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</si>
  <si>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</si>
  <si>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</si>
  <si>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</si>
  <si>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</si>
  <si>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</si>
  <si>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</si>
  <si>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</si>
  <si>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</si>
  <si>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</si>
  <si>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</si>
  <si>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</si>
  <si>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</si>
  <si>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</si>
  <si>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</si>
  <si>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</si>
  <si>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</si>
  <si>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</si>
  <si>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</si>
  <si>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</si>
  <si>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</si>
  <si>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</si>
  <si>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</si>
  <si>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</si>
  <si>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</si>
  <si>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</si>
  <si>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</si>
  <si>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</si>
  <si>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</si>
  <si>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</si>
  <si>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</si>
  <si>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</si>
  <si>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</si>
  <si>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</si>
  <si>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</si>
  <si>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</si>
  <si>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</si>
  <si>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</si>
  <si>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</si>
  <si>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</si>
  <si>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</si>
  <si>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</si>
  <si>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</si>
  <si>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</si>
  <si>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</si>
  <si>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</si>
  <si>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</si>
  <si>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</si>
  <si>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</si>
  <si>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</si>
  <si>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</si>
  <si>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</si>
  <si>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</si>
  <si>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</si>
  <si>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</si>
  <si>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</si>
  <si>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</si>
  <si>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</si>
  <si>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</si>
  <si>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</si>
  <si>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</si>
  <si>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</si>
  <si>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</si>
  <si>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</si>
  <si>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</si>
  <si>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</si>
  <si>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</si>
  <si>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</si>
  <si>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</si>
  <si>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</si>
  <si>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</si>
  <si>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</si>
  <si>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</si>
  <si>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</si>
  <si>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</si>
  <si>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</si>
  <si>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</si>
  <si>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</si>
  <si>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</si>
  <si>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</si>
  <si>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</si>
  <si>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</si>
  <si>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</si>
  <si>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</si>
  <si>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</si>
  <si>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</si>
  <si>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</si>
  <si>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</si>
  <si>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</si>
  <si>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</si>
  <si>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</si>
  <si>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</si>
  <si>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</si>
  <si>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</si>
  <si>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</si>
  <si>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</si>
  <si>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</si>
  <si>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</si>
  <si>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</si>
  <si>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</si>
  <si>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</si>
  <si>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</si>
  <si>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</si>
  <si>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</si>
  <si>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</si>
  <si>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</si>
  <si>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</si>
  <si>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</si>
  <si>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</si>
  <si>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</si>
  <si>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</si>
  <si>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</si>
  <si>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</si>
  <si>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</si>
  <si>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</si>
  <si>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</si>
  <si>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</si>
  <si>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</si>
  <si>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</si>
  <si>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</si>
  <si>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</si>
  <si>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</si>
  <si>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</si>
  <si>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</si>
  <si>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</si>
  <si>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</si>
  <si>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</si>
  <si>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</si>
  <si>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</si>
  <si>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</si>
  <si>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</si>
  <si>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</si>
  <si>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</si>
  <si>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</si>
  <si>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</si>
  <si>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</si>
  <si>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</si>
  <si>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</si>
  <si>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</si>
  <si>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</si>
  <si>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</si>
  <si>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</si>
  <si>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</si>
  <si>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</si>
  <si>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</si>
  <si>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</si>
  <si>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</si>
  <si>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</si>
  <si>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</si>
  <si>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</si>
  <si>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</si>
  <si>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</si>
  <si>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</si>
  <si>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</si>
  <si>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</si>
  <si>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</si>
  <si>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</si>
  <si>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</si>
  <si>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</si>
  <si>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</si>
  <si>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</si>
  <si>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</si>
  <si>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</si>
  <si>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</si>
  <si>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</si>
  <si>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</si>
  <si>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</si>
  <si>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</si>
  <si>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</si>
  <si>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</si>
  <si>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</si>
  <si>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</si>
  <si>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</si>
  <si>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</si>
  <si>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</si>
  <si>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</si>
  <si>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</si>
  <si>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</si>
  <si>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</si>
  <si>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</si>
  <si>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</si>
  <si>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</si>
  <si>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</si>
  <si>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</si>
  <si>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</si>
  <si>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</si>
  <si>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</si>
  <si>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</si>
  <si>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</si>
  <si>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</si>
  <si>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</si>
  <si>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</si>
  <si>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</si>
  <si>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</si>
  <si>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</si>
  <si>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</si>
  <si>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</si>
  <si>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</si>
  <si>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</si>
  <si>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</si>
  <si>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</si>
  <si>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</si>
  <si>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</si>
  <si>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</si>
  <si>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</si>
  <si>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</si>
  <si>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</si>
  <si>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</si>
  <si>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</si>
  <si>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</si>
  <si>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</si>
  <si>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</si>
  <si>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</si>
  <si>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</si>
  <si>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</si>
  <si>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</si>
  <si>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</si>
  <si>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</si>
  <si>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</si>
  <si>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</si>
  <si>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</si>
  <si>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</si>
  <si>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</si>
  <si>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</si>
  <si>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</si>
  <si>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</si>
  <si>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</si>
  <si>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</si>
  <si>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</si>
  <si>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</si>
  <si>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</si>
  <si>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</si>
  <si>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</si>
  <si>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</si>
  <si>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</si>
  <si>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</si>
  <si>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</si>
  <si>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</si>
  <si>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</si>
  <si>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</si>
  <si>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</si>
  <si>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</si>
  <si>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</si>
  <si>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</si>
  <si>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</si>
  <si>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</si>
  <si>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</si>
  <si>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</si>
  <si>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</si>
  <si>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</si>
  <si>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</si>
  <si>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</si>
  <si>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</si>
  <si>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</si>
  <si>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</si>
  <si>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</si>
  <si>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</si>
  <si>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</si>
  <si>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</si>
  <si>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</si>
  <si>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</si>
  <si>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</si>
  <si>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</si>
  <si>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</si>
  <si>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</si>
  <si>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</si>
  <si>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</si>
  <si>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</si>
  <si>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</si>
  <si>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</si>
  <si>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</si>
  <si>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</si>
  <si>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</si>
  <si>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</si>
  <si>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</si>
  <si>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</si>
  <si>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</si>
  <si>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</si>
  <si>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</si>
  <si>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</si>
  <si>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</si>
  <si>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</si>
  <si>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</si>
  <si>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</si>
  <si>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</si>
  <si>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</si>
  <si>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</si>
  <si>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</si>
  <si>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</si>
  <si>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</si>
  <si>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</si>
  <si>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</si>
  <si>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</si>
  <si>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</si>
  <si>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</si>
  <si>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</si>
  <si>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</si>
  <si>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</si>
  <si>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</si>
  <si>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</si>
  <si>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</si>
  <si>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</si>
  <si>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</si>
  <si>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</si>
  <si>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</si>
  <si>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</si>
  <si>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</si>
  <si>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</si>
  <si>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</si>
  <si>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</si>
  <si>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</si>
  <si>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</si>
  <si>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</si>
  <si>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</si>
  <si>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</si>
  <si>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</si>
  <si>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</si>
  <si>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</si>
  <si>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</si>
  <si>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</si>
  <si>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</si>
  <si>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</si>
  <si>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</si>
  <si>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</si>
  <si>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</si>
  <si>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</si>
  <si>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</si>
  <si>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</si>
  <si>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</si>
  <si>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</si>
  <si>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</si>
  <si>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</si>
  <si>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</si>
  <si>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</si>
  <si>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</si>
  <si>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</si>
  <si>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</si>
  <si>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</si>
  <si>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</si>
  <si>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</si>
  <si>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</si>
  <si>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</si>
  <si>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</si>
  <si>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</si>
  <si>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</si>
  <si>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</si>
  <si>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</si>
  <si>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</si>
  <si>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</si>
  <si>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</si>
  <si>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</si>
  <si>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</si>
  <si>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</si>
  <si>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</si>
  <si>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</si>
  <si>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</si>
  <si>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</si>
  <si>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</si>
  <si>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</si>
  <si>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</si>
  <si>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</si>
  <si>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</si>
  <si>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</si>
  <si>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</si>
  <si>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</si>
  <si>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</si>
  <si>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</si>
  <si>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</si>
  <si>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</si>
  <si>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</si>
  <si>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</si>
  <si>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</si>
  <si>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</si>
  <si>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</si>
  <si>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</si>
  <si>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</si>
  <si>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</si>
  <si>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</si>
  <si>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</si>
  <si>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</si>
  <si>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</si>
  <si>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</si>
  <si>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</si>
  <si>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</si>
  <si>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</si>
  <si>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</si>
  <si>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</si>
  <si>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</si>
  <si>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</si>
  <si>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</si>
  <si>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</si>
  <si>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</si>
  <si>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</si>
  <si>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</si>
  <si>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</si>
  <si>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</si>
  <si>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</si>
  <si>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</si>
  <si>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</si>
  <si>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</si>
  <si>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</si>
  <si>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</si>
  <si>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</si>
  <si>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</si>
  <si>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</si>
  <si>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</si>
  <si>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</si>
  <si>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</si>
  <si>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</si>
  <si>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</si>
  <si>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</si>
  <si>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</si>
  <si>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</si>
  <si>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</si>
  <si>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</si>
  <si>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</si>
  <si>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</si>
  <si>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</si>
  <si>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</si>
  <si>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</si>
  <si>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</si>
  <si>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</si>
  <si>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</si>
  <si>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</si>
  <si>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</si>
  <si>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</si>
  <si>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</si>
  <si>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</si>
  <si>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</si>
  <si>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</si>
  <si>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</si>
  <si>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</si>
  <si>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</si>
  <si>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</si>
  <si>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</si>
  <si>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</si>
  <si>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</si>
  <si>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</si>
  <si>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</si>
  <si>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</si>
  <si>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</si>
  <si>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</si>
  <si>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</si>
  <si>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</si>
  <si>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</si>
  <si>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</si>
  <si>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</si>
  <si>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</si>
  <si>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</si>
  <si>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</si>
  <si>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</si>
  <si>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</si>
  <si>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</si>
  <si>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</si>
  <si>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</si>
  <si>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</si>
  <si>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</si>
  <si>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</si>
  <si>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</si>
  <si>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</si>
  <si>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</si>
  <si>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</si>
  <si>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</si>
  <si>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</si>
  <si>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</si>
  <si>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</si>
  <si>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</si>
  <si>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</si>
  <si>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</si>
  <si>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</si>
  <si>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</si>
  <si>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</si>
  <si>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</si>
  <si>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</si>
  <si>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</si>
  <si>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</si>
  <si>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</si>
  <si>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</si>
  <si>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</si>
  <si>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</si>
  <si>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</si>
  <si>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</si>
  <si>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</si>
  <si>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</si>
  <si>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</si>
  <si>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</si>
  <si>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</si>
  <si>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</si>
  <si>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</si>
  <si>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</si>
  <si>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</si>
  <si>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</si>
  <si>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</si>
  <si>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</si>
  <si>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</si>
  <si>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</si>
  <si>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</si>
  <si>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</si>
  <si>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</si>
  <si>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</si>
  <si>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</si>
  <si>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</si>
  <si>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</si>
  <si>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</si>
  <si>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</si>
  <si>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</si>
  <si>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</si>
  <si>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</si>
  <si>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</si>
  <si>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</si>
  <si>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</si>
  <si>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</si>
  <si>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</si>
  <si>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</si>
  <si>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</si>
  <si>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</si>
  <si>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</si>
  <si>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</si>
  <si>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</si>
  <si>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</si>
  <si>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</si>
  <si>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</si>
  <si>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</si>
  <si>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</si>
  <si>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</si>
  <si>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</si>
  <si>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</si>
  <si>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</si>
  <si>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</si>
  <si>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</si>
  <si>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</si>
  <si>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</si>
  <si>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</si>
  <si>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</si>
  <si>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</si>
  <si>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</si>
  <si>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</si>
  <si>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</si>
  <si>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</si>
  <si>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</si>
  <si>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</si>
  <si>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</si>
  <si>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</si>
  <si>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</si>
  <si>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</si>
  <si>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</si>
  <si>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</si>
  <si>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</si>
  <si>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</si>
  <si>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</si>
  <si>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</si>
  <si>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</si>
  <si>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</si>
  <si>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</si>
  <si>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</si>
  <si>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</si>
  <si>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</si>
  <si>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</si>
  <si>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</si>
  <si>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</si>
  <si>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</si>
  <si>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</si>
  <si>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</si>
  <si>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</si>
  <si>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</si>
  <si>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</si>
  <si>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</si>
  <si>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</si>
  <si>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</si>
  <si>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</si>
  <si>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</si>
  <si>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</si>
  <si>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</si>
  <si>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</si>
  <si>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</si>
  <si>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</si>
  <si>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</si>
  <si>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</si>
  <si>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</si>
  <si>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</si>
  <si>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</si>
  <si>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</si>
  <si>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</si>
  <si>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</si>
  <si>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</si>
  <si>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</si>
  <si>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</si>
  <si>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</si>
  <si>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</si>
  <si>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</si>
  <si>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</si>
  <si>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</si>
  <si>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</si>
  <si>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</si>
  <si>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</si>
  <si>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</si>
  <si>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</si>
  <si>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</si>
  <si>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</si>
  <si>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</si>
  <si>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</si>
  <si>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</si>
  <si>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</si>
  <si>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</si>
  <si>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</si>
  <si>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</si>
  <si>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</si>
  <si>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</si>
  <si>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</si>
  <si>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</si>
  <si>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</si>
  <si>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</si>
  <si>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</si>
  <si>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</si>
  <si>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</si>
  <si>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</si>
  <si>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</si>
  <si>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</si>
  <si>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</si>
  <si>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</si>
  <si>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</si>
  <si>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</si>
  <si>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</si>
  <si>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</si>
  <si>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</si>
  <si>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</si>
  <si>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</si>
  <si>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</si>
  <si>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</si>
  <si>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</si>
  <si>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</si>
  <si>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</si>
  <si>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</si>
  <si>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</si>
  <si>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</si>
  <si>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</si>
  <si>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</si>
  <si>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</si>
  <si>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</si>
  <si>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</si>
  <si>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</si>
  <si>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</si>
  <si>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</si>
  <si>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</si>
  <si>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</si>
  <si>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</si>
  <si>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</si>
  <si>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</si>
  <si>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</si>
  <si>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</si>
  <si>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</si>
  <si>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</si>
  <si>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</si>
  <si>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</si>
  <si>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</si>
  <si>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</si>
  <si>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</si>
  <si>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</si>
  <si>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</si>
  <si>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</si>
  <si>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</si>
  <si>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</si>
  <si>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</si>
  <si>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</si>
  <si>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</si>
  <si>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</si>
  <si>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</si>
  <si>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</si>
  <si>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</si>
  <si>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</si>
  <si>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</si>
  <si>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</si>
  <si>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</si>
  <si>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</si>
  <si>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</si>
  <si>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</si>
  <si>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</si>
  <si>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</si>
  <si>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</si>
  <si>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</si>
  <si>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</si>
  <si>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</si>
  <si>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</si>
  <si>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</si>
  <si>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</si>
  <si>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</si>
  <si>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</si>
  <si>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</si>
  <si>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</si>
  <si>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</si>
  <si>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</si>
  <si>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</si>
  <si>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</si>
  <si>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</si>
  <si>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</si>
  <si>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</si>
  <si>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</si>
  <si>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</si>
  <si>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</si>
  <si>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</si>
  <si>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</si>
  <si>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</si>
  <si>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</si>
  <si>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</si>
  <si>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</si>
  <si>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</si>
  <si>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</si>
  <si>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</si>
  <si>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</si>
  <si>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</si>
  <si>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</si>
  <si>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</si>
  <si>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</si>
  <si>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</si>
  <si>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</si>
  <si>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</si>
  <si>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</si>
  <si>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</si>
  <si>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</si>
  <si>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</si>
  <si>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</si>
  <si>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</si>
  <si>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</si>
  <si>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</si>
  <si>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</si>
  <si>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</si>
  <si>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</si>
  <si>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</si>
  <si>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</si>
  <si>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</si>
  <si>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</si>
  <si>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</si>
  <si>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</si>
  <si>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</si>
  <si>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</si>
  <si>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</si>
  <si>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</si>
  <si>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</si>
  <si>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</si>
  <si>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</si>
  <si>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</si>
  <si>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</si>
  <si>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</si>
  <si>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</si>
  <si>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</si>
  <si>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</si>
  <si>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</si>
  <si>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</si>
  <si>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</si>
  <si>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</si>
  <si>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</si>
  <si>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</si>
  <si>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</si>
  <si>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</si>
  <si>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</si>
  <si>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</si>
  <si>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</si>
  <si>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</si>
  <si>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</si>
  <si>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</si>
  <si>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</si>
  <si>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</si>
  <si>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</si>
  <si>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</si>
  <si>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</si>
  <si>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</si>
  <si>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</si>
  <si>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</si>
  <si>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</si>
  <si>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</si>
  <si>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</si>
  <si>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</si>
  <si>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</si>
  <si>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</si>
  <si>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</si>
  <si>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</si>
  <si>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</si>
  <si>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</si>
  <si>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</si>
  <si>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</si>
  <si>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</si>
  <si>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</si>
  <si>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</si>
  <si>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</si>
  <si>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</si>
  <si>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</si>
  <si>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</si>
  <si>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</si>
  <si>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</si>
  <si>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</si>
  <si>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</si>
  <si>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</si>
  <si>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</si>
  <si>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</si>
  <si>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</si>
  <si>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</si>
  <si>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</si>
  <si>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</si>
  <si>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</si>
  <si>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</si>
  <si>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</si>
  <si>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</si>
  <si>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</si>
  <si>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</si>
  <si>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</si>
  <si>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</si>
  <si>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</si>
  <si>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</si>
  <si>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</si>
  <si>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</si>
  <si>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</si>
  <si>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</si>
  <si>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</si>
  <si>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</si>
  <si>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</si>
  <si>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</si>
  <si>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</si>
  <si>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</si>
  <si>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</si>
  <si>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</si>
  <si>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</si>
  <si>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</si>
  <si>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</si>
  <si>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</si>
  <si>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</si>
  <si>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</si>
  <si>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</si>
  <si>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</si>
  <si>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</si>
  <si>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</si>
  <si>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</si>
  <si>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</si>
  <si>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</si>
  <si>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</si>
  <si>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</si>
  <si>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</si>
  <si>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</si>
  <si>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</si>
  <si>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</si>
  <si>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</si>
  <si>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</si>
  <si>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</si>
  <si>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</si>
  <si>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</si>
  <si>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</si>
  <si>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</si>
  <si>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</si>
  <si>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</si>
  <si>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</si>
  <si>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</si>
  <si>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</si>
  <si>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</si>
  <si>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</si>
  <si>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</si>
  <si>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</si>
  <si>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</si>
  <si>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</si>
  <si>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</si>
  <si>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</si>
  <si>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</si>
  <si>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</si>
  <si>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</si>
  <si>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</si>
  <si>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</si>
  <si>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</si>
  <si>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</si>
  <si>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</si>
  <si>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</si>
  <si>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</si>
  <si>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</si>
  <si>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</si>
  <si>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</si>
  <si>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</si>
  <si>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</si>
  <si>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</si>
  <si>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</si>
  <si>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</si>
  <si>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</si>
  <si>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</si>
  <si>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</si>
  <si>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</si>
  <si>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</si>
  <si>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</si>
  <si>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</si>
  <si>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</si>
  <si>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</si>
  <si>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</si>
  <si>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</si>
  <si>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</si>
  <si>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</si>
  <si>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</si>
  <si>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</si>
  <si>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</si>
  <si>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</si>
  <si>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</si>
  <si>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</si>
  <si>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</si>
  <si>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</si>
  <si>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</si>
  <si>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</si>
  <si>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</si>
  <si>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</si>
  <si>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</si>
  <si>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</si>
  <si>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</si>
  <si>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</si>
  <si>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</si>
  <si>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</si>
  <si>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</si>
  <si>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</si>
  <si>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</si>
  <si>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</si>
  <si>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</si>
  <si>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</si>
  <si>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</si>
  <si>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</si>
  <si>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</si>
  <si>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</si>
  <si>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</si>
  <si>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</si>
  <si>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</si>
  <si>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</si>
  <si>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</si>
  <si>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</si>
  <si>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</si>
  <si>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</si>
  <si>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</si>
  <si>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</si>
  <si>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</si>
  <si>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</si>
  <si>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</si>
  <si>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</si>
  <si>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</si>
  <si>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</si>
  <si>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</si>
  <si>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</si>
  <si>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</si>
  <si>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</si>
  <si>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</si>
  <si>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</si>
  <si>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</si>
  <si>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</si>
  <si>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</si>
  <si>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</si>
  <si>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</si>
  <si>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</si>
  <si>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</si>
  <si>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</si>
  <si>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</si>
  <si>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</si>
  <si>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</si>
  <si>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</si>
  <si>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</si>
  <si>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</si>
  <si>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</si>
  <si>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</si>
  <si>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</si>
  <si>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</si>
  <si>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</si>
  <si>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</si>
  <si>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</si>
  <si>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</si>
  <si>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</si>
  <si>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</si>
  <si>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</si>
  <si>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</si>
  <si>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</si>
  <si>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</si>
  <si>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</si>
  <si>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</si>
  <si>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</si>
  <si>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</si>
  <si>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</si>
  <si>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</si>
  <si>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</si>
  <si>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</si>
  <si>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</si>
  <si>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</si>
  <si>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</si>
  <si>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</si>
  <si>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</si>
  <si>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</si>
  <si>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</si>
  <si>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</si>
  <si>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</si>
  <si>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</si>
  <si>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</si>
  <si>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</si>
  <si>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</si>
  <si>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</si>
  <si>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</si>
  <si>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</si>
  <si>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</si>
  <si>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</si>
  <si>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</si>
  <si>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</si>
  <si>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</si>
  <si>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</si>
  <si>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</si>
  <si>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</si>
  <si>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</si>
  <si>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</si>
  <si>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</si>
  <si>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</si>
  <si>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</si>
  <si>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</si>
  <si>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</si>
  <si>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</si>
  <si>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</si>
  <si>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</si>
  <si>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</si>
  <si>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</si>
  <si>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</si>
  <si>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</si>
  <si>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</si>
  <si>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</si>
  <si>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</si>
  <si>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</si>
  <si>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</si>
  <si>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</si>
  <si>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</si>
  <si>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</si>
  <si>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</si>
  <si>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</si>
  <si>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</si>
  <si>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</si>
  <si>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</si>
  <si>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</si>
  <si>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</si>
  <si>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</si>
  <si>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</si>
  <si>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</si>
  <si>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</si>
  <si>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</si>
  <si>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</si>
  <si>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</si>
  <si>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</si>
  <si>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</si>
  <si>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</si>
  <si>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</si>
  <si>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</si>
  <si>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</si>
  <si>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</si>
  <si>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</si>
  <si>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</si>
  <si>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</si>
  <si>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</si>
  <si>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</si>
  <si>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</si>
  <si>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</si>
  <si>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</si>
  <si>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</si>
  <si>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</si>
  <si>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</si>
  <si>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</si>
  <si>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</si>
  <si>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</si>
  <si>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</si>
  <si>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</si>
  <si>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</si>
  <si>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</si>
  <si>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</si>
  <si>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</si>
  <si>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</si>
  <si>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</si>
  <si>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</si>
  <si>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</si>
  <si>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</si>
  <si>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</si>
  <si>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</si>
  <si>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</si>
  <si>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</si>
  <si>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</si>
  <si>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</si>
  <si>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</si>
  <si>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</si>
  <si>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</si>
  <si>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</si>
  <si>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</si>
  <si>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</si>
  <si>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</si>
  <si>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</si>
  <si>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</si>
  <si>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</si>
  <si>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</si>
  <si>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</si>
  <si>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</si>
  <si>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</si>
  <si>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</si>
  <si>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</si>
  <si>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</si>
  <si>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</si>
  <si>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</si>
  <si>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</si>
  <si>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</si>
  <si>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</si>
  <si>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</si>
  <si>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</si>
  <si>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</si>
  <si>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</si>
  <si>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</si>
  <si>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</si>
  <si>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</si>
  <si>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</si>
  <si>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</si>
  <si>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</si>
  <si>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</si>
  <si>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</si>
  <si>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</si>
  <si>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</si>
  <si>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</si>
  <si>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</si>
  <si>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</si>
  <si>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</si>
  <si>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</si>
  <si>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</si>
  <si>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</si>
  <si>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</si>
  <si>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</si>
  <si>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</si>
  <si>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</si>
  <si>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</si>
  <si>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</si>
  <si>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</si>
  <si>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</si>
  <si>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</si>
  <si>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</si>
  <si>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</si>
  <si>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</si>
  <si>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</si>
  <si>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</si>
  <si>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</si>
  <si>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</si>
  <si>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</si>
  <si>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</si>
  <si>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</si>
  <si>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</si>
  <si>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</si>
  <si>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</si>
  <si>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</si>
  <si>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</si>
  <si>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</si>
  <si>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</si>
  <si>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</si>
  <si>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</si>
  <si>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</si>
  <si>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</si>
  <si>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</si>
  <si>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</si>
  <si>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</si>
  <si>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</si>
  <si>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</si>
  <si>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</si>
  <si>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</si>
  <si>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</si>
  <si>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</si>
  <si>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</si>
  <si>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</si>
  <si>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</si>
  <si>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</si>
  <si>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</si>
  <si>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</si>
  <si>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</si>
  <si>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</si>
  <si>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</si>
  <si>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</si>
  <si>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</si>
  <si>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</si>
  <si>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</si>
  <si>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</si>
  <si>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</si>
  <si>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</si>
  <si>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</si>
  <si>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</si>
  <si>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</si>
  <si>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</si>
  <si>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</si>
  <si>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</si>
  <si>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</si>
  <si>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</si>
  <si>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</si>
  <si>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</si>
  <si>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</si>
  <si>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</si>
  <si>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</si>
  <si>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</si>
  <si>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</si>
  <si>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</si>
  <si>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</si>
  <si>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</si>
  <si>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</si>
  <si>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</si>
  <si>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</si>
  <si>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</si>
  <si>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</si>
  <si>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</si>
  <si>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</si>
  <si>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</si>
  <si>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</si>
  <si>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</si>
  <si>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</si>
  <si>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</si>
  <si>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</si>
  <si>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</si>
  <si>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</si>
  <si>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</si>
  <si>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</si>
  <si>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</si>
  <si>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</si>
  <si>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</si>
  <si>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</si>
  <si>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</si>
  <si>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</si>
  <si>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</si>
  <si>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</si>
  <si>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</si>
  <si>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</si>
  <si>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</si>
  <si>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</si>
  <si>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</si>
  <si>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</si>
  <si>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</si>
  <si>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</si>
  <si>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</si>
  <si>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</si>
  <si>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</si>
  <si>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</si>
  <si>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</si>
  <si>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</si>
  <si>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</si>
  <si>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</si>
  <si>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</si>
  <si>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</si>
  <si>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</si>
  <si>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</si>
  <si>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</si>
  <si>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</si>
  <si>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</si>
  <si>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</si>
  <si>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</si>
  <si>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</si>
  <si>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</si>
  <si>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</si>
  <si>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</si>
  <si>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</si>
  <si>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</si>
  <si>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</si>
  <si>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</si>
  <si>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</si>
  <si>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</si>
  <si>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</si>
  <si>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</si>
  <si>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</si>
  <si>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</si>
  <si>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</si>
  <si>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</si>
  <si>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</si>
  <si>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</si>
  <si>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</si>
  <si>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</si>
  <si>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</si>
  <si>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</si>
  <si>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</si>
  <si>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</si>
  <si>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</si>
  <si>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</si>
  <si>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</si>
  <si>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</si>
  <si>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</si>
  <si>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Adam L. Nodado</t>
  </si>
  <si>
    <t>$D$2</t>
  </si>
  <si>
    <t>$D$3</t>
  </si>
  <si>
    <t>$J$8</t>
  </si>
  <si>
    <t>$K$8</t>
  </si>
  <si>
    <t>$M$8</t>
  </si>
  <si>
    <t>$J$13</t>
  </si>
  <si>
    <t>$K$13</t>
  </si>
  <si>
    <t>$J$14</t>
  </si>
  <si>
    <t>$K$14</t>
  </si>
  <si>
    <t>$J$15</t>
  </si>
  <si>
    <t>$K$15</t>
  </si>
  <si>
    <t>$M$15</t>
  </si>
  <si>
    <t>$K$16</t>
  </si>
  <si>
    <t>$K$17</t>
  </si>
  <si>
    <t>$M$17</t>
  </si>
  <si>
    <t>$K$18</t>
  </si>
  <si>
    <t>$M$18</t>
  </si>
  <si>
    <t>$K$20</t>
  </si>
  <si>
    <t>$C$6</t>
  </si>
  <si>
    <t>$C$7</t>
  </si>
  <si>
    <t>Cummins</t>
  </si>
  <si>
    <t>Cummins Model No. C500DGE Diesel Engine Generator Set No. 1</t>
  </si>
  <si>
    <t>Cummins Model No. C500D6E Diesel Engine Generator Set No. 1</t>
  </si>
  <si>
    <t>$O$9</t>
  </si>
  <si>
    <t>$O$11:$O$18</t>
  </si>
  <si>
    <t>$N$7</t>
  </si>
  <si>
    <t>$P$8</t>
  </si>
  <si>
    <t xml:space="preserve">SHP </t>
  </si>
  <si>
    <t xml:space="preserve">SHP 606 &amp; </t>
  </si>
  <si>
    <t>SHP 606 &amp; S8X 288</t>
  </si>
  <si>
    <t>SLD 728</t>
  </si>
  <si>
    <t>SED 114</t>
  </si>
  <si>
    <t>13129353 &amp; SED 114</t>
  </si>
  <si>
    <t>131210 &amp; 13129353 &amp; SED 114</t>
  </si>
  <si>
    <t>$R$10</t>
  </si>
  <si>
    <t>$N$11</t>
  </si>
  <si>
    <t>$P$11</t>
  </si>
  <si>
    <t>$N$12</t>
  </si>
  <si>
    <t>$P$12</t>
  </si>
  <si>
    <t>$R$12</t>
  </si>
  <si>
    <t>$L$15</t>
  </si>
  <si>
    <t>$R$13:$R$15</t>
  </si>
  <si>
    <t>$L$16</t>
  </si>
  <si>
    <t>$L$17</t>
  </si>
  <si>
    <t>$L$18</t>
  </si>
  <si>
    <t>$R$16:$R$18</t>
  </si>
  <si>
    <t>$K$19</t>
  </si>
  <si>
    <t>$K$21</t>
  </si>
  <si>
    <t>$L$19</t>
  </si>
  <si>
    <t>$L$20</t>
  </si>
  <si>
    <t>$L$21</t>
  </si>
  <si>
    <t>$N$16</t>
  </si>
  <si>
    <t>$P$17</t>
  </si>
  <si>
    <t>$N$17</t>
  </si>
  <si>
    <t>$P$18</t>
  </si>
  <si>
    <t>$N$18</t>
  </si>
  <si>
    <t>$J$22:$K$24</t>
  </si>
  <si>
    <t>$J$25:$K$27</t>
  </si>
  <si>
    <t>$J$28:$K$30</t>
  </si>
  <si>
    <t>$J$31:$K$33</t>
  </si>
  <si>
    <t>$J$34:$K$36</t>
  </si>
  <si>
    <t>$J$37:$K$39</t>
  </si>
  <si>
    <t>$L$22</t>
  </si>
  <si>
    <t>$L$23</t>
  </si>
  <si>
    <t>$L$24</t>
  </si>
  <si>
    <t>$L$25</t>
  </si>
  <si>
    <t>$L$26</t>
  </si>
  <si>
    <t>$L$27</t>
  </si>
  <si>
    <t>$L$28</t>
  </si>
  <si>
    <t>$L$29</t>
  </si>
  <si>
    <t>$L$30</t>
  </si>
  <si>
    <t>$L$31</t>
  </si>
  <si>
    <t>$L$32</t>
  </si>
  <si>
    <t>$L$33</t>
  </si>
  <si>
    <t>$L$34</t>
  </si>
  <si>
    <t>$L$35</t>
  </si>
  <si>
    <t>$L$36</t>
  </si>
  <si>
    <t>$L$37</t>
  </si>
  <si>
    <t>$L$38</t>
  </si>
  <si>
    <t>$L$39</t>
  </si>
  <si>
    <t>$N$37</t>
  </si>
  <si>
    <t>$P$37</t>
  </si>
  <si>
    <t>$P$38</t>
  </si>
  <si>
    <t>$N$38</t>
  </si>
  <si>
    <t>$N$39</t>
  </si>
  <si>
    <t>$P$39</t>
  </si>
  <si>
    <t>$J$40:$K$42</t>
  </si>
  <si>
    <t>$L$40</t>
  </si>
  <si>
    <t>$L$41</t>
  </si>
  <si>
    <t>$L$42</t>
  </si>
  <si>
    <t>Three-storey buildig</t>
  </si>
  <si>
    <t>Three-storey building</t>
  </si>
  <si>
    <t>Auxiliary building</t>
  </si>
  <si>
    <t>Chiller for CHWT</t>
  </si>
  <si>
    <t>$W$10</t>
  </si>
  <si>
    <t>Guardhouse</t>
  </si>
  <si>
    <t>Pantry</t>
  </si>
  <si>
    <t>CCTV Hub Room Split type</t>
  </si>
  <si>
    <t>$W$12</t>
  </si>
  <si>
    <t>Guard House Split type</t>
  </si>
  <si>
    <t>$W$11</t>
  </si>
  <si>
    <t>Armored and Utility Vehicles</t>
  </si>
  <si>
    <t>$N$13</t>
  </si>
  <si>
    <t>$W$13</t>
  </si>
  <si>
    <t>Adam Nodado</t>
  </si>
  <si>
    <t>$L$8:$L$19</t>
  </si>
  <si>
    <t>Billing Month: January 2024</t>
  </si>
  <si>
    <t>$O$11</t>
  </si>
  <si>
    <t>$O$13</t>
  </si>
  <si>
    <t>$O$14</t>
  </si>
  <si>
    <t>$O$15</t>
  </si>
  <si>
    <t>$O$16</t>
  </si>
  <si>
    <t>$O$17</t>
  </si>
  <si>
    <t>$O$18</t>
  </si>
  <si>
    <t>$O$19</t>
  </si>
  <si>
    <t>$N$10:$N$19</t>
  </si>
  <si>
    <t>$M$9:$M$19</t>
  </si>
  <si>
    <t>$L$10:$L$19</t>
  </si>
  <si>
    <t>$M$8:$M$19</t>
  </si>
  <si>
    <t>Period Covered: 12/02/2023-01/02/2024</t>
  </si>
  <si>
    <t>$P$14</t>
  </si>
  <si>
    <t>$N$14</t>
  </si>
  <si>
    <t>$N$15</t>
  </si>
  <si>
    <t>$P$15</t>
  </si>
  <si>
    <t>$N$19</t>
  </si>
  <si>
    <t>$P$19</t>
  </si>
  <si>
    <t>$P$20</t>
  </si>
  <si>
    <t>$N$20</t>
  </si>
  <si>
    <t>$N$21</t>
  </si>
  <si>
    <t>$P$21</t>
  </si>
  <si>
    <t>$N$22:$N$24</t>
  </si>
  <si>
    <t>$P$22:$P$24</t>
  </si>
  <si>
    <t>$N$19:$N$21</t>
  </si>
  <si>
    <t>$P$19:$P$21</t>
  </si>
  <si>
    <t>$N$25</t>
  </si>
  <si>
    <t>$P$25</t>
  </si>
  <si>
    <t>$N$26</t>
  </si>
  <si>
    <t>$P$26</t>
  </si>
  <si>
    <t>$N$27</t>
  </si>
  <si>
    <t>$P$27</t>
  </si>
  <si>
    <t>$N$28</t>
  </si>
  <si>
    <t>$P$28</t>
  </si>
  <si>
    <t>$P$29</t>
  </si>
  <si>
    <t>$N$29</t>
  </si>
  <si>
    <t>$N$30</t>
  </si>
  <si>
    <t>$P$30</t>
  </si>
  <si>
    <t>$R$19:$R$30</t>
  </si>
  <si>
    <t>$R$20:$R$31</t>
  </si>
  <si>
    <t>$R$31:$R$39</t>
  </si>
  <si>
    <t>$R$40:$R$48</t>
  </si>
  <si>
    <t>$R$43:$R$48</t>
  </si>
  <si>
    <t>$N$31</t>
  </si>
  <si>
    <t>$P$31</t>
  </si>
  <si>
    <t>$P$32</t>
  </si>
  <si>
    <t>$N$32</t>
  </si>
  <si>
    <t>$N$33</t>
  </si>
  <si>
    <t>$P$33</t>
  </si>
  <si>
    <t>$N$34</t>
  </si>
  <si>
    <t>$P$34</t>
  </si>
  <si>
    <t>$P$35</t>
  </si>
  <si>
    <t>$N$35</t>
  </si>
  <si>
    <t>$N$36</t>
  </si>
  <si>
    <t>$P$36</t>
  </si>
  <si>
    <t>$N$40</t>
  </si>
  <si>
    <t>$P$40</t>
  </si>
  <si>
    <t>$P$41</t>
  </si>
  <si>
    <t>$N$41</t>
  </si>
  <si>
    <t>$P$42</t>
  </si>
  <si>
    <t>$N$42</t>
  </si>
  <si>
    <t>$N$34:$N$36</t>
  </si>
  <si>
    <t>$P$34:$P$36</t>
  </si>
  <si>
    <t>Transfer to DUCOM for boiler fuel</t>
  </si>
  <si>
    <t>Recycled carton boxes</t>
  </si>
  <si>
    <t>$L$11:$L$12</t>
  </si>
  <si>
    <t>$L$11:$L$13</t>
  </si>
  <si>
    <t>$L$14:$L$16</t>
  </si>
  <si>
    <t>$L$17:$L$19</t>
  </si>
  <si>
    <t>$L$20:$L$22</t>
  </si>
  <si>
    <t>$J$22</t>
  </si>
  <si>
    <t>$J$23</t>
  </si>
  <si>
    <t>$M$23:$O$23</t>
  </si>
  <si>
    <t>$M$17:$O$17</t>
  </si>
  <si>
    <t>$J$24</t>
  </si>
  <si>
    <t>$L$24:$L$26</t>
  </si>
  <si>
    <t>$J$25</t>
  </si>
  <si>
    <t>$J$26</t>
  </si>
  <si>
    <t>$N$12:$O$12</t>
  </si>
  <si>
    <t>$N$15:$O$15</t>
  </si>
  <si>
    <t>$N$18:$O$18</t>
  </si>
  <si>
    <t>$N$21:$O$21</t>
  </si>
  <si>
    <t>$N$25:$O$25</t>
  </si>
  <si>
    <t>$J$27</t>
  </si>
  <si>
    <t>$J$28</t>
  </si>
  <si>
    <t>$J$29</t>
  </si>
  <si>
    <t>$L$27:$L$29</t>
  </si>
  <si>
    <t>$N$28:$O$28</t>
  </si>
  <si>
    <t>$J$30</t>
  </si>
  <si>
    <t>$J$31</t>
  </si>
  <si>
    <t>$J$32</t>
  </si>
  <si>
    <t>$L$30:$O$32</t>
  </si>
  <si>
    <t>$L$33:$O$35</t>
  </si>
  <si>
    <t>$L$36:$O$38</t>
  </si>
  <si>
    <t>$J$33</t>
  </si>
  <si>
    <t>$J$34</t>
  </si>
  <si>
    <t>$J$36</t>
  </si>
  <si>
    <t>$J$35</t>
  </si>
  <si>
    <t>$J$37</t>
  </si>
  <si>
    <t>$J$38</t>
  </si>
  <si>
    <t>$L$39:$O$41</t>
  </si>
  <si>
    <t>$J$39</t>
  </si>
  <si>
    <t>$J$40</t>
  </si>
  <si>
    <t>$J$41</t>
  </si>
  <si>
    <t>$L$42:$O$44</t>
  </si>
  <si>
    <t>$J$42</t>
  </si>
  <si>
    <t>$J$43</t>
  </si>
  <si>
    <t>$J$44</t>
  </si>
  <si>
    <t>$M$21</t>
  </si>
  <si>
    <t>$M$25</t>
  </si>
  <si>
    <t>$M$28</t>
  </si>
  <si>
    <t>$M$31</t>
  </si>
  <si>
    <t>$M$34</t>
  </si>
  <si>
    <t>$M$37</t>
  </si>
  <si>
    <t>$M$40</t>
  </si>
  <si>
    <t>$M$43</t>
  </si>
  <si>
    <t>$N$11:$N$13</t>
  </si>
  <si>
    <t>$N$14:$N$16</t>
  </si>
  <si>
    <t>$N$17:$N$19</t>
  </si>
  <si>
    <t>$N$20:$N$22</t>
  </si>
  <si>
    <t>$N$24:$N$26</t>
  </si>
  <si>
    <t>$N$27:$N$29</t>
  </si>
  <si>
    <t>$N$30:$N$32</t>
  </si>
  <si>
    <t>$N$33:$N$35</t>
  </si>
  <si>
    <t>$N$36:$N$38</t>
  </si>
  <si>
    <t>$N$39:$N$41</t>
  </si>
  <si>
    <t>$N$42:$N$44</t>
  </si>
  <si>
    <t>$M$20</t>
  </si>
  <si>
    <t>$M$24</t>
  </si>
  <si>
    <t>$M$27</t>
  </si>
  <si>
    <t>$M$30</t>
  </si>
  <si>
    <t>$M$33</t>
  </si>
  <si>
    <t>$M$36</t>
  </si>
  <si>
    <t>$M$42</t>
  </si>
  <si>
    <t>$N$24</t>
  </si>
  <si>
    <t>$M$39</t>
  </si>
  <si>
    <t>$A$27:$G$39</t>
  </si>
  <si>
    <t>$H$7</t>
  </si>
  <si>
    <t>$M$7:$M$18</t>
  </si>
  <si>
    <t>$K$13:$K$18</t>
  </si>
  <si>
    <t>$J$13:$J$18</t>
  </si>
  <si>
    <t>$O$13:$O$18</t>
  </si>
  <si>
    <t>$M$7:$M$12</t>
  </si>
  <si>
    <t>Caterpillar Model No. C500D6E Diesel Engine Generator Set No. 1</t>
  </si>
  <si>
    <t>Caterpillar Model No. DE65E0 Diesel Engine Generator Set No. 2</t>
  </si>
  <si>
    <t>$J$25:$J$42</t>
  </si>
  <si>
    <t>$K$25:$K$42</t>
  </si>
  <si>
    <t>$L$25:$L$42</t>
  </si>
  <si>
    <t>$N$25:$N$42</t>
  </si>
  <si>
    <t>$P$25:$P$42</t>
  </si>
  <si>
    <t>$R$25:$R$42</t>
  </si>
  <si>
    <t>$M$8:$M$14</t>
  </si>
  <si>
    <t>$M$14:$M$19</t>
  </si>
  <si>
    <t>$J$14:$J$19</t>
  </si>
  <si>
    <t>$L$14:$L$19</t>
  </si>
  <si>
    <t>$J$27:$J$44</t>
  </si>
  <si>
    <t>$L$27:$L$44</t>
  </si>
  <si>
    <t>$M$27:$M$44</t>
  </si>
  <si>
    <t>$N$27:$N$44</t>
  </si>
  <si>
    <t>$O$27:$O$43</t>
  </si>
  <si>
    <t>$N$7:$N$24</t>
  </si>
  <si>
    <t>$P$7:$P$24</t>
  </si>
  <si>
    <t>$P$24</t>
  </si>
  <si>
    <t>$L$14:$L$20</t>
  </si>
  <si>
    <t>$L$8:$L$13</t>
  </si>
  <si>
    <t>$N$14:$N$19</t>
  </si>
  <si>
    <t>$O$14:$O$19</t>
  </si>
  <si>
    <t>Billing Month: January 2025</t>
  </si>
  <si>
    <t>Billing Month: February 2025</t>
  </si>
  <si>
    <t>Billing Month: March 2025</t>
  </si>
  <si>
    <t>Billing Month: April 2025</t>
  </si>
  <si>
    <t>Billing Month: May 2025</t>
  </si>
  <si>
    <t>Billing Month: June 2025</t>
  </si>
  <si>
    <t>$M$8:$M$13</t>
  </si>
  <si>
    <t>$L$8:$L$14</t>
  </si>
  <si>
    <t>dfdfd</t>
  </si>
  <si>
    <t>$N$22</t>
  </si>
  <si>
    <t>$P$22</t>
  </si>
  <si>
    <t>$P$23</t>
  </si>
  <si>
    <t>$N$23</t>
  </si>
  <si>
    <t>$N$10:$N$12</t>
  </si>
  <si>
    <t>$P$10:$P$12</t>
  </si>
  <si>
    <t>$N$7:$N$9</t>
  </si>
  <si>
    <t>$P$7:$P$9</t>
  </si>
  <si>
    <t>$A$27:$E$39</t>
  </si>
  <si>
    <t>$J$29:$J$41</t>
  </si>
  <si>
    <t>$L$29:$L$41</t>
  </si>
  <si>
    <t>$M$29:$M$41</t>
  </si>
  <si>
    <t>$N$29:$O$41</t>
  </si>
  <si>
    <t>$J$15:$J$26</t>
  </si>
  <si>
    <t>$L$15:$L$26</t>
  </si>
  <si>
    <t>$M$15:$M$26</t>
  </si>
  <si>
    <t>$N$15:$N$26</t>
  </si>
  <si>
    <t>$O$15:$O$26</t>
  </si>
  <si>
    <t>$J$15:$J$27</t>
  </si>
  <si>
    <t>$L$15:$L$27</t>
  </si>
  <si>
    <t>$M$15:$M$27</t>
  </si>
  <si>
    <t>$N$15:$N$27</t>
  </si>
  <si>
    <t>$O$16:$O$27</t>
  </si>
  <si>
    <t>$M$29:$N$41</t>
  </si>
  <si>
    <t>$O$29:$O$40</t>
  </si>
  <si>
    <t>Saleable items to Laimar Junkshop</t>
  </si>
  <si>
    <t>$M$23</t>
  </si>
  <si>
    <t>$J$14:$N$14</t>
  </si>
  <si>
    <t>Wall-mounted split type; Brand: Daikin</t>
  </si>
  <si>
    <t>$W$14</t>
  </si>
  <si>
    <t>Period Covered: 12/03/2024-01/02/2025</t>
  </si>
  <si>
    <t>Period Covered: 01/02/2025-02/01/2025</t>
  </si>
  <si>
    <t>Period Covered: 02/01/2025-03/01/2025</t>
  </si>
  <si>
    <t>Period Covered: 03/01/2025-04/02/2025</t>
  </si>
  <si>
    <t>Period Covered: 04/02/2025-05/02/2025</t>
  </si>
  <si>
    <t>Period Covered: 05/02/2025-06/02/2025</t>
  </si>
  <si>
    <t>$N$7:$N$10</t>
  </si>
  <si>
    <t>$I$14:$O$106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</si>
</sst>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6">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14"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91442824075"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8"/>
    </cacheField>
    <cacheField name="Vehicle Type" numFmtId="0">
      <sharedItems containsBlank="1" count="11">
        <s v="Multi-Purpose Vehicle"/>
        <s v="Van  "/>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m/>
        <s v="Jul" u="1"/>
        <s v="Aug" u="1"/>
        <s v="Sep" u="1"/>
        <s v="Oct" u="1"/>
        <s v="Nov" u="1"/>
        <s v="Dec" u="1"/>
      </sharedItems>
    </cacheField>
    <cacheField name="Quarter" numFmtId="0">
      <sharedItems containsBlank="1" count="6">
        <s v="Q1"/>
        <s v="Q2"/>
        <s v=""/>
        <s v="Q3" u="1"/>
        <s v="Q4" u="1"/>
        <m u="1"/>
      </sharedItems>
    </cacheField>
    <cacheField name="Consumption" numFmtId="4">
      <sharedItems containsString="0" containsBlank="1" containsNumber="1" minValue="5.6440000000000001" maxValue="183.7364"/>
    </cacheField>
    <cacheField name="Unit" numFmtId="0">
      <sharedItems containsBlank="1"/>
    </cacheField>
    <cacheField name="Total kilometers travelled (all vehicles)" numFmtId="4">
      <sharedItems containsString="0" containsBlank="1" containsNumber="1" minValue="11.7" maxValue="1431"/>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74.036000000000001"/>
    <s v="Liters"/>
    <n v="892"/>
    <s v="Kilometers"/>
    <s v="SHP 606 &amp; S8X 288"/>
  </r>
  <r>
    <n v="2"/>
    <x v="1"/>
    <x v="0"/>
    <x v="0"/>
    <x v="0"/>
    <n v="5.6440000000000001"/>
    <m/>
    <n v="68"/>
    <s v="Kilometers"/>
    <s v="SLD 728"/>
  </r>
  <r>
    <n v="3"/>
    <x v="2"/>
    <x v="0"/>
    <x v="0"/>
    <x v="0"/>
    <n v="22.472999999999999"/>
    <s v="Liters"/>
    <n v="18.2"/>
    <s v="Kilometers"/>
    <s v="131210 &amp; 13129353 &amp; SED 114"/>
  </r>
  <r>
    <n v="4"/>
    <x v="0"/>
    <x v="0"/>
    <x v="1"/>
    <x v="0"/>
    <n v="104.414"/>
    <s v="Liters"/>
    <n v="1258"/>
    <s v="Kilometers"/>
    <s v="SHP 606 &amp; S8X 288"/>
  </r>
  <r>
    <n v="5"/>
    <x v="1"/>
    <x v="0"/>
    <x v="1"/>
    <x v="0"/>
    <n v="38.594999999999999"/>
    <s v="Liters"/>
    <n v="465"/>
    <s v="Kilometers"/>
    <s v="SLD 728"/>
  </r>
  <r>
    <n v="6"/>
    <x v="2"/>
    <x v="0"/>
    <x v="1"/>
    <x v="0"/>
    <n v="26.72"/>
    <s v="Liters"/>
    <n v="44.7"/>
    <s v="Kilometers"/>
    <s v="131210 &amp; 13129353 &amp; SED 114"/>
  </r>
  <r>
    <n v="7"/>
    <x v="0"/>
    <x v="0"/>
    <x v="2"/>
    <x v="0"/>
    <n v="183.7364"/>
    <s v="Liters"/>
    <n v="1431"/>
    <s v="Kilometers"/>
    <s v="SHP 606 &amp; S8X 288"/>
  </r>
  <r>
    <n v="8"/>
    <x v="1"/>
    <x v="0"/>
    <x v="2"/>
    <x v="0"/>
    <n v="125.0759"/>
    <s v="Liters"/>
    <n v="767"/>
    <s v="Kilometers"/>
    <s v="SLD 728"/>
  </r>
  <r>
    <n v="9"/>
    <x v="2"/>
    <x v="0"/>
    <x v="2"/>
    <x v="0"/>
    <n v="19.014500000000002"/>
    <s v="Liters"/>
    <n v="15.5"/>
    <s v="Kilometers"/>
    <s v="131210 &amp; 13129353 &amp; SED 114"/>
  </r>
  <r>
    <n v="10"/>
    <x v="0"/>
    <x v="0"/>
    <x v="3"/>
    <x v="1"/>
    <n v="53.915100000000002"/>
    <s v="Liters"/>
    <n v="346"/>
    <s v="Kilometers"/>
    <s v="SHP 606 &amp; S8X 288"/>
  </r>
  <r>
    <n v="11"/>
    <x v="1"/>
    <x v="0"/>
    <x v="3"/>
    <x v="1"/>
    <n v="128.2457"/>
    <s v="Liters"/>
    <n v="851"/>
    <s v="Kilometers"/>
    <s v="SLD 728"/>
  </r>
  <r>
    <n v="12"/>
    <x v="2"/>
    <x v="0"/>
    <x v="3"/>
    <x v="1"/>
    <n v="56.269399999999997"/>
    <s v="Liters"/>
    <n v="43.6"/>
    <s v="Kilometers"/>
    <s v="131210 &amp; 13129353 &amp; SED 114"/>
  </r>
  <r>
    <n v="13"/>
    <x v="0"/>
    <x v="0"/>
    <x v="4"/>
    <x v="1"/>
    <n v="86.985500000000002"/>
    <s v="Liters"/>
    <n v="694"/>
    <s v="Kilometers"/>
    <s v="SHP 606 &amp; S8X 288"/>
  </r>
  <r>
    <n v="14"/>
    <x v="1"/>
    <x v="0"/>
    <x v="4"/>
    <x v="1"/>
    <n v="6.1342999999999996"/>
    <s v="Liters"/>
    <n v="76"/>
    <s v="Kilometers"/>
    <s v="SLD 728"/>
  </r>
  <r>
    <n v="15"/>
    <x v="2"/>
    <x v="0"/>
    <x v="4"/>
    <x v="1"/>
    <n v="18.018000000000001"/>
    <s v="Liters"/>
    <n v="14.1"/>
    <s v="Kilometers"/>
    <s v="131210 &amp; 13129353 &amp; SED 114"/>
  </r>
  <r>
    <n v="16"/>
    <x v="0"/>
    <x v="0"/>
    <x v="5"/>
    <x v="1"/>
    <n v="95.141199999999998"/>
    <s v="Liters"/>
    <n v="911"/>
    <s v="Kilometers"/>
    <s v="SHP 606 &amp; S8X 288"/>
  </r>
  <r>
    <n v="17"/>
    <x v="1"/>
    <x v="0"/>
    <x v="5"/>
    <x v="1"/>
    <n v="14.940799999999999"/>
    <s v="Liters"/>
    <n v="254"/>
    <s v="Kilometers"/>
    <s v="SLD 728"/>
  </r>
  <r>
    <n v="18"/>
    <x v="2"/>
    <x v="0"/>
    <x v="5"/>
    <x v="1"/>
    <n v="14.481999999999999"/>
    <s v="Liters"/>
    <n v="11.7"/>
    <s v="Kilometers"/>
    <s v="131210 &amp; 13129353 &amp; SED 114"/>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6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6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m="1" x="2"/>
        <item x="1"/>
        <item m="1" x="3"/>
        <item t="default"/>
      </items>
    </pivotField>
    <pivotField axis="axisPage" showAll="0">
      <items count="14">
        <item x="0"/>
        <item x="1"/>
        <item m="1" x="10"/>
        <item x="6"/>
        <item x="4"/>
        <item m="1" x="9"/>
        <item x="2"/>
        <item x="3"/>
        <item x="5"/>
        <item m="1" x="7"/>
        <item m="1" x="8"/>
        <item m="1" x="11"/>
        <item m="1" x="12"/>
        <item t="default"/>
      </items>
    </pivotField>
    <pivotField axis="axisCol" showAll="0">
      <items count="7">
        <item x="2"/>
        <item x="0"/>
        <item m="1" x="4"/>
        <item x="1"/>
        <item m="1" x="3"/>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6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6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5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6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59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7" s="1" nd="1"/>
        <i x="8" s="1" nd="1"/>
        <i x="9" s="1" nd="1"/>
        <i x="10" s="1" nd="1"/>
        <i x="11" s="1" nd="1"/>
        <i x="1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3" s="1" nd="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3" totalsRowShown="0" headerRowDxfId="109" dataDxfId="107" headerRowBorderDxfId="108" tableBorderDxfId="106">
  <autoFilter ref="I6:O13"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606" totalsRowShown="0" headerRowDxfId="8">
  <autoFilter ref="A1:E1606"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94" zoomScaleNormal="130" workbookViewId="0">
      <selection activeCell="H6" sqref="H6"/>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25" zoomScale="88" zoomScaleNormal="60" workbookViewId="0">
      <selection activeCell="G12" sqref="G12"/>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393</v>
      </c>
      <c r="E2" s="445"/>
      <c r="F2" s="445"/>
      <c r="G2" s="446"/>
    </row>
    <row r="3" spans="3:7" x14ac:dyDescent="0.2">
      <c r="C3" s="117" t="s">
        <v>12</v>
      </c>
      <c r="D3" s="444">
        <v>2025</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x</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1022.105950209</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1073.8407999999999</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224280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1912</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330</v>
      </c>
    </row>
    <row r="45" spans="3:5" x14ac:dyDescent="0.2">
      <c r="C45" s="189" t="str">
        <f>'2.5 Waste'!B12</f>
        <v>Recyclable</v>
      </c>
      <c r="D45" s="189" t="str">
        <f>'2.5 Waste'!C12</f>
        <v>Kilograms</v>
      </c>
      <c r="E45" s="191">
        <f>SUM('2.5 Waste'!$D$12:$G$12)</f>
        <v>4640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11387.5</v>
      </c>
    </row>
    <row r="48" spans="3:5" x14ac:dyDescent="0.2">
      <c r="C48" s="189" t="str">
        <f>'2.5 Waste'!B15</f>
        <v>Hazardous</v>
      </c>
      <c r="D48" s="189" t="str">
        <f>'2.5 Waste'!C15</f>
        <v>Kilograms</v>
      </c>
      <c r="E48" s="191">
        <f>SUM('2.5 Waste'!$D$14:$G$14)</f>
        <v>11387.5</v>
      </c>
    </row>
    <row r="49" spans="3:5" x14ac:dyDescent="0.2">
      <c r="C49" s="189" t="str">
        <f>'2.5 Waste'!B16</f>
        <v>Residual/Landfill</v>
      </c>
      <c r="D49" s="189" t="str">
        <f>'2.5 Waste'!C16</f>
        <v>Kilograms</v>
      </c>
      <c r="E49" s="191">
        <f>SUM('2.5 Waste'!$D$14:$G$14)</f>
        <v>11387.5</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D1" zoomScaleNormal="100" workbookViewId="0">
      <selection activeCell="P21" sqref="P21"/>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Dumaguete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7" t="s">
        <v>1431</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45909</v>
      </c>
      <c r="D7" s="448"/>
      <c r="E7" s="448"/>
      <c r="F7" s="448"/>
      <c r="G7" s="449"/>
      <c r="I7" s="194">
        <f>IF($M7="","",1)</f>
        <v>1</v>
      </c>
      <c r="J7" s="57" t="s">
        <v>37</v>
      </c>
      <c r="K7" s="58" t="s">
        <v>338</v>
      </c>
      <c r="L7" s="18" t="str">
        <f>IF(Fuel_Blg[[#This Row],[Month]]&lt;&gt;"",VLOOKUP(Fuel_Blg[[#This Row],[Month]], dropdown!$S$4:$T$15, 2, FALSE),"")</f>
        <v>Q1</v>
      </c>
      <c r="M7" s="29">
        <v>162.38</v>
      </c>
      <c r="N7" s="17" t="str">
        <f>IF($J7="","",VLOOKUP($J7,dropdown!$P$3:$Q$8,2,FALSE))</f>
        <v>Liters</v>
      </c>
      <c r="O7" s="195" t="s">
        <v>1454</v>
      </c>
      <c r="P7" s="20"/>
    </row>
    <row r="8" spans="2:16" x14ac:dyDescent="0.2">
      <c r="I8" s="194"/>
      <c r="J8" s="57" t="s">
        <v>37</v>
      </c>
      <c r="K8" s="58" t="s">
        <v>89</v>
      </c>
      <c r="L8" s="18" t="str">
        <f>IF(Fuel_Blg[[#This Row],[Month]]&lt;&gt;"",VLOOKUP(Fuel_Blg[[#This Row],[Month]], dropdown!$S$4:$T$15, 2, FALSE),"")</f>
        <v>Q1</v>
      </c>
      <c r="M8" s="29">
        <v>165.78</v>
      </c>
      <c r="N8" s="17" t="str">
        <f>IF($J8="","",VLOOKUP($J8,dropdown!$P$3:$Q$8,2,FALSE))</f>
        <v>Liters</v>
      </c>
      <c r="O8" s="195" t="s">
        <v>1454</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447.01</v>
      </c>
      <c r="N9" s="17" t="str">
        <f>IF($J9="","",VLOOKUP($J9,dropdown!$P$3:$Q$8,2,FALSE))</f>
        <v>Liters</v>
      </c>
      <c r="O9" s="195" t="s">
        <v>1454</v>
      </c>
      <c r="P9" s="20"/>
    </row>
    <row r="10" spans="2:16" x14ac:dyDescent="0.2">
      <c r="B10" s="13" t="s">
        <v>35</v>
      </c>
      <c r="C10" s="13" t="s">
        <v>51</v>
      </c>
      <c r="D10" s="40" t="s">
        <v>45</v>
      </c>
      <c r="E10" s="40" t="s">
        <v>149</v>
      </c>
      <c r="F10" s="40" t="s">
        <v>150</v>
      </c>
      <c r="G10" s="40" t="s">
        <v>151</v>
      </c>
      <c r="I10" s="194">
        <f t="shared" ref="I10:I13" si="0">IF($M10="","",$I9+1)</f>
        <v>1</v>
      </c>
      <c r="J10" s="57" t="s">
        <v>37</v>
      </c>
      <c r="K10" s="58" t="s">
        <v>371</v>
      </c>
      <c r="L10" s="18" t="str">
        <f>IF(Fuel_Blg[[#This Row],[Month]]&lt;&gt;"",VLOOKUP(Fuel_Blg[[#This Row],[Month]], dropdown!$S$4:$T$15, 2, FALSE),"")</f>
        <v>Q2</v>
      </c>
      <c r="M10" s="29">
        <v>174.11</v>
      </c>
      <c r="N10" s="17" t="str">
        <f>IF($J10="","",VLOOKUP($J10,dropdown!$P$3:$Q$8,2,FALSE))</f>
        <v>Liters</v>
      </c>
      <c r="O10" s="195" t="s">
        <v>1454</v>
      </c>
      <c r="P10" s="20"/>
    </row>
    <row r="11" spans="2:16" x14ac:dyDescent="0.2">
      <c r="B11" s="17" t="str">
        <f>dropdown!$P4</f>
        <v>Diesel - Standby generator sets</v>
      </c>
      <c r="C11" s="17" t="str">
        <f>dropdown!$Q4</f>
        <v>Liters</v>
      </c>
      <c r="D11" s="41">
        <f>SUMIFS(Fuel_Blg[Consumption],Fuel_Blg[Quarter],D$10,Fuel_Blg[Fuel Type],$B$11)</f>
        <v>775.17</v>
      </c>
      <c r="E11" s="41">
        <f>SUMIFS(Fuel_Blg[Consumption],Fuel_Blg[Quarter],E$10,Fuel_Blg[Fuel Type],$B$11)</f>
        <v>246.935950209</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55.22</v>
      </c>
      <c r="N11" s="17" t="str">
        <f>IF($J11="","",VLOOKUP($J11,dropdown!$P$3:$Q$8,2,FALSE))</f>
        <v>Liters</v>
      </c>
      <c r="O11" s="195" t="s">
        <v>1454</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6.3216376790000002</v>
      </c>
      <c r="N12" s="17" t="str">
        <f>IF($J12="","",VLOOKUP($J12,dropdown!$P$3:$Q$8,2,FALSE))</f>
        <v>Liters</v>
      </c>
      <c r="O12" s="195" t="s">
        <v>1454</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386</v>
      </c>
      <c r="L13" s="18" t="str">
        <f>IF(Fuel_Blg[[#This Row],[Month]]&lt;&gt;"",VLOOKUP(Fuel_Blg[[#This Row],[Month]], dropdown!$S$4:$T$15, 2, FALSE),"")</f>
        <v>Q2</v>
      </c>
      <c r="M13" s="29">
        <v>11.284312529999999</v>
      </c>
      <c r="N13" s="17" t="str">
        <f>IF($J13="","",VLOOKUP($J13,dropdown!$P$3:$Q$8,2,FALSE))</f>
        <v>Liters</v>
      </c>
      <c r="O13" s="195" t="s">
        <v>1684</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322" t="s">
        <v>178</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3 O6:O13 J6:K13"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E0CC472-00CD-4741-A670-D281D50B9645}">
          <x14:formula1>
            <xm:f>dropdown!$P$4:$P$8</xm:f>
          </x14:formula1>
          <xm:sqref>J7:J13</xm:sqref>
        </x14:dataValidation>
        <x14:dataValidation type="list" allowBlank="1" showInputMessage="1" showErrorMessage="1" xr:uid="{3A41C1D1-FB7A-9447-9EAB-0BFDEC48FE4C}">
          <x14:formula1>
            <xm:f>dropdown!$S$4:$S$15</xm:f>
          </x14:formula1>
          <xm:sqref>K7:K13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P15" sqref="P15"/>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Dumaguete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1431</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45909</v>
      </c>
      <c r="D7" s="448"/>
      <c r="E7" s="448"/>
      <c r="F7" s="448"/>
      <c r="G7" s="449"/>
      <c r="I7" s="194">
        <f>IF($J7="","",1)</f>
        <v>1</v>
      </c>
      <c r="J7" s="57" t="s">
        <v>365</v>
      </c>
      <c r="K7" s="57" t="s">
        <v>63</v>
      </c>
      <c r="L7" s="58" t="s">
        <v>338</v>
      </c>
      <c r="M7" s="18" t="str">
        <f>IF(Fuel_Veh[[#This Row],[Month]]&lt;&gt;"",VLOOKUP(Fuel_Veh[[#This Row],[Month]], dropdown!$S$4:$T$15, 2, FALSE),"")</f>
        <v>Q1</v>
      </c>
      <c r="N7" s="29">
        <v>74.036000000000001</v>
      </c>
      <c r="O7" s="17" t="str">
        <f>IF($K7="","",VLOOKUP($K7,dropdown!$P$14:$Q$18,2,FALSE))</f>
        <v>Liters</v>
      </c>
      <c r="P7" s="29">
        <v>892</v>
      </c>
      <c r="Q7" s="17" t="str">
        <f t="shared" ref="Q7:Q70" si="0">IF($P7="","","Kilometers")</f>
        <v>Kilometers</v>
      </c>
      <c r="R7" s="195" t="s">
        <v>1461</v>
      </c>
    </row>
    <row r="8" spans="2:18" x14ac:dyDescent="0.2">
      <c r="I8" s="194">
        <f>IF($J8="","",$I7+1)</f>
        <v>2</v>
      </c>
      <c r="J8" s="57" t="s">
        <v>381</v>
      </c>
      <c r="K8" s="57" t="s">
        <v>63</v>
      </c>
      <c r="L8" s="58" t="s">
        <v>338</v>
      </c>
      <c r="M8" s="18" t="str">
        <f>IF(Fuel_Veh[[#This Row],[Month]]&lt;&gt;"",VLOOKUP(Fuel_Veh[[#This Row],[Month]], dropdown!$S$4:$T$15, 2, FALSE),"")</f>
        <v>Q1</v>
      </c>
      <c r="N8" s="29">
        <v>5.6440000000000001</v>
      </c>
      <c r="O8" s="17"/>
      <c r="P8" s="29">
        <v>68</v>
      </c>
      <c r="Q8" s="17" t="str">
        <f t="shared" si="0"/>
        <v>Kilometers</v>
      </c>
      <c r="R8" s="195" t="s">
        <v>1462</v>
      </c>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22.472999999999999</v>
      </c>
      <c r="O9" s="17" t="str">
        <f>IF($K9="","",VLOOKUP($K9,dropdown!$P$14:$Q$18,2,FALSE))</f>
        <v>Liters</v>
      </c>
      <c r="P9" s="29">
        <v>18.2</v>
      </c>
      <c r="Q9" s="17" t="str">
        <f t="shared" si="0"/>
        <v>Kilometers</v>
      </c>
      <c r="R9" s="195" t="s">
        <v>1465</v>
      </c>
    </row>
    <row r="10" spans="2:18" x14ac:dyDescent="0.2">
      <c r="B10" s="13" t="s">
        <v>35</v>
      </c>
      <c r="C10" s="13" t="s">
        <v>51</v>
      </c>
      <c r="D10" s="40" t="s">
        <v>45</v>
      </c>
      <c r="E10" s="40" t="s">
        <v>149</v>
      </c>
      <c r="F10" s="40" t="s">
        <v>150</v>
      </c>
      <c r="G10" s="40" t="s">
        <v>151</v>
      </c>
      <c r="I10" s="194">
        <f>IF($J10="","",$I9+1)</f>
        <v>4</v>
      </c>
      <c r="J10" s="57" t="s">
        <v>365</v>
      </c>
      <c r="K10" s="57" t="s">
        <v>63</v>
      </c>
      <c r="L10" s="58" t="s">
        <v>89</v>
      </c>
      <c r="M10" s="18" t="str">
        <f>IF(Fuel_Veh[[#This Row],[Month]]&lt;&gt;"",VLOOKUP(Fuel_Veh[[#This Row],[Month]], dropdown!$S$4:$T$15, 2, FALSE),"")</f>
        <v>Q1</v>
      </c>
      <c r="N10" s="29">
        <v>104.414</v>
      </c>
      <c r="O10" s="17" t="str">
        <f>IF($K10="","",VLOOKUP($K10,dropdown!$P$14:$Q$18,2,FALSE))</f>
        <v>Liters</v>
      </c>
      <c r="P10" s="29">
        <v>1258</v>
      </c>
      <c r="Q10" s="17" t="str">
        <f t="shared" si="0"/>
        <v>Kilometers</v>
      </c>
      <c r="R10" s="195" t="s">
        <v>1461</v>
      </c>
    </row>
    <row r="11" spans="2:18" x14ac:dyDescent="0.2">
      <c r="B11" s="17" t="str">
        <f>dropdown!$P15</f>
        <v>Diesel - Transport vehicles</v>
      </c>
      <c r="C11" s="17" t="str">
        <f>dropdown!$Q15</f>
        <v>Liters</v>
      </c>
      <c r="D11" s="41">
        <f>SUMIFS(Fuel_Veh[Consumption],Fuel_Veh[Quarter],D$10,Fuel_Veh[Fuel Type],$B$11)</f>
        <v>599.7088</v>
      </c>
      <c r="E11" s="41">
        <f>SUMIFS(Fuel_Veh[Consumption],Fuel_Veh[Quarter],E$10,Fuel_Veh[Fuel Type],$B$11)</f>
        <v>474.13200000000006</v>
      </c>
      <c r="F11" s="41">
        <f>SUMIFS(Fuel_Veh[Consumption],Fuel_Veh[Quarter],F$10,Fuel_Veh[Fuel Type],$B$11)</f>
        <v>0</v>
      </c>
      <c r="G11" s="41">
        <f>SUMIFS(Fuel_Veh[Consumption],Fuel_Veh[Quarter],G$10,Fuel_Veh[Fuel Type],$B$11)</f>
        <v>0</v>
      </c>
      <c r="I11" s="194">
        <f>IF($J11="","",$I10+1)</f>
        <v>5</v>
      </c>
      <c r="J11" s="57" t="s">
        <v>381</v>
      </c>
      <c r="K11" s="57" t="s">
        <v>63</v>
      </c>
      <c r="L11" s="58" t="s">
        <v>89</v>
      </c>
      <c r="M11" s="18" t="str">
        <f>IF(Fuel_Veh[[#This Row],[Month]]&lt;&gt;"",VLOOKUP(Fuel_Veh[[#This Row],[Month]], dropdown!$S$4:$T$15, 2, FALSE),"")</f>
        <v>Q1</v>
      </c>
      <c r="N11" s="29">
        <v>38.594999999999999</v>
      </c>
      <c r="O11" s="17" t="str">
        <f>IF($K11="","",VLOOKUP($K11,dropdown!$P$14:$Q$18,2,FALSE))</f>
        <v>Liters</v>
      </c>
      <c r="P11" s="29">
        <v>465</v>
      </c>
      <c r="Q11" s="17" t="str">
        <f t="shared" si="0"/>
        <v>Kilometers</v>
      </c>
      <c r="R11" s="195" t="s">
        <v>1462</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89</v>
      </c>
      <c r="M12" s="18" t="str">
        <f>IF(Fuel_Veh[[#This Row],[Month]]&lt;&gt;"",VLOOKUP(Fuel_Veh[[#This Row],[Month]], dropdown!$S$4:$T$15, 2, FALSE),"")</f>
        <v>Q1</v>
      </c>
      <c r="N12" s="29">
        <v>26.72</v>
      </c>
      <c r="O12" s="17" t="str">
        <f>IF($K12="","",VLOOKUP($K12,dropdown!$P$14:$Q$18,2,FALSE))</f>
        <v>Liters</v>
      </c>
      <c r="P12" s="29">
        <v>44.7</v>
      </c>
      <c r="Q12" s="17" t="str">
        <f t="shared" si="0"/>
        <v>Kilometers</v>
      </c>
      <c r="R12" s="195" t="s">
        <v>1465</v>
      </c>
    </row>
    <row r="13" spans="2:18" ht="14" customHeight="1" x14ac:dyDescent="0.2">
      <c r="I13" s="194">
        <f t="shared" si="1"/>
        <v>7</v>
      </c>
      <c r="J13" s="57" t="s">
        <v>365</v>
      </c>
      <c r="K13" s="57" t="s">
        <v>63</v>
      </c>
      <c r="L13" s="58" t="s">
        <v>362</v>
      </c>
      <c r="M13" s="18" t="str">
        <f>IF(Fuel_Veh[[#This Row],[Month]]&lt;&gt;"",VLOOKUP(Fuel_Veh[[#This Row],[Month]], dropdown!$S$4:$T$15, 2, FALSE),"")</f>
        <v>Q1</v>
      </c>
      <c r="N13" s="29">
        <v>183.7364</v>
      </c>
      <c r="O13" s="17" t="str">
        <f>IF($K13="","",VLOOKUP($K13,dropdown!$P$14:$Q$18,2,FALSE))</f>
        <v>Liters</v>
      </c>
      <c r="P13" s="29">
        <v>1431</v>
      </c>
      <c r="Q13" s="17" t="str">
        <f t="shared" si="0"/>
        <v>Kilometers</v>
      </c>
      <c r="R13" s="195" t="s">
        <v>1461</v>
      </c>
    </row>
    <row r="14" spans="2:18" x14ac:dyDescent="0.2">
      <c r="B14" s="267" t="s">
        <v>38</v>
      </c>
      <c r="I14" s="194">
        <f t="shared" si="1"/>
        <v>8</v>
      </c>
      <c r="J14" s="57" t="s">
        <v>381</v>
      </c>
      <c r="K14" s="57" t="s">
        <v>63</v>
      </c>
      <c r="L14" s="58" t="s">
        <v>362</v>
      </c>
      <c r="M14" s="18" t="str">
        <f>IF(Fuel_Veh[[#This Row],[Month]]&lt;&gt;"",VLOOKUP(Fuel_Veh[[#This Row],[Month]], dropdown!$S$4:$T$15, 2, FALSE),"")</f>
        <v>Q1</v>
      </c>
      <c r="N14" s="29">
        <v>125.0759</v>
      </c>
      <c r="O14" s="17" t="str">
        <f>IF($K14="","",VLOOKUP($K14,dropdown!$P$14:$Q$18,2,FALSE))</f>
        <v>Liters</v>
      </c>
      <c r="P14" s="29">
        <v>767</v>
      </c>
      <c r="Q14" s="17" t="str">
        <f t="shared" si="0"/>
        <v>Kilometers</v>
      </c>
      <c r="R14" s="195" t="s">
        <v>1462</v>
      </c>
    </row>
    <row r="15" spans="2:18" x14ac:dyDescent="0.2">
      <c r="B15" s="268" t="s">
        <v>175</v>
      </c>
      <c r="I15" s="194">
        <f t="shared" si="1"/>
        <v>9</v>
      </c>
      <c r="J15" s="57" t="s">
        <v>343</v>
      </c>
      <c r="K15" s="57" t="s">
        <v>63</v>
      </c>
      <c r="L15" s="58" t="s">
        <v>362</v>
      </c>
      <c r="M15" s="18" t="str">
        <f>IF(Fuel_Veh[[#This Row],[Month]]&lt;&gt;"",VLOOKUP(Fuel_Veh[[#This Row],[Month]], dropdown!$S$4:$T$15, 2, FALSE),"")</f>
        <v>Q1</v>
      </c>
      <c r="N15" s="29">
        <v>19.014500000000002</v>
      </c>
      <c r="O15" s="17" t="str">
        <f>IF($K15="","",VLOOKUP($K15,dropdown!$P$14:$Q$18,2,FALSE))</f>
        <v>Liters</v>
      </c>
      <c r="P15" s="29">
        <v>15.5</v>
      </c>
      <c r="Q15" s="17" t="str">
        <f t="shared" si="0"/>
        <v>Kilometers</v>
      </c>
      <c r="R15" s="195" t="s">
        <v>1465</v>
      </c>
    </row>
    <row r="16" spans="2:18" x14ac:dyDescent="0.2">
      <c r="B16" s="266" t="s">
        <v>176</v>
      </c>
      <c r="I16" s="194">
        <f t="shared" si="1"/>
        <v>10</v>
      </c>
      <c r="J16" s="57" t="s">
        <v>365</v>
      </c>
      <c r="K16" s="57" t="s">
        <v>63</v>
      </c>
      <c r="L16" s="58" t="s">
        <v>371</v>
      </c>
      <c r="M16" s="18" t="str">
        <f>IF(Fuel_Veh[[#This Row],[Month]]&lt;&gt;"",VLOOKUP(Fuel_Veh[[#This Row],[Month]], dropdown!$S$4:$T$15, 2, FALSE),"")</f>
        <v>Q2</v>
      </c>
      <c r="N16" s="29">
        <v>53.915100000000002</v>
      </c>
      <c r="O16" s="17" t="str">
        <f>IF($K16="","",VLOOKUP($K16,dropdown!$P$14:$Q$18,2,FALSE))</f>
        <v>Liters</v>
      </c>
      <c r="P16" s="29">
        <v>346</v>
      </c>
      <c r="Q16" s="17" t="str">
        <f t="shared" si="0"/>
        <v>Kilometers</v>
      </c>
      <c r="R16" s="195" t="s">
        <v>1461</v>
      </c>
    </row>
    <row r="17" spans="2:18" x14ac:dyDescent="0.2">
      <c r="B17" s="17" t="s">
        <v>177</v>
      </c>
      <c r="I17" s="194">
        <f t="shared" si="1"/>
        <v>11</v>
      </c>
      <c r="J17" s="57" t="s">
        <v>381</v>
      </c>
      <c r="K17" s="57" t="s">
        <v>63</v>
      </c>
      <c r="L17" s="58" t="s">
        <v>371</v>
      </c>
      <c r="M17" s="18" t="str">
        <f>IF(Fuel_Veh[[#This Row],[Month]]&lt;&gt;"",VLOOKUP(Fuel_Veh[[#This Row],[Month]], dropdown!$S$4:$T$15, 2, FALSE),"")</f>
        <v>Q2</v>
      </c>
      <c r="N17" s="29">
        <v>128.2457</v>
      </c>
      <c r="O17" s="17" t="str">
        <f>IF($K17="","",VLOOKUP($K17,dropdown!$P$14:$Q$18,2,FALSE))</f>
        <v>Liters</v>
      </c>
      <c r="P17" s="29">
        <v>851</v>
      </c>
      <c r="Q17" s="17" t="str">
        <f t="shared" si="0"/>
        <v>Kilometers</v>
      </c>
      <c r="R17" s="195" t="s">
        <v>1462</v>
      </c>
    </row>
    <row r="18" spans="2:18" x14ac:dyDescent="0.2">
      <c r="I18" s="194">
        <f t="shared" si="1"/>
        <v>12</v>
      </c>
      <c r="J18" s="57" t="s">
        <v>343</v>
      </c>
      <c r="K18" s="57" t="s">
        <v>63</v>
      </c>
      <c r="L18" s="58" t="s">
        <v>371</v>
      </c>
      <c r="M18" s="18" t="str">
        <f>IF(Fuel_Veh[[#This Row],[Month]]&lt;&gt;"",VLOOKUP(Fuel_Veh[[#This Row],[Month]], dropdown!$S$4:$T$15, 2, FALSE),"")</f>
        <v>Q2</v>
      </c>
      <c r="N18" s="29">
        <v>56.269399999999997</v>
      </c>
      <c r="O18" s="17" t="str">
        <f>IF($K18="","",VLOOKUP($K18,dropdown!$P$14:$Q$18,2,FALSE))</f>
        <v>Liters</v>
      </c>
      <c r="P18" s="29">
        <v>43.6</v>
      </c>
      <c r="Q18" s="17" t="str">
        <f t="shared" si="0"/>
        <v>Kilometers</v>
      </c>
      <c r="R18" s="195" t="s">
        <v>1465</v>
      </c>
    </row>
    <row r="19" spans="2:18" x14ac:dyDescent="0.2">
      <c r="I19" s="194">
        <f t="shared" si="1"/>
        <v>13</v>
      </c>
      <c r="J19" s="57" t="s">
        <v>365</v>
      </c>
      <c r="K19" s="57" t="s">
        <v>63</v>
      </c>
      <c r="L19" s="58" t="s">
        <v>379</v>
      </c>
      <c r="M19" s="18" t="str">
        <f>IF(Fuel_Veh[[#This Row],[Month]]&lt;&gt;"",VLOOKUP(Fuel_Veh[[#This Row],[Month]], dropdown!$S$4:$T$15, 2, FALSE),"")</f>
        <v>Q2</v>
      </c>
      <c r="N19" s="29">
        <v>86.985500000000002</v>
      </c>
      <c r="O19" s="17" t="str">
        <f>IF($K19="","",VLOOKUP($K19,dropdown!$P$14:$Q$18,2,FALSE))</f>
        <v>Liters</v>
      </c>
      <c r="P19" s="29">
        <v>694</v>
      </c>
      <c r="Q19" s="17" t="str">
        <f t="shared" si="0"/>
        <v>Kilometers</v>
      </c>
      <c r="R19" s="195" t="s">
        <v>1461</v>
      </c>
    </row>
    <row r="20" spans="2:18" x14ac:dyDescent="0.2">
      <c r="I20" s="194">
        <f t="shared" si="1"/>
        <v>14</v>
      </c>
      <c r="J20" s="57" t="s">
        <v>381</v>
      </c>
      <c r="K20" s="57" t="s">
        <v>63</v>
      </c>
      <c r="L20" s="58" t="s">
        <v>379</v>
      </c>
      <c r="M20" s="18" t="str">
        <f>IF(Fuel_Veh[[#This Row],[Month]]&lt;&gt;"",VLOOKUP(Fuel_Veh[[#This Row],[Month]], dropdown!$S$4:$T$15, 2, FALSE),"")</f>
        <v>Q2</v>
      </c>
      <c r="N20" s="29">
        <v>6.1342999999999996</v>
      </c>
      <c r="O20" s="17" t="str">
        <f>IF($K20="","",VLOOKUP($K20,dropdown!$P$14:$Q$18,2,FALSE))</f>
        <v>Liters</v>
      </c>
      <c r="P20" s="29">
        <v>76</v>
      </c>
      <c r="Q20" s="17" t="str">
        <f t="shared" si="0"/>
        <v>Kilometers</v>
      </c>
      <c r="R20" s="195" t="s">
        <v>1462</v>
      </c>
    </row>
    <row r="21" spans="2:18" x14ac:dyDescent="0.2">
      <c r="I21" s="194">
        <f t="shared" si="1"/>
        <v>15</v>
      </c>
      <c r="J21" s="57" t="s">
        <v>343</v>
      </c>
      <c r="K21" s="57" t="s">
        <v>63</v>
      </c>
      <c r="L21" s="58" t="s">
        <v>379</v>
      </c>
      <c r="M21" s="18" t="str">
        <f>IF(Fuel_Veh[[#This Row],[Month]]&lt;&gt;"",VLOOKUP(Fuel_Veh[[#This Row],[Month]], dropdown!$S$4:$T$15, 2, FALSE),"")</f>
        <v>Q2</v>
      </c>
      <c r="N21" s="29">
        <v>18.018000000000001</v>
      </c>
      <c r="O21" s="17" t="str">
        <f>IF($K21="","",VLOOKUP($K21,dropdown!$P$14:$Q$18,2,FALSE))</f>
        <v>Liters</v>
      </c>
      <c r="P21" s="29">
        <v>14.1</v>
      </c>
      <c r="Q21" s="17" t="str">
        <f t="shared" si="0"/>
        <v>Kilometers</v>
      </c>
      <c r="R21" s="195" t="s">
        <v>1465</v>
      </c>
    </row>
    <row r="22" spans="2:18" x14ac:dyDescent="0.2">
      <c r="I22" s="194">
        <f t="shared" si="1"/>
        <v>16</v>
      </c>
      <c r="J22" s="57" t="s">
        <v>365</v>
      </c>
      <c r="K22" s="57" t="s">
        <v>63</v>
      </c>
      <c r="L22" s="58" t="s">
        <v>386</v>
      </c>
      <c r="M22" s="18" t="str">
        <f>IF(Fuel_Veh[[#This Row],[Month]]&lt;&gt;"",VLOOKUP(Fuel_Veh[[#This Row],[Month]], dropdown!$S$4:$T$15, 2, FALSE),"")</f>
        <v>Q2</v>
      </c>
      <c r="N22" s="29">
        <v>95.141199999999998</v>
      </c>
      <c r="O22" s="17" t="str">
        <f>IF($K22="","",VLOOKUP($K22,dropdown!$P$14:$Q$18,2,FALSE))</f>
        <v>Liters</v>
      </c>
      <c r="P22" s="29">
        <v>911</v>
      </c>
      <c r="Q22" s="17" t="str">
        <f t="shared" si="0"/>
        <v>Kilometers</v>
      </c>
      <c r="R22" s="195" t="s">
        <v>1461</v>
      </c>
    </row>
    <row r="23" spans="2:18" x14ac:dyDescent="0.2">
      <c r="I23" s="194">
        <f t="shared" si="1"/>
        <v>17</v>
      </c>
      <c r="J23" s="57" t="s">
        <v>381</v>
      </c>
      <c r="K23" s="57" t="s">
        <v>63</v>
      </c>
      <c r="L23" s="58" t="s">
        <v>386</v>
      </c>
      <c r="M23" s="18" t="str">
        <f>IF(Fuel_Veh[[#This Row],[Month]]&lt;&gt;"",VLOOKUP(Fuel_Veh[[#This Row],[Month]], dropdown!$S$4:$T$15, 2, FALSE),"")</f>
        <v>Q2</v>
      </c>
      <c r="N23" s="29">
        <v>14.940799999999999</v>
      </c>
      <c r="O23" s="17" t="str">
        <f>IF($K23="","",VLOOKUP($K23,dropdown!$P$14:$Q$18,2,FALSE))</f>
        <v>Liters</v>
      </c>
      <c r="P23" s="29">
        <v>254</v>
      </c>
      <c r="Q23" s="17" t="str">
        <f t="shared" si="0"/>
        <v>Kilometers</v>
      </c>
      <c r="R23" s="195" t="s">
        <v>1462</v>
      </c>
    </row>
    <row r="24" spans="2:18" x14ac:dyDescent="0.2">
      <c r="I24" s="194">
        <f t="shared" si="1"/>
        <v>18</v>
      </c>
      <c r="J24" s="57" t="s">
        <v>343</v>
      </c>
      <c r="K24" s="57" t="s">
        <v>63</v>
      </c>
      <c r="L24" s="58" t="s">
        <v>386</v>
      </c>
      <c r="M24" s="18" t="str">
        <f>IF(Fuel_Veh[[#This Row],[Month]]&lt;&gt;"",VLOOKUP(Fuel_Veh[[#This Row],[Month]], dropdown!$S$4:$T$15, 2, FALSE),"")</f>
        <v>Q2</v>
      </c>
      <c r="N24" s="29">
        <v>14.481999999999999</v>
      </c>
      <c r="O24" s="17" t="str">
        <f>IF($K24="","",VLOOKUP($K24,dropdown!$P$14:$Q$18,2,FALSE))</f>
        <v>Liters</v>
      </c>
      <c r="P24" s="29">
        <v>11.7</v>
      </c>
      <c r="Q24" s="17" t="str">
        <f t="shared" si="0"/>
        <v>Kilometers</v>
      </c>
      <c r="R24" s="195" t="s">
        <v>1465</v>
      </c>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R13" sqref="R13"/>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Dumaguete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1536</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9">
        <v>45909</v>
      </c>
      <c r="D7" s="448"/>
      <c r="E7" s="448"/>
      <c r="F7" s="448"/>
      <c r="G7" s="449"/>
      <c r="I7" s="418" t="s">
        <v>154</v>
      </c>
      <c r="J7" s="417"/>
      <c r="K7" s="415"/>
      <c r="L7" s="415"/>
      <c r="M7" s="415"/>
      <c r="N7" s="415"/>
      <c r="O7" s="451" t="s">
        <v>183</v>
      </c>
      <c r="P7" s="451"/>
      <c r="Q7" s="452" t="s">
        <v>184</v>
      </c>
      <c r="R7" s="453"/>
      <c r="S7" s="454" t="s">
        <v>86</v>
      </c>
      <c r="T7" s="455"/>
      <c r="U7" s="455"/>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1523</v>
      </c>
      <c r="K9" s="391" t="s">
        <v>194</v>
      </c>
      <c r="L9" s="392">
        <v>1</v>
      </c>
      <c r="M9" s="393" t="s">
        <v>364</v>
      </c>
      <c r="N9" s="419" t="s">
        <v>352</v>
      </c>
      <c r="O9" s="397"/>
      <c r="P9" s="398"/>
      <c r="Q9" s="397"/>
      <c r="R9" s="399"/>
      <c r="S9" s="397"/>
      <c r="T9" s="399"/>
      <c r="U9" s="399"/>
      <c r="V9" s="430" t="str">
        <f>IFERROR(VLOOKUP($O9, dropdown!$S$4:$T$15, 2, FALSE),
 IFERROR(VLOOKUP($Q9, dropdown!$S$4:$T$15, 2, FALSE),
 IFERROR(VLOOKUP($S9, dropdown!$S$4:$T$15, 2, FALSE),
 "")))</f>
        <v/>
      </c>
      <c r="W9" s="392" t="s">
        <v>1528</v>
      </c>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1524</v>
      </c>
      <c r="K10" s="57" t="s">
        <v>197</v>
      </c>
      <c r="L10" s="28">
        <v>16</v>
      </c>
      <c r="M10" s="264" t="s">
        <v>380</v>
      </c>
      <c r="N10" s="401" t="s">
        <v>352</v>
      </c>
      <c r="O10" s="397"/>
      <c r="P10" s="398"/>
      <c r="Q10" s="397"/>
      <c r="R10" s="399"/>
      <c r="S10" s="397"/>
      <c r="T10" s="399"/>
      <c r="U10" s="399"/>
      <c r="V10" s="430" t="str">
        <f>IFERROR(VLOOKUP($O10, dropdown!$S$4:$T$15, 2, FALSE),
 IFERROR(VLOOKUP($Q10, dropdown!$S$4:$T$15, 2, FALSE),
 IFERROR(VLOOKUP($S10, dropdown!$S$4:$T$15, 2, FALSE),
 "")))</f>
        <v/>
      </c>
      <c r="W10" s="28" t="s">
        <v>1525</v>
      </c>
      <c r="X10" s="56"/>
      <c r="AB10" s="11"/>
      <c r="AE10" s="11"/>
    </row>
    <row r="11" spans="2:31" ht="14" x14ac:dyDescent="0.2">
      <c r="B11" s="41" t="s">
        <v>188</v>
      </c>
      <c r="C11" s="17" t="s">
        <v>189</v>
      </c>
      <c r="D11" s="176">
        <f>SUMIFS($L$9:$L$107,$N$9:$N$107,$B11,$V$9:$V$107,$D$10)</f>
        <v>0</v>
      </c>
      <c r="E11" s="176">
        <f>SUMIFS($L$9:$L$107,$N$9:$N$107,$B11,$V$9:$V$107,$E$10)</f>
        <v>1</v>
      </c>
      <c r="F11" s="176">
        <f>SUMIFS($L$9:$L$107,$N$9:$N$107,$B11,$V$9:$V$107,$F$10)</f>
        <v>0</v>
      </c>
      <c r="G11" s="176">
        <f>SUMIFS($L$9:$L$107,$N$9:$N$107,$B11,$V$9:$V$107,$G$10)</f>
        <v>0</v>
      </c>
      <c r="I11" s="18">
        <f t="shared" si="0"/>
        <v>3</v>
      </c>
      <c r="J11" s="435" t="s">
        <v>1527</v>
      </c>
      <c r="K11" s="57" t="s">
        <v>200</v>
      </c>
      <c r="L11" s="28">
        <v>2</v>
      </c>
      <c r="M11" s="264" t="s">
        <v>380</v>
      </c>
      <c r="N11" s="401" t="s">
        <v>352</v>
      </c>
      <c r="O11" s="397"/>
      <c r="P11" s="398"/>
      <c r="Q11" s="397"/>
      <c r="R11" s="399"/>
      <c r="S11" s="397"/>
      <c r="T11" s="399"/>
      <c r="U11" s="399"/>
      <c r="V11" s="430" t="str">
        <f>IFERROR(VLOOKUP($O11, dropdown!$S$4:$T$15, 2, FALSE),
 IFERROR(VLOOKUP($Q11, dropdown!$S$4:$T$15, 2, FALSE),
 IFERROR(VLOOKUP($S11, dropdown!$S$4:$T$15, 2, FALSE),
 "")))</f>
        <v/>
      </c>
      <c r="W11" s="28" t="s">
        <v>1531</v>
      </c>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f t="shared" si="0"/>
        <v>4</v>
      </c>
      <c r="J12" s="435" t="s">
        <v>1523</v>
      </c>
      <c r="K12" s="57" t="s">
        <v>200</v>
      </c>
      <c r="L12" s="28">
        <v>1</v>
      </c>
      <c r="M12" s="264" t="s">
        <v>363</v>
      </c>
      <c r="N12" s="401" t="s">
        <v>352</v>
      </c>
      <c r="O12" s="397"/>
      <c r="P12" s="398"/>
      <c r="Q12" s="397"/>
      <c r="R12" s="399"/>
      <c r="S12" s="397"/>
      <c r="T12" s="399"/>
      <c r="U12" s="399"/>
      <c r="V12" s="430" t="str">
        <f>IFERROR(VLOOKUP($O12, dropdown!$S$4:$T$15, 2, FALSE),
 IFERROR(VLOOKUP($Q12, dropdown!$S$4:$T$15, 2, FALSE),
 IFERROR(VLOOKUP($S12, dropdown!$S$4:$T$15, 2, FALSE),
 "")))</f>
        <v/>
      </c>
      <c r="W12" s="28" t="s">
        <v>1529</v>
      </c>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5" t="s">
        <v>1533</v>
      </c>
      <c r="K13" s="57" t="s">
        <v>203</v>
      </c>
      <c r="L13" s="28">
        <v>6</v>
      </c>
      <c r="M13" s="264" t="s">
        <v>339</v>
      </c>
      <c r="N13" s="401" t="s">
        <v>352</v>
      </c>
      <c r="O13" s="397"/>
      <c r="P13" s="398"/>
      <c r="Q13" s="397"/>
      <c r="R13" s="399"/>
      <c r="S13" s="397"/>
      <c r="T13" s="399"/>
      <c r="U13" s="399"/>
      <c r="V13" s="430" t="str">
        <f>IFERROR(VLOOKUP($O13, dropdown!$S$4:$T$15, 2, FALSE),
 IFERROR(VLOOKUP($Q13, dropdown!$S$4:$T$15, 2, FALSE),
 IFERROR(VLOOKUP($S13, dropdown!$S$4:$T$15, 2, FALSE),
 "")))</f>
        <v/>
      </c>
      <c r="W13" s="28" t="s">
        <v>1533</v>
      </c>
      <c r="AB13" s="11"/>
      <c r="AE13" s="11"/>
    </row>
    <row r="14" spans="2:31" ht="17" customHeight="1" x14ac:dyDescent="0.2">
      <c r="D14" s="177" t="str">
        <f>IF(SUM(D$11:D$13)&gt;0,"x","")</f>
        <v/>
      </c>
      <c r="E14" s="177" t="str">
        <f t="shared" ref="E14:G14" si="1">IF(SUM(E$11:E$13)&gt;0,"x","")</f>
        <v>x</v>
      </c>
      <c r="F14" s="177" t="str">
        <f t="shared" si="1"/>
        <v/>
      </c>
      <c r="G14" s="177" t="str">
        <f t="shared" si="1"/>
        <v/>
      </c>
      <c r="I14" s="18">
        <f t="shared" si="0"/>
        <v>6</v>
      </c>
      <c r="J14" s="435" t="s">
        <v>1523</v>
      </c>
      <c r="K14" s="57" t="s">
        <v>200</v>
      </c>
      <c r="L14" s="28">
        <v>1</v>
      </c>
      <c r="M14" s="264" t="s">
        <v>372</v>
      </c>
      <c r="N14" s="401" t="s">
        <v>188</v>
      </c>
      <c r="O14" s="397" t="s">
        <v>379</v>
      </c>
      <c r="P14" s="398">
        <v>1.7</v>
      </c>
      <c r="Q14" s="397"/>
      <c r="R14" s="399"/>
      <c r="S14" s="397"/>
      <c r="T14" s="399"/>
      <c r="U14" s="399"/>
      <c r="V14" s="430" t="str">
        <f>IFERROR(VLOOKUP($O14, dropdown!$S$4:$T$15, 2, FALSE),
 IFERROR(VLOOKUP($Q14, dropdown!$S$4:$T$15, 2, FALSE),
 IFERROR(VLOOKUP($S14, dropdown!$S$4:$T$15, 2, FALSE),
 "")))</f>
        <v>Q2</v>
      </c>
      <c r="W14" s="28" t="s">
        <v>1744</v>
      </c>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7" t="s">
        <v>192</v>
      </c>
      <c r="C22" s="460" t="s">
        <v>5</v>
      </c>
      <c r="D22" s="461"/>
      <c r="E22" s="460" t="s">
        <v>193</v>
      </c>
      <c r="F22" s="462"/>
      <c r="G22" s="462"/>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8"/>
      <c r="C23" s="460"/>
      <c r="D23" s="461"/>
      <c r="E23" s="460"/>
      <c r="F23" s="462"/>
      <c r="G23" s="462"/>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6" t="s">
        <v>194</v>
      </c>
      <c r="C24" s="456" t="s">
        <v>195</v>
      </c>
      <c r="D24" s="456"/>
      <c r="E24" s="456" t="s">
        <v>196</v>
      </c>
      <c r="F24" s="456"/>
      <c r="G24" s="456"/>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6"/>
      <c r="C25" s="456"/>
      <c r="D25" s="456"/>
      <c r="E25" s="456"/>
      <c r="F25" s="456"/>
      <c r="G25" s="456"/>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6" t="s">
        <v>197</v>
      </c>
      <c r="C26" s="456" t="s">
        <v>198</v>
      </c>
      <c r="D26" s="456"/>
      <c r="E26" s="456" t="s">
        <v>199</v>
      </c>
      <c r="F26" s="456"/>
      <c r="G26" s="456"/>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6"/>
      <c r="C27" s="456"/>
      <c r="D27" s="456"/>
      <c r="E27" s="456"/>
      <c r="F27" s="456"/>
      <c r="G27" s="456"/>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6" t="s">
        <v>200</v>
      </c>
      <c r="C28" s="456" t="s">
        <v>201</v>
      </c>
      <c r="D28" s="456"/>
      <c r="E28" s="456" t="s">
        <v>202</v>
      </c>
      <c r="F28" s="456"/>
      <c r="G28" s="456"/>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6"/>
      <c r="C29" s="456"/>
      <c r="D29" s="456"/>
      <c r="E29" s="456"/>
      <c r="F29" s="456"/>
      <c r="G29" s="456"/>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6" t="s">
        <v>203</v>
      </c>
      <c r="C30" s="456" t="s">
        <v>204</v>
      </c>
      <c r="D30" s="456"/>
      <c r="E30" s="456" t="s">
        <v>205</v>
      </c>
      <c r="F30" s="456"/>
      <c r="G30" s="456"/>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6"/>
      <c r="C31" s="456"/>
      <c r="D31" s="456"/>
      <c r="E31" s="456"/>
      <c r="F31" s="456"/>
      <c r="G31" s="456"/>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1" zoomScaleNormal="100" workbookViewId="0">
      <selection activeCell="L8" sqref="L8:L13"/>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Dumaguete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c r="D6" s="448"/>
      <c r="E6" s="448"/>
      <c r="F6" s="448"/>
      <c r="G6" s="449"/>
    </row>
    <row r="7" spans="2:17" ht="12.75" customHeight="1" x14ac:dyDescent="0.2">
      <c r="B7" s="278" t="s">
        <v>174</v>
      </c>
      <c r="C7" s="447"/>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34300</v>
      </c>
      <c r="M8" s="47">
        <v>374348.47</v>
      </c>
      <c r="N8" s="165" t="s">
        <v>515</v>
      </c>
      <c r="O8" s="195" t="s">
        <v>1707</v>
      </c>
      <c r="P8" s="48"/>
      <c r="Q8" s="20"/>
    </row>
    <row r="9" spans="2:17" x14ac:dyDescent="0.2">
      <c r="I9" s="194"/>
      <c r="J9" s="58" t="s">
        <v>89</v>
      </c>
      <c r="K9" s="426" t="str">
        <f>IF(Electricity[[#This Row],[Month]]&lt;&gt;"",VLOOKUP(Electricity[[#This Row],[Month]], dropdown!$S$4:$T$15, 2, FALSE),"")</f>
        <v>Q1</v>
      </c>
      <c r="L9" s="29">
        <v>37940</v>
      </c>
      <c r="M9" s="47">
        <v>418433.45</v>
      </c>
      <c r="N9" s="165" t="s">
        <v>515</v>
      </c>
      <c r="O9" s="195" t="s">
        <v>1708</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34440</v>
      </c>
      <c r="M10" s="47">
        <v>385176.9</v>
      </c>
      <c r="N10" s="165" t="s">
        <v>515</v>
      </c>
      <c r="O10" s="195" t="s">
        <v>1709</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38500</v>
      </c>
      <c r="M11" s="47">
        <v>463394.93</v>
      </c>
      <c r="N11" s="165" t="s">
        <v>515</v>
      </c>
      <c r="O11" s="195" t="s">
        <v>1710</v>
      </c>
      <c r="P11" s="48"/>
      <c r="Q11" s="20"/>
    </row>
    <row r="12" spans="2:17" x14ac:dyDescent="0.2">
      <c r="B12" s="17" t="s">
        <v>207</v>
      </c>
      <c r="C12" s="17" t="s">
        <v>208</v>
      </c>
      <c r="D12" s="41">
        <f>SUMIFS(Electricity[Consumption (kWh)],Electricity[Quarter],D$11)</f>
        <v>106680</v>
      </c>
      <c r="E12" s="41">
        <f>SUMIFS(Electricity[Consumption (kWh)],Electricity[Quarter],E$11)</f>
        <v>117600</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38780</v>
      </c>
      <c r="M12" s="47">
        <v>416536.03</v>
      </c>
      <c r="N12" s="165" t="s">
        <v>515</v>
      </c>
      <c r="O12" s="195" t="s">
        <v>1711</v>
      </c>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40320</v>
      </c>
      <c r="M13" s="47">
        <v>404205.72</v>
      </c>
      <c r="N13" s="165" t="s">
        <v>515</v>
      </c>
      <c r="O13" s="195" t="s">
        <v>1712</v>
      </c>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G8" sqref="G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Dumaguete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7" t="s">
        <v>1431</v>
      </c>
      <c r="D6" s="448"/>
      <c r="E6" s="448"/>
      <c r="F6" s="448"/>
      <c r="G6" s="449"/>
      <c r="I6" s="248" t="s">
        <v>173</v>
      </c>
      <c r="J6" s="249" t="s">
        <v>39</v>
      </c>
      <c r="K6" s="249" t="s">
        <v>43</v>
      </c>
      <c r="L6" s="250" t="s">
        <v>115</v>
      </c>
      <c r="M6" s="352" t="s">
        <v>212</v>
      </c>
      <c r="N6" s="253" t="s">
        <v>54</v>
      </c>
      <c r="O6" s="349"/>
    </row>
    <row r="7" spans="2:16" x14ac:dyDescent="0.2">
      <c r="B7" s="278" t="s">
        <v>174</v>
      </c>
      <c r="C7" s="459">
        <v>45909</v>
      </c>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N13" sqref="N13"/>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Dumaguete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1431</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9">
        <v>45909</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303</v>
      </c>
      <c r="N8" s="195" t="s">
        <v>1746</v>
      </c>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283</v>
      </c>
      <c r="N9" s="195" t="s">
        <v>1747</v>
      </c>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272</v>
      </c>
      <c r="N10" s="195" t="s">
        <v>1748</v>
      </c>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858</v>
      </c>
      <c r="E11" s="41">
        <f>SUMIFS(water_in[Volume (m3)],water_in[Quarter],E$10)</f>
        <v>1054</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353</v>
      </c>
      <c r="N11" s="195" t="s">
        <v>1749</v>
      </c>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329</v>
      </c>
      <c r="N12" s="195" t="s">
        <v>1750</v>
      </c>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372</v>
      </c>
      <c r="N13" s="195" t="s">
        <v>1751</v>
      </c>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Dumaguete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6" zoomScaleNormal="100" workbookViewId="0">
      <selection activeCell="O27" sqref="O27"/>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Dumaguete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1431</v>
      </c>
      <c r="D6" s="448"/>
      <c r="E6" s="448"/>
      <c r="F6" s="448"/>
      <c r="G6" s="449"/>
      <c r="I6" s="409" t="s">
        <v>282</v>
      </c>
      <c r="J6" s="407"/>
      <c r="K6" s="407"/>
      <c r="L6" s="407"/>
      <c r="M6" s="408"/>
      <c r="N6" s="407"/>
      <c r="O6" s="407"/>
      <c r="Q6" s="44"/>
    </row>
    <row r="7" spans="2:17" ht="25.5" customHeight="1" x14ac:dyDescent="0.2">
      <c r="B7" s="278" t="s">
        <v>174</v>
      </c>
      <c r="C7" s="447"/>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60</v>
      </c>
      <c r="N8" s="57" t="s">
        <v>313</v>
      </c>
      <c r="O8" s="195"/>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367</v>
      </c>
      <c r="M9" s="29">
        <v>2100</v>
      </c>
      <c r="N9" s="57" t="s">
        <v>384</v>
      </c>
      <c r="O9" s="195" t="s">
        <v>1603</v>
      </c>
      <c r="Q9" s="44"/>
    </row>
    <row r="10" spans="2:17" x14ac:dyDescent="0.2">
      <c r="B10" s="13" t="s">
        <v>137</v>
      </c>
      <c r="C10" s="13" t="s">
        <v>51</v>
      </c>
      <c r="D10" s="40" t="s">
        <v>45</v>
      </c>
      <c r="E10" s="40" t="s">
        <v>149</v>
      </c>
      <c r="F10" s="40" t="s">
        <v>150</v>
      </c>
      <c r="G10" s="40" t="s">
        <v>151</v>
      </c>
      <c r="I10" s="194">
        <f t="shared" si="0"/>
        <v>3</v>
      </c>
      <c r="J10" s="58" t="s">
        <v>338</v>
      </c>
      <c r="K10" s="194" t="str">
        <f>IF(Waste[[#This Row],[Month]]&lt;&gt;"",VLOOKUP(Waste[[#This Row],[Month]], dropdown!$S$4:$T$15, 2, FALSE),"")</f>
        <v>Q1</v>
      </c>
      <c r="L10" s="57" t="s">
        <v>383</v>
      </c>
      <c r="M10" s="29">
        <v>210</v>
      </c>
      <c r="N10" s="57" t="s">
        <v>313</v>
      </c>
      <c r="O10" s="195"/>
      <c r="Q10" s="44"/>
    </row>
    <row r="11" spans="2:17" x14ac:dyDescent="0.2">
      <c r="B11" s="17" t="str">
        <f>dropdown!$B4</f>
        <v>Compostable</v>
      </c>
      <c r="C11" s="17" t="s">
        <v>283</v>
      </c>
      <c r="D11" s="41">
        <f>SUMIFS(Waste[Weight (kg)],Waste[Quarter],D$10,Waste[Waste Composition],$B$11)</f>
        <v>170</v>
      </c>
      <c r="E11" s="41">
        <f>SUMIFS(Waste[Weight (kg)],Waste[Quarter],E$10,Waste[Waste Composition],$B11)</f>
        <v>160</v>
      </c>
      <c r="F11" s="41">
        <f>SUMIFS(Waste[Weight (kg)],Waste[Quarter],F$10,Waste[Waste Composition],$B11)</f>
        <v>0</v>
      </c>
      <c r="G11" s="41">
        <f>SUMIFS(Waste[Weight (kg)],Waste[Quarter],G$10,Waste[Waste Composition],$B11)</f>
        <v>0</v>
      </c>
      <c r="I11" s="194">
        <f t="shared" si="0"/>
        <v>4</v>
      </c>
      <c r="J11" s="58" t="s">
        <v>89</v>
      </c>
      <c r="K11" s="194" t="str">
        <f>IF(Waste[[#This Row],[Month]]&lt;&gt;"",VLOOKUP(Waste[[#This Row],[Month]], dropdown!$S$4:$T$15, 2, FALSE),"")</f>
        <v>Q1</v>
      </c>
      <c r="L11" s="57" t="s">
        <v>139</v>
      </c>
      <c r="M11" s="29">
        <v>50</v>
      </c>
      <c r="N11" s="57" t="s">
        <v>313</v>
      </c>
      <c r="O11" s="195"/>
      <c r="Q11" s="44"/>
    </row>
    <row r="12" spans="2:17" x14ac:dyDescent="0.2">
      <c r="B12" s="17" t="str">
        <f>dropdown!$B5</f>
        <v>Recyclable</v>
      </c>
      <c r="C12" s="17" t="s">
        <v>283</v>
      </c>
      <c r="D12" s="41">
        <f>SUMIFS(Waste[Weight (kg)],Waste[Quarter],D$10,Waste[Waste Composition],$B12)</f>
        <v>2940</v>
      </c>
      <c r="E12" s="41">
        <f>SUMIFS(Waste[Weight (kg)],Waste[Quarter],E$10,Waste[Waste Composition],$B12)</f>
        <v>1700</v>
      </c>
      <c r="F12" s="41">
        <f>SUMIFS(Waste[Weight (kg)],Waste[Quarter],F$10,Waste[Waste Composition],$B12)</f>
        <v>0</v>
      </c>
      <c r="G12" s="41">
        <f>SUMIFS(Waste[Weight (kg)],Waste[Quarter],G$10,Waste[Waste Composition],$B12)</f>
        <v>0</v>
      </c>
      <c r="I12" s="194">
        <f t="shared" si="0"/>
        <v>5</v>
      </c>
      <c r="J12" s="58" t="s">
        <v>89</v>
      </c>
      <c r="K12" s="194" t="str">
        <f>IF(Waste[[#This Row],[Month]]&lt;&gt;"",VLOOKUP(Waste[[#This Row],[Month]], dropdown!$S$4:$T$15, 2, FALSE),"")</f>
        <v>Q1</v>
      </c>
      <c r="L12" s="57" t="s">
        <v>367</v>
      </c>
      <c r="M12" s="29">
        <v>1550</v>
      </c>
      <c r="N12" s="57" t="s">
        <v>384</v>
      </c>
      <c r="O12" s="195" t="s">
        <v>1603</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383</v>
      </c>
      <c r="M13" s="29">
        <v>190</v>
      </c>
      <c r="N13" s="57" t="s">
        <v>313</v>
      </c>
      <c r="O13" s="195"/>
    </row>
    <row r="14" spans="2:17" ht="14" customHeight="1" x14ac:dyDescent="0.2">
      <c r="B14" s="17" t="str">
        <f>dropdown!$B7</f>
        <v>Security</v>
      </c>
      <c r="C14" s="17" t="s">
        <v>283</v>
      </c>
      <c r="D14" s="41">
        <f>SUMIFS(Waste[Weight (kg)],Waste[Quarter],D$10,Waste[Waste Composition],$B14)</f>
        <v>5100</v>
      </c>
      <c r="E14" s="41">
        <f>SUMIFS(Waste[Weight (kg)],Waste[Quarter],E$10,Waste[Waste Composition],$B14)</f>
        <v>6287.5</v>
      </c>
      <c r="F14" s="41">
        <f>SUMIFS(Waste[Weight (kg)],Waste[Quarter],F$10,Waste[Waste Composition],$B14)</f>
        <v>0</v>
      </c>
      <c r="G14" s="41">
        <f>SUMIFS(Waste[Weight (kg)],Waste[Quarter],G$10,Waste[Waste Composition],$B14)</f>
        <v>0</v>
      </c>
      <c r="I14" s="194">
        <f t="shared" si="0"/>
        <v>7</v>
      </c>
      <c r="J14" s="58" t="s">
        <v>89</v>
      </c>
      <c r="K14" s="194" t="str">
        <f>IF(Waste[[#This Row],[Month]]&lt;&gt;"",VLOOKUP(Waste[[#This Row],[Month]], dropdown!$S$4:$T$15, 2, FALSE),"")</f>
        <v>Q1</v>
      </c>
      <c r="L14" s="57" t="s">
        <v>318</v>
      </c>
      <c r="M14" s="29">
        <v>2940</v>
      </c>
      <c r="N14" s="57" t="s">
        <v>357</v>
      </c>
      <c r="O14" s="195" t="s">
        <v>1741</v>
      </c>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362</v>
      </c>
      <c r="K15" s="194" t="str">
        <f>IF(Waste[[#This Row],[Month]]&lt;&gt;"",VLOOKUP(Waste[[#This Row],[Month]], dropdown!$S$4:$T$15, 2, FALSE),"")</f>
        <v>Q1</v>
      </c>
      <c r="L15" s="57" t="s">
        <v>139</v>
      </c>
      <c r="M15" s="29">
        <v>60</v>
      </c>
      <c r="N15" s="57" t="s">
        <v>313</v>
      </c>
      <c r="O15" s="195"/>
    </row>
    <row r="16" spans="2:17" x14ac:dyDescent="0.2">
      <c r="B16" s="17" t="str">
        <f>dropdown!$B9</f>
        <v>Residual/Landfill</v>
      </c>
      <c r="C16" s="17" t="s">
        <v>283</v>
      </c>
      <c r="D16" s="41">
        <f>SUMIFS(Waste[Weight (kg)],Waste[Quarter],D$10,Waste[Waste Composition],$B16)</f>
        <v>610</v>
      </c>
      <c r="E16" s="41">
        <f>SUMIFS(Waste[Weight (kg)],Waste[Quarter],E$10,Waste[Waste Composition],$B16)</f>
        <v>600</v>
      </c>
      <c r="F16" s="41">
        <f>SUMIFS(Waste[Weight (kg)],Waste[Quarter],F$10,Waste[Waste Composition],$B16)</f>
        <v>0</v>
      </c>
      <c r="G16" s="41">
        <f>SUMIFS(Waste[Weight (kg)],Waste[Quarter],G$10,Waste[Waste Composition],$B16)</f>
        <v>0</v>
      </c>
      <c r="I16" s="194">
        <f t="shared" si="0"/>
        <v>9</v>
      </c>
      <c r="J16" s="58" t="s">
        <v>362</v>
      </c>
      <c r="K16" s="194" t="str">
        <f>IF(Waste[[#This Row],[Month]]&lt;&gt;"",VLOOKUP(Waste[[#This Row],[Month]], dropdown!$S$4:$T$15, 2, FALSE),"")</f>
        <v>Q1</v>
      </c>
      <c r="L16" s="57" t="s">
        <v>367</v>
      </c>
      <c r="M16" s="29">
        <v>1450</v>
      </c>
      <c r="N16" s="57" t="s">
        <v>384</v>
      </c>
      <c r="O16" s="195" t="s">
        <v>1603</v>
      </c>
    </row>
    <row r="17" spans="2:15" x14ac:dyDescent="0.2">
      <c r="I17" s="194">
        <f t="shared" si="0"/>
        <v>10</v>
      </c>
      <c r="J17" s="58" t="s">
        <v>362</v>
      </c>
      <c r="K17" s="194" t="str">
        <f>IF(Waste[[#This Row],[Month]]&lt;&gt;"",VLOOKUP(Waste[[#This Row],[Month]], dropdown!$S$4:$T$15, 2, FALSE),"")</f>
        <v>Q1</v>
      </c>
      <c r="L17" s="57" t="s">
        <v>383</v>
      </c>
      <c r="M17" s="29">
        <v>210</v>
      </c>
      <c r="N17" s="57" t="s">
        <v>313</v>
      </c>
      <c r="O17" s="195"/>
    </row>
    <row r="18" spans="2:15" x14ac:dyDescent="0.2">
      <c r="B18" s="267" t="s">
        <v>38</v>
      </c>
      <c r="I18" s="194">
        <f t="shared" si="0"/>
        <v>11</v>
      </c>
      <c r="J18" s="58" t="s">
        <v>371</v>
      </c>
      <c r="K18" s="194" t="str">
        <f>IF(Waste[[#This Row],[Month]]&lt;&gt;"",VLOOKUP(Waste[[#This Row],[Month]], dropdown!$S$4:$T$15, 2, FALSE),"")</f>
        <v>Q2</v>
      </c>
      <c r="L18" s="57" t="s">
        <v>139</v>
      </c>
      <c r="M18" s="29">
        <v>50</v>
      </c>
      <c r="N18" s="57" t="s">
        <v>313</v>
      </c>
      <c r="O18" s="195"/>
    </row>
    <row r="19" spans="2:15" x14ac:dyDescent="0.2">
      <c r="B19" s="268" t="s">
        <v>175</v>
      </c>
      <c r="I19" s="194">
        <f t="shared" ref="I19" si="1">IF($J19="","",$I18+1)</f>
        <v>12</v>
      </c>
      <c r="J19" s="58" t="s">
        <v>371</v>
      </c>
      <c r="K19" s="194" t="str">
        <f>IF(Waste[[#This Row],[Month]]&lt;&gt;"",VLOOKUP(Waste[[#This Row],[Month]], dropdown!$S$4:$T$15, 2, FALSE),"")</f>
        <v>Q2</v>
      </c>
      <c r="L19" s="57" t="s">
        <v>367</v>
      </c>
      <c r="M19" s="29">
        <v>1225</v>
      </c>
      <c r="N19" s="57" t="s">
        <v>384</v>
      </c>
      <c r="O19" s="195" t="s">
        <v>1603</v>
      </c>
    </row>
    <row r="20" spans="2:15" x14ac:dyDescent="0.2">
      <c r="B20" s="266" t="s">
        <v>176</v>
      </c>
      <c r="I20" s="194">
        <f t="shared" si="0"/>
        <v>13</v>
      </c>
      <c r="J20" s="58" t="s">
        <v>371</v>
      </c>
      <c r="K20" s="194" t="str">
        <f>IF(Waste[[#This Row],[Month]]&lt;&gt;"",VLOOKUP(Waste[[#This Row],[Month]], dropdown!$S$4:$T$15, 2, FALSE),"")</f>
        <v>Q2</v>
      </c>
      <c r="L20" s="57" t="s">
        <v>383</v>
      </c>
      <c r="M20" s="29">
        <v>190</v>
      </c>
      <c r="N20" s="57" t="s">
        <v>313</v>
      </c>
      <c r="O20" s="195"/>
    </row>
    <row r="21" spans="2:15" x14ac:dyDescent="0.2">
      <c r="B21" s="17" t="s">
        <v>177</v>
      </c>
      <c r="I21" s="194">
        <f t="shared" si="0"/>
        <v>14</v>
      </c>
      <c r="J21" s="58" t="s">
        <v>379</v>
      </c>
      <c r="K21" s="194" t="str">
        <f>IF(Waste[[#This Row],[Month]]&lt;&gt;"",VLOOKUP(Waste[[#This Row],[Month]], dropdown!$S$4:$T$15, 2, FALSE),"")</f>
        <v>Q2</v>
      </c>
      <c r="L21" s="57" t="s">
        <v>139</v>
      </c>
      <c r="M21" s="29">
        <v>60</v>
      </c>
      <c r="N21" s="57" t="s">
        <v>313</v>
      </c>
      <c r="O21" s="195"/>
    </row>
    <row r="22" spans="2:15" x14ac:dyDescent="0.2">
      <c r="I22" s="194">
        <f t="shared" si="0"/>
        <v>15</v>
      </c>
      <c r="J22" s="58" t="s">
        <v>379</v>
      </c>
      <c r="K22" s="194" t="str">
        <f>IF(Waste[[#This Row],[Month]]&lt;&gt;"",VLOOKUP(Waste[[#This Row],[Month]], dropdown!$S$4:$T$15, 2, FALSE),"")</f>
        <v>Q2</v>
      </c>
      <c r="L22" s="57" t="s">
        <v>367</v>
      </c>
      <c r="M22" s="29">
        <v>2000</v>
      </c>
      <c r="N22" s="57" t="s">
        <v>384</v>
      </c>
      <c r="O22" s="195" t="s">
        <v>1603</v>
      </c>
    </row>
    <row r="23" spans="2:15" x14ac:dyDescent="0.2">
      <c r="I23" s="194">
        <f t="shared" si="0"/>
        <v>16</v>
      </c>
      <c r="J23" s="58" t="s">
        <v>379</v>
      </c>
      <c r="K23" s="194" t="str">
        <f>IF(Waste[[#This Row],[Month]]&lt;&gt;"",VLOOKUP(Waste[[#This Row],[Month]], dropdown!$S$4:$T$15, 2, FALSE),"")</f>
        <v>Q2</v>
      </c>
      <c r="L23" s="57" t="s">
        <v>383</v>
      </c>
      <c r="M23" s="29">
        <v>210</v>
      </c>
      <c r="N23" s="57" t="s">
        <v>313</v>
      </c>
      <c r="O23" s="195"/>
    </row>
    <row r="24" spans="2:15" x14ac:dyDescent="0.2">
      <c r="I24" s="194">
        <f t="shared" si="0"/>
        <v>17</v>
      </c>
      <c r="J24" s="58" t="s">
        <v>379</v>
      </c>
      <c r="K24" s="194" t="str">
        <f>IF(Waste[[#This Row],[Month]]&lt;&gt;"",VLOOKUP(Waste[[#This Row],[Month]], dropdown!$S$4:$T$15, 2, FALSE),"")</f>
        <v>Q2</v>
      </c>
      <c r="L24" s="57" t="s">
        <v>318</v>
      </c>
      <c r="M24" s="29">
        <v>1700</v>
      </c>
      <c r="N24" s="57" t="s">
        <v>357</v>
      </c>
      <c r="O24" s="195" t="s">
        <v>1604</v>
      </c>
    </row>
    <row r="25" spans="2:15" x14ac:dyDescent="0.2">
      <c r="I25" s="194">
        <f t="shared" si="0"/>
        <v>18</v>
      </c>
      <c r="J25" s="58" t="s">
        <v>386</v>
      </c>
      <c r="K25" s="194" t="str">
        <f>IF(Waste[[#This Row],[Month]]&lt;&gt;"",VLOOKUP(Waste[[#This Row],[Month]], dropdown!$S$4:$T$15, 2, FALSE),"")</f>
        <v>Q2</v>
      </c>
      <c r="L25" s="57" t="s">
        <v>139</v>
      </c>
      <c r="M25" s="29">
        <v>50</v>
      </c>
      <c r="N25" s="57" t="s">
        <v>313</v>
      </c>
      <c r="O25" s="195"/>
    </row>
    <row r="26" spans="2:15" x14ac:dyDescent="0.2">
      <c r="I26" s="194">
        <f t="shared" si="0"/>
        <v>19</v>
      </c>
      <c r="J26" s="58" t="s">
        <v>386</v>
      </c>
      <c r="K26" s="194" t="str">
        <f>IF(Waste[[#This Row],[Month]]&lt;&gt;"",VLOOKUP(Waste[[#This Row],[Month]], dropdown!$S$4:$T$15, 2, FALSE),"")</f>
        <v>Q2</v>
      </c>
      <c r="L26" s="57" t="s">
        <v>367</v>
      </c>
      <c r="M26" s="29">
        <v>3062.5</v>
      </c>
      <c r="N26" s="57" t="s">
        <v>384</v>
      </c>
      <c r="O26" s="195" t="s">
        <v>1603</v>
      </c>
    </row>
    <row r="27" spans="2:15" x14ac:dyDescent="0.2">
      <c r="I27" s="194">
        <f t="shared" si="0"/>
        <v>20</v>
      </c>
      <c r="J27" s="58" t="s">
        <v>386</v>
      </c>
      <c r="K27" s="194" t="str">
        <f>IF(Waste[[#This Row],[Month]]&lt;&gt;"",VLOOKUP(Waste[[#This Row],[Month]], dropdown!$S$4:$T$15, 2, FALSE),"")</f>
        <v>Q2</v>
      </c>
      <c r="L27" s="57" t="s">
        <v>383</v>
      </c>
      <c r="M27" s="29">
        <v>200</v>
      </c>
      <c r="N27" s="57" t="s">
        <v>313</v>
      </c>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Dumaguete Branch</v>
      </c>
      <c r="E6" s="463" t="s">
        <v>284</v>
      </c>
      <c r="F6" s="463"/>
      <c r="G6" s="463"/>
      <c r="H6" s="463"/>
      <c r="I6" s="463"/>
      <c r="J6" s="463"/>
      <c r="K6" s="463"/>
      <c r="L6" s="463"/>
      <c r="M6" s="463"/>
      <c r="N6" s="463"/>
      <c r="O6" s="463"/>
      <c r="P6" s="463"/>
      <c r="Q6" s="463"/>
    </row>
    <row r="7" spans="2:17" ht="20" customHeight="1" x14ac:dyDescent="0.2">
      <c r="B7" s="70" t="s">
        <v>12</v>
      </c>
      <c r="C7" s="59">
        <f>'1. Data Info and Summary'!$D$3</f>
        <v>2025</v>
      </c>
      <c r="E7" s="463"/>
      <c r="F7" s="463"/>
      <c r="G7" s="463"/>
      <c r="H7" s="463"/>
      <c r="I7" s="463"/>
      <c r="J7" s="463"/>
      <c r="K7" s="463"/>
      <c r="L7" s="463"/>
      <c r="M7" s="463"/>
      <c r="N7" s="463"/>
      <c r="O7" s="463"/>
      <c r="P7" s="463"/>
      <c r="Q7" s="463"/>
    </row>
    <row r="8" spans="2:17" ht="20" customHeight="1" x14ac:dyDescent="0.2">
      <c r="B8" s="71"/>
    </row>
    <row r="9" spans="2:17" x14ac:dyDescent="0.2">
      <c r="C9" s="53"/>
      <c r="E9" s="465" t="s">
        <v>285</v>
      </c>
      <c r="F9" s="465"/>
      <c r="G9" s="465"/>
      <c r="H9" s="465"/>
      <c r="I9" s="465"/>
      <c r="J9" s="465"/>
      <c r="L9" s="465" t="s">
        <v>286</v>
      </c>
      <c r="M9" s="465"/>
      <c r="N9" s="465"/>
      <c r="O9" s="465"/>
      <c r="P9" s="465"/>
      <c r="Q9" s="465"/>
    </row>
    <row r="10" spans="2:17" ht="8" customHeight="1" x14ac:dyDescent="0.2">
      <c r="B10" s="71"/>
    </row>
    <row r="11" spans="2:17" x14ac:dyDescent="0.2">
      <c r="E11" s="464" t="s">
        <v>287</v>
      </c>
      <c r="F11" s="464"/>
      <c r="G11" s="464"/>
      <c r="H11" s="464"/>
      <c r="I11" s="464"/>
      <c r="J11" s="464"/>
      <c r="L11" s="464" t="s">
        <v>288</v>
      </c>
      <c r="M11" s="464"/>
      <c r="N11" s="464"/>
      <c r="O11" s="464"/>
      <c r="P11" s="464"/>
      <c r="Q11" s="464"/>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1022.105950209</v>
      </c>
      <c r="G13" s="73" t="str">
        <f>'1. Data Info and Summary'!$D18</f>
        <v>Liters</v>
      </c>
      <c r="I13" s="76">
        <f>VLOOKUP($E13,Emission_Factors!$A$1:$G$20,5,FALSE)</f>
        <v>2.68</v>
      </c>
      <c r="J13" s="141">
        <f>F13*I13</f>
        <v>2739.2439465601201</v>
      </c>
      <c r="L13" s="73" t="s">
        <v>155</v>
      </c>
      <c r="M13" s="78">
        <f>SUM('2.3a Electricity'!$D$12:$G$12)</f>
        <v>224280</v>
      </c>
      <c r="N13" s="73" t="str">
        <f>'2.3a Electricity'!$C$12</f>
        <v>Kilowatt-hour</v>
      </c>
      <c r="P13" s="76">
        <f>VLOOKUP($L13,Emission_Factors!$A$1:$G$20,5,FALSE)</f>
        <v>0.56000000000000005</v>
      </c>
      <c r="Q13" s="141">
        <f>M13*P13</f>
        <v>125596.80000000002</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2739.2439465601201</v>
      </c>
    </row>
    <row r="20" spans="5:10" x14ac:dyDescent="0.2">
      <c r="E20" s="464" t="s">
        <v>293</v>
      </c>
      <c r="F20" s="464"/>
      <c r="G20" s="464"/>
      <c r="H20" s="464"/>
      <c r="I20" s="464"/>
      <c r="J20" s="464"/>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1073.8407999999999</v>
      </c>
      <c r="G22" s="73" t="str">
        <f>'1. Data Info and Summary'!$D26</f>
        <v>Liters</v>
      </c>
      <c r="I22" s="76">
        <f>VLOOKUP($E22,Emission_Factors!$A$1:$G$20,5,FALSE)</f>
        <v>2.68</v>
      </c>
      <c r="J22" s="141">
        <f>F22*I22</f>
        <v>2877.8933440000001</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2877.8933440000001</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6.5" bestFit="1" customWidth="1"/>
    <col min="7"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68.207499999999996</v>
      </c>
      <c r="D33" s="337">
        <v>88.76939999999999</v>
      </c>
      <c r="E33" s="337">
        <v>156.9769</v>
      </c>
      <c r="I33" s="20"/>
      <c r="J33" s="20"/>
      <c r="K33" s="21"/>
      <c r="L33" s="21"/>
      <c r="M33" s="22"/>
      <c r="N33" s="22"/>
      <c r="O33" s="11"/>
      <c r="P33" s="22"/>
      <c r="Q33" s="20"/>
      <c r="R33" s="20"/>
      <c r="S33" s="44"/>
    </row>
    <row r="34" spans="1:19" outlineLevel="1" x14ac:dyDescent="0.2">
      <c r="A34" s="203" t="s">
        <v>63</v>
      </c>
      <c r="B34" s="337"/>
      <c r="C34" s="337">
        <v>68.207499999999996</v>
      </c>
      <c r="D34" s="337">
        <v>88.76939999999999</v>
      </c>
      <c r="E34" s="337">
        <v>156.9769</v>
      </c>
      <c r="I34" s="20"/>
      <c r="J34" s="20"/>
      <c r="K34" s="21"/>
      <c r="L34" s="21"/>
      <c r="M34" s="22"/>
      <c r="N34" s="22"/>
      <c r="O34" s="11"/>
      <c r="P34" s="22"/>
      <c r="Q34" s="20"/>
      <c r="R34" s="20"/>
      <c r="S34" s="44"/>
    </row>
    <row r="35" spans="1:19" outlineLevel="1" x14ac:dyDescent="0.2">
      <c r="A35" s="19" t="s">
        <v>365</v>
      </c>
      <c r="B35" s="337"/>
      <c r="C35" s="337">
        <v>362.18639999999999</v>
      </c>
      <c r="D35" s="337">
        <v>236.04179999999999</v>
      </c>
      <c r="E35" s="337">
        <v>598.22820000000002</v>
      </c>
      <c r="I35" s="20"/>
      <c r="J35" s="20"/>
      <c r="K35" s="21"/>
      <c r="L35" s="21"/>
      <c r="M35" s="22"/>
      <c r="N35" s="22"/>
      <c r="O35" s="11"/>
      <c r="P35" s="22"/>
      <c r="Q35" s="20"/>
      <c r="R35" s="20"/>
      <c r="S35" s="44"/>
    </row>
    <row r="36" spans="1:19" outlineLevel="1" x14ac:dyDescent="0.2">
      <c r="A36" s="203" t="s">
        <v>63</v>
      </c>
      <c r="B36" s="337"/>
      <c r="C36" s="337">
        <v>362.18639999999999</v>
      </c>
      <c r="D36" s="337">
        <v>236.04179999999999</v>
      </c>
      <c r="E36" s="337">
        <v>598.22820000000002</v>
      </c>
      <c r="H36" s="12"/>
      <c r="I36" s="20"/>
      <c r="J36" s="20"/>
      <c r="K36" s="21"/>
      <c r="L36" s="21"/>
      <c r="M36" s="22"/>
      <c r="N36" s="22"/>
      <c r="O36" s="11"/>
      <c r="P36" s="22"/>
      <c r="Q36" s="20"/>
      <c r="R36" s="20"/>
      <c r="S36" s="44"/>
    </row>
    <row r="37" spans="1:19" outlineLevel="1" x14ac:dyDescent="0.2">
      <c r="A37" s="19" t="s">
        <v>381</v>
      </c>
      <c r="B37" s="337"/>
      <c r="C37" s="337">
        <v>169.31489999999999</v>
      </c>
      <c r="D37" s="337">
        <v>149.32079999999999</v>
      </c>
      <c r="E37" s="337">
        <v>318.63569999999999</v>
      </c>
      <c r="H37" s="12"/>
      <c r="I37" s="20"/>
      <c r="J37" s="20"/>
      <c r="K37" s="21"/>
      <c r="L37" s="21"/>
      <c r="M37" s="22"/>
      <c r="N37" s="22"/>
      <c r="O37" s="11"/>
      <c r="P37" s="22"/>
      <c r="Q37" s="20"/>
      <c r="R37" s="20"/>
      <c r="S37" s="44"/>
    </row>
    <row r="38" spans="1:19" outlineLevel="1" x14ac:dyDescent="0.2">
      <c r="A38" s="203" t="s">
        <v>63</v>
      </c>
      <c r="B38" s="337"/>
      <c r="C38" s="337">
        <v>169.31489999999999</v>
      </c>
      <c r="D38" s="337">
        <v>149.32079999999999</v>
      </c>
      <c r="E38" s="337">
        <v>318.63569999999999</v>
      </c>
      <c r="H38" s="12"/>
      <c r="I38" s="20"/>
      <c r="J38" s="20"/>
      <c r="K38" s="21"/>
      <c r="L38" s="21"/>
      <c r="M38" s="22"/>
      <c r="N38" s="22"/>
      <c r="O38" s="11"/>
      <c r="P38" s="22"/>
      <c r="Q38" s="20"/>
      <c r="R38" s="20"/>
      <c r="S38" s="44"/>
    </row>
    <row r="39" spans="1:19" outlineLevel="1" x14ac:dyDescent="0.2">
      <c r="A39" s="19" t="s">
        <v>297</v>
      </c>
      <c r="B39" s="337"/>
      <c r="C39" s="337">
        <v>599.7088</v>
      </c>
      <c r="D39" s="337">
        <v>474.13199999999995</v>
      </c>
      <c r="E39" s="337">
        <v>1073.8407999999999</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606"/>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45909.479432870372</v>
      </c>
      <c r="B927" t="s">
        <v>1431</v>
      </c>
      <c r="C927" t="s">
        <v>597</v>
      </c>
      <c r="D927" t="s">
        <v>1230</v>
      </c>
      <c r="E927" t="s">
        <v>39</v>
      </c>
    </row>
    <row r="928" spans="1:5" x14ac:dyDescent="0.2">
      <c r="A928" s="269">
        <v>45909.490231481483</v>
      </c>
      <c r="B928" t="s">
        <v>1431</v>
      </c>
      <c r="C928" t="s">
        <v>597</v>
      </c>
      <c r="D928" t="s">
        <v>1230</v>
      </c>
      <c r="E928" t="s">
        <v>39</v>
      </c>
    </row>
    <row r="929" spans="1:5" x14ac:dyDescent="0.2">
      <c r="A929" s="269">
        <v>45909.490324074075</v>
      </c>
      <c r="B929" t="s">
        <v>1431</v>
      </c>
      <c r="C929" t="s">
        <v>2</v>
      </c>
      <c r="D929" t="s">
        <v>1432</v>
      </c>
      <c r="E929" t="s">
        <v>393</v>
      </c>
    </row>
    <row r="930" spans="1:5" x14ac:dyDescent="0.2">
      <c r="A930" s="269">
        <v>45909.490358796298</v>
      </c>
      <c r="B930" t="s">
        <v>1431</v>
      </c>
      <c r="C930" t="s">
        <v>2</v>
      </c>
      <c r="D930" t="s">
        <v>1433</v>
      </c>
      <c r="E930">
        <v>2024</v>
      </c>
    </row>
    <row r="931" spans="1:5" x14ac:dyDescent="0.2">
      <c r="A931" s="269">
        <v>45909.490416666667</v>
      </c>
      <c r="B931" t="s">
        <v>1431</v>
      </c>
      <c r="C931" t="s">
        <v>27</v>
      </c>
      <c r="D931" t="s">
        <v>946</v>
      </c>
      <c r="E931" t="s">
        <v>37</v>
      </c>
    </row>
    <row r="932" spans="1:5" x14ac:dyDescent="0.2">
      <c r="A932" s="269">
        <v>45909.490439814814</v>
      </c>
      <c r="B932" t="s">
        <v>1431</v>
      </c>
      <c r="C932" t="s">
        <v>27</v>
      </c>
      <c r="D932" t="s">
        <v>950</v>
      </c>
      <c r="E932" t="s">
        <v>338</v>
      </c>
    </row>
    <row r="933" spans="1:5" x14ac:dyDescent="0.2">
      <c r="A933" s="269">
        <v>45909.490497685183</v>
      </c>
      <c r="B933" t="s">
        <v>1431</v>
      </c>
      <c r="C933" t="s">
        <v>27</v>
      </c>
      <c r="D933" t="s">
        <v>777</v>
      </c>
      <c r="E933">
        <v>15.14</v>
      </c>
    </row>
    <row r="934" spans="1:5" x14ac:dyDescent="0.2">
      <c r="A934" s="269">
        <v>45909.490555555552</v>
      </c>
      <c r="B934" t="s">
        <v>1431</v>
      </c>
      <c r="C934" t="s">
        <v>27</v>
      </c>
      <c r="D934" t="s">
        <v>1434</v>
      </c>
      <c r="E934" t="s">
        <v>37</v>
      </c>
    </row>
    <row r="935" spans="1:5" x14ac:dyDescent="0.2">
      <c r="A935" s="269">
        <v>45909.490590277775</v>
      </c>
      <c r="B935" t="s">
        <v>1431</v>
      </c>
      <c r="C935" t="s">
        <v>27</v>
      </c>
      <c r="D935" t="s">
        <v>1191</v>
      </c>
      <c r="E935" t="s">
        <v>37</v>
      </c>
    </row>
    <row r="936" spans="1:5" x14ac:dyDescent="0.2">
      <c r="A936" s="269">
        <v>45909.490613425929</v>
      </c>
      <c r="B936" t="s">
        <v>1431</v>
      </c>
      <c r="C936" t="s">
        <v>27</v>
      </c>
      <c r="D936" t="s">
        <v>795</v>
      </c>
      <c r="E936" t="s">
        <v>37</v>
      </c>
    </row>
    <row r="937" spans="1:5" x14ac:dyDescent="0.2">
      <c r="A937" s="269">
        <v>45909.490659722222</v>
      </c>
      <c r="B937" t="s">
        <v>1431</v>
      </c>
      <c r="C937" t="s">
        <v>27</v>
      </c>
      <c r="D937" t="s">
        <v>1435</v>
      </c>
      <c r="E937" t="s">
        <v>89</v>
      </c>
    </row>
    <row r="938" spans="1:5" x14ac:dyDescent="0.2">
      <c r="A938" s="269">
        <v>45909.490682870368</v>
      </c>
      <c r="B938" t="s">
        <v>1431</v>
      </c>
      <c r="C938" t="s">
        <v>27</v>
      </c>
      <c r="D938" t="s">
        <v>1010</v>
      </c>
      <c r="E938" t="s">
        <v>362</v>
      </c>
    </row>
    <row r="939" spans="1:5" x14ac:dyDescent="0.2">
      <c r="A939" s="269">
        <v>45909.490706018521</v>
      </c>
      <c r="B939" t="s">
        <v>1431</v>
      </c>
      <c r="C939" t="s">
        <v>27</v>
      </c>
      <c r="D939" t="s">
        <v>995</v>
      </c>
      <c r="E939" t="s">
        <v>371</v>
      </c>
    </row>
    <row r="940" spans="1:5" x14ac:dyDescent="0.2">
      <c r="A940" s="269">
        <v>45909.490763888891</v>
      </c>
      <c r="B940" t="s">
        <v>1431</v>
      </c>
      <c r="C940" t="s">
        <v>27</v>
      </c>
      <c r="D940" t="s">
        <v>1436</v>
      </c>
      <c r="E940">
        <v>231.54</v>
      </c>
    </row>
    <row r="941" spans="1:5" x14ac:dyDescent="0.2">
      <c r="A941" s="269">
        <v>45909.490798611114</v>
      </c>
      <c r="B941" t="s">
        <v>1431</v>
      </c>
      <c r="C941" t="s">
        <v>27</v>
      </c>
      <c r="D941" t="s">
        <v>973</v>
      </c>
      <c r="E941">
        <v>196.06</v>
      </c>
    </row>
    <row r="942" spans="1:5" x14ac:dyDescent="0.2">
      <c r="A942" s="269">
        <v>45909.490856481483</v>
      </c>
      <c r="B942" t="s">
        <v>1431</v>
      </c>
      <c r="C942" t="s">
        <v>27</v>
      </c>
      <c r="D942" t="s">
        <v>976</v>
      </c>
      <c r="E942">
        <v>218.77</v>
      </c>
    </row>
    <row r="943" spans="1:5" x14ac:dyDescent="0.2">
      <c r="A943" s="269">
        <v>45909.491261574076</v>
      </c>
      <c r="B943" t="s">
        <v>1431</v>
      </c>
      <c r="C943" t="s">
        <v>27</v>
      </c>
      <c r="D943" t="s">
        <v>1013</v>
      </c>
      <c r="E943" t="s">
        <v>37</v>
      </c>
    </row>
    <row r="944" spans="1:5" x14ac:dyDescent="0.2">
      <c r="A944" s="269">
        <v>45909.491296296299</v>
      </c>
      <c r="B944" t="s">
        <v>1431</v>
      </c>
      <c r="C944" t="s">
        <v>27</v>
      </c>
      <c r="D944" t="s">
        <v>1014</v>
      </c>
      <c r="E944" t="s">
        <v>379</v>
      </c>
    </row>
    <row r="945" spans="1:5" x14ac:dyDescent="0.2">
      <c r="A945" s="269">
        <v>45909.491793981484</v>
      </c>
      <c r="B945" t="s">
        <v>1431</v>
      </c>
      <c r="C945" t="s">
        <v>27</v>
      </c>
      <c r="D945" t="s">
        <v>977</v>
      </c>
      <c r="E945">
        <v>231</v>
      </c>
    </row>
    <row r="946" spans="1:5" x14ac:dyDescent="0.2">
      <c r="A946" s="269">
        <v>45909.491828703707</v>
      </c>
      <c r="B946" t="s">
        <v>1431</v>
      </c>
      <c r="C946" t="s">
        <v>27</v>
      </c>
      <c r="D946" t="s">
        <v>977</v>
      </c>
      <c r="E946">
        <v>64</v>
      </c>
    </row>
    <row r="947" spans="1:5" x14ac:dyDescent="0.2">
      <c r="A947" s="269">
        <v>45909.492083333331</v>
      </c>
      <c r="B947" t="s">
        <v>1431</v>
      </c>
      <c r="C947" t="s">
        <v>27</v>
      </c>
      <c r="D947" t="s">
        <v>977</v>
      </c>
      <c r="E947">
        <v>231.64</v>
      </c>
    </row>
    <row r="948" spans="1:5" x14ac:dyDescent="0.2">
      <c r="A948" s="269">
        <v>45909.492118055554</v>
      </c>
      <c r="B948" t="s">
        <v>1431</v>
      </c>
      <c r="C948" t="s">
        <v>27</v>
      </c>
      <c r="D948" t="s">
        <v>747</v>
      </c>
      <c r="E948" t="s">
        <v>37</v>
      </c>
    </row>
    <row r="949" spans="1:5" x14ac:dyDescent="0.2">
      <c r="A949" s="269">
        <v>45909.492152777777</v>
      </c>
      <c r="B949" t="s">
        <v>1431</v>
      </c>
      <c r="C949" t="s">
        <v>27</v>
      </c>
      <c r="D949" t="s">
        <v>1017</v>
      </c>
      <c r="E949" t="s">
        <v>386</v>
      </c>
    </row>
    <row r="950" spans="1:5" x14ac:dyDescent="0.2">
      <c r="A950" s="269">
        <v>45909.492928240739</v>
      </c>
      <c r="B950" t="s">
        <v>1431</v>
      </c>
      <c r="C950" t="s">
        <v>27</v>
      </c>
      <c r="D950" t="s">
        <v>923</v>
      </c>
      <c r="E950">
        <v>179.03</v>
      </c>
    </row>
    <row r="951" spans="1:5" x14ac:dyDescent="0.2">
      <c r="A951" s="269">
        <v>45909.492974537039</v>
      </c>
      <c r="B951" t="s">
        <v>1431</v>
      </c>
      <c r="C951" t="s">
        <v>27</v>
      </c>
      <c r="D951" t="s">
        <v>1437</v>
      </c>
      <c r="E951" t="s">
        <v>37</v>
      </c>
    </row>
    <row r="952" spans="1:5" x14ac:dyDescent="0.2">
      <c r="A952" s="269">
        <v>45909.493009259262</v>
      </c>
      <c r="B952" t="s">
        <v>1431</v>
      </c>
      <c r="C952" t="s">
        <v>27</v>
      </c>
      <c r="D952" t="s">
        <v>1438</v>
      </c>
      <c r="E952" t="s">
        <v>390</v>
      </c>
    </row>
    <row r="953" spans="1:5" x14ac:dyDescent="0.2">
      <c r="A953" s="269">
        <v>45909.493078703701</v>
      </c>
      <c r="B953" t="s">
        <v>1431</v>
      </c>
      <c r="C953" t="s">
        <v>27</v>
      </c>
      <c r="D953" t="s">
        <v>918</v>
      </c>
      <c r="E953">
        <v>28.77</v>
      </c>
    </row>
    <row r="954" spans="1:5" x14ac:dyDescent="0.2">
      <c r="A954" s="269">
        <v>45909.493275462963</v>
      </c>
      <c r="B954" t="s">
        <v>1431</v>
      </c>
      <c r="C954" t="s">
        <v>27</v>
      </c>
      <c r="D954" t="s">
        <v>1439</v>
      </c>
      <c r="E954" t="s">
        <v>37</v>
      </c>
    </row>
    <row r="955" spans="1:5" x14ac:dyDescent="0.2">
      <c r="A955" s="269">
        <v>45909.493298611109</v>
      </c>
      <c r="B955" t="s">
        <v>1431</v>
      </c>
      <c r="C955" t="s">
        <v>27</v>
      </c>
      <c r="D955" t="s">
        <v>1440</v>
      </c>
      <c r="E955" t="s">
        <v>41</v>
      </c>
    </row>
    <row r="956" spans="1:5" x14ac:dyDescent="0.2">
      <c r="A956" s="269">
        <v>45909.493356481478</v>
      </c>
      <c r="B956" t="s">
        <v>1431</v>
      </c>
      <c r="C956" t="s">
        <v>27</v>
      </c>
      <c r="D956" t="s">
        <v>924</v>
      </c>
      <c r="E956">
        <v>175.62</v>
      </c>
    </row>
    <row r="957" spans="1:5" x14ac:dyDescent="0.2">
      <c r="A957" s="269">
        <v>45909.493391203701</v>
      </c>
      <c r="B957" t="s">
        <v>1431</v>
      </c>
      <c r="C957" t="s">
        <v>27</v>
      </c>
      <c r="D957" t="s">
        <v>1441</v>
      </c>
      <c r="E957" t="s">
        <v>37</v>
      </c>
    </row>
    <row r="958" spans="1:5" x14ac:dyDescent="0.2">
      <c r="A958" s="269">
        <v>45909.493425925924</v>
      </c>
      <c r="B958" t="s">
        <v>1431</v>
      </c>
      <c r="C958" t="s">
        <v>27</v>
      </c>
      <c r="D958" t="s">
        <v>1442</v>
      </c>
      <c r="E958" t="s">
        <v>397</v>
      </c>
    </row>
    <row r="959" spans="1:5" x14ac:dyDescent="0.2">
      <c r="A959" s="269">
        <v>45909.493506944447</v>
      </c>
      <c r="B959" t="s">
        <v>1431</v>
      </c>
      <c r="C959" t="s">
        <v>27</v>
      </c>
      <c r="D959" t="s">
        <v>1443</v>
      </c>
      <c r="E959">
        <v>19.3</v>
      </c>
    </row>
    <row r="960" spans="1:5" x14ac:dyDescent="0.2">
      <c r="A960" s="269">
        <v>45909.493541666663</v>
      </c>
      <c r="B960" t="s">
        <v>1431</v>
      </c>
      <c r="C960" t="s">
        <v>27</v>
      </c>
      <c r="D960" t="s">
        <v>672</v>
      </c>
      <c r="E960" t="s">
        <v>37</v>
      </c>
    </row>
    <row r="961" spans="1:5" x14ac:dyDescent="0.2">
      <c r="A961" s="269">
        <v>45909.493576388886</v>
      </c>
      <c r="B961" t="s">
        <v>1431</v>
      </c>
      <c r="C961" t="s">
        <v>27</v>
      </c>
      <c r="D961" t="s">
        <v>1444</v>
      </c>
      <c r="E961" t="s">
        <v>400</v>
      </c>
    </row>
    <row r="962" spans="1:5" x14ac:dyDescent="0.2">
      <c r="A962" s="269">
        <v>45909.493634259263</v>
      </c>
      <c r="B962" t="s">
        <v>1431</v>
      </c>
      <c r="C962" t="s">
        <v>27</v>
      </c>
      <c r="D962" t="s">
        <v>981</v>
      </c>
      <c r="E962">
        <v>52.61</v>
      </c>
    </row>
    <row r="963" spans="1:5" x14ac:dyDescent="0.2">
      <c r="A963" s="269">
        <v>45909.493668981479</v>
      </c>
      <c r="B963" t="s">
        <v>1431</v>
      </c>
      <c r="C963" t="s">
        <v>27</v>
      </c>
      <c r="D963" t="s">
        <v>674</v>
      </c>
      <c r="E963" t="s">
        <v>37</v>
      </c>
    </row>
    <row r="964" spans="1:5" x14ac:dyDescent="0.2">
      <c r="A964" s="269">
        <v>45909.493750000001</v>
      </c>
      <c r="B964" t="s">
        <v>1431</v>
      </c>
      <c r="C964" t="s">
        <v>27</v>
      </c>
      <c r="D964" t="s">
        <v>1445</v>
      </c>
      <c r="E964" t="s">
        <v>404</v>
      </c>
    </row>
    <row r="965" spans="1:5" x14ac:dyDescent="0.2">
      <c r="A965" s="269">
        <v>45909.49417824074</v>
      </c>
      <c r="B965" t="s">
        <v>1431</v>
      </c>
      <c r="C965" t="s">
        <v>27</v>
      </c>
      <c r="D965" t="s">
        <v>1446</v>
      </c>
      <c r="E965">
        <v>34.07</v>
      </c>
    </row>
    <row r="966" spans="1:5" x14ac:dyDescent="0.2">
      <c r="A966" s="269">
        <v>45909.494386574072</v>
      </c>
      <c r="B966" t="s">
        <v>1431</v>
      </c>
      <c r="C966" t="s">
        <v>27</v>
      </c>
      <c r="D966" t="s">
        <v>675</v>
      </c>
      <c r="E966" t="s">
        <v>37</v>
      </c>
    </row>
    <row r="967" spans="1:5" x14ac:dyDescent="0.2">
      <c r="A967" s="269">
        <v>45909.494409722225</v>
      </c>
      <c r="B967" t="s">
        <v>1431</v>
      </c>
      <c r="C967" t="s">
        <v>27</v>
      </c>
      <c r="D967" t="s">
        <v>1447</v>
      </c>
      <c r="E967" t="s">
        <v>407</v>
      </c>
    </row>
    <row r="968" spans="1:5" x14ac:dyDescent="0.2">
      <c r="A968" s="269">
        <v>45909.494467592594</v>
      </c>
      <c r="B968" t="s">
        <v>1431</v>
      </c>
      <c r="C968" t="s">
        <v>27</v>
      </c>
      <c r="D968" t="s">
        <v>1448</v>
      </c>
      <c r="E968">
        <v>29.9</v>
      </c>
    </row>
    <row r="969" spans="1:5" x14ac:dyDescent="0.2">
      <c r="A969" s="269">
        <v>45909.496574074074</v>
      </c>
      <c r="B969" t="s">
        <v>1431</v>
      </c>
      <c r="C969" t="s">
        <v>27</v>
      </c>
      <c r="D969" t="s">
        <v>1449</v>
      </c>
    </row>
    <row r="970" spans="1:5" x14ac:dyDescent="0.2">
      <c r="A970" s="269">
        <v>45909.496817129628</v>
      </c>
      <c r="B970" t="s">
        <v>1431</v>
      </c>
      <c r="C970" t="s">
        <v>27</v>
      </c>
      <c r="D970" t="s">
        <v>1436</v>
      </c>
      <c r="E970">
        <v>18.93</v>
      </c>
    </row>
    <row r="971" spans="1:5" x14ac:dyDescent="0.2">
      <c r="A971" s="269">
        <v>45909.497534722221</v>
      </c>
      <c r="B971" t="s">
        <v>1431</v>
      </c>
      <c r="C971" t="s">
        <v>27</v>
      </c>
      <c r="D971" t="s">
        <v>1450</v>
      </c>
      <c r="E971" t="s">
        <v>1431</v>
      </c>
    </row>
    <row r="972" spans="1:5" x14ac:dyDescent="0.2">
      <c r="A972" s="269">
        <v>45909.497627314813</v>
      </c>
      <c r="B972" t="s">
        <v>1431</v>
      </c>
      <c r="C972" t="s">
        <v>27</v>
      </c>
      <c r="D972" t="s">
        <v>1451</v>
      </c>
      <c r="E972" s="442">
        <v>45909</v>
      </c>
    </row>
    <row r="973" spans="1:5" x14ac:dyDescent="0.2">
      <c r="A973" s="269">
        <v>45909.498807870368</v>
      </c>
      <c r="B973" t="s">
        <v>1431</v>
      </c>
      <c r="C973" t="s">
        <v>27</v>
      </c>
      <c r="D973" t="s">
        <v>956</v>
      </c>
      <c r="E973" t="s">
        <v>1452</v>
      </c>
    </row>
    <row r="974" spans="1:5" x14ac:dyDescent="0.2">
      <c r="A974" s="269">
        <v>45909.499467592592</v>
      </c>
      <c r="B974" t="s">
        <v>1431</v>
      </c>
      <c r="C974" t="s">
        <v>27</v>
      </c>
      <c r="D974" t="s">
        <v>956</v>
      </c>
      <c r="E974" t="s">
        <v>1452</v>
      </c>
    </row>
    <row r="975" spans="1:5" x14ac:dyDescent="0.2">
      <c r="A975" s="269">
        <v>45909.499560185184</v>
      </c>
      <c r="B975" t="s">
        <v>1431</v>
      </c>
      <c r="C975" t="s">
        <v>27</v>
      </c>
      <c r="D975" t="s">
        <v>956</v>
      </c>
      <c r="E975" t="s">
        <v>57</v>
      </c>
    </row>
    <row r="976" spans="1:5" x14ac:dyDescent="0.2">
      <c r="A976" s="269">
        <v>45909.499814814815</v>
      </c>
      <c r="B976" t="s">
        <v>1431</v>
      </c>
      <c r="C976" t="s">
        <v>27</v>
      </c>
      <c r="D976" t="s">
        <v>956</v>
      </c>
      <c r="E976" t="s">
        <v>1453</v>
      </c>
    </row>
    <row r="977" spans="1:5" x14ac:dyDescent="0.2">
      <c r="A977" s="269">
        <v>45909.499895833331</v>
      </c>
      <c r="B977" t="s">
        <v>1431</v>
      </c>
      <c r="C977" t="s">
        <v>27</v>
      </c>
      <c r="D977" t="s">
        <v>956</v>
      </c>
      <c r="E977" t="s">
        <v>1454</v>
      </c>
    </row>
    <row r="978" spans="1:5" x14ac:dyDescent="0.2">
      <c r="A978" s="269">
        <v>45909.500150462962</v>
      </c>
      <c r="B978" t="s">
        <v>1431</v>
      </c>
      <c r="C978" t="s">
        <v>27</v>
      </c>
      <c r="D978" t="s">
        <v>658</v>
      </c>
      <c r="E978" t="s">
        <v>1454</v>
      </c>
    </row>
    <row r="979" spans="1:5" x14ac:dyDescent="0.2">
      <c r="A979" s="269">
        <v>45909.500162037039</v>
      </c>
      <c r="B979" t="s">
        <v>1431</v>
      </c>
      <c r="C979" t="s">
        <v>27</v>
      </c>
      <c r="D979" t="s">
        <v>1455</v>
      </c>
      <c r="E979" t="s">
        <v>1454</v>
      </c>
    </row>
    <row r="980" spans="1:5" x14ac:dyDescent="0.2">
      <c r="A980" s="269">
        <v>45909.500173611108</v>
      </c>
      <c r="B980" t="s">
        <v>1431</v>
      </c>
      <c r="C980" t="s">
        <v>27</v>
      </c>
      <c r="D980" t="s">
        <v>996</v>
      </c>
      <c r="E980" t="s">
        <v>1454</v>
      </c>
    </row>
    <row r="981" spans="1:5" x14ac:dyDescent="0.2">
      <c r="A981" s="269">
        <v>45909.500173611108</v>
      </c>
      <c r="B981" t="s">
        <v>1431</v>
      </c>
      <c r="C981" t="s">
        <v>27</v>
      </c>
      <c r="D981" t="s">
        <v>996</v>
      </c>
      <c r="E981" t="s">
        <v>1454</v>
      </c>
    </row>
    <row r="982" spans="1:5" x14ac:dyDescent="0.2">
      <c r="A982" s="269">
        <v>45909.500208333331</v>
      </c>
      <c r="B982" t="s">
        <v>1431</v>
      </c>
      <c r="C982" t="s">
        <v>27</v>
      </c>
      <c r="D982" t="s">
        <v>1456</v>
      </c>
      <c r="E982" t="s">
        <v>1454</v>
      </c>
    </row>
    <row r="983" spans="1:5" x14ac:dyDescent="0.2">
      <c r="A983" s="269">
        <v>45909.500231481485</v>
      </c>
      <c r="B983" t="s">
        <v>1431</v>
      </c>
      <c r="C983" t="s">
        <v>27</v>
      </c>
      <c r="D983" t="s">
        <v>981</v>
      </c>
      <c r="E983">
        <v>19.3</v>
      </c>
    </row>
    <row r="984" spans="1:5" x14ac:dyDescent="0.2">
      <c r="A984" s="269">
        <v>45909.5002662037</v>
      </c>
      <c r="B984" t="s">
        <v>1431</v>
      </c>
      <c r="C984" t="s">
        <v>27</v>
      </c>
      <c r="D984" t="s">
        <v>981</v>
      </c>
      <c r="E984">
        <v>52.61</v>
      </c>
    </row>
    <row r="985" spans="1:5" x14ac:dyDescent="0.2">
      <c r="A985" s="269">
        <v>45909.501168981478</v>
      </c>
      <c r="B985" t="s">
        <v>1431</v>
      </c>
      <c r="C985" t="s">
        <v>58</v>
      </c>
      <c r="D985" t="s">
        <v>1450</v>
      </c>
      <c r="E985" t="s">
        <v>1431</v>
      </c>
    </row>
    <row r="986" spans="1:5" x14ac:dyDescent="0.2">
      <c r="A986" s="269">
        <v>45909.501238425924</v>
      </c>
      <c r="B986" t="s">
        <v>1431</v>
      </c>
      <c r="C986" t="s">
        <v>58</v>
      </c>
      <c r="D986" t="s">
        <v>1451</v>
      </c>
      <c r="E986" s="442">
        <v>45909</v>
      </c>
    </row>
    <row r="987" spans="1:5" x14ac:dyDescent="0.2">
      <c r="A987" s="269">
        <v>45909.507951388892</v>
      </c>
      <c r="B987" t="s">
        <v>1431</v>
      </c>
      <c r="C987" t="s">
        <v>58</v>
      </c>
      <c r="D987" t="s">
        <v>946</v>
      </c>
      <c r="E987" t="s">
        <v>365</v>
      </c>
    </row>
    <row r="988" spans="1:5" x14ac:dyDescent="0.2">
      <c r="A988" s="269">
        <v>45909.507986111108</v>
      </c>
      <c r="B988" t="s">
        <v>1431</v>
      </c>
      <c r="C988" t="s">
        <v>58</v>
      </c>
      <c r="D988" t="s">
        <v>950</v>
      </c>
      <c r="E988" t="s">
        <v>63</v>
      </c>
    </row>
    <row r="989" spans="1:5" x14ac:dyDescent="0.2">
      <c r="A989" s="269">
        <v>45909.508020833331</v>
      </c>
      <c r="B989" t="s">
        <v>1431</v>
      </c>
      <c r="C989" t="s">
        <v>58</v>
      </c>
      <c r="D989" t="s">
        <v>951</v>
      </c>
      <c r="E989" t="s">
        <v>338</v>
      </c>
    </row>
    <row r="990" spans="1:5" x14ac:dyDescent="0.2">
      <c r="A990" s="269">
        <v>45909.50818287037</v>
      </c>
      <c r="B990" t="s">
        <v>1431</v>
      </c>
      <c r="C990" t="s">
        <v>58</v>
      </c>
      <c r="D990" t="s">
        <v>1457</v>
      </c>
      <c r="E990">
        <v>19.754000000000001</v>
      </c>
    </row>
    <row r="991" spans="1:5" x14ac:dyDescent="0.2">
      <c r="A991" s="269">
        <v>45909.50849537037</v>
      </c>
      <c r="B991" t="s">
        <v>1431</v>
      </c>
      <c r="C991" t="s">
        <v>58</v>
      </c>
      <c r="D991" t="s">
        <v>958</v>
      </c>
      <c r="E991">
        <v>238</v>
      </c>
    </row>
    <row r="992" spans="1:5" x14ac:dyDescent="0.2">
      <c r="A992" s="269">
        <v>45909.508634259262</v>
      </c>
      <c r="B992" t="s">
        <v>1431</v>
      </c>
      <c r="C992" t="s">
        <v>58</v>
      </c>
      <c r="D992" t="s">
        <v>1434</v>
      </c>
      <c r="E992" t="s">
        <v>365</v>
      </c>
    </row>
    <row r="993" spans="1:5" x14ac:dyDescent="0.2">
      <c r="A993" s="269">
        <v>45909.508657407408</v>
      </c>
      <c r="B993" t="s">
        <v>1431</v>
      </c>
      <c r="C993" t="s">
        <v>58</v>
      </c>
      <c r="D993" t="s">
        <v>1435</v>
      </c>
      <c r="E993" t="s">
        <v>63</v>
      </c>
    </row>
    <row r="994" spans="1:5" x14ac:dyDescent="0.2">
      <c r="A994" s="269">
        <v>45909.509212962963</v>
      </c>
      <c r="B994" t="s">
        <v>1431</v>
      </c>
      <c r="C994" t="s">
        <v>58</v>
      </c>
      <c r="D994" t="s">
        <v>1457</v>
      </c>
      <c r="E994">
        <v>25.896000000000001</v>
      </c>
    </row>
    <row r="995" spans="1:5" x14ac:dyDescent="0.2">
      <c r="A995" s="269">
        <v>45909.509293981479</v>
      </c>
      <c r="B995" t="s">
        <v>1431</v>
      </c>
      <c r="C995" t="s">
        <v>58</v>
      </c>
      <c r="D995" t="s">
        <v>1434</v>
      </c>
      <c r="E995" t="s">
        <v>381</v>
      </c>
    </row>
    <row r="996" spans="1:5" x14ac:dyDescent="0.2">
      <c r="A996" s="269">
        <v>45909.509317129632</v>
      </c>
      <c r="B996" t="s">
        <v>1431</v>
      </c>
      <c r="C996" t="s">
        <v>58</v>
      </c>
      <c r="D996" t="s">
        <v>983</v>
      </c>
      <c r="E996" t="s">
        <v>338</v>
      </c>
    </row>
    <row r="997" spans="1:5" x14ac:dyDescent="0.2">
      <c r="A997" s="269">
        <v>45909.509560185186</v>
      </c>
      <c r="B997" t="s">
        <v>1431</v>
      </c>
      <c r="C997" t="s">
        <v>58</v>
      </c>
      <c r="D997" t="s">
        <v>937</v>
      </c>
      <c r="E997">
        <v>46.646000000000001</v>
      </c>
    </row>
    <row r="998" spans="1:5" x14ac:dyDescent="0.2">
      <c r="A998" s="269">
        <v>45909.509722222225</v>
      </c>
      <c r="B998" t="s">
        <v>1431</v>
      </c>
      <c r="C998" t="s">
        <v>58</v>
      </c>
      <c r="D998" t="s">
        <v>958</v>
      </c>
      <c r="E998">
        <v>800</v>
      </c>
    </row>
    <row r="999" spans="1:5" x14ac:dyDescent="0.2">
      <c r="A999" s="269">
        <v>45909.50990740741</v>
      </c>
      <c r="B999" t="s">
        <v>1431</v>
      </c>
      <c r="C999" t="s">
        <v>58</v>
      </c>
      <c r="D999" t="s">
        <v>1458</v>
      </c>
      <c r="E999">
        <v>563</v>
      </c>
    </row>
    <row r="1000" spans="1:5" x14ac:dyDescent="0.2">
      <c r="A1000" s="269">
        <v>45909.509930555556</v>
      </c>
      <c r="B1000" t="s">
        <v>1431</v>
      </c>
      <c r="C1000" t="s">
        <v>58</v>
      </c>
      <c r="D1000" t="s">
        <v>1458</v>
      </c>
      <c r="E1000">
        <v>562</v>
      </c>
    </row>
    <row r="1001" spans="1:5" x14ac:dyDescent="0.2">
      <c r="A1001" s="269">
        <v>45909.510636574072</v>
      </c>
      <c r="B1001" t="s">
        <v>1431</v>
      </c>
      <c r="C1001" t="s">
        <v>58</v>
      </c>
      <c r="D1001" t="s">
        <v>958</v>
      </c>
      <c r="E1001">
        <v>312</v>
      </c>
    </row>
    <row r="1002" spans="1:5" x14ac:dyDescent="0.2">
      <c r="A1002" s="269">
        <v>45909.510844907411</v>
      </c>
      <c r="B1002" t="s">
        <v>1431</v>
      </c>
      <c r="C1002" t="s">
        <v>58</v>
      </c>
      <c r="D1002" t="s">
        <v>960</v>
      </c>
      <c r="E1002" t="s">
        <v>1459</v>
      </c>
    </row>
    <row r="1003" spans="1:5" x14ac:dyDescent="0.2">
      <c r="A1003" s="269">
        <v>45909.51090277778</v>
      </c>
      <c r="B1003" t="s">
        <v>1431</v>
      </c>
      <c r="C1003" t="s">
        <v>58</v>
      </c>
      <c r="D1003" t="s">
        <v>960</v>
      </c>
      <c r="E1003" t="s">
        <v>1460</v>
      </c>
    </row>
    <row r="1004" spans="1:5" x14ac:dyDescent="0.2">
      <c r="A1004" s="269">
        <v>45909.511018518519</v>
      </c>
      <c r="B1004" t="s">
        <v>1431</v>
      </c>
      <c r="C1004" t="s">
        <v>58</v>
      </c>
      <c r="D1004" t="s">
        <v>960</v>
      </c>
      <c r="E1004" t="s">
        <v>1461</v>
      </c>
    </row>
    <row r="1005" spans="1:5" x14ac:dyDescent="0.2">
      <c r="A1005" s="269">
        <v>45909.511030092595</v>
      </c>
      <c r="B1005" t="s">
        <v>1431</v>
      </c>
      <c r="C1005" t="s">
        <v>58</v>
      </c>
      <c r="D1005" t="s">
        <v>1024</v>
      </c>
      <c r="E1005" t="s">
        <v>1461</v>
      </c>
    </row>
    <row r="1006" spans="1:5" x14ac:dyDescent="0.2">
      <c r="A1006" s="269">
        <v>45909.511122685188</v>
      </c>
      <c r="B1006" t="s">
        <v>1431</v>
      </c>
      <c r="C1006" t="s">
        <v>58</v>
      </c>
      <c r="D1006" t="s">
        <v>1024</v>
      </c>
      <c r="E1006" t="s">
        <v>1462</v>
      </c>
    </row>
    <row r="1007" spans="1:5" x14ac:dyDescent="0.2">
      <c r="A1007" s="269">
        <v>45909.51121527778</v>
      </c>
      <c r="B1007" t="s">
        <v>1431</v>
      </c>
      <c r="C1007" t="s">
        <v>58</v>
      </c>
      <c r="D1007" t="s">
        <v>1191</v>
      </c>
      <c r="E1007" t="s">
        <v>343</v>
      </c>
    </row>
    <row r="1008" spans="1:5" x14ac:dyDescent="0.2">
      <c r="A1008" s="269">
        <v>45909.511238425926</v>
      </c>
      <c r="B1008" t="s">
        <v>1431</v>
      </c>
      <c r="C1008" t="s">
        <v>58</v>
      </c>
      <c r="D1008" t="s">
        <v>1010</v>
      </c>
      <c r="E1008" t="s">
        <v>63</v>
      </c>
    </row>
    <row r="1009" spans="1:5" x14ac:dyDescent="0.2">
      <c r="A1009" s="269">
        <v>45909.511261574073</v>
      </c>
      <c r="B1009" t="s">
        <v>1431</v>
      </c>
      <c r="C1009" t="s">
        <v>58</v>
      </c>
      <c r="D1009" t="s">
        <v>1066</v>
      </c>
      <c r="E1009" t="s">
        <v>338</v>
      </c>
    </row>
    <row r="1010" spans="1:5" x14ac:dyDescent="0.2">
      <c r="A1010" s="269">
        <v>45909.511400462965</v>
      </c>
      <c r="B1010" t="s">
        <v>1431</v>
      </c>
      <c r="C1010" t="s">
        <v>58</v>
      </c>
      <c r="D1010" t="s">
        <v>926</v>
      </c>
      <c r="E1010">
        <v>0</v>
      </c>
    </row>
    <row r="1011" spans="1:5" x14ac:dyDescent="0.2">
      <c r="A1011" s="269">
        <v>45909.511435185188</v>
      </c>
      <c r="B1011" t="s">
        <v>1431</v>
      </c>
      <c r="C1011" t="s">
        <v>58</v>
      </c>
      <c r="D1011" t="s">
        <v>975</v>
      </c>
      <c r="E1011">
        <v>0</v>
      </c>
    </row>
    <row r="1012" spans="1:5" x14ac:dyDescent="0.2">
      <c r="A1012" s="269">
        <v>45909.511782407404</v>
      </c>
      <c r="B1012" t="s">
        <v>1431</v>
      </c>
      <c r="C1012" t="s">
        <v>58</v>
      </c>
      <c r="D1012" t="s">
        <v>972</v>
      </c>
      <c r="E1012" t="s">
        <v>1463</v>
      </c>
    </row>
    <row r="1013" spans="1:5" x14ac:dyDescent="0.2">
      <c r="A1013" s="269">
        <v>45909.511921296296</v>
      </c>
      <c r="B1013" t="s">
        <v>1431</v>
      </c>
      <c r="C1013" t="s">
        <v>58</v>
      </c>
      <c r="D1013" t="s">
        <v>972</v>
      </c>
      <c r="E1013" t="s">
        <v>1464</v>
      </c>
    </row>
    <row r="1014" spans="1:5" x14ac:dyDescent="0.2">
      <c r="A1014" s="269">
        <v>45909.512303240743</v>
      </c>
      <c r="B1014" t="s">
        <v>1431</v>
      </c>
      <c r="C1014" t="s">
        <v>58</v>
      </c>
      <c r="D1014" t="s">
        <v>972</v>
      </c>
      <c r="E1014" t="s">
        <v>1465</v>
      </c>
    </row>
    <row r="1015" spans="1:5" x14ac:dyDescent="0.2">
      <c r="A1015" s="269">
        <v>45909.512511574074</v>
      </c>
      <c r="B1015" t="s">
        <v>1431</v>
      </c>
      <c r="C1015" t="s">
        <v>58</v>
      </c>
      <c r="D1015" t="s">
        <v>795</v>
      </c>
      <c r="E1015" t="s">
        <v>365</v>
      </c>
    </row>
    <row r="1016" spans="1:5" x14ac:dyDescent="0.2">
      <c r="A1016" s="269">
        <v>45909.51253472222</v>
      </c>
      <c r="B1016" t="s">
        <v>1431</v>
      </c>
      <c r="C1016" t="s">
        <v>58</v>
      </c>
      <c r="D1016" t="s">
        <v>995</v>
      </c>
      <c r="E1016" t="s">
        <v>63</v>
      </c>
    </row>
    <row r="1017" spans="1:5" x14ac:dyDescent="0.2">
      <c r="A1017" s="269">
        <v>45909.512557870374</v>
      </c>
      <c r="B1017" t="s">
        <v>1431</v>
      </c>
      <c r="C1017" t="s">
        <v>58</v>
      </c>
      <c r="D1017" t="s">
        <v>994</v>
      </c>
      <c r="E1017" t="s">
        <v>89</v>
      </c>
    </row>
    <row r="1018" spans="1:5" x14ac:dyDescent="0.2">
      <c r="A1018" s="269">
        <v>45909.513043981482</v>
      </c>
      <c r="B1018" t="s">
        <v>1431</v>
      </c>
      <c r="C1018" t="s">
        <v>58</v>
      </c>
      <c r="D1018" t="s">
        <v>974</v>
      </c>
      <c r="E1018">
        <v>4</v>
      </c>
    </row>
    <row r="1019" spans="1:5" x14ac:dyDescent="0.2">
      <c r="A1019" s="269">
        <v>45909.513414351852</v>
      </c>
      <c r="B1019" t="s">
        <v>1431</v>
      </c>
      <c r="C1019" t="s">
        <v>58</v>
      </c>
      <c r="D1019" t="s">
        <v>874</v>
      </c>
      <c r="E1019">
        <v>45.234999999999999</v>
      </c>
    </row>
    <row r="1020" spans="1:5" x14ac:dyDescent="0.2">
      <c r="A1020" s="269">
        <v>45909.513506944444</v>
      </c>
      <c r="B1020" t="s">
        <v>1431</v>
      </c>
      <c r="C1020" t="s">
        <v>58</v>
      </c>
      <c r="D1020" t="s">
        <v>974</v>
      </c>
      <c r="E1020">
        <v>545</v>
      </c>
    </row>
    <row r="1021" spans="1:5" x14ac:dyDescent="0.2">
      <c r="A1021" s="269">
        <v>45909.51353009259</v>
      </c>
      <c r="B1021" t="s">
        <v>1431</v>
      </c>
      <c r="C1021" t="s">
        <v>58</v>
      </c>
      <c r="D1021" t="s">
        <v>1466</v>
      </c>
      <c r="E1021" t="s">
        <v>1461</v>
      </c>
    </row>
    <row r="1022" spans="1:5" x14ac:dyDescent="0.2">
      <c r="A1022" s="269">
        <v>45909.51358796296</v>
      </c>
      <c r="B1022" t="s">
        <v>1431</v>
      </c>
      <c r="C1022" t="s">
        <v>58</v>
      </c>
      <c r="D1022" t="s">
        <v>1013</v>
      </c>
      <c r="E1022" t="s">
        <v>381</v>
      </c>
    </row>
    <row r="1023" spans="1:5" x14ac:dyDescent="0.2">
      <c r="A1023" s="269">
        <v>45909.513622685183</v>
      </c>
      <c r="B1023" t="s">
        <v>1431</v>
      </c>
      <c r="C1023" t="s">
        <v>58</v>
      </c>
      <c r="D1023" t="s">
        <v>1014</v>
      </c>
      <c r="E1023" t="s">
        <v>63</v>
      </c>
    </row>
    <row r="1024" spans="1:5" x14ac:dyDescent="0.2">
      <c r="A1024" s="269">
        <v>45909.513645833336</v>
      </c>
      <c r="B1024" t="s">
        <v>1431</v>
      </c>
      <c r="C1024" t="s">
        <v>58</v>
      </c>
      <c r="D1024" t="s">
        <v>1015</v>
      </c>
      <c r="E1024" t="s">
        <v>89</v>
      </c>
    </row>
    <row r="1025" spans="1:5" x14ac:dyDescent="0.2">
      <c r="A1025" s="269">
        <v>45909.513703703706</v>
      </c>
      <c r="B1025" t="s">
        <v>1431</v>
      </c>
      <c r="C1025" t="s">
        <v>58</v>
      </c>
      <c r="D1025" t="s">
        <v>1016</v>
      </c>
      <c r="E1025" t="s">
        <v>1462</v>
      </c>
    </row>
    <row r="1026" spans="1:5" x14ac:dyDescent="0.2">
      <c r="A1026" s="269">
        <v>45909.513877314814</v>
      </c>
      <c r="B1026" t="s">
        <v>1431</v>
      </c>
      <c r="C1026" t="s">
        <v>58</v>
      </c>
      <c r="D1026" t="s">
        <v>1467</v>
      </c>
      <c r="E1026">
        <v>23.489000000000001</v>
      </c>
    </row>
    <row r="1027" spans="1:5" x14ac:dyDescent="0.2">
      <c r="A1027" s="269">
        <v>45909.513912037037</v>
      </c>
      <c r="B1027" t="s">
        <v>1431</v>
      </c>
      <c r="C1027" t="s">
        <v>58</v>
      </c>
      <c r="D1027" t="s">
        <v>1468</v>
      </c>
      <c r="E1027">
        <v>283</v>
      </c>
    </row>
    <row r="1028" spans="1:5" x14ac:dyDescent="0.2">
      <c r="A1028" s="269">
        <v>45909.513993055552</v>
      </c>
      <c r="B1028" t="s">
        <v>1431</v>
      </c>
      <c r="C1028" t="s">
        <v>58</v>
      </c>
      <c r="D1028" t="s">
        <v>747</v>
      </c>
      <c r="E1028" t="s">
        <v>343</v>
      </c>
    </row>
    <row r="1029" spans="1:5" x14ac:dyDescent="0.2">
      <c r="A1029" s="269">
        <v>45909.514016203706</v>
      </c>
      <c r="B1029" t="s">
        <v>1431</v>
      </c>
      <c r="C1029" t="s">
        <v>58</v>
      </c>
      <c r="D1029" t="s">
        <v>1017</v>
      </c>
      <c r="E1029" t="s">
        <v>63</v>
      </c>
    </row>
    <row r="1030" spans="1:5" x14ac:dyDescent="0.2">
      <c r="A1030" s="269">
        <v>45909.514039351852</v>
      </c>
      <c r="B1030" t="s">
        <v>1431</v>
      </c>
      <c r="C1030" t="s">
        <v>58</v>
      </c>
      <c r="D1030" t="s">
        <v>1018</v>
      </c>
      <c r="E1030" t="s">
        <v>89</v>
      </c>
    </row>
    <row r="1031" spans="1:5" x14ac:dyDescent="0.2">
      <c r="A1031" s="269">
        <v>45909.514317129629</v>
      </c>
      <c r="B1031" t="s">
        <v>1431</v>
      </c>
      <c r="C1031" t="s">
        <v>58</v>
      </c>
      <c r="D1031" t="s">
        <v>1469</v>
      </c>
      <c r="E1031">
        <v>35.359000000000002</v>
      </c>
    </row>
    <row r="1032" spans="1:5" x14ac:dyDescent="0.2">
      <c r="A1032" s="269">
        <v>45909.514467592591</v>
      </c>
      <c r="B1032" t="s">
        <v>1431</v>
      </c>
      <c r="C1032" t="s">
        <v>58</v>
      </c>
      <c r="D1032" t="s">
        <v>1470</v>
      </c>
      <c r="E1032">
        <v>25.5</v>
      </c>
    </row>
    <row r="1033" spans="1:5" x14ac:dyDescent="0.2">
      <c r="A1033" s="269">
        <v>45909.514513888891</v>
      </c>
      <c r="B1033" t="s">
        <v>1431</v>
      </c>
      <c r="C1033" t="s">
        <v>58</v>
      </c>
      <c r="D1033" t="s">
        <v>1471</v>
      </c>
      <c r="E1033" t="s">
        <v>1465</v>
      </c>
    </row>
    <row r="1034" spans="1:5" x14ac:dyDescent="0.2">
      <c r="A1034" s="269">
        <v>45909.550509259258</v>
      </c>
      <c r="B1034" t="s">
        <v>1431</v>
      </c>
      <c r="C1034" t="s">
        <v>58</v>
      </c>
      <c r="D1034" t="s">
        <v>1437</v>
      </c>
      <c r="E1034" t="s">
        <v>365</v>
      </c>
    </row>
    <row r="1035" spans="1:5" x14ac:dyDescent="0.2">
      <c r="A1035" s="269">
        <v>45909.550891203704</v>
      </c>
      <c r="B1035" t="s">
        <v>1431</v>
      </c>
      <c r="C1035" t="s">
        <v>58</v>
      </c>
      <c r="D1035" t="s">
        <v>1438</v>
      </c>
      <c r="E1035" t="s">
        <v>63</v>
      </c>
    </row>
    <row r="1036" spans="1:5" x14ac:dyDescent="0.2">
      <c r="A1036" s="269">
        <v>45909.550925925927</v>
      </c>
      <c r="B1036" t="s">
        <v>1431</v>
      </c>
      <c r="C1036" t="s">
        <v>58</v>
      </c>
      <c r="D1036" t="s">
        <v>1068</v>
      </c>
      <c r="E1036" t="s">
        <v>362</v>
      </c>
    </row>
    <row r="1037" spans="1:5" x14ac:dyDescent="0.2">
      <c r="A1037" s="269">
        <v>45909.55641203704</v>
      </c>
      <c r="B1037" t="s">
        <v>1431</v>
      </c>
      <c r="C1037" t="s">
        <v>58</v>
      </c>
      <c r="D1037" t="s">
        <v>1439</v>
      </c>
      <c r="E1037" t="s">
        <v>365</v>
      </c>
    </row>
    <row r="1038" spans="1:5" x14ac:dyDescent="0.2">
      <c r="A1038" s="269">
        <v>45909.556435185186</v>
      </c>
      <c r="B1038" t="s">
        <v>1431</v>
      </c>
      <c r="C1038" t="s">
        <v>58</v>
      </c>
      <c r="D1038" t="s">
        <v>1440</v>
      </c>
      <c r="E1038" t="s">
        <v>63</v>
      </c>
    </row>
    <row r="1039" spans="1:5" x14ac:dyDescent="0.2">
      <c r="A1039" s="269">
        <v>45909.556481481479</v>
      </c>
      <c r="B1039" t="s">
        <v>1431</v>
      </c>
      <c r="C1039" t="s">
        <v>58</v>
      </c>
      <c r="D1039" t="s">
        <v>1439</v>
      </c>
      <c r="E1039" t="s">
        <v>381</v>
      </c>
    </row>
    <row r="1040" spans="1:5" x14ac:dyDescent="0.2">
      <c r="A1040" s="269">
        <v>45909.556504629632</v>
      </c>
      <c r="B1040" t="s">
        <v>1431</v>
      </c>
      <c r="C1040" t="s">
        <v>58</v>
      </c>
      <c r="D1040" t="s">
        <v>1441</v>
      </c>
      <c r="E1040" t="s">
        <v>343</v>
      </c>
    </row>
    <row r="1041" spans="1:5" x14ac:dyDescent="0.2">
      <c r="A1041" s="269">
        <v>45909.556527777779</v>
      </c>
      <c r="B1041" t="s">
        <v>1431</v>
      </c>
      <c r="C1041" t="s">
        <v>58</v>
      </c>
      <c r="D1041" t="s">
        <v>1442</v>
      </c>
      <c r="E1041" t="s">
        <v>63</v>
      </c>
    </row>
    <row r="1042" spans="1:5" x14ac:dyDescent="0.2">
      <c r="A1042" s="269">
        <v>45909.556550925925</v>
      </c>
      <c r="B1042" t="s">
        <v>1431</v>
      </c>
      <c r="C1042" t="s">
        <v>58</v>
      </c>
      <c r="D1042" t="s">
        <v>1069</v>
      </c>
      <c r="E1042" t="s">
        <v>362</v>
      </c>
    </row>
    <row r="1043" spans="1:5" x14ac:dyDescent="0.2">
      <c r="A1043" s="269">
        <v>45909.556574074071</v>
      </c>
      <c r="B1043" t="s">
        <v>1431</v>
      </c>
      <c r="C1043" t="s">
        <v>58</v>
      </c>
      <c r="D1043" t="s">
        <v>1472</v>
      </c>
      <c r="E1043" t="s">
        <v>362</v>
      </c>
    </row>
    <row r="1044" spans="1:5" x14ac:dyDescent="0.2">
      <c r="A1044" s="269">
        <v>45909.556631944448</v>
      </c>
      <c r="B1044" t="s">
        <v>1431</v>
      </c>
      <c r="C1044" t="s">
        <v>58</v>
      </c>
      <c r="D1044" t="s">
        <v>1473</v>
      </c>
      <c r="E1044" t="s">
        <v>1461</v>
      </c>
    </row>
    <row r="1045" spans="1:5" x14ac:dyDescent="0.2">
      <c r="A1045" s="269">
        <v>45909.55667824074</v>
      </c>
      <c r="B1045" t="s">
        <v>1431</v>
      </c>
      <c r="C1045" t="s">
        <v>58</v>
      </c>
      <c r="D1045" t="s">
        <v>672</v>
      </c>
      <c r="E1045" t="s">
        <v>365</v>
      </c>
    </row>
    <row r="1046" spans="1:5" x14ac:dyDescent="0.2">
      <c r="A1046" s="269">
        <v>45909.556701388887</v>
      </c>
      <c r="B1046" t="s">
        <v>1431</v>
      </c>
      <c r="C1046" t="s">
        <v>58</v>
      </c>
      <c r="D1046" t="s">
        <v>674</v>
      </c>
      <c r="E1046" t="s">
        <v>381</v>
      </c>
    </row>
    <row r="1047" spans="1:5" x14ac:dyDescent="0.2">
      <c r="A1047" s="269">
        <v>45909.55673611111</v>
      </c>
      <c r="B1047" t="s">
        <v>1431</v>
      </c>
      <c r="C1047" t="s">
        <v>58</v>
      </c>
      <c r="D1047" t="s">
        <v>675</v>
      </c>
      <c r="E1047" t="s">
        <v>343</v>
      </c>
    </row>
    <row r="1048" spans="1:5" x14ac:dyDescent="0.2">
      <c r="A1048" s="269">
        <v>45909.556759259256</v>
      </c>
      <c r="B1048" t="s">
        <v>1431</v>
      </c>
      <c r="C1048" t="s">
        <v>58</v>
      </c>
      <c r="D1048" t="s">
        <v>1444</v>
      </c>
      <c r="E1048" t="s">
        <v>63</v>
      </c>
    </row>
    <row r="1049" spans="1:5" x14ac:dyDescent="0.2">
      <c r="A1049" s="269">
        <v>45909.556759259256</v>
      </c>
      <c r="B1049" t="s">
        <v>1431</v>
      </c>
      <c r="C1049" t="s">
        <v>58</v>
      </c>
      <c r="D1049" t="s">
        <v>1444</v>
      </c>
      <c r="E1049" t="s">
        <v>63</v>
      </c>
    </row>
    <row r="1050" spans="1:5" x14ac:dyDescent="0.2">
      <c r="A1050" s="269">
        <v>45909.556770833333</v>
      </c>
      <c r="B1050" t="s">
        <v>1431</v>
      </c>
      <c r="C1050" t="s">
        <v>58</v>
      </c>
      <c r="D1050" t="s">
        <v>1445</v>
      </c>
      <c r="E1050" t="s">
        <v>63</v>
      </c>
    </row>
    <row r="1051" spans="1:5" x14ac:dyDescent="0.2">
      <c r="A1051" s="269">
        <v>45909.55678240741</v>
      </c>
      <c r="B1051" t="s">
        <v>1431</v>
      </c>
      <c r="C1051" t="s">
        <v>58</v>
      </c>
      <c r="D1051" t="s">
        <v>1447</v>
      </c>
      <c r="E1051" t="s">
        <v>63</v>
      </c>
    </row>
    <row r="1052" spans="1:5" x14ac:dyDescent="0.2">
      <c r="A1052" s="269">
        <v>45909.556805555556</v>
      </c>
      <c r="B1052" t="s">
        <v>1431</v>
      </c>
      <c r="C1052" t="s">
        <v>58</v>
      </c>
      <c r="D1052" t="s">
        <v>1474</v>
      </c>
      <c r="E1052" t="s">
        <v>371</v>
      </c>
    </row>
    <row r="1053" spans="1:5" x14ac:dyDescent="0.2">
      <c r="A1053" s="269">
        <v>45909.556817129633</v>
      </c>
      <c r="B1053" t="s">
        <v>1431</v>
      </c>
      <c r="C1053" t="s">
        <v>58</v>
      </c>
      <c r="D1053" t="s">
        <v>1475</v>
      </c>
      <c r="E1053" t="s">
        <v>371</v>
      </c>
    </row>
    <row r="1054" spans="1:5" x14ac:dyDescent="0.2">
      <c r="A1054" s="269">
        <v>45909.556817129633</v>
      </c>
      <c r="B1054" t="s">
        <v>1431</v>
      </c>
      <c r="C1054" t="s">
        <v>58</v>
      </c>
      <c r="D1054" t="s">
        <v>1476</v>
      </c>
      <c r="E1054" t="s">
        <v>371</v>
      </c>
    </row>
    <row r="1055" spans="1:5" x14ac:dyDescent="0.2">
      <c r="A1055" s="269">
        <v>45909.556921296295</v>
      </c>
      <c r="B1055" t="s">
        <v>1431</v>
      </c>
      <c r="C1055" t="s">
        <v>58</v>
      </c>
      <c r="D1055" t="s">
        <v>1477</v>
      </c>
      <c r="E1055" t="s">
        <v>1461</v>
      </c>
    </row>
    <row r="1056" spans="1:5" x14ac:dyDescent="0.2">
      <c r="A1056" s="269">
        <v>45909.556956018518</v>
      </c>
      <c r="B1056" t="s">
        <v>1431</v>
      </c>
      <c r="C1056" t="s">
        <v>58</v>
      </c>
      <c r="D1056" t="s">
        <v>676</v>
      </c>
      <c r="E1056" t="s">
        <v>365</v>
      </c>
    </row>
    <row r="1057" spans="1:5" x14ac:dyDescent="0.2">
      <c r="A1057" s="269">
        <v>45909.556990740741</v>
      </c>
      <c r="B1057" t="s">
        <v>1431</v>
      </c>
      <c r="C1057" t="s">
        <v>58</v>
      </c>
      <c r="D1057" t="s">
        <v>677</v>
      </c>
      <c r="E1057" t="s">
        <v>381</v>
      </c>
    </row>
    <row r="1058" spans="1:5" x14ac:dyDescent="0.2">
      <c r="A1058" s="269">
        <v>45909.557372685187</v>
      </c>
      <c r="B1058" t="s">
        <v>1431</v>
      </c>
      <c r="C1058" t="s">
        <v>58</v>
      </c>
      <c r="D1058" t="s">
        <v>678</v>
      </c>
      <c r="E1058" t="s">
        <v>343</v>
      </c>
    </row>
    <row r="1059" spans="1:5" x14ac:dyDescent="0.2">
      <c r="A1059" s="269">
        <v>45909.557395833333</v>
      </c>
      <c r="B1059" t="s">
        <v>1431</v>
      </c>
      <c r="C1059" t="s">
        <v>58</v>
      </c>
      <c r="D1059" t="s">
        <v>1478</v>
      </c>
      <c r="E1059" t="s">
        <v>63</v>
      </c>
    </row>
    <row r="1060" spans="1:5" x14ac:dyDescent="0.2">
      <c r="A1060" s="269">
        <v>45909.55740740741</v>
      </c>
      <c r="B1060" t="s">
        <v>1431</v>
      </c>
      <c r="C1060" t="s">
        <v>58</v>
      </c>
      <c r="D1060" t="s">
        <v>1449</v>
      </c>
      <c r="E1060" t="s">
        <v>63</v>
      </c>
    </row>
    <row r="1061" spans="1:5" x14ac:dyDescent="0.2">
      <c r="A1061" s="269">
        <v>45909.55741898148</v>
      </c>
      <c r="B1061" t="s">
        <v>1431</v>
      </c>
      <c r="C1061" t="s">
        <v>58</v>
      </c>
      <c r="D1061" t="s">
        <v>1479</v>
      </c>
      <c r="E1061" t="s">
        <v>63</v>
      </c>
    </row>
    <row r="1062" spans="1:5" x14ac:dyDescent="0.2">
      <c r="A1062" s="269">
        <v>45909.557442129626</v>
      </c>
      <c r="B1062" t="s">
        <v>1431</v>
      </c>
      <c r="C1062" t="s">
        <v>58</v>
      </c>
      <c r="D1062" t="s">
        <v>1480</v>
      </c>
      <c r="E1062" t="s">
        <v>379</v>
      </c>
    </row>
    <row r="1063" spans="1:5" x14ac:dyDescent="0.2">
      <c r="A1063" s="269">
        <v>45909.557453703703</v>
      </c>
      <c r="B1063" t="s">
        <v>1431</v>
      </c>
      <c r="C1063" t="s">
        <v>58</v>
      </c>
      <c r="D1063" t="s">
        <v>1481</v>
      </c>
      <c r="E1063" t="s">
        <v>379</v>
      </c>
    </row>
    <row r="1064" spans="1:5" x14ac:dyDescent="0.2">
      <c r="A1064" s="269">
        <v>45909.557453703703</v>
      </c>
      <c r="B1064" t="s">
        <v>1431</v>
      </c>
      <c r="C1064" t="s">
        <v>58</v>
      </c>
      <c r="D1064" t="s">
        <v>1482</v>
      </c>
      <c r="E1064" t="s">
        <v>379</v>
      </c>
    </row>
    <row r="1065" spans="1:5" x14ac:dyDescent="0.2">
      <c r="A1065" s="269">
        <v>45909.560150462959</v>
      </c>
      <c r="B1065" t="s">
        <v>1431</v>
      </c>
      <c r="C1065" t="s">
        <v>58</v>
      </c>
      <c r="D1065" t="s">
        <v>1483</v>
      </c>
      <c r="E1065">
        <v>43.741</v>
      </c>
    </row>
    <row r="1066" spans="1:5" x14ac:dyDescent="0.2">
      <c r="A1066" s="269">
        <v>45909.560347222221</v>
      </c>
      <c r="B1066" t="s">
        <v>1431</v>
      </c>
      <c r="C1066" t="s">
        <v>58</v>
      </c>
      <c r="D1066" t="s">
        <v>668</v>
      </c>
      <c r="E1066">
        <v>527</v>
      </c>
    </row>
    <row r="1067" spans="1:5" x14ac:dyDescent="0.2">
      <c r="A1067" s="269">
        <v>45909.56040509259</v>
      </c>
      <c r="B1067" t="s">
        <v>1431</v>
      </c>
      <c r="C1067" t="s">
        <v>58</v>
      </c>
      <c r="D1067" t="s">
        <v>1484</v>
      </c>
      <c r="E1067">
        <v>231</v>
      </c>
    </row>
    <row r="1068" spans="1:5" x14ac:dyDescent="0.2">
      <c r="A1068" s="269">
        <v>45909.56046296296</v>
      </c>
      <c r="B1068" t="s">
        <v>1431</v>
      </c>
      <c r="C1068" t="s">
        <v>58</v>
      </c>
      <c r="D1068" t="s">
        <v>1485</v>
      </c>
      <c r="E1068">
        <v>19.172999999999998</v>
      </c>
    </row>
    <row r="1069" spans="1:5" x14ac:dyDescent="0.2">
      <c r="A1069" s="269">
        <v>45909.560624999998</v>
      </c>
      <c r="B1069" t="s">
        <v>1431</v>
      </c>
      <c r="C1069" t="s">
        <v>58</v>
      </c>
      <c r="D1069" t="s">
        <v>1486</v>
      </c>
      <c r="E1069">
        <v>20</v>
      </c>
    </row>
    <row r="1070" spans="1:5" x14ac:dyDescent="0.2">
      <c r="A1070" s="269">
        <v>45909.56082175926</v>
      </c>
      <c r="B1070" t="s">
        <v>1431</v>
      </c>
      <c r="C1070" t="s">
        <v>58</v>
      </c>
      <c r="D1070" t="s">
        <v>1487</v>
      </c>
      <c r="E1070">
        <v>24.65</v>
      </c>
    </row>
    <row r="1071" spans="1:5" x14ac:dyDescent="0.2">
      <c r="A1071" s="269">
        <v>45909.619143518517</v>
      </c>
      <c r="B1071" t="s">
        <v>1431</v>
      </c>
      <c r="C1071" t="s">
        <v>58</v>
      </c>
      <c r="D1071" t="s">
        <v>1488</v>
      </c>
      <c r="E1071" t="s">
        <v>365</v>
      </c>
    </row>
    <row r="1072" spans="1:5" x14ac:dyDescent="0.2">
      <c r="A1072" s="269">
        <v>45909.619155092594</v>
      </c>
      <c r="B1072" t="s">
        <v>1431</v>
      </c>
      <c r="C1072" t="s">
        <v>58</v>
      </c>
      <c r="D1072" t="s">
        <v>1489</v>
      </c>
      <c r="E1072" t="s">
        <v>365</v>
      </c>
    </row>
    <row r="1073" spans="1:5" x14ac:dyDescent="0.2">
      <c r="A1073" s="269">
        <v>45909.619166666664</v>
      </c>
      <c r="B1073" t="s">
        <v>1431</v>
      </c>
      <c r="C1073" t="s">
        <v>58</v>
      </c>
      <c r="D1073" t="s">
        <v>1490</v>
      </c>
      <c r="E1073" t="s">
        <v>365</v>
      </c>
    </row>
    <row r="1074" spans="1:5" x14ac:dyDescent="0.2">
      <c r="A1074" s="269">
        <v>45909.61917824074</v>
      </c>
      <c r="B1074" t="s">
        <v>1431</v>
      </c>
      <c r="C1074" t="s">
        <v>58</v>
      </c>
      <c r="D1074" t="s">
        <v>1491</v>
      </c>
      <c r="E1074" t="s">
        <v>365</v>
      </c>
    </row>
    <row r="1075" spans="1:5" x14ac:dyDescent="0.2">
      <c r="A1075" s="269">
        <v>45909.619189814817</v>
      </c>
      <c r="B1075" t="s">
        <v>1431</v>
      </c>
      <c r="C1075" t="s">
        <v>58</v>
      </c>
      <c r="D1075" t="s">
        <v>1492</v>
      </c>
      <c r="E1075" t="s">
        <v>365</v>
      </c>
    </row>
    <row r="1076" spans="1:5" x14ac:dyDescent="0.2">
      <c r="A1076" s="269">
        <v>45909.619201388887</v>
      </c>
      <c r="B1076" t="s">
        <v>1431</v>
      </c>
      <c r="C1076" t="s">
        <v>58</v>
      </c>
      <c r="D1076" t="s">
        <v>1493</v>
      </c>
      <c r="E1076" t="s">
        <v>365</v>
      </c>
    </row>
    <row r="1077" spans="1:5" x14ac:dyDescent="0.2">
      <c r="A1077" s="269">
        <v>45909.619247685187</v>
      </c>
      <c r="B1077" t="s">
        <v>1431</v>
      </c>
      <c r="C1077" t="s">
        <v>58</v>
      </c>
      <c r="D1077" t="s">
        <v>1494</v>
      </c>
      <c r="E1077" t="s">
        <v>386</v>
      </c>
    </row>
    <row r="1078" spans="1:5" x14ac:dyDescent="0.2">
      <c r="A1078" s="269">
        <v>45909.61928240741</v>
      </c>
      <c r="B1078" t="s">
        <v>1431</v>
      </c>
      <c r="C1078" t="s">
        <v>58</v>
      </c>
      <c r="D1078" t="s">
        <v>1495</v>
      </c>
      <c r="E1078" t="s">
        <v>386</v>
      </c>
    </row>
    <row r="1079" spans="1:5" x14ac:dyDescent="0.2">
      <c r="A1079" s="269">
        <v>45909.61928240741</v>
      </c>
      <c r="B1079" t="s">
        <v>1431</v>
      </c>
      <c r="C1079" t="s">
        <v>58</v>
      </c>
      <c r="D1079" t="s">
        <v>1496</v>
      </c>
      <c r="E1079" t="s">
        <v>386</v>
      </c>
    </row>
    <row r="1080" spans="1:5" x14ac:dyDescent="0.2">
      <c r="A1080" s="269">
        <v>45909.619317129633</v>
      </c>
      <c r="B1080" t="s">
        <v>1431</v>
      </c>
      <c r="C1080" t="s">
        <v>58</v>
      </c>
      <c r="D1080" t="s">
        <v>1497</v>
      </c>
      <c r="E1080" t="s">
        <v>390</v>
      </c>
    </row>
    <row r="1081" spans="1:5" x14ac:dyDescent="0.2">
      <c r="A1081" s="269">
        <v>45909.619340277779</v>
      </c>
      <c r="B1081" t="s">
        <v>1431</v>
      </c>
      <c r="C1081" t="s">
        <v>58</v>
      </c>
      <c r="D1081" t="s">
        <v>1498</v>
      </c>
      <c r="E1081" t="s">
        <v>390</v>
      </c>
    </row>
    <row r="1082" spans="1:5" x14ac:dyDescent="0.2">
      <c r="A1082" s="269">
        <v>45909.619351851848</v>
      </c>
      <c r="B1082" t="s">
        <v>1431</v>
      </c>
      <c r="C1082" t="s">
        <v>58</v>
      </c>
      <c r="D1082" t="s">
        <v>1499</v>
      </c>
      <c r="E1082" t="s">
        <v>390</v>
      </c>
    </row>
    <row r="1083" spans="1:5" x14ac:dyDescent="0.2">
      <c r="A1083" s="269">
        <v>45909.619375000002</v>
      </c>
      <c r="B1083" t="s">
        <v>1431</v>
      </c>
      <c r="C1083" t="s">
        <v>58</v>
      </c>
      <c r="D1083" t="s">
        <v>1500</v>
      </c>
      <c r="E1083" t="s">
        <v>41</v>
      </c>
    </row>
    <row r="1084" spans="1:5" x14ac:dyDescent="0.2">
      <c r="A1084" s="269">
        <v>45909.619398148148</v>
      </c>
      <c r="B1084" t="s">
        <v>1431</v>
      </c>
      <c r="C1084" t="s">
        <v>58</v>
      </c>
      <c r="D1084" t="s">
        <v>1501</v>
      </c>
      <c r="E1084" t="s">
        <v>41</v>
      </c>
    </row>
    <row r="1085" spans="1:5" x14ac:dyDescent="0.2">
      <c r="A1085" s="269">
        <v>45909.619398148148</v>
      </c>
      <c r="B1085" t="s">
        <v>1431</v>
      </c>
      <c r="C1085" t="s">
        <v>58</v>
      </c>
      <c r="D1085" t="s">
        <v>1502</v>
      </c>
      <c r="E1085" t="s">
        <v>41</v>
      </c>
    </row>
    <row r="1086" spans="1:5" x14ac:dyDescent="0.2">
      <c r="A1086" s="269">
        <v>45909.619421296295</v>
      </c>
      <c r="B1086" t="s">
        <v>1431</v>
      </c>
      <c r="C1086" t="s">
        <v>58</v>
      </c>
      <c r="D1086" t="s">
        <v>1503</v>
      </c>
      <c r="E1086" t="s">
        <v>397</v>
      </c>
    </row>
    <row r="1087" spans="1:5" x14ac:dyDescent="0.2">
      <c r="A1087" s="269">
        <v>45909.619432870371</v>
      </c>
      <c r="B1087" t="s">
        <v>1431</v>
      </c>
      <c r="C1087" t="s">
        <v>58</v>
      </c>
      <c r="D1087" t="s">
        <v>1504</v>
      </c>
      <c r="E1087" t="s">
        <v>397</v>
      </c>
    </row>
    <row r="1088" spans="1:5" x14ac:dyDescent="0.2">
      <c r="A1088" s="269">
        <v>45909.619432870371</v>
      </c>
      <c r="B1088" t="s">
        <v>1431</v>
      </c>
      <c r="C1088" t="s">
        <v>58</v>
      </c>
      <c r="D1088" t="s">
        <v>1505</v>
      </c>
      <c r="E1088" t="s">
        <v>397</v>
      </c>
    </row>
    <row r="1089" spans="1:5" x14ac:dyDescent="0.2">
      <c r="A1089" s="269">
        <v>45909.619467592594</v>
      </c>
      <c r="B1089" t="s">
        <v>1431</v>
      </c>
      <c r="C1089" t="s">
        <v>58</v>
      </c>
      <c r="D1089" t="s">
        <v>1506</v>
      </c>
      <c r="E1089" t="s">
        <v>400</v>
      </c>
    </row>
    <row r="1090" spans="1:5" x14ac:dyDescent="0.2">
      <c r="A1090" s="269">
        <v>45909.619479166664</v>
      </c>
      <c r="B1090" t="s">
        <v>1431</v>
      </c>
      <c r="C1090" t="s">
        <v>58</v>
      </c>
      <c r="D1090" t="s">
        <v>1507</v>
      </c>
      <c r="E1090" t="s">
        <v>400</v>
      </c>
    </row>
    <row r="1091" spans="1:5" x14ac:dyDescent="0.2">
      <c r="A1091" s="269">
        <v>45909.619490740741</v>
      </c>
      <c r="B1091" t="s">
        <v>1431</v>
      </c>
      <c r="C1091" t="s">
        <v>58</v>
      </c>
      <c r="D1091" t="s">
        <v>1508</v>
      </c>
      <c r="E1091" t="s">
        <v>400</v>
      </c>
    </row>
    <row r="1092" spans="1:5" x14ac:dyDescent="0.2">
      <c r="A1092" s="269">
        <v>45909.619513888887</v>
      </c>
      <c r="B1092" t="s">
        <v>1431</v>
      </c>
      <c r="C1092" t="s">
        <v>58</v>
      </c>
      <c r="D1092" t="s">
        <v>1509</v>
      </c>
      <c r="E1092" t="s">
        <v>404</v>
      </c>
    </row>
    <row r="1093" spans="1:5" x14ac:dyDescent="0.2">
      <c r="A1093" s="269">
        <v>45909.619525462964</v>
      </c>
      <c r="B1093" t="s">
        <v>1431</v>
      </c>
      <c r="C1093" t="s">
        <v>58</v>
      </c>
      <c r="D1093" t="s">
        <v>1510</v>
      </c>
      <c r="E1093" t="s">
        <v>404</v>
      </c>
    </row>
    <row r="1094" spans="1:5" x14ac:dyDescent="0.2">
      <c r="A1094" s="269">
        <v>45909.619525462964</v>
      </c>
      <c r="B1094" t="s">
        <v>1431</v>
      </c>
      <c r="C1094" t="s">
        <v>58</v>
      </c>
      <c r="D1094" t="s">
        <v>1511</v>
      </c>
      <c r="E1094" t="s">
        <v>404</v>
      </c>
    </row>
    <row r="1095" spans="1:5" x14ac:dyDescent="0.2">
      <c r="A1095" s="269">
        <v>45909.619826388887</v>
      </c>
      <c r="B1095" t="s">
        <v>1431</v>
      </c>
      <c r="C1095" t="s">
        <v>58</v>
      </c>
      <c r="D1095" t="s">
        <v>1512</v>
      </c>
      <c r="E1095">
        <v>50.63</v>
      </c>
    </row>
    <row r="1096" spans="1:5" x14ac:dyDescent="0.2">
      <c r="A1096" s="269">
        <v>45909.619953703703</v>
      </c>
      <c r="B1096" t="s">
        <v>1431</v>
      </c>
      <c r="C1096" t="s">
        <v>58</v>
      </c>
      <c r="D1096" t="s">
        <v>1513</v>
      </c>
      <c r="E1096">
        <v>610</v>
      </c>
    </row>
    <row r="1097" spans="1:5" x14ac:dyDescent="0.2">
      <c r="A1097" s="269">
        <v>45909.620011574072</v>
      </c>
      <c r="B1097" t="s">
        <v>1431</v>
      </c>
      <c r="C1097" t="s">
        <v>58</v>
      </c>
      <c r="D1097" t="s">
        <v>1514</v>
      </c>
      <c r="E1097">
        <v>908</v>
      </c>
    </row>
    <row r="1098" spans="1:5" x14ac:dyDescent="0.2">
      <c r="A1098" s="269">
        <v>45909.620057870372</v>
      </c>
      <c r="B1098" t="s">
        <v>1431</v>
      </c>
      <c r="C1098" t="s">
        <v>58</v>
      </c>
      <c r="D1098" t="s">
        <v>1515</v>
      </c>
      <c r="E1098">
        <v>75</v>
      </c>
    </row>
    <row r="1099" spans="1:5" x14ac:dyDescent="0.2">
      <c r="A1099" s="269">
        <v>45909.620127314818</v>
      </c>
      <c r="B1099" t="s">
        <v>1431</v>
      </c>
      <c r="C1099" t="s">
        <v>58</v>
      </c>
      <c r="D1099" t="s">
        <v>1515</v>
      </c>
      <c r="E1099">
        <v>75.364000000000004</v>
      </c>
    </row>
    <row r="1100" spans="1:5" x14ac:dyDescent="0.2">
      <c r="A1100" s="269">
        <v>45909.620439814818</v>
      </c>
      <c r="B1100" t="s">
        <v>1431</v>
      </c>
      <c r="C1100" t="s">
        <v>58</v>
      </c>
      <c r="D1100" t="s">
        <v>1516</v>
      </c>
      <c r="E1100">
        <v>31.962</v>
      </c>
    </row>
    <row r="1101" spans="1:5" x14ac:dyDescent="0.2">
      <c r="A1101" s="269">
        <v>45909.620578703703</v>
      </c>
      <c r="B1101" t="s">
        <v>1431</v>
      </c>
      <c r="C1101" t="s">
        <v>58</v>
      </c>
      <c r="D1101" t="s">
        <v>1517</v>
      </c>
      <c r="E1101">
        <v>24</v>
      </c>
    </row>
    <row r="1102" spans="1:5" x14ac:dyDescent="0.2">
      <c r="A1102" s="269">
        <v>45909.620694444442</v>
      </c>
      <c r="B1102" t="s">
        <v>1431</v>
      </c>
      <c r="C1102" t="s">
        <v>58</v>
      </c>
      <c r="D1102" t="s">
        <v>1518</v>
      </c>
      <c r="E1102" t="s">
        <v>365</v>
      </c>
    </row>
    <row r="1103" spans="1:5" x14ac:dyDescent="0.2">
      <c r="A1103" s="269">
        <v>45909.620717592596</v>
      </c>
      <c r="B1103" t="s">
        <v>1431</v>
      </c>
      <c r="C1103" t="s">
        <v>58</v>
      </c>
      <c r="D1103" t="s">
        <v>1519</v>
      </c>
      <c r="E1103" t="s">
        <v>407</v>
      </c>
    </row>
    <row r="1104" spans="1:5" x14ac:dyDescent="0.2">
      <c r="A1104" s="269">
        <v>45909.620729166665</v>
      </c>
      <c r="B1104" t="s">
        <v>1431</v>
      </c>
      <c r="C1104" t="s">
        <v>58</v>
      </c>
      <c r="D1104" t="s">
        <v>1520</v>
      </c>
      <c r="E1104" t="s">
        <v>407</v>
      </c>
    </row>
    <row r="1105" spans="1:5" x14ac:dyDescent="0.2">
      <c r="A1105" s="269">
        <v>45909.620729166665</v>
      </c>
      <c r="B1105" t="s">
        <v>1431</v>
      </c>
      <c r="C1105" t="s">
        <v>58</v>
      </c>
      <c r="D1105" t="s">
        <v>1521</v>
      </c>
      <c r="E1105" t="s">
        <v>407</v>
      </c>
    </row>
    <row r="1106" spans="1:5" x14ac:dyDescent="0.2">
      <c r="A1106" s="269">
        <v>45909.621701388889</v>
      </c>
      <c r="B1106" t="s">
        <v>1431</v>
      </c>
      <c r="C1106" t="s">
        <v>15</v>
      </c>
      <c r="D1106" t="s">
        <v>1191</v>
      </c>
      <c r="E1106" t="s">
        <v>1522</v>
      </c>
    </row>
    <row r="1107" spans="1:5" x14ac:dyDescent="0.2">
      <c r="A1107" s="269">
        <v>45909.621759259258</v>
      </c>
      <c r="B1107" t="s">
        <v>1431</v>
      </c>
      <c r="C1107" t="s">
        <v>15</v>
      </c>
      <c r="D1107" t="s">
        <v>1191</v>
      </c>
      <c r="E1107" t="s">
        <v>1523</v>
      </c>
    </row>
    <row r="1108" spans="1:5" x14ac:dyDescent="0.2">
      <c r="A1108" s="269">
        <v>45909.621840277781</v>
      </c>
      <c r="B1108" t="s">
        <v>1431</v>
      </c>
      <c r="C1108" t="s">
        <v>15</v>
      </c>
      <c r="D1108" t="s">
        <v>1010</v>
      </c>
      <c r="E1108" t="s">
        <v>194</v>
      </c>
    </row>
    <row r="1109" spans="1:5" x14ac:dyDescent="0.2">
      <c r="A1109" s="269">
        <v>45909.621863425928</v>
      </c>
      <c r="B1109" t="s">
        <v>1431</v>
      </c>
      <c r="C1109" t="s">
        <v>15</v>
      </c>
      <c r="D1109" t="s">
        <v>1066</v>
      </c>
      <c r="E1109">
        <v>1</v>
      </c>
    </row>
    <row r="1110" spans="1:5" x14ac:dyDescent="0.2">
      <c r="A1110" s="269">
        <v>45909.621944444443</v>
      </c>
      <c r="B1110" t="s">
        <v>1431</v>
      </c>
      <c r="C1110" t="s">
        <v>15</v>
      </c>
      <c r="D1110" t="s">
        <v>973</v>
      </c>
      <c r="E1110" t="s">
        <v>364</v>
      </c>
    </row>
    <row r="1111" spans="1:5" x14ac:dyDescent="0.2">
      <c r="A1111" s="269">
        <v>45909.622025462966</v>
      </c>
      <c r="B1111" t="s">
        <v>1431</v>
      </c>
      <c r="C1111" t="s">
        <v>15</v>
      </c>
      <c r="D1111" t="s">
        <v>926</v>
      </c>
      <c r="E1111" t="s">
        <v>352</v>
      </c>
    </row>
    <row r="1112" spans="1:5" x14ac:dyDescent="0.2">
      <c r="A1112" s="269">
        <v>45909.623726851853</v>
      </c>
      <c r="B1112" t="s">
        <v>1431</v>
      </c>
      <c r="C1112" t="s">
        <v>15</v>
      </c>
      <c r="D1112" t="s">
        <v>975</v>
      </c>
      <c r="E1112">
        <v>41</v>
      </c>
    </row>
    <row r="1113" spans="1:5" x14ac:dyDescent="0.2">
      <c r="A1113" s="269">
        <v>45909.624328703707</v>
      </c>
      <c r="B1113" t="s">
        <v>1431</v>
      </c>
      <c r="C1113" t="s">
        <v>15</v>
      </c>
      <c r="D1113" t="s">
        <v>975</v>
      </c>
    </row>
    <row r="1114" spans="1:5" x14ac:dyDescent="0.2">
      <c r="A1114" s="269">
        <v>45909.625300925924</v>
      </c>
      <c r="B1114" t="s">
        <v>1431</v>
      </c>
      <c r="C1114" t="s">
        <v>15</v>
      </c>
      <c r="D1114" t="s">
        <v>795</v>
      </c>
      <c r="E1114" t="s">
        <v>1524</v>
      </c>
    </row>
    <row r="1115" spans="1:5" x14ac:dyDescent="0.2">
      <c r="A1115" s="269">
        <v>45909.625347222223</v>
      </c>
      <c r="B1115" t="s">
        <v>1431</v>
      </c>
      <c r="C1115" t="s">
        <v>15</v>
      </c>
      <c r="D1115" t="s">
        <v>995</v>
      </c>
      <c r="E1115" t="s">
        <v>197</v>
      </c>
    </row>
    <row r="1116" spans="1:5" x14ac:dyDescent="0.2">
      <c r="A1116" s="269">
        <v>45909.625358796293</v>
      </c>
      <c r="B1116" t="s">
        <v>1431</v>
      </c>
      <c r="C1116" t="s">
        <v>15</v>
      </c>
      <c r="D1116" t="s">
        <v>994</v>
      </c>
      <c r="E1116">
        <v>16</v>
      </c>
    </row>
    <row r="1117" spans="1:5" x14ac:dyDescent="0.2">
      <c r="A1117" s="269">
        <v>45909.625416666669</v>
      </c>
      <c r="B1117" t="s">
        <v>1431</v>
      </c>
      <c r="C1117" t="s">
        <v>15</v>
      </c>
      <c r="D1117" t="s">
        <v>976</v>
      </c>
      <c r="E1117" t="s">
        <v>380</v>
      </c>
    </row>
    <row r="1118" spans="1:5" x14ac:dyDescent="0.2">
      <c r="A1118" s="269">
        <v>45909.625439814816</v>
      </c>
      <c r="B1118" t="s">
        <v>1431</v>
      </c>
      <c r="C1118" t="s">
        <v>15</v>
      </c>
      <c r="D1118" t="s">
        <v>874</v>
      </c>
      <c r="E1118" t="s">
        <v>352</v>
      </c>
    </row>
    <row r="1119" spans="1:5" x14ac:dyDescent="0.2">
      <c r="A1119" s="269">
        <v>45909.62641203704</v>
      </c>
      <c r="B1119" t="s">
        <v>1431</v>
      </c>
      <c r="C1119" t="s">
        <v>15</v>
      </c>
      <c r="D1119" t="s">
        <v>1526</v>
      </c>
      <c r="E1119" t="s">
        <v>1525</v>
      </c>
    </row>
    <row r="1120" spans="1:5" x14ac:dyDescent="0.2">
      <c r="A1120" s="269">
        <v>45909.626851851855</v>
      </c>
      <c r="B1120" t="s">
        <v>1431</v>
      </c>
      <c r="C1120" t="s">
        <v>15</v>
      </c>
      <c r="D1120" t="s">
        <v>1013</v>
      </c>
      <c r="E1120" t="s">
        <v>1527</v>
      </c>
    </row>
    <row r="1121" spans="1:5" x14ac:dyDescent="0.2">
      <c r="A1121" s="269">
        <v>45909.626909722225</v>
      </c>
      <c r="B1121" t="s">
        <v>1431</v>
      </c>
      <c r="C1121" t="s">
        <v>15</v>
      </c>
      <c r="D1121" t="s">
        <v>1014</v>
      </c>
      <c r="E1121" t="s">
        <v>200</v>
      </c>
    </row>
    <row r="1122" spans="1:5" x14ac:dyDescent="0.2">
      <c r="A1122" s="269">
        <v>45909.627638888887</v>
      </c>
      <c r="B1122" t="s">
        <v>1431</v>
      </c>
      <c r="C1122" t="s">
        <v>15</v>
      </c>
      <c r="D1122" t="s">
        <v>1015</v>
      </c>
      <c r="E1122">
        <v>2</v>
      </c>
    </row>
    <row r="1123" spans="1:5" x14ac:dyDescent="0.2">
      <c r="A1123" s="269">
        <v>45909.628032407411</v>
      </c>
      <c r="B1123" t="s">
        <v>1431</v>
      </c>
      <c r="C1123" t="s">
        <v>15</v>
      </c>
      <c r="D1123" t="s">
        <v>977</v>
      </c>
      <c r="E1123" t="s">
        <v>380</v>
      </c>
    </row>
    <row r="1124" spans="1:5" x14ac:dyDescent="0.2">
      <c r="A1124" s="269">
        <v>45909.628125000003</v>
      </c>
      <c r="B1124" t="s">
        <v>1431</v>
      </c>
      <c r="C1124" t="s">
        <v>15</v>
      </c>
      <c r="D1124" t="s">
        <v>1467</v>
      </c>
      <c r="E1124" t="s">
        <v>352</v>
      </c>
    </row>
    <row r="1125" spans="1:5" x14ac:dyDescent="0.2">
      <c r="A1125" s="269">
        <v>45909.628298611111</v>
      </c>
      <c r="B1125" t="s">
        <v>1431</v>
      </c>
      <c r="C1125" t="s">
        <v>15</v>
      </c>
      <c r="D1125" t="s">
        <v>747</v>
      </c>
      <c r="E1125" t="s">
        <v>1523</v>
      </c>
    </row>
    <row r="1126" spans="1:5" x14ac:dyDescent="0.2">
      <c r="A1126" s="269">
        <v>45909.62840277778</v>
      </c>
      <c r="B1126" t="s">
        <v>1431</v>
      </c>
      <c r="C1126" t="s">
        <v>15</v>
      </c>
      <c r="D1126" t="s">
        <v>982</v>
      </c>
      <c r="E1126" t="s">
        <v>1528</v>
      </c>
    </row>
    <row r="1127" spans="1:5" x14ac:dyDescent="0.2">
      <c r="A1127" s="269">
        <v>45909.628657407404</v>
      </c>
      <c r="B1127" t="s">
        <v>1431</v>
      </c>
      <c r="C1127" t="s">
        <v>15</v>
      </c>
      <c r="D1127" t="s">
        <v>1017</v>
      </c>
      <c r="E1127" t="s">
        <v>200</v>
      </c>
    </row>
    <row r="1128" spans="1:5" x14ac:dyDescent="0.2">
      <c r="A1128" s="269">
        <v>45909.628680555557</v>
      </c>
      <c r="B1128" t="s">
        <v>1431</v>
      </c>
      <c r="C1128" t="s">
        <v>15</v>
      </c>
      <c r="D1128" t="s">
        <v>1018</v>
      </c>
      <c r="E1128">
        <v>2</v>
      </c>
    </row>
    <row r="1129" spans="1:5" x14ac:dyDescent="0.2">
      <c r="A1129" s="269">
        <v>45909.62872685185</v>
      </c>
      <c r="B1129" t="s">
        <v>1431</v>
      </c>
      <c r="C1129" t="s">
        <v>15</v>
      </c>
      <c r="D1129" t="s">
        <v>923</v>
      </c>
      <c r="E1129" t="s">
        <v>363</v>
      </c>
    </row>
    <row r="1130" spans="1:5" x14ac:dyDescent="0.2">
      <c r="A1130" s="269">
        <v>45909.628784722219</v>
      </c>
      <c r="B1130" t="s">
        <v>1431</v>
      </c>
      <c r="C1130" t="s">
        <v>15</v>
      </c>
      <c r="D1130" t="s">
        <v>976</v>
      </c>
      <c r="E1130" t="s">
        <v>364</v>
      </c>
    </row>
    <row r="1131" spans="1:5" x14ac:dyDescent="0.2">
      <c r="A1131" s="269">
        <v>45909.628842592596</v>
      </c>
      <c r="B1131" t="s">
        <v>1431</v>
      </c>
      <c r="C1131" t="s">
        <v>15</v>
      </c>
      <c r="D1131" t="s">
        <v>976</v>
      </c>
      <c r="E1131" t="s">
        <v>380</v>
      </c>
    </row>
    <row r="1132" spans="1:5" x14ac:dyDescent="0.2">
      <c r="A1132" s="269">
        <v>45909.628912037035</v>
      </c>
      <c r="B1132" t="s">
        <v>1431</v>
      </c>
      <c r="C1132" t="s">
        <v>15</v>
      </c>
      <c r="D1132" t="s">
        <v>1469</v>
      </c>
      <c r="E1132" t="s">
        <v>352</v>
      </c>
    </row>
    <row r="1133" spans="1:5" x14ac:dyDescent="0.2">
      <c r="A1133" s="269">
        <v>45909.62903935185</v>
      </c>
      <c r="B1133" t="s">
        <v>1431</v>
      </c>
      <c r="C1133" t="s">
        <v>15</v>
      </c>
      <c r="D1133" t="s">
        <v>1530</v>
      </c>
      <c r="E1133" t="s">
        <v>1529</v>
      </c>
    </row>
    <row r="1134" spans="1:5" x14ac:dyDescent="0.2">
      <c r="A1134" s="269">
        <v>45909.629131944443</v>
      </c>
      <c r="B1134" t="s">
        <v>1431</v>
      </c>
      <c r="C1134" t="s">
        <v>15</v>
      </c>
      <c r="D1134" t="s">
        <v>1532</v>
      </c>
      <c r="E1134" t="s">
        <v>1531</v>
      </c>
    </row>
    <row r="1135" spans="1:5" x14ac:dyDescent="0.2">
      <c r="A1135" s="269">
        <v>45909.630243055559</v>
      </c>
      <c r="B1135" t="s">
        <v>1431</v>
      </c>
      <c r="C1135" t="s">
        <v>15</v>
      </c>
      <c r="D1135" t="s">
        <v>1437</v>
      </c>
      <c r="E1135" t="s">
        <v>1533</v>
      </c>
    </row>
    <row r="1136" spans="1:5" x14ac:dyDescent="0.2">
      <c r="A1136" s="269">
        <v>45909.630300925928</v>
      </c>
      <c r="B1136" t="s">
        <v>1431</v>
      </c>
      <c r="C1136" t="s">
        <v>15</v>
      </c>
      <c r="D1136" t="s">
        <v>1438</v>
      </c>
      <c r="E1136" t="s">
        <v>203</v>
      </c>
    </row>
    <row r="1137" spans="1:5" x14ac:dyDescent="0.2">
      <c r="A1137" s="269">
        <v>45909.632245370369</v>
      </c>
      <c r="B1137" t="s">
        <v>1431</v>
      </c>
      <c r="C1137" t="s">
        <v>15</v>
      </c>
      <c r="D1137" t="s">
        <v>1068</v>
      </c>
      <c r="E1137">
        <v>7</v>
      </c>
    </row>
    <row r="1138" spans="1:5" x14ac:dyDescent="0.2">
      <c r="A1138" s="269">
        <v>45909.632303240738</v>
      </c>
      <c r="B1138" t="s">
        <v>1431</v>
      </c>
      <c r="C1138" t="s">
        <v>15</v>
      </c>
      <c r="D1138" t="s">
        <v>918</v>
      </c>
      <c r="E1138" t="s">
        <v>339</v>
      </c>
    </row>
    <row r="1139" spans="1:5" x14ac:dyDescent="0.2">
      <c r="A1139" s="269">
        <v>45909.63244212963</v>
      </c>
      <c r="B1139" t="s">
        <v>1431</v>
      </c>
      <c r="C1139" t="s">
        <v>15</v>
      </c>
      <c r="D1139" t="s">
        <v>1534</v>
      </c>
      <c r="E1139" t="s">
        <v>188</v>
      </c>
    </row>
    <row r="1140" spans="1:5" x14ac:dyDescent="0.2">
      <c r="A1140" s="269">
        <v>45909.632476851853</v>
      </c>
      <c r="B1140" t="s">
        <v>1431</v>
      </c>
      <c r="C1140" t="s">
        <v>15</v>
      </c>
      <c r="D1140" t="s">
        <v>1534</v>
      </c>
      <c r="E1140" t="s">
        <v>352</v>
      </c>
    </row>
    <row r="1141" spans="1:5" x14ac:dyDescent="0.2">
      <c r="A1141" s="269">
        <v>45909.632673611108</v>
      </c>
      <c r="B1141" t="s">
        <v>1431</v>
      </c>
      <c r="C1141" t="s">
        <v>15</v>
      </c>
      <c r="D1141" t="s">
        <v>1535</v>
      </c>
      <c r="E1141" t="s">
        <v>1533</v>
      </c>
    </row>
    <row r="1142" spans="1:5" x14ac:dyDescent="0.2">
      <c r="A1142" s="269">
        <v>45909.633680555555</v>
      </c>
      <c r="B1142" t="s">
        <v>1431</v>
      </c>
      <c r="C1142" t="s">
        <v>15</v>
      </c>
      <c r="D1142" t="s">
        <v>1450</v>
      </c>
      <c r="E1142" t="s">
        <v>1536</v>
      </c>
    </row>
    <row r="1143" spans="1:5" x14ac:dyDescent="0.2">
      <c r="A1143" s="269">
        <v>45909.633784722224</v>
      </c>
      <c r="B1143" t="s">
        <v>1431</v>
      </c>
      <c r="C1143" t="s">
        <v>15</v>
      </c>
      <c r="D1143" t="s">
        <v>1451</v>
      </c>
      <c r="E1143" s="442">
        <v>45909</v>
      </c>
    </row>
    <row r="1144" spans="1:5" x14ac:dyDescent="0.2">
      <c r="A1144" s="269">
        <v>45909.63385416667</v>
      </c>
      <c r="B1144" t="s">
        <v>1431</v>
      </c>
      <c r="C1144" t="s">
        <v>15</v>
      </c>
      <c r="D1144" t="s">
        <v>1451</v>
      </c>
      <c r="E1144" s="442">
        <v>45909</v>
      </c>
    </row>
    <row r="1145" spans="1:5" x14ac:dyDescent="0.2">
      <c r="A1145" s="269">
        <v>45909.633923611109</v>
      </c>
      <c r="B1145" t="s">
        <v>1431</v>
      </c>
      <c r="C1145" t="s">
        <v>15</v>
      </c>
      <c r="D1145" t="s">
        <v>733</v>
      </c>
      <c r="E1145" s="442">
        <v>45909</v>
      </c>
    </row>
    <row r="1146" spans="1:5" x14ac:dyDescent="0.2">
      <c r="A1146" s="269">
        <v>45909.634027777778</v>
      </c>
      <c r="B1146" t="s">
        <v>1431</v>
      </c>
      <c r="C1146" t="s">
        <v>103</v>
      </c>
      <c r="D1146" t="s">
        <v>1434</v>
      </c>
      <c r="E1146" t="s">
        <v>338</v>
      </c>
    </row>
    <row r="1147" spans="1:5" x14ac:dyDescent="0.2">
      <c r="A1147" s="269">
        <v>45909.634039351855</v>
      </c>
      <c r="B1147" t="s">
        <v>1431</v>
      </c>
      <c r="C1147" t="s">
        <v>103</v>
      </c>
      <c r="D1147" t="s">
        <v>1191</v>
      </c>
      <c r="E1147" t="s">
        <v>89</v>
      </c>
    </row>
    <row r="1148" spans="1:5" x14ac:dyDescent="0.2">
      <c r="A1148" s="269">
        <v>45909.634074074071</v>
      </c>
      <c r="B1148" t="s">
        <v>1431</v>
      </c>
      <c r="C1148" t="s">
        <v>103</v>
      </c>
      <c r="D1148" t="s">
        <v>795</v>
      </c>
      <c r="E1148" t="s">
        <v>362</v>
      </c>
    </row>
    <row r="1149" spans="1:5" x14ac:dyDescent="0.2">
      <c r="A1149" s="269">
        <v>45909.634097222224</v>
      </c>
      <c r="B1149" t="s">
        <v>1431</v>
      </c>
      <c r="C1149" t="s">
        <v>103</v>
      </c>
      <c r="D1149" t="s">
        <v>1013</v>
      </c>
      <c r="E1149" t="s">
        <v>371</v>
      </c>
    </row>
    <row r="1150" spans="1:5" x14ac:dyDescent="0.2">
      <c r="A1150" s="269">
        <v>45909.634131944447</v>
      </c>
      <c r="B1150" t="s">
        <v>1431</v>
      </c>
      <c r="C1150" t="s">
        <v>103</v>
      </c>
      <c r="D1150" t="s">
        <v>747</v>
      </c>
      <c r="E1150" t="s">
        <v>379</v>
      </c>
    </row>
    <row r="1151" spans="1:5" x14ac:dyDescent="0.2">
      <c r="A1151" s="269">
        <v>45909.634155092594</v>
      </c>
      <c r="B1151" t="s">
        <v>1431</v>
      </c>
      <c r="C1151" t="s">
        <v>103</v>
      </c>
      <c r="D1151" t="s">
        <v>1437</v>
      </c>
      <c r="E1151" t="s">
        <v>386</v>
      </c>
    </row>
    <row r="1152" spans="1:5" x14ac:dyDescent="0.2">
      <c r="A1152" s="269">
        <v>45909.634189814817</v>
      </c>
      <c r="B1152" t="s">
        <v>1431</v>
      </c>
      <c r="C1152" t="s">
        <v>103</v>
      </c>
      <c r="D1152" t="s">
        <v>1439</v>
      </c>
      <c r="E1152" t="s">
        <v>390</v>
      </c>
    </row>
    <row r="1153" spans="1:5" x14ac:dyDescent="0.2">
      <c r="A1153" s="269">
        <v>45909.634212962963</v>
      </c>
      <c r="B1153" t="s">
        <v>1431</v>
      </c>
      <c r="C1153" t="s">
        <v>103</v>
      </c>
      <c r="D1153" t="s">
        <v>1441</v>
      </c>
      <c r="E1153" t="s">
        <v>41</v>
      </c>
    </row>
    <row r="1154" spans="1:5" x14ac:dyDescent="0.2">
      <c r="A1154" s="269">
        <v>45909.634236111109</v>
      </c>
      <c r="B1154" t="s">
        <v>1431</v>
      </c>
      <c r="C1154" t="s">
        <v>103</v>
      </c>
      <c r="D1154" t="s">
        <v>672</v>
      </c>
      <c r="E1154" t="s">
        <v>397</v>
      </c>
    </row>
    <row r="1155" spans="1:5" x14ac:dyDescent="0.2">
      <c r="A1155" s="269">
        <v>45909.634259259263</v>
      </c>
      <c r="B1155" t="s">
        <v>1431</v>
      </c>
      <c r="C1155" t="s">
        <v>103</v>
      </c>
      <c r="D1155" t="s">
        <v>674</v>
      </c>
      <c r="E1155" t="s">
        <v>400</v>
      </c>
    </row>
    <row r="1156" spans="1:5" x14ac:dyDescent="0.2">
      <c r="A1156" s="269">
        <v>45909.634293981479</v>
      </c>
      <c r="B1156" t="s">
        <v>1431</v>
      </c>
      <c r="C1156" t="s">
        <v>103</v>
      </c>
      <c r="D1156" t="s">
        <v>675</v>
      </c>
      <c r="E1156" t="s">
        <v>404</v>
      </c>
    </row>
    <row r="1157" spans="1:5" x14ac:dyDescent="0.2">
      <c r="A1157" s="269">
        <v>45909.634328703702</v>
      </c>
      <c r="B1157" t="s">
        <v>1431</v>
      </c>
      <c r="C1157" t="s">
        <v>103</v>
      </c>
      <c r="D1157" t="s">
        <v>676</v>
      </c>
      <c r="E1157" t="s">
        <v>407</v>
      </c>
    </row>
    <row r="1158" spans="1:5" x14ac:dyDescent="0.2">
      <c r="A1158" s="269">
        <v>45909.634571759256</v>
      </c>
      <c r="B1158" t="s">
        <v>1431</v>
      </c>
      <c r="C1158" t="s">
        <v>103</v>
      </c>
      <c r="D1158" t="s">
        <v>1537</v>
      </c>
      <c r="E1158">
        <v>37100</v>
      </c>
    </row>
    <row r="1159" spans="1:5" x14ac:dyDescent="0.2">
      <c r="A1159" s="269">
        <v>45909.634594907409</v>
      </c>
      <c r="B1159" t="s">
        <v>1431</v>
      </c>
      <c r="C1159" t="s">
        <v>103</v>
      </c>
      <c r="D1159" t="s">
        <v>1537</v>
      </c>
    </row>
    <row r="1160" spans="1:5" x14ac:dyDescent="0.2">
      <c r="A1160" s="269">
        <v>45909.634641203702</v>
      </c>
      <c r="B1160" t="s">
        <v>1431</v>
      </c>
      <c r="C1160" t="s">
        <v>103</v>
      </c>
      <c r="D1160" t="s">
        <v>983</v>
      </c>
      <c r="E1160">
        <v>37100</v>
      </c>
    </row>
    <row r="1161" spans="1:5" x14ac:dyDescent="0.2">
      <c r="A1161" s="269">
        <v>45909.634675925925</v>
      </c>
      <c r="B1161" t="s">
        <v>1431</v>
      </c>
      <c r="C1161" t="s">
        <v>103</v>
      </c>
      <c r="D1161" t="s">
        <v>1066</v>
      </c>
      <c r="E1161">
        <v>34160</v>
      </c>
    </row>
    <row r="1162" spans="1:5" x14ac:dyDescent="0.2">
      <c r="A1162" s="269">
        <v>45909.634768518517</v>
      </c>
      <c r="B1162" t="s">
        <v>1431</v>
      </c>
      <c r="C1162" t="s">
        <v>103</v>
      </c>
      <c r="D1162" t="s">
        <v>1436</v>
      </c>
      <c r="E1162">
        <v>417343.95</v>
      </c>
    </row>
    <row r="1163" spans="1:5" x14ac:dyDescent="0.2">
      <c r="A1163" s="269">
        <v>45909.63484953704</v>
      </c>
      <c r="B1163" t="s">
        <v>1431</v>
      </c>
      <c r="C1163" t="s">
        <v>103</v>
      </c>
      <c r="D1163" t="s">
        <v>937</v>
      </c>
      <c r="E1163" t="s">
        <v>515</v>
      </c>
    </row>
    <row r="1164" spans="1:5" x14ac:dyDescent="0.2">
      <c r="A1164" s="269">
        <v>45909.635706018518</v>
      </c>
      <c r="B1164" t="s">
        <v>1431</v>
      </c>
      <c r="C1164" t="s">
        <v>103</v>
      </c>
      <c r="D1164" t="s">
        <v>658</v>
      </c>
      <c r="E1164" t="s">
        <v>1538</v>
      </c>
    </row>
    <row r="1165" spans="1:5" x14ac:dyDescent="0.2">
      <c r="A1165" s="269">
        <v>45909.635729166665</v>
      </c>
      <c r="B1165" t="s">
        <v>1431</v>
      </c>
      <c r="C1165" t="s">
        <v>103</v>
      </c>
      <c r="D1165" t="s">
        <v>1455</v>
      </c>
      <c r="E1165" t="s">
        <v>1538</v>
      </c>
    </row>
    <row r="1166" spans="1:5" x14ac:dyDescent="0.2">
      <c r="A1166" s="269">
        <v>45909.635729166665</v>
      </c>
      <c r="B1166" t="s">
        <v>1431</v>
      </c>
      <c r="C1166" t="s">
        <v>103</v>
      </c>
      <c r="D1166" t="s">
        <v>996</v>
      </c>
      <c r="E1166" t="s">
        <v>1538</v>
      </c>
    </row>
    <row r="1167" spans="1:5" x14ac:dyDescent="0.2">
      <c r="A1167" s="269">
        <v>45909.635740740741</v>
      </c>
      <c r="B1167" t="s">
        <v>1431</v>
      </c>
      <c r="C1167" t="s">
        <v>103</v>
      </c>
      <c r="D1167" t="s">
        <v>1539</v>
      </c>
      <c r="E1167" t="s">
        <v>1538</v>
      </c>
    </row>
    <row r="1168" spans="1:5" x14ac:dyDescent="0.2">
      <c r="A1168" s="269">
        <v>45909.635752314818</v>
      </c>
      <c r="B1168" t="s">
        <v>1431</v>
      </c>
      <c r="C1168" t="s">
        <v>103</v>
      </c>
      <c r="D1168" t="s">
        <v>1019</v>
      </c>
      <c r="E1168" t="s">
        <v>1538</v>
      </c>
    </row>
    <row r="1169" spans="1:5" x14ac:dyDescent="0.2">
      <c r="A1169" s="269">
        <v>45909.635752314818</v>
      </c>
      <c r="B1169" t="s">
        <v>1431</v>
      </c>
      <c r="C1169" t="s">
        <v>103</v>
      </c>
      <c r="D1169" t="s">
        <v>1540</v>
      </c>
      <c r="E1169" t="s">
        <v>1538</v>
      </c>
    </row>
    <row r="1170" spans="1:5" x14ac:dyDescent="0.2">
      <c r="A1170" s="269">
        <v>45909.635775462964</v>
      </c>
      <c r="B1170" t="s">
        <v>1431</v>
      </c>
      <c r="C1170" t="s">
        <v>103</v>
      </c>
      <c r="D1170" t="s">
        <v>1541</v>
      </c>
      <c r="E1170" t="s">
        <v>1538</v>
      </c>
    </row>
    <row r="1171" spans="1:5" x14ac:dyDescent="0.2">
      <c r="A1171" s="269">
        <v>45909.635775462964</v>
      </c>
      <c r="B1171" t="s">
        <v>1431</v>
      </c>
      <c r="C1171" t="s">
        <v>103</v>
      </c>
      <c r="D1171" t="s">
        <v>1542</v>
      </c>
      <c r="E1171" t="s">
        <v>1538</v>
      </c>
    </row>
    <row r="1172" spans="1:5" x14ac:dyDescent="0.2">
      <c r="A1172" s="269">
        <v>45909.635787037034</v>
      </c>
      <c r="B1172" t="s">
        <v>1431</v>
      </c>
      <c r="C1172" t="s">
        <v>103</v>
      </c>
      <c r="D1172" t="s">
        <v>1543</v>
      </c>
      <c r="E1172" t="s">
        <v>1538</v>
      </c>
    </row>
    <row r="1173" spans="1:5" x14ac:dyDescent="0.2">
      <c r="A1173" s="269">
        <v>45909.635798611111</v>
      </c>
      <c r="B1173" t="s">
        <v>1431</v>
      </c>
      <c r="C1173" t="s">
        <v>103</v>
      </c>
      <c r="D1173" t="s">
        <v>1544</v>
      </c>
      <c r="E1173" t="s">
        <v>1538</v>
      </c>
    </row>
    <row r="1174" spans="1:5" x14ac:dyDescent="0.2">
      <c r="A1174" s="269">
        <v>45909.635798611111</v>
      </c>
      <c r="B1174" t="s">
        <v>1431</v>
      </c>
      <c r="C1174" t="s">
        <v>103</v>
      </c>
      <c r="D1174" t="s">
        <v>1545</v>
      </c>
      <c r="E1174" t="s">
        <v>1538</v>
      </c>
    </row>
    <row r="1175" spans="1:5" x14ac:dyDescent="0.2">
      <c r="A1175" s="269">
        <v>45909.635810185187</v>
      </c>
      <c r="B1175" t="s">
        <v>1431</v>
      </c>
      <c r="C1175" t="s">
        <v>103</v>
      </c>
      <c r="D1175" t="s">
        <v>1546</v>
      </c>
      <c r="E1175" t="s">
        <v>1538</v>
      </c>
    </row>
    <row r="1176" spans="1:5" x14ac:dyDescent="0.2">
      <c r="A1176" s="269">
        <v>45909.635879629626</v>
      </c>
      <c r="B1176" t="s">
        <v>1431</v>
      </c>
      <c r="C1176" t="s">
        <v>103</v>
      </c>
      <c r="D1176" t="s">
        <v>926</v>
      </c>
      <c r="E1176" t="s">
        <v>515</v>
      </c>
    </row>
    <row r="1177" spans="1:5" x14ac:dyDescent="0.2">
      <c r="A1177" s="269">
        <v>45909.635914351849</v>
      </c>
      <c r="B1177" t="s">
        <v>1431</v>
      </c>
      <c r="C1177" t="s">
        <v>103</v>
      </c>
      <c r="D1177" t="s">
        <v>1547</v>
      </c>
      <c r="E1177" t="s">
        <v>515</v>
      </c>
    </row>
    <row r="1178" spans="1:5" x14ac:dyDescent="0.2">
      <c r="A1178" s="269">
        <v>45909.636053240742</v>
      </c>
      <c r="B1178" t="s">
        <v>1431</v>
      </c>
      <c r="C1178" t="s">
        <v>103</v>
      </c>
      <c r="D1178" t="s">
        <v>1548</v>
      </c>
      <c r="E1178">
        <v>410730.45</v>
      </c>
    </row>
    <row r="1179" spans="1:5" x14ac:dyDescent="0.2">
      <c r="A1179" s="269">
        <v>45909.636122685188</v>
      </c>
      <c r="B1179" t="s">
        <v>1431</v>
      </c>
      <c r="C1179" t="s">
        <v>103</v>
      </c>
      <c r="D1179" t="s">
        <v>1549</v>
      </c>
      <c r="E1179">
        <v>34300</v>
      </c>
    </row>
    <row r="1180" spans="1:5" x14ac:dyDescent="0.2">
      <c r="A1180" s="269">
        <v>45909.636643518519</v>
      </c>
      <c r="B1180" t="s">
        <v>1431</v>
      </c>
      <c r="C1180" t="s">
        <v>25</v>
      </c>
      <c r="D1180" t="s">
        <v>1450</v>
      </c>
      <c r="E1180" t="s">
        <v>1431</v>
      </c>
    </row>
    <row r="1181" spans="1:5" x14ac:dyDescent="0.2">
      <c r="A1181" s="269">
        <v>45909.636689814812</v>
      </c>
      <c r="B1181" t="s">
        <v>1431</v>
      </c>
      <c r="C1181" t="s">
        <v>25</v>
      </c>
      <c r="D1181" t="s">
        <v>1451</v>
      </c>
      <c r="E1181" s="442">
        <v>45909</v>
      </c>
    </row>
    <row r="1182" spans="1:5" x14ac:dyDescent="0.2">
      <c r="A1182" s="269">
        <v>45909.637337962966</v>
      </c>
      <c r="B1182" t="s">
        <v>1431</v>
      </c>
      <c r="C1182" t="s">
        <v>26</v>
      </c>
      <c r="D1182" t="s">
        <v>1450</v>
      </c>
      <c r="E1182" t="s">
        <v>1431</v>
      </c>
    </row>
    <row r="1183" spans="1:5" x14ac:dyDescent="0.2">
      <c r="A1183" s="269">
        <v>45909.637361111112</v>
      </c>
      <c r="B1183" t="s">
        <v>1431</v>
      </c>
      <c r="C1183" t="s">
        <v>26</v>
      </c>
      <c r="D1183" t="s">
        <v>1451</v>
      </c>
      <c r="E1183" s="442">
        <v>45909</v>
      </c>
    </row>
    <row r="1184" spans="1:5" x14ac:dyDescent="0.2">
      <c r="A1184" s="269">
        <v>45909.637430555558</v>
      </c>
      <c r="B1184" t="s">
        <v>1431</v>
      </c>
      <c r="C1184" t="s">
        <v>26</v>
      </c>
      <c r="D1184" t="s">
        <v>1434</v>
      </c>
      <c r="E1184" t="s">
        <v>338</v>
      </c>
    </row>
    <row r="1185" spans="1:5" x14ac:dyDescent="0.2">
      <c r="A1185" s="269">
        <v>45909.637476851851</v>
      </c>
      <c r="B1185" t="s">
        <v>1431</v>
      </c>
      <c r="C1185" t="s">
        <v>26</v>
      </c>
      <c r="D1185" t="s">
        <v>1191</v>
      </c>
      <c r="E1185" t="s">
        <v>89</v>
      </c>
    </row>
    <row r="1186" spans="1:5" x14ac:dyDescent="0.2">
      <c r="A1186" s="269">
        <v>45909.637499999997</v>
      </c>
      <c r="B1186" t="s">
        <v>1431</v>
      </c>
      <c r="C1186" t="s">
        <v>26</v>
      </c>
      <c r="D1186" t="s">
        <v>795</v>
      </c>
      <c r="E1186" t="s">
        <v>362</v>
      </c>
    </row>
    <row r="1187" spans="1:5" x14ac:dyDescent="0.2">
      <c r="A1187" s="269">
        <v>45909.63753472222</v>
      </c>
      <c r="B1187" t="s">
        <v>1431</v>
      </c>
      <c r="C1187" t="s">
        <v>26</v>
      </c>
      <c r="D1187" t="s">
        <v>1013</v>
      </c>
      <c r="E1187" t="s">
        <v>362</v>
      </c>
    </row>
    <row r="1188" spans="1:5" x14ac:dyDescent="0.2">
      <c r="A1188" s="269">
        <v>45909.637569444443</v>
      </c>
      <c r="B1188" t="s">
        <v>1431</v>
      </c>
      <c r="C1188" t="s">
        <v>26</v>
      </c>
      <c r="D1188" t="s">
        <v>1013</v>
      </c>
      <c r="E1188" t="s">
        <v>371</v>
      </c>
    </row>
    <row r="1189" spans="1:5" x14ac:dyDescent="0.2">
      <c r="A1189" s="269">
        <v>45909.637604166666</v>
      </c>
      <c r="B1189" t="s">
        <v>1431</v>
      </c>
      <c r="C1189" t="s">
        <v>26</v>
      </c>
      <c r="D1189" t="s">
        <v>747</v>
      </c>
      <c r="E1189" t="s">
        <v>379</v>
      </c>
    </row>
    <row r="1190" spans="1:5" x14ac:dyDescent="0.2">
      <c r="A1190" s="269">
        <v>45909.637615740743</v>
      </c>
      <c r="B1190" t="s">
        <v>1431</v>
      </c>
      <c r="C1190" t="s">
        <v>26</v>
      </c>
      <c r="D1190" t="s">
        <v>1437</v>
      </c>
      <c r="E1190" t="s">
        <v>386</v>
      </c>
    </row>
    <row r="1191" spans="1:5" x14ac:dyDescent="0.2">
      <c r="A1191" s="269">
        <v>45909.637662037036</v>
      </c>
      <c r="B1191" t="s">
        <v>1431</v>
      </c>
      <c r="C1191" t="s">
        <v>26</v>
      </c>
      <c r="D1191" t="s">
        <v>1439</v>
      </c>
      <c r="E1191" t="s">
        <v>390</v>
      </c>
    </row>
    <row r="1192" spans="1:5" x14ac:dyDescent="0.2">
      <c r="A1192" s="269">
        <v>45909.637685185182</v>
      </c>
      <c r="B1192" t="s">
        <v>1431</v>
      </c>
      <c r="C1192" t="s">
        <v>26</v>
      </c>
      <c r="D1192" t="s">
        <v>1441</v>
      </c>
      <c r="E1192" t="s">
        <v>41</v>
      </c>
    </row>
    <row r="1193" spans="1:5" x14ac:dyDescent="0.2">
      <c r="A1193" s="269">
        <v>45909.637708333335</v>
      </c>
      <c r="B1193" t="s">
        <v>1431</v>
      </c>
      <c r="C1193" t="s">
        <v>26</v>
      </c>
      <c r="D1193" t="s">
        <v>672</v>
      </c>
      <c r="E1193" t="s">
        <v>397</v>
      </c>
    </row>
    <row r="1194" spans="1:5" x14ac:dyDescent="0.2">
      <c r="A1194" s="269">
        <v>45909.637731481482</v>
      </c>
      <c r="B1194" t="s">
        <v>1431</v>
      </c>
      <c r="C1194" t="s">
        <v>26</v>
      </c>
      <c r="D1194" t="s">
        <v>674</v>
      </c>
      <c r="E1194" t="s">
        <v>400</v>
      </c>
    </row>
    <row r="1195" spans="1:5" x14ac:dyDescent="0.2">
      <c r="A1195" s="269">
        <v>45909.637754629628</v>
      </c>
      <c r="B1195" t="s">
        <v>1431</v>
      </c>
      <c r="C1195" t="s">
        <v>26</v>
      </c>
      <c r="D1195" t="s">
        <v>675</v>
      </c>
      <c r="E1195" t="s">
        <v>400</v>
      </c>
    </row>
    <row r="1196" spans="1:5" x14ac:dyDescent="0.2">
      <c r="A1196" s="269">
        <v>45909.637777777774</v>
      </c>
      <c r="B1196" t="s">
        <v>1431</v>
      </c>
      <c r="C1196" t="s">
        <v>26</v>
      </c>
      <c r="D1196" t="s">
        <v>675</v>
      </c>
      <c r="E1196" t="s">
        <v>404</v>
      </c>
    </row>
    <row r="1197" spans="1:5" x14ac:dyDescent="0.2">
      <c r="A1197" s="269">
        <v>45909.637800925928</v>
      </c>
      <c r="B1197" t="s">
        <v>1431</v>
      </c>
      <c r="C1197" t="s">
        <v>26</v>
      </c>
      <c r="D1197" t="s">
        <v>676</v>
      </c>
      <c r="E1197" t="s">
        <v>407</v>
      </c>
    </row>
    <row r="1198" spans="1:5" x14ac:dyDescent="0.2">
      <c r="A1198" s="269">
        <v>45909.637916666667</v>
      </c>
      <c r="B1198" t="s">
        <v>1431</v>
      </c>
      <c r="C1198" t="s">
        <v>26</v>
      </c>
      <c r="D1198" t="s">
        <v>983</v>
      </c>
      <c r="E1198" t="s">
        <v>124</v>
      </c>
    </row>
    <row r="1199" spans="1:5" x14ac:dyDescent="0.2">
      <c r="A1199" s="269">
        <v>45909.638032407405</v>
      </c>
      <c r="B1199" t="s">
        <v>1431</v>
      </c>
      <c r="C1199" t="s">
        <v>26</v>
      </c>
      <c r="D1199" t="s">
        <v>1066</v>
      </c>
      <c r="E1199" t="s">
        <v>124</v>
      </c>
    </row>
    <row r="1200" spans="1:5" x14ac:dyDescent="0.2">
      <c r="A1200" s="269">
        <v>45909.638043981482</v>
      </c>
      <c r="B1200" t="s">
        <v>1431</v>
      </c>
      <c r="C1200" t="s">
        <v>26</v>
      </c>
      <c r="D1200" t="s">
        <v>994</v>
      </c>
      <c r="E1200" t="s">
        <v>124</v>
      </c>
    </row>
    <row r="1201" spans="1:5" x14ac:dyDescent="0.2">
      <c r="A1201" s="269">
        <v>45909.638043981482</v>
      </c>
      <c r="B1201" t="s">
        <v>1431</v>
      </c>
      <c r="C1201" t="s">
        <v>26</v>
      </c>
      <c r="D1201" t="s">
        <v>1015</v>
      </c>
      <c r="E1201" t="s">
        <v>124</v>
      </c>
    </row>
    <row r="1202" spans="1:5" x14ac:dyDescent="0.2">
      <c r="A1202" s="269">
        <v>45909.638055555559</v>
      </c>
      <c r="B1202" t="s">
        <v>1431</v>
      </c>
      <c r="C1202" t="s">
        <v>26</v>
      </c>
      <c r="D1202" t="s">
        <v>1018</v>
      </c>
      <c r="E1202" t="s">
        <v>124</v>
      </c>
    </row>
    <row r="1203" spans="1:5" x14ac:dyDescent="0.2">
      <c r="A1203" s="269">
        <v>45909.638055555559</v>
      </c>
      <c r="B1203" t="s">
        <v>1431</v>
      </c>
      <c r="C1203" t="s">
        <v>26</v>
      </c>
      <c r="D1203" t="s">
        <v>1068</v>
      </c>
      <c r="E1203" t="s">
        <v>124</v>
      </c>
    </row>
    <row r="1204" spans="1:5" x14ac:dyDescent="0.2">
      <c r="A1204" s="269">
        <v>45909.638067129628</v>
      </c>
      <c r="B1204" t="s">
        <v>1431</v>
      </c>
      <c r="C1204" t="s">
        <v>26</v>
      </c>
      <c r="D1204" t="s">
        <v>1068</v>
      </c>
      <c r="E1204" t="s">
        <v>124</v>
      </c>
    </row>
    <row r="1205" spans="1:5" x14ac:dyDescent="0.2">
      <c r="A1205" s="269">
        <v>45909.638078703705</v>
      </c>
      <c r="B1205" t="s">
        <v>1431</v>
      </c>
      <c r="C1205" t="s">
        <v>26</v>
      </c>
      <c r="D1205" t="s">
        <v>1069</v>
      </c>
      <c r="E1205" t="s">
        <v>124</v>
      </c>
    </row>
    <row r="1206" spans="1:5" x14ac:dyDescent="0.2">
      <c r="A1206" s="269">
        <v>45909.638078703705</v>
      </c>
      <c r="B1206" t="s">
        <v>1431</v>
      </c>
      <c r="C1206" t="s">
        <v>26</v>
      </c>
      <c r="D1206" t="s">
        <v>1472</v>
      </c>
      <c r="E1206" t="s">
        <v>124</v>
      </c>
    </row>
    <row r="1207" spans="1:5" x14ac:dyDescent="0.2">
      <c r="A1207" s="269">
        <v>45909.638090277775</v>
      </c>
      <c r="B1207" t="s">
        <v>1431</v>
      </c>
      <c r="C1207" t="s">
        <v>26</v>
      </c>
      <c r="D1207" t="s">
        <v>1474</v>
      </c>
      <c r="E1207" t="s">
        <v>124</v>
      </c>
    </row>
    <row r="1208" spans="1:5" x14ac:dyDescent="0.2">
      <c r="A1208" s="269">
        <v>45909.638090277775</v>
      </c>
      <c r="B1208" t="s">
        <v>1431</v>
      </c>
      <c r="C1208" t="s">
        <v>26</v>
      </c>
      <c r="D1208" t="s">
        <v>1475</v>
      </c>
      <c r="E1208" t="s">
        <v>124</v>
      </c>
    </row>
    <row r="1209" spans="1:5" x14ac:dyDescent="0.2">
      <c r="A1209" s="269">
        <v>45909.638101851851</v>
      </c>
      <c r="B1209" t="s">
        <v>1431</v>
      </c>
      <c r="C1209" t="s">
        <v>26</v>
      </c>
      <c r="D1209" t="s">
        <v>1476</v>
      </c>
      <c r="E1209" t="s">
        <v>124</v>
      </c>
    </row>
    <row r="1210" spans="1:5" x14ac:dyDescent="0.2">
      <c r="A1210" s="269">
        <v>45909.638101851851</v>
      </c>
      <c r="B1210" t="s">
        <v>1431</v>
      </c>
      <c r="C1210" t="s">
        <v>26</v>
      </c>
      <c r="D1210" t="s">
        <v>1480</v>
      </c>
      <c r="E1210" t="s">
        <v>124</v>
      </c>
    </row>
    <row r="1211" spans="1:5" x14ac:dyDescent="0.2">
      <c r="A1211" s="269">
        <v>45909.638379629629</v>
      </c>
      <c r="B1211" t="s">
        <v>1431</v>
      </c>
      <c r="C1211" t="s">
        <v>26</v>
      </c>
      <c r="D1211" t="s">
        <v>1550</v>
      </c>
      <c r="E1211">
        <v>140</v>
      </c>
    </row>
    <row r="1212" spans="1:5" x14ac:dyDescent="0.2">
      <c r="A1212" s="269">
        <v>45909.641446759262</v>
      </c>
      <c r="B1212" t="s">
        <v>1431</v>
      </c>
      <c r="C1212" t="s">
        <v>26</v>
      </c>
      <c r="D1212" t="s">
        <v>937</v>
      </c>
      <c r="E1212" t="s">
        <v>1551</v>
      </c>
    </row>
    <row r="1213" spans="1:5" x14ac:dyDescent="0.2">
      <c r="A1213" s="269">
        <v>45909.64166666667</v>
      </c>
      <c r="B1213" t="s">
        <v>1431</v>
      </c>
      <c r="C1213" t="s">
        <v>26</v>
      </c>
      <c r="D1213" t="s">
        <v>937</v>
      </c>
    </row>
    <row r="1214" spans="1:5" x14ac:dyDescent="0.2">
      <c r="A1214" s="269">
        <v>45909.659305555557</v>
      </c>
      <c r="B1214" t="s">
        <v>1431</v>
      </c>
      <c r="C1214" t="s">
        <v>28</v>
      </c>
      <c r="D1214" t="s">
        <v>1450</v>
      </c>
      <c r="E1214" t="s">
        <v>1431</v>
      </c>
    </row>
    <row r="1215" spans="1:5" x14ac:dyDescent="0.2">
      <c r="A1215" s="269">
        <v>45909.659398148149</v>
      </c>
      <c r="B1215" t="s">
        <v>1431</v>
      </c>
      <c r="C1215" t="s">
        <v>28</v>
      </c>
      <c r="D1215" t="s">
        <v>1434</v>
      </c>
      <c r="E1215" t="s">
        <v>338</v>
      </c>
    </row>
    <row r="1216" spans="1:5" x14ac:dyDescent="0.2">
      <c r="A1216" s="269">
        <v>45909.65965277778</v>
      </c>
      <c r="B1216" t="s">
        <v>1431</v>
      </c>
      <c r="C1216" t="s">
        <v>28</v>
      </c>
      <c r="D1216" t="s">
        <v>983</v>
      </c>
      <c r="E1216" t="s">
        <v>139</v>
      </c>
    </row>
    <row r="1217" spans="1:5" x14ac:dyDescent="0.2">
      <c r="A1217" s="269">
        <v>45909.667349537034</v>
      </c>
      <c r="B1217" t="s">
        <v>1431</v>
      </c>
      <c r="C1217" t="s">
        <v>28</v>
      </c>
      <c r="D1217" t="s">
        <v>937</v>
      </c>
      <c r="E1217" t="s">
        <v>347</v>
      </c>
    </row>
    <row r="1218" spans="1:5" x14ac:dyDescent="0.2">
      <c r="A1218" s="269">
        <v>45909.692395833335</v>
      </c>
      <c r="B1218" t="s">
        <v>1431</v>
      </c>
      <c r="C1218" t="s">
        <v>58</v>
      </c>
      <c r="D1218" t="s">
        <v>925</v>
      </c>
      <c r="E1218">
        <v>184</v>
      </c>
    </row>
    <row r="1219" spans="1:5" x14ac:dyDescent="0.2">
      <c r="A1219" s="269">
        <v>45909.692615740743</v>
      </c>
      <c r="B1219" t="s">
        <v>1431</v>
      </c>
      <c r="C1219" t="s">
        <v>58</v>
      </c>
      <c r="D1219" t="s">
        <v>1534</v>
      </c>
      <c r="E1219">
        <v>15.355</v>
      </c>
    </row>
    <row r="1220" spans="1:5" x14ac:dyDescent="0.2">
      <c r="A1220" s="269">
        <v>45909.692719907405</v>
      </c>
      <c r="B1220" t="s">
        <v>1431</v>
      </c>
      <c r="C1220" t="s">
        <v>58</v>
      </c>
      <c r="D1220" t="s">
        <v>1552</v>
      </c>
      <c r="E1220">
        <v>10</v>
      </c>
    </row>
    <row r="1221" spans="1:5" x14ac:dyDescent="0.2">
      <c r="A1221" s="269">
        <v>45909.692777777775</v>
      </c>
      <c r="B1221" t="s">
        <v>1431</v>
      </c>
      <c r="C1221" t="s">
        <v>58</v>
      </c>
      <c r="D1221" t="s">
        <v>1552</v>
      </c>
      <c r="E1221">
        <v>1022</v>
      </c>
    </row>
    <row r="1222" spans="1:5" x14ac:dyDescent="0.2">
      <c r="A1222" s="269">
        <v>45909.692835648151</v>
      </c>
      <c r="B1222" t="s">
        <v>1431</v>
      </c>
      <c r="C1222" t="s">
        <v>58</v>
      </c>
      <c r="D1222" t="s">
        <v>1553</v>
      </c>
      <c r="E1222">
        <v>84.825999999999993</v>
      </c>
    </row>
    <row r="1223" spans="1:5" x14ac:dyDescent="0.2">
      <c r="A1223" s="269">
        <v>45909.693067129629</v>
      </c>
      <c r="B1223" t="s">
        <v>1431</v>
      </c>
      <c r="C1223" t="s">
        <v>58</v>
      </c>
      <c r="D1223" t="s">
        <v>1554</v>
      </c>
      <c r="E1223">
        <v>53.347000000000001</v>
      </c>
    </row>
    <row r="1224" spans="1:5" x14ac:dyDescent="0.2">
      <c r="A1224" s="269">
        <v>45909.69327546296</v>
      </c>
      <c r="B1224" t="s">
        <v>1431</v>
      </c>
      <c r="C1224" t="s">
        <v>58</v>
      </c>
      <c r="D1224" t="s">
        <v>1555</v>
      </c>
      <c r="E1224">
        <v>27.1</v>
      </c>
    </row>
    <row r="1225" spans="1:5" x14ac:dyDescent="0.2">
      <c r="A1225" s="269">
        <v>45909.694803240738</v>
      </c>
      <c r="B1225" t="s">
        <v>1431</v>
      </c>
      <c r="C1225" t="s">
        <v>58</v>
      </c>
      <c r="D1225" t="s">
        <v>1556</v>
      </c>
      <c r="E1225">
        <v>55.942</v>
      </c>
    </row>
    <row r="1226" spans="1:5" x14ac:dyDescent="0.2">
      <c r="A1226" s="269">
        <v>45909.695115740738</v>
      </c>
      <c r="B1226" t="s">
        <v>1431</v>
      </c>
      <c r="C1226" t="s">
        <v>58</v>
      </c>
      <c r="D1226" t="s">
        <v>1557</v>
      </c>
      <c r="E1226">
        <v>674</v>
      </c>
    </row>
    <row r="1227" spans="1:5" x14ac:dyDescent="0.2">
      <c r="A1227" s="269">
        <v>45909.6952662037</v>
      </c>
      <c r="B1227" t="s">
        <v>1431</v>
      </c>
      <c r="C1227" t="s">
        <v>58</v>
      </c>
      <c r="D1227" t="s">
        <v>1558</v>
      </c>
      <c r="E1227">
        <v>531</v>
      </c>
    </row>
    <row r="1228" spans="1:5" x14ac:dyDescent="0.2">
      <c r="A1228" s="269">
        <v>45909.6953125</v>
      </c>
      <c r="B1228" t="s">
        <v>1431</v>
      </c>
      <c r="C1228" t="s">
        <v>58</v>
      </c>
      <c r="D1228" t="s">
        <v>1559</v>
      </c>
      <c r="E1228">
        <v>38.761000000000003</v>
      </c>
    </row>
    <row r="1229" spans="1:5" x14ac:dyDescent="0.2">
      <c r="A1229" s="269">
        <v>45909.695717592593</v>
      </c>
      <c r="B1229" t="s">
        <v>1431</v>
      </c>
      <c r="C1229" t="s">
        <v>58</v>
      </c>
      <c r="D1229" t="s">
        <v>1560</v>
      </c>
      <c r="E1229">
        <v>235.57599999999999</v>
      </c>
    </row>
    <row r="1230" spans="1:5" x14ac:dyDescent="0.2">
      <c r="A1230" s="269">
        <v>45909.695972222224</v>
      </c>
      <c r="B1230" t="s">
        <v>1431</v>
      </c>
      <c r="C1230" t="s">
        <v>58</v>
      </c>
      <c r="D1230" t="s">
        <v>1561</v>
      </c>
      <c r="E1230">
        <v>599.9</v>
      </c>
    </row>
    <row r="1231" spans="1:5" x14ac:dyDescent="0.2">
      <c r="A1231" s="269">
        <v>45909.696122685185</v>
      </c>
      <c r="B1231" t="s">
        <v>1431</v>
      </c>
      <c r="C1231" t="s">
        <v>58</v>
      </c>
      <c r="D1231" t="s">
        <v>1561</v>
      </c>
    </row>
    <row r="1232" spans="1:5" x14ac:dyDescent="0.2">
      <c r="A1232" s="269">
        <v>45909.696134259262</v>
      </c>
      <c r="B1232" t="s">
        <v>1431</v>
      </c>
      <c r="C1232" t="s">
        <v>58</v>
      </c>
      <c r="D1232" t="s">
        <v>1560</v>
      </c>
    </row>
    <row r="1233" spans="1:5" x14ac:dyDescent="0.2">
      <c r="A1233" s="269">
        <v>45909.696145833332</v>
      </c>
      <c r="B1233" t="s">
        <v>1431</v>
      </c>
      <c r="C1233" t="s">
        <v>58</v>
      </c>
      <c r="D1233" t="s">
        <v>1559</v>
      </c>
    </row>
    <row r="1234" spans="1:5" x14ac:dyDescent="0.2">
      <c r="A1234" s="269">
        <v>45909.696145833332</v>
      </c>
      <c r="B1234" t="s">
        <v>1431</v>
      </c>
      <c r="C1234" t="s">
        <v>58</v>
      </c>
      <c r="D1234" t="s">
        <v>1558</v>
      </c>
    </row>
    <row r="1235" spans="1:5" x14ac:dyDescent="0.2">
      <c r="A1235" s="269">
        <v>45909.696215277778</v>
      </c>
      <c r="B1235" t="s">
        <v>1431</v>
      </c>
      <c r="C1235" t="s">
        <v>58</v>
      </c>
      <c r="D1235" t="s">
        <v>1558</v>
      </c>
      <c r="E1235">
        <v>531</v>
      </c>
    </row>
    <row r="1236" spans="1:5" x14ac:dyDescent="0.2">
      <c r="A1236" s="269">
        <v>45909.696215277778</v>
      </c>
      <c r="B1236" t="s">
        <v>1431</v>
      </c>
      <c r="C1236" t="s">
        <v>58</v>
      </c>
      <c r="D1236" t="s">
        <v>1559</v>
      </c>
      <c r="E1236">
        <v>38.761000000000003</v>
      </c>
    </row>
    <row r="1237" spans="1:5" x14ac:dyDescent="0.2">
      <c r="A1237" s="269">
        <v>45909.696226851855</v>
      </c>
      <c r="B1237" t="s">
        <v>1431</v>
      </c>
      <c r="C1237" t="s">
        <v>58</v>
      </c>
      <c r="D1237" t="s">
        <v>1560</v>
      </c>
      <c r="E1237">
        <v>235.57599999999999</v>
      </c>
    </row>
    <row r="1238" spans="1:5" x14ac:dyDescent="0.2">
      <c r="A1238" s="269">
        <v>45909.696226851855</v>
      </c>
      <c r="B1238" t="s">
        <v>1431</v>
      </c>
      <c r="C1238" t="s">
        <v>58</v>
      </c>
      <c r="D1238" t="s">
        <v>1561</v>
      </c>
      <c r="E1238">
        <v>599.9</v>
      </c>
    </row>
    <row r="1239" spans="1:5" x14ac:dyDescent="0.2">
      <c r="A1239" s="269">
        <v>45909.696261574078</v>
      </c>
      <c r="B1239" t="s">
        <v>1431</v>
      </c>
      <c r="C1239" t="s">
        <v>58</v>
      </c>
      <c r="D1239" t="s">
        <v>1562</v>
      </c>
      <c r="E1239">
        <v>55.942</v>
      </c>
    </row>
    <row r="1240" spans="1:5" x14ac:dyDescent="0.2">
      <c r="A1240" s="269">
        <v>45909.696296296293</v>
      </c>
      <c r="B1240" t="s">
        <v>1431</v>
      </c>
      <c r="C1240" t="s">
        <v>58</v>
      </c>
      <c r="D1240" t="s">
        <v>1563</v>
      </c>
      <c r="E1240">
        <v>674</v>
      </c>
    </row>
    <row r="1241" spans="1:5" x14ac:dyDescent="0.2">
      <c r="A1241" s="269">
        <v>45909.696319444447</v>
      </c>
      <c r="B1241" t="s">
        <v>1431</v>
      </c>
      <c r="C1241" t="s">
        <v>58</v>
      </c>
      <c r="D1241" t="s">
        <v>1564</v>
      </c>
    </row>
    <row r="1242" spans="1:5" x14ac:dyDescent="0.2">
      <c r="A1242" s="269">
        <v>45909.696331018517</v>
      </c>
      <c r="B1242" t="s">
        <v>1431</v>
      </c>
      <c r="C1242" t="s">
        <v>58</v>
      </c>
      <c r="D1242" t="s">
        <v>1565</v>
      </c>
    </row>
    <row r="1243" spans="1:5" x14ac:dyDescent="0.2">
      <c r="A1243" s="269">
        <v>45909.697083333333</v>
      </c>
      <c r="B1243" t="s">
        <v>1431</v>
      </c>
      <c r="C1243" t="s">
        <v>58</v>
      </c>
      <c r="D1243" t="s">
        <v>1566</v>
      </c>
      <c r="E1243">
        <v>46.978000000000002</v>
      </c>
    </row>
    <row r="1244" spans="1:5" x14ac:dyDescent="0.2">
      <c r="A1244" s="269">
        <v>45909.697245370371</v>
      </c>
      <c r="B1244" t="s">
        <v>1431</v>
      </c>
      <c r="C1244" t="s">
        <v>58</v>
      </c>
      <c r="D1244" t="s">
        <v>1567</v>
      </c>
      <c r="E1244">
        <v>566</v>
      </c>
    </row>
    <row r="1245" spans="1:5" x14ac:dyDescent="0.2">
      <c r="A1245" s="269">
        <v>45909.697384259256</v>
      </c>
      <c r="B1245" t="s">
        <v>1431</v>
      </c>
      <c r="C1245" t="s">
        <v>58</v>
      </c>
      <c r="D1245" t="s">
        <v>1568</v>
      </c>
      <c r="E1245">
        <v>75.695999999999998</v>
      </c>
    </row>
    <row r="1246" spans="1:5" x14ac:dyDescent="0.2">
      <c r="A1246" s="269">
        <v>45909.697442129633</v>
      </c>
      <c r="B1246" t="s">
        <v>1431</v>
      </c>
      <c r="C1246" t="s">
        <v>58</v>
      </c>
      <c r="D1246" t="s">
        <v>1569</v>
      </c>
      <c r="E1246">
        <v>1021</v>
      </c>
    </row>
    <row r="1247" spans="1:5" x14ac:dyDescent="0.2">
      <c r="A1247" s="269">
        <v>45909.697557870371</v>
      </c>
      <c r="B1247" t="s">
        <v>1431</v>
      </c>
      <c r="C1247" t="s">
        <v>58</v>
      </c>
      <c r="D1247" t="s">
        <v>1570</v>
      </c>
      <c r="E1247">
        <v>4.2969999999999997</v>
      </c>
    </row>
    <row r="1248" spans="1:5" x14ac:dyDescent="0.2">
      <c r="A1248" s="269">
        <v>45909.697627314818</v>
      </c>
      <c r="B1248" t="s">
        <v>1431</v>
      </c>
      <c r="C1248" t="s">
        <v>58</v>
      </c>
      <c r="D1248" t="s">
        <v>1571</v>
      </c>
      <c r="E1248">
        <v>3.9</v>
      </c>
    </row>
    <row r="1249" spans="1:5" x14ac:dyDescent="0.2">
      <c r="A1249" s="269">
        <v>45909.698182870372</v>
      </c>
      <c r="B1249" t="s">
        <v>1431</v>
      </c>
      <c r="C1249" t="s">
        <v>58</v>
      </c>
      <c r="D1249" t="s">
        <v>1572</v>
      </c>
      <c r="E1249">
        <v>79.182000000000002</v>
      </c>
    </row>
    <row r="1250" spans="1:5" x14ac:dyDescent="0.2">
      <c r="A1250" s="269">
        <v>45909.69835648148</v>
      </c>
      <c r="B1250" t="s">
        <v>1431</v>
      </c>
      <c r="C1250" t="s">
        <v>58</v>
      </c>
      <c r="D1250" t="s">
        <v>1573</v>
      </c>
      <c r="E1250">
        <v>954</v>
      </c>
    </row>
    <row r="1251" spans="1:5" x14ac:dyDescent="0.2">
      <c r="A1251" s="269">
        <v>45909.698414351849</v>
      </c>
      <c r="B1251" t="s">
        <v>1431</v>
      </c>
      <c r="C1251" t="s">
        <v>58</v>
      </c>
      <c r="D1251" t="s">
        <v>1574</v>
      </c>
      <c r="E1251">
        <v>632</v>
      </c>
    </row>
    <row r="1252" spans="1:5" x14ac:dyDescent="0.2">
      <c r="A1252" s="269">
        <v>45909.698518518519</v>
      </c>
      <c r="B1252" t="s">
        <v>1431</v>
      </c>
      <c r="C1252" t="s">
        <v>58</v>
      </c>
      <c r="D1252" t="s">
        <v>1575</v>
      </c>
      <c r="E1252">
        <v>52.456000000000003</v>
      </c>
    </row>
    <row r="1253" spans="1:5" x14ac:dyDescent="0.2">
      <c r="A1253" s="269">
        <v>45909.698738425926</v>
      </c>
      <c r="B1253" t="s">
        <v>1431</v>
      </c>
      <c r="C1253" t="s">
        <v>58</v>
      </c>
      <c r="D1253" t="s">
        <v>1576</v>
      </c>
      <c r="E1253">
        <v>10.065</v>
      </c>
    </row>
    <row r="1254" spans="1:5" x14ac:dyDescent="0.2">
      <c r="A1254" s="269">
        <v>45909.698888888888</v>
      </c>
      <c r="B1254" t="s">
        <v>1431</v>
      </c>
      <c r="C1254" t="s">
        <v>58</v>
      </c>
      <c r="D1254" t="s">
        <v>1577</v>
      </c>
      <c r="E1254">
        <v>18.2</v>
      </c>
    </row>
    <row r="1255" spans="1:5" x14ac:dyDescent="0.2">
      <c r="A1255" s="269">
        <v>45909.699432870373</v>
      </c>
      <c r="B1255" t="s">
        <v>1431</v>
      </c>
      <c r="C1255" t="s">
        <v>58</v>
      </c>
      <c r="D1255" t="s">
        <v>1556</v>
      </c>
      <c r="E1255">
        <v>34.694000000000003</v>
      </c>
    </row>
    <row r="1256" spans="1:5" x14ac:dyDescent="0.2">
      <c r="A1256" s="269">
        <v>45909.699525462966</v>
      </c>
      <c r="B1256" t="s">
        <v>1431</v>
      </c>
      <c r="C1256" t="s">
        <v>58</v>
      </c>
      <c r="D1256" t="s">
        <v>1557</v>
      </c>
      <c r="E1256">
        <v>422</v>
      </c>
    </row>
    <row r="1257" spans="1:5" x14ac:dyDescent="0.2">
      <c r="A1257" s="269">
        <v>45909.699652777781</v>
      </c>
      <c r="B1257" t="s">
        <v>1431</v>
      </c>
      <c r="C1257" t="s">
        <v>58</v>
      </c>
      <c r="D1257" t="s">
        <v>1558</v>
      </c>
      <c r="E1257">
        <v>588</v>
      </c>
    </row>
    <row r="1258" spans="1:5" x14ac:dyDescent="0.2">
      <c r="A1258" s="269">
        <v>45909.69972222222</v>
      </c>
      <c r="B1258" t="s">
        <v>1431</v>
      </c>
      <c r="C1258" t="s">
        <v>58</v>
      </c>
      <c r="D1258" t="s">
        <v>1559</v>
      </c>
      <c r="E1258">
        <v>48.804000000000002</v>
      </c>
    </row>
    <row r="1259" spans="1:5" x14ac:dyDescent="0.2">
      <c r="A1259" s="269">
        <v>45909.699976851851</v>
      </c>
      <c r="B1259" t="s">
        <v>1431</v>
      </c>
      <c r="C1259" t="s">
        <v>58</v>
      </c>
      <c r="D1259" t="s">
        <v>1560</v>
      </c>
      <c r="E1259">
        <v>35.393000000000001</v>
      </c>
    </row>
    <row r="1260" spans="1:5" x14ac:dyDescent="0.2">
      <c r="A1260" s="269">
        <v>45909.700115740743</v>
      </c>
      <c r="B1260" t="s">
        <v>1431</v>
      </c>
      <c r="C1260" t="s">
        <v>58</v>
      </c>
      <c r="D1260" t="s">
        <v>1561</v>
      </c>
      <c r="E1260">
        <v>28.3</v>
      </c>
    </row>
    <row r="1261" spans="1:5" x14ac:dyDescent="0.2">
      <c r="A1261" s="269">
        <v>45909.700208333335</v>
      </c>
      <c r="B1261" t="s">
        <v>1431</v>
      </c>
      <c r="C1261" t="s">
        <v>58</v>
      </c>
      <c r="D1261" t="s">
        <v>1578</v>
      </c>
      <c r="E1261" t="s">
        <v>1461</v>
      </c>
    </row>
    <row r="1262" spans="1:5" x14ac:dyDescent="0.2">
      <c r="A1262" s="269">
        <v>45909.700219907405</v>
      </c>
      <c r="B1262" t="s">
        <v>1431</v>
      </c>
      <c r="C1262" t="s">
        <v>58</v>
      </c>
      <c r="D1262" t="s">
        <v>1578</v>
      </c>
    </row>
    <row r="1263" spans="1:5" x14ac:dyDescent="0.2">
      <c r="A1263" s="269">
        <v>45909.700219907405</v>
      </c>
      <c r="B1263" t="s">
        <v>1431</v>
      </c>
      <c r="C1263" t="s">
        <v>58</v>
      </c>
      <c r="D1263" t="s">
        <v>1579</v>
      </c>
      <c r="E1263" t="s">
        <v>1461</v>
      </c>
    </row>
    <row r="1264" spans="1:5" x14ac:dyDescent="0.2">
      <c r="A1264" s="269">
        <v>45909.700243055559</v>
      </c>
      <c r="B1264" t="s">
        <v>1431</v>
      </c>
      <c r="C1264" t="s">
        <v>58</v>
      </c>
      <c r="D1264" t="s">
        <v>1578</v>
      </c>
      <c r="E1264" t="s">
        <v>1461</v>
      </c>
    </row>
    <row r="1265" spans="1:5" x14ac:dyDescent="0.2">
      <c r="A1265" s="269">
        <v>45909.700243055559</v>
      </c>
      <c r="B1265" t="s">
        <v>1431</v>
      </c>
      <c r="C1265" t="s">
        <v>58</v>
      </c>
      <c r="D1265" t="s">
        <v>1579</v>
      </c>
      <c r="E1265" t="s">
        <v>1462</v>
      </c>
    </row>
    <row r="1266" spans="1:5" x14ac:dyDescent="0.2">
      <c r="A1266" s="269">
        <v>45909.700243055559</v>
      </c>
      <c r="B1266" t="s">
        <v>1431</v>
      </c>
      <c r="C1266" t="s">
        <v>58</v>
      </c>
      <c r="D1266" t="s">
        <v>1579</v>
      </c>
      <c r="E1266" t="s">
        <v>1462</v>
      </c>
    </row>
    <row r="1267" spans="1:5" x14ac:dyDescent="0.2">
      <c r="A1267" s="269">
        <v>45909.700381944444</v>
      </c>
      <c r="B1267" t="s">
        <v>1431</v>
      </c>
      <c r="C1267" t="s">
        <v>58</v>
      </c>
      <c r="D1267" t="s">
        <v>1580</v>
      </c>
      <c r="E1267" t="s">
        <v>1461</v>
      </c>
    </row>
    <row r="1268" spans="1:5" x14ac:dyDescent="0.2">
      <c r="A1268" s="269">
        <v>45909.70040509259</v>
      </c>
      <c r="B1268" t="s">
        <v>1431</v>
      </c>
      <c r="C1268" t="s">
        <v>58</v>
      </c>
      <c r="D1268" t="s">
        <v>1581</v>
      </c>
      <c r="E1268" t="s">
        <v>1461</v>
      </c>
    </row>
    <row r="1269" spans="1:5" x14ac:dyDescent="0.2">
      <c r="A1269" s="269">
        <v>45909.700428240743</v>
      </c>
      <c r="B1269" t="s">
        <v>1431</v>
      </c>
      <c r="C1269" t="s">
        <v>58</v>
      </c>
      <c r="D1269" t="s">
        <v>1582</v>
      </c>
    </row>
    <row r="1270" spans="1:5" x14ac:dyDescent="0.2">
      <c r="A1270" s="269">
        <v>45909.702731481484</v>
      </c>
      <c r="B1270" t="s">
        <v>1431</v>
      </c>
      <c r="C1270" t="s">
        <v>58</v>
      </c>
      <c r="D1270" t="s">
        <v>1583</v>
      </c>
      <c r="E1270">
        <v>56.107999999999997</v>
      </c>
    </row>
    <row r="1271" spans="1:5" x14ac:dyDescent="0.2">
      <c r="A1271" s="269">
        <v>45909.702893518515</v>
      </c>
      <c r="B1271" t="s">
        <v>1431</v>
      </c>
      <c r="C1271" t="s">
        <v>58</v>
      </c>
      <c r="D1271" t="s">
        <v>1584</v>
      </c>
      <c r="E1271">
        <v>676</v>
      </c>
    </row>
    <row r="1272" spans="1:5" x14ac:dyDescent="0.2">
      <c r="A1272" s="269">
        <v>45909.702962962961</v>
      </c>
      <c r="B1272" t="s">
        <v>1431</v>
      </c>
      <c r="C1272" t="s">
        <v>58</v>
      </c>
      <c r="D1272" t="s">
        <v>1585</v>
      </c>
      <c r="E1272">
        <v>945</v>
      </c>
    </row>
    <row r="1273" spans="1:5" x14ac:dyDescent="0.2">
      <c r="A1273" s="269">
        <v>45909.702997685185</v>
      </c>
      <c r="B1273" t="s">
        <v>1431</v>
      </c>
      <c r="C1273" t="s">
        <v>58</v>
      </c>
      <c r="D1273" t="s">
        <v>1586</v>
      </c>
      <c r="E1273">
        <v>78</v>
      </c>
    </row>
    <row r="1274" spans="1:5" x14ac:dyDescent="0.2">
      <c r="A1274" s="269">
        <v>45909.703055555554</v>
      </c>
      <c r="B1274" t="s">
        <v>1431</v>
      </c>
      <c r="C1274" t="s">
        <v>58</v>
      </c>
      <c r="D1274" t="s">
        <v>1586</v>
      </c>
      <c r="E1274">
        <v>78.435000000000002</v>
      </c>
    </row>
    <row r="1275" spans="1:5" x14ac:dyDescent="0.2">
      <c r="A1275" s="269">
        <v>45909.703414351854</v>
      </c>
      <c r="B1275" t="s">
        <v>1431</v>
      </c>
      <c r="C1275" t="s">
        <v>58</v>
      </c>
      <c r="D1275" t="s">
        <v>1587</v>
      </c>
      <c r="E1275">
        <v>12.824999999999999</v>
      </c>
    </row>
    <row r="1276" spans="1:5" x14ac:dyDescent="0.2">
      <c r="A1276" s="269">
        <v>45909.703541666669</v>
      </c>
      <c r="B1276" t="s">
        <v>1431</v>
      </c>
      <c r="C1276" t="s">
        <v>58</v>
      </c>
      <c r="D1276" t="s">
        <v>1588</v>
      </c>
      <c r="E1276">
        <v>24</v>
      </c>
    </row>
    <row r="1277" spans="1:5" x14ac:dyDescent="0.2">
      <c r="A1277" s="269">
        <v>45909.704224537039</v>
      </c>
      <c r="B1277" t="s">
        <v>1431</v>
      </c>
      <c r="C1277" t="s">
        <v>58</v>
      </c>
      <c r="D1277" t="s">
        <v>1589</v>
      </c>
      <c r="E1277">
        <v>50.63</v>
      </c>
    </row>
    <row r="1278" spans="1:5" x14ac:dyDescent="0.2">
      <c r="A1278" s="269">
        <v>45909.704340277778</v>
      </c>
      <c r="B1278" t="s">
        <v>1431</v>
      </c>
      <c r="C1278" t="s">
        <v>58</v>
      </c>
      <c r="D1278" t="s">
        <v>1590</v>
      </c>
      <c r="E1278">
        <v>610</v>
      </c>
    </row>
    <row r="1279" spans="1:5" x14ac:dyDescent="0.2">
      <c r="A1279" s="269">
        <v>45909.704398148147</v>
      </c>
      <c r="B1279" t="s">
        <v>1431</v>
      </c>
      <c r="C1279" t="s">
        <v>58</v>
      </c>
      <c r="D1279" t="s">
        <v>1591</v>
      </c>
      <c r="E1279">
        <v>908</v>
      </c>
    </row>
    <row r="1280" spans="1:5" x14ac:dyDescent="0.2">
      <c r="A1280" s="269">
        <v>45909.704456018517</v>
      </c>
      <c r="B1280" t="s">
        <v>1431</v>
      </c>
      <c r="C1280" t="s">
        <v>58</v>
      </c>
      <c r="D1280" t="s">
        <v>1592</v>
      </c>
      <c r="E1280">
        <v>75.394000000000005</v>
      </c>
    </row>
    <row r="1281" spans="1:5" x14ac:dyDescent="0.2">
      <c r="A1281" s="269">
        <v>45909.704525462963</v>
      </c>
      <c r="B1281" t="s">
        <v>1431</v>
      </c>
      <c r="C1281" t="s">
        <v>58</v>
      </c>
      <c r="D1281" t="s">
        <v>1592</v>
      </c>
      <c r="E1281">
        <v>75.364000000000004</v>
      </c>
    </row>
    <row r="1282" spans="1:5" x14ac:dyDescent="0.2">
      <c r="A1282" s="269">
        <v>45909.704722222225</v>
      </c>
      <c r="B1282" t="s">
        <v>1431</v>
      </c>
      <c r="C1282" t="s">
        <v>58</v>
      </c>
      <c r="D1282" t="s">
        <v>1593</v>
      </c>
      <c r="E1282">
        <v>31.962</v>
      </c>
    </row>
    <row r="1283" spans="1:5" x14ac:dyDescent="0.2">
      <c r="A1283" s="269">
        <v>45909.704907407409</v>
      </c>
      <c r="B1283" t="s">
        <v>1431</v>
      </c>
      <c r="C1283" t="s">
        <v>58</v>
      </c>
      <c r="D1283" t="s">
        <v>1594</v>
      </c>
      <c r="E1283">
        <v>24</v>
      </c>
    </row>
    <row r="1284" spans="1:5" x14ac:dyDescent="0.2">
      <c r="A1284" s="269">
        <v>45909.705370370371</v>
      </c>
      <c r="B1284" t="s">
        <v>1431</v>
      </c>
      <c r="C1284" t="s">
        <v>58</v>
      </c>
      <c r="D1284" t="s">
        <v>1595</v>
      </c>
      <c r="E1284">
        <v>50713</v>
      </c>
    </row>
    <row r="1285" spans="1:5" x14ac:dyDescent="0.2">
      <c r="A1285" s="269">
        <v>45909.705405092594</v>
      </c>
      <c r="B1285" t="s">
        <v>1431</v>
      </c>
      <c r="C1285" t="s">
        <v>58</v>
      </c>
      <c r="D1285" t="s">
        <v>1595</v>
      </c>
      <c r="E1285">
        <v>50.713000000000001</v>
      </c>
    </row>
    <row r="1286" spans="1:5" x14ac:dyDescent="0.2">
      <c r="A1286" s="269">
        <v>45909.705555555556</v>
      </c>
      <c r="B1286" t="s">
        <v>1431</v>
      </c>
      <c r="C1286" t="s">
        <v>58</v>
      </c>
      <c r="D1286" t="s">
        <v>1596</v>
      </c>
      <c r="E1286">
        <v>611</v>
      </c>
    </row>
    <row r="1287" spans="1:5" x14ac:dyDescent="0.2">
      <c r="A1287" s="269">
        <v>45909.705601851849</v>
      </c>
      <c r="B1287" t="s">
        <v>1431</v>
      </c>
      <c r="C1287" t="s">
        <v>58</v>
      </c>
      <c r="D1287" t="s">
        <v>1597</v>
      </c>
      <c r="E1287">
        <v>81</v>
      </c>
    </row>
    <row r="1288" spans="1:5" x14ac:dyDescent="0.2">
      <c r="A1288" s="269">
        <v>45909.705659722225</v>
      </c>
      <c r="B1288" t="s">
        <v>1431</v>
      </c>
      <c r="C1288" t="s">
        <v>58</v>
      </c>
      <c r="D1288" t="s">
        <v>1598</v>
      </c>
      <c r="E1288">
        <v>6.7229999999999999</v>
      </c>
    </row>
    <row r="1289" spans="1:5" x14ac:dyDescent="0.2">
      <c r="A1289" s="269">
        <v>45909.70584490741</v>
      </c>
      <c r="B1289" t="s">
        <v>1431</v>
      </c>
      <c r="C1289" t="s">
        <v>58</v>
      </c>
      <c r="D1289" t="s">
        <v>1599</v>
      </c>
      <c r="E1289">
        <v>9.1</v>
      </c>
    </row>
    <row r="1290" spans="1:5" x14ac:dyDescent="0.2">
      <c r="A1290" s="269">
        <v>45909.705972222226</v>
      </c>
      <c r="B1290" t="s">
        <v>1431</v>
      </c>
      <c r="C1290" t="s">
        <v>58</v>
      </c>
      <c r="D1290" t="s">
        <v>1600</v>
      </c>
      <c r="E1290">
        <v>11.526999999999999</v>
      </c>
    </row>
    <row r="1291" spans="1:5" x14ac:dyDescent="0.2">
      <c r="A1291" s="269">
        <v>45909.707337962966</v>
      </c>
      <c r="B1291" t="s">
        <v>1431</v>
      </c>
      <c r="C1291" t="s">
        <v>58</v>
      </c>
      <c r="D1291" t="s">
        <v>1601</v>
      </c>
    </row>
    <row r="1292" spans="1:5" x14ac:dyDescent="0.2">
      <c r="A1292" s="269">
        <v>45909.710069444445</v>
      </c>
      <c r="B1292" t="s">
        <v>1431</v>
      </c>
      <c r="C1292" t="s">
        <v>58</v>
      </c>
      <c r="D1292" t="s">
        <v>1602</v>
      </c>
    </row>
    <row r="1293" spans="1:5" x14ac:dyDescent="0.2">
      <c r="A1293" s="269">
        <v>45909.710324074076</v>
      </c>
      <c r="B1293" t="s">
        <v>1431</v>
      </c>
      <c r="C1293" t="s">
        <v>28</v>
      </c>
      <c r="D1293" t="s">
        <v>1436</v>
      </c>
      <c r="E1293">
        <v>50</v>
      </c>
    </row>
    <row r="1294" spans="1:5" x14ac:dyDescent="0.2">
      <c r="A1294" s="269">
        <v>45909.715752314813</v>
      </c>
      <c r="B1294" t="s">
        <v>1431</v>
      </c>
      <c r="C1294" t="s">
        <v>28</v>
      </c>
      <c r="D1294" t="s">
        <v>1191</v>
      </c>
      <c r="E1294" t="s">
        <v>338</v>
      </c>
    </row>
    <row r="1295" spans="1:5" x14ac:dyDescent="0.2">
      <c r="A1295" s="269">
        <v>45909.715983796297</v>
      </c>
      <c r="B1295" t="s">
        <v>1431</v>
      </c>
      <c r="C1295" t="s">
        <v>28</v>
      </c>
      <c r="D1295" t="s">
        <v>1066</v>
      </c>
      <c r="E1295" t="s">
        <v>367</v>
      </c>
    </row>
    <row r="1296" spans="1:5" x14ac:dyDescent="0.2">
      <c r="A1296" s="269">
        <v>45909.71603009259</v>
      </c>
      <c r="B1296" t="s">
        <v>1431</v>
      </c>
      <c r="C1296" t="s">
        <v>28</v>
      </c>
      <c r="D1296" t="s">
        <v>973</v>
      </c>
      <c r="E1296">
        <v>1500</v>
      </c>
    </row>
    <row r="1297" spans="1:5" x14ac:dyDescent="0.2">
      <c r="A1297" s="269">
        <v>45909.717557870368</v>
      </c>
      <c r="B1297" t="s">
        <v>1431</v>
      </c>
      <c r="C1297" t="s">
        <v>28</v>
      </c>
      <c r="D1297" t="s">
        <v>926</v>
      </c>
      <c r="E1297" t="s">
        <v>384</v>
      </c>
    </row>
    <row r="1298" spans="1:5" x14ac:dyDescent="0.2">
      <c r="A1298" s="269">
        <v>45909.717800925922</v>
      </c>
      <c r="B1298" t="s">
        <v>1431</v>
      </c>
      <c r="C1298" t="s">
        <v>28</v>
      </c>
      <c r="D1298" t="s">
        <v>1455</v>
      </c>
      <c r="E1298" t="s">
        <v>1603</v>
      </c>
    </row>
    <row r="1299" spans="1:5" x14ac:dyDescent="0.2">
      <c r="A1299" s="269">
        <v>45909.719895833332</v>
      </c>
      <c r="B1299" t="s">
        <v>1431</v>
      </c>
      <c r="C1299" t="s">
        <v>28</v>
      </c>
      <c r="D1299" t="s">
        <v>674</v>
      </c>
      <c r="E1299" t="s">
        <v>379</v>
      </c>
    </row>
    <row r="1300" spans="1:5" x14ac:dyDescent="0.2">
      <c r="A1300" s="269">
        <v>45909.719930555555</v>
      </c>
      <c r="B1300" t="s">
        <v>1431</v>
      </c>
      <c r="C1300" t="s">
        <v>28</v>
      </c>
      <c r="D1300" t="s">
        <v>1475</v>
      </c>
      <c r="E1300" t="s">
        <v>318</v>
      </c>
    </row>
    <row r="1301" spans="1:5" x14ac:dyDescent="0.2">
      <c r="A1301" s="269">
        <v>45909.720300925925</v>
      </c>
      <c r="B1301" t="s">
        <v>1431</v>
      </c>
      <c r="C1301" t="s">
        <v>28</v>
      </c>
      <c r="D1301" t="s">
        <v>1446</v>
      </c>
      <c r="E1301">
        <v>1700</v>
      </c>
    </row>
    <row r="1302" spans="1:5" x14ac:dyDescent="0.2">
      <c r="A1302" s="269">
        <v>45909.720370370371</v>
      </c>
      <c r="B1302" t="s">
        <v>1431</v>
      </c>
      <c r="C1302" t="s">
        <v>28</v>
      </c>
      <c r="D1302" t="s">
        <v>1485</v>
      </c>
      <c r="E1302" t="s">
        <v>357</v>
      </c>
    </row>
    <row r="1303" spans="1:5" x14ac:dyDescent="0.2">
      <c r="A1303" s="269">
        <v>45909.720601851855</v>
      </c>
      <c r="B1303" t="s">
        <v>1431</v>
      </c>
      <c r="C1303" t="s">
        <v>28</v>
      </c>
      <c r="D1303" t="s">
        <v>1544</v>
      </c>
      <c r="E1303" t="s">
        <v>1604</v>
      </c>
    </row>
    <row r="1304" spans="1:5" x14ac:dyDescent="0.2">
      <c r="A1304" s="269">
        <v>45909.720879629633</v>
      </c>
      <c r="B1304" t="s">
        <v>1431</v>
      </c>
      <c r="C1304" t="s">
        <v>28</v>
      </c>
      <c r="D1304" t="s">
        <v>795</v>
      </c>
      <c r="E1304" t="s">
        <v>338</v>
      </c>
    </row>
    <row r="1305" spans="1:5" x14ac:dyDescent="0.2">
      <c r="A1305" s="269">
        <v>45909.720902777779</v>
      </c>
      <c r="B1305" t="s">
        <v>1431</v>
      </c>
      <c r="C1305" t="s">
        <v>28</v>
      </c>
      <c r="D1305" t="s">
        <v>994</v>
      </c>
      <c r="E1305" t="s">
        <v>383</v>
      </c>
    </row>
    <row r="1306" spans="1:5" x14ac:dyDescent="0.2">
      <c r="A1306" s="269">
        <v>45909.720972222225</v>
      </c>
      <c r="B1306" t="s">
        <v>1431</v>
      </c>
      <c r="C1306" t="s">
        <v>28</v>
      </c>
      <c r="D1306" t="s">
        <v>1013</v>
      </c>
      <c r="E1306" t="s">
        <v>89</v>
      </c>
    </row>
    <row r="1307" spans="1:5" x14ac:dyDescent="0.2">
      <c r="A1307" s="269">
        <v>45909.720995370371</v>
      </c>
      <c r="B1307" t="s">
        <v>1431</v>
      </c>
      <c r="C1307" t="s">
        <v>28</v>
      </c>
      <c r="D1307" t="s">
        <v>747</v>
      </c>
      <c r="E1307" t="s">
        <v>89</v>
      </c>
    </row>
    <row r="1308" spans="1:5" x14ac:dyDescent="0.2">
      <c r="A1308" s="269">
        <v>45909.721018518518</v>
      </c>
      <c r="B1308" t="s">
        <v>1431</v>
      </c>
      <c r="C1308" t="s">
        <v>28</v>
      </c>
      <c r="D1308" t="s">
        <v>1437</v>
      </c>
      <c r="E1308" t="s">
        <v>89</v>
      </c>
    </row>
    <row r="1309" spans="1:5" x14ac:dyDescent="0.2">
      <c r="A1309" s="269">
        <v>45909.721053240741</v>
      </c>
      <c r="B1309" t="s">
        <v>1431</v>
      </c>
      <c r="C1309" t="s">
        <v>28</v>
      </c>
      <c r="D1309" t="s">
        <v>1605</v>
      </c>
      <c r="E1309" t="s">
        <v>367</v>
      </c>
    </row>
    <row r="1310" spans="1:5" x14ac:dyDescent="0.2">
      <c r="A1310" s="269">
        <v>45909.721076388887</v>
      </c>
      <c r="B1310" t="s">
        <v>1431</v>
      </c>
      <c r="C1310" t="s">
        <v>28</v>
      </c>
      <c r="D1310" t="s">
        <v>1605</v>
      </c>
    </row>
    <row r="1311" spans="1:5" x14ac:dyDescent="0.2">
      <c r="A1311" s="269">
        <v>45909.721134259256</v>
      </c>
      <c r="B1311" t="s">
        <v>1431</v>
      </c>
      <c r="C1311" t="s">
        <v>28</v>
      </c>
      <c r="D1311" t="s">
        <v>1606</v>
      </c>
      <c r="E1311" t="s">
        <v>139</v>
      </c>
    </row>
    <row r="1312" spans="1:5" x14ac:dyDescent="0.2">
      <c r="A1312" s="269">
        <v>45909.721180555556</v>
      </c>
      <c r="B1312" t="s">
        <v>1431</v>
      </c>
      <c r="C1312" t="s">
        <v>28</v>
      </c>
      <c r="D1312" t="s">
        <v>1439</v>
      </c>
      <c r="E1312" t="s">
        <v>362</v>
      </c>
    </row>
    <row r="1313" spans="1:5" x14ac:dyDescent="0.2">
      <c r="A1313" s="269">
        <v>45909.721215277779</v>
      </c>
      <c r="B1313" t="s">
        <v>1431</v>
      </c>
      <c r="C1313" t="s">
        <v>28</v>
      </c>
      <c r="D1313" t="s">
        <v>1441</v>
      </c>
      <c r="E1313" t="s">
        <v>362</v>
      </c>
    </row>
    <row r="1314" spans="1:5" x14ac:dyDescent="0.2">
      <c r="A1314" s="269">
        <v>45909.721238425926</v>
      </c>
      <c r="B1314" t="s">
        <v>1431</v>
      </c>
      <c r="C1314" t="s">
        <v>28</v>
      </c>
      <c r="D1314" t="s">
        <v>672</v>
      </c>
      <c r="E1314" t="s">
        <v>362</v>
      </c>
    </row>
    <row r="1315" spans="1:5" x14ac:dyDescent="0.2">
      <c r="A1315" s="269">
        <v>45909.721296296295</v>
      </c>
      <c r="B1315" t="s">
        <v>1431</v>
      </c>
      <c r="C1315" t="s">
        <v>28</v>
      </c>
      <c r="D1315" t="s">
        <v>1607</v>
      </c>
      <c r="E1315" t="s">
        <v>139</v>
      </c>
    </row>
    <row r="1316" spans="1:5" x14ac:dyDescent="0.2">
      <c r="A1316" s="269">
        <v>45909.721412037034</v>
      </c>
      <c r="B1316" t="s">
        <v>1431</v>
      </c>
      <c r="C1316" t="s">
        <v>28</v>
      </c>
      <c r="D1316" t="s">
        <v>674</v>
      </c>
      <c r="E1316" t="s">
        <v>371</v>
      </c>
    </row>
    <row r="1317" spans="1:5" x14ac:dyDescent="0.2">
      <c r="A1317" s="269">
        <v>45909.72142361111</v>
      </c>
      <c r="B1317" t="s">
        <v>1431</v>
      </c>
      <c r="C1317" t="s">
        <v>28</v>
      </c>
      <c r="D1317" t="s">
        <v>675</v>
      </c>
      <c r="E1317" t="s">
        <v>371</v>
      </c>
    </row>
    <row r="1318" spans="1:5" x14ac:dyDescent="0.2">
      <c r="A1318" s="269">
        <v>45909.72142361111</v>
      </c>
      <c r="B1318" t="s">
        <v>1431</v>
      </c>
      <c r="C1318" t="s">
        <v>28</v>
      </c>
      <c r="D1318" t="s">
        <v>676</v>
      </c>
      <c r="E1318" t="s">
        <v>371</v>
      </c>
    </row>
    <row r="1319" spans="1:5" x14ac:dyDescent="0.2">
      <c r="A1319" s="269">
        <v>45909.721493055556</v>
      </c>
      <c r="B1319" t="s">
        <v>1431</v>
      </c>
      <c r="C1319" t="s">
        <v>28</v>
      </c>
      <c r="D1319" t="s">
        <v>1495</v>
      </c>
      <c r="E1319" t="s">
        <v>318</v>
      </c>
    </row>
    <row r="1320" spans="1:5" x14ac:dyDescent="0.2">
      <c r="A1320" s="269">
        <v>45909.721550925926</v>
      </c>
      <c r="B1320" t="s">
        <v>1431</v>
      </c>
      <c r="C1320" t="s">
        <v>28</v>
      </c>
      <c r="D1320" t="s">
        <v>1608</v>
      </c>
      <c r="E1320" t="s">
        <v>139</v>
      </c>
    </row>
    <row r="1321" spans="1:5" x14ac:dyDescent="0.2">
      <c r="A1321" s="269">
        <v>45909.721562500003</v>
      </c>
      <c r="B1321" t="s">
        <v>1431</v>
      </c>
      <c r="C1321" t="s">
        <v>28</v>
      </c>
      <c r="D1321" t="s">
        <v>1609</v>
      </c>
      <c r="E1321" t="s">
        <v>139</v>
      </c>
    </row>
    <row r="1322" spans="1:5" x14ac:dyDescent="0.2">
      <c r="A1322" s="269">
        <v>45909.721597222226</v>
      </c>
      <c r="B1322" t="s">
        <v>1431</v>
      </c>
      <c r="C1322" t="s">
        <v>28</v>
      </c>
      <c r="D1322" t="s">
        <v>677</v>
      </c>
      <c r="E1322" t="s">
        <v>379</v>
      </c>
    </row>
    <row r="1323" spans="1:5" x14ac:dyDescent="0.2">
      <c r="A1323" s="269">
        <v>45909.721620370372</v>
      </c>
      <c r="B1323" t="s">
        <v>1431</v>
      </c>
      <c r="C1323" t="s">
        <v>28</v>
      </c>
      <c r="D1323" t="s">
        <v>678</v>
      </c>
      <c r="E1323" t="s">
        <v>379</v>
      </c>
    </row>
    <row r="1324" spans="1:5" x14ac:dyDescent="0.2">
      <c r="A1324" s="269">
        <v>45909.721631944441</v>
      </c>
      <c r="B1324" t="s">
        <v>1431</v>
      </c>
      <c r="C1324" t="s">
        <v>28</v>
      </c>
      <c r="D1324" t="s">
        <v>1610</v>
      </c>
      <c r="E1324" t="s">
        <v>379</v>
      </c>
    </row>
    <row r="1325" spans="1:5" x14ac:dyDescent="0.2">
      <c r="A1325" s="269">
        <v>45909.721643518518</v>
      </c>
      <c r="B1325" t="s">
        <v>1431</v>
      </c>
      <c r="C1325" t="s">
        <v>28</v>
      </c>
      <c r="D1325" t="s">
        <v>1611</v>
      </c>
      <c r="E1325" t="s">
        <v>379</v>
      </c>
    </row>
    <row r="1326" spans="1:5" x14ac:dyDescent="0.2">
      <c r="A1326" s="269">
        <v>45909.721689814818</v>
      </c>
      <c r="B1326" t="s">
        <v>1431</v>
      </c>
      <c r="C1326" t="s">
        <v>28</v>
      </c>
      <c r="D1326" t="s">
        <v>1612</v>
      </c>
      <c r="E1326">
        <v>1700</v>
      </c>
    </row>
    <row r="1327" spans="1:5" x14ac:dyDescent="0.2">
      <c r="A1327" s="269">
        <v>45909.721712962964</v>
      </c>
      <c r="B1327" t="s">
        <v>1431</v>
      </c>
      <c r="C1327" t="s">
        <v>28</v>
      </c>
      <c r="D1327" t="s">
        <v>1613</v>
      </c>
    </row>
    <row r="1328" spans="1:5" x14ac:dyDescent="0.2">
      <c r="A1328" s="269">
        <v>45909.721747685187</v>
      </c>
      <c r="B1328" t="s">
        <v>1431</v>
      </c>
      <c r="C1328" t="s">
        <v>28</v>
      </c>
      <c r="D1328" t="s">
        <v>1614</v>
      </c>
      <c r="E1328" t="s">
        <v>386</v>
      </c>
    </row>
    <row r="1329" spans="1:5" x14ac:dyDescent="0.2">
      <c r="A1329" s="269">
        <v>45909.721990740742</v>
      </c>
      <c r="B1329" t="s">
        <v>1431</v>
      </c>
      <c r="C1329" t="s">
        <v>28</v>
      </c>
      <c r="D1329" t="s">
        <v>1615</v>
      </c>
      <c r="E1329" t="s">
        <v>139</v>
      </c>
    </row>
    <row r="1330" spans="1:5" x14ac:dyDescent="0.2">
      <c r="A1330" s="269">
        <v>45909.722037037034</v>
      </c>
      <c r="B1330" t="s">
        <v>1431</v>
      </c>
      <c r="C1330" t="s">
        <v>28</v>
      </c>
      <c r="D1330" t="s">
        <v>1616</v>
      </c>
      <c r="E1330" t="s">
        <v>386</v>
      </c>
    </row>
    <row r="1331" spans="1:5" x14ac:dyDescent="0.2">
      <c r="A1331" s="269">
        <v>45909.722037037034</v>
      </c>
      <c r="B1331" t="s">
        <v>1431</v>
      </c>
      <c r="C1331" t="s">
        <v>28</v>
      </c>
      <c r="D1331" t="s">
        <v>1617</v>
      </c>
      <c r="E1331" t="s">
        <v>386</v>
      </c>
    </row>
    <row r="1332" spans="1:5" x14ac:dyDescent="0.2">
      <c r="A1332" s="269">
        <v>45909.723368055558</v>
      </c>
      <c r="B1332" t="s">
        <v>1431</v>
      </c>
      <c r="C1332" t="s">
        <v>28</v>
      </c>
      <c r="D1332" t="s">
        <v>923</v>
      </c>
      <c r="E1332">
        <v>4125</v>
      </c>
    </row>
    <row r="1333" spans="1:5" x14ac:dyDescent="0.2">
      <c r="A1333" s="269">
        <v>45909.723449074074</v>
      </c>
      <c r="B1333" t="s">
        <v>1431</v>
      </c>
      <c r="C1333" t="s">
        <v>28</v>
      </c>
      <c r="D1333" t="s">
        <v>1618</v>
      </c>
      <c r="E1333" t="s">
        <v>384</v>
      </c>
    </row>
    <row r="1334" spans="1:5" x14ac:dyDescent="0.2">
      <c r="A1334" s="269">
        <v>45909.723483796297</v>
      </c>
      <c r="B1334" t="s">
        <v>1431</v>
      </c>
      <c r="C1334" t="s">
        <v>28</v>
      </c>
      <c r="D1334" t="s">
        <v>1619</v>
      </c>
      <c r="E1334" t="s">
        <v>384</v>
      </c>
    </row>
    <row r="1335" spans="1:5" x14ac:dyDescent="0.2">
      <c r="A1335" s="269">
        <v>45909.723530092589</v>
      </c>
      <c r="B1335" t="s">
        <v>1431</v>
      </c>
      <c r="C1335" t="s">
        <v>28</v>
      </c>
      <c r="D1335" t="s">
        <v>1620</v>
      </c>
      <c r="E1335" t="s">
        <v>384</v>
      </c>
    </row>
    <row r="1336" spans="1:5" x14ac:dyDescent="0.2">
      <c r="A1336" s="269">
        <v>45909.723553240743</v>
      </c>
      <c r="B1336" t="s">
        <v>1431</v>
      </c>
      <c r="C1336" t="s">
        <v>28</v>
      </c>
      <c r="D1336" t="s">
        <v>1621</v>
      </c>
      <c r="E1336" t="s">
        <v>384</v>
      </c>
    </row>
    <row r="1337" spans="1:5" x14ac:dyDescent="0.2">
      <c r="A1337" s="269">
        <v>45909.723599537036</v>
      </c>
      <c r="B1337" t="s">
        <v>1431</v>
      </c>
      <c r="C1337" t="s">
        <v>28</v>
      </c>
      <c r="D1337" t="s">
        <v>1622</v>
      </c>
      <c r="E1337" t="s">
        <v>384</v>
      </c>
    </row>
    <row r="1338" spans="1:5" x14ac:dyDescent="0.2">
      <c r="A1338" s="269">
        <v>45909.724097222221</v>
      </c>
      <c r="B1338" t="s">
        <v>1431</v>
      </c>
      <c r="C1338" t="s">
        <v>28</v>
      </c>
      <c r="D1338" t="s">
        <v>1623</v>
      </c>
      <c r="E1338" t="s">
        <v>390</v>
      </c>
    </row>
    <row r="1339" spans="1:5" x14ac:dyDescent="0.2">
      <c r="A1339" s="269">
        <v>45909.724131944444</v>
      </c>
      <c r="B1339" t="s">
        <v>1431</v>
      </c>
      <c r="C1339" t="s">
        <v>28</v>
      </c>
      <c r="D1339" t="s">
        <v>1624</v>
      </c>
      <c r="E1339" t="s">
        <v>390</v>
      </c>
    </row>
    <row r="1340" spans="1:5" x14ac:dyDescent="0.2">
      <c r="A1340" s="269">
        <v>45909.72415509259</v>
      </c>
      <c r="B1340" t="s">
        <v>1431</v>
      </c>
      <c r="C1340" t="s">
        <v>28</v>
      </c>
      <c r="D1340" t="s">
        <v>1625</v>
      </c>
      <c r="E1340" t="s">
        <v>390</v>
      </c>
    </row>
    <row r="1341" spans="1:5" x14ac:dyDescent="0.2">
      <c r="A1341" s="269">
        <v>45909.724178240744</v>
      </c>
      <c r="B1341" t="s">
        <v>1431</v>
      </c>
      <c r="C1341" t="s">
        <v>28</v>
      </c>
      <c r="D1341" t="s">
        <v>1626</v>
      </c>
      <c r="E1341" t="s">
        <v>139</v>
      </c>
    </row>
    <row r="1342" spans="1:5" x14ac:dyDescent="0.2">
      <c r="A1342" s="269">
        <v>45909.724224537036</v>
      </c>
      <c r="B1342" t="s">
        <v>1431</v>
      </c>
      <c r="C1342" t="s">
        <v>28</v>
      </c>
      <c r="D1342" t="s">
        <v>1627</v>
      </c>
      <c r="E1342" t="s">
        <v>384</v>
      </c>
    </row>
    <row r="1343" spans="1:5" x14ac:dyDescent="0.2">
      <c r="A1343" s="269">
        <v>45909.724282407406</v>
      </c>
      <c r="B1343" t="s">
        <v>1431</v>
      </c>
      <c r="C1343" t="s">
        <v>28</v>
      </c>
      <c r="D1343" t="s">
        <v>1628</v>
      </c>
      <c r="E1343" t="s">
        <v>41</v>
      </c>
    </row>
    <row r="1344" spans="1:5" x14ac:dyDescent="0.2">
      <c r="A1344" s="269">
        <v>45909.724305555559</v>
      </c>
      <c r="B1344" t="s">
        <v>1431</v>
      </c>
      <c r="C1344" t="s">
        <v>28</v>
      </c>
      <c r="D1344" t="s">
        <v>1629</v>
      </c>
      <c r="E1344" t="s">
        <v>41</v>
      </c>
    </row>
    <row r="1345" spans="1:5" x14ac:dyDescent="0.2">
      <c r="A1345" s="269">
        <v>45909.724305555559</v>
      </c>
      <c r="B1345" t="s">
        <v>1431</v>
      </c>
      <c r="C1345" t="s">
        <v>28</v>
      </c>
      <c r="D1345" t="s">
        <v>1630</v>
      </c>
      <c r="E1345" t="s">
        <v>41</v>
      </c>
    </row>
    <row r="1346" spans="1:5" x14ac:dyDescent="0.2">
      <c r="A1346" s="269">
        <v>45909.724351851852</v>
      </c>
      <c r="B1346" t="s">
        <v>1431</v>
      </c>
      <c r="C1346" t="s">
        <v>28</v>
      </c>
      <c r="D1346" t="s">
        <v>1631</v>
      </c>
      <c r="E1346" t="s">
        <v>139</v>
      </c>
    </row>
    <row r="1347" spans="1:5" x14ac:dyDescent="0.2">
      <c r="A1347" s="269">
        <v>45909.724398148152</v>
      </c>
      <c r="B1347" t="s">
        <v>1431</v>
      </c>
      <c r="C1347" t="s">
        <v>28</v>
      </c>
      <c r="D1347" t="s">
        <v>1632</v>
      </c>
      <c r="E1347" t="s">
        <v>139</v>
      </c>
    </row>
    <row r="1348" spans="1:5" x14ac:dyDescent="0.2">
      <c r="A1348" s="269">
        <v>45909.724398148152</v>
      </c>
      <c r="B1348" t="s">
        <v>1431</v>
      </c>
      <c r="C1348" t="s">
        <v>28</v>
      </c>
      <c r="D1348" t="s">
        <v>1633</v>
      </c>
      <c r="E1348" t="s">
        <v>139</v>
      </c>
    </row>
    <row r="1349" spans="1:5" x14ac:dyDescent="0.2">
      <c r="A1349" s="269">
        <v>45909.724432870367</v>
      </c>
      <c r="B1349" t="s">
        <v>1431</v>
      </c>
      <c r="C1349" t="s">
        <v>28</v>
      </c>
      <c r="D1349" t="s">
        <v>1634</v>
      </c>
      <c r="E1349" t="s">
        <v>397</v>
      </c>
    </row>
    <row r="1350" spans="1:5" x14ac:dyDescent="0.2">
      <c r="A1350" s="269">
        <v>45909.724444444444</v>
      </c>
      <c r="B1350" t="s">
        <v>1431</v>
      </c>
      <c r="C1350" t="s">
        <v>28</v>
      </c>
      <c r="D1350" t="s">
        <v>1635</v>
      </c>
      <c r="E1350" t="s">
        <v>397</v>
      </c>
    </row>
    <row r="1351" spans="1:5" x14ac:dyDescent="0.2">
      <c r="A1351" s="269">
        <v>45909.724456018521</v>
      </c>
      <c r="B1351" t="s">
        <v>1431</v>
      </c>
      <c r="C1351" t="s">
        <v>28</v>
      </c>
      <c r="D1351" t="s">
        <v>1636</v>
      </c>
    </row>
    <row r="1352" spans="1:5" x14ac:dyDescent="0.2">
      <c r="A1352" s="269">
        <v>45909.72446759259</v>
      </c>
      <c r="B1352" t="s">
        <v>1431</v>
      </c>
      <c r="C1352" t="s">
        <v>28</v>
      </c>
      <c r="D1352" t="s">
        <v>1637</v>
      </c>
      <c r="E1352" t="s">
        <v>397</v>
      </c>
    </row>
    <row r="1353" spans="1:5" x14ac:dyDescent="0.2">
      <c r="A1353" s="269">
        <v>45909.724490740744</v>
      </c>
      <c r="B1353" t="s">
        <v>1431</v>
      </c>
      <c r="C1353" t="s">
        <v>28</v>
      </c>
      <c r="D1353" t="s">
        <v>1636</v>
      </c>
      <c r="E1353" t="s">
        <v>400</v>
      </c>
    </row>
    <row r="1354" spans="1:5" x14ac:dyDescent="0.2">
      <c r="A1354" s="269">
        <v>45909.72451388889</v>
      </c>
      <c r="B1354" t="s">
        <v>1431</v>
      </c>
      <c r="C1354" t="s">
        <v>28</v>
      </c>
      <c r="D1354" t="s">
        <v>1638</v>
      </c>
      <c r="E1354" t="s">
        <v>400</v>
      </c>
    </row>
    <row r="1355" spans="1:5" x14ac:dyDescent="0.2">
      <c r="A1355" s="269">
        <v>45909.72451388889</v>
      </c>
      <c r="B1355" t="s">
        <v>1431</v>
      </c>
      <c r="C1355" t="s">
        <v>28</v>
      </c>
      <c r="D1355" t="s">
        <v>1638</v>
      </c>
      <c r="E1355" t="s">
        <v>400</v>
      </c>
    </row>
    <row r="1356" spans="1:5" x14ac:dyDescent="0.2">
      <c r="A1356" s="269">
        <v>45909.724548611113</v>
      </c>
      <c r="B1356" t="s">
        <v>1431</v>
      </c>
      <c r="C1356" t="s">
        <v>28</v>
      </c>
      <c r="D1356" t="s">
        <v>1638</v>
      </c>
      <c r="E1356" t="s">
        <v>400</v>
      </c>
    </row>
    <row r="1357" spans="1:5" x14ac:dyDescent="0.2">
      <c r="A1357" s="269">
        <v>45909.724594907406</v>
      </c>
      <c r="B1357" t="s">
        <v>1431</v>
      </c>
      <c r="C1357" t="s">
        <v>28</v>
      </c>
      <c r="D1357" t="s">
        <v>1639</v>
      </c>
      <c r="E1357" t="s">
        <v>400</v>
      </c>
    </row>
    <row r="1358" spans="1:5" x14ac:dyDescent="0.2">
      <c r="A1358" s="269">
        <v>45909.724641203706</v>
      </c>
      <c r="B1358" t="s">
        <v>1431</v>
      </c>
      <c r="C1358" t="s">
        <v>28</v>
      </c>
      <c r="D1358" t="s">
        <v>1640</v>
      </c>
      <c r="E1358" t="s">
        <v>139</v>
      </c>
    </row>
    <row r="1359" spans="1:5" x14ac:dyDescent="0.2">
      <c r="A1359" s="269">
        <v>45909.724664351852</v>
      </c>
      <c r="B1359" t="s">
        <v>1431</v>
      </c>
      <c r="C1359" t="s">
        <v>28</v>
      </c>
      <c r="D1359" t="s">
        <v>1641</v>
      </c>
      <c r="E1359" t="s">
        <v>404</v>
      </c>
    </row>
    <row r="1360" spans="1:5" x14ac:dyDescent="0.2">
      <c r="A1360" s="269">
        <v>45909.724675925929</v>
      </c>
      <c r="B1360" t="s">
        <v>1431</v>
      </c>
      <c r="C1360" t="s">
        <v>28</v>
      </c>
      <c r="D1360" t="s">
        <v>1642</v>
      </c>
      <c r="E1360" t="s">
        <v>404</v>
      </c>
    </row>
    <row r="1361" spans="1:5" x14ac:dyDescent="0.2">
      <c r="A1361" s="269">
        <v>45909.724687499998</v>
      </c>
      <c r="B1361" t="s">
        <v>1431</v>
      </c>
      <c r="C1361" t="s">
        <v>28</v>
      </c>
      <c r="D1361" t="s">
        <v>1643</v>
      </c>
      <c r="E1361" t="s">
        <v>404</v>
      </c>
    </row>
    <row r="1362" spans="1:5" x14ac:dyDescent="0.2">
      <c r="A1362" s="269">
        <v>45909.724756944444</v>
      </c>
      <c r="B1362" t="s">
        <v>1431</v>
      </c>
      <c r="C1362" t="s">
        <v>28</v>
      </c>
      <c r="D1362" t="s">
        <v>1644</v>
      </c>
      <c r="E1362" t="s">
        <v>139</v>
      </c>
    </row>
    <row r="1363" spans="1:5" x14ac:dyDescent="0.2">
      <c r="A1363" s="269">
        <v>45909.724780092591</v>
      </c>
      <c r="B1363" t="s">
        <v>1431</v>
      </c>
      <c r="C1363" t="s">
        <v>28</v>
      </c>
      <c r="D1363" t="s">
        <v>1645</v>
      </c>
      <c r="E1363" t="s">
        <v>407</v>
      </c>
    </row>
    <row r="1364" spans="1:5" x14ac:dyDescent="0.2">
      <c r="A1364" s="269">
        <v>45909.724791666667</v>
      </c>
      <c r="B1364" t="s">
        <v>1431</v>
      </c>
      <c r="C1364" t="s">
        <v>28</v>
      </c>
      <c r="D1364" t="s">
        <v>1646</v>
      </c>
      <c r="E1364" t="s">
        <v>407</v>
      </c>
    </row>
    <row r="1365" spans="1:5" x14ac:dyDescent="0.2">
      <c r="A1365" s="269">
        <v>45909.724791666667</v>
      </c>
      <c r="B1365" t="s">
        <v>1431</v>
      </c>
      <c r="C1365" t="s">
        <v>28</v>
      </c>
      <c r="D1365" t="s">
        <v>1647</v>
      </c>
      <c r="E1365" t="s">
        <v>407</v>
      </c>
    </row>
    <row r="1366" spans="1:5" x14ac:dyDescent="0.2">
      <c r="A1366" s="269">
        <v>45909.726990740739</v>
      </c>
      <c r="B1366" t="s">
        <v>1431</v>
      </c>
      <c r="C1366" t="s">
        <v>28</v>
      </c>
      <c r="D1366" t="s">
        <v>1443</v>
      </c>
      <c r="E1366">
        <v>2500</v>
      </c>
    </row>
    <row r="1367" spans="1:5" x14ac:dyDescent="0.2">
      <c r="A1367" s="269">
        <v>45909.727210648147</v>
      </c>
      <c r="B1367" t="s">
        <v>1431</v>
      </c>
      <c r="C1367" t="s">
        <v>28</v>
      </c>
      <c r="D1367" t="s">
        <v>1448</v>
      </c>
      <c r="E1367">
        <v>1500</v>
      </c>
    </row>
    <row r="1368" spans="1:5" x14ac:dyDescent="0.2">
      <c r="A1368" s="269">
        <v>45909.727673611109</v>
      </c>
      <c r="B1368" t="s">
        <v>1431</v>
      </c>
      <c r="C1368" t="s">
        <v>28</v>
      </c>
      <c r="D1368" t="s">
        <v>1648</v>
      </c>
      <c r="E1368">
        <v>3750</v>
      </c>
    </row>
    <row r="1369" spans="1:5" x14ac:dyDescent="0.2">
      <c r="A1369" s="269">
        <v>45909.727962962963</v>
      </c>
      <c r="B1369" t="s">
        <v>1431</v>
      </c>
      <c r="C1369" t="s">
        <v>28</v>
      </c>
      <c r="D1369" t="s">
        <v>1649</v>
      </c>
      <c r="E1369">
        <v>1687.5</v>
      </c>
    </row>
    <row r="1370" spans="1:5" x14ac:dyDescent="0.2">
      <c r="A1370" s="269">
        <v>45909.728229166663</v>
      </c>
      <c r="B1370" t="s">
        <v>1431</v>
      </c>
      <c r="C1370" t="s">
        <v>28</v>
      </c>
      <c r="D1370" t="s">
        <v>1650</v>
      </c>
      <c r="E1370">
        <v>4750</v>
      </c>
    </row>
    <row r="1371" spans="1:5" x14ac:dyDescent="0.2">
      <c r="A1371" s="269">
        <v>45909.728692129633</v>
      </c>
      <c r="B1371" t="s">
        <v>1431</v>
      </c>
      <c r="C1371" t="s">
        <v>28</v>
      </c>
      <c r="D1371" t="s">
        <v>1651</v>
      </c>
      <c r="E1371">
        <v>3450</v>
      </c>
    </row>
    <row r="1372" spans="1:5" x14ac:dyDescent="0.2">
      <c r="A1372" s="269">
        <v>45909.728888888887</v>
      </c>
      <c r="B1372" t="s">
        <v>1431</v>
      </c>
      <c r="C1372" t="s">
        <v>28</v>
      </c>
      <c r="D1372" t="s">
        <v>1652</v>
      </c>
      <c r="E1372">
        <v>1150</v>
      </c>
    </row>
    <row r="1373" spans="1:5" x14ac:dyDescent="0.2">
      <c r="A1373" s="269">
        <v>45909.731273148151</v>
      </c>
      <c r="B1373" t="s">
        <v>1431</v>
      </c>
      <c r="C1373" t="s">
        <v>28</v>
      </c>
      <c r="D1373" t="s">
        <v>1653</v>
      </c>
      <c r="E1373">
        <v>2550</v>
      </c>
    </row>
    <row r="1374" spans="1:5" x14ac:dyDescent="0.2">
      <c r="A1374" s="269">
        <v>45909.731608796297</v>
      </c>
      <c r="B1374" t="s">
        <v>1431</v>
      </c>
      <c r="C1374" t="s">
        <v>28</v>
      </c>
      <c r="D1374" t="s">
        <v>1654</v>
      </c>
      <c r="E1374">
        <v>1825</v>
      </c>
    </row>
    <row r="1375" spans="1:5" x14ac:dyDescent="0.2">
      <c r="A1375" s="269">
        <v>45909.731851851851</v>
      </c>
      <c r="B1375" t="s">
        <v>1431</v>
      </c>
      <c r="C1375" t="s">
        <v>28</v>
      </c>
      <c r="D1375" t="s">
        <v>1655</v>
      </c>
      <c r="E1375">
        <v>2000</v>
      </c>
    </row>
    <row r="1376" spans="1:5" x14ac:dyDescent="0.2">
      <c r="A1376" s="269">
        <v>45909.731932870367</v>
      </c>
      <c r="B1376" t="s">
        <v>1431</v>
      </c>
      <c r="C1376" t="s">
        <v>28</v>
      </c>
      <c r="D1376" t="s">
        <v>977</v>
      </c>
      <c r="E1376">
        <v>50</v>
      </c>
    </row>
    <row r="1377" spans="1:5" x14ac:dyDescent="0.2">
      <c r="A1377" s="269">
        <v>45909.731979166667</v>
      </c>
      <c r="B1377" t="s">
        <v>1431</v>
      </c>
      <c r="C1377" t="s">
        <v>28</v>
      </c>
      <c r="D1377" t="s">
        <v>1467</v>
      </c>
      <c r="E1377" t="s">
        <v>347</v>
      </c>
    </row>
    <row r="1378" spans="1:5" x14ac:dyDescent="0.2">
      <c r="A1378" s="269">
        <v>45909.732002314813</v>
      </c>
      <c r="B1378" t="s">
        <v>1431</v>
      </c>
      <c r="C1378" t="s">
        <v>28</v>
      </c>
      <c r="D1378" t="s">
        <v>1553</v>
      </c>
      <c r="E1378" t="s">
        <v>347</v>
      </c>
    </row>
    <row r="1379" spans="1:5" x14ac:dyDescent="0.2">
      <c r="A1379" s="269">
        <v>45909.732025462959</v>
      </c>
      <c r="B1379" t="s">
        <v>1431</v>
      </c>
      <c r="C1379" t="s">
        <v>28</v>
      </c>
      <c r="D1379" t="s">
        <v>1485</v>
      </c>
      <c r="E1379" t="s">
        <v>347</v>
      </c>
    </row>
    <row r="1380" spans="1:5" x14ac:dyDescent="0.2">
      <c r="A1380" s="269">
        <v>45909.734375</v>
      </c>
      <c r="B1380" t="s">
        <v>1431</v>
      </c>
      <c r="C1380" t="s">
        <v>28</v>
      </c>
      <c r="D1380" t="s">
        <v>874</v>
      </c>
      <c r="E1380" t="s">
        <v>313</v>
      </c>
    </row>
    <row r="1381" spans="1:5" x14ac:dyDescent="0.2">
      <c r="A1381" s="269">
        <v>45909.734432870369</v>
      </c>
      <c r="B1381" t="s">
        <v>1431</v>
      </c>
      <c r="C1381" t="s">
        <v>28</v>
      </c>
      <c r="D1381" t="s">
        <v>1656</v>
      </c>
      <c r="E1381" t="s">
        <v>347</v>
      </c>
    </row>
    <row r="1382" spans="1:5" x14ac:dyDescent="0.2">
      <c r="A1382" s="269">
        <v>45909.734456018516</v>
      </c>
      <c r="B1382" t="s">
        <v>1431</v>
      </c>
      <c r="C1382" t="s">
        <v>28</v>
      </c>
      <c r="D1382" t="s">
        <v>1657</v>
      </c>
      <c r="E1382" t="s">
        <v>347</v>
      </c>
    </row>
    <row r="1383" spans="1:5" x14ac:dyDescent="0.2">
      <c r="A1383" s="269">
        <v>45909.734479166669</v>
      </c>
      <c r="B1383" t="s">
        <v>1431</v>
      </c>
      <c r="C1383" t="s">
        <v>28</v>
      </c>
      <c r="D1383" t="s">
        <v>1658</v>
      </c>
      <c r="E1383" t="s">
        <v>347</v>
      </c>
    </row>
    <row r="1384" spans="1:5" x14ac:dyDescent="0.2">
      <c r="A1384" s="269">
        <v>45909.734502314815</v>
      </c>
      <c r="B1384" t="s">
        <v>1431</v>
      </c>
      <c r="C1384" t="s">
        <v>28</v>
      </c>
      <c r="D1384" t="s">
        <v>1659</v>
      </c>
      <c r="E1384" t="s">
        <v>347</v>
      </c>
    </row>
    <row r="1385" spans="1:5" x14ac:dyDescent="0.2">
      <c r="A1385" s="269">
        <v>45909.734548611108</v>
      </c>
      <c r="B1385" t="s">
        <v>1431</v>
      </c>
      <c r="C1385" t="s">
        <v>28</v>
      </c>
      <c r="D1385" t="s">
        <v>1660</v>
      </c>
      <c r="E1385" t="s">
        <v>347</v>
      </c>
    </row>
    <row r="1386" spans="1:5" x14ac:dyDescent="0.2">
      <c r="A1386" s="269">
        <v>45909.734571759262</v>
      </c>
      <c r="B1386" t="s">
        <v>1431</v>
      </c>
      <c r="C1386" t="s">
        <v>28</v>
      </c>
      <c r="D1386" t="s">
        <v>1661</v>
      </c>
      <c r="E1386" t="s">
        <v>347</v>
      </c>
    </row>
    <row r="1387" spans="1:5" x14ac:dyDescent="0.2">
      <c r="A1387" s="269">
        <v>45909.734583333331</v>
      </c>
      <c r="B1387" t="s">
        <v>1431</v>
      </c>
      <c r="C1387" t="s">
        <v>28</v>
      </c>
      <c r="D1387" t="s">
        <v>1662</v>
      </c>
      <c r="E1387" t="s">
        <v>347</v>
      </c>
    </row>
    <row r="1388" spans="1:5" x14ac:dyDescent="0.2">
      <c r="A1388" s="269">
        <v>45909.734594907408</v>
      </c>
      <c r="B1388" t="s">
        <v>1431</v>
      </c>
      <c r="C1388" t="s">
        <v>28</v>
      </c>
      <c r="D1388" t="s">
        <v>1663</v>
      </c>
      <c r="E1388" t="s">
        <v>347</v>
      </c>
    </row>
    <row r="1389" spans="1:5" x14ac:dyDescent="0.2">
      <c r="A1389" s="269">
        <v>45909.734606481485</v>
      </c>
      <c r="B1389" t="s">
        <v>1431</v>
      </c>
      <c r="C1389" t="s">
        <v>28</v>
      </c>
      <c r="D1389" t="s">
        <v>1664</v>
      </c>
      <c r="E1389" t="s">
        <v>347</v>
      </c>
    </row>
    <row r="1390" spans="1:5" x14ac:dyDescent="0.2">
      <c r="A1390" s="269">
        <v>45909.734618055554</v>
      </c>
      <c r="B1390" t="s">
        <v>1431</v>
      </c>
      <c r="C1390" t="s">
        <v>28</v>
      </c>
      <c r="D1390" t="s">
        <v>1665</v>
      </c>
      <c r="E1390" t="s">
        <v>347</v>
      </c>
    </row>
    <row r="1391" spans="1:5" x14ac:dyDescent="0.2">
      <c r="A1391" s="269">
        <v>45909.734629629631</v>
      </c>
      <c r="B1391" t="s">
        <v>1431</v>
      </c>
      <c r="C1391" t="s">
        <v>28</v>
      </c>
      <c r="D1391" t="s">
        <v>1666</v>
      </c>
      <c r="E1391" t="s">
        <v>347</v>
      </c>
    </row>
    <row r="1392" spans="1:5" x14ac:dyDescent="0.2">
      <c r="A1392" s="269">
        <v>45909.735497685186</v>
      </c>
      <c r="B1392" t="s">
        <v>1431</v>
      </c>
      <c r="C1392" t="s">
        <v>28</v>
      </c>
      <c r="D1392" t="s">
        <v>977</v>
      </c>
      <c r="E1392">
        <v>60</v>
      </c>
    </row>
    <row r="1393" spans="1:5" x14ac:dyDescent="0.2">
      <c r="A1393" s="269">
        <v>45909.735543981478</v>
      </c>
      <c r="B1393" t="s">
        <v>1431</v>
      </c>
      <c r="C1393" t="s">
        <v>28</v>
      </c>
      <c r="D1393" t="s">
        <v>924</v>
      </c>
      <c r="E1393">
        <v>50</v>
      </c>
    </row>
    <row r="1394" spans="1:5" x14ac:dyDescent="0.2">
      <c r="A1394" s="269">
        <v>45909.735567129632</v>
      </c>
      <c r="B1394" t="s">
        <v>1431</v>
      </c>
      <c r="C1394" t="s">
        <v>28</v>
      </c>
      <c r="D1394" t="s">
        <v>1446</v>
      </c>
      <c r="E1394">
        <v>60</v>
      </c>
    </row>
    <row r="1395" spans="1:5" x14ac:dyDescent="0.2">
      <c r="A1395" s="269">
        <v>45909.735636574071</v>
      </c>
      <c r="B1395" t="s">
        <v>1431</v>
      </c>
      <c r="C1395" t="s">
        <v>28</v>
      </c>
      <c r="D1395" t="s">
        <v>1446</v>
      </c>
    </row>
    <row r="1396" spans="1:5" x14ac:dyDescent="0.2">
      <c r="A1396" s="269">
        <v>45909.735648148147</v>
      </c>
      <c r="B1396" t="s">
        <v>1431</v>
      </c>
      <c r="C1396" t="s">
        <v>28</v>
      </c>
      <c r="D1396" t="s">
        <v>924</v>
      </c>
    </row>
    <row r="1397" spans="1:5" x14ac:dyDescent="0.2">
      <c r="A1397" s="269">
        <v>45909.735752314817</v>
      </c>
      <c r="B1397" t="s">
        <v>1431</v>
      </c>
      <c r="C1397" t="s">
        <v>28</v>
      </c>
      <c r="D1397" t="s">
        <v>924</v>
      </c>
      <c r="E1397">
        <v>50</v>
      </c>
    </row>
    <row r="1398" spans="1:5" x14ac:dyDescent="0.2">
      <c r="A1398" s="269">
        <v>45909.735775462963</v>
      </c>
      <c r="B1398" t="s">
        <v>1431</v>
      </c>
      <c r="C1398" t="s">
        <v>28</v>
      </c>
      <c r="D1398" t="s">
        <v>1446</v>
      </c>
      <c r="E1398">
        <v>60</v>
      </c>
    </row>
    <row r="1399" spans="1:5" x14ac:dyDescent="0.2">
      <c r="A1399" s="269">
        <v>45909.735844907409</v>
      </c>
      <c r="B1399" t="s">
        <v>1431</v>
      </c>
      <c r="C1399" t="s">
        <v>28</v>
      </c>
      <c r="D1399" t="s">
        <v>1667</v>
      </c>
      <c r="E1399">
        <v>50</v>
      </c>
    </row>
    <row r="1400" spans="1:5" x14ac:dyDescent="0.2">
      <c r="A1400" s="269">
        <v>45909.735879629632</v>
      </c>
      <c r="B1400" t="s">
        <v>1431</v>
      </c>
      <c r="C1400" t="s">
        <v>28</v>
      </c>
      <c r="D1400" t="s">
        <v>1668</v>
      </c>
      <c r="E1400">
        <v>60</v>
      </c>
    </row>
    <row r="1401" spans="1:5" x14ac:dyDescent="0.2">
      <c r="A1401" s="269">
        <v>45909.735902777778</v>
      </c>
      <c r="B1401" t="s">
        <v>1431</v>
      </c>
      <c r="C1401" t="s">
        <v>28</v>
      </c>
      <c r="D1401" t="s">
        <v>1669</v>
      </c>
      <c r="E1401">
        <v>50</v>
      </c>
    </row>
    <row r="1402" spans="1:5" x14ac:dyDescent="0.2">
      <c r="A1402" s="269">
        <v>45909.735925925925</v>
      </c>
      <c r="B1402" t="s">
        <v>1431</v>
      </c>
      <c r="C1402" t="s">
        <v>28</v>
      </c>
      <c r="D1402" t="s">
        <v>1670</v>
      </c>
      <c r="E1402">
        <v>60</v>
      </c>
    </row>
    <row r="1403" spans="1:5" x14ac:dyDescent="0.2">
      <c r="A1403" s="269">
        <v>45909.735960648148</v>
      </c>
      <c r="B1403" t="s">
        <v>1431</v>
      </c>
      <c r="C1403" t="s">
        <v>28</v>
      </c>
      <c r="D1403" t="s">
        <v>1671</v>
      </c>
      <c r="E1403">
        <v>50</v>
      </c>
    </row>
    <row r="1404" spans="1:5" x14ac:dyDescent="0.2">
      <c r="A1404" s="269">
        <v>45909.735983796294</v>
      </c>
      <c r="B1404" t="s">
        <v>1431</v>
      </c>
      <c r="C1404" t="s">
        <v>28</v>
      </c>
      <c r="D1404" t="s">
        <v>1672</v>
      </c>
      <c r="E1404">
        <v>60</v>
      </c>
    </row>
    <row r="1405" spans="1:5" x14ac:dyDescent="0.2">
      <c r="A1405" s="269">
        <v>45909.736018518517</v>
      </c>
      <c r="B1405" t="s">
        <v>1431</v>
      </c>
      <c r="C1405" t="s">
        <v>28</v>
      </c>
      <c r="D1405" t="s">
        <v>1673</v>
      </c>
      <c r="E1405">
        <v>50</v>
      </c>
    </row>
    <row r="1406" spans="1:5" x14ac:dyDescent="0.2">
      <c r="A1406" s="269">
        <v>45909.736168981479</v>
      </c>
      <c r="B1406" t="s">
        <v>1431</v>
      </c>
      <c r="C1406" t="s">
        <v>28</v>
      </c>
      <c r="D1406" t="s">
        <v>937</v>
      </c>
      <c r="E1406" t="s">
        <v>313</v>
      </c>
    </row>
    <row r="1407" spans="1:5" x14ac:dyDescent="0.2">
      <c r="A1407" s="269">
        <v>45909.736226851855</v>
      </c>
      <c r="B1407" t="s">
        <v>1431</v>
      </c>
      <c r="C1407" t="s">
        <v>28</v>
      </c>
      <c r="D1407" t="s">
        <v>1467</v>
      </c>
      <c r="E1407" t="s">
        <v>313</v>
      </c>
    </row>
    <row r="1408" spans="1:5" x14ac:dyDescent="0.2">
      <c r="A1408" s="269">
        <v>45909.736261574071</v>
      </c>
      <c r="B1408" t="s">
        <v>1431</v>
      </c>
      <c r="C1408" t="s">
        <v>28</v>
      </c>
      <c r="D1408" t="s">
        <v>1553</v>
      </c>
      <c r="E1408" t="s">
        <v>313</v>
      </c>
    </row>
    <row r="1409" spans="1:5" x14ac:dyDescent="0.2">
      <c r="A1409" s="269">
        <v>45909.736296296294</v>
      </c>
      <c r="B1409" t="s">
        <v>1431</v>
      </c>
      <c r="C1409" t="s">
        <v>28</v>
      </c>
      <c r="D1409" t="s">
        <v>1485</v>
      </c>
      <c r="E1409" t="s">
        <v>313</v>
      </c>
    </row>
    <row r="1410" spans="1:5" x14ac:dyDescent="0.2">
      <c r="A1410" s="269">
        <v>45909.736354166664</v>
      </c>
      <c r="B1410" t="s">
        <v>1431</v>
      </c>
      <c r="C1410" t="s">
        <v>28</v>
      </c>
      <c r="D1410" t="s">
        <v>1559</v>
      </c>
      <c r="E1410" t="s">
        <v>313</v>
      </c>
    </row>
    <row r="1411" spans="1:5" x14ac:dyDescent="0.2">
      <c r="A1411" s="269">
        <v>45909.736400462964</v>
      </c>
      <c r="B1411" t="s">
        <v>1431</v>
      </c>
      <c r="C1411" t="s">
        <v>28</v>
      </c>
      <c r="D1411" t="s">
        <v>1674</v>
      </c>
      <c r="E1411" t="s">
        <v>313</v>
      </c>
    </row>
    <row r="1412" spans="1:5" x14ac:dyDescent="0.2">
      <c r="A1412" s="269">
        <v>45909.73642361111</v>
      </c>
      <c r="B1412" t="s">
        <v>1431</v>
      </c>
      <c r="C1412" t="s">
        <v>28</v>
      </c>
      <c r="D1412" t="s">
        <v>1570</v>
      </c>
      <c r="E1412" t="s">
        <v>313</v>
      </c>
    </row>
    <row r="1413" spans="1:5" x14ac:dyDescent="0.2">
      <c r="A1413" s="269">
        <v>45909.73646990741</v>
      </c>
      <c r="B1413" t="s">
        <v>1431</v>
      </c>
      <c r="C1413" t="s">
        <v>28</v>
      </c>
      <c r="D1413" t="s">
        <v>1576</v>
      </c>
      <c r="E1413" t="s">
        <v>313</v>
      </c>
    </row>
    <row r="1414" spans="1:5" x14ac:dyDescent="0.2">
      <c r="A1414" s="269">
        <v>45909.736597222225</v>
      </c>
      <c r="B1414" t="s">
        <v>1431</v>
      </c>
      <c r="C1414" t="s">
        <v>28</v>
      </c>
      <c r="D1414" t="s">
        <v>1587</v>
      </c>
      <c r="E1414" t="s">
        <v>313</v>
      </c>
    </row>
    <row r="1415" spans="1:5" x14ac:dyDescent="0.2">
      <c r="A1415" s="269">
        <v>45909.736643518518</v>
      </c>
      <c r="B1415" t="s">
        <v>1431</v>
      </c>
      <c r="C1415" t="s">
        <v>28</v>
      </c>
      <c r="D1415" t="s">
        <v>1593</v>
      </c>
      <c r="E1415" t="s">
        <v>313</v>
      </c>
    </row>
    <row r="1416" spans="1:5" x14ac:dyDescent="0.2">
      <c r="A1416" s="269">
        <v>45909.736678240741</v>
      </c>
      <c r="B1416" t="s">
        <v>1431</v>
      </c>
      <c r="C1416" t="s">
        <v>28</v>
      </c>
      <c r="D1416" t="s">
        <v>1516</v>
      </c>
      <c r="E1416" t="s">
        <v>313</v>
      </c>
    </row>
    <row r="1417" spans="1:5" x14ac:dyDescent="0.2">
      <c r="A1417" s="269">
        <v>45909.736701388887</v>
      </c>
      <c r="B1417" t="s">
        <v>1431</v>
      </c>
      <c r="C1417" t="s">
        <v>28</v>
      </c>
      <c r="D1417" t="s">
        <v>1600</v>
      </c>
      <c r="E1417" t="s">
        <v>313</v>
      </c>
    </row>
    <row r="1418" spans="1:5" x14ac:dyDescent="0.2">
      <c r="A1418" s="269">
        <v>45909.737164351849</v>
      </c>
      <c r="B1418" t="s">
        <v>1431</v>
      </c>
      <c r="C1418" t="s">
        <v>28</v>
      </c>
      <c r="D1418" t="s">
        <v>1675</v>
      </c>
      <c r="E1418">
        <v>50</v>
      </c>
    </row>
    <row r="1419" spans="1:5" x14ac:dyDescent="0.2">
      <c r="A1419" s="269">
        <v>45909.737187500003</v>
      </c>
      <c r="B1419" t="s">
        <v>1431</v>
      </c>
      <c r="C1419" t="s">
        <v>28</v>
      </c>
      <c r="D1419" t="s">
        <v>1673</v>
      </c>
      <c r="E1419">
        <v>60</v>
      </c>
    </row>
    <row r="1420" spans="1:5" x14ac:dyDescent="0.2">
      <c r="A1420" s="269">
        <v>45910.408263888887</v>
      </c>
      <c r="B1420" t="s">
        <v>1431</v>
      </c>
      <c r="C1420" t="s">
        <v>597</v>
      </c>
      <c r="D1420" t="s">
        <v>1676</v>
      </c>
      <c r="E1420" t="s">
        <v>39</v>
      </c>
    </row>
    <row r="1421" spans="1:5" x14ac:dyDescent="0.2">
      <c r="A1421" s="269">
        <v>45910.463622685187</v>
      </c>
      <c r="B1421" t="s">
        <v>1431</v>
      </c>
      <c r="C1421" t="s">
        <v>597</v>
      </c>
      <c r="D1421" t="s">
        <v>1676</v>
      </c>
      <c r="E1421" t="s">
        <v>39</v>
      </c>
    </row>
    <row r="1422" spans="1:5" x14ac:dyDescent="0.2">
      <c r="A1422" s="269">
        <v>45910.463703703703</v>
      </c>
      <c r="B1422" t="s">
        <v>1431</v>
      </c>
      <c r="C1422" t="s">
        <v>611</v>
      </c>
      <c r="D1422" t="s">
        <v>1677</v>
      </c>
      <c r="E1422">
        <v>2025</v>
      </c>
    </row>
    <row r="1423" spans="1:5" x14ac:dyDescent="0.2">
      <c r="A1423" s="269">
        <v>45910.463784722226</v>
      </c>
      <c r="B1423" t="s">
        <v>1431</v>
      </c>
      <c r="C1423" t="s">
        <v>611</v>
      </c>
      <c r="D1423" t="s">
        <v>1677</v>
      </c>
      <c r="E1423">
        <v>2024</v>
      </c>
    </row>
    <row r="1424" spans="1:5" x14ac:dyDescent="0.2">
      <c r="A1424" s="269">
        <v>45910.463877314818</v>
      </c>
      <c r="B1424" t="s">
        <v>1431</v>
      </c>
      <c r="C1424" t="s">
        <v>2</v>
      </c>
      <c r="D1424" t="s">
        <v>1433</v>
      </c>
      <c r="E1424">
        <v>2025</v>
      </c>
    </row>
    <row r="1425" spans="1:5" x14ac:dyDescent="0.2">
      <c r="A1425" s="269">
        <v>45910.464525462965</v>
      </c>
      <c r="B1425" t="s">
        <v>1431</v>
      </c>
      <c r="C1425" t="s">
        <v>27</v>
      </c>
      <c r="D1425" t="s">
        <v>1678</v>
      </c>
    </row>
    <row r="1426" spans="1:5" x14ac:dyDescent="0.2">
      <c r="A1426" s="269">
        <v>45910.464699074073</v>
      </c>
      <c r="B1426" t="s">
        <v>1431</v>
      </c>
      <c r="C1426" t="s">
        <v>27</v>
      </c>
      <c r="D1426" t="s">
        <v>1679</v>
      </c>
    </row>
    <row r="1427" spans="1:5" x14ac:dyDescent="0.2">
      <c r="A1427" s="269">
        <v>45910.464780092596</v>
      </c>
      <c r="B1427" t="s">
        <v>1431</v>
      </c>
      <c r="C1427" t="s">
        <v>27</v>
      </c>
      <c r="D1427" t="s">
        <v>1680</v>
      </c>
    </row>
    <row r="1428" spans="1:5" x14ac:dyDescent="0.2">
      <c r="A1428" s="269">
        <v>45910.464849537035</v>
      </c>
      <c r="B1428" t="s">
        <v>1431</v>
      </c>
      <c r="C1428" t="s">
        <v>27</v>
      </c>
      <c r="D1428" t="s">
        <v>1681</v>
      </c>
    </row>
    <row r="1429" spans="1:5" x14ac:dyDescent="0.2">
      <c r="A1429" s="269">
        <v>45910.465231481481</v>
      </c>
      <c r="B1429" t="s">
        <v>1431</v>
      </c>
      <c r="C1429" t="s">
        <v>27</v>
      </c>
      <c r="D1429" t="s">
        <v>1682</v>
      </c>
      <c r="E1429">
        <v>162.38</v>
      </c>
    </row>
    <row r="1430" spans="1:5" x14ac:dyDescent="0.2">
      <c r="A1430" s="269">
        <v>45910.468692129631</v>
      </c>
      <c r="B1430" t="s">
        <v>1431</v>
      </c>
      <c r="C1430" t="s">
        <v>27</v>
      </c>
      <c r="D1430" t="s">
        <v>1437</v>
      </c>
      <c r="E1430" t="s">
        <v>37</v>
      </c>
    </row>
    <row r="1431" spans="1:5" x14ac:dyDescent="0.2">
      <c r="A1431" s="269">
        <v>45910.468738425923</v>
      </c>
      <c r="B1431" t="s">
        <v>1431</v>
      </c>
      <c r="C1431" t="s">
        <v>27</v>
      </c>
      <c r="D1431" t="s">
        <v>1438</v>
      </c>
      <c r="E1431" t="s">
        <v>386</v>
      </c>
    </row>
    <row r="1432" spans="1:5" x14ac:dyDescent="0.2">
      <c r="A1432" s="269">
        <v>45910.468784722223</v>
      </c>
      <c r="B1432" t="s">
        <v>1431</v>
      </c>
      <c r="C1432" t="s">
        <v>27</v>
      </c>
      <c r="D1432" t="s">
        <v>1540</v>
      </c>
      <c r="E1432" t="s">
        <v>1454</v>
      </c>
    </row>
    <row r="1433" spans="1:5" x14ac:dyDescent="0.2">
      <c r="A1433" s="269">
        <v>45910.468877314815</v>
      </c>
      <c r="B1433" t="s">
        <v>1431</v>
      </c>
      <c r="C1433" t="s">
        <v>27</v>
      </c>
      <c r="D1433" t="s">
        <v>1540</v>
      </c>
      <c r="E1433" t="s">
        <v>1683</v>
      </c>
    </row>
    <row r="1434" spans="1:5" x14ac:dyDescent="0.2">
      <c r="A1434" s="269">
        <v>45910.471180555556</v>
      </c>
      <c r="B1434" t="s">
        <v>1431</v>
      </c>
      <c r="C1434" t="s">
        <v>27</v>
      </c>
      <c r="D1434" t="s">
        <v>1540</v>
      </c>
      <c r="E1434" t="s">
        <v>1684</v>
      </c>
    </row>
    <row r="1435" spans="1:5" x14ac:dyDescent="0.2">
      <c r="A1435" s="269">
        <v>45910.481516203705</v>
      </c>
      <c r="B1435" t="s">
        <v>1431</v>
      </c>
      <c r="C1435" t="s">
        <v>27</v>
      </c>
      <c r="D1435" t="s">
        <v>923</v>
      </c>
      <c r="E1435">
        <v>6.36</v>
      </c>
    </row>
    <row r="1436" spans="1:5" x14ac:dyDescent="0.2">
      <c r="A1436" s="269">
        <v>45910.481574074074</v>
      </c>
      <c r="B1436" t="s">
        <v>1431</v>
      </c>
      <c r="C1436" t="s">
        <v>27</v>
      </c>
      <c r="D1436" t="s">
        <v>918</v>
      </c>
      <c r="E1436">
        <v>11.3</v>
      </c>
    </row>
    <row r="1437" spans="1:5" x14ac:dyDescent="0.2">
      <c r="A1437" s="269">
        <v>45910.482777777775</v>
      </c>
      <c r="B1437" t="s">
        <v>1431</v>
      </c>
      <c r="C1437" t="s">
        <v>27</v>
      </c>
      <c r="D1437" t="s">
        <v>923</v>
      </c>
      <c r="E1437">
        <v>6.3216376790000002</v>
      </c>
    </row>
    <row r="1438" spans="1:5" x14ac:dyDescent="0.2">
      <c r="A1438" s="269">
        <v>45910.483032407406</v>
      </c>
      <c r="B1438" t="s">
        <v>1431</v>
      </c>
      <c r="C1438" t="s">
        <v>27</v>
      </c>
      <c r="D1438" t="s">
        <v>918</v>
      </c>
      <c r="E1438">
        <v>11.284312529999999</v>
      </c>
    </row>
    <row r="1439" spans="1:5" x14ac:dyDescent="0.2">
      <c r="A1439" s="269">
        <v>45910.484513888892</v>
      </c>
      <c r="B1439" t="s">
        <v>1431</v>
      </c>
      <c r="C1439" t="s">
        <v>58</v>
      </c>
      <c r="D1439" t="s">
        <v>1685</v>
      </c>
    </row>
    <row r="1440" spans="1:5" x14ac:dyDescent="0.2">
      <c r="A1440" s="269">
        <v>45910.484560185185</v>
      </c>
      <c r="B1440" t="s">
        <v>1431</v>
      </c>
      <c r="C1440" t="s">
        <v>58</v>
      </c>
      <c r="D1440" t="s">
        <v>1686</v>
      </c>
    </row>
    <row r="1441" spans="1:5" x14ac:dyDescent="0.2">
      <c r="A1441" s="269">
        <v>45910.484618055554</v>
      </c>
      <c r="B1441" t="s">
        <v>1431</v>
      </c>
      <c r="C1441" t="s">
        <v>58</v>
      </c>
      <c r="D1441" t="s">
        <v>1687</v>
      </c>
    </row>
    <row r="1442" spans="1:5" x14ac:dyDescent="0.2">
      <c r="A1442" s="269">
        <v>45910.484652777777</v>
      </c>
      <c r="B1442" t="s">
        <v>1431</v>
      </c>
      <c r="C1442" t="s">
        <v>58</v>
      </c>
      <c r="D1442" t="s">
        <v>1688</v>
      </c>
    </row>
    <row r="1443" spans="1:5" x14ac:dyDescent="0.2">
      <c r="A1443" s="269">
        <v>45910.484699074077</v>
      </c>
      <c r="B1443" t="s">
        <v>1431</v>
      </c>
      <c r="C1443" t="s">
        <v>58</v>
      </c>
      <c r="D1443" t="s">
        <v>1689</v>
      </c>
    </row>
    <row r="1444" spans="1:5" x14ac:dyDescent="0.2">
      <c r="A1444" s="269">
        <v>45910.484733796293</v>
      </c>
      <c r="B1444" t="s">
        <v>1431</v>
      </c>
      <c r="C1444" t="s">
        <v>58</v>
      </c>
      <c r="D1444" t="s">
        <v>1690</v>
      </c>
    </row>
    <row r="1445" spans="1:5" x14ac:dyDescent="0.2">
      <c r="A1445" s="269">
        <v>45910.485150462962</v>
      </c>
      <c r="B1445" t="s">
        <v>1431</v>
      </c>
      <c r="C1445" t="s">
        <v>26</v>
      </c>
      <c r="D1445" t="s">
        <v>1691</v>
      </c>
      <c r="E1445">
        <v>303</v>
      </c>
    </row>
    <row r="1446" spans="1:5" x14ac:dyDescent="0.2">
      <c r="A1446" s="269">
        <v>45910.485277777778</v>
      </c>
      <c r="B1446" t="s">
        <v>1431</v>
      </c>
      <c r="C1446" t="s">
        <v>26</v>
      </c>
      <c r="D1446" t="s">
        <v>1692</v>
      </c>
    </row>
    <row r="1447" spans="1:5" x14ac:dyDescent="0.2">
      <c r="A1447" s="269">
        <v>45910.485324074078</v>
      </c>
      <c r="B1447" t="s">
        <v>1431</v>
      </c>
      <c r="C1447" t="s">
        <v>26</v>
      </c>
      <c r="D1447" t="s">
        <v>1693</v>
      </c>
    </row>
    <row r="1448" spans="1:5" x14ac:dyDescent="0.2">
      <c r="A1448" s="269">
        <v>45910.48537037037</v>
      </c>
      <c r="B1448" t="s">
        <v>1431</v>
      </c>
      <c r="C1448" t="s">
        <v>26</v>
      </c>
      <c r="D1448" t="s">
        <v>1694</v>
      </c>
    </row>
    <row r="1449" spans="1:5" x14ac:dyDescent="0.2">
      <c r="A1449" s="269">
        <v>45910.487303240741</v>
      </c>
      <c r="B1449" t="s">
        <v>1431</v>
      </c>
      <c r="C1449" t="s">
        <v>28</v>
      </c>
      <c r="D1449" t="s">
        <v>1695</v>
      </c>
    </row>
    <row r="1450" spans="1:5" x14ac:dyDescent="0.2">
      <c r="A1450" s="269">
        <v>45910.487349537034</v>
      </c>
      <c r="B1450" t="s">
        <v>1431</v>
      </c>
      <c r="C1450" t="s">
        <v>28</v>
      </c>
      <c r="D1450" t="s">
        <v>1696</v>
      </c>
    </row>
    <row r="1451" spans="1:5" x14ac:dyDescent="0.2">
      <c r="A1451" s="269">
        <v>45910.487395833334</v>
      </c>
      <c r="B1451" t="s">
        <v>1431</v>
      </c>
      <c r="C1451" t="s">
        <v>28</v>
      </c>
      <c r="D1451" t="s">
        <v>1697</v>
      </c>
    </row>
    <row r="1452" spans="1:5" x14ac:dyDescent="0.2">
      <c r="A1452" s="269">
        <v>45910.487442129626</v>
      </c>
      <c r="B1452" t="s">
        <v>1431</v>
      </c>
      <c r="C1452" t="s">
        <v>28</v>
      </c>
      <c r="D1452" t="s">
        <v>1698</v>
      </c>
    </row>
    <row r="1453" spans="1:5" x14ac:dyDescent="0.2">
      <c r="A1453" s="269">
        <v>45910.487476851849</v>
      </c>
      <c r="B1453" t="s">
        <v>1431</v>
      </c>
      <c r="C1453" t="s">
        <v>28</v>
      </c>
      <c r="D1453" t="s">
        <v>1699</v>
      </c>
    </row>
    <row r="1454" spans="1:5" x14ac:dyDescent="0.2">
      <c r="A1454" s="269">
        <v>45910.488287037035</v>
      </c>
      <c r="B1454" t="s">
        <v>1431</v>
      </c>
      <c r="C1454" t="s">
        <v>58</v>
      </c>
      <c r="D1454" t="s">
        <v>1700</v>
      </c>
    </row>
    <row r="1455" spans="1:5" x14ac:dyDescent="0.2">
      <c r="A1455" s="269">
        <v>45910.488344907404</v>
      </c>
      <c r="B1455" t="s">
        <v>1431</v>
      </c>
      <c r="C1455" t="s">
        <v>58</v>
      </c>
      <c r="D1455" t="s">
        <v>1701</v>
      </c>
    </row>
    <row r="1456" spans="1:5" x14ac:dyDescent="0.2">
      <c r="A1456" s="269">
        <v>45910.490254629629</v>
      </c>
      <c r="B1456" t="s">
        <v>1431</v>
      </c>
      <c r="C1456" t="s">
        <v>58</v>
      </c>
      <c r="D1456" t="s">
        <v>1674</v>
      </c>
      <c r="E1456">
        <v>14.481999999999999</v>
      </c>
    </row>
    <row r="1457" spans="1:5" x14ac:dyDescent="0.2">
      <c r="A1457" s="269">
        <v>45910.490416666667</v>
      </c>
      <c r="B1457" t="s">
        <v>1431</v>
      </c>
      <c r="C1457" t="s">
        <v>58</v>
      </c>
      <c r="D1457" t="s">
        <v>1702</v>
      </c>
      <c r="E1457">
        <v>11.7</v>
      </c>
    </row>
    <row r="1458" spans="1:5" x14ac:dyDescent="0.2">
      <c r="A1458" s="269">
        <v>45910.490613425929</v>
      </c>
      <c r="B1458" t="s">
        <v>1431</v>
      </c>
      <c r="C1458" t="s">
        <v>103</v>
      </c>
      <c r="D1458" t="s">
        <v>1693</v>
      </c>
    </row>
    <row r="1459" spans="1:5" x14ac:dyDescent="0.2">
      <c r="A1459" s="269">
        <v>45910.490682870368</v>
      </c>
      <c r="B1459" t="s">
        <v>1431</v>
      </c>
      <c r="C1459" t="s">
        <v>103</v>
      </c>
      <c r="D1459" t="s">
        <v>1703</v>
      </c>
    </row>
    <row r="1460" spans="1:5" x14ac:dyDescent="0.2">
      <c r="A1460" s="269">
        <v>45910.490706018521</v>
      </c>
      <c r="B1460" t="s">
        <v>1431</v>
      </c>
      <c r="C1460" t="s">
        <v>103</v>
      </c>
      <c r="D1460" t="s">
        <v>1704</v>
      </c>
    </row>
    <row r="1461" spans="1:5" x14ac:dyDescent="0.2">
      <c r="A1461" s="269">
        <v>45910.490729166668</v>
      </c>
      <c r="B1461" t="s">
        <v>1431</v>
      </c>
      <c r="C1461" t="s">
        <v>103</v>
      </c>
      <c r="D1461" t="s">
        <v>1692</v>
      </c>
    </row>
    <row r="1462" spans="1:5" x14ac:dyDescent="0.2">
      <c r="A1462" s="269">
        <v>45910.490787037037</v>
      </c>
      <c r="B1462" t="s">
        <v>1431</v>
      </c>
      <c r="C1462" t="s">
        <v>103</v>
      </c>
      <c r="D1462" t="s">
        <v>1705</v>
      </c>
    </row>
    <row r="1463" spans="1:5" x14ac:dyDescent="0.2">
      <c r="A1463" s="269">
        <v>45910.490810185183</v>
      </c>
      <c r="B1463" t="s">
        <v>1431</v>
      </c>
      <c r="C1463" t="s">
        <v>103</v>
      </c>
      <c r="D1463" t="s">
        <v>1706</v>
      </c>
    </row>
    <row r="1464" spans="1:5" x14ac:dyDescent="0.2">
      <c r="A1464" s="269">
        <v>45910.490879629629</v>
      </c>
      <c r="B1464" t="s">
        <v>1431</v>
      </c>
      <c r="C1464" t="s">
        <v>103</v>
      </c>
      <c r="D1464" t="s">
        <v>658</v>
      </c>
      <c r="E1464" t="s">
        <v>1707</v>
      </c>
    </row>
    <row r="1465" spans="1:5" x14ac:dyDescent="0.2">
      <c r="A1465" s="269">
        <v>45910.490960648145</v>
      </c>
      <c r="B1465" t="s">
        <v>1431</v>
      </c>
      <c r="C1465" t="s">
        <v>103</v>
      </c>
      <c r="D1465" t="s">
        <v>1455</v>
      </c>
      <c r="E1465" t="s">
        <v>1708</v>
      </c>
    </row>
    <row r="1466" spans="1:5" x14ac:dyDescent="0.2">
      <c r="A1466" s="269">
        <v>45910.491030092591</v>
      </c>
      <c r="B1466" t="s">
        <v>1431</v>
      </c>
      <c r="C1466" t="s">
        <v>103</v>
      </c>
      <c r="D1466" t="s">
        <v>996</v>
      </c>
      <c r="E1466" t="s">
        <v>1709</v>
      </c>
    </row>
    <row r="1467" spans="1:5" x14ac:dyDescent="0.2">
      <c r="A1467" s="269">
        <v>45910.491111111114</v>
      </c>
      <c r="B1467" t="s">
        <v>1431</v>
      </c>
      <c r="C1467" t="s">
        <v>103</v>
      </c>
      <c r="D1467" t="s">
        <v>1539</v>
      </c>
      <c r="E1467" t="s">
        <v>1710</v>
      </c>
    </row>
    <row r="1468" spans="1:5" x14ac:dyDescent="0.2">
      <c r="A1468" s="269">
        <v>45910.491157407407</v>
      </c>
      <c r="B1468" t="s">
        <v>1431</v>
      </c>
      <c r="C1468" t="s">
        <v>103</v>
      </c>
      <c r="D1468" t="s">
        <v>1019</v>
      </c>
      <c r="E1468" t="s">
        <v>1711</v>
      </c>
    </row>
    <row r="1469" spans="1:5" x14ac:dyDescent="0.2">
      <c r="A1469" s="269">
        <v>45910.491215277776</v>
      </c>
      <c r="B1469" t="s">
        <v>1431</v>
      </c>
      <c r="C1469" t="s">
        <v>103</v>
      </c>
      <c r="D1469" t="s">
        <v>1540</v>
      </c>
      <c r="E1469" t="s">
        <v>1712</v>
      </c>
    </row>
    <row r="1470" spans="1:5" x14ac:dyDescent="0.2">
      <c r="A1470" s="269">
        <v>45910.492314814815</v>
      </c>
      <c r="B1470" t="s">
        <v>1431</v>
      </c>
      <c r="C1470" t="s">
        <v>103</v>
      </c>
      <c r="D1470" t="s">
        <v>1713</v>
      </c>
    </row>
    <row r="1471" spans="1:5" x14ac:dyDescent="0.2">
      <c r="A1471" s="269">
        <v>45910.492592592593</v>
      </c>
      <c r="B1471" t="s">
        <v>1431</v>
      </c>
      <c r="C1471" t="s">
        <v>103</v>
      </c>
      <c r="D1471" t="s">
        <v>1714</v>
      </c>
      <c r="E1471">
        <v>34300</v>
      </c>
    </row>
    <row r="1472" spans="1:5" x14ac:dyDescent="0.2">
      <c r="A1472" s="269">
        <v>45910.492638888885</v>
      </c>
      <c r="B1472" t="s">
        <v>1431</v>
      </c>
      <c r="C1472" t="s">
        <v>103</v>
      </c>
      <c r="D1472" t="s">
        <v>1069</v>
      </c>
    </row>
    <row r="1473" spans="1:5" x14ac:dyDescent="0.2">
      <c r="A1473" s="269">
        <v>45910.492696759262</v>
      </c>
      <c r="B1473" t="s">
        <v>1431</v>
      </c>
      <c r="C1473" t="s">
        <v>103</v>
      </c>
      <c r="D1473" t="s">
        <v>1691</v>
      </c>
      <c r="E1473">
        <v>374348.47</v>
      </c>
    </row>
    <row r="1474" spans="1:5" x14ac:dyDescent="0.2">
      <c r="A1474" s="269">
        <v>45910.492719907408</v>
      </c>
      <c r="B1474" t="s">
        <v>1431</v>
      </c>
      <c r="C1474" t="s">
        <v>103</v>
      </c>
      <c r="D1474" t="s">
        <v>924</v>
      </c>
    </row>
    <row r="1475" spans="1:5" x14ac:dyDescent="0.2">
      <c r="A1475" s="269">
        <v>45910.492743055554</v>
      </c>
      <c r="B1475" t="s">
        <v>1431</v>
      </c>
      <c r="C1475" t="s">
        <v>103</v>
      </c>
      <c r="D1475" t="s">
        <v>981</v>
      </c>
      <c r="E1475" t="s">
        <v>1715</v>
      </c>
    </row>
    <row r="1476" spans="1:5" x14ac:dyDescent="0.2">
      <c r="A1476" s="269">
        <v>45910.492754629631</v>
      </c>
      <c r="B1476" t="s">
        <v>1431</v>
      </c>
      <c r="C1476" t="s">
        <v>103</v>
      </c>
      <c r="D1476" t="s">
        <v>981</v>
      </c>
    </row>
    <row r="1477" spans="1:5" x14ac:dyDescent="0.2">
      <c r="A1477" s="269">
        <v>45910.492777777778</v>
      </c>
      <c r="B1477" t="s">
        <v>1431</v>
      </c>
      <c r="C1477" t="s">
        <v>103</v>
      </c>
      <c r="D1477" t="s">
        <v>981</v>
      </c>
      <c r="E1477">
        <v>4534</v>
      </c>
    </row>
    <row r="1478" spans="1:5" x14ac:dyDescent="0.2">
      <c r="A1478" s="269">
        <v>45910.492800925924</v>
      </c>
      <c r="B1478" t="s">
        <v>1431</v>
      </c>
      <c r="C1478" t="s">
        <v>103</v>
      </c>
      <c r="D1478" t="s">
        <v>981</v>
      </c>
    </row>
    <row r="1479" spans="1:5" x14ac:dyDescent="0.2">
      <c r="A1479" s="269">
        <v>45910.493310185186</v>
      </c>
      <c r="B1479" t="s">
        <v>1431</v>
      </c>
      <c r="C1479" t="s">
        <v>58</v>
      </c>
      <c r="D1479" t="s">
        <v>1716</v>
      </c>
      <c r="E1479">
        <v>95.141199999999998</v>
      </c>
    </row>
    <row r="1480" spans="1:5" x14ac:dyDescent="0.2">
      <c r="A1480" s="269">
        <v>45910.493460648147</v>
      </c>
      <c r="B1480" t="s">
        <v>1431</v>
      </c>
      <c r="C1480" t="s">
        <v>58</v>
      </c>
      <c r="D1480" t="s">
        <v>1717</v>
      </c>
      <c r="E1480">
        <v>911</v>
      </c>
    </row>
    <row r="1481" spans="1:5" x14ac:dyDescent="0.2">
      <c r="A1481" s="269">
        <v>45910.493518518517</v>
      </c>
      <c r="B1481" t="s">
        <v>1431</v>
      </c>
      <c r="C1481" t="s">
        <v>58</v>
      </c>
      <c r="D1481" t="s">
        <v>1718</v>
      </c>
      <c r="E1481">
        <v>254</v>
      </c>
    </row>
    <row r="1482" spans="1:5" x14ac:dyDescent="0.2">
      <c r="A1482" s="269">
        <v>45910.493564814817</v>
      </c>
      <c r="B1482" t="s">
        <v>1431</v>
      </c>
      <c r="C1482" t="s">
        <v>58</v>
      </c>
      <c r="D1482" t="s">
        <v>1719</v>
      </c>
      <c r="E1482">
        <v>14.9</v>
      </c>
    </row>
    <row r="1483" spans="1:5" x14ac:dyDescent="0.2">
      <c r="A1483" s="269">
        <v>45910.493634259263</v>
      </c>
      <c r="B1483" t="s">
        <v>1431</v>
      </c>
      <c r="C1483" t="s">
        <v>58</v>
      </c>
      <c r="D1483" t="s">
        <v>1719</v>
      </c>
      <c r="E1483">
        <v>14.940799999999999</v>
      </c>
    </row>
    <row r="1484" spans="1:5" x14ac:dyDescent="0.2">
      <c r="A1484" s="269">
        <v>45910.494756944441</v>
      </c>
      <c r="B1484" t="s">
        <v>1431</v>
      </c>
      <c r="C1484" t="s">
        <v>58</v>
      </c>
      <c r="D1484" t="s">
        <v>1534</v>
      </c>
      <c r="E1484">
        <v>183.7364</v>
      </c>
    </row>
    <row r="1485" spans="1:5" x14ac:dyDescent="0.2">
      <c r="A1485" s="269">
        <v>45910.494953703703</v>
      </c>
      <c r="B1485" t="s">
        <v>1431</v>
      </c>
      <c r="C1485" t="s">
        <v>58</v>
      </c>
      <c r="D1485" t="s">
        <v>1553</v>
      </c>
      <c r="E1485">
        <v>1431</v>
      </c>
    </row>
    <row r="1486" spans="1:5" x14ac:dyDescent="0.2">
      <c r="A1486" s="269">
        <v>45910.494988425926</v>
      </c>
      <c r="B1486" t="s">
        <v>1431</v>
      </c>
      <c r="C1486" t="s">
        <v>58</v>
      </c>
      <c r="D1486" t="s">
        <v>925</v>
      </c>
      <c r="E1486">
        <v>1431</v>
      </c>
    </row>
    <row r="1487" spans="1:5" x14ac:dyDescent="0.2">
      <c r="A1487" s="269">
        <v>45910.495011574072</v>
      </c>
      <c r="B1487" t="s">
        <v>1431</v>
      </c>
      <c r="C1487" t="s">
        <v>58</v>
      </c>
      <c r="D1487" t="s">
        <v>1553</v>
      </c>
    </row>
    <row r="1488" spans="1:5" x14ac:dyDescent="0.2">
      <c r="A1488" s="269">
        <v>45910.495104166665</v>
      </c>
      <c r="B1488" t="s">
        <v>1431</v>
      </c>
      <c r="C1488" t="s">
        <v>58</v>
      </c>
      <c r="D1488" t="s">
        <v>1552</v>
      </c>
      <c r="E1488">
        <v>767</v>
      </c>
    </row>
    <row r="1489" spans="1:5" x14ac:dyDescent="0.2">
      <c r="A1489" s="269">
        <v>45910.495138888888</v>
      </c>
      <c r="B1489" t="s">
        <v>1431</v>
      </c>
      <c r="C1489" t="s">
        <v>58</v>
      </c>
      <c r="D1489" t="s">
        <v>1553</v>
      </c>
      <c r="E1489">
        <v>125</v>
      </c>
    </row>
    <row r="1490" spans="1:5" x14ac:dyDescent="0.2">
      <c r="A1490" s="269">
        <v>45910.495185185187</v>
      </c>
      <c r="B1490" t="s">
        <v>1431</v>
      </c>
      <c r="C1490" t="s">
        <v>58</v>
      </c>
      <c r="D1490" t="s">
        <v>1553</v>
      </c>
      <c r="E1490">
        <v>125.0759</v>
      </c>
    </row>
    <row r="1491" spans="1:5" x14ac:dyDescent="0.2">
      <c r="A1491" s="269">
        <v>45910.495405092595</v>
      </c>
      <c r="B1491" t="s">
        <v>1431</v>
      </c>
      <c r="C1491" t="s">
        <v>58</v>
      </c>
      <c r="D1491" t="s">
        <v>1555</v>
      </c>
      <c r="E1491">
        <v>15.5</v>
      </c>
    </row>
    <row r="1492" spans="1:5" x14ac:dyDescent="0.2">
      <c r="A1492" s="269">
        <v>45910.495636574073</v>
      </c>
      <c r="B1492" t="s">
        <v>1431</v>
      </c>
      <c r="C1492" t="s">
        <v>58</v>
      </c>
      <c r="D1492" t="s">
        <v>1554</v>
      </c>
      <c r="E1492">
        <v>19.014500000000002</v>
      </c>
    </row>
    <row r="1493" spans="1:5" x14ac:dyDescent="0.2">
      <c r="A1493" s="269">
        <v>45910.496504629627</v>
      </c>
      <c r="B1493" t="s">
        <v>1431</v>
      </c>
      <c r="C1493" t="s">
        <v>58</v>
      </c>
      <c r="D1493" t="s">
        <v>1556</v>
      </c>
      <c r="E1493">
        <v>86.985500000000002</v>
      </c>
    </row>
    <row r="1494" spans="1:5" x14ac:dyDescent="0.2">
      <c r="A1494" s="269">
        <v>45910.49664351852</v>
      </c>
      <c r="B1494" t="s">
        <v>1431</v>
      </c>
      <c r="C1494" t="s">
        <v>58</v>
      </c>
      <c r="D1494" t="s">
        <v>1559</v>
      </c>
      <c r="E1494">
        <v>694</v>
      </c>
    </row>
    <row r="1495" spans="1:5" x14ac:dyDescent="0.2">
      <c r="A1495" s="269">
        <v>45910.496689814812</v>
      </c>
      <c r="B1495" t="s">
        <v>1431</v>
      </c>
      <c r="C1495" t="s">
        <v>58</v>
      </c>
      <c r="D1495" t="s">
        <v>1557</v>
      </c>
      <c r="E1495">
        <v>694</v>
      </c>
    </row>
    <row r="1496" spans="1:5" x14ac:dyDescent="0.2">
      <c r="A1496" s="269">
        <v>45910.496712962966</v>
      </c>
      <c r="B1496" t="s">
        <v>1431</v>
      </c>
      <c r="C1496" t="s">
        <v>58</v>
      </c>
      <c r="D1496" t="s">
        <v>1559</v>
      </c>
    </row>
    <row r="1497" spans="1:5" x14ac:dyDescent="0.2">
      <c r="A1497" s="269">
        <v>45910.497037037036</v>
      </c>
      <c r="B1497" t="s">
        <v>1431</v>
      </c>
      <c r="C1497" t="s">
        <v>58</v>
      </c>
      <c r="D1497" t="s">
        <v>1559</v>
      </c>
      <c r="E1497">
        <v>6.1342999999999996</v>
      </c>
    </row>
    <row r="1498" spans="1:5" x14ac:dyDescent="0.2">
      <c r="A1498" s="269">
        <v>45910.497094907405</v>
      </c>
      <c r="B1498" t="s">
        <v>1431</v>
      </c>
      <c r="C1498" t="s">
        <v>58</v>
      </c>
      <c r="D1498" t="s">
        <v>1558</v>
      </c>
      <c r="E1498">
        <v>76</v>
      </c>
    </row>
    <row r="1499" spans="1:5" x14ac:dyDescent="0.2">
      <c r="A1499" s="269">
        <v>45910.49732638889</v>
      </c>
      <c r="B1499" t="s">
        <v>1431</v>
      </c>
      <c r="C1499" t="s">
        <v>58</v>
      </c>
      <c r="D1499" t="s">
        <v>1560</v>
      </c>
      <c r="E1499">
        <v>18.018000000000001</v>
      </c>
    </row>
    <row r="1500" spans="1:5" x14ac:dyDescent="0.2">
      <c r="A1500" s="269">
        <v>45910.497488425928</v>
      </c>
      <c r="B1500" t="s">
        <v>1431</v>
      </c>
      <c r="C1500" t="s">
        <v>58</v>
      </c>
      <c r="D1500" t="s">
        <v>1561</v>
      </c>
      <c r="E1500">
        <v>14.1</v>
      </c>
    </row>
    <row r="1501" spans="1:5" x14ac:dyDescent="0.2">
      <c r="A1501" s="269">
        <v>45910.498078703706</v>
      </c>
      <c r="B1501" t="s">
        <v>1431</v>
      </c>
      <c r="C1501" t="s">
        <v>58</v>
      </c>
      <c r="D1501" t="s">
        <v>1457</v>
      </c>
      <c r="E1501">
        <v>104.414</v>
      </c>
    </row>
    <row r="1502" spans="1:5" x14ac:dyDescent="0.2">
      <c r="A1502" s="269">
        <v>45910.498229166667</v>
      </c>
      <c r="B1502" t="s">
        <v>1431</v>
      </c>
      <c r="C1502" t="s">
        <v>58</v>
      </c>
      <c r="D1502" t="s">
        <v>958</v>
      </c>
      <c r="E1502">
        <v>1258</v>
      </c>
    </row>
    <row r="1503" spans="1:5" x14ac:dyDescent="0.2">
      <c r="A1503" s="269">
        <v>45910.498287037037</v>
      </c>
      <c r="B1503" t="s">
        <v>1431</v>
      </c>
      <c r="C1503" t="s">
        <v>58</v>
      </c>
      <c r="D1503" t="s">
        <v>1458</v>
      </c>
      <c r="E1503">
        <v>465</v>
      </c>
    </row>
    <row r="1504" spans="1:5" x14ac:dyDescent="0.2">
      <c r="A1504" s="269">
        <v>45910.498344907406</v>
      </c>
      <c r="B1504" t="s">
        <v>1431</v>
      </c>
      <c r="C1504" t="s">
        <v>58</v>
      </c>
      <c r="D1504" t="s">
        <v>937</v>
      </c>
      <c r="E1504">
        <v>38.594999999999999</v>
      </c>
    </row>
    <row r="1505" spans="1:5" x14ac:dyDescent="0.2">
      <c r="A1505" s="269">
        <v>45910.498611111114</v>
      </c>
      <c r="B1505" t="s">
        <v>1431</v>
      </c>
      <c r="C1505" t="s">
        <v>58</v>
      </c>
      <c r="D1505" t="s">
        <v>926</v>
      </c>
      <c r="E1505">
        <v>2672</v>
      </c>
    </row>
    <row r="1506" spans="1:5" x14ac:dyDescent="0.2">
      <c r="A1506" s="269">
        <v>45910.498645833337</v>
      </c>
      <c r="B1506" t="s">
        <v>1431</v>
      </c>
      <c r="C1506" t="s">
        <v>58</v>
      </c>
      <c r="D1506" t="s">
        <v>926</v>
      </c>
      <c r="E1506">
        <v>26.72</v>
      </c>
    </row>
    <row r="1507" spans="1:5" x14ac:dyDescent="0.2">
      <c r="A1507" s="269">
        <v>45910.498784722222</v>
      </c>
      <c r="B1507" t="s">
        <v>1431</v>
      </c>
      <c r="C1507" t="s">
        <v>58</v>
      </c>
      <c r="D1507" t="s">
        <v>975</v>
      </c>
      <c r="E1507">
        <v>44.7</v>
      </c>
    </row>
    <row r="1508" spans="1:5" x14ac:dyDescent="0.2">
      <c r="A1508" s="269">
        <v>45910.498969907407</v>
      </c>
      <c r="B1508" t="s">
        <v>1431</v>
      </c>
      <c r="C1508" t="s">
        <v>58</v>
      </c>
      <c r="D1508" t="s">
        <v>1720</v>
      </c>
      <c r="E1508">
        <v>104.414</v>
      </c>
    </row>
    <row r="1509" spans="1:5" x14ac:dyDescent="0.2">
      <c r="A1509" s="269">
        <v>45910.498993055553</v>
      </c>
      <c r="B1509" t="s">
        <v>1431</v>
      </c>
      <c r="C1509" t="s">
        <v>58</v>
      </c>
      <c r="D1509" t="s">
        <v>1721</v>
      </c>
      <c r="E1509">
        <v>1258</v>
      </c>
    </row>
    <row r="1510" spans="1:5" x14ac:dyDescent="0.2">
      <c r="A1510" s="269">
        <v>45910.499027777776</v>
      </c>
      <c r="B1510" t="s">
        <v>1431</v>
      </c>
      <c r="C1510" t="s">
        <v>58</v>
      </c>
      <c r="D1510" t="s">
        <v>1722</v>
      </c>
    </row>
    <row r="1511" spans="1:5" x14ac:dyDescent="0.2">
      <c r="A1511" s="269">
        <v>45910.499039351853</v>
      </c>
      <c r="B1511" t="s">
        <v>1431</v>
      </c>
      <c r="C1511" t="s">
        <v>58</v>
      </c>
      <c r="D1511" t="s">
        <v>1723</v>
      </c>
    </row>
    <row r="1512" spans="1:5" x14ac:dyDescent="0.2">
      <c r="A1512" s="269">
        <v>45910.499467592592</v>
      </c>
      <c r="B1512" t="s">
        <v>1431</v>
      </c>
      <c r="C1512" t="s">
        <v>58</v>
      </c>
      <c r="D1512" t="s">
        <v>1457</v>
      </c>
      <c r="E1512">
        <v>74.036000000000001</v>
      </c>
    </row>
    <row r="1513" spans="1:5" x14ac:dyDescent="0.2">
      <c r="A1513" s="269">
        <v>45910.499571759261</v>
      </c>
      <c r="B1513" t="s">
        <v>1431</v>
      </c>
      <c r="C1513" t="s">
        <v>58</v>
      </c>
      <c r="D1513" t="s">
        <v>958</v>
      </c>
      <c r="E1513">
        <v>892</v>
      </c>
    </row>
    <row r="1514" spans="1:5" x14ac:dyDescent="0.2">
      <c r="A1514" s="269">
        <v>45910.499618055554</v>
      </c>
      <c r="B1514" t="s">
        <v>1431</v>
      </c>
      <c r="C1514" t="s">
        <v>58</v>
      </c>
      <c r="D1514" t="s">
        <v>1458</v>
      </c>
      <c r="E1514">
        <v>68</v>
      </c>
    </row>
    <row r="1515" spans="1:5" x14ac:dyDescent="0.2">
      <c r="A1515" s="269">
        <v>45910.499664351853</v>
      </c>
      <c r="B1515" t="s">
        <v>1431</v>
      </c>
      <c r="C1515" t="s">
        <v>58</v>
      </c>
      <c r="D1515" t="s">
        <v>937</v>
      </c>
      <c r="E1515">
        <v>5.6440000000000001</v>
      </c>
    </row>
    <row r="1516" spans="1:5" x14ac:dyDescent="0.2">
      <c r="A1516" s="269">
        <v>45910.499849537038</v>
      </c>
      <c r="B1516" t="s">
        <v>1431</v>
      </c>
      <c r="C1516" t="s">
        <v>58</v>
      </c>
      <c r="D1516" t="s">
        <v>926</v>
      </c>
      <c r="E1516">
        <v>22.472999999999999</v>
      </c>
    </row>
    <row r="1517" spans="1:5" x14ac:dyDescent="0.2">
      <c r="A1517" s="269">
        <v>45910.499976851854</v>
      </c>
      <c r="B1517" t="s">
        <v>1431</v>
      </c>
      <c r="C1517" t="s">
        <v>58</v>
      </c>
      <c r="D1517" t="s">
        <v>975</v>
      </c>
      <c r="E1517">
        <v>18.2</v>
      </c>
    </row>
    <row r="1518" spans="1:5" x14ac:dyDescent="0.2">
      <c r="A1518" s="269">
        <v>45910.502326388887</v>
      </c>
      <c r="B1518" t="s">
        <v>1431</v>
      </c>
      <c r="C1518" t="s">
        <v>58</v>
      </c>
      <c r="D1518" t="s">
        <v>1487</v>
      </c>
      <c r="E1518">
        <v>56.269399999999997</v>
      </c>
    </row>
    <row r="1519" spans="1:5" x14ac:dyDescent="0.2">
      <c r="A1519" s="269">
        <v>45910.502476851849</v>
      </c>
      <c r="B1519" t="s">
        <v>1431</v>
      </c>
      <c r="C1519" t="s">
        <v>58</v>
      </c>
      <c r="D1519" t="s">
        <v>1486</v>
      </c>
      <c r="E1519">
        <v>43.6</v>
      </c>
    </row>
    <row r="1520" spans="1:5" x14ac:dyDescent="0.2">
      <c r="A1520" s="269">
        <v>45910.50277777778</v>
      </c>
      <c r="B1520" t="s">
        <v>1431</v>
      </c>
      <c r="C1520" t="s">
        <v>58</v>
      </c>
      <c r="D1520" t="s">
        <v>1483</v>
      </c>
      <c r="E1520">
        <v>53.915100000000002</v>
      </c>
    </row>
    <row r="1521" spans="1:5" x14ac:dyDescent="0.2">
      <c r="A1521" s="269">
        <v>45910.502916666665</v>
      </c>
      <c r="B1521" t="s">
        <v>1431</v>
      </c>
      <c r="C1521" t="s">
        <v>58</v>
      </c>
      <c r="D1521" t="s">
        <v>668</v>
      </c>
      <c r="E1521">
        <v>346</v>
      </c>
    </row>
    <row r="1522" spans="1:5" x14ac:dyDescent="0.2">
      <c r="A1522" s="269">
        <v>45910.503032407411</v>
      </c>
      <c r="B1522" t="s">
        <v>1431</v>
      </c>
      <c r="C1522" t="s">
        <v>58</v>
      </c>
      <c r="D1522" t="s">
        <v>1485</v>
      </c>
      <c r="E1522">
        <v>851</v>
      </c>
    </row>
    <row r="1523" spans="1:5" x14ac:dyDescent="0.2">
      <c r="A1523" s="269">
        <v>45910.503136574072</v>
      </c>
      <c r="B1523" t="s">
        <v>1431</v>
      </c>
      <c r="C1523" t="s">
        <v>58</v>
      </c>
      <c r="D1523" t="s">
        <v>1484</v>
      </c>
      <c r="E1523">
        <v>128.2457</v>
      </c>
    </row>
    <row r="1524" spans="1:5" x14ac:dyDescent="0.2">
      <c r="A1524" s="269">
        <v>45910.503368055557</v>
      </c>
      <c r="B1524" t="s">
        <v>1431</v>
      </c>
      <c r="C1524" t="s">
        <v>58</v>
      </c>
      <c r="D1524" t="s">
        <v>1485</v>
      </c>
      <c r="E1524">
        <v>128.2457</v>
      </c>
    </row>
    <row r="1525" spans="1:5" x14ac:dyDescent="0.2">
      <c r="A1525" s="269">
        <v>45910.503391203703</v>
      </c>
      <c r="B1525" t="s">
        <v>1431</v>
      </c>
      <c r="C1525" t="s">
        <v>58</v>
      </c>
      <c r="D1525" t="s">
        <v>1484</v>
      </c>
      <c r="E1525">
        <v>851</v>
      </c>
    </row>
    <row r="1526" spans="1:5" x14ac:dyDescent="0.2">
      <c r="A1526" s="269">
        <v>45910.561168981483</v>
      </c>
      <c r="B1526" t="s">
        <v>1431</v>
      </c>
      <c r="C1526" t="s">
        <v>597</v>
      </c>
      <c r="D1526" t="s">
        <v>1724</v>
      </c>
      <c r="E1526" t="s">
        <v>39</v>
      </c>
    </row>
    <row r="1527" spans="1:5" x14ac:dyDescent="0.2">
      <c r="A1527" s="269">
        <v>45910.564953703702</v>
      </c>
      <c r="B1527" t="s">
        <v>1431</v>
      </c>
      <c r="C1527" t="s">
        <v>28</v>
      </c>
      <c r="D1527" t="s">
        <v>976</v>
      </c>
      <c r="E1527">
        <v>2100</v>
      </c>
    </row>
    <row r="1528" spans="1:5" x14ac:dyDescent="0.2">
      <c r="A1528" s="269">
        <v>45910.56527777778</v>
      </c>
      <c r="B1528" t="s">
        <v>1431</v>
      </c>
      <c r="C1528" t="s">
        <v>28</v>
      </c>
      <c r="D1528" t="s">
        <v>976</v>
      </c>
    </row>
    <row r="1529" spans="1:5" x14ac:dyDescent="0.2">
      <c r="A1529" s="269">
        <v>45910.565300925926</v>
      </c>
      <c r="B1529" t="s">
        <v>1431</v>
      </c>
      <c r="C1529" t="s">
        <v>28</v>
      </c>
      <c r="D1529" t="s">
        <v>973</v>
      </c>
    </row>
    <row r="1530" spans="1:5" x14ac:dyDescent="0.2">
      <c r="A1530" s="269">
        <v>45910.565324074072</v>
      </c>
      <c r="B1530" t="s">
        <v>1431</v>
      </c>
      <c r="C1530" t="s">
        <v>28</v>
      </c>
      <c r="D1530" t="s">
        <v>1436</v>
      </c>
    </row>
    <row r="1531" spans="1:5" x14ac:dyDescent="0.2">
      <c r="A1531" s="269">
        <v>45910.565347222226</v>
      </c>
      <c r="B1531" t="s">
        <v>1431</v>
      </c>
      <c r="C1531" t="s">
        <v>28</v>
      </c>
      <c r="D1531" t="s">
        <v>1436</v>
      </c>
      <c r="E1531">
        <v>50</v>
      </c>
    </row>
    <row r="1532" spans="1:5" x14ac:dyDescent="0.2">
      <c r="A1532" s="269">
        <v>45910.565370370372</v>
      </c>
      <c r="B1532" t="s">
        <v>1431</v>
      </c>
      <c r="C1532" t="s">
        <v>28</v>
      </c>
      <c r="D1532" t="s">
        <v>923</v>
      </c>
    </row>
    <row r="1533" spans="1:5" x14ac:dyDescent="0.2">
      <c r="A1533" s="269">
        <v>45910.565381944441</v>
      </c>
      <c r="B1533" t="s">
        <v>1431</v>
      </c>
      <c r="C1533" t="s">
        <v>28</v>
      </c>
      <c r="D1533" t="s">
        <v>1443</v>
      </c>
    </row>
    <row r="1534" spans="1:5" x14ac:dyDescent="0.2">
      <c r="A1534" s="269">
        <v>45910.565393518518</v>
      </c>
      <c r="B1534" t="s">
        <v>1431</v>
      </c>
      <c r="C1534" t="s">
        <v>28</v>
      </c>
      <c r="D1534" t="s">
        <v>1448</v>
      </c>
    </row>
    <row r="1535" spans="1:5" x14ac:dyDescent="0.2">
      <c r="A1535" s="269">
        <v>45910.565405092595</v>
      </c>
      <c r="B1535" t="s">
        <v>1431</v>
      </c>
      <c r="C1535" t="s">
        <v>28</v>
      </c>
      <c r="D1535" t="s">
        <v>1648</v>
      </c>
    </row>
    <row r="1536" spans="1:5" x14ac:dyDescent="0.2">
      <c r="A1536" s="269">
        <v>45910.565428240741</v>
      </c>
      <c r="B1536" t="s">
        <v>1431</v>
      </c>
      <c r="C1536" t="s">
        <v>28</v>
      </c>
      <c r="D1536" t="s">
        <v>1649</v>
      </c>
    </row>
    <row r="1537" spans="1:5" x14ac:dyDescent="0.2">
      <c r="A1537" s="269">
        <v>45910.565648148149</v>
      </c>
      <c r="B1537" t="s">
        <v>1431</v>
      </c>
      <c r="C1537" t="s">
        <v>28</v>
      </c>
      <c r="D1537" t="s">
        <v>923</v>
      </c>
      <c r="E1537">
        <v>1550</v>
      </c>
    </row>
    <row r="1538" spans="1:5" x14ac:dyDescent="0.2">
      <c r="A1538" s="269">
        <v>45910.565729166665</v>
      </c>
      <c r="B1538" t="s">
        <v>1431</v>
      </c>
      <c r="C1538" t="s">
        <v>28</v>
      </c>
      <c r="D1538" t="s">
        <v>973</v>
      </c>
      <c r="E1538">
        <v>2100</v>
      </c>
    </row>
    <row r="1539" spans="1:5" x14ac:dyDescent="0.2">
      <c r="A1539" s="269">
        <v>45910.565949074073</v>
      </c>
      <c r="B1539" t="s">
        <v>1431</v>
      </c>
      <c r="C1539" t="s">
        <v>28</v>
      </c>
      <c r="D1539" t="s">
        <v>1443</v>
      </c>
      <c r="E1539">
        <v>1450</v>
      </c>
    </row>
    <row r="1540" spans="1:5" x14ac:dyDescent="0.2">
      <c r="A1540" s="269">
        <v>45910.566168981481</v>
      </c>
      <c r="B1540" t="s">
        <v>1431</v>
      </c>
      <c r="C1540" t="s">
        <v>28</v>
      </c>
      <c r="D1540" t="s">
        <v>1448</v>
      </c>
      <c r="E1540">
        <v>1225</v>
      </c>
    </row>
    <row r="1541" spans="1:5" x14ac:dyDescent="0.2">
      <c r="A1541" s="269">
        <v>45910.566412037035</v>
      </c>
      <c r="B1541" t="s">
        <v>1431</v>
      </c>
      <c r="C1541" t="s">
        <v>28</v>
      </c>
      <c r="D1541" t="s">
        <v>1648</v>
      </c>
      <c r="E1541">
        <v>2000</v>
      </c>
    </row>
    <row r="1542" spans="1:5" x14ac:dyDescent="0.2">
      <c r="A1542" s="269">
        <v>45910.566840277781</v>
      </c>
      <c r="B1542" t="s">
        <v>1431</v>
      </c>
      <c r="C1542" t="s">
        <v>28</v>
      </c>
      <c r="D1542" t="s">
        <v>1649</v>
      </c>
      <c r="E1542">
        <v>3062.5</v>
      </c>
    </row>
    <row r="1543" spans="1:5" x14ac:dyDescent="0.2">
      <c r="A1543" s="269">
        <v>45910.569016203706</v>
      </c>
      <c r="B1543" t="s">
        <v>1431</v>
      </c>
      <c r="C1543" t="s">
        <v>28</v>
      </c>
      <c r="D1543" t="s">
        <v>1725</v>
      </c>
      <c r="E1543" t="s">
        <v>362</v>
      </c>
    </row>
    <row r="1544" spans="1:5" x14ac:dyDescent="0.2">
      <c r="A1544" s="269">
        <v>45910.569062499999</v>
      </c>
      <c r="B1544" t="s">
        <v>1431</v>
      </c>
      <c r="C1544" t="s">
        <v>28</v>
      </c>
      <c r="D1544" t="s">
        <v>1726</v>
      </c>
      <c r="E1544" t="s">
        <v>139</v>
      </c>
    </row>
    <row r="1545" spans="1:5" x14ac:dyDescent="0.2">
      <c r="A1545" s="269">
        <v>45910.569108796299</v>
      </c>
      <c r="B1545" t="s">
        <v>1431</v>
      </c>
      <c r="C1545" t="s">
        <v>28</v>
      </c>
      <c r="D1545" t="s">
        <v>1727</v>
      </c>
      <c r="E1545">
        <v>50</v>
      </c>
    </row>
    <row r="1546" spans="1:5" x14ac:dyDescent="0.2">
      <c r="A1546" s="269">
        <v>45910.569143518522</v>
      </c>
      <c r="B1546" t="s">
        <v>1431</v>
      </c>
      <c r="C1546" t="s">
        <v>28</v>
      </c>
      <c r="D1546" t="s">
        <v>1728</v>
      </c>
      <c r="E1546" t="s">
        <v>313</v>
      </c>
    </row>
    <row r="1547" spans="1:5" x14ac:dyDescent="0.2">
      <c r="A1547" s="269">
        <v>45910.569212962961</v>
      </c>
      <c r="B1547" t="s">
        <v>1431</v>
      </c>
      <c r="C1547" t="s">
        <v>28</v>
      </c>
      <c r="D1547" t="s">
        <v>1439</v>
      </c>
      <c r="E1547" t="s">
        <v>89</v>
      </c>
    </row>
    <row r="1548" spans="1:5" x14ac:dyDescent="0.2">
      <c r="A1548" s="269">
        <v>45910.569236111114</v>
      </c>
      <c r="B1548" t="s">
        <v>1431</v>
      </c>
      <c r="C1548" t="s">
        <v>28</v>
      </c>
      <c r="D1548" t="s">
        <v>1729</v>
      </c>
    </row>
    <row r="1549" spans="1:5" x14ac:dyDescent="0.2">
      <c r="A1549" s="269">
        <v>45910.56925925926</v>
      </c>
      <c r="B1549" t="s">
        <v>1431</v>
      </c>
      <c r="C1549" t="s">
        <v>28</v>
      </c>
      <c r="D1549" t="s">
        <v>1730</v>
      </c>
    </row>
    <row r="1550" spans="1:5" x14ac:dyDescent="0.2">
      <c r="A1550" s="269">
        <v>45910.569282407407</v>
      </c>
      <c r="B1550" t="s">
        <v>1431</v>
      </c>
      <c r="C1550" t="s">
        <v>28</v>
      </c>
      <c r="D1550" t="s">
        <v>1731</v>
      </c>
    </row>
    <row r="1551" spans="1:5" x14ac:dyDescent="0.2">
      <c r="A1551" s="269">
        <v>45910.569293981483</v>
      </c>
      <c r="B1551" t="s">
        <v>1431</v>
      </c>
      <c r="C1551" t="s">
        <v>28</v>
      </c>
      <c r="D1551" t="s">
        <v>1732</v>
      </c>
    </row>
    <row r="1552" spans="1:5" x14ac:dyDescent="0.2">
      <c r="A1552" s="269">
        <v>45910.56931712963</v>
      </c>
      <c r="B1552" t="s">
        <v>1431</v>
      </c>
      <c r="C1552" t="s">
        <v>28</v>
      </c>
      <c r="D1552" t="s">
        <v>1733</v>
      </c>
    </row>
    <row r="1553" spans="1:5" x14ac:dyDescent="0.2">
      <c r="A1553" s="269">
        <v>45910.569386574076</v>
      </c>
      <c r="B1553" t="s">
        <v>1431</v>
      </c>
      <c r="C1553" t="s">
        <v>28</v>
      </c>
      <c r="D1553" t="s">
        <v>1734</v>
      </c>
      <c r="E1553" t="s">
        <v>362</v>
      </c>
    </row>
    <row r="1554" spans="1:5" x14ac:dyDescent="0.2">
      <c r="A1554" s="269">
        <v>45910.569444444445</v>
      </c>
      <c r="B1554" t="s">
        <v>1431</v>
      </c>
      <c r="C1554" t="s">
        <v>28</v>
      </c>
      <c r="D1554" t="s">
        <v>1735</v>
      </c>
      <c r="E1554" t="s">
        <v>139</v>
      </c>
    </row>
    <row r="1555" spans="1:5" x14ac:dyDescent="0.2">
      <c r="A1555" s="269">
        <v>45910.569502314815</v>
      </c>
      <c r="B1555" t="s">
        <v>1431</v>
      </c>
      <c r="C1555" t="s">
        <v>28</v>
      </c>
      <c r="D1555" t="s">
        <v>1736</v>
      </c>
      <c r="E1555">
        <v>50</v>
      </c>
    </row>
    <row r="1556" spans="1:5" x14ac:dyDescent="0.2">
      <c r="A1556" s="269">
        <v>45910.569571759261</v>
      </c>
      <c r="B1556" t="s">
        <v>1431</v>
      </c>
      <c r="C1556" t="s">
        <v>28</v>
      </c>
      <c r="D1556" t="s">
        <v>1737</v>
      </c>
      <c r="E1556" t="s">
        <v>313</v>
      </c>
    </row>
    <row r="1557" spans="1:5" x14ac:dyDescent="0.2">
      <c r="A1557" s="269">
        <v>45910.56962962963</v>
      </c>
      <c r="B1557" t="s">
        <v>1431</v>
      </c>
      <c r="C1557" t="s">
        <v>28</v>
      </c>
      <c r="D1557" t="s">
        <v>1738</v>
      </c>
      <c r="E1557" t="s">
        <v>1603</v>
      </c>
    </row>
    <row r="1558" spans="1:5" x14ac:dyDescent="0.2">
      <c r="A1558" s="269">
        <v>45910.569675925923</v>
      </c>
      <c r="B1558" t="s">
        <v>1431</v>
      </c>
      <c r="C1558" t="s">
        <v>28</v>
      </c>
      <c r="D1558" t="s">
        <v>1725</v>
      </c>
    </row>
    <row r="1559" spans="1:5" x14ac:dyDescent="0.2">
      <c r="A1559" s="269">
        <v>45910.569699074076</v>
      </c>
      <c r="B1559" t="s">
        <v>1431</v>
      </c>
      <c r="C1559" t="s">
        <v>28</v>
      </c>
      <c r="D1559" t="s">
        <v>1726</v>
      </c>
    </row>
    <row r="1560" spans="1:5" x14ac:dyDescent="0.2">
      <c r="A1560" s="269">
        <v>45910.569733796299</v>
      </c>
      <c r="B1560" t="s">
        <v>1431</v>
      </c>
      <c r="C1560" t="s">
        <v>28</v>
      </c>
      <c r="D1560" t="s">
        <v>1739</v>
      </c>
    </row>
    <row r="1561" spans="1:5" x14ac:dyDescent="0.2">
      <c r="A1561" s="269">
        <v>45910.569756944446</v>
      </c>
      <c r="B1561" t="s">
        <v>1431</v>
      </c>
      <c r="C1561" t="s">
        <v>28</v>
      </c>
      <c r="D1561" t="s">
        <v>1740</v>
      </c>
    </row>
    <row r="1562" spans="1:5" x14ac:dyDescent="0.2">
      <c r="A1562" s="269">
        <v>45910.570752314816</v>
      </c>
      <c r="B1562" t="s">
        <v>1431</v>
      </c>
      <c r="C1562" t="s">
        <v>28</v>
      </c>
      <c r="D1562" t="s">
        <v>1069</v>
      </c>
      <c r="E1562" t="s">
        <v>318</v>
      </c>
    </row>
    <row r="1563" spans="1:5" x14ac:dyDescent="0.2">
      <c r="A1563" s="269">
        <v>45910.570810185185</v>
      </c>
      <c r="B1563" t="s">
        <v>1431</v>
      </c>
      <c r="C1563" t="s">
        <v>28</v>
      </c>
      <c r="D1563" t="s">
        <v>924</v>
      </c>
      <c r="E1563">
        <v>2940</v>
      </c>
    </row>
    <row r="1564" spans="1:5" x14ac:dyDescent="0.2">
      <c r="A1564" s="269">
        <v>45910.570891203701</v>
      </c>
      <c r="B1564" t="s">
        <v>1431</v>
      </c>
      <c r="C1564" t="s">
        <v>28</v>
      </c>
      <c r="D1564" t="s">
        <v>1553</v>
      </c>
      <c r="E1564" t="s">
        <v>357</v>
      </c>
    </row>
    <row r="1565" spans="1:5" x14ac:dyDescent="0.2">
      <c r="A1565" s="269">
        <v>45910.571226851855</v>
      </c>
      <c r="B1565" t="s">
        <v>1431</v>
      </c>
      <c r="C1565" t="s">
        <v>28</v>
      </c>
      <c r="D1565" t="s">
        <v>1541</v>
      </c>
      <c r="E1565" t="s">
        <v>1741</v>
      </c>
    </row>
    <row r="1566" spans="1:5" x14ac:dyDescent="0.2">
      <c r="A1566" s="269">
        <v>45910.572106481479</v>
      </c>
      <c r="B1566" t="s">
        <v>1431</v>
      </c>
      <c r="C1566" t="s">
        <v>28</v>
      </c>
      <c r="D1566" t="s">
        <v>976</v>
      </c>
      <c r="E1566">
        <v>210</v>
      </c>
    </row>
    <row r="1567" spans="1:5" x14ac:dyDescent="0.2">
      <c r="A1567" s="269">
        <v>45910.574687499997</v>
      </c>
      <c r="B1567" t="s">
        <v>1431</v>
      </c>
      <c r="C1567" t="s">
        <v>28</v>
      </c>
      <c r="D1567" t="s">
        <v>918</v>
      </c>
      <c r="E1567">
        <v>190</v>
      </c>
    </row>
    <row r="1568" spans="1:5" x14ac:dyDescent="0.2">
      <c r="A1568" s="269">
        <v>45910.574861111112</v>
      </c>
      <c r="B1568" t="s">
        <v>1431</v>
      </c>
      <c r="C1568" t="s">
        <v>28</v>
      </c>
      <c r="D1568" t="s">
        <v>1446</v>
      </c>
      <c r="E1568">
        <v>210</v>
      </c>
    </row>
    <row r="1569" spans="1:5" x14ac:dyDescent="0.2">
      <c r="A1569" s="269">
        <v>45910.575335648151</v>
      </c>
      <c r="B1569" t="s">
        <v>1431</v>
      </c>
      <c r="C1569" t="s">
        <v>28</v>
      </c>
      <c r="D1569" t="s">
        <v>1667</v>
      </c>
      <c r="E1569">
        <v>190</v>
      </c>
    </row>
    <row r="1570" spans="1:5" x14ac:dyDescent="0.2">
      <c r="A1570" s="269">
        <v>45910.575555555559</v>
      </c>
      <c r="B1570" t="s">
        <v>1431</v>
      </c>
      <c r="C1570" t="s">
        <v>28</v>
      </c>
      <c r="D1570" t="s">
        <v>1742</v>
      </c>
      <c r="E1570">
        <v>210</v>
      </c>
    </row>
    <row r="1571" spans="1:5" x14ac:dyDescent="0.2">
      <c r="A1571" s="269">
        <v>45910.575682870367</v>
      </c>
      <c r="B1571" t="s">
        <v>1431</v>
      </c>
      <c r="C1571" t="s">
        <v>28</v>
      </c>
      <c r="D1571" t="s">
        <v>1669</v>
      </c>
      <c r="E1571">
        <v>200</v>
      </c>
    </row>
    <row r="1572" spans="1:5" x14ac:dyDescent="0.2">
      <c r="A1572" s="269">
        <v>45910.576180555552</v>
      </c>
      <c r="B1572" t="s">
        <v>1431</v>
      </c>
      <c r="C1572" t="s">
        <v>28</v>
      </c>
      <c r="D1572" t="s">
        <v>976</v>
      </c>
      <c r="E1572">
        <v>105</v>
      </c>
    </row>
    <row r="1573" spans="1:5" x14ac:dyDescent="0.2">
      <c r="A1573" s="269">
        <v>45910.576261574075</v>
      </c>
      <c r="B1573" t="s">
        <v>1431</v>
      </c>
      <c r="C1573" t="s">
        <v>28</v>
      </c>
      <c r="D1573" t="s">
        <v>918</v>
      </c>
      <c r="E1573">
        <v>96</v>
      </c>
    </row>
    <row r="1574" spans="1:5" x14ac:dyDescent="0.2">
      <c r="A1574" s="269">
        <v>45910.576319444444</v>
      </c>
      <c r="B1574" t="s">
        <v>1431</v>
      </c>
      <c r="C1574" t="s">
        <v>28</v>
      </c>
      <c r="D1574" t="s">
        <v>918</v>
      </c>
      <c r="E1574">
        <v>95</v>
      </c>
    </row>
    <row r="1575" spans="1:5" x14ac:dyDescent="0.2">
      <c r="A1575" s="269">
        <v>45910.576516203706</v>
      </c>
      <c r="B1575" t="s">
        <v>1431</v>
      </c>
      <c r="C1575" t="s">
        <v>28</v>
      </c>
      <c r="D1575" t="s">
        <v>1446</v>
      </c>
      <c r="E1575">
        <v>105</v>
      </c>
    </row>
    <row r="1576" spans="1:5" x14ac:dyDescent="0.2">
      <c r="A1576" s="269">
        <v>45910.576701388891</v>
      </c>
      <c r="B1576" t="s">
        <v>1431</v>
      </c>
      <c r="C1576" t="s">
        <v>28</v>
      </c>
      <c r="D1576" t="s">
        <v>1667</v>
      </c>
      <c r="E1576">
        <v>95</v>
      </c>
    </row>
    <row r="1577" spans="1:5" x14ac:dyDescent="0.2">
      <c r="A1577" s="269">
        <v>45910.576724537037</v>
      </c>
      <c r="B1577" t="s">
        <v>1431</v>
      </c>
      <c r="C1577" t="s">
        <v>28</v>
      </c>
      <c r="D1577" t="s">
        <v>1667</v>
      </c>
      <c r="E1577">
        <v>190</v>
      </c>
    </row>
    <row r="1578" spans="1:5" x14ac:dyDescent="0.2">
      <c r="A1578" s="269">
        <v>45910.577268518522</v>
      </c>
      <c r="B1578" t="s">
        <v>1431</v>
      </c>
      <c r="C1578" t="s">
        <v>28</v>
      </c>
      <c r="D1578" t="s">
        <v>976</v>
      </c>
      <c r="E1578">
        <v>210</v>
      </c>
    </row>
    <row r="1579" spans="1:5" x14ac:dyDescent="0.2">
      <c r="A1579" s="269">
        <v>45910.577349537038</v>
      </c>
      <c r="B1579" t="s">
        <v>1431</v>
      </c>
      <c r="C1579" t="s">
        <v>28</v>
      </c>
      <c r="D1579" t="s">
        <v>918</v>
      </c>
      <c r="E1579">
        <v>190</v>
      </c>
    </row>
    <row r="1580" spans="1:5" x14ac:dyDescent="0.2">
      <c r="A1580" s="269">
        <v>45910.577638888892</v>
      </c>
      <c r="B1580" t="s">
        <v>1431</v>
      </c>
      <c r="C1580" t="s">
        <v>28</v>
      </c>
      <c r="D1580" t="s">
        <v>1446</v>
      </c>
      <c r="E1580">
        <v>210</v>
      </c>
    </row>
    <row r="1581" spans="1:5" x14ac:dyDescent="0.2">
      <c r="A1581" s="269">
        <v>45910.578553240739</v>
      </c>
      <c r="B1581" t="s">
        <v>1431</v>
      </c>
      <c r="C1581" t="s">
        <v>28</v>
      </c>
      <c r="D1581" t="s">
        <v>1436</v>
      </c>
      <c r="E1581">
        <v>60</v>
      </c>
    </row>
    <row r="1582" spans="1:5" x14ac:dyDescent="0.2">
      <c r="A1582" s="269">
        <v>45910.578564814816</v>
      </c>
      <c r="B1582" t="s">
        <v>1431</v>
      </c>
      <c r="C1582" t="s">
        <v>28</v>
      </c>
      <c r="D1582" t="s">
        <v>977</v>
      </c>
      <c r="E1582">
        <v>50</v>
      </c>
    </row>
    <row r="1583" spans="1:5" x14ac:dyDescent="0.2">
      <c r="A1583" s="269">
        <v>45910.578576388885</v>
      </c>
      <c r="B1583" t="s">
        <v>1431</v>
      </c>
      <c r="C1583" t="s">
        <v>28</v>
      </c>
      <c r="D1583" t="s">
        <v>1443</v>
      </c>
      <c r="E1583">
        <v>60</v>
      </c>
    </row>
    <row r="1584" spans="1:5" x14ac:dyDescent="0.2">
      <c r="A1584" s="269">
        <v>45910.578599537039</v>
      </c>
      <c r="B1584" t="s">
        <v>1431</v>
      </c>
      <c r="C1584" t="s">
        <v>28</v>
      </c>
      <c r="D1584" t="s">
        <v>1448</v>
      </c>
      <c r="E1584">
        <v>50</v>
      </c>
    </row>
    <row r="1585" spans="1:5" x14ac:dyDescent="0.2">
      <c r="A1585" s="269">
        <v>45910.578611111108</v>
      </c>
      <c r="B1585" t="s">
        <v>1431</v>
      </c>
      <c r="C1585" t="s">
        <v>28</v>
      </c>
      <c r="D1585" t="s">
        <v>1648</v>
      </c>
      <c r="E1585">
        <v>60</v>
      </c>
    </row>
    <row r="1586" spans="1:5" x14ac:dyDescent="0.2">
      <c r="A1586" s="269">
        <v>45910.578657407408</v>
      </c>
      <c r="B1586" t="s">
        <v>1431</v>
      </c>
      <c r="C1586" t="s">
        <v>28</v>
      </c>
      <c r="D1586" t="s">
        <v>1649</v>
      </c>
      <c r="E1586">
        <v>50</v>
      </c>
    </row>
    <row r="1587" spans="1:5" x14ac:dyDescent="0.2">
      <c r="A1587" s="269">
        <v>45910.587442129632</v>
      </c>
      <c r="B1587" t="s">
        <v>1431</v>
      </c>
      <c r="C1587" t="s">
        <v>15</v>
      </c>
      <c r="D1587" t="s">
        <v>1068</v>
      </c>
      <c r="E1587">
        <v>6</v>
      </c>
    </row>
    <row r="1588" spans="1:5" x14ac:dyDescent="0.2">
      <c r="A1588" s="269">
        <v>45910.647858796299</v>
      </c>
      <c r="B1588" t="s">
        <v>1431</v>
      </c>
      <c r="C1588" t="s">
        <v>15</v>
      </c>
      <c r="D1588" t="s">
        <v>1018</v>
      </c>
      <c r="E1588">
        <v>1</v>
      </c>
    </row>
    <row r="1589" spans="1:5" x14ac:dyDescent="0.2">
      <c r="A1589" s="269">
        <v>45910.647905092592</v>
      </c>
      <c r="B1589" t="s">
        <v>1431</v>
      </c>
      <c r="C1589" t="s">
        <v>15</v>
      </c>
      <c r="D1589" t="s">
        <v>1743</v>
      </c>
      <c r="E1589" t="s">
        <v>1523</v>
      </c>
    </row>
    <row r="1590" spans="1:5" x14ac:dyDescent="0.2">
      <c r="A1590" s="269">
        <v>45910.647974537038</v>
      </c>
      <c r="B1590" t="s">
        <v>1431</v>
      </c>
      <c r="C1590" t="s">
        <v>15</v>
      </c>
      <c r="D1590" t="s">
        <v>924</v>
      </c>
      <c r="E1590" t="s">
        <v>372</v>
      </c>
    </row>
    <row r="1591" spans="1:5" x14ac:dyDescent="0.2">
      <c r="A1591" s="269">
        <v>45910.648009259261</v>
      </c>
      <c r="B1591" t="s">
        <v>1431</v>
      </c>
      <c r="C1591" t="s">
        <v>15</v>
      </c>
      <c r="D1591" t="s">
        <v>1553</v>
      </c>
      <c r="E1591" t="s">
        <v>188</v>
      </c>
    </row>
    <row r="1592" spans="1:5" x14ac:dyDescent="0.2">
      <c r="A1592" s="269">
        <v>45910.64806712963</v>
      </c>
      <c r="B1592" t="s">
        <v>1431</v>
      </c>
      <c r="C1592" t="s">
        <v>15</v>
      </c>
      <c r="D1592" t="s">
        <v>1541</v>
      </c>
      <c r="E1592" t="s">
        <v>379</v>
      </c>
    </row>
    <row r="1593" spans="1:5" x14ac:dyDescent="0.2">
      <c r="A1593" s="269">
        <v>45910.648680555554</v>
      </c>
      <c r="B1593" t="s">
        <v>1431</v>
      </c>
      <c r="C1593" t="s">
        <v>15</v>
      </c>
      <c r="D1593" t="s">
        <v>1552</v>
      </c>
      <c r="E1593">
        <v>1.7</v>
      </c>
    </row>
    <row r="1594" spans="1:5" x14ac:dyDescent="0.2">
      <c r="A1594" s="269">
        <v>45910.648877314816</v>
      </c>
      <c r="B1594" t="s">
        <v>1431</v>
      </c>
      <c r="C1594" t="s">
        <v>15</v>
      </c>
      <c r="D1594" t="s">
        <v>1745</v>
      </c>
      <c r="E1594" t="s">
        <v>1744</v>
      </c>
    </row>
    <row r="1595" spans="1:5" x14ac:dyDescent="0.2">
      <c r="A1595" s="269">
        <v>45910.695659722223</v>
      </c>
      <c r="B1595" t="s">
        <v>1431</v>
      </c>
      <c r="C1595" t="s">
        <v>26</v>
      </c>
      <c r="D1595" t="s">
        <v>937</v>
      </c>
      <c r="E1595" t="s">
        <v>1746</v>
      </c>
    </row>
    <row r="1596" spans="1:5" x14ac:dyDescent="0.2">
      <c r="A1596" s="269">
        <v>45910.695891203701</v>
      </c>
      <c r="B1596" t="s">
        <v>1431</v>
      </c>
      <c r="C1596" t="s">
        <v>26</v>
      </c>
      <c r="D1596" t="s">
        <v>926</v>
      </c>
      <c r="E1596" t="s">
        <v>1747</v>
      </c>
    </row>
    <row r="1597" spans="1:5" x14ac:dyDescent="0.2">
      <c r="A1597" s="269">
        <v>45910.696111111109</v>
      </c>
      <c r="B1597" t="s">
        <v>1431</v>
      </c>
      <c r="C1597" t="s">
        <v>26</v>
      </c>
      <c r="D1597" t="s">
        <v>874</v>
      </c>
      <c r="E1597" t="s">
        <v>1748</v>
      </c>
    </row>
    <row r="1598" spans="1:5" x14ac:dyDescent="0.2">
      <c r="A1598" s="269">
        <v>45910.696342592593</v>
      </c>
      <c r="B1598" t="s">
        <v>1431</v>
      </c>
      <c r="C1598" t="s">
        <v>26</v>
      </c>
      <c r="D1598" t="s">
        <v>1467</v>
      </c>
      <c r="E1598" t="s">
        <v>1749</v>
      </c>
    </row>
    <row r="1599" spans="1:5" x14ac:dyDescent="0.2">
      <c r="A1599" s="269">
        <v>45910.696527777778</v>
      </c>
      <c r="B1599" t="s">
        <v>1431</v>
      </c>
      <c r="C1599" t="s">
        <v>26</v>
      </c>
      <c r="D1599" t="s">
        <v>1469</v>
      </c>
      <c r="E1599" t="s">
        <v>1750</v>
      </c>
    </row>
    <row r="1600" spans="1:5" x14ac:dyDescent="0.2">
      <c r="A1600" s="269">
        <v>45910.696805555555</v>
      </c>
      <c r="B1600" t="s">
        <v>1431</v>
      </c>
      <c r="C1600" t="s">
        <v>26</v>
      </c>
      <c r="D1600" t="s">
        <v>1534</v>
      </c>
      <c r="E1600" t="s">
        <v>1751</v>
      </c>
    </row>
    <row r="1601" spans="1:5" x14ac:dyDescent="0.2">
      <c r="A1601" s="269">
        <v>45910.702037037037</v>
      </c>
      <c r="B1601" t="s">
        <v>1431</v>
      </c>
      <c r="C1601" t="s">
        <v>597</v>
      </c>
      <c r="D1601" t="s">
        <v>1724</v>
      </c>
      <c r="E1601" t="s">
        <v>39</v>
      </c>
    </row>
    <row r="1602" spans="1:5" x14ac:dyDescent="0.2">
      <c r="A1602" s="269">
        <v>45910.703831018516</v>
      </c>
      <c r="B1602" t="s">
        <v>1431</v>
      </c>
      <c r="C1602" t="s">
        <v>597</v>
      </c>
      <c r="D1602" t="s">
        <v>1724</v>
      </c>
      <c r="E1602" t="s">
        <v>39</v>
      </c>
    </row>
    <row r="1603" spans="1:5" x14ac:dyDescent="0.2">
      <c r="A1603" s="269">
        <v>45910.706909722219</v>
      </c>
      <c r="B1603" t="s">
        <v>1431</v>
      </c>
      <c r="C1603" t="s">
        <v>597</v>
      </c>
      <c r="D1603" t="s">
        <v>1724</v>
      </c>
      <c r="E1603" t="s">
        <v>39</v>
      </c>
    </row>
    <row r="1604" spans="1:5" x14ac:dyDescent="0.2">
      <c r="A1604" s="269">
        <v>45916.891435185185</v>
      </c>
      <c r="B1604" t="s">
        <v>596</v>
      </c>
      <c r="C1604" t="s">
        <v>597</v>
      </c>
      <c r="D1604" t="s">
        <v>1724</v>
      </c>
      <c r="E1604" t="s">
        <v>39</v>
      </c>
    </row>
    <row r="1605" spans="1:5" x14ac:dyDescent="0.2">
      <c r="A1605" s="269">
        <v>45916.891655092593</v>
      </c>
      <c r="B1605" t="s">
        <v>596</v>
      </c>
      <c r="C1605" t="s">
        <v>27</v>
      </c>
      <c r="D1605" t="s">
        <v>1752</v>
      </c>
      <c r="E1605" t="s">
        <v>53</v>
      </c>
    </row>
    <row r="1606" spans="1:5" x14ac:dyDescent="0.2">
      <c r="A1606" s="269">
        <v>45916.891736111109</v>
      </c>
      <c r="B1606" t="s">
        <v>596</v>
      </c>
      <c r="C1606" t="s">
        <v>27</v>
      </c>
      <c r="D1606" t="s">
        <v>1753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f1c0628e-15ce-4970-b5c7-b532969d4061"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F405B6CE256D64EA402F5B4EE781B61" ma:contentTypeVersion="16" ma:contentTypeDescription="Create a new document." ma:contentTypeScope="" ma:versionID="30c0f1a722e3bec14dd5c95de9cbe32c">
  <xsd:schema xmlns:xsd="http://www.w3.org/2001/XMLSchema" xmlns:xs="http://www.w3.org/2001/XMLSchema" xmlns:p="http://schemas.microsoft.com/office/2006/metadata/properties" xmlns:ns3="f1c0628e-15ce-4970-b5c7-b532969d4061" xmlns:ns4="0c4d9f1a-3c22-4fc5-a418-b3467d1ce377" targetNamespace="http://schemas.microsoft.com/office/2006/metadata/properties" ma:root="true" ma:fieldsID="eebac90c34831fbe31a7bcf3283f2a53" ns3:_="" ns4:_="">
    <xsd:import namespace="f1c0628e-15ce-4970-b5c7-b532969d4061"/>
    <xsd:import namespace="0c4d9f1a-3c22-4fc5-a418-b3467d1ce377"/>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DateTaken" minOccurs="0"/>
                <xsd:element ref="ns3:MediaServiceAutoTags" minOccurs="0"/>
                <xsd:element ref="ns3:MediaServiceGenerationTime" minOccurs="0"/>
                <xsd:element ref="ns3:MediaServiceEventHashCode" minOccurs="0"/>
                <xsd:element ref="ns3:_activity" minOccurs="0"/>
                <xsd:element ref="ns4:SharedWithUsers" minOccurs="0"/>
                <xsd:element ref="ns4:SharedWithDetails" minOccurs="0"/>
                <xsd:element ref="ns4:SharingHintHash" minOccurs="0"/>
                <xsd:element ref="ns3:MediaServiceOCR" minOccurs="0"/>
                <xsd:element ref="ns3:MediaLengthInSeconds" minOccurs="0"/>
                <xsd:element ref="ns3:MediaServiceSystemTags" minOccurs="0"/>
                <xsd:element ref="ns3:MediaServiceLocation"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1c0628e-15ce-4970-b5c7-b532969d40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_activity" ma:index="15" nillable="true" ma:displayName="_activity" ma:hidden="true" ma:internalName="_activity">
      <xsd:simpleType>
        <xsd:restriction base="dms:Note"/>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Location" ma:index="22" nillable="true" ma:displayName="Location" ma:indexed="true" ma:internalName="MediaServiceLocation"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c4d9f1a-3c22-4fc5-a418-b3467d1ce37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purl.org/dc/dcmitype/"/>
    <ds:schemaRef ds:uri="http://schemas.microsoft.com/office/infopath/2007/PartnerControls"/>
    <ds:schemaRef ds:uri="http://schemas.microsoft.com/office/2006/documentManagement/types"/>
    <ds:schemaRef ds:uri="0c4d9f1a-3c22-4fc5-a418-b3467d1ce377"/>
    <ds:schemaRef ds:uri="http://purl.org/dc/elements/1.1/"/>
    <ds:schemaRef ds:uri="f1c0628e-15ce-4970-b5c7-b532969d4061"/>
    <ds:schemaRef ds:uri="http://schemas.openxmlformats.org/package/2006/metadata/core-properties"/>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0756A5F6-337B-4F38-9CC3-52B5B4AEFA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1c0628e-15ce-4970-b5c7-b532969d4061"/>
    <ds:schemaRef ds:uri="0c4d9f1a-3c22-4fc5-a418-b3467d1ce3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2025-09-16T13:24:10Z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0x010100CF405B6CE256D64EA402F5B4EE781B61</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