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Dumaguete Branch/"/>
    </mc:Choice>
  </mc:AlternateContent>
  <xr:revisionPtr revIDLastSave="0" documentId="13_ncr:1_{FB5591B8-DB23-D84B-AB3C-1FCBB9EE782C}" xr6:coauthVersionLast="47" xr6:coauthVersionMax="47" xr10:uidLastSave="{00000000-0000-0000-0000-000000000000}"/>
  <bookViews>
    <workbookView xWindow="0" yWindow="740" windowWidth="29400" windowHeight="17100" tabRatio="850" activeTab="2"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585" r:id="rId19"/>
    <pivotCache cacheId="586" r:id="rId20"/>
    <pivotCache cacheId="587" r:id="rId21"/>
    <pivotCache cacheId="588" r:id="rId22"/>
    <pivotCache cacheId="589" r:id="rId23"/>
    <pivotCache cacheId="597"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N8" i="34" l="1"/>
  <c r="N9" i="34"/>
  <c r="N10" i="34"/>
  <c r="I104" i="40"/>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55" i="40"/>
  <c r="I54" i="40"/>
  <c r="I53" i="40"/>
  <c r="I52" i="40"/>
  <c r="I51" i="40"/>
  <c r="I50" i="40"/>
  <c r="I49" i="40"/>
  <c r="I48" i="40"/>
  <c r="I47" i="40"/>
  <c r="I46" i="40"/>
  <c r="I45" i="40"/>
  <c r="I11" i="40"/>
  <c r="I12" i="40" s="1"/>
  <c r="I13" i="40" s="1"/>
  <c r="I14" i="40" s="1"/>
  <c r="I15" i="40" s="1"/>
  <c r="I16" i="40" s="1"/>
  <c r="I17" i="40" s="1"/>
  <c r="I18" i="40" s="1"/>
  <c r="I10" i="40"/>
  <c r="I9" i="40"/>
  <c r="I8" i="40"/>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L11" i="34"/>
  <c r="L12" i="34"/>
  <c r="L13" i="34"/>
  <c r="L14" i="34"/>
  <c r="L15" i="34"/>
  <c r="L16" i="34"/>
  <c r="L17" i="34"/>
  <c r="L18" i="34"/>
  <c r="C49" i="37"/>
  <c r="D49" i="37"/>
  <c r="C48"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10" i="41"/>
  <c r="P11" i="41"/>
  <c r="P12" i="41"/>
  <c r="P13" i="41"/>
  <c r="P14" i="41"/>
  <c r="P15" i="41"/>
  <c r="P16" i="41"/>
  <c r="P17" i="41"/>
  <c r="P18" i="41"/>
  <c r="P19" i="4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9" i="41"/>
  <c r="P8" i="4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I10" i="41" s="1"/>
  <c r="I11" i="41" s="1"/>
  <c r="I12" i="41" s="1"/>
  <c r="I13" i="41" s="1"/>
  <c r="I14" i="41" s="1"/>
  <c r="I15" i="41" s="1"/>
  <c r="I16" i="41" s="1"/>
  <c r="I17" i="41" s="1"/>
  <c r="I18" i="41" s="1"/>
  <c r="I19"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0" i="34"/>
  <c r="I11" i="34"/>
  <c r="I12" i="34"/>
  <c r="I13" i="34"/>
  <c r="I14" i="34"/>
  <c r="I15" i="34" s="1"/>
  <c r="I16" i="34" s="1"/>
  <c r="I17" i="34" s="1"/>
  <c r="I18" i="34" s="1"/>
  <c r="I7" i="34"/>
  <c r="I18" i="39"/>
  <c r="I19" i="39" s="1"/>
  <c r="I20" i="39"/>
  <c r="I21" i="39"/>
  <c r="I22" i="39"/>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V14" i="38"/>
  <c r="V15" i="38"/>
  <c r="V16" i="38"/>
  <c r="V17" i="38"/>
  <c r="G11" i="38" s="1"/>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I20" i="40" s="1"/>
  <c r="I21" i="40" s="1"/>
  <c r="I22" i="40" s="1"/>
  <c r="I23" i="40" s="1"/>
  <c r="I24" i="40" s="1"/>
  <c r="I25" i="40" s="1"/>
  <c r="I26" i="40" s="1"/>
  <c r="I27" i="40" s="1"/>
  <c r="I28" i="40" s="1"/>
  <c r="I29" i="40" s="1"/>
  <c r="I30" i="40" s="1"/>
  <c r="I31" i="40" s="1"/>
  <c r="I32" i="40" s="1"/>
  <c r="I33" i="40" s="1"/>
  <c r="I34" i="40" s="1"/>
  <c r="I35" i="40" s="1"/>
  <c r="I36" i="40" s="1"/>
  <c r="I37" i="40" s="1"/>
  <c r="I38" i="40" s="1"/>
  <c r="I39" i="40" s="1"/>
  <c r="I40" i="40" s="1"/>
  <c r="I41" i="40" s="1"/>
  <c r="I42" i="40" s="1"/>
  <c r="I43" i="40" s="1"/>
  <c r="I44" i="40" s="1"/>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D12" i="38" l="1"/>
  <c r="G12" i="38"/>
  <c r="E11" i="38"/>
  <c r="D11" i="38"/>
  <c r="F11" i="38"/>
  <c r="D13" i="38"/>
  <c r="E12" i="38"/>
  <c r="F12" i="38"/>
  <c r="E13" i="38"/>
  <c r="F13" i="38"/>
  <c r="G13" i="38"/>
  <c r="D12" i="39"/>
  <c r="D4" i="40"/>
  <c r="D4" i="41"/>
  <c r="D4" i="50"/>
  <c r="D4" i="39"/>
  <c r="D4" i="34"/>
  <c r="D4" i="44"/>
  <c r="D4" i="38"/>
  <c r="O7" i="44" l="1"/>
  <c r="M7" i="44"/>
  <c r="O86" i="44" l="1"/>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N15" i="34" l="1"/>
  <c r="N16" i="34"/>
  <c r="N17" i="34"/>
  <c r="N18" i="34"/>
  <c r="N13" i="34"/>
  <c r="N12" i="34"/>
  <c r="N11" i="34"/>
  <c r="D14" i="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F11" i="41"/>
  <c r="E11" i="41"/>
  <c r="D11" i="41"/>
  <c r="F15" i="40"/>
  <c r="G16" i="40"/>
  <c r="E15" i="40"/>
  <c r="D16" i="40"/>
  <c r="E16" i="40"/>
  <c r="G15" i="40"/>
  <c r="D15" i="40"/>
  <c r="F16" i="40"/>
  <c r="E11" i="50"/>
  <c r="D11" i="50"/>
  <c r="G11" i="50"/>
  <c r="F11" i="50"/>
  <c r="E12" i="39"/>
  <c r="G12" i="39"/>
  <c r="G11" i="37" s="1" a="1"/>
  <c r="G11" i="37" s="1"/>
  <c r="F12" i="39"/>
  <c r="F11" i="37" s="1" a="1"/>
  <c r="F11" i="37" s="1"/>
  <c r="D13" i="37" l="1"/>
  <c r="F13" i="37"/>
  <c r="G13" i="37"/>
  <c r="E13"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N14" i="34"/>
  <c r="O9" i="44"/>
  <c r="I7" i="44"/>
  <c r="I8" i="44" l="1"/>
  <c r="I9" i="44" s="1"/>
  <c r="I10" i="44" s="1"/>
  <c r="L30" i="48"/>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F11" i="44" l="1"/>
  <c r="E11" i="44"/>
  <c r="D11" i="44"/>
  <c r="G11" i="44"/>
  <c r="F12" i="44"/>
  <c r="E12" i="44"/>
  <c r="D12" i="44"/>
  <c r="G12" i="44"/>
  <c r="G11" i="40"/>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D14" i="34" l="1"/>
  <c r="G14" i="34"/>
  <c r="F14" i="34"/>
  <c r="E14" i="34"/>
  <c r="E13" i="34"/>
  <c r="F13" i="34"/>
  <c r="G13" i="34"/>
  <c r="D13" i="34"/>
  <c r="E12" i="34"/>
  <c r="D12" i="34"/>
  <c r="G12" i="34"/>
  <c r="F12" i="34"/>
  <c r="G11" i="34"/>
  <c r="E11" i="34"/>
  <c r="F11" i="34"/>
  <c r="D11" i="34"/>
  <c r="D15" i="34"/>
  <c r="G15" i="34"/>
  <c r="E15" i="34"/>
  <c r="F15" i="34"/>
  <c r="E48" i="37"/>
  <c r="E49" i="37"/>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<sst xmlns="http://schemas.openxmlformats.org/spreadsheetml/2006/main" count="8445" uniqueCount="1736">
  <si>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</si>
  <si>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</si>
  <si>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</si>
  <si>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</si>
  <si>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</si>
  <si>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</si>
  <si>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</si>
  <si>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</si>
  <si>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</si>
  <si>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</si>
  <si>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</si>
  <si>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</si>
  <si>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</si>
  <si>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</si>
  <si>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</si>
  <si>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</si>
  <si>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</si>
  <si>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</si>
  <si>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</si>
  <si>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</si>
  <si>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</si>
  <si>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</si>
  <si>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</si>
  <si>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</si>
  <si>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</si>
  <si>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</si>
  <si>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</si>
  <si>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</si>
  <si>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</si>
  <si>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</si>
  <si>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</si>
  <si>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</si>
  <si>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</si>
  <si>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</si>
  <si>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</si>
  <si>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</si>
  <si>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</si>
  <si>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</si>
  <si>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</si>
  <si>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</si>
  <si>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</si>
  <si>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</si>
  <si>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</si>
  <si>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</si>
  <si>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</si>
  <si>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</si>
  <si>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</si>
  <si>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</si>
  <si>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</si>
  <si>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</si>
  <si>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</si>
  <si>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</si>
  <si>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</si>
  <si>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</si>
  <si>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</si>
  <si>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</si>
  <si>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</si>
  <si>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</si>
  <si>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</si>
  <si>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</si>
  <si>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</si>
  <si>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</si>
  <si>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</si>
  <si>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</si>
  <si>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</si>
  <si>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</si>
  <si>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</si>
  <si>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</si>
  <si>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</si>
  <si>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</si>
  <si>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</si>
  <si>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</si>
  <si>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</si>
  <si>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</si>
  <si>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</si>
  <si>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</si>
  <si>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</si>
  <si>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</si>
  <si>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</si>
  <si>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</si>
  <si>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</si>
  <si>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</si>
  <si>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</si>
  <si>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</si>
  <si>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</si>
  <si>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</si>
  <si>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</si>
  <si>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</si>
  <si>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</si>
  <si>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</si>
  <si>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</si>
  <si>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</si>
  <si>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</si>
  <si>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</si>
  <si>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</si>
  <si>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</si>
  <si>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</si>
  <si>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</si>
  <si>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</si>
  <si>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</si>
  <si>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</si>
  <si>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</si>
  <si>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</si>
  <si>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</si>
  <si>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</si>
  <si>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</si>
  <si>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</si>
  <si>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</si>
  <si>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</si>
  <si>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</si>
  <si>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</si>
  <si>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</si>
  <si>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</si>
  <si>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</si>
  <si>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</si>
  <si>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</si>
  <si>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</si>
  <si>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</si>
  <si>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</si>
  <si>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</si>
  <si>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</si>
  <si>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</si>
  <si>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</si>
  <si>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</si>
  <si>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</si>
  <si>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</si>
  <si>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</si>
  <si>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</si>
  <si>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</si>
  <si>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</si>
  <si>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</si>
  <si>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</si>
  <si>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</si>
  <si>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</si>
  <si>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</si>
  <si>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</si>
  <si>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</si>
  <si>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</si>
  <si>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</si>
  <si>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</si>
  <si>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</si>
  <si>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</si>
  <si>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</si>
  <si>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</si>
  <si>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</si>
  <si>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</si>
  <si>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</si>
  <si>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</si>
  <si>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</si>
  <si>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</si>
  <si>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</si>
  <si>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</si>
  <si>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</si>
  <si>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</si>
  <si>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</si>
  <si>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</si>
  <si>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</si>
  <si>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</si>
  <si>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</si>
  <si>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</si>
  <si>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</si>
  <si>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</si>
  <si>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</si>
  <si>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</si>
  <si>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</si>
  <si>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</si>
  <si>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</si>
  <si>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</si>
  <si>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</si>
  <si>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</si>
  <si>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</si>
  <si>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</si>
  <si>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</si>
  <si>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</si>
  <si>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</si>
  <si>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</si>
  <si>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</si>
  <si>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</si>
  <si>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</si>
  <si>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</si>
  <si>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</si>
  <si>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</si>
  <si>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</si>
  <si>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</si>
  <si>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</si>
  <si>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</si>
  <si>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</si>
  <si>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</si>
  <si>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</si>
  <si>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</si>
  <si>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</si>
  <si>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</si>
  <si>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</si>
  <si>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</si>
  <si>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</si>
  <si>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</si>
  <si>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</si>
  <si>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</si>
  <si>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</si>
  <si>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</si>
  <si>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</si>
  <si>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</si>
  <si>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</si>
  <si>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</si>
  <si>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</si>
  <si>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</si>
  <si>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</si>
  <si>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</si>
  <si>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</si>
  <si>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</si>
  <si>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</si>
  <si>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</si>
  <si>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</si>
  <si>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</si>
  <si>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</si>
  <si>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</si>
  <si>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</si>
  <si>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</si>
  <si>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</si>
  <si>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</si>
  <si>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</si>
  <si>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</si>
  <si>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</si>
  <si>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</si>
  <si>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</si>
  <si>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</si>
  <si>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</si>
  <si>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</si>
  <si>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</si>
  <si>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</si>
  <si>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</si>
  <si>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</si>
  <si>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</si>
  <si>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</si>
  <si>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</si>
  <si>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</si>
  <si>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</si>
  <si>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</si>
  <si>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</si>
  <si>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</si>
  <si>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</si>
  <si>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</si>
  <si>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</si>
  <si>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</si>
  <si>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</si>
  <si>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</si>
  <si>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</si>
  <si>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</si>
  <si>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</si>
  <si>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</si>
  <si>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</si>
  <si>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</si>
  <si>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</si>
  <si>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</si>
  <si>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</si>
  <si>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</si>
  <si>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</si>
  <si>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</si>
  <si>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</si>
  <si>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</si>
  <si>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</si>
  <si>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</si>
  <si>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</si>
  <si>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</si>
  <si>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</si>
  <si>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</si>
  <si>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</si>
  <si>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</si>
  <si>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</si>
  <si>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</si>
  <si>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</si>
  <si>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</si>
  <si>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</si>
  <si>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</si>
  <si>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</si>
  <si>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</si>
  <si>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</si>
  <si>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</si>
  <si>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</si>
  <si>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</si>
  <si>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</si>
  <si>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</si>
  <si>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</si>
  <si>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</si>
  <si>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</si>
  <si>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</si>
  <si>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</si>
  <si>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</si>
  <si>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</si>
  <si>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</si>
  <si>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</si>
  <si>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</si>
  <si>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</si>
  <si>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</si>
  <si>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</si>
  <si>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</si>
  <si>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</si>
  <si>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</si>
  <si>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</si>
  <si>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</si>
  <si>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</si>
  <si>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</si>
  <si>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</si>
  <si>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</si>
  <si>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</si>
  <si>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</si>
  <si>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</si>
  <si>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</si>
  <si>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</si>
  <si>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</si>
  <si>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</si>
  <si>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</si>
  <si>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</si>
  <si>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</si>
  <si>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</si>
  <si>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</si>
  <si>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</si>
  <si>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</si>
  <si>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</si>
  <si>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</si>
  <si>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</si>
  <si>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</si>
  <si>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</si>
  <si>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</si>
  <si>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</si>
  <si>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</si>
  <si>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</si>
  <si>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</si>
  <si>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</si>
  <si>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</si>
  <si>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</si>
  <si>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</si>
  <si>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</si>
  <si>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</si>
  <si>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</si>
  <si>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</si>
  <si>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</si>
  <si>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</si>
  <si>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</si>
  <si>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</si>
  <si>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</si>
  <si>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</si>
  <si>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</si>
  <si>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</si>
  <si>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</si>
  <si>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</si>
  <si>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</si>
  <si>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</si>
  <si>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</si>
  <si>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</si>
  <si>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</si>
  <si>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</si>
  <si>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</si>
  <si>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</si>
  <si>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</si>
  <si>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</si>
  <si>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</si>
  <si>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</si>
  <si>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</si>
  <si>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</si>
  <si>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</si>
  <si>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</si>
  <si>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</si>
  <si>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</si>
  <si>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</si>
  <si>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</si>
  <si>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</si>
  <si>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</si>
  <si>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</si>
  <si>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</si>
  <si>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</si>
  <si>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</si>
  <si>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</si>
  <si>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</si>
  <si>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</si>
  <si>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</si>
  <si>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</si>
  <si>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</si>
  <si>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</si>
  <si>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</si>
  <si>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</si>
  <si>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</si>
  <si>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</si>
  <si>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</si>
  <si>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</si>
  <si>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</si>
  <si>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</si>
  <si>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</si>
  <si>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</si>
  <si>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</si>
  <si>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</si>
  <si>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</si>
  <si>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</si>
  <si>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</si>
  <si>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</si>
  <si>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</si>
  <si>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</si>
  <si>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</si>
  <si>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</si>
  <si>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</si>
  <si>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</si>
  <si>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</si>
  <si>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</si>
  <si>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</si>
  <si>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</si>
  <si>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</si>
  <si>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</si>
  <si>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</si>
  <si>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</si>
  <si>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</si>
  <si>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</si>
  <si>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</si>
  <si>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</si>
  <si>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</si>
  <si>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</si>
  <si>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</si>
  <si>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</si>
  <si>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</si>
  <si>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</si>
  <si>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</si>
  <si>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</si>
  <si>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</si>
  <si>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</si>
  <si>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</si>
  <si>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</si>
  <si>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</si>
  <si>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</si>
  <si>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</si>
  <si>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</si>
  <si>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</si>
  <si>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</si>
  <si>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</si>
  <si>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</si>
  <si>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</si>
  <si>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</si>
  <si>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</si>
  <si>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</si>
  <si>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</si>
  <si>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</si>
  <si>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</si>
  <si>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</si>
  <si>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</si>
  <si>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</si>
  <si>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</si>
  <si>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</si>
  <si>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</si>
  <si>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</si>
  <si>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</si>
  <si>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</si>
  <si>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</si>
  <si>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</si>
  <si>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</si>
  <si>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</si>
  <si>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</si>
  <si>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</si>
  <si>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</si>
  <si>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</si>
  <si>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</si>
  <si>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</si>
  <si>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</si>
  <si>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</si>
  <si>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</si>
  <si>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</si>
  <si>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</si>
  <si>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</si>
  <si>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</si>
  <si>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</si>
  <si>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</si>
  <si>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</si>
  <si>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</si>
  <si>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</si>
  <si>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</si>
  <si>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</si>
  <si>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</si>
  <si>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</si>
  <si>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</si>
  <si>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</si>
  <si>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</si>
  <si>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</si>
  <si>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</si>
  <si>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</si>
  <si>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</si>
  <si>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</si>
  <si>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</si>
  <si>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</si>
  <si>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</si>
  <si>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</si>
  <si>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</si>
  <si>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</si>
  <si>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</si>
  <si>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</si>
  <si>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</si>
  <si>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</si>
  <si>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</si>
  <si>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</si>
  <si>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</si>
  <si>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</si>
  <si>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</si>
  <si>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</si>
  <si>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</si>
  <si>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</si>
  <si>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</si>
  <si>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</si>
  <si>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</si>
  <si>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</si>
  <si>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</si>
  <si>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</si>
  <si>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</si>
  <si>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</si>
  <si>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</si>
  <si>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</si>
  <si>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</si>
  <si>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</si>
  <si>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</si>
  <si>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</si>
  <si>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</si>
  <si>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</si>
  <si>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</si>
  <si>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</si>
  <si>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</si>
  <si>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</si>
  <si>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</si>
  <si>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</si>
  <si>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</si>
  <si>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</si>
  <si>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</si>
  <si>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</si>
  <si>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</si>
  <si>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</si>
  <si>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</si>
  <si>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</si>
  <si>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</si>
  <si>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</si>
  <si>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</si>
  <si>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</si>
  <si>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</si>
  <si>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</si>
  <si>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</si>
  <si>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</si>
  <si>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</si>
  <si>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</si>
  <si>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</si>
  <si>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</si>
  <si>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</si>
  <si>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</si>
  <si>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</si>
  <si>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</si>
  <si>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</si>
  <si>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</si>
  <si>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</si>
  <si>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</si>
  <si>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</si>
  <si>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</si>
  <si>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</si>
  <si>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</si>
  <si>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</si>
  <si>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</si>
  <si>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</si>
  <si>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</si>
  <si>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</si>
  <si>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</si>
  <si>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</si>
  <si>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</si>
  <si>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</si>
  <si>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</si>
  <si>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</si>
  <si>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</si>
  <si>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</si>
  <si>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</si>
  <si>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</si>
  <si>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</si>
  <si>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</si>
  <si>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</si>
  <si>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</si>
  <si>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</si>
  <si>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</si>
  <si>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</si>
  <si>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</si>
  <si>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</si>
  <si>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</si>
  <si>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</si>
  <si>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</si>
  <si>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</si>
  <si>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</si>
  <si>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</si>
  <si>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</si>
  <si>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</si>
  <si>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</si>
  <si>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</si>
  <si>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</si>
  <si>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</si>
  <si>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</si>
  <si>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</si>
  <si>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</si>
  <si>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</si>
  <si>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</si>
  <si>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</si>
  <si>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</si>
  <si>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</si>
  <si>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</si>
  <si>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</si>
  <si>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</si>
  <si>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</si>
  <si>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</si>
  <si>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</si>
  <si>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</si>
  <si>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</si>
  <si>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</si>
  <si>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</si>
  <si>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</si>
  <si>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</si>
  <si>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</si>
  <si>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</si>
  <si>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</si>
  <si>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</si>
  <si>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</si>
  <si>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</si>
  <si>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</si>
  <si>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</si>
  <si>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</si>
  <si>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</si>
  <si>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</si>
  <si>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</si>
  <si>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</si>
  <si>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</si>
  <si>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</si>
  <si>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</si>
  <si>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</si>
  <si>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</si>
  <si>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</si>
  <si>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</si>
  <si>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</si>
  <si>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</si>
  <si>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</si>
  <si>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</si>
  <si>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</si>
  <si>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</si>
  <si>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</si>
  <si>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</si>
  <si>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</si>
  <si>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</si>
  <si>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</si>
  <si>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</si>
  <si>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</si>
  <si>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</si>
  <si>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</si>
  <si>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</si>
  <si>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</si>
  <si>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</si>
  <si>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</si>
  <si>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</si>
  <si>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</si>
  <si>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</si>
  <si>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</si>
  <si>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</si>
  <si>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</si>
  <si>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</si>
  <si>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</si>
  <si>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</si>
  <si>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</si>
  <si>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</si>
  <si>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</si>
  <si>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</si>
  <si>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</si>
  <si>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</si>
  <si>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</si>
  <si>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</si>
  <si>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</si>
  <si>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</si>
  <si>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</si>
  <si>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</si>
  <si>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</si>
  <si>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</si>
  <si>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</si>
  <si>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</si>
  <si>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</si>
  <si>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</si>
  <si>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</si>
  <si>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</si>
  <si>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</si>
  <si>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</si>
  <si>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</si>
  <si>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</si>
  <si>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</si>
  <si>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</si>
  <si>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</si>
  <si>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</si>
  <si>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</si>
  <si>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</si>
  <si>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</si>
  <si>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</si>
  <si>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</si>
  <si>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</si>
  <si>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</si>
  <si>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</si>
  <si>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</si>
  <si>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</si>
  <si>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</si>
  <si>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</si>
  <si>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</si>
  <si>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</si>
  <si>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</si>
  <si>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</si>
  <si>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</si>
  <si>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</si>
  <si>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</si>
  <si>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</si>
  <si>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</si>
  <si>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</si>
  <si>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</si>
  <si>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</si>
  <si>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</si>
  <si>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</si>
  <si>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</si>
  <si>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</si>
  <si>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</si>
  <si>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</si>
  <si>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</si>
  <si>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</si>
  <si>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</si>
  <si>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</si>
  <si>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</si>
  <si>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</si>
  <si>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</si>
  <si>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</si>
  <si>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</si>
  <si>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</si>
  <si>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</si>
  <si>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</si>
  <si>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</si>
  <si>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</si>
  <si>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</si>
  <si>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</si>
  <si>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</si>
  <si>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</si>
  <si>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</si>
  <si>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</si>
  <si>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</si>
  <si>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</si>
  <si>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</si>
  <si>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</si>
  <si>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</si>
  <si>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</si>
  <si>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</si>
  <si>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</si>
  <si>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</si>
  <si>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</si>
  <si>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</si>
  <si>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</si>
  <si>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</si>
  <si>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</si>
  <si>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</si>
  <si>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</si>
  <si>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</si>
  <si>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</si>
  <si>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</si>
  <si>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</si>
  <si>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</si>
  <si>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</si>
  <si>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</si>
  <si>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</si>
  <si>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</si>
  <si>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</si>
  <si>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</si>
  <si>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</si>
  <si>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</si>
  <si>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</si>
  <si>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</si>
  <si>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</si>
  <si>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</si>
  <si>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</si>
  <si>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</si>
  <si>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</si>
  <si>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</si>
  <si>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</si>
  <si>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</si>
  <si>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</si>
  <si>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</si>
  <si>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</si>
  <si>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</si>
  <si>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</si>
  <si>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</si>
  <si>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</si>
  <si>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</si>
  <si>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</si>
  <si>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</si>
  <si>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</si>
  <si>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</si>
  <si>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</si>
  <si>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</si>
  <si>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</si>
  <si>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</si>
  <si>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</si>
  <si>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</si>
  <si>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</si>
  <si>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</si>
  <si>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</si>
  <si>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</si>
  <si>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</si>
  <si>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</si>
  <si>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</si>
  <si>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</si>
  <si>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</si>
  <si>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</si>
  <si>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</si>
  <si>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</si>
  <si>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</si>
  <si>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</si>
  <si>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</si>
  <si>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</si>
  <si>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</si>
  <si>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</si>
  <si>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</si>
  <si>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</si>
  <si>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</si>
  <si>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</si>
  <si>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</si>
  <si>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</si>
  <si>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</si>
  <si>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</si>
  <si>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</si>
  <si>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</si>
  <si>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</si>
  <si>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</si>
  <si>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</si>
  <si>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</si>
  <si>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</si>
  <si>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</si>
  <si>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</si>
  <si>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</si>
  <si>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</si>
  <si>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</si>
  <si>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</si>
  <si>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</si>
  <si>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</si>
  <si>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</si>
  <si>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</si>
  <si>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</si>
  <si>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</si>
  <si>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</si>
  <si>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</si>
  <si>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</si>
  <si>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</si>
  <si>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</si>
  <si>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</si>
  <si>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</si>
  <si>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</si>
  <si>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</si>
  <si>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</si>
  <si>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</si>
  <si>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</si>
  <si>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</si>
  <si>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</si>
  <si>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</si>
  <si>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</si>
  <si>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</si>
  <si>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</si>
  <si>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</si>
  <si>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</si>
  <si>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</si>
  <si>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</si>
  <si>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</si>
  <si>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</si>
  <si>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</si>
  <si>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</si>
  <si>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</si>
  <si>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</si>
  <si>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</si>
  <si>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</si>
  <si>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</si>
  <si>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</si>
  <si>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</si>
  <si>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</si>
  <si>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</si>
  <si>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</si>
  <si>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</si>
  <si>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</si>
  <si>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</si>
  <si>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</si>
  <si>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</si>
  <si>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</si>
  <si>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</si>
  <si>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</si>
  <si>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</si>
  <si>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</si>
  <si>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</si>
  <si>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</si>
  <si>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</si>
  <si>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</si>
  <si>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</si>
  <si>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</si>
  <si>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</si>
  <si>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</si>
  <si>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</si>
  <si>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</si>
  <si>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</si>
  <si>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</si>
  <si>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</si>
  <si>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</si>
  <si>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</si>
  <si>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</si>
  <si>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</si>
  <si>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</si>
  <si>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</si>
  <si>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</si>
  <si>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</si>
  <si>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</si>
  <si>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</si>
  <si>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</si>
  <si>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</si>
  <si>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</si>
  <si>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</si>
  <si>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</si>
  <si>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</si>
  <si>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</si>
  <si>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</si>
  <si>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</si>
  <si>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</si>
  <si>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</si>
  <si>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</si>
  <si>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</si>
  <si>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</si>
  <si>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</si>
  <si>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</si>
  <si>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</si>
  <si>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</si>
  <si>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</si>
  <si>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</si>
  <si>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</si>
  <si>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</si>
  <si>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</si>
  <si>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</si>
  <si>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</si>
  <si>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</si>
  <si>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</si>
  <si>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</si>
  <si>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</si>
  <si>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</si>
  <si>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</si>
  <si>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</si>
  <si>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</si>
  <si>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</si>
  <si>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</si>
  <si>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</si>
  <si>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</si>
  <si>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</si>
  <si>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</si>
  <si>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</si>
  <si>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</si>
  <si>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</si>
  <si>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</si>
  <si>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</si>
  <si>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</si>
  <si>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</si>
  <si>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</si>
  <si>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</si>
  <si>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</si>
  <si>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</si>
  <si>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</si>
  <si>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</si>
  <si>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</si>
  <si>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</si>
  <si>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</si>
  <si>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</si>
  <si>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</si>
  <si>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</si>
  <si>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</si>
  <si>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</si>
  <si>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</si>
  <si>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</si>
  <si>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</si>
  <si>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</si>
  <si>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</si>
  <si>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</si>
  <si>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</si>
  <si>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</si>
  <si>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</si>
  <si>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</si>
  <si>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</si>
  <si>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</si>
  <si>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</si>
  <si>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</si>
  <si>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</si>
  <si>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</si>
  <si>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</si>
  <si>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</si>
  <si>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</si>
  <si>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</si>
  <si>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</si>
  <si>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</si>
  <si>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</si>
  <si>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</si>
  <si>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</si>
  <si>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</si>
  <si>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</si>
  <si>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</si>
  <si>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</si>
  <si>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</si>
  <si>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</si>
  <si>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</si>
  <si>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</si>
  <si>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</si>
  <si>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</si>
  <si>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</si>
  <si>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</si>
  <si>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</si>
  <si>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</si>
  <si>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</si>
  <si>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</si>
  <si>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</si>
  <si>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</si>
  <si>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</si>
  <si>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</si>
  <si>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</si>
  <si>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</si>
  <si>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</si>
  <si>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</si>
  <si>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</si>
  <si>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</si>
  <si>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</si>
  <si>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</si>
  <si>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</si>
  <si>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</si>
  <si>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</si>
  <si>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</si>
  <si>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</si>
  <si>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</si>
  <si>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</si>
  <si>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</si>
  <si>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</si>
  <si>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</si>
  <si>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</si>
  <si>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</si>
  <si>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</si>
  <si>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</si>
  <si>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</si>
  <si>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</si>
  <si>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</si>
  <si>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</si>
  <si>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</si>
  <si>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</si>
  <si>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</si>
  <si>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</si>
  <si>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</si>
  <si>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</si>
  <si>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</si>
  <si>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</si>
  <si>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</si>
  <si>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</si>
  <si>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</si>
  <si>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</si>
  <si>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</si>
  <si>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</si>
  <si>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</si>
  <si>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</si>
  <si>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</si>
  <si>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</si>
  <si>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</si>
  <si>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</si>
  <si>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</si>
  <si>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</si>
  <si>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</si>
  <si>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</si>
  <si>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</si>
  <si>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</si>
  <si>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</si>
  <si>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</si>
  <si>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</si>
  <si>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</si>
  <si>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</si>
  <si>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</si>
  <si>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</si>
  <si>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</si>
  <si>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</si>
  <si>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</si>
  <si>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</si>
  <si>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</si>
  <si>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</si>
  <si>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</si>
  <si>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</si>
  <si>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</si>
  <si>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</si>
  <si>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</si>
  <si>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</si>
  <si>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</si>
  <si>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</si>
  <si>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</si>
  <si>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</si>
  <si>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</si>
  <si>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</si>
  <si>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</si>
  <si>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</si>
  <si>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</si>
  <si>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</si>
  <si>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</si>
  <si>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</si>
  <si>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</si>
  <si>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</si>
  <si>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</si>
  <si>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</si>
  <si>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</si>
  <si>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</si>
  <si>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</si>
  <si>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</si>
  <si>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</si>
  <si>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</si>
  <si>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</si>
  <si>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</si>
  <si>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</si>
  <si>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</si>
  <si>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</si>
  <si>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</si>
  <si>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</si>
  <si>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</si>
  <si>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</si>
  <si>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</si>
  <si>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</si>
  <si>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</si>
  <si>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</si>
  <si>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</si>
  <si>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</si>
  <si>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</si>
  <si>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</si>
  <si>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</si>
  <si>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</si>
  <si>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</si>
  <si>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</si>
  <si>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</si>
  <si>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</si>
  <si>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</si>
  <si>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</si>
  <si>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</si>
  <si>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</si>
  <si>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</si>
  <si>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</si>
  <si>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</si>
  <si>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</si>
  <si>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</si>
  <si>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</si>
  <si>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</si>
  <si>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</si>
  <si>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</si>
  <si>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</si>
  <si>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</si>
  <si>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</si>
  <si>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</si>
  <si>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</si>
  <si>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</si>
  <si>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</si>
  <si>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</si>
  <si>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</si>
  <si>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</si>
  <si>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</si>
  <si>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</si>
  <si>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</si>
  <si>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</si>
  <si>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</si>
  <si>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</si>
  <si>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</si>
  <si>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</si>
  <si>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</si>
  <si>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</si>
  <si>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</si>
  <si>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</si>
  <si>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</si>
  <si>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</si>
  <si>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</si>
  <si>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</si>
  <si>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</si>
  <si>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</si>
  <si>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</si>
  <si>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</si>
  <si>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</si>
  <si>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</si>
  <si>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</si>
  <si>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</si>
  <si>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</si>
  <si>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</si>
  <si>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</si>
  <si>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</si>
  <si>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</si>
  <si>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</si>
  <si>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</si>
  <si>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</si>
  <si>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</si>
  <si>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</si>
  <si>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</si>
  <si>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</si>
  <si>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</si>
  <si>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</si>
  <si>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</si>
  <si>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</si>
  <si>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</si>
  <si>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</si>
  <si>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</si>
  <si>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</si>
  <si>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</si>
  <si>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</si>
  <si>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</si>
  <si>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</si>
  <si>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</si>
  <si>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</si>
  <si>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</si>
  <si>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</si>
  <si>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</si>
  <si>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</si>
  <si>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</si>
  <si>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</si>
  <si>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</si>
  <si>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</si>
  <si>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</si>
  <si>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</si>
  <si>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</si>
  <si>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</si>
  <si>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</si>
  <si>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</si>
  <si>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</si>
  <si>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</si>
  <si>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</si>
  <si>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</si>
  <si>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</si>
  <si>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</si>
  <si>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</si>
  <si>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</si>
  <si>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</si>
  <si>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</si>
  <si>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</si>
  <si>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</si>
  <si>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</si>
  <si>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</si>
  <si>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</si>
  <si>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</si>
  <si>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</si>
  <si>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</si>
  <si>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</si>
  <si>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</si>
  <si>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</si>
  <si>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</si>
  <si>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</si>
  <si>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</si>
  <si>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</si>
  <si>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</si>
  <si>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</si>
  <si>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</si>
  <si>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</si>
  <si>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</si>
  <si>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</si>
  <si>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</si>
  <si>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</si>
  <si>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</si>
  <si>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</si>
  <si>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</si>
  <si>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</si>
  <si>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</si>
  <si>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</si>
  <si>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</si>
  <si>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</si>
  <si>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</si>
  <si>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</si>
  <si>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</si>
  <si>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</si>
  <si>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</si>
  <si>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</si>
  <si>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</si>
  <si>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</si>
  <si>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</si>
  <si>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</si>
  <si>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</si>
  <si>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</si>
  <si>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</si>
  <si>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</si>
  <si>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</si>
  <si>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</si>
  <si>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</si>
  <si>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</si>
  <si>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</si>
  <si>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</si>
  <si>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</si>
  <si>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</si>
  <si>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</si>
  <si>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</si>
  <si>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</si>
  <si>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</si>
  <si>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</si>
  <si>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</si>
  <si>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</si>
  <si>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</si>
  <si>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</si>
  <si>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</si>
  <si>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</si>
  <si>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</si>
  <si>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</si>
  <si>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</si>
  <si>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</si>
  <si>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</si>
  <si>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</si>
  <si>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</si>
  <si>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</si>
  <si>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</si>
  <si>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</si>
  <si>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</si>
  <si>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</si>
  <si>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</si>
  <si>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</si>
  <si>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</si>
  <si>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</si>
  <si>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</si>
  <si>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</si>
  <si>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</si>
  <si>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</si>
  <si>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</si>
  <si>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</si>
  <si>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</si>
  <si>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</si>
  <si>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</si>
  <si>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</si>
  <si>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</si>
  <si>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</si>
  <si>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</si>
  <si>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</si>
  <si>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</si>
  <si>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</si>
  <si>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</si>
  <si>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</si>
  <si>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</si>
  <si>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</si>
  <si>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</si>
  <si>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</si>
  <si>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</si>
  <si>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</si>
  <si>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</si>
  <si>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</si>
  <si>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</si>
  <si>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</si>
  <si>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</si>
  <si>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</si>
  <si>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</si>
  <si>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</si>
  <si>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</si>
  <si>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</si>
  <si>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</si>
  <si>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</si>
  <si>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</si>
  <si>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</si>
  <si>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</si>
  <si>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</si>
  <si>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</si>
  <si>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</si>
  <si>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</si>
  <si>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</si>
  <si>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</si>
  <si>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</si>
  <si>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</si>
  <si>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</si>
  <si>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</si>
  <si>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</si>
  <si>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</si>
  <si>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</si>
  <si>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</si>
  <si>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</si>
  <si>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</si>
  <si>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</si>
  <si>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</si>
  <si>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</si>
  <si>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</si>
  <si>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</si>
  <si>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</si>
  <si>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</si>
  <si>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</si>
  <si>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</si>
  <si>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</si>
  <si>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</si>
  <si>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</si>
  <si>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</si>
  <si>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</si>
  <si>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</si>
  <si>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</si>
  <si>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</si>
  <si>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</si>
  <si>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</si>
  <si>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</si>
  <si>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</si>
  <si>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</si>
  <si>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</si>
  <si>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</si>
  <si>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</si>
  <si>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</si>
  <si>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</si>
  <si>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</si>
  <si>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</si>
  <si>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</si>
  <si>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</si>
  <si>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</si>
  <si>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</si>
  <si>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</si>
  <si>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</si>
  <si>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</si>
  <si>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</si>
  <si>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</si>
  <si>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</si>
  <si>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</si>
  <si>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</si>
  <si>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</si>
  <si>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</si>
  <si>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</si>
  <si>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</si>
  <si>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</si>
  <si>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</si>
  <si>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</si>
  <si>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</si>
  <si>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</si>
  <si>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</si>
  <si>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</si>
  <si>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</si>
  <si>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</si>
  <si>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</si>
  <si>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</si>
  <si>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</si>
  <si>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</si>
  <si>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</si>
  <si>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</si>
  <si>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</si>
  <si>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</si>
  <si>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</si>
  <si>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</si>
  <si>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</si>
  <si>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</si>
  <si>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</si>
  <si>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</si>
  <si>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</si>
  <si>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</si>
  <si>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Adam L. Nodado</t>
  </si>
  <si>
    <t>$D$2</t>
  </si>
  <si>
    <t>$D$3</t>
  </si>
  <si>
    <t>$J$8</t>
  </si>
  <si>
    <t>$K$8</t>
  </si>
  <si>
    <t>$M$8</t>
  </si>
  <si>
    <t>$J$13</t>
  </si>
  <si>
    <t>$K$13</t>
  </si>
  <si>
    <t>$J$14</t>
  </si>
  <si>
    <t>$K$14</t>
  </si>
  <si>
    <t>$J$15</t>
  </si>
  <si>
    <t>$K$15</t>
  </si>
  <si>
    <t>$M$15</t>
  </si>
  <si>
    <t>$K$16</t>
  </si>
  <si>
    <t>$K$17</t>
  </si>
  <si>
    <t>$M$17</t>
  </si>
  <si>
    <t>$K$18</t>
  </si>
  <si>
    <t>$M$18</t>
  </si>
  <si>
    <t>$K$20</t>
  </si>
  <si>
    <t>$C$6</t>
  </si>
  <si>
    <t>$C$7</t>
  </si>
  <si>
    <t>Cummins</t>
  </si>
  <si>
    <t>Cummins Model No. C500DGE Diesel Engine Generator Set No. 1</t>
  </si>
  <si>
    <t>Cummins Model No. C500D6E Diesel Engine Generator Set No. 1</t>
  </si>
  <si>
    <t>$O$9</t>
  </si>
  <si>
    <t>$O$11:$O$18</t>
  </si>
  <si>
    <t>$N$7</t>
  </si>
  <si>
    <t>$P$8</t>
  </si>
  <si>
    <t xml:space="preserve">SHP </t>
  </si>
  <si>
    <t xml:space="preserve">SHP 606 &amp; </t>
  </si>
  <si>
    <t>SHP 606 &amp; S8X 288</t>
  </si>
  <si>
    <t>SLD 728</t>
  </si>
  <si>
    <t>SED 114</t>
  </si>
  <si>
    <t>13129353 &amp; SED 114</t>
  </si>
  <si>
    <t>131210 &amp; 13129353 &amp; SED 114</t>
  </si>
  <si>
    <t>$R$10</t>
  </si>
  <si>
    <t>$N$11</t>
  </si>
  <si>
    <t>$P$11</t>
  </si>
  <si>
    <t>$N$12</t>
  </si>
  <si>
    <t>$P$12</t>
  </si>
  <si>
    <t>$R$12</t>
  </si>
  <si>
    <t>$L$15</t>
  </si>
  <si>
    <t>$R$13:$R$15</t>
  </si>
  <si>
    <t>$L$16</t>
  </si>
  <si>
    <t>$L$17</t>
  </si>
  <si>
    <t>$L$18</t>
  </si>
  <si>
    <t>$R$16:$R$18</t>
  </si>
  <si>
    <t>$K$19</t>
  </si>
  <si>
    <t>$K$21</t>
  </si>
  <si>
    <t>$L$19</t>
  </si>
  <si>
    <t>$L$20</t>
  </si>
  <si>
    <t>$L$21</t>
  </si>
  <si>
    <t>$N$16</t>
  </si>
  <si>
    <t>$P$17</t>
  </si>
  <si>
    <t>$N$17</t>
  </si>
  <si>
    <t>$P$18</t>
  </si>
  <si>
    <t>$N$18</t>
  </si>
  <si>
    <t>$J$22:$K$24</t>
  </si>
  <si>
    <t>$J$25:$K$27</t>
  </si>
  <si>
    <t>$J$28:$K$30</t>
  </si>
  <si>
    <t>$J$31:$K$33</t>
  </si>
  <si>
    <t>$J$34:$K$36</t>
  </si>
  <si>
    <t>$J$37:$K$39</t>
  </si>
  <si>
    <t>$L$22</t>
  </si>
  <si>
    <t>$L$23</t>
  </si>
  <si>
    <t>$L$24</t>
  </si>
  <si>
    <t>$L$25</t>
  </si>
  <si>
    <t>$L$26</t>
  </si>
  <si>
    <t>$L$27</t>
  </si>
  <si>
    <t>$L$28</t>
  </si>
  <si>
    <t>$L$29</t>
  </si>
  <si>
    <t>$L$30</t>
  </si>
  <si>
    <t>$L$31</t>
  </si>
  <si>
    <t>$L$32</t>
  </si>
  <si>
    <t>$L$33</t>
  </si>
  <si>
    <t>$L$34</t>
  </si>
  <si>
    <t>$L$35</t>
  </si>
  <si>
    <t>$L$36</t>
  </si>
  <si>
    <t>$L$37</t>
  </si>
  <si>
    <t>$L$38</t>
  </si>
  <si>
    <t>$L$39</t>
  </si>
  <si>
    <t>$N$37</t>
  </si>
  <si>
    <t>$P$37</t>
  </si>
  <si>
    <t>$P$38</t>
  </si>
  <si>
    <t>$N$38</t>
  </si>
  <si>
    <t>$N$39</t>
  </si>
  <si>
    <t>$P$39</t>
  </si>
  <si>
    <t>$J$40:$K$42</t>
  </si>
  <si>
    <t>$L$40</t>
  </si>
  <si>
    <t>$L$41</t>
  </si>
  <si>
    <t>$L$42</t>
  </si>
  <si>
    <t>Three-storey buildig</t>
  </si>
  <si>
    <t>Three-storey building</t>
  </si>
  <si>
    <t>Auxiliary building</t>
  </si>
  <si>
    <t>Chiller for CHWT</t>
  </si>
  <si>
    <t>$W$10</t>
  </si>
  <si>
    <t>Guardhouse</t>
  </si>
  <si>
    <t>Pantry</t>
  </si>
  <si>
    <t>CCTV Hub Room Split type</t>
  </si>
  <si>
    <t>$W$12</t>
  </si>
  <si>
    <t>Guard House Split type</t>
  </si>
  <si>
    <t>$W$11</t>
  </si>
  <si>
    <t>Armored and Utility Vehicles</t>
  </si>
  <si>
    <t>$N$13</t>
  </si>
  <si>
    <t>$W$13</t>
  </si>
  <si>
    <t>Adam Nodado</t>
  </si>
  <si>
    <t>$L$8:$L$19</t>
  </si>
  <si>
    <t>Billing Month: January 2024</t>
  </si>
  <si>
    <t>$O$11</t>
  </si>
  <si>
    <t>$O$13</t>
  </si>
  <si>
    <t>$O$14</t>
  </si>
  <si>
    <t>$O$15</t>
  </si>
  <si>
    <t>$O$16</t>
  </si>
  <si>
    <t>$O$17</t>
  </si>
  <si>
    <t>$O$18</t>
  </si>
  <si>
    <t>$O$19</t>
  </si>
  <si>
    <t>$N$10:$N$19</t>
  </si>
  <si>
    <t>$M$9:$M$19</t>
  </si>
  <si>
    <t>$L$10:$L$19</t>
  </si>
  <si>
    <t>$M$8:$M$19</t>
  </si>
  <si>
    <t>Period Covered: 12/02/2023-01/02/2024</t>
  </si>
  <si>
    <t>$P$14</t>
  </si>
  <si>
    <t>$N$14</t>
  </si>
  <si>
    <t>$N$15</t>
  </si>
  <si>
    <t>$P$15</t>
  </si>
  <si>
    <t>$N$19</t>
  </si>
  <si>
    <t>$P$19</t>
  </si>
  <si>
    <t>$P$20</t>
  </si>
  <si>
    <t>$N$20</t>
  </si>
  <si>
    <t>$N$21</t>
  </si>
  <si>
    <t>$P$21</t>
  </si>
  <si>
    <t>$N$22:$N$24</t>
  </si>
  <si>
    <t>$P$22:$P$24</t>
  </si>
  <si>
    <t>$N$19:$N$21</t>
  </si>
  <si>
    <t>$P$19:$P$21</t>
  </si>
  <si>
    <t>$N$25</t>
  </si>
  <si>
    <t>$P$25</t>
  </si>
  <si>
    <t>$N$26</t>
  </si>
  <si>
    <t>$P$26</t>
  </si>
  <si>
    <t>$N$27</t>
  </si>
  <si>
    <t>$P$27</t>
  </si>
  <si>
    <t>$N$28</t>
  </si>
  <si>
    <t>$P$28</t>
  </si>
  <si>
    <t>$P$29</t>
  </si>
  <si>
    <t>$N$29</t>
  </si>
  <si>
    <t>$N$30</t>
  </si>
  <si>
    <t>$P$30</t>
  </si>
  <si>
    <t>$R$19:$R$30</t>
  </si>
  <si>
    <t>$R$20:$R$31</t>
  </si>
  <si>
    <t>$R$31:$R$39</t>
  </si>
  <si>
    <t>$R$40:$R$48</t>
  </si>
  <si>
    <t>$R$43:$R$48</t>
  </si>
  <si>
    <t>$N$31</t>
  </si>
  <si>
    <t>$P$31</t>
  </si>
  <si>
    <t>$P$32</t>
  </si>
  <si>
    <t>$N$32</t>
  </si>
  <si>
    <t>$N$33</t>
  </si>
  <si>
    <t>$P$33</t>
  </si>
  <si>
    <t>$N$34</t>
  </si>
  <si>
    <t>$P$34</t>
  </si>
  <si>
    <t>$P$35</t>
  </si>
  <si>
    <t>$N$35</t>
  </si>
  <si>
    <t>$N$36</t>
  </si>
  <si>
    <t>$P$36</t>
  </si>
  <si>
    <t>$N$40</t>
  </si>
  <si>
    <t>$P$40</t>
  </si>
  <si>
    <t>$P$41</t>
  </si>
  <si>
    <t>$N$41</t>
  </si>
  <si>
    <t>$P$42</t>
  </si>
  <si>
    <t>$N$42</t>
  </si>
  <si>
    <t>$N$34:$N$36</t>
  </si>
  <si>
    <t>$P$34:$P$36</t>
  </si>
  <si>
    <t>Transfer to DUCOM for boiler fuel</t>
  </si>
  <si>
    <t>Recycled carton boxes</t>
  </si>
  <si>
    <t>$L$11:$L$12</t>
  </si>
  <si>
    <t>$L$11:$L$13</t>
  </si>
  <si>
    <t>$L$14:$L$16</t>
  </si>
  <si>
    <t>$L$17:$L$19</t>
  </si>
  <si>
    <t>$L$20:$L$22</t>
  </si>
  <si>
    <t>$J$22</t>
  </si>
  <si>
    <t>$J$23</t>
  </si>
  <si>
    <t>$M$23:$O$23</t>
  </si>
  <si>
    <t>$M$17:$O$17</t>
  </si>
  <si>
    <t>$J$24</t>
  </si>
  <si>
    <t>$L$24:$L$26</t>
  </si>
  <si>
    <t>$J$25</t>
  </si>
  <si>
    <t>$J$26</t>
  </si>
  <si>
    <t>$N$12:$O$12</t>
  </si>
  <si>
    <t>$N$15:$O$15</t>
  </si>
  <si>
    <t>$N$18:$O$18</t>
  </si>
  <si>
    <t>$N$21:$O$21</t>
  </si>
  <si>
    <t>$N$25:$O$25</t>
  </si>
  <si>
    <t>$J$27</t>
  </si>
  <si>
    <t>$J$28</t>
  </si>
  <si>
    <t>$J$29</t>
  </si>
  <si>
    <t>$L$27:$L$29</t>
  </si>
  <si>
    <t>$N$28:$O$28</t>
  </si>
  <si>
    <t>$J$30</t>
  </si>
  <si>
    <t>$J$31</t>
  </si>
  <si>
    <t>$J$32</t>
  </si>
  <si>
    <t>$L$30:$O$32</t>
  </si>
  <si>
    <t>$L$33:$O$35</t>
  </si>
  <si>
    <t>$L$36:$O$38</t>
  </si>
  <si>
    <t>$J$33</t>
  </si>
  <si>
    <t>$J$34</t>
  </si>
  <si>
    <t>$J$36</t>
  </si>
  <si>
    <t>$J$35</t>
  </si>
  <si>
    <t>$J$37</t>
  </si>
  <si>
    <t>$J$38</t>
  </si>
  <si>
    <t>$L$39:$O$41</t>
  </si>
  <si>
    <t>$J$39</t>
  </si>
  <si>
    <t>$J$40</t>
  </si>
  <si>
    <t>$J$41</t>
  </si>
  <si>
    <t>$L$42:$O$44</t>
  </si>
  <si>
    <t>$J$42</t>
  </si>
  <si>
    <t>$J$43</t>
  </si>
  <si>
    <t>$J$44</t>
  </si>
  <si>
    <t>$M$21</t>
  </si>
  <si>
    <t>$M$25</t>
  </si>
  <si>
    <t>$M$28</t>
  </si>
  <si>
    <t>$M$31</t>
  </si>
  <si>
    <t>$M$34</t>
  </si>
  <si>
    <t>$M$37</t>
  </si>
  <si>
    <t>$M$40</t>
  </si>
  <si>
    <t>$M$43</t>
  </si>
  <si>
    <t>$N$11:$N$13</t>
  </si>
  <si>
    <t>$N$14:$N$16</t>
  </si>
  <si>
    <t>$N$17:$N$19</t>
  </si>
  <si>
    <t>$N$20:$N$22</t>
  </si>
  <si>
    <t>$N$24:$N$26</t>
  </si>
  <si>
    <t>$N$27:$N$29</t>
  </si>
  <si>
    <t>$N$30:$N$32</t>
  </si>
  <si>
    <t>$N$33:$N$35</t>
  </si>
  <si>
    <t>$N$36:$N$38</t>
  </si>
  <si>
    <t>$N$39:$N$41</t>
  </si>
  <si>
    <t>$N$42:$N$44</t>
  </si>
  <si>
    <t>$M$20</t>
  </si>
  <si>
    <t>$M$24</t>
  </si>
  <si>
    <t>$M$27</t>
  </si>
  <si>
    <t>$M$30</t>
  </si>
  <si>
    <t>$M$33</t>
  </si>
  <si>
    <t>$M$36</t>
  </si>
  <si>
    <t>$M$42</t>
  </si>
  <si>
    <t>$N$24</t>
  </si>
  <si>
    <t>$M$39</t>
  </si>
  <si>
    <t>$A$27:$G$39</t>
  </si>
  <si>
    <t>$M$19</t>
  </si>
  <si>
    <t>$M$22</t>
  </si>
  <si>
    <t>$M$26</t>
  </si>
  <si>
    <t>$M$29</t>
  </si>
  <si>
    <t>$M$32</t>
  </si>
  <si>
    <t>$M$35</t>
  </si>
  <si>
    <t>$M$38</t>
  </si>
  <si>
    <t>$M$41</t>
  </si>
  <si>
    <t>$M$44</t>
  </si>
  <si>
    <t>$R$13</t>
  </si>
  <si>
    <t>Billing Month: February 2024</t>
  </si>
  <si>
    <t>Billing Month: March 2024</t>
  </si>
  <si>
    <t>$O$11:$O$19</t>
  </si>
  <si>
    <t>Billing Month: January 2025</t>
  </si>
  <si>
    <t>Billing Month: April 2024</t>
  </si>
  <si>
    <t>Billing Month: MY 2024</t>
  </si>
  <si>
    <t>Billing Month: mAY 2024</t>
  </si>
  <si>
    <t>Billing Month: May 2024</t>
  </si>
  <si>
    <t>Billing Month: June 2024</t>
  </si>
  <si>
    <t>Billing Month: July 2024</t>
  </si>
  <si>
    <t>Billing Month: August 2024</t>
  </si>
  <si>
    <t>Billing Month: September 2024</t>
  </si>
  <si>
    <t>Billing Month: October 2024</t>
  </si>
  <si>
    <t>Billing Month: November 2024</t>
  </si>
  <si>
    <t>Billing Month: December 2024</t>
  </si>
  <si>
    <t>Armored</t>
  </si>
  <si>
    <t xml:space="preserve">Armored with Plate No. </t>
  </si>
  <si>
    <t>$W$14</t>
  </si>
  <si>
    <t>Armored with Plate No. SEP 892</t>
  </si>
  <si>
    <t>$S$14</t>
  </si>
  <si>
    <t>$T$14</t>
  </si>
  <si>
    <t>$U$14</t>
  </si>
  <si>
    <t>Armored with Plate No. SEP 892. Donated to BJMP</t>
  </si>
  <si>
    <t>$J$15:$N$15</t>
  </si>
  <si>
    <t>$J$16:$N$16</t>
  </si>
  <si>
    <t>$S$15</t>
  </si>
  <si>
    <t>$J$17:$K$17</t>
  </si>
  <si>
    <t>$T$15</t>
  </si>
  <si>
    <t>$U$15</t>
  </si>
  <si>
    <t>$U$16</t>
  </si>
  <si>
    <t>Wall-mounted split type; Brand: Daikin</t>
  </si>
  <si>
    <t>$W$15</t>
  </si>
  <si>
    <t>$W$16</t>
  </si>
  <si>
    <t>Wall-mounted split type; Brand: Carrier</t>
  </si>
  <si>
    <t>Floor-mounted type; Brand: LG</t>
  </si>
  <si>
    <t>$W$17</t>
  </si>
  <si>
    <t>Period Covered: 01/02/2024-02/01/2024</t>
  </si>
  <si>
    <t>Period Covered: 02/01/2024-03/01/2024</t>
  </si>
  <si>
    <t>Period Covered: 03/01/2024-04/01/2024</t>
  </si>
  <si>
    <t>Period Covered: 04/01/2024-05/02/2024</t>
  </si>
  <si>
    <t>Period Covered: 05/02/2024-06/01/2024</t>
  </si>
  <si>
    <t>Period Covered: 06/01/2024-07/01/2024</t>
  </si>
  <si>
    <t>Period Covered: 07/01/2024-08/01/2024</t>
  </si>
  <si>
    <t>Period Covered: 08/01/2024-09/02/2024</t>
  </si>
  <si>
    <t>Period Covered: 09/02/2024/10/03/2024</t>
  </si>
  <si>
    <t>Period Covered: 10/03/2024-11/03/2024</t>
  </si>
  <si>
    <t>Period Covered: 11/03/2024-12/03/2024</t>
  </si>
  <si>
    <t>$N$7:$N$10</t>
  </si>
  <si>
    <t>$I$19:$O$106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</si>
</sst>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quot;₱&quot;#,##0.00"/>
    <numFmt numFmtId="166" formatCode="0.0000"/>
    <numFmt numFmtId="167" formatCode="#,##0.0000"/>
    <numFmt numFmtId="168"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6">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5" fontId="8" fillId="3" borderId="7" xfId="0" applyNumberFormat="1" applyFont="1" applyFill="1" applyBorder="1" applyProtection="1">
      <protection locked="0"/>
    </xf>
    <xf numFmtId="165"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14" fontId="0" fillId="0" borderId="0" xfId="0" applyNumberFormat="1"/>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15" fontId="8" fillId="3" borderId="4" xfId="0" applyNumberFormat="1" applyFont="1" applyFill="1" applyBorder="1" applyAlignment="1" applyProtection="1">
      <alignment horizontal="center" vertical="center"/>
      <protection locked="0"/>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18" fillId="0" borderId="3" xfId="0" applyFont="1" applyBorder="1" applyAlignment="1">
      <alignment horizontal="left" vertical="center" wrapText="1"/>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14" fontId="8" fillId="3" borderId="4" xfId="0" applyNumberFormat="1" applyFont="1" applyFill="1" applyBorder="1" applyAlignment="1" applyProtection="1">
      <alignment horizontal="center" vertical="center"/>
      <protection locked="0"/>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0">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6.890968518521"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36"/>
    </cacheField>
    <cacheField name="Vehicle Type" numFmtId="0">
      <sharedItems containsBlank="1" count="11">
        <s v="Multi-Purpose Vehicle"/>
        <s v="Van  "/>
        <s v="Armored Vehicle"/>
        <m/>
        <s v="Passenger Car" u="1"/>
        <s v="Large Bus" u="1"/>
        <s v="Large Truck" u="1"/>
        <s v="Motorbike" u="1"/>
        <s v="Small Truck" u="1"/>
        <s v="Service Vehicles" u="1"/>
        <s v="Armored Vehicles" u="1"/>
      </sharedItems>
    </cacheField>
    <cacheField name="Fuel Type" numFmtId="0">
      <sharedItems containsBlank="1" count="4">
        <s v="Diesel - Transport vehicles"/>
        <m/>
        <s v="Gasoline - Transport vehicles" u="1"/>
        <s v="LPG" u="1"/>
      </sharedItems>
    </cacheField>
    <cacheField name="Month" numFmtId="0">
      <sharedItems containsBlank="1" count="13">
        <s v="Jan"/>
        <s v="Feb"/>
        <s v="Mar"/>
        <s v="Apr"/>
        <s v="May"/>
        <s v="Jun"/>
        <s v="Jul"/>
        <s v="Aug"/>
        <s v="Sep"/>
        <s v="Oct"/>
        <s v="Nov"/>
        <s v="Dec"/>
        <m/>
      </sharedItems>
    </cacheField>
    <cacheField name="Quarter" numFmtId="0">
      <sharedItems containsBlank="1" count="6">
        <s v="Q1"/>
        <s v="Q2"/>
        <s v="Q3"/>
        <s v="Q4"/>
        <s v=""/>
        <m u="1"/>
      </sharedItems>
    </cacheField>
    <cacheField name="Consumption" numFmtId="4">
      <sharedItems containsString="0" containsBlank="1" containsNumber="1" minValue="0" maxValue="235.57599999999999"/>
    </cacheField>
    <cacheField name="Unit" numFmtId="0">
      <sharedItems containsBlank="1"/>
    </cacheField>
    <cacheField name="Total kilometers travelled (all vehicles)" numFmtId="4">
      <sharedItems containsString="0" containsBlank="1" containsNumber="1" minValue="0" maxValue="1022"/>
    </cacheField>
    <cacheField name="Unit2" numFmtId="0">
      <sharedItems/>
    </cacheField>
    <cacheField name="Remarks" numFmtId="0">
      <sharedItems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25.896000000000001"/>
    <s v="Liters"/>
    <n v="312"/>
    <s v="Kilometers"/>
    <s v="SHP 606 &amp; S8X 288"/>
  </r>
  <r>
    <n v="2"/>
    <x v="1"/>
    <x v="0"/>
    <x v="0"/>
    <x v="0"/>
    <n v="46.646000000000001"/>
    <m/>
    <n v="562"/>
    <s v="Kilometers"/>
    <s v="SLD 728"/>
  </r>
  <r>
    <n v="3"/>
    <x v="2"/>
    <x v="0"/>
    <x v="0"/>
    <x v="0"/>
    <n v="0"/>
    <s v="Liters"/>
    <n v="0"/>
    <s v="Kilometers"/>
    <s v="131210 &amp; 13129353 &amp; SED 114"/>
  </r>
  <r>
    <n v="4"/>
    <x v="0"/>
    <x v="0"/>
    <x v="1"/>
    <x v="0"/>
    <n v="45.234999999999999"/>
    <s v="Liters"/>
    <n v="545"/>
    <s v="Kilometers"/>
    <s v="SHP 606 &amp; S8X 288"/>
  </r>
  <r>
    <n v="5"/>
    <x v="1"/>
    <x v="0"/>
    <x v="1"/>
    <x v="0"/>
    <n v="23.489000000000001"/>
    <s v="Liters"/>
    <n v="283"/>
    <s v="Kilometers"/>
    <s v="SLD 728"/>
  </r>
  <r>
    <n v="6"/>
    <x v="2"/>
    <x v="0"/>
    <x v="1"/>
    <x v="0"/>
    <n v="35.359000000000002"/>
    <s v="Liters"/>
    <n v="25.5"/>
    <s v="Kilometers"/>
    <s v="131210 &amp; 13129353 &amp; SED 114"/>
  </r>
  <r>
    <n v="7"/>
    <x v="0"/>
    <x v="0"/>
    <x v="2"/>
    <x v="0"/>
    <n v="15.355"/>
    <s v="Liters"/>
    <n v="184"/>
    <s v="Kilometers"/>
    <s v="SHP 606 &amp; S8X 288"/>
  </r>
  <r>
    <n v="8"/>
    <x v="1"/>
    <x v="0"/>
    <x v="2"/>
    <x v="0"/>
    <n v="84.825999999999993"/>
    <s v="Liters"/>
    <n v="1022"/>
    <s v="Kilometers"/>
    <s v="SLD 728"/>
  </r>
  <r>
    <n v="9"/>
    <x v="2"/>
    <x v="0"/>
    <x v="2"/>
    <x v="0"/>
    <n v="53.347000000000001"/>
    <s v="Liters"/>
    <n v="27.1"/>
    <s v="Kilometers"/>
    <s v="131210 &amp; 13129353 &amp; SED 114"/>
  </r>
  <r>
    <n v="10"/>
    <x v="0"/>
    <x v="0"/>
    <x v="3"/>
    <x v="1"/>
    <n v="43.741"/>
    <s v="Liters"/>
    <n v="527"/>
    <s v="Kilometers"/>
    <s v="SHP 606 &amp; S8X 288"/>
  </r>
  <r>
    <n v="11"/>
    <x v="1"/>
    <x v="0"/>
    <x v="3"/>
    <x v="1"/>
    <n v="19.172999999999998"/>
    <s v="Liters"/>
    <n v="231"/>
    <s v="Kilometers"/>
    <s v="SLD 728"/>
  </r>
  <r>
    <n v="12"/>
    <x v="2"/>
    <x v="0"/>
    <x v="3"/>
    <x v="1"/>
    <n v="24.65"/>
    <s v="Liters"/>
    <n v="20"/>
    <s v="Kilometers"/>
    <s v="131210 &amp; 13129353 &amp; SED 114"/>
  </r>
  <r>
    <n v="13"/>
    <x v="0"/>
    <x v="0"/>
    <x v="4"/>
    <x v="1"/>
    <n v="34.694000000000003"/>
    <s v="Liters"/>
    <n v="422"/>
    <s v="Kilometers"/>
    <s v="SHP 606 &amp; S8X 288"/>
  </r>
  <r>
    <n v="14"/>
    <x v="1"/>
    <x v="0"/>
    <x v="4"/>
    <x v="1"/>
    <n v="34.195999999999998"/>
    <s v="Liters"/>
    <n v="588"/>
    <s v="Kilometers"/>
    <s v="SLD 728"/>
  </r>
  <r>
    <n v="15"/>
    <x v="2"/>
    <x v="0"/>
    <x v="4"/>
    <x v="1"/>
    <n v="35.393000000000001"/>
    <s v="Liters"/>
    <n v="28.3"/>
    <s v="Kilometers"/>
    <s v="131210 &amp; 13129353 &amp; SED 114"/>
  </r>
  <r>
    <n v="16"/>
    <x v="0"/>
    <x v="0"/>
    <x v="5"/>
    <x v="1"/>
    <n v="55.942"/>
    <s v="Liters"/>
    <n v="674"/>
    <s v="Kilometers"/>
    <s v="SHP 606 &amp; S8X 288"/>
  </r>
  <r>
    <n v="17"/>
    <x v="1"/>
    <x v="0"/>
    <x v="5"/>
    <x v="1"/>
    <n v="38.761000000000003"/>
    <s v="Liters"/>
    <n v="531"/>
    <s v="Kilometers"/>
    <s v="SLD 728"/>
  </r>
  <r>
    <n v="18"/>
    <x v="2"/>
    <x v="0"/>
    <x v="5"/>
    <x v="1"/>
    <n v="235.57599999999999"/>
    <s v="Liters"/>
    <n v="599.9"/>
    <s v="Kilometers"/>
    <s v="131210 &amp; 13129353 &amp; SED 114"/>
  </r>
  <r>
    <n v="19"/>
    <x v="0"/>
    <x v="0"/>
    <x v="6"/>
    <x v="2"/>
    <n v="46.978000000000002"/>
    <s v="Liters"/>
    <n v="566"/>
    <s v="Kilometers"/>
    <s v="SHP 606 &amp; S8X 288"/>
  </r>
  <r>
    <n v="20"/>
    <x v="1"/>
    <x v="0"/>
    <x v="6"/>
    <x v="2"/>
    <n v="75.695999999999998"/>
    <s v="Liters"/>
    <n v="1021"/>
    <s v="Kilometers"/>
    <s v="SLD 728"/>
  </r>
  <r>
    <n v="21"/>
    <x v="2"/>
    <x v="0"/>
    <x v="6"/>
    <x v="2"/>
    <n v="4.2969999999999997"/>
    <s v="Liters"/>
    <n v="3.9"/>
    <s v="Kilometers"/>
    <s v="131210 &amp; 13129353 &amp; SED 114"/>
  </r>
  <r>
    <n v="22"/>
    <x v="0"/>
    <x v="0"/>
    <x v="7"/>
    <x v="2"/>
    <n v="79.182000000000002"/>
    <s v="Liters"/>
    <n v="954"/>
    <s v="Kilometers"/>
    <s v="SHP 606 &amp; S8X 288"/>
  </r>
  <r>
    <n v="23"/>
    <x v="1"/>
    <x v="0"/>
    <x v="7"/>
    <x v="2"/>
    <n v="52.456000000000003"/>
    <s v="Liters"/>
    <n v="632"/>
    <s v="Kilometers"/>
    <s v="SLD 728"/>
  </r>
  <r>
    <n v="24"/>
    <x v="2"/>
    <x v="0"/>
    <x v="7"/>
    <x v="2"/>
    <n v="10.065"/>
    <s v="Liters"/>
    <n v="18.2"/>
    <s v="Kilometers"/>
    <s v="131210 &amp; 13129353 &amp; SED 114"/>
  </r>
  <r>
    <n v="25"/>
    <x v="0"/>
    <x v="0"/>
    <x v="8"/>
    <x v="2"/>
    <n v="56.107999999999997"/>
    <s v="Liters"/>
    <n v="676"/>
    <s v="Kilometers"/>
    <s v="SHP 606 &amp; S8X 288"/>
  </r>
  <r>
    <n v="26"/>
    <x v="1"/>
    <x v="0"/>
    <x v="8"/>
    <x v="2"/>
    <n v="78.435000000000002"/>
    <s v="Liters"/>
    <n v="945"/>
    <s v="Kilometers"/>
    <s v="SLD 728"/>
  </r>
  <r>
    <n v="27"/>
    <x v="2"/>
    <x v="0"/>
    <x v="8"/>
    <x v="2"/>
    <n v="12.824999999999999"/>
    <s v="Liters"/>
    <n v="24"/>
    <s v="Kilometers"/>
    <s v="131210 &amp; 13129353 &amp; SED 114"/>
  </r>
  <r>
    <n v="28"/>
    <x v="0"/>
    <x v="0"/>
    <x v="9"/>
    <x v="3"/>
    <n v="45.069000000000003"/>
    <s v="Liters"/>
    <n v="543"/>
    <s v="Kilometers"/>
    <s v="SHP 606 &amp; S8X 288"/>
  </r>
  <r>
    <n v="29"/>
    <x v="1"/>
    <x v="0"/>
    <x v="9"/>
    <x v="3"/>
    <n v="24.817"/>
    <s v="Liters"/>
    <n v="299"/>
    <s v="Kilometers"/>
    <s v="SLD 728"/>
  </r>
  <r>
    <n v="30"/>
    <x v="2"/>
    <x v="0"/>
    <x v="9"/>
    <x v="3"/>
    <n v="42.408999999999999"/>
    <s v="Liters"/>
    <n v="26.2"/>
    <s v="Kilometers"/>
    <s v="131210 &amp; 13129353 &amp; SED 114"/>
  </r>
  <r>
    <n v="31"/>
    <x v="0"/>
    <x v="0"/>
    <x v="10"/>
    <x v="3"/>
    <n v="50.63"/>
    <s v="Liters"/>
    <n v="610"/>
    <s v="Kilometers"/>
    <s v="SHP 606 &amp; S8X 288"/>
  </r>
  <r>
    <n v="32"/>
    <x v="1"/>
    <x v="0"/>
    <x v="10"/>
    <x v="3"/>
    <n v="75.364000000000004"/>
    <s v="Liters"/>
    <n v="908"/>
    <s v="Kilometers"/>
    <s v="SLD 728"/>
  </r>
  <r>
    <n v="33"/>
    <x v="2"/>
    <x v="0"/>
    <x v="10"/>
    <x v="3"/>
    <n v="31.962"/>
    <s v="Liters"/>
    <n v="24"/>
    <s v="Kilometers"/>
    <s v="131210 &amp; 13129353 &amp; SED 114"/>
  </r>
  <r>
    <n v="34"/>
    <x v="0"/>
    <x v="0"/>
    <x v="11"/>
    <x v="3"/>
    <n v="50.713000000000001"/>
    <s v="Liters"/>
    <n v="611"/>
    <s v="Kilometers"/>
    <s v="SHP 606 &amp; S8X 288"/>
  </r>
  <r>
    <n v="35"/>
    <x v="1"/>
    <x v="0"/>
    <x v="11"/>
    <x v="3"/>
    <n v="6.7229999999999999"/>
    <s v="Liters"/>
    <n v="81"/>
    <s v="Kilometers"/>
    <s v="SLD 728"/>
  </r>
  <r>
    <n v="36"/>
    <x v="2"/>
    <x v="0"/>
    <x v="11"/>
    <x v="3"/>
    <n v="11.526999999999999"/>
    <s v="Liters"/>
    <n v="9.1"/>
    <s v="Kilometers"/>
    <s v="131210 &amp; 13129353 &amp; SED 114"/>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58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58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59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G39" firstHeaderRow="1" firstDataRow="2" firstDataCol="1" rowPageCount="1" colPageCount="1"/>
  <pivotFields count="10">
    <pivotField showAll="0"/>
    <pivotField axis="axisRow" showAll="0">
      <items count="12">
        <item m="1" x="10"/>
        <item m="1" x="9"/>
        <item x="3"/>
        <item m="1" x="4"/>
        <item m="1" x="8"/>
        <item m="1" x="5"/>
        <item m="1" x="6"/>
        <item m="1" x="7"/>
        <item x="2"/>
        <item x="0"/>
        <item x="1"/>
        <item t="default"/>
      </items>
    </pivotField>
    <pivotField axis="axisRow" showAll="0">
      <items count="5">
        <item x="0"/>
        <item m="1" x="2"/>
        <item x="1"/>
        <item m="1" x="3"/>
        <item t="default"/>
      </items>
    </pivotField>
    <pivotField axis="axisPage" showAll="0">
      <items count="14">
        <item x="0"/>
        <item x="1"/>
        <item x="9"/>
        <item x="12"/>
        <item x="4"/>
        <item x="8"/>
        <item x="2"/>
        <item x="3"/>
        <item x="5"/>
        <item x="6"/>
        <item x="7"/>
        <item x="10"/>
        <item x="11"/>
        <item t="default"/>
      </items>
    </pivotField>
    <pivotField axis="axisCol" showAll="0">
      <items count="7">
        <item x="4"/>
        <item x="0"/>
        <item x="3"/>
        <item x="1"/>
        <item x="2"/>
        <item m="1" x="5"/>
        <item t="default"/>
      </items>
    </pivotField>
    <pivotField dataField="1" showAll="0"/>
    <pivotField showAll="0"/>
    <pivotField showAll="0"/>
    <pivotField showAll="0"/>
    <pivotField showAll="0"/>
  </pivotFields>
  <rowFields count="2">
    <field x="1"/>
    <field x="2"/>
  </rowFields>
  <rowItems count="9">
    <i>
      <x v="2"/>
    </i>
    <i r="1">
      <x v="2"/>
    </i>
    <i>
      <x v="8"/>
    </i>
    <i r="1">
      <x/>
    </i>
    <i>
      <x v="9"/>
    </i>
    <i r="1">
      <x/>
    </i>
    <i>
      <x v="10"/>
    </i>
    <i r="1">
      <x/>
    </i>
    <i t="grand">
      <x/>
    </i>
  </rowItems>
  <colFields count="1">
    <field x="4"/>
  </colFields>
  <colItems count="6">
    <i>
      <x/>
    </i>
    <i>
      <x v="1"/>
    </i>
    <i>
      <x v="2"/>
    </i>
    <i>
      <x v="3"/>
    </i>
    <i>
      <x v="4"/>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58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58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58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58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1">
        <i x="2" s="1"/>
        <i x="0" s="1"/>
        <i x="1" s="1"/>
        <i x="10" s="1" nd="1"/>
        <i x="5" s="1" nd="1"/>
        <i x="6" s="1" nd="1"/>
        <i x="7" s="1" nd="1"/>
        <i x="4" s="1" nd="1"/>
        <i x="9" s="1" nd="1"/>
        <i x="8" s="1" nd="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13">
        <i x="0" s="1"/>
        <i x="1" s="1"/>
        <i x="2" s="1"/>
        <i x="3" s="1"/>
        <i x="4" s="1"/>
        <i x="5" s="1"/>
        <i x="6" s="1"/>
        <i x="7" s="1"/>
        <i x="8" s="1"/>
        <i x="9" s="1"/>
        <i x="10" s="1"/>
        <i x="11" s="1"/>
        <i x="12"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i x="3" s="1"/>
        <i x="4" s="1" nd="1"/>
        <i x="5"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8" totalsRowShown="0" headerRowDxfId="109" dataDxfId="107" headerRowBorderDxfId="108" tableBorderDxfId="106">
  <autoFilter ref="I6:O18" xr:uid="{5D54EA1C-BF56-1C41-A397-8FB104BB2C69}"/>
  <tableColumns count="7">
    <tableColumn id="1" xr3:uid="{0736B116-FD52-4F4F-884D-77C731445CFF}" name="No." dataDxfId="105">
      <calculatedColumnFormula>IF(#REF!="","",$I7+1)</calculatedColumnFormula>
    </tableColumn>
    <tableColumn id="5" xr3:uid="{C603CCC2-2764-574B-B616-B1F220EFF63F}" name="Fuel Type" dataDxfId="104"/>
    <tableColumn id="6" xr3:uid="{29E6127A-1BBD-4D42-8A5A-1FA1E160EC19}" name="Month" dataDxfId="103"/>
    <tableColumn id="7" xr3:uid="{AAB63BD1-C28A-2145-9671-756792E786E6}" name="Quarter" dataDxfId="102">
      <calculatedColumnFormula>IF(Fuel_Blg[[#This Row],[Month]]&lt;&gt;"",VLOOKUP(Fuel_Blg[[#This Row],[Month]], dropdown!$S$4:$T$15, 2, FALSE),"")</calculatedColumnFormula>
    </tableColumn>
    <tableColumn id="8" xr3:uid="{2659C633-FEE7-7446-91C8-0ACAADD03760}" name="Consumption" dataDxfId="101"/>
    <tableColumn id="9" xr3:uid="{83261790-77E9-A84F-890F-8F209571520F}" name="Unit" dataDxfId="100">
      <calculatedColumnFormula>IF($J7="","",VLOOKUP($J7,dropdown!$P$3:$Q$8,2,FALSE))</calculatedColumnFormula>
    </tableColumn>
    <tableColumn id="10" xr3:uid="{ADF20B56-6D74-6149-B0C0-FB9AA3F5AC8E}" name="Remarks" dataDxfId="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98" dataDxfId="96" headerRowBorderDxfId="97" tableBorderDxfId="95" totalsRowBorderDxfId="94">
  <autoFilter ref="I6:R106" xr:uid="{A85D45EB-1572-A543-812E-815536D59C14}"/>
  <tableColumns count="10">
    <tableColumn id="1" xr3:uid="{CA340CBE-9D85-6C42-9CA1-DDAD368521C3}" name="No." dataDxfId="93">
      <calculatedColumnFormula>IF($J7="","",$I6+1)</calculatedColumnFormula>
    </tableColumn>
    <tableColumn id="2" xr3:uid="{CFAD3D96-F137-044A-AE4C-49E5188E1144}" name="Vehicle Type" dataDxfId="92"/>
    <tableColumn id="3" xr3:uid="{5A421D87-7A43-B14E-BA71-EABB4924A663}" name="Fuel Type" dataDxfId="91"/>
    <tableColumn id="4" xr3:uid="{9C4094CC-7613-9147-BAF8-A31087280A9A}" name="Month" dataDxfId="90"/>
    <tableColumn id="10" xr3:uid="{5211A67F-348D-494D-AD2E-AD4A362BCD78}" name="Quarter" dataDxfId="89">
      <calculatedColumnFormula>IF(Fuel_Veh[[#This Row],[Month]]&lt;&gt;"",VLOOKUP(Fuel_Veh[[#This Row],[Month]], dropdown!$S$4:$T$15, 2, FALSE),"")</calculatedColumnFormula>
    </tableColumn>
    <tableColumn id="5" xr3:uid="{6EDA12F9-55D0-694A-BAB9-B15BDE58CA76}" name="Consumption" dataDxfId="88"/>
    <tableColumn id="7" xr3:uid="{E7761959-51F4-954F-B8FB-F46DCC54C53F}" name="Unit" dataDxfId="87">
      <calculatedColumnFormula>IF($K7="","",VLOOKUP($K7,dropdown!$P$14:$Q$18,2,FALSE))</calculatedColumnFormula>
    </tableColumn>
    <tableColumn id="8" xr3:uid="{AD5D0247-3B56-D146-B22E-45D44E44A249}" name="Total kilometers travelled (all vehicles)" dataDxfId="86"/>
    <tableColumn id="6" xr3:uid="{7D9E5DFA-64C2-4B06-A40F-0BC8CB602574}" name="Unit2" dataDxfId="85">
      <calculatedColumnFormula>IF($P7="","","Kilometers")</calculatedColumnFormula>
    </tableColumn>
    <tableColumn id="9" xr3:uid="{3C24034E-2544-5447-B927-0F565A869F60}" name="Remarks" dataDxfId="8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83" dataDxfId="82">
  <autoFilter ref="I8:W107" xr:uid="{4EA7077C-50F7-42D2-96F2-51568F67E7B2}"/>
  <tableColumns count="15">
    <tableColumn id="1" xr3:uid="{F5FCA22D-7063-431B-9399-42C43DB71411}" name="No." dataDxfId="81">
      <calculatedColumnFormula>IF($K9="","",$I8+1)</calculatedColumnFormula>
    </tableColumn>
    <tableColumn id="2" xr3:uid="{132030AD-4541-47EB-A337-EEE87637C1DE}" name="Location" dataDxfId="80"/>
    <tableColumn id="3" xr3:uid="{E38A8A42-DF98-463F-8F43-42FB3365C31D}" name="Equipment Category" dataDxfId="79"/>
    <tableColumn id="4" xr3:uid="{73A30FFB-A2D9-422E-811C-B1A1BA4CF2FF}" name="No. of Units" dataDxfId="78"/>
    <tableColumn id="5" xr3:uid="{C542C367-6C7C-4A2E-AFC0-70AA09658289}" name="Refrigerant" dataDxfId="77"/>
    <tableColumn id="6" xr3:uid="{A49CD649-8CDA-4BDE-9E6C-7CED9E0C5258}" name="Equipment Status" dataDxfId="76"/>
    <tableColumn id="7" xr3:uid="{496D94A5-FA4D-4CAE-BA86-0076C8252260}" name="Month Purchased" dataDxfId="75"/>
    <tableColumn id="8" xr3:uid="{C2C4A362-BE62-4AD9-8A32-0EE063613BFF}" name="Charge (kg)" dataDxfId="74"/>
    <tableColumn id="9" xr3:uid="{72FA09EB-82CD-4F9D-B0C6-9BC0E94D6119}" name="Month Recharged" dataDxfId="73"/>
    <tableColumn id="10" xr3:uid="{47F108D4-F5B0-471A-95AA-199B8E9D5D51}" name="Recharge (kg)" dataDxfId="72"/>
    <tableColumn id="11" xr3:uid="{7F5D579B-DB98-4EE1-9316-59541598F54B}" name="Month Disposed" dataDxfId="71"/>
    <tableColumn id="12" xr3:uid="{27D4DE6A-84A7-49EE-85CD-4A4C4CF0E9C1}" name="Capacity (kg)" dataDxfId="70"/>
    <tableColumn id="13" xr3:uid="{57B4A461-924D-48EC-A43C-5A1EEE91ED09}" name="Recovered (kg)" dataDxfId="69"/>
    <tableColumn id="14" xr3:uid="{4A88164E-A6C3-4FE4-8DE4-0C0950D809F0}" name="Quarter" dataDxfId="68">
      <calculatedColumnFormula>IFERROR(VLOOKUP($O9, dropdown!$S$4:$T$15, 2, FALSE),
 IFERROR(VLOOKUP($Q9, dropdown!$S$4:$T$15, 2, FALSE),
 IFERROR(VLOOKUP($S9, dropdown!$S$4:$T$15, 2, FALSE),
 "")))</calculatedColumnFormula>
    </tableColumn>
    <tableColumn id="15" xr3:uid="{D18D61D3-B9DB-40F4-9EBB-61DAFC976BF5}" name="Remarks" dataDxfId="67"/>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66" tableBorderDxfId="65">
  <autoFilter ref="I7:O107" xr:uid="{4E808252-F12F-E841-AB57-6A82E4759C1A}"/>
  <tableColumns count="7">
    <tableColumn id="1" xr3:uid="{D5D30AA3-E573-734B-B6AB-3BC327F8D967}" name="No." dataDxfId="64"/>
    <tableColumn id="3" xr3:uid="{E49E940C-A64E-A446-B958-9A58950DBA26}" name="Month" dataDxfId="63"/>
    <tableColumn id="8" xr3:uid="{A32745C6-53F1-AF48-B40D-2062538BA76C}" name="Quarter" dataDxfId="62">
      <calculatedColumnFormula>IF(Electricity[[#This Row],[Month]]&lt;&gt;"",VLOOKUP(Electricity[[#This Row],[Month]], dropdown!$S$4:$T$15, 2, FALSE),"")</calculatedColumnFormula>
    </tableColumn>
    <tableColumn id="4" xr3:uid="{7BDA3B9E-E331-A040-8D00-68C0D245C2DD}" name="Consumption (kWh)" dataDxfId="61"/>
    <tableColumn id="5" xr3:uid="{4597EC97-806C-4E41-8BA3-E789252B06C0}" name="Cost (PHP)" dataDxfId="60"/>
    <tableColumn id="6" xr3:uid="{4139C44D-830B-F247-8F9C-494AF4CBED3A}" name="Utility Provider" dataDxfId="59"/>
    <tableColumn id="7" xr3:uid="{A1E305CA-3F3B-AC45-B4A9-903D25ED562F}" name="Remarks" dataDxfId="5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7" tableBorderDxfId="56">
  <autoFilter ref="I6:N106" xr:uid="{4E808252-F12F-E841-AB57-6A82E4759C1A}"/>
  <tableColumns count="6">
    <tableColumn id="1" xr3:uid="{96892042-DA4D-554E-B6C0-56CC2E778BE0}" name="No." dataDxfId="55">
      <calculatedColumnFormula>IF(Electricity6[[#This Row],[Month]]="","",1)</calculatedColumnFormula>
    </tableColumn>
    <tableColumn id="3" xr3:uid="{4D461598-2D62-B244-9F61-EF4079251355}" name="Month" dataDxfId="54"/>
    <tableColumn id="8" xr3:uid="{45DB6F9E-A541-A04C-BEB7-D0FD16821599}" name="Quarter" dataDxfId="53">
      <calculatedColumnFormula>IF(Electricity6[[#This Row],[Month]]&lt;&gt;"",VLOOKUP(Electricity6[[#This Row],[Month]], dropdown!$S$4:$T$15, 2, FALSE),"")</calculatedColumnFormula>
    </tableColumn>
    <tableColumn id="4" xr3:uid="{2384A887-6797-9D45-A82F-AD87B1CEA514}" name="Solar Energy Generated (kWh)" dataDxfId="52"/>
    <tableColumn id="6" xr3:uid="{C0C5600A-2A4F-42FA-A171-A7D77002B82E}" name="Operational Energy Demand - One Shift (kWH)" dataDxfId="51"/>
    <tableColumn id="7" xr3:uid="{0E49F2FA-DF95-494F-B55D-59E5FA7DFB31}" name="Remarks" dataDxfId="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49" dataDxfId="47" headerRowBorderDxfId="48" tableBorderDxfId="46" totalsRowBorderDxfId="45">
  <autoFilter ref="I7:N107" xr:uid="{D1C0C9B2-779D-1649-AFF9-2DC747BD8D8E}"/>
  <tableColumns count="6">
    <tableColumn id="1" xr3:uid="{98251D21-9B72-FF46-855C-29CDFC3F8C49}" name="No." dataDxfId="44">
      <calculatedColumnFormula>IF(#REF!="","",$I7+1)</calculatedColumnFormula>
    </tableColumn>
    <tableColumn id="3" xr3:uid="{79584AA0-F1B7-3B41-BB42-77B2A9F16C14}" name="Month" dataDxfId="43"/>
    <tableColumn id="4" xr3:uid="{A3CA35C2-DBF2-C44A-8453-C1C3204D173D}" name="Quarter" dataDxfId="42">
      <calculatedColumnFormula>IF(water_in[[#This Row],[Month]]&lt;&gt;"",VLOOKUP(water_in[[#This Row],[Month]], dropdown!$S$4:$T$15, 2, FALSE),"")</calculatedColumnFormula>
    </tableColumn>
    <tableColumn id="5" xr3:uid="{94E41BA5-FE14-7A42-A566-007A23C80527}" name="Source" dataDxfId="41"/>
    <tableColumn id="6" xr3:uid="{06C9DE83-99A6-6E42-BFF6-BBB009F75383}" name="Volume (m3)" dataDxfId="40"/>
    <tableColumn id="7" xr3:uid="{76D3A7A4-7A71-A740-A5FE-E0978AE0D14C}" name="Remarks" dataDxfId="3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38" dataDxfId="36" headerRowBorderDxfId="37" tableBorderDxfId="35" totalsRowBorderDxfId="34">
  <autoFilter ref="P7:U107" xr:uid="{417FDA8E-3E35-E54B-B144-32DD667BE400}"/>
  <tableColumns count="6">
    <tableColumn id="1" xr3:uid="{C13D90C4-D898-7E42-BF11-5CEB6AE3F508}" name="No." dataDxfId="33">
      <calculatedColumnFormula>IF(#REF!="","",$P7+1)</calculatedColumnFormula>
    </tableColumn>
    <tableColumn id="3" xr3:uid="{FB4E4C5F-3555-F84A-866C-D2E830B01E5D}" name="Month" dataDxfId="32"/>
    <tableColumn id="4" xr3:uid="{619B28E5-6E0C-9445-94A5-CFE5B7E140CF}" name="Quarter" dataDxfId="31">
      <calculatedColumnFormula>IF(water_out[[#This Row],[Month]]&lt;&gt;"",VLOOKUP(water_out[[#This Row],[Month]], dropdown!$S$4:$T$15, 2, FALSE),"")</calculatedColumnFormula>
    </tableColumn>
    <tableColumn id="6" xr3:uid="{FC43882E-BF75-DA4D-B572-DC2FBD6873DC}" name="Water Destination" dataDxfId="30"/>
    <tableColumn id="2" xr3:uid="{10C062EB-B924-4DED-B867-1CB5A5574221}" name="Volume2 (m3)" dataDxfId="29"/>
    <tableColumn id="8" xr3:uid="{41D6224C-69B7-5E4A-8BC8-C342068A9656}" name="Remarks" dataDxfId="2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7" dataDxfId="26" tableBorderDxfId="25">
  <autoFilter ref="I12:O30" xr:uid="{644952C9-78B7-944D-8BFB-5F0BBB441E25}"/>
  <tableColumns count="7">
    <tableColumn id="1" xr3:uid="{905CBBCA-C4CE-E64F-8577-DD820D762EBE}" name="Component" dataDxfId="24"/>
    <tableColumn id="2" xr3:uid="{95B1D560-7606-8440-A263-1F3488DDCF60}" name="Chemical Formula" dataDxfId="23"/>
    <tableColumn id="3" xr3:uid="{BAFDD3D8-B5F1-0945-B68F-96F3F4D4E83A}" name="Molar Fraction (%)" dataDxfId="22"/>
    <tableColumn id="4" xr3:uid="{8ED09876-064B-5643-B346-8B9BE03FCA7C}" name="Total Moles (kg-mole/m3)" dataDxfId="21">
      <calculatedColumnFormula>IF(Waste_Gases[[#This Row],[Molar Fraction (%)]]=0,"",Waste_Gases[[#This Row],[Molar Fraction (%)]]*$D$15)</calculatedColumnFormula>
    </tableColumn>
    <tableColumn id="5" xr3:uid="{AF137C96-997B-0043-A824-BF6EB99BF204}" name="Molecular Weight" dataDxfId="20"/>
    <tableColumn id="6" xr3:uid="{45DE64DD-9AEC-7A47-BFD6-46841261F085}" name="Percent Carbon (%)" dataDxfId="19">
      <calculatedColumnFormula>Emission_Factors!$B$17/Waste_Gases[[#This Row],[Molecular Weight]]</calculatedColumnFormula>
    </tableColumn>
    <tableColumn id="7" xr3:uid="{2A4C64A5-A239-5A46-9E95-F45AEE05D934}" name="Carbon Content(kg/m3)" dataDxfId="18">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7" tableBorderDxfId="16">
  <autoFilter ref="I7:O104" xr:uid="{0230B550-3160-A24C-BB39-D77FBA7436E1}"/>
  <tableColumns count="7">
    <tableColumn id="1" xr3:uid="{E1E9FF9D-27E3-7D49-AEA6-2B1729AB118D}" name="No." dataDxfId="15"/>
    <tableColumn id="2" xr3:uid="{8380DC80-2805-C14F-AD3B-7C45100601CB}" name="Month" dataDxfId="14"/>
    <tableColumn id="3" xr3:uid="{8B50C8B1-2B60-7D48-8932-B0CD897CE645}" name="Quarter" dataDxfId="13">
      <calculatedColumnFormula>IF(Waste[[#This Row],[Month]]&lt;&gt;"",VLOOKUP(Waste[[#This Row],[Month]], dropdown!$S$4:$T$15, 2, FALSE),"")</calculatedColumnFormula>
    </tableColumn>
    <tableColumn id="4" xr3:uid="{1D0A3C03-9904-E148-8A78-B82195B0EA5C}" name="Waste Composition" dataDxfId="12"/>
    <tableColumn id="5" xr3:uid="{93373184-794D-CF48-B2C6-609884108023}" name="Weight (kg)" dataDxfId="11"/>
    <tableColumn id="6" xr3:uid="{AEA2ECE1-073B-3E43-BACD-0EDC33C61465}" name="Disposal/Recovery Method" dataDxfId="10"/>
    <tableColumn id="7" xr3:uid="{5D0BB89C-B4C6-D54A-A767-64E8AE7DDBFE}" name="Remarks" dataDxfId="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1546" totalsRowShown="0" headerRowDxfId="8">
  <autoFilter ref="A1:E1546" xr:uid="{76DE87AF-814A-AB4A-8281-B0E5A4C74319}"/>
  <tableColumns count="5">
    <tableColumn id="1" xr3:uid="{26002ACD-4A1E-4D49-89F1-047F359822D0}" name="Timestamp" dataDxfId="7"/>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topLeftCell="B1" zoomScaleNormal="130" workbookViewId="0">
      <selection activeCell="F53" sqref="F53"/>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27</v>
      </c>
      <c r="D6" s="86">
        <v>1</v>
      </c>
      <c r="E6" s="90" t="s">
        <v>8</v>
      </c>
      <c r="F6" s="91" t="s">
        <v>9</v>
      </c>
      <c r="G6" s="92" t="s">
        <v>10</v>
      </c>
      <c r="H6" s="93" t="s">
        <v>11</v>
      </c>
    </row>
    <row r="7" spans="2:8" ht="16" x14ac:dyDescent="0.2">
      <c r="B7" s="437" t="s">
        <v>58</v>
      </c>
      <c r="D7" s="86">
        <f>D6+1</f>
        <v>2</v>
      </c>
      <c r="E7" s="90" t="s">
        <v>12</v>
      </c>
      <c r="F7" s="91" t="s">
        <v>13</v>
      </c>
      <c r="G7" s="92" t="s">
        <v>14</v>
      </c>
      <c r="H7" s="93">
        <v>2024</v>
      </c>
    </row>
    <row r="8" spans="2:8" ht="16" x14ac:dyDescent="0.2">
      <c r="B8" s="438" t="s">
        <v>15</v>
      </c>
      <c r="D8" s="383">
        <f>D7+1</f>
        <v>3</v>
      </c>
      <c r="E8" s="389" t="s">
        <v>16</v>
      </c>
      <c r="F8" s="390" t="s">
        <v>17</v>
      </c>
      <c r="G8" s="384" t="s">
        <v>18</v>
      </c>
      <c r="H8" s="385" t="s">
        <v>19</v>
      </c>
    </row>
    <row r="9" spans="2:8" ht="16" x14ac:dyDescent="0.2">
      <c r="B9" s="439" t="s">
        <v>20</v>
      </c>
      <c r="D9" s="86">
        <f>D8+1</f>
        <v>4</v>
      </c>
      <c r="E9" s="91" t="s">
        <v>21</v>
      </c>
      <c r="F9" s="91" t="s">
        <v>22</v>
      </c>
      <c r="G9" s="158" t="s">
        <v>23</v>
      </c>
      <c r="H9" s="159" t="s">
        <v>24</v>
      </c>
    </row>
    <row r="10" spans="2:8" x14ac:dyDescent="0.2">
      <c r="B10" s="439" t="s">
        <v>25</v>
      </c>
      <c r="D10" s="386"/>
      <c r="E10" s="387"/>
      <c r="F10" s="387"/>
      <c r="G10" s="174"/>
      <c r="H10" s="388"/>
    </row>
    <row r="11" spans="2:8" ht="16" x14ac:dyDescent="0.2">
      <c r="B11" s="440" t="s">
        <v>26</v>
      </c>
      <c r="D11" s="84" t="s">
        <v>27</v>
      </c>
      <c r="E11" s="96"/>
      <c r="F11" s="97"/>
      <c r="G11" s="96"/>
      <c r="H11" s="98"/>
    </row>
    <row r="12" spans="2:8" ht="16" x14ac:dyDescent="0.2">
      <c r="B12" s="441" t="s">
        <v>28</v>
      </c>
      <c r="D12" s="153" t="s">
        <v>3</v>
      </c>
      <c r="E12" s="154" t="s">
        <v>4</v>
      </c>
      <c r="F12" s="155" t="s">
        <v>5</v>
      </c>
      <c r="G12" s="154" t="s">
        <v>6</v>
      </c>
      <c r="H12" s="156" t="s">
        <v>7</v>
      </c>
    </row>
    <row r="13" spans="2:8" ht="16" x14ac:dyDescent="0.2">
      <c r="D13" s="86">
        <v>1</v>
      </c>
      <c r="E13" s="90" t="s">
        <v>29</v>
      </c>
      <c r="F13" s="91" t="s">
        <v>30</v>
      </c>
      <c r="G13" s="158" t="s">
        <v>31</v>
      </c>
      <c r="H13" s="159" t="s">
        <v>32</v>
      </c>
    </row>
    <row r="14" spans="2:8" ht="16" x14ac:dyDescent="0.2">
      <c r="D14" s="86">
        <f t="shared" ref="D14:D21" si="0">D13+1</f>
        <v>2</v>
      </c>
      <c r="E14" s="91" t="s">
        <v>33</v>
      </c>
      <c r="F14" s="91" t="s">
        <v>22</v>
      </c>
      <c r="G14" s="158" t="s">
        <v>23</v>
      </c>
      <c r="H14" s="159" t="s">
        <v>24</v>
      </c>
    </row>
    <row r="15" spans="2:8" ht="16" x14ac:dyDescent="0.2">
      <c r="D15" s="86">
        <f t="shared" si="0"/>
        <v>3</v>
      </c>
      <c r="E15" s="90" t="s">
        <v>34</v>
      </c>
      <c r="F15" s="91" t="s">
        <v>22</v>
      </c>
      <c r="G15" s="158" t="s">
        <v>23</v>
      </c>
      <c r="H15" s="159">
        <v>1</v>
      </c>
    </row>
    <row r="16" spans="2:8" ht="112" x14ac:dyDescent="0.2">
      <c r="D16" s="86">
        <f t="shared" si="0"/>
        <v>4</v>
      </c>
      <c r="E16" s="90" t="s">
        <v>35</v>
      </c>
      <c r="F16" s="91" t="s">
        <v>36</v>
      </c>
      <c r="G16" s="92" t="s">
        <v>10</v>
      </c>
      <c r="H16" s="99" t="s">
        <v>37</v>
      </c>
    </row>
    <row r="17" spans="2:8" ht="16" x14ac:dyDescent="0.2">
      <c r="B17" s="82" t="s">
        <v>38</v>
      </c>
      <c r="D17" s="86">
        <f t="shared" si="0"/>
        <v>5</v>
      </c>
      <c r="E17" s="90" t="s">
        <v>39</v>
      </c>
      <c r="F17" s="91" t="s">
        <v>40</v>
      </c>
      <c r="G17" s="92" t="s">
        <v>10</v>
      </c>
      <c r="H17" s="93" t="s">
        <v>41</v>
      </c>
    </row>
    <row r="18" spans="2:8" ht="16" x14ac:dyDescent="0.2">
      <c r="B18" s="157" t="s">
        <v>42</v>
      </c>
      <c r="D18" s="86">
        <f t="shared" si="0"/>
        <v>6</v>
      </c>
      <c r="E18" s="90" t="s">
        <v>43</v>
      </c>
      <c r="F18" s="91" t="s">
        <v>44</v>
      </c>
      <c r="G18" s="158" t="s">
        <v>18</v>
      </c>
      <c r="H18" s="158" t="s">
        <v>45</v>
      </c>
    </row>
    <row r="19" spans="2:8" ht="16" x14ac:dyDescent="0.2">
      <c r="B19" s="81" t="s">
        <v>46</v>
      </c>
      <c r="D19" s="86">
        <f t="shared" si="0"/>
        <v>7</v>
      </c>
      <c r="E19" s="90" t="s">
        <v>47</v>
      </c>
      <c r="F19" s="91" t="s">
        <v>48</v>
      </c>
      <c r="G19" s="90" t="s">
        <v>49</v>
      </c>
      <c r="H19" s="89">
        <v>400.24</v>
      </c>
    </row>
    <row r="20" spans="2:8" ht="16" x14ac:dyDescent="0.2">
      <c r="B20" s="160" t="s">
        <v>50</v>
      </c>
      <c r="D20" s="86">
        <f t="shared" si="0"/>
        <v>8</v>
      </c>
      <c r="E20" s="90" t="s">
        <v>51</v>
      </c>
      <c r="F20" s="91" t="s">
        <v>52</v>
      </c>
      <c r="G20" s="158" t="s">
        <v>18</v>
      </c>
      <c r="H20" s="159" t="s">
        <v>53</v>
      </c>
    </row>
    <row r="21" spans="2:8" ht="32" x14ac:dyDescent="0.2">
      <c r="D21" s="86">
        <f t="shared" si="0"/>
        <v>9</v>
      </c>
      <c r="E21" s="90" t="s">
        <v>54</v>
      </c>
      <c r="F21" s="91" t="s">
        <v>55</v>
      </c>
      <c r="G21" s="90" t="s">
        <v>56</v>
      </c>
      <c r="H21" s="100" t="s">
        <v>57</v>
      </c>
    </row>
    <row r="22" spans="2:8" x14ac:dyDescent="0.2">
      <c r="D22" s="143"/>
      <c r="E22" s="144"/>
      <c r="F22" s="145"/>
      <c r="G22" s="144"/>
      <c r="H22" s="146"/>
    </row>
    <row r="23" spans="2:8" ht="16" x14ac:dyDescent="0.2">
      <c r="D23" s="84" t="s">
        <v>58</v>
      </c>
      <c r="E23" s="96"/>
      <c r="F23" s="97"/>
      <c r="G23" s="96"/>
      <c r="H23" s="98"/>
    </row>
    <row r="24" spans="2:8" ht="16" x14ac:dyDescent="0.2">
      <c r="D24" s="153" t="s">
        <v>3</v>
      </c>
      <c r="E24" s="154" t="s">
        <v>4</v>
      </c>
      <c r="F24" s="155" t="s">
        <v>5</v>
      </c>
      <c r="G24" s="154" t="s">
        <v>6</v>
      </c>
      <c r="H24" s="156" t="s">
        <v>7</v>
      </c>
    </row>
    <row r="25" spans="2:8" ht="16" x14ac:dyDescent="0.2">
      <c r="D25" s="86">
        <v>1</v>
      </c>
      <c r="E25" s="90" t="s">
        <v>29</v>
      </c>
      <c r="F25" s="91" t="s">
        <v>30</v>
      </c>
      <c r="G25" s="158" t="s">
        <v>31</v>
      </c>
      <c r="H25" s="159" t="s">
        <v>32</v>
      </c>
    </row>
    <row r="26" spans="2:8" ht="16" x14ac:dyDescent="0.2">
      <c r="D26" s="86">
        <f t="shared" ref="D26:D36" si="1">D25+1</f>
        <v>2</v>
      </c>
      <c r="E26" s="91" t="s">
        <v>33</v>
      </c>
      <c r="F26" s="91" t="s">
        <v>22</v>
      </c>
      <c r="G26" s="158" t="s">
        <v>23</v>
      </c>
      <c r="H26" s="159" t="s">
        <v>24</v>
      </c>
    </row>
    <row r="27" spans="2:8" ht="16" x14ac:dyDescent="0.2">
      <c r="D27" s="86">
        <f t="shared" si="1"/>
        <v>3</v>
      </c>
      <c r="E27" s="90" t="s">
        <v>34</v>
      </c>
      <c r="F27" s="91" t="s">
        <v>22</v>
      </c>
      <c r="G27" s="158" t="s">
        <v>23</v>
      </c>
      <c r="H27" s="159">
        <v>1</v>
      </c>
    </row>
    <row r="28" spans="2:8" ht="186" customHeight="1" x14ac:dyDescent="0.2">
      <c r="D28" s="86">
        <f t="shared" si="1"/>
        <v>4</v>
      </c>
      <c r="E28" s="91" t="s">
        <v>59</v>
      </c>
      <c r="F28" s="432" t="s">
        <v>60</v>
      </c>
      <c r="G28" s="92" t="s">
        <v>10</v>
      </c>
      <c r="H28" s="99" t="s">
        <v>61</v>
      </c>
    </row>
    <row r="29" spans="2:8" ht="64" x14ac:dyDescent="0.2">
      <c r="D29" s="86">
        <f t="shared" si="1"/>
        <v>5</v>
      </c>
      <c r="E29" s="90" t="s">
        <v>35</v>
      </c>
      <c r="F29" s="91" t="s">
        <v>62</v>
      </c>
      <c r="G29" s="92" t="s">
        <v>10</v>
      </c>
      <c r="H29" s="99" t="s">
        <v>63</v>
      </c>
    </row>
    <row r="30" spans="2:8" ht="16" x14ac:dyDescent="0.2">
      <c r="D30" s="86">
        <f t="shared" si="1"/>
        <v>6</v>
      </c>
      <c r="E30" s="90" t="s">
        <v>39</v>
      </c>
      <c r="F30" s="91" t="s">
        <v>40</v>
      </c>
      <c r="G30" s="92" t="s">
        <v>10</v>
      </c>
      <c r="H30" s="93" t="s">
        <v>41</v>
      </c>
    </row>
    <row r="31" spans="2:8" ht="16" x14ac:dyDescent="0.2">
      <c r="D31" s="86">
        <f t="shared" si="1"/>
        <v>7</v>
      </c>
      <c r="E31" s="90" t="s">
        <v>43</v>
      </c>
      <c r="F31" s="91" t="s">
        <v>44</v>
      </c>
      <c r="G31" s="158" t="s">
        <v>18</v>
      </c>
      <c r="H31" s="158" t="s">
        <v>45</v>
      </c>
    </row>
    <row r="32" spans="2:8" ht="16" x14ac:dyDescent="0.2">
      <c r="D32" s="86">
        <f t="shared" si="1"/>
        <v>8</v>
      </c>
      <c r="E32" s="90" t="s">
        <v>47</v>
      </c>
      <c r="F32" s="91" t="s">
        <v>48</v>
      </c>
      <c r="G32" s="90" t="s">
        <v>49</v>
      </c>
      <c r="H32" s="89">
        <v>400.24</v>
      </c>
    </row>
    <row r="33" spans="4:8" ht="16" x14ac:dyDescent="0.2">
      <c r="D33" s="86">
        <f t="shared" si="1"/>
        <v>9</v>
      </c>
      <c r="E33" s="90" t="s">
        <v>51</v>
      </c>
      <c r="F33" s="91" t="s">
        <v>52</v>
      </c>
      <c r="G33" s="158" t="s">
        <v>18</v>
      </c>
      <c r="H33" s="159" t="s">
        <v>53</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18</v>
      </c>
      <c r="H35" s="159" t="s">
        <v>69</v>
      </c>
    </row>
    <row r="36" spans="4:8" ht="32" x14ac:dyDescent="0.2">
      <c r="D36" s="86">
        <f t="shared" si="1"/>
        <v>12</v>
      </c>
      <c r="E36" s="90" t="s">
        <v>54</v>
      </c>
      <c r="F36" s="91" t="s">
        <v>70</v>
      </c>
      <c r="G36" s="90" t="s">
        <v>56</v>
      </c>
      <c r="H36" s="100" t="s">
        <v>24</v>
      </c>
    </row>
    <row r="38" spans="4:8" ht="16" x14ac:dyDescent="0.2">
      <c r="D38" s="80" t="s">
        <v>15</v>
      </c>
      <c r="E38" s="101"/>
      <c r="F38" s="102"/>
      <c r="G38" s="101"/>
      <c r="H38" s="103"/>
    </row>
    <row r="39" spans="4:8" ht="16" x14ac:dyDescent="0.2">
      <c r="D39" s="153" t="s">
        <v>3</v>
      </c>
      <c r="E39" s="154" t="s">
        <v>4</v>
      </c>
      <c r="F39" s="155" t="s">
        <v>5</v>
      </c>
      <c r="G39" s="154" t="s">
        <v>6</v>
      </c>
      <c r="H39" s="156" t="s">
        <v>7</v>
      </c>
    </row>
    <row r="40" spans="4:8" ht="16" x14ac:dyDescent="0.2">
      <c r="D40" s="86">
        <v>1</v>
      </c>
      <c r="E40" s="90" t="s">
        <v>29</v>
      </c>
      <c r="F40" s="91" t="s">
        <v>30</v>
      </c>
      <c r="G40" s="158" t="s">
        <v>31</v>
      </c>
      <c r="H40" s="159" t="s">
        <v>32</v>
      </c>
    </row>
    <row r="41" spans="4:8" ht="16" x14ac:dyDescent="0.2">
      <c r="D41" s="86">
        <f>D40+1</f>
        <v>2</v>
      </c>
      <c r="E41" s="90" t="s">
        <v>71</v>
      </c>
      <c r="F41" s="91" t="s">
        <v>22</v>
      </c>
      <c r="G41" s="158" t="s">
        <v>23</v>
      </c>
      <c r="H41" s="159" t="s">
        <v>24</v>
      </c>
    </row>
    <row r="42" spans="4:8" ht="16" x14ac:dyDescent="0.2">
      <c r="D42" s="86">
        <f t="shared" ref="D42:D48" si="2">D41+1</f>
        <v>3</v>
      </c>
      <c r="E42" s="90" t="s">
        <v>34</v>
      </c>
      <c r="F42" s="91" t="s">
        <v>22</v>
      </c>
      <c r="G42" s="158" t="s">
        <v>23</v>
      </c>
      <c r="H42" s="159">
        <v>1</v>
      </c>
    </row>
    <row r="43" spans="4:8" ht="16" x14ac:dyDescent="0.2">
      <c r="D43" s="86">
        <v>4</v>
      </c>
      <c r="E43" s="90" t="s">
        <v>72</v>
      </c>
      <c r="F43" s="91" t="s">
        <v>73</v>
      </c>
      <c r="G43" s="138" t="s">
        <v>56</v>
      </c>
      <c r="H43" s="100" t="s">
        <v>74</v>
      </c>
    </row>
    <row r="44" spans="4:8" ht="128" x14ac:dyDescent="0.2">
      <c r="D44" s="86">
        <f>D43+1</f>
        <v>5</v>
      </c>
      <c r="E44" s="90" t="s">
        <v>75</v>
      </c>
      <c r="F44" s="91" t="s">
        <v>76</v>
      </c>
      <c r="G44" s="92" t="s">
        <v>10</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10</v>
      </c>
      <c r="H46" s="93" t="s">
        <v>83</v>
      </c>
    </row>
    <row r="47" spans="4:8" ht="80" x14ac:dyDescent="0.2">
      <c r="D47" s="86">
        <f t="shared" si="2"/>
        <v>8</v>
      </c>
      <c r="E47" s="91" t="s">
        <v>84</v>
      </c>
      <c r="F47" s="91" t="s">
        <v>85</v>
      </c>
      <c r="G47" s="92" t="s">
        <v>10</v>
      </c>
      <c r="H47" s="93" t="s">
        <v>86</v>
      </c>
    </row>
    <row r="48" spans="4:8" ht="16" x14ac:dyDescent="0.2">
      <c r="D48" s="86">
        <f t="shared" si="2"/>
        <v>9</v>
      </c>
      <c r="E48" s="162" t="s">
        <v>87</v>
      </c>
      <c r="F48" s="162" t="s">
        <v>88</v>
      </c>
      <c r="G48" s="92" t="s">
        <v>10</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10</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10</v>
      </c>
      <c r="H52" s="93" t="s">
        <v>41</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43</v>
      </c>
      <c r="F55" s="91" t="s">
        <v>44</v>
      </c>
      <c r="G55" s="158" t="s">
        <v>18</v>
      </c>
      <c r="H55" s="158" t="s">
        <v>45</v>
      </c>
    </row>
    <row r="56" spans="4:8" ht="32" x14ac:dyDescent="0.2">
      <c r="D56" s="86">
        <f t="shared" si="3"/>
        <v>17</v>
      </c>
      <c r="E56" s="138" t="s">
        <v>54</v>
      </c>
      <c r="F56" s="162" t="s">
        <v>70</v>
      </c>
      <c r="G56" s="138" t="s">
        <v>56</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29</v>
      </c>
      <c r="F60" s="91" t="s">
        <v>30</v>
      </c>
      <c r="G60" s="158" t="s">
        <v>31</v>
      </c>
      <c r="H60" s="159" t="s">
        <v>32</v>
      </c>
    </row>
    <row r="61" spans="4:8" ht="32" x14ac:dyDescent="0.2">
      <c r="D61" s="86">
        <f t="shared" ref="D61:D68" si="4">D60+1</f>
        <v>2</v>
      </c>
      <c r="E61" s="91" t="s">
        <v>104</v>
      </c>
      <c r="F61" s="91" t="s">
        <v>22</v>
      </c>
      <c r="G61" s="158" t="s">
        <v>23</v>
      </c>
      <c r="H61" s="159" t="s">
        <v>24</v>
      </c>
    </row>
    <row r="62" spans="4:8" ht="16" x14ac:dyDescent="0.2">
      <c r="D62" s="86">
        <f t="shared" si="4"/>
        <v>3</v>
      </c>
      <c r="E62" s="90" t="s">
        <v>34</v>
      </c>
      <c r="F62" s="91" t="s">
        <v>22</v>
      </c>
      <c r="G62" s="158" t="s">
        <v>23</v>
      </c>
      <c r="H62" s="159">
        <v>1</v>
      </c>
    </row>
    <row r="63" spans="4:8" ht="16" x14ac:dyDescent="0.2">
      <c r="D63" s="86">
        <f t="shared" si="4"/>
        <v>4</v>
      </c>
      <c r="E63" s="91" t="s">
        <v>39</v>
      </c>
      <c r="F63" s="91" t="s">
        <v>105</v>
      </c>
      <c r="G63" s="92" t="s">
        <v>10</v>
      </c>
      <c r="H63" s="93" t="s">
        <v>41</v>
      </c>
    </row>
    <row r="64" spans="4:8" ht="16" x14ac:dyDescent="0.2">
      <c r="D64" s="86">
        <f t="shared" si="4"/>
        <v>5</v>
      </c>
      <c r="E64" s="90" t="s">
        <v>43</v>
      </c>
      <c r="F64" s="91" t="s">
        <v>44</v>
      </c>
      <c r="G64" s="158" t="s">
        <v>18</v>
      </c>
      <c r="H64" s="158" t="s">
        <v>45</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10</v>
      </c>
      <c r="H67" s="93" t="s">
        <v>112</v>
      </c>
    </row>
    <row r="68" spans="4:8" ht="32" x14ac:dyDescent="0.2">
      <c r="D68" s="86">
        <f t="shared" si="4"/>
        <v>9</v>
      </c>
      <c r="E68" s="89" t="s">
        <v>54</v>
      </c>
      <c r="F68" s="91" t="s">
        <v>70</v>
      </c>
      <c r="G68" s="90" t="s">
        <v>56</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29</v>
      </c>
      <c r="F72" s="91" t="s">
        <v>30</v>
      </c>
      <c r="G72" s="158" t="s">
        <v>31</v>
      </c>
      <c r="H72" s="159" t="s">
        <v>32</v>
      </c>
    </row>
    <row r="73" spans="4:8" ht="32" x14ac:dyDescent="0.2">
      <c r="D73" s="86">
        <f t="shared" ref="D73:D78" si="5">D72+1</f>
        <v>2</v>
      </c>
      <c r="E73" s="91" t="s">
        <v>104</v>
      </c>
      <c r="F73" s="91" t="s">
        <v>22</v>
      </c>
      <c r="G73" s="158" t="s">
        <v>23</v>
      </c>
      <c r="H73" s="159" t="s">
        <v>24</v>
      </c>
    </row>
    <row r="74" spans="4:8" ht="16" x14ac:dyDescent="0.2">
      <c r="D74" s="86">
        <f t="shared" si="5"/>
        <v>3</v>
      </c>
      <c r="E74" s="90" t="s">
        <v>34</v>
      </c>
      <c r="F74" s="91" t="s">
        <v>22</v>
      </c>
      <c r="G74" s="158" t="s">
        <v>23</v>
      </c>
      <c r="H74" s="159">
        <v>1</v>
      </c>
    </row>
    <row r="75" spans="4:8" ht="16" x14ac:dyDescent="0.2">
      <c r="D75" s="86">
        <f t="shared" si="5"/>
        <v>4</v>
      </c>
      <c r="E75" s="91" t="s">
        <v>39</v>
      </c>
      <c r="F75" s="91" t="s">
        <v>105</v>
      </c>
      <c r="G75" s="92" t="s">
        <v>10</v>
      </c>
      <c r="H75" s="93" t="s">
        <v>41</v>
      </c>
    </row>
    <row r="76" spans="4:8" ht="16" x14ac:dyDescent="0.2">
      <c r="D76" s="86">
        <f t="shared" si="5"/>
        <v>5</v>
      </c>
      <c r="E76" s="90" t="s">
        <v>43</v>
      </c>
      <c r="F76" s="91" t="s">
        <v>44</v>
      </c>
      <c r="G76" s="158" t="s">
        <v>18</v>
      </c>
      <c r="H76" s="158" t="s">
        <v>45</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54</v>
      </c>
      <c r="F79" s="91" t="s">
        <v>70</v>
      </c>
      <c r="G79" s="90" t="s">
        <v>56</v>
      </c>
      <c r="H79" s="89" t="s">
        <v>113</v>
      </c>
    </row>
    <row r="81" spans="4:8" ht="16" x14ac:dyDescent="0.2">
      <c r="D81" s="87" t="s">
        <v>26</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29</v>
      </c>
      <c r="F84" s="91" t="s">
        <v>30</v>
      </c>
      <c r="G84" s="158" t="s">
        <v>31</v>
      </c>
      <c r="H84" s="159" t="s">
        <v>32</v>
      </c>
    </row>
    <row r="85" spans="4:8" ht="16" x14ac:dyDescent="0.2">
      <c r="D85" s="86">
        <v>2</v>
      </c>
      <c r="E85" s="91" t="s">
        <v>119</v>
      </c>
      <c r="F85" s="91" t="s">
        <v>22</v>
      </c>
      <c r="G85" s="158" t="s">
        <v>23</v>
      </c>
      <c r="H85" s="159" t="s">
        <v>24</v>
      </c>
    </row>
    <row r="86" spans="4:8" ht="16" x14ac:dyDescent="0.2">
      <c r="D86" s="86">
        <v>3</v>
      </c>
      <c r="E86" s="354" t="s">
        <v>120</v>
      </c>
      <c r="F86" s="355"/>
      <c r="G86" s="355"/>
      <c r="H86" s="356"/>
    </row>
    <row r="87" spans="4:8" ht="16" x14ac:dyDescent="0.2">
      <c r="D87" s="86"/>
      <c r="E87" s="115" t="s">
        <v>34</v>
      </c>
      <c r="F87" s="91" t="s">
        <v>22</v>
      </c>
      <c r="G87" s="158" t="s">
        <v>23</v>
      </c>
      <c r="H87" s="159">
        <v>1</v>
      </c>
    </row>
    <row r="88" spans="4:8" ht="16" x14ac:dyDescent="0.2">
      <c r="D88" s="86"/>
      <c r="E88" s="116" t="s">
        <v>39</v>
      </c>
      <c r="F88" s="91" t="s">
        <v>121</v>
      </c>
      <c r="G88" s="92" t="s">
        <v>10</v>
      </c>
      <c r="H88" s="93" t="s">
        <v>41</v>
      </c>
    </row>
    <row r="89" spans="4:8" ht="16" x14ac:dyDescent="0.2">
      <c r="D89" s="86"/>
      <c r="E89" s="115" t="s">
        <v>43</v>
      </c>
      <c r="F89" s="91" t="s">
        <v>44</v>
      </c>
      <c r="G89" s="158" t="s">
        <v>18</v>
      </c>
      <c r="H89" s="158" t="s">
        <v>45</v>
      </c>
    </row>
    <row r="90" spans="4:8" ht="112" x14ac:dyDescent="0.2">
      <c r="D90" s="86"/>
      <c r="E90" s="116" t="s">
        <v>122</v>
      </c>
      <c r="F90" s="91" t="s">
        <v>123</v>
      </c>
      <c r="G90" s="92" t="s">
        <v>10</v>
      </c>
      <c r="H90" s="93" t="s">
        <v>124</v>
      </c>
    </row>
    <row r="91" spans="4:8" ht="16" x14ac:dyDescent="0.2">
      <c r="D91" s="86"/>
      <c r="E91" s="116" t="s">
        <v>125</v>
      </c>
      <c r="F91" s="91" t="s">
        <v>126</v>
      </c>
      <c r="G91" s="138" t="s">
        <v>66</v>
      </c>
      <c r="H91" s="108">
        <v>678.89</v>
      </c>
    </row>
    <row r="92" spans="4:8" ht="32" x14ac:dyDescent="0.2">
      <c r="D92" s="86"/>
      <c r="E92" s="116" t="s">
        <v>54</v>
      </c>
      <c r="F92" s="91" t="s">
        <v>70</v>
      </c>
      <c r="G92" s="90" t="s">
        <v>56</v>
      </c>
      <c r="H92" s="108" t="s">
        <v>127</v>
      </c>
    </row>
    <row r="93" spans="4:8" ht="16" x14ac:dyDescent="0.2">
      <c r="D93" s="86">
        <v>4</v>
      </c>
      <c r="E93" s="354" t="s">
        <v>128</v>
      </c>
      <c r="F93" s="355"/>
      <c r="G93" s="355"/>
      <c r="H93" s="356"/>
    </row>
    <row r="94" spans="4:8" ht="16" x14ac:dyDescent="0.2">
      <c r="D94" s="86"/>
      <c r="E94" s="115" t="s">
        <v>34</v>
      </c>
      <c r="F94" s="91" t="s">
        <v>22</v>
      </c>
      <c r="G94" s="158" t="s">
        <v>23</v>
      </c>
      <c r="H94" s="159">
        <v>1</v>
      </c>
    </row>
    <row r="95" spans="4:8" ht="16" x14ac:dyDescent="0.2">
      <c r="D95" s="86"/>
      <c r="E95" s="116" t="s">
        <v>39</v>
      </c>
      <c r="F95" s="91" t="s">
        <v>129</v>
      </c>
      <c r="G95" s="92" t="s">
        <v>10</v>
      </c>
      <c r="H95" s="93" t="s">
        <v>41</v>
      </c>
    </row>
    <row r="96" spans="4:8" ht="16" x14ac:dyDescent="0.2">
      <c r="D96" s="86"/>
      <c r="E96" s="115" t="s">
        <v>43</v>
      </c>
      <c r="F96" s="91" t="s">
        <v>44</v>
      </c>
      <c r="G96" s="158" t="s">
        <v>18</v>
      </c>
      <c r="H96" s="158" t="s">
        <v>45</v>
      </c>
    </row>
    <row r="97" spans="4:8" ht="16" x14ac:dyDescent="0.2">
      <c r="D97" s="86"/>
      <c r="E97" s="116" t="s">
        <v>125</v>
      </c>
      <c r="F97" s="91" t="s">
        <v>130</v>
      </c>
      <c r="G97" s="138" t="s">
        <v>66</v>
      </c>
      <c r="H97" s="108">
        <v>678.89</v>
      </c>
    </row>
    <row r="98" spans="4:8" ht="80" x14ac:dyDescent="0.2">
      <c r="D98" s="86"/>
      <c r="E98" s="116" t="s">
        <v>131</v>
      </c>
      <c r="F98" s="91" t="s">
        <v>132</v>
      </c>
      <c r="G98" s="92" t="s">
        <v>10</v>
      </c>
      <c r="H98" s="93" t="s">
        <v>133</v>
      </c>
    </row>
    <row r="99" spans="4:8" ht="32" x14ac:dyDescent="0.2">
      <c r="D99" s="86"/>
      <c r="E99" s="115" t="s">
        <v>54</v>
      </c>
      <c r="F99" s="91" t="s">
        <v>70</v>
      </c>
      <c r="G99" s="90" t="s">
        <v>56</v>
      </c>
      <c r="H99" s="89"/>
    </row>
    <row r="101" spans="4:8" ht="16" x14ac:dyDescent="0.2">
      <c r="D101" s="88" t="s">
        <v>28</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29</v>
      </c>
      <c r="F103" s="91" t="s">
        <v>30</v>
      </c>
      <c r="G103" s="158" t="s">
        <v>31</v>
      </c>
      <c r="H103" s="159" t="s">
        <v>32</v>
      </c>
    </row>
    <row r="104" spans="4:8" ht="32" x14ac:dyDescent="0.2">
      <c r="D104" s="86">
        <f>D103+1</f>
        <v>2</v>
      </c>
      <c r="E104" s="91" t="s">
        <v>134</v>
      </c>
      <c r="F104" s="91" t="s">
        <v>22</v>
      </c>
      <c r="G104" s="158" t="s">
        <v>23</v>
      </c>
      <c r="H104" s="159" t="s">
        <v>24</v>
      </c>
    </row>
    <row r="105" spans="4:8" ht="16" x14ac:dyDescent="0.2">
      <c r="D105" s="86">
        <v>3</v>
      </c>
      <c r="E105" s="91" t="s">
        <v>135</v>
      </c>
      <c r="F105" s="91"/>
      <c r="G105" s="158"/>
      <c r="H105" s="159"/>
    </row>
    <row r="106" spans="4:8" ht="16" x14ac:dyDescent="0.2">
      <c r="D106" s="86"/>
      <c r="E106" s="115" t="s">
        <v>34</v>
      </c>
      <c r="F106" s="91" t="s">
        <v>22</v>
      </c>
      <c r="G106" s="158" t="s">
        <v>23</v>
      </c>
      <c r="H106" s="159">
        <v>1</v>
      </c>
    </row>
    <row r="107" spans="4:8" ht="16" x14ac:dyDescent="0.2">
      <c r="D107" s="86"/>
      <c r="E107" s="116" t="s">
        <v>39</v>
      </c>
      <c r="F107" s="91" t="s">
        <v>136</v>
      </c>
      <c r="G107" s="92" t="s">
        <v>10</v>
      </c>
      <c r="H107" s="93" t="s">
        <v>41</v>
      </c>
    </row>
    <row r="108" spans="4:8" ht="16" x14ac:dyDescent="0.2">
      <c r="D108" s="86"/>
      <c r="E108" s="115" t="s">
        <v>43</v>
      </c>
      <c r="F108" s="91" t="s">
        <v>44</v>
      </c>
      <c r="G108" s="158" t="s">
        <v>18</v>
      </c>
      <c r="H108" s="158" t="s">
        <v>45</v>
      </c>
    </row>
    <row r="109" spans="4:8" ht="160" x14ac:dyDescent="0.2">
      <c r="D109" s="86"/>
      <c r="E109" s="116" t="s">
        <v>137</v>
      </c>
      <c r="F109" s="427" t="s">
        <v>138</v>
      </c>
      <c r="G109" s="92" t="s">
        <v>10</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10</v>
      </c>
      <c r="H111" s="93" t="s">
        <v>144</v>
      </c>
    </row>
    <row r="112" spans="4:8" ht="32" x14ac:dyDescent="0.2">
      <c r="D112" s="86"/>
      <c r="E112" s="410" t="s">
        <v>54</v>
      </c>
      <c r="F112" s="91" t="s">
        <v>70</v>
      </c>
      <c r="G112" s="90" t="s">
        <v>56</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30</v>
      </c>
      <c r="G116" s="158" t="s">
        <v>31</v>
      </c>
      <c r="H116" s="159" t="s">
        <v>11</v>
      </c>
    </row>
    <row r="117" spans="4:8" ht="16" hidden="1" x14ac:dyDescent="0.2">
      <c r="D117" s="86">
        <f t="shared" ref="D117:D118" si="6">D116+1</f>
        <v>2</v>
      </c>
      <c r="E117" s="91" t="s">
        <v>12</v>
      </c>
      <c r="F117" s="91" t="s">
        <v>22</v>
      </c>
      <c r="G117" s="158" t="s">
        <v>23</v>
      </c>
      <c r="H117" s="159">
        <v>2024</v>
      </c>
    </row>
    <row r="118" spans="4:8" ht="32" hidden="1" x14ac:dyDescent="0.2">
      <c r="D118" s="86">
        <f t="shared" si="6"/>
        <v>3</v>
      </c>
      <c r="E118" s="91" t="s">
        <v>146</v>
      </c>
      <c r="F118" s="91" t="s">
        <v>147</v>
      </c>
      <c r="G118" s="158" t="s">
        <v>23</v>
      </c>
      <c r="H118" s="159" t="s">
        <v>24</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topLeftCell="A22" zoomScale="88" zoomScaleNormal="60" workbookViewId="0">
      <selection activeCell="E10" sqref="E10"/>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4" t="s">
        <v>393</v>
      </c>
      <c r="E2" s="445"/>
      <c r="F2" s="445"/>
      <c r="G2" s="446"/>
    </row>
    <row r="3" spans="3:7" x14ac:dyDescent="0.2">
      <c r="C3" s="117" t="s">
        <v>12</v>
      </c>
      <c r="D3" s="444">
        <v>2024</v>
      </c>
      <c r="E3" s="445"/>
      <c r="F3" s="445"/>
      <c r="G3" s="446"/>
    </row>
    <row r="5" spans="3:7" ht="19" customHeight="1" x14ac:dyDescent="0.2">
      <c r="C5" s="443" t="s">
        <v>148</v>
      </c>
      <c r="D5" s="443"/>
      <c r="E5" s="443"/>
      <c r="F5" s="443"/>
      <c r="G5" s="443"/>
    </row>
    <row r="7" spans="3:7" x14ac:dyDescent="0.2">
      <c r="C7" s="178" t="s">
        <v>16</v>
      </c>
      <c r="D7" s="179" t="s">
        <v>45</v>
      </c>
      <c r="E7" s="179" t="s">
        <v>149</v>
      </c>
      <c r="F7" s="179" t="s">
        <v>150</v>
      </c>
      <c r="G7" s="179" t="s">
        <v>151</v>
      </c>
    </row>
    <row r="8" spans="3:7" x14ac:dyDescent="0.2">
      <c r="C8" s="180" t="s">
        <v>152</v>
      </c>
      <c r="D8" s="181" t="str" cm="1">
        <f t="array" ref="D8">IF(SUMPRODUCT(--('2.1a Fuel - Buildings'!D11:D15&gt;0))&gt;0, "x", "")</f>
        <v>x</v>
      </c>
      <c r="E8" s="181" t="str" cm="1">
        <f t="array" ref="E8">IF(SUMPRODUCT(--('2.1a Fuel - Buildings'!E11:E15&gt;0))&gt;0, "x", "")</f>
        <v>x</v>
      </c>
      <c r="F8" s="181" t="str" cm="1">
        <f t="array" ref="F8">IF(SUMPRODUCT(--('2.1a Fuel - Buildings'!F11:F15&gt;0))&gt;0, "x", "")</f>
        <v>x</v>
      </c>
      <c r="G8" s="181" t="str" cm="1">
        <f t="array" ref="G8">IF(SUMPRODUCT(--('2.1a Fuel - Buildings'!G11:G15&gt;0))&gt;0, "x", "")</f>
        <v>x</v>
      </c>
    </row>
    <row r="9" spans="3:7" x14ac:dyDescent="0.2">
      <c r="C9" s="182" t="s">
        <v>153</v>
      </c>
      <c r="D9" s="183" t="str" cm="1">
        <f t="array" ref="D9">IF(SUMPRODUCT(--('2.1b Fuel - Vehicles'!D11:D12&gt;0))&gt;0, "x", "")</f>
        <v>x</v>
      </c>
      <c r="E9" s="183" t="str" cm="1">
        <f t="array" ref="E9">IF(SUMPRODUCT(--('2.1b Fuel - Vehicles'!E11:E12&gt;0))&gt;0, "x", "")</f>
        <v>x</v>
      </c>
      <c r="F9" s="183" t="str" cm="1">
        <f t="array" ref="F9">IF(SUMPRODUCT(--('2.1b Fuel - Vehicles'!F11:F12&gt;0))&gt;0, "x", "")</f>
        <v>x</v>
      </c>
      <c r="G9" s="183" t="str" cm="1">
        <f t="array" ref="G9">IF(SUMPRODUCT(--('2.1b Fuel - Vehicles'!G11:G12&gt;0))&gt;0, "x", "")</f>
        <v>x</v>
      </c>
    </row>
    <row r="10" spans="3:7" x14ac:dyDescent="0.2">
      <c r="C10" s="182" t="s">
        <v>154</v>
      </c>
      <c r="D10" s="183" t="str" cm="1">
        <f t="array" ref="D10">IF(SUMPRODUCT(--('2.2 Refrigerants'!D11:D13&gt;0))&gt;0, "x", "")</f>
        <v>x</v>
      </c>
      <c r="E10" s="183" t="str" cm="1">
        <f t="array" ref="E10">IF(SUMPRODUCT(--('2.2 Refrigerants'!E11:E13&gt;0))&gt;0, "x", "")</f>
        <v/>
      </c>
      <c r="F10" s="183" t="str" cm="1">
        <f t="array" ref="F10">IF(SUMPRODUCT(--('2.2 Refrigerants'!F11:F13&gt;0))&gt;0, "x", "")</f>
        <v>x</v>
      </c>
      <c r="G10" s="183" t="str" cm="1">
        <f t="array" ref="G10">IF(SUMPRODUCT(--('2.2 Refrigerants'!G11:G13&gt;0))&gt;0, "x", "")</f>
        <v>x</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x</v>
      </c>
      <c r="G11" s="183" t="str" cm="1">
        <f t="array" ref="G11">IF(SUMPRODUCT(--('2.3a Electricity'!G12:G12&gt;0))&gt;0, "x", "")</f>
        <v>x</v>
      </c>
    </row>
    <row r="12" spans="3:7" x14ac:dyDescent="0.2">
      <c r="C12" s="182" t="s">
        <v>156</v>
      </c>
      <c r="D12" s="183" t="str">
        <f>IF('2.3b RE - Solar'!D11&lt;&gt;0,"x","")</f>
        <v/>
      </c>
      <c r="E12" s="183" t="str">
        <f>IF('2.3b RE - Solar'!E11&lt;&gt;0,"x","")</f>
        <v/>
      </c>
      <c r="F12" s="183" t="str">
        <f>IF('2.3b RE - Solar'!F11&lt;&gt;0,"x","")</f>
        <v/>
      </c>
      <c r="G12" s="183" t="str">
        <f>IF('2.3b RE - Solar'!G11&lt;&gt;0,"x","")</f>
        <v/>
      </c>
    </row>
    <row r="13" spans="3:7" x14ac:dyDescent="0.2">
      <c r="C13" s="182" t="s">
        <v>157</v>
      </c>
      <c r="D13" s="183" t="str">
        <f>IF(SUM('2.4 Water'!D11:D12)&lt;&gt;0,"x","")</f>
        <v>x</v>
      </c>
      <c r="E13" s="183" t="str">
        <f>IF(SUM('2.4 Water'!E11:E12)&lt;&gt;0,"x","")</f>
        <v>x</v>
      </c>
      <c r="F13" s="183" t="str">
        <f>IF(SUM('2.4 Water'!F11:F12)&lt;&gt;0,"x","")</f>
        <v>x</v>
      </c>
      <c r="G13" s="183" t="str">
        <f>IF(SUM('2.4 Water'!G11:G12)&lt;&gt;0,"x","")</f>
        <v>x</v>
      </c>
    </row>
    <row r="14" spans="3:7" x14ac:dyDescent="0.2">
      <c r="C14" s="182" t="s">
        <v>158</v>
      </c>
      <c r="D14" s="183" t="str" cm="1">
        <f t="array" ref="D14">IF(SUMPRODUCT(--('2.5 Waste'!D11:D16&gt;0))&gt;0, "x", "")</f>
        <v>x</v>
      </c>
      <c r="E14" s="183" t="str" cm="1">
        <f t="array" ref="E14">IF(SUMPRODUCT(--('2.5 Waste'!E11:E16&gt;0))&gt;0, "x", "")</f>
        <v>x</v>
      </c>
      <c r="F14" s="183" t="str" cm="1">
        <f t="array" ref="F14">IF(SUMPRODUCT(--('2.5 Waste'!F11:F16&gt;0))&gt;0, "x", "")</f>
        <v>x</v>
      </c>
      <c r="G14" s="183" t="str" cm="1">
        <f t="array" ref="G14">IF(SUMPRODUCT(--('2.5 Waste'!G11:G16&gt;0))&gt;0, "x", "")</f>
        <v>x</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1199.8399999999999</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1607.5349999999999</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430780</v>
      </c>
    </row>
    <row r="32" spans="3:5" x14ac:dyDescent="0.2">
      <c r="E32" s="69"/>
    </row>
    <row r="33" spans="3:5" x14ac:dyDescent="0.2">
      <c r="C33" s="184" t="s">
        <v>163</v>
      </c>
      <c r="D33" s="185"/>
      <c r="E33" s="186"/>
    </row>
    <row r="34" spans="3:5" x14ac:dyDescent="0.2">
      <c r="C34" s="425"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2336</v>
      </c>
    </row>
    <row r="40" spans="3:5" x14ac:dyDescent="0.2">
      <c r="C40" s="189" t="str">
        <f>'2.4 Water'!B12</f>
        <v>Water Discharge</v>
      </c>
      <c r="D40" s="189" t="str">
        <f>'2.4 Water'!C12</f>
        <v>Cubic meters</v>
      </c>
      <c r="E40" s="190">
        <f>SUM('2.4 Water'!$D$12:$G$12)</f>
        <v>0</v>
      </c>
    </row>
    <row r="42" spans="3:5" x14ac:dyDescent="0.2">
      <c r="C42" s="184" t="s">
        <v>165</v>
      </c>
      <c r="D42" s="185"/>
      <c r="E42" s="423"/>
    </row>
    <row r="43" spans="3:5" ht="40" x14ac:dyDescent="0.2">
      <c r="C43" s="187" t="str">
        <f>'2.5 Waste'!B10</f>
        <v>Waste Composition</v>
      </c>
      <c r="D43" s="187" t="str">
        <f>'2.5 Waste'!C10</f>
        <v>Unit</v>
      </c>
      <c r="E43" s="433" t="s">
        <v>166</v>
      </c>
    </row>
    <row r="44" spans="3:5" x14ac:dyDescent="0.2">
      <c r="C44" s="189" t="str">
        <f>'2.5 Waste'!B11</f>
        <v>Compostable</v>
      </c>
      <c r="D44" s="189" t="str">
        <f>'2.5 Waste'!C11</f>
        <v>Kilograms</v>
      </c>
      <c r="E44" s="191">
        <f>SUM('2.5 Waste'!$D$11:$G$11)</f>
        <v>660</v>
      </c>
    </row>
    <row r="45" spans="3:5" x14ac:dyDescent="0.2">
      <c r="C45" s="189" t="str">
        <f>'2.5 Waste'!B12</f>
        <v>Recyclable</v>
      </c>
      <c r="D45" s="189" t="str">
        <f>'2.5 Waste'!C12</f>
        <v>Kilograms</v>
      </c>
      <c r="E45" s="191">
        <f>SUM('2.5 Waste'!$D$12:$G$12)</f>
        <v>1700</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30787.5</v>
      </c>
    </row>
    <row r="48" spans="3:5" x14ac:dyDescent="0.2">
      <c r="C48" s="189" t="str">
        <f>'2.5 Waste'!B15</f>
        <v>Hazardous</v>
      </c>
      <c r="D48" s="189" t="str">
        <f>'2.5 Waste'!C15</f>
        <v>Kilograms</v>
      </c>
      <c r="E48" s="191">
        <f>SUM('2.5 Waste'!$D$14:$G$14)</f>
        <v>30787.5</v>
      </c>
    </row>
    <row r="49" spans="3:5" x14ac:dyDescent="0.2">
      <c r="C49" s="189" t="str">
        <f>'2.5 Waste'!B16</f>
        <v>Residual/Landfill</v>
      </c>
      <c r="D49" s="189" t="str">
        <f>'2.5 Waste'!C16</f>
        <v>Kilograms</v>
      </c>
      <c r="E49" s="191">
        <f>SUM('2.5 Waste'!$D$14:$G$14)</f>
        <v>30787.5</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topLeftCell="C1" zoomScaleNormal="100" workbookViewId="0">
      <selection activeCell="I19" sqref="I19:O106"/>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29</v>
      </c>
      <c r="C2" s="282"/>
      <c r="D2" s="282"/>
      <c r="E2" s="282"/>
      <c r="F2" s="282"/>
      <c r="G2" s="283"/>
      <c r="I2" s="357" t="s">
        <v>167</v>
      </c>
      <c r="J2" s="358"/>
      <c r="K2" s="358"/>
      <c r="L2" s="358"/>
      <c r="M2" s="359"/>
      <c r="N2" s="359"/>
      <c r="O2" s="362"/>
    </row>
    <row r="3" spans="2:16" x14ac:dyDescent="0.2">
      <c r="B3" s="33" t="s">
        <v>8</v>
      </c>
      <c r="C3" s="34"/>
      <c r="D3" s="35" t="s">
        <v>168</v>
      </c>
      <c r="E3" s="34"/>
      <c r="F3" s="34" t="s">
        <v>169</v>
      </c>
      <c r="G3" s="36"/>
      <c r="I3" s="273" t="s">
        <v>170</v>
      </c>
      <c r="J3" s="274"/>
      <c r="K3" s="274"/>
      <c r="L3" s="274"/>
      <c r="M3" s="275"/>
      <c r="N3" s="275"/>
      <c r="O3" s="413"/>
      <c r="P3" s="412"/>
    </row>
    <row r="4" spans="2:16" x14ac:dyDescent="0.2">
      <c r="B4" s="161" t="str">
        <f>'1. Data Info and Summary'!$D$2</f>
        <v>Dumaguete Branch</v>
      </c>
      <c r="C4" s="37"/>
      <c r="D4" s="38">
        <f>IF('1. Data Info and Summary'!$D$3=0,"-",'1. Data Info and Summary'!$D$3)</f>
        <v>2024</v>
      </c>
      <c r="E4" s="37"/>
      <c r="F4" s="37" t="s">
        <v>171</v>
      </c>
      <c r="G4" s="39"/>
      <c r="I4" s="338"/>
      <c r="J4" s="276"/>
      <c r="K4" s="276"/>
      <c r="L4" s="276"/>
      <c r="M4" s="277"/>
      <c r="N4" s="277"/>
      <c r="O4" s="414"/>
      <c r="P4" s="213"/>
    </row>
    <row r="5" spans="2:16" x14ac:dyDescent="0.2">
      <c r="I5" s="20"/>
      <c r="J5" s="272"/>
    </row>
    <row r="6" spans="2:16" x14ac:dyDescent="0.2">
      <c r="B6" s="278" t="s">
        <v>172</v>
      </c>
      <c r="C6" s="447" t="s">
        <v>1431</v>
      </c>
      <c r="D6" s="448"/>
      <c r="E6" s="448"/>
      <c r="F6" s="448"/>
      <c r="G6" s="449"/>
      <c r="I6" s="209" t="s">
        <v>173</v>
      </c>
      <c r="J6" s="209" t="s">
        <v>35</v>
      </c>
      <c r="K6" s="209" t="s">
        <v>39</v>
      </c>
      <c r="L6" s="209" t="s">
        <v>43</v>
      </c>
      <c r="M6" s="209" t="s">
        <v>47</v>
      </c>
      <c r="N6" s="209" t="s">
        <v>51</v>
      </c>
      <c r="O6" s="209" t="s">
        <v>54</v>
      </c>
      <c r="P6" s="20"/>
    </row>
    <row r="7" spans="2:16" x14ac:dyDescent="0.2">
      <c r="B7" s="278" t="s">
        <v>174</v>
      </c>
      <c r="C7" s="450">
        <v>45909</v>
      </c>
      <c r="D7" s="448"/>
      <c r="E7" s="448"/>
      <c r="F7" s="448"/>
      <c r="G7" s="449"/>
      <c r="I7" s="194">
        <f>IF($M7="","",1)</f>
        <v>1</v>
      </c>
      <c r="J7" s="57" t="s">
        <v>37</v>
      </c>
      <c r="K7" s="58" t="s">
        <v>338</v>
      </c>
      <c r="L7" s="18" t="str">
        <f>IF(Fuel_Blg[[#This Row],[Month]]&lt;&gt;"",VLOOKUP(Fuel_Blg[[#This Row],[Month]], dropdown!$S$4:$T$15, 2, FALSE),"")</f>
        <v>Q1</v>
      </c>
      <c r="M7" s="29">
        <v>15.14</v>
      </c>
      <c r="N7" s="17" t="str">
        <f>IF($J7="","",VLOOKUP($J7,dropdown!$P$3:$Q$8,2,FALSE))</f>
        <v>Liters</v>
      </c>
      <c r="O7" s="195" t="s">
        <v>1454</v>
      </c>
      <c r="P7" s="20"/>
    </row>
    <row r="8" spans="2:16" x14ac:dyDescent="0.2">
      <c r="I8" s="194"/>
      <c r="J8" s="57" t="s">
        <v>37</v>
      </c>
      <c r="K8" s="58" t="s">
        <v>89</v>
      </c>
      <c r="L8" s="18" t="str">
        <f>IF(Fuel_Blg[[#This Row],[Month]]&lt;&gt;"",VLOOKUP(Fuel_Blg[[#This Row],[Month]], dropdown!$S$4:$T$15, 2, FALSE),"")</f>
        <v>Q1</v>
      </c>
      <c r="M8" s="29">
        <v>18.93</v>
      </c>
      <c r="N8" s="17" t="str">
        <f>IF($J8="","",VLOOKUP($J8,dropdown!$P$3:$Q$8,2,FALSE))</f>
        <v>Liters</v>
      </c>
      <c r="O8" s="195" t="s">
        <v>1454</v>
      </c>
      <c r="P8" s="20"/>
    </row>
    <row r="9" spans="2:16" x14ac:dyDescent="0.2">
      <c r="B9" s="14" t="s">
        <v>33</v>
      </c>
      <c r="C9" s="14"/>
      <c r="D9" s="14"/>
      <c r="E9" s="14"/>
      <c r="F9" s="14"/>
      <c r="G9" s="14"/>
      <c r="I9" s="194"/>
      <c r="J9" s="57" t="s">
        <v>37</v>
      </c>
      <c r="K9" s="58" t="s">
        <v>362</v>
      </c>
      <c r="L9" s="18" t="str">
        <f>IF(Fuel_Blg[[#This Row],[Month]]&lt;&gt;"",VLOOKUP(Fuel_Blg[[#This Row],[Month]], dropdown!$S$4:$T$15, 2, FALSE),"")</f>
        <v>Q1</v>
      </c>
      <c r="M9" s="29">
        <v>196.06</v>
      </c>
      <c r="N9" s="17" t="str">
        <f>IF($J9="","",VLOOKUP($J9,dropdown!$P$3:$Q$8,2,FALSE))</f>
        <v>Liters</v>
      </c>
      <c r="O9" s="195" t="s">
        <v>1454</v>
      </c>
      <c r="P9" s="20"/>
    </row>
    <row r="10" spans="2:16" x14ac:dyDescent="0.2">
      <c r="B10" s="13" t="s">
        <v>35</v>
      </c>
      <c r="C10" s="13" t="s">
        <v>51</v>
      </c>
      <c r="D10" s="40" t="s">
        <v>45</v>
      </c>
      <c r="E10" s="40" t="s">
        <v>149</v>
      </c>
      <c r="F10" s="40" t="s">
        <v>150</v>
      </c>
      <c r="G10" s="40" t="s">
        <v>151</v>
      </c>
      <c r="I10" s="194">
        <f t="shared" ref="I10:I18" si="0">IF($M10="","",$I9+1)</f>
        <v>1</v>
      </c>
      <c r="J10" s="57" t="s">
        <v>37</v>
      </c>
      <c r="K10" s="58" t="s">
        <v>371</v>
      </c>
      <c r="L10" s="18" t="str">
        <f>IF(Fuel_Blg[[#This Row],[Month]]&lt;&gt;"",VLOOKUP(Fuel_Blg[[#This Row],[Month]], dropdown!$S$4:$T$15, 2, FALSE),"")</f>
        <v>Q2</v>
      </c>
      <c r="M10" s="29">
        <v>218.77</v>
      </c>
      <c r="N10" s="17" t="str">
        <f>IF($J10="","",VLOOKUP($J10,dropdown!$P$3:$Q$8,2,FALSE))</f>
        <v>Liters</v>
      </c>
      <c r="O10" s="195" t="s">
        <v>1454</v>
      </c>
      <c r="P10" s="20"/>
    </row>
    <row r="11" spans="2:16" x14ac:dyDescent="0.2">
      <c r="B11" s="17" t="str">
        <f>dropdown!$P4</f>
        <v>Diesel - Standby generator sets</v>
      </c>
      <c r="C11" s="17" t="str">
        <f>dropdown!$Q4</f>
        <v>Liters</v>
      </c>
      <c r="D11" s="41">
        <f>SUMIFS(Fuel_Blg[Consumption],Fuel_Blg[Quarter],D$10,Fuel_Blg[Fuel Type],$B$11)</f>
        <v>230.13</v>
      </c>
      <c r="E11" s="41">
        <f>SUMIFS(Fuel_Blg[Consumption],Fuel_Blg[Quarter],E$10,Fuel_Blg[Fuel Type],$B$11)</f>
        <v>629.43999999999994</v>
      </c>
      <c r="F11" s="41">
        <f>SUMIFS(Fuel_Blg[Consumption],Fuel_Blg[Quarter],F$10,Fuel_Blg[Fuel Type],$B$11)</f>
        <v>223.69000000000003</v>
      </c>
      <c r="G11" s="41">
        <f>SUMIFS(Fuel_Blg[Consumption],Fuel_Blg[Quarter],G$10,Fuel_Blg[Fuel Type],$B$11)</f>
        <v>116.58000000000001</v>
      </c>
      <c r="I11" s="194">
        <f t="shared" si="0"/>
        <v>2</v>
      </c>
      <c r="J11" s="57" t="s">
        <v>37</v>
      </c>
      <c r="K11" s="58" t="s">
        <v>379</v>
      </c>
      <c r="L11" s="18" t="str">
        <f>IF(Fuel_Blg[[#This Row],[Month]]&lt;&gt;"",VLOOKUP(Fuel_Blg[[#This Row],[Month]], dropdown!$S$4:$T$15, 2, FALSE),"")</f>
        <v>Q2</v>
      </c>
      <c r="M11" s="29">
        <v>231.64</v>
      </c>
      <c r="N11" s="17" t="str">
        <f>IF($J11="","",VLOOKUP($J11,dropdown!$P$3:$Q$8,2,FALSE))</f>
        <v>Liters</v>
      </c>
      <c r="O11" s="195" t="s">
        <v>1454</v>
      </c>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 t="shared" si="0"/>
        <v>3</v>
      </c>
      <c r="J12" s="57" t="s">
        <v>37</v>
      </c>
      <c r="K12" s="58" t="s">
        <v>386</v>
      </c>
      <c r="L12" s="18" t="str">
        <f>IF(Fuel_Blg[[#This Row],[Month]]&lt;&gt;"",VLOOKUP(Fuel_Blg[[#This Row],[Month]], dropdown!$S$4:$T$15, 2, FALSE),"")</f>
        <v>Q2</v>
      </c>
      <c r="M12" s="29">
        <v>179.03</v>
      </c>
      <c r="N12" s="17" t="str">
        <f>IF($J12="","",VLOOKUP($J12,dropdown!$P$3:$Q$8,2,FALSE))</f>
        <v>Liters</v>
      </c>
      <c r="O12" s="195" t="s">
        <v>1454</v>
      </c>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I13" s="194">
        <f t="shared" si="0"/>
        <v>4</v>
      </c>
      <c r="J13" s="57" t="s">
        <v>37</v>
      </c>
      <c r="K13" s="58" t="s">
        <v>390</v>
      </c>
      <c r="L13" s="18" t="str">
        <f>IF(Fuel_Blg[[#This Row],[Month]]&lt;&gt;"",VLOOKUP(Fuel_Blg[[#This Row],[Month]], dropdown!$S$4:$T$15, 2, FALSE),"")</f>
        <v>Q3</v>
      </c>
      <c r="M13" s="29">
        <v>28.77</v>
      </c>
      <c r="N13" s="17" t="str">
        <f>IF($J13="","",VLOOKUP($J13,dropdown!$P$3:$Q$8,2,FALSE))</f>
        <v>Liters</v>
      </c>
      <c r="O13" s="195" t="s">
        <v>1454</v>
      </c>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I14" s="194">
        <f t="shared" si="0"/>
        <v>5</v>
      </c>
      <c r="J14" s="57" t="s">
        <v>37</v>
      </c>
      <c r="K14" s="58" t="s">
        <v>41</v>
      </c>
      <c r="L14" s="18" t="str">
        <f>IF(Fuel_Blg[[#This Row],[Month]]&lt;&gt;"",VLOOKUP(Fuel_Blg[[#This Row],[Month]], dropdown!$S$4:$T$15, 2, FALSE),"")</f>
        <v>Q3</v>
      </c>
      <c r="M14" s="29">
        <v>175.62</v>
      </c>
      <c r="N14" s="17" t="str">
        <f>IF($J14="","",VLOOKUP($J14,dropdown!$P$3:$Q$8,2,FALSE))</f>
        <v>Liters</v>
      </c>
      <c r="O14" s="195" t="s">
        <v>1454</v>
      </c>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I15" s="194">
        <f t="shared" si="0"/>
        <v>6</v>
      </c>
      <c r="J15" s="57" t="s">
        <v>37</v>
      </c>
      <c r="K15" s="58" t="s">
        <v>397</v>
      </c>
      <c r="L15" s="18" t="str">
        <f>IF(Fuel_Blg[[#This Row],[Month]]&lt;&gt;"",VLOOKUP(Fuel_Blg[[#This Row],[Month]], dropdown!$S$4:$T$15, 2, FALSE),"")</f>
        <v>Q3</v>
      </c>
      <c r="M15" s="29">
        <v>19.3</v>
      </c>
      <c r="N15" s="17" t="str">
        <f>IF($J15="","",VLOOKUP($J15,dropdown!$P$3:$Q$8,2,FALSE))</f>
        <v>Liters</v>
      </c>
      <c r="O15" s="195" t="s">
        <v>1454</v>
      </c>
      <c r="P15" s="20"/>
    </row>
    <row r="16" spans="2:16" x14ac:dyDescent="0.2">
      <c r="I16" s="194">
        <f t="shared" si="0"/>
        <v>7</v>
      </c>
      <c r="J16" s="57" t="s">
        <v>37</v>
      </c>
      <c r="K16" s="58" t="s">
        <v>400</v>
      </c>
      <c r="L16" s="18" t="str">
        <f>IF(Fuel_Blg[[#This Row],[Month]]&lt;&gt;"",VLOOKUP(Fuel_Blg[[#This Row],[Month]], dropdown!$S$4:$T$15, 2, FALSE),"")</f>
        <v>Q4</v>
      </c>
      <c r="M16" s="29">
        <v>52.61</v>
      </c>
      <c r="N16" s="17" t="str">
        <f>IF($J16="","",VLOOKUP($J16,dropdown!$P$3:$Q$8,2,FALSE))</f>
        <v>Liters</v>
      </c>
      <c r="O16" s="195" t="s">
        <v>1454</v>
      </c>
      <c r="P16" s="20"/>
    </row>
    <row r="17" spans="2:16" x14ac:dyDescent="0.2">
      <c r="B17" s="267" t="s">
        <v>38</v>
      </c>
      <c r="I17" s="194">
        <f t="shared" si="0"/>
        <v>8</v>
      </c>
      <c r="J17" s="57" t="s">
        <v>37</v>
      </c>
      <c r="K17" s="58" t="s">
        <v>404</v>
      </c>
      <c r="L17" s="18" t="str">
        <f>IF(Fuel_Blg[[#This Row],[Month]]&lt;&gt;"",VLOOKUP(Fuel_Blg[[#This Row],[Month]], dropdown!$S$4:$T$15, 2, FALSE),"")</f>
        <v>Q4</v>
      </c>
      <c r="M17" s="29">
        <v>34.07</v>
      </c>
      <c r="N17" s="17" t="str">
        <f>IF($J17="","",VLOOKUP($J17,dropdown!$P$3:$Q$8,2,FALSE))</f>
        <v>Liters</v>
      </c>
      <c r="O17" s="195" t="s">
        <v>1454</v>
      </c>
      <c r="P17" s="20"/>
    </row>
    <row r="18" spans="2:16" x14ac:dyDescent="0.2">
      <c r="B18" s="268" t="s">
        <v>175</v>
      </c>
      <c r="I18" s="194">
        <f t="shared" si="0"/>
        <v>9</v>
      </c>
      <c r="J18" s="57" t="s">
        <v>37</v>
      </c>
      <c r="K18" s="58" t="s">
        <v>407</v>
      </c>
      <c r="L18" s="18" t="str">
        <f>IF(Fuel_Blg[[#This Row],[Month]]&lt;&gt;"",VLOOKUP(Fuel_Blg[[#This Row],[Month]], dropdown!$S$4:$T$15, 2, FALSE),"")</f>
        <v>Q4</v>
      </c>
      <c r="M18" s="29">
        <v>29.9</v>
      </c>
      <c r="N18" s="17" t="str">
        <f>IF($J18="","",VLOOKUP($J18,dropdown!$P$3:$Q$8,2,FALSE))</f>
        <v>Liters</v>
      </c>
      <c r="O18" s="195" t="s">
        <v>1454</v>
      </c>
      <c r="P18" s="20"/>
    </row>
    <row r="19" spans="2:16" x14ac:dyDescent="0.2">
      <c r="B19" s="266" t="s">
        <v>176</v>
      </c>
      <c r="P19" s="20"/>
    </row>
    <row r="20" spans="2:16" x14ac:dyDescent="0.2">
      <c r="B20" s="17" t="s">
        <v>177</v>
      </c>
      <c r="I20" s="322" t="s">
        <v>178</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18 O6:O18 J6:K18"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E0CC472-00CD-4741-A670-D281D50B9645}">
          <x14:formula1>
            <xm:f>dropdown!$P$4:$P$8</xm:f>
          </x14:formula1>
          <xm:sqref>J7:J18</xm:sqref>
        </x14:dataValidation>
        <x14:dataValidation type="list" allowBlank="1" showInputMessage="1" showErrorMessage="1" xr:uid="{3A41C1D1-FB7A-9447-9EAB-0BFDEC48FE4C}">
          <x14:formula1>
            <xm:f>dropdown!$S$4:$S$15</xm:f>
          </x14:formula1>
          <xm:sqref>K7:K18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topLeftCell="I6" zoomScaleNormal="100" workbookViewId="0">
      <selection activeCell="P16" sqref="P16"/>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29</v>
      </c>
      <c r="C2" s="31"/>
      <c r="D2" s="31"/>
      <c r="E2" s="31"/>
      <c r="F2" s="31"/>
      <c r="G2" s="32"/>
      <c r="I2" s="357" t="s">
        <v>179</v>
      </c>
      <c r="J2" s="358"/>
      <c r="K2" s="358"/>
      <c r="L2" s="359"/>
      <c r="M2" s="359"/>
      <c r="N2" s="360"/>
      <c r="O2" s="360"/>
      <c r="P2" s="361"/>
      <c r="Q2" s="361"/>
      <c r="R2" s="362"/>
    </row>
    <row r="3" spans="2:18" x14ac:dyDescent="0.2">
      <c r="B3" s="33" t="s">
        <v>8</v>
      </c>
      <c r="C3" s="34"/>
      <c r="D3" s="35" t="s">
        <v>168</v>
      </c>
      <c r="E3" s="34"/>
      <c r="F3" s="34" t="s">
        <v>169</v>
      </c>
      <c r="G3" s="36"/>
      <c r="I3" s="284" t="s">
        <v>170</v>
      </c>
      <c r="J3" s="285"/>
      <c r="K3" s="285"/>
      <c r="L3" s="286"/>
      <c r="M3" s="286"/>
      <c r="N3" s="287"/>
      <c r="O3" s="287"/>
      <c r="P3" s="288"/>
      <c r="Q3" s="288"/>
      <c r="R3" s="363"/>
    </row>
    <row r="4" spans="2:18" x14ac:dyDescent="0.2">
      <c r="B4" s="210" t="str">
        <f>'1. Data Info and Summary'!$D$2</f>
        <v>Dumaguete Branch</v>
      </c>
      <c r="C4" s="201"/>
      <c r="D4" s="38">
        <f>IF('1. Data Info and Summary'!$D$3=0,"-",'1. Data Info and Summary'!$D$3)</f>
        <v>2024</v>
      </c>
      <c r="E4" s="201"/>
      <c r="F4" s="201" t="s">
        <v>171</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172</v>
      </c>
      <c r="C6" s="447" t="s">
        <v>1431</v>
      </c>
      <c r="D6" s="448"/>
      <c r="E6" s="448"/>
      <c r="F6" s="448"/>
      <c r="G6" s="449"/>
      <c r="I6" s="204" t="s">
        <v>173</v>
      </c>
      <c r="J6" s="205" t="s">
        <v>59</v>
      </c>
      <c r="K6" s="205" t="s">
        <v>35</v>
      </c>
      <c r="L6" s="205" t="s">
        <v>39</v>
      </c>
      <c r="M6" s="205" t="s">
        <v>43</v>
      </c>
      <c r="N6" s="206" t="s">
        <v>47</v>
      </c>
      <c r="O6" s="207" t="s">
        <v>51</v>
      </c>
      <c r="P6" s="206" t="s">
        <v>180</v>
      </c>
      <c r="Q6" s="207" t="s">
        <v>67</v>
      </c>
      <c r="R6" s="208" t="s">
        <v>54</v>
      </c>
    </row>
    <row r="7" spans="2:18" x14ac:dyDescent="0.2">
      <c r="B7" s="278" t="s">
        <v>174</v>
      </c>
      <c r="C7" s="450">
        <v>45909</v>
      </c>
      <c r="D7" s="448"/>
      <c r="E7" s="448"/>
      <c r="F7" s="448"/>
      <c r="G7" s="449"/>
      <c r="I7" s="194">
        <f>IF($J7="","",1)</f>
        <v>1</v>
      </c>
      <c r="J7" s="57" t="s">
        <v>365</v>
      </c>
      <c r="K7" s="57" t="s">
        <v>63</v>
      </c>
      <c r="L7" s="58" t="s">
        <v>338</v>
      </c>
      <c r="M7" s="18" t="str">
        <f>IF(Fuel_Veh[[#This Row],[Month]]&lt;&gt;"",VLOOKUP(Fuel_Veh[[#This Row],[Month]], dropdown!$S$4:$T$15, 2, FALSE),"")</f>
        <v>Q1</v>
      </c>
      <c r="N7" s="29">
        <v>25.896000000000001</v>
      </c>
      <c r="O7" s="17" t="str">
        <f>IF($K7="","",VLOOKUP($K7,dropdown!$P$14:$Q$18,2,FALSE))</f>
        <v>Liters</v>
      </c>
      <c r="P7" s="29">
        <v>312</v>
      </c>
      <c r="Q7" s="17" t="str">
        <f t="shared" ref="Q7:Q70" si="0">IF($P7="","","Kilometers")</f>
        <v>Kilometers</v>
      </c>
      <c r="R7" s="195" t="s">
        <v>1461</v>
      </c>
    </row>
    <row r="8" spans="2:18" x14ac:dyDescent="0.2">
      <c r="I8" s="194">
        <f>IF($J8="","",$I7+1)</f>
        <v>2</v>
      </c>
      <c r="J8" s="57" t="s">
        <v>381</v>
      </c>
      <c r="K8" s="57" t="s">
        <v>63</v>
      </c>
      <c r="L8" s="58" t="s">
        <v>338</v>
      </c>
      <c r="M8" s="18" t="str">
        <f>IF(Fuel_Veh[[#This Row],[Month]]&lt;&gt;"",VLOOKUP(Fuel_Veh[[#This Row],[Month]], dropdown!$S$4:$T$15, 2, FALSE),"")</f>
        <v>Q1</v>
      </c>
      <c r="N8" s="29">
        <v>46.646000000000001</v>
      </c>
      <c r="O8" s="17"/>
      <c r="P8" s="29">
        <v>562</v>
      </c>
      <c r="Q8" s="17" t="str">
        <f t="shared" si="0"/>
        <v>Kilometers</v>
      </c>
      <c r="R8" s="195" t="s">
        <v>1462</v>
      </c>
    </row>
    <row r="9" spans="2:18" x14ac:dyDescent="0.2">
      <c r="B9" s="14" t="s">
        <v>33</v>
      </c>
      <c r="C9" s="14"/>
      <c r="D9" s="14"/>
      <c r="E9" s="14"/>
      <c r="F9" s="14"/>
      <c r="G9" s="14"/>
      <c r="I9" s="194">
        <f>IF($J9="","",$I8+1)</f>
        <v>3</v>
      </c>
      <c r="J9" s="57" t="s">
        <v>343</v>
      </c>
      <c r="K9" s="57" t="s">
        <v>63</v>
      </c>
      <c r="L9" s="58" t="s">
        <v>338</v>
      </c>
      <c r="M9" s="18" t="str">
        <f>IF(Fuel_Veh[[#This Row],[Month]]&lt;&gt;"",VLOOKUP(Fuel_Veh[[#This Row],[Month]], dropdown!$S$4:$T$15, 2, FALSE),"")</f>
        <v>Q1</v>
      </c>
      <c r="N9" s="29">
        <v>0</v>
      </c>
      <c r="O9" s="17" t="str">
        <f>IF($K9="","",VLOOKUP($K9,dropdown!$P$14:$Q$18,2,FALSE))</f>
        <v>Liters</v>
      </c>
      <c r="P9" s="29">
        <v>0</v>
      </c>
      <c r="Q9" s="17" t="str">
        <f t="shared" si="0"/>
        <v>Kilometers</v>
      </c>
      <c r="R9" s="195" t="s">
        <v>1465</v>
      </c>
    </row>
    <row r="10" spans="2:18" x14ac:dyDescent="0.2">
      <c r="B10" s="13" t="s">
        <v>35</v>
      </c>
      <c r="C10" s="13" t="s">
        <v>51</v>
      </c>
      <c r="D10" s="40" t="s">
        <v>45</v>
      </c>
      <c r="E10" s="40" t="s">
        <v>149</v>
      </c>
      <c r="F10" s="40" t="s">
        <v>150</v>
      </c>
      <c r="G10" s="40" t="s">
        <v>151</v>
      </c>
      <c r="I10" s="194">
        <f>IF($J10="","",$I9+1)</f>
        <v>4</v>
      </c>
      <c r="J10" s="57" t="s">
        <v>365</v>
      </c>
      <c r="K10" s="57" t="s">
        <v>63</v>
      </c>
      <c r="L10" s="58" t="s">
        <v>89</v>
      </c>
      <c r="M10" s="18" t="str">
        <f>IF(Fuel_Veh[[#This Row],[Month]]&lt;&gt;"",VLOOKUP(Fuel_Veh[[#This Row],[Month]], dropdown!$S$4:$T$15, 2, FALSE),"")</f>
        <v>Q1</v>
      </c>
      <c r="N10" s="29">
        <v>45.234999999999999</v>
      </c>
      <c r="O10" s="17" t="str">
        <f>IF($K10="","",VLOOKUP($K10,dropdown!$P$14:$Q$18,2,FALSE))</f>
        <v>Liters</v>
      </c>
      <c r="P10" s="29">
        <v>545</v>
      </c>
      <c r="Q10" s="17" t="str">
        <f t="shared" si="0"/>
        <v>Kilometers</v>
      </c>
      <c r="R10" s="195" t="s">
        <v>1461</v>
      </c>
    </row>
    <row r="11" spans="2:18" x14ac:dyDescent="0.2">
      <c r="B11" s="17" t="str">
        <f>dropdown!$P15</f>
        <v>Diesel - Transport vehicles</v>
      </c>
      <c r="C11" s="17" t="str">
        <f>dropdown!$Q15</f>
        <v>Liters</v>
      </c>
      <c r="D11" s="41">
        <f>SUMIFS(Fuel_Veh[Consumption],Fuel_Veh[Quarter],D$10,Fuel_Veh[Fuel Type],$B$11)</f>
        <v>330.15299999999996</v>
      </c>
      <c r="E11" s="41">
        <f>SUMIFS(Fuel_Veh[Consumption],Fuel_Veh[Quarter],E$10,Fuel_Veh[Fuel Type],$B$11)</f>
        <v>522.12599999999998</v>
      </c>
      <c r="F11" s="41">
        <f>SUMIFS(Fuel_Veh[Consumption],Fuel_Veh[Quarter],F$10,Fuel_Veh[Fuel Type],$B$11)</f>
        <v>416.04200000000003</v>
      </c>
      <c r="G11" s="41">
        <f>SUMIFS(Fuel_Veh[Consumption],Fuel_Veh[Quarter],G$10,Fuel_Veh[Fuel Type],$B$11)</f>
        <v>339.214</v>
      </c>
      <c r="I11" s="194">
        <f>IF($J11="","",$I10+1)</f>
        <v>5</v>
      </c>
      <c r="J11" s="57" t="s">
        <v>381</v>
      </c>
      <c r="K11" s="57" t="s">
        <v>63</v>
      </c>
      <c r="L11" s="58" t="s">
        <v>89</v>
      </c>
      <c r="M11" s="18" t="str">
        <f>IF(Fuel_Veh[[#This Row],[Month]]&lt;&gt;"",VLOOKUP(Fuel_Veh[[#This Row],[Month]], dropdown!$S$4:$T$15, 2, FALSE),"")</f>
        <v>Q1</v>
      </c>
      <c r="N11" s="29">
        <v>23.489000000000001</v>
      </c>
      <c r="O11" s="17" t="str">
        <f>IF($K11="","",VLOOKUP($K11,dropdown!$P$14:$Q$18,2,FALSE))</f>
        <v>Liters</v>
      </c>
      <c r="P11" s="29">
        <v>283</v>
      </c>
      <c r="Q11" s="17" t="str">
        <f t="shared" si="0"/>
        <v>Kilometers</v>
      </c>
      <c r="R11" s="195" t="s">
        <v>1462</v>
      </c>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75" si="1">IF($J12="","",$I11+1)</f>
        <v>6</v>
      </c>
      <c r="J12" s="57" t="s">
        <v>343</v>
      </c>
      <c r="K12" s="57" t="s">
        <v>63</v>
      </c>
      <c r="L12" s="58" t="s">
        <v>89</v>
      </c>
      <c r="M12" s="18" t="str">
        <f>IF(Fuel_Veh[[#This Row],[Month]]&lt;&gt;"",VLOOKUP(Fuel_Veh[[#This Row],[Month]], dropdown!$S$4:$T$15, 2, FALSE),"")</f>
        <v>Q1</v>
      </c>
      <c r="N12" s="29">
        <v>35.359000000000002</v>
      </c>
      <c r="O12" s="17" t="str">
        <f>IF($K12="","",VLOOKUP($K12,dropdown!$P$14:$Q$18,2,FALSE))</f>
        <v>Liters</v>
      </c>
      <c r="P12" s="29">
        <v>25.5</v>
      </c>
      <c r="Q12" s="17" t="str">
        <f t="shared" si="0"/>
        <v>Kilometers</v>
      </c>
      <c r="R12" s="195" t="s">
        <v>1465</v>
      </c>
    </row>
    <row r="13" spans="2:18" ht="14" customHeight="1" x14ac:dyDescent="0.2">
      <c r="I13" s="194">
        <f t="shared" si="1"/>
        <v>7</v>
      </c>
      <c r="J13" s="57" t="s">
        <v>365</v>
      </c>
      <c r="K13" s="57" t="s">
        <v>63</v>
      </c>
      <c r="L13" s="58" t="s">
        <v>362</v>
      </c>
      <c r="M13" s="18" t="str">
        <f>IF(Fuel_Veh[[#This Row],[Month]]&lt;&gt;"",VLOOKUP(Fuel_Veh[[#This Row],[Month]], dropdown!$S$4:$T$15, 2, FALSE),"")</f>
        <v>Q1</v>
      </c>
      <c r="N13" s="29">
        <v>15.355</v>
      </c>
      <c r="O13" s="17" t="str">
        <f>IF($K13="","",VLOOKUP($K13,dropdown!$P$14:$Q$18,2,FALSE))</f>
        <v>Liters</v>
      </c>
      <c r="P13" s="29">
        <v>184</v>
      </c>
      <c r="Q13" s="17" t="str">
        <f t="shared" si="0"/>
        <v>Kilometers</v>
      </c>
      <c r="R13" s="195" t="s">
        <v>1461</v>
      </c>
    </row>
    <row r="14" spans="2:18" x14ac:dyDescent="0.2">
      <c r="B14" s="267" t="s">
        <v>38</v>
      </c>
      <c r="I14" s="194">
        <f t="shared" si="1"/>
        <v>8</v>
      </c>
      <c r="J14" s="57" t="s">
        <v>381</v>
      </c>
      <c r="K14" s="57" t="s">
        <v>63</v>
      </c>
      <c r="L14" s="58" t="s">
        <v>362</v>
      </c>
      <c r="M14" s="18" t="str">
        <f>IF(Fuel_Veh[[#This Row],[Month]]&lt;&gt;"",VLOOKUP(Fuel_Veh[[#This Row],[Month]], dropdown!$S$4:$T$15, 2, FALSE),"")</f>
        <v>Q1</v>
      </c>
      <c r="N14" s="29">
        <v>84.825999999999993</v>
      </c>
      <c r="O14" s="17" t="str">
        <f>IF($K14="","",VLOOKUP($K14,dropdown!$P$14:$Q$18,2,FALSE))</f>
        <v>Liters</v>
      </c>
      <c r="P14" s="29">
        <v>1022</v>
      </c>
      <c r="Q14" s="17" t="str">
        <f t="shared" si="0"/>
        <v>Kilometers</v>
      </c>
      <c r="R14" s="195" t="s">
        <v>1462</v>
      </c>
    </row>
    <row r="15" spans="2:18" x14ac:dyDescent="0.2">
      <c r="B15" s="268" t="s">
        <v>175</v>
      </c>
      <c r="I15" s="194">
        <f t="shared" si="1"/>
        <v>9</v>
      </c>
      <c r="J15" s="57" t="s">
        <v>343</v>
      </c>
      <c r="K15" s="57" t="s">
        <v>63</v>
      </c>
      <c r="L15" s="58" t="s">
        <v>362</v>
      </c>
      <c r="M15" s="18" t="str">
        <f>IF(Fuel_Veh[[#This Row],[Month]]&lt;&gt;"",VLOOKUP(Fuel_Veh[[#This Row],[Month]], dropdown!$S$4:$T$15, 2, FALSE),"")</f>
        <v>Q1</v>
      </c>
      <c r="N15" s="29">
        <v>53.347000000000001</v>
      </c>
      <c r="O15" s="17" t="str">
        <f>IF($K15="","",VLOOKUP($K15,dropdown!$P$14:$Q$18,2,FALSE))</f>
        <v>Liters</v>
      </c>
      <c r="P15" s="29">
        <v>27.1</v>
      </c>
      <c r="Q15" s="17" t="str">
        <f t="shared" si="0"/>
        <v>Kilometers</v>
      </c>
      <c r="R15" s="195" t="s">
        <v>1465</v>
      </c>
    </row>
    <row r="16" spans="2:18" x14ac:dyDescent="0.2">
      <c r="B16" s="266" t="s">
        <v>176</v>
      </c>
      <c r="I16" s="194">
        <f t="shared" si="1"/>
        <v>10</v>
      </c>
      <c r="J16" s="57" t="s">
        <v>365</v>
      </c>
      <c r="K16" s="57" t="s">
        <v>63</v>
      </c>
      <c r="L16" s="58" t="s">
        <v>371</v>
      </c>
      <c r="M16" s="18" t="str">
        <f>IF(Fuel_Veh[[#This Row],[Month]]&lt;&gt;"",VLOOKUP(Fuel_Veh[[#This Row],[Month]], dropdown!$S$4:$T$15, 2, FALSE),"")</f>
        <v>Q2</v>
      </c>
      <c r="N16" s="29">
        <v>43.741</v>
      </c>
      <c r="O16" s="17" t="str">
        <f>IF($K16="","",VLOOKUP($K16,dropdown!$P$14:$Q$18,2,FALSE))</f>
        <v>Liters</v>
      </c>
      <c r="P16" s="29">
        <v>527</v>
      </c>
      <c r="Q16" s="17" t="str">
        <f t="shared" si="0"/>
        <v>Kilometers</v>
      </c>
      <c r="R16" s="195" t="s">
        <v>1461</v>
      </c>
    </row>
    <row r="17" spans="2:18" x14ac:dyDescent="0.2">
      <c r="B17" s="17" t="s">
        <v>177</v>
      </c>
      <c r="I17" s="194">
        <f t="shared" si="1"/>
        <v>11</v>
      </c>
      <c r="J17" s="57" t="s">
        <v>381</v>
      </c>
      <c r="K17" s="57" t="s">
        <v>63</v>
      </c>
      <c r="L17" s="58" t="s">
        <v>371</v>
      </c>
      <c r="M17" s="18" t="str">
        <f>IF(Fuel_Veh[[#This Row],[Month]]&lt;&gt;"",VLOOKUP(Fuel_Veh[[#This Row],[Month]], dropdown!$S$4:$T$15, 2, FALSE),"")</f>
        <v>Q2</v>
      </c>
      <c r="N17" s="29">
        <v>19.172999999999998</v>
      </c>
      <c r="O17" s="17" t="str">
        <f>IF($K17="","",VLOOKUP($K17,dropdown!$P$14:$Q$18,2,FALSE))</f>
        <v>Liters</v>
      </c>
      <c r="P17" s="29">
        <v>231</v>
      </c>
      <c r="Q17" s="17" t="str">
        <f t="shared" si="0"/>
        <v>Kilometers</v>
      </c>
      <c r="R17" s="195" t="s">
        <v>1462</v>
      </c>
    </row>
    <row r="18" spans="2:18" x14ac:dyDescent="0.2">
      <c r="I18" s="194">
        <f t="shared" si="1"/>
        <v>12</v>
      </c>
      <c r="J18" s="57" t="s">
        <v>343</v>
      </c>
      <c r="K18" s="57" t="s">
        <v>63</v>
      </c>
      <c r="L18" s="58" t="s">
        <v>371</v>
      </c>
      <c r="M18" s="18" t="str">
        <f>IF(Fuel_Veh[[#This Row],[Month]]&lt;&gt;"",VLOOKUP(Fuel_Veh[[#This Row],[Month]], dropdown!$S$4:$T$15, 2, FALSE),"")</f>
        <v>Q2</v>
      </c>
      <c r="N18" s="29">
        <v>24.65</v>
      </c>
      <c r="O18" s="17" t="str">
        <f>IF($K18="","",VLOOKUP($K18,dropdown!$P$14:$Q$18,2,FALSE))</f>
        <v>Liters</v>
      </c>
      <c r="P18" s="29">
        <v>20</v>
      </c>
      <c r="Q18" s="17" t="str">
        <f t="shared" si="0"/>
        <v>Kilometers</v>
      </c>
      <c r="R18" s="195" t="s">
        <v>1465</v>
      </c>
    </row>
    <row r="19" spans="2:18" x14ac:dyDescent="0.2">
      <c r="I19" s="194">
        <f t="shared" si="1"/>
        <v>13</v>
      </c>
      <c r="J19" s="57" t="s">
        <v>365</v>
      </c>
      <c r="K19" s="57" t="s">
        <v>63</v>
      </c>
      <c r="L19" s="58" t="s">
        <v>379</v>
      </c>
      <c r="M19" s="18" t="str">
        <f>IF(Fuel_Veh[[#This Row],[Month]]&lt;&gt;"",VLOOKUP(Fuel_Veh[[#This Row],[Month]], dropdown!$S$4:$T$15, 2, FALSE),"")</f>
        <v>Q2</v>
      </c>
      <c r="N19" s="29">
        <v>34.694000000000003</v>
      </c>
      <c r="O19" s="17" t="str">
        <f>IF($K19="","",VLOOKUP($K19,dropdown!$P$14:$Q$18,2,FALSE))</f>
        <v>Liters</v>
      </c>
      <c r="P19" s="29">
        <v>422</v>
      </c>
      <c r="Q19" s="17" t="str">
        <f t="shared" si="0"/>
        <v>Kilometers</v>
      </c>
      <c r="R19" s="195" t="s">
        <v>1461</v>
      </c>
    </row>
    <row r="20" spans="2:18" x14ac:dyDescent="0.2">
      <c r="I20" s="194">
        <f t="shared" si="1"/>
        <v>14</v>
      </c>
      <c r="J20" s="57" t="s">
        <v>381</v>
      </c>
      <c r="K20" s="57" t="s">
        <v>63</v>
      </c>
      <c r="L20" s="58" t="s">
        <v>379</v>
      </c>
      <c r="M20" s="18" t="str">
        <f>IF(Fuel_Veh[[#This Row],[Month]]&lt;&gt;"",VLOOKUP(Fuel_Veh[[#This Row],[Month]], dropdown!$S$4:$T$15, 2, FALSE),"")</f>
        <v>Q2</v>
      </c>
      <c r="N20" s="29">
        <v>34.195999999999998</v>
      </c>
      <c r="O20" s="17" t="str">
        <f>IF($K20="","",VLOOKUP($K20,dropdown!$P$14:$Q$18,2,FALSE))</f>
        <v>Liters</v>
      </c>
      <c r="P20" s="29">
        <v>588</v>
      </c>
      <c r="Q20" s="17" t="str">
        <f t="shared" si="0"/>
        <v>Kilometers</v>
      </c>
      <c r="R20" s="195" t="s">
        <v>1462</v>
      </c>
    </row>
    <row r="21" spans="2:18" x14ac:dyDescent="0.2">
      <c r="I21" s="194">
        <f t="shared" si="1"/>
        <v>15</v>
      </c>
      <c r="J21" s="57" t="s">
        <v>343</v>
      </c>
      <c r="K21" s="57" t="s">
        <v>63</v>
      </c>
      <c r="L21" s="58" t="s">
        <v>379</v>
      </c>
      <c r="M21" s="18" t="str">
        <f>IF(Fuel_Veh[[#This Row],[Month]]&lt;&gt;"",VLOOKUP(Fuel_Veh[[#This Row],[Month]], dropdown!$S$4:$T$15, 2, FALSE),"")</f>
        <v>Q2</v>
      </c>
      <c r="N21" s="29">
        <v>35.393000000000001</v>
      </c>
      <c r="O21" s="17" t="str">
        <f>IF($K21="","",VLOOKUP($K21,dropdown!$P$14:$Q$18,2,FALSE))</f>
        <v>Liters</v>
      </c>
      <c r="P21" s="29">
        <v>28.3</v>
      </c>
      <c r="Q21" s="17" t="str">
        <f t="shared" si="0"/>
        <v>Kilometers</v>
      </c>
      <c r="R21" s="195" t="s">
        <v>1465</v>
      </c>
    </row>
    <row r="22" spans="2:18" x14ac:dyDescent="0.2">
      <c r="I22" s="194">
        <f t="shared" si="1"/>
        <v>16</v>
      </c>
      <c r="J22" s="57" t="s">
        <v>365</v>
      </c>
      <c r="K22" s="57" t="s">
        <v>63</v>
      </c>
      <c r="L22" s="58" t="s">
        <v>386</v>
      </c>
      <c r="M22" s="18" t="str">
        <f>IF(Fuel_Veh[[#This Row],[Month]]&lt;&gt;"",VLOOKUP(Fuel_Veh[[#This Row],[Month]], dropdown!$S$4:$T$15, 2, FALSE),"")</f>
        <v>Q2</v>
      </c>
      <c r="N22" s="29">
        <v>55.942</v>
      </c>
      <c r="O22" s="17" t="str">
        <f>IF($K22="","",VLOOKUP($K22,dropdown!$P$14:$Q$18,2,FALSE))</f>
        <v>Liters</v>
      </c>
      <c r="P22" s="29">
        <v>674</v>
      </c>
      <c r="Q22" s="17" t="str">
        <f t="shared" si="0"/>
        <v>Kilometers</v>
      </c>
      <c r="R22" s="195" t="s">
        <v>1461</v>
      </c>
    </row>
    <row r="23" spans="2:18" x14ac:dyDescent="0.2">
      <c r="I23" s="194">
        <f t="shared" si="1"/>
        <v>17</v>
      </c>
      <c r="J23" s="57" t="s">
        <v>381</v>
      </c>
      <c r="K23" s="57" t="s">
        <v>63</v>
      </c>
      <c r="L23" s="58" t="s">
        <v>386</v>
      </c>
      <c r="M23" s="18" t="str">
        <f>IF(Fuel_Veh[[#This Row],[Month]]&lt;&gt;"",VLOOKUP(Fuel_Veh[[#This Row],[Month]], dropdown!$S$4:$T$15, 2, FALSE),"")</f>
        <v>Q2</v>
      </c>
      <c r="N23" s="29">
        <v>38.761000000000003</v>
      </c>
      <c r="O23" s="17" t="str">
        <f>IF($K23="","",VLOOKUP($K23,dropdown!$P$14:$Q$18,2,FALSE))</f>
        <v>Liters</v>
      </c>
      <c r="P23" s="29">
        <v>531</v>
      </c>
      <c r="Q23" s="17" t="str">
        <f t="shared" si="0"/>
        <v>Kilometers</v>
      </c>
      <c r="R23" s="195" t="s">
        <v>1462</v>
      </c>
    </row>
    <row r="24" spans="2:18" x14ac:dyDescent="0.2">
      <c r="I24" s="194">
        <f t="shared" si="1"/>
        <v>18</v>
      </c>
      <c r="J24" s="57" t="s">
        <v>343</v>
      </c>
      <c r="K24" s="57" t="s">
        <v>63</v>
      </c>
      <c r="L24" s="58" t="s">
        <v>386</v>
      </c>
      <c r="M24" s="18" t="str">
        <f>IF(Fuel_Veh[[#This Row],[Month]]&lt;&gt;"",VLOOKUP(Fuel_Veh[[#This Row],[Month]], dropdown!$S$4:$T$15, 2, FALSE),"")</f>
        <v>Q2</v>
      </c>
      <c r="N24" s="29">
        <v>235.57599999999999</v>
      </c>
      <c r="O24" s="17" t="str">
        <f>IF($K24="","",VLOOKUP($K24,dropdown!$P$14:$Q$18,2,FALSE))</f>
        <v>Liters</v>
      </c>
      <c r="P24" s="29">
        <v>599.9</v>
      </c>
      <c r="Q24" s="17" t="str">
        <f t="shared" si="0"/>
        <v>Kilometers</v>
      </c>
      <c r="R24" s="195" t="s">
        <v>1465</v>
      </c>
    </row>
    <row r="25" spans="2:18" x14ac:dyDescent="0.2">
      <c r="I25" s="194">
        <f t="shared" si="1"/>
        <v>19</v>
      </c>
      <c r="J25" s="57" t="s">
        <v>365</v>
      </c>
      <c r="K25" s="57" t="s">
        <v>63</v>
      </c>
      <c r="L25" s="58" t="s">
        <v>390</v>
      </c>
      <c r="M25" s="18" t="str">
        <f>IF(Fuel_Veh[[#This Row],[Month]]&lt;&gt;"",VLOOKUP(Fuel_Veh[[#This Row],[Month]], dropdown!$S$4:$T$15, 2, FALSE),"")</f>
        <v>Q3</v>
      </c>
      <c r="N25" s="29">
        <v>46.978000000000002</v>
      </c>
      <c r="O25" s="17" t="str">
        <f>IF($K25="","",VLOOKUP($K25,dropdown!$P$14:$Q$18,2,FALSE))</f>
        <v>Liters</v>
      </c>
      <c r="P25" s="29">
        <v>566</v>
      </c>
      <c r="Q25" s="17" t="str">
        <f t="shared" si="0"/>
        <v>Kilometers</v>
      </c>
      <c r="R25" s="195" t="s">
        <v>1461</v>
      </c>
    </row>
    <row r="26" spans="2:18" x14ac:dyDescent="0.2">
      <c r="I26" s="194">
        <f t="shared" si="1"/>
        <v>20</v>
      </c>
      <c r="J26" s="57" t="s">
        <v>381</v>
      </c>
      <c r="K26" s="57" t="s">
        <v>63</v>
      </c>
      <c r="L26" s="196" t="s">
        <v>390</v>
      </c>
      <c r="M26" s="18" t="str">
        <f>IF(Fuel_Veh[[#This Row],[Month]]&lt;&gt;"",VLOOKUP(Fuel_Veh[[#This Row],[Month]], dropdown!$S$4:$T$15, 2, FALSE),"")</f>
        <v>Q3</v>
      </c>
      <c r="N26" s="197">
        <v>75.695999999999998</v>
      </c>
      <c r="O26" s="198" t="str">
        <f>IF($K26="","",VLOOKUP($K26,dropdown!$P$14:$Q$18,2,FALSE))</f>
        <v>Liters</v>
      </c>
      <c r="P26" s="197">
        <v>1021</v>
      </c>
      <c r="Q26" s="17" t="str">
        <f t="shared" si="0"/>
        <v>Kilometers</v>
      </c>
      <c r="R26" s="199" t="s">
        <v>1462</v>
      </c>
    </row>
    <row r="27" spans="2:18" x14ac:dyDescent="0.2">
      <c r="I27" s="194">
        <f t="shared" si="1"/>
        <v>21</v>
      </c>
      <c r="J27" s="57" t="s">
        <v>343</v>
      </c>
      <c r="K27" s="57" t="s">
        <v>63</v>
      </c>
      <c r="L27" s="58" t="s">
        <v>390</v>
      </c>
      <c r="M27" s="18" t="str">
        <f>IF(Fuel_Veh[[#This Row],[Month]]&lt;&gt;"",VLOOKUP(Fuel_Veh[[#This Row],[Month]], dropdown!$S$4:$T$15, 2, FALSE),"")</f>
        <v>Q3</v>
      </c>
      <c r="N27" s="29">
        <v>4.2969999999999997</v>
      </c>
      <c r="O27" s="17" t="str">
        <f>IF($K27="","",VLOOKUP($K27,dropdown!$P$14:$Q$18,2,FALSE))</f>
        <v>Liters</v>
      </c>
      <c r="P27" s="29">
        <v>3.9</v>
      </c>
      <c r="Q27" s="17" t="str">
        <f t="shared" si="0"/>
        <v>Kilometers</v>
      </c>
      <c r="R27" s="195" t="s">
        <v>1465</v>
      </c>
    </row>
    <row r="28" spans="2:18" x14ac:dyDescent="0.2">
      <c r="I28" s="194">
        <f t="shared" si="1"/>
        <v>22</v>
      </c>
      <c r="J28" s="57" t="s">
        <v>365</v>
      </c>
      <c r="K28" s="57" t="s">
        <v>63</v>
      </c>
      <c r="L28" s="58" t="s">
        <v>41</v>
      </c>
      <c r="M28" s="18" t="str">
        <f>IF(Fuel_Veh[[#This Row],[Month]]&lt;&gt;"",VLOOKUP(Fuel_Veh[[#This Row],[Month]], dropdown!$S$4:$T$15, 2, FALSE),"")</f>
        <v>Q3</v>
      </c>
      <c r="N28" s="29">
        <v>79.182000000000002</v>
      </c>
      <c r="O28" s="17" t="str">
        <f>IF($K28="","",VLOOKUP($K28,dropdown!$P$14:$Q$18,2,FALSE))</f>
        <v>Liters</v>
      </c>
      <c r="P28" s="29">
        <v>954</v>
      </c>
      <c r="Q28" s="17" t="str">
        <f t="shared" si="0"/>
        <v>Kilometers</v>
      </c>
      <c r="R28" s="195" t="s">
        <v>1461</v>
      </c>
    </row>
    <row r="29" spans="2:18" x14ac:dyDescent="0.2">
      <c r="I29" s="194">
        <f t="shared" si="1"/>
        <v>23</v>
      </c>
      <c r="J29" s="57" t="s">
        <v>381</v>
      </c>
      <c r="K29" s="57" t="s">
        <v>63</v>
      </c>
      <c r="L29" s="58" t="s">
        <v>41</v>
      </c>
      <c r="M29" s="18" t="str">
        <f>IF(Fuel_Veh[[#This Row],[Month]]&lt;&gt;"",VLOOKUP(Fuel_Veh[[#This Row],[Month]], dropdown!$S$4:$T$15, 2, FALSE),"")</f>
        <v>Q3</v>
      </c>
      <c r="N29" s="29">
        <v>52.456000000000003</v>
      </c>
      <c r="O29" s="17" t="str">
        <f>IF($K29="","",VLOOKUP($K29,dropdown!$P$14:$Q$18,2,FALSE))</f>
        <v>Liters</v>
      </c>
      <c r="P29" s="29">
        <v>632</v>
      </c>
      <c r="Q29" s="17" t="str">
        <f t="shared" si="0"/>
        <v>Kilometers</v>
      </c>
      <c r="R29" s="195" t="s">
        <v>1462</v>
      </c>
    </row>
    <row r="30" spans="2:18" x14ac:dyDescent="0.2">
      <c r="I30" s="194">
        <f t="shared" si="1"/>
        <v>24</v>
      </c>
      <c r="J30" s="57" t="s">
        <v>343</v>
      </c>
      <c r="K30" s="345" t="s">
        <v>63</v>
      </c>
      <c r="L30" s="196" t="s">
        <v>41</v>
      </c>
      <c r="M30" s="18" t="str">
        <f>IF(Fuel_Veh[[#This Row],[Month]]&lt;&gt;"",VLOOKUP(Fuel_Veh[[#This Row],[Month]], dropdown!$S$4:$T$15, 2, FALSE),"")</f>
        <v>Q3</v>
      </c>
      <c r="N30" s="197">
        <v>10.065</v>
      </c>
      <c r="O30" s="198" t="str">
        <f>IF($K30="","",VLOOKUP($K30,dropdown!$P$14:$Q$18,2,FALSE))</f>
        <v>Liters</v>
      </c>
      <c r="P30" s="197">
        <v>18.2</v>
      </c>
      <c r="Q30" s="17" t="str">
        <f t="shared" si="0"/>
        <v>Kilometers</v>
      </c>
      <c r="R30" s="199" t="s">
        <v>1465</v>
      </c>
    </row>
    <row r="31" spans="2:18" x14ac:dyDescent="0.2">
      <c r="I31" s="194">
        <f t="shared" si="1"/>
        <v>25</v>
      </c>
      <c r="J31" s="57" t="s">
        <v>365</v>
      </c>
      <c r="K31" s="57" t="s">
        <v>63</v>
      </c>
      <c r="L31" s="58" t="s">
        <v>397</v>
      </c>
      <c r="M31" s="18" t="str">
        <f>IF(Fuel_Veh[[#This Row],[Month]]&lt;&gt;"",VLOOKUP(Fuel_Veh[[#This Row],[Month]], dropdown!$S$4:$T$15, 2, FALSE),"")</f>
        <v>Q3</v>
      </c>
      <c r="N31" s="29">
        <v>56.107999999999997</v>
      </c>
      <c r="O31" s="17" t="str">
        <f>IF($K31="","",VLOOKUP($K31,dropdown!$P$14:$Q$18,2,FALSE))</f>
        <v>Liters</v>
      </c>
      <c r="P31" s="29">
        <v>676</v>
      </c>
      <c r="Q31" s="17" t="str">
        <f t="shared" si="0"/>
        <v>Kilometers</v>
      </c>
      <c r="R31" s="199" t="s">
        <v>1461</v>
      </c>
    </row>
    <row r="32" spans="2:18" x14ac:dyDescent="0.2">
      <c r="I32" s="194">
        <f t="shared" si="1"/>
        <v>26</v>
      </c>
      <c r="J32" s="57" t="s">
        <v>381</v>
      </c>
      <c r="K32" s="57" t="s">
        <v>63</v>
      </c>
      <c r="L32" s="58" t="s">
        <v>397</v>
      </c>
      <c r="M32" s="18" t="str">
        <f>IF(Fuel_Veh[[#This Row],[Month]]&lt;&gt;"",VLOOKUP(Fuel_Veh[[#This Row],[Month]], dropdown!$S$4:$T$15, 2, FALSE),"")</f>
        <v>Q3</v>
      </c>
      <c r="N32" s="29">
        <v>78.435000000000002</v>
      </c>
      <c r="O32" s="17" t="str">
        <f>IF($K32="","",VLOOKUP($K32,dropdown!$P$14:$Q$18,2,FALSE))</f>
        <v>Liters</v>
      </c>
      <c r="P32" s="29">
        <v>945</v>
      </c>
      <c r="Q32" s="17" t="str">
        <f t="shared" si="0"/>
        <v>Kilometers</v>
      </c>
      <c r="R32" s="199" t="s">
        <v>1462</v>
      </c>
    </row>
    <row r="33" spans="9:18" x14ac:dyDescent="0.2">
      <c r="I33" s="194">
        <f t="shared" si="1"/>
        <v>27</v>
      </c>
      <c r="J33" s="57" t="s">
        <v>343</v>
      </c>
      <c r="K33" s="57" t="s">
        <v>63</v>
      </c>
      <c r="L33" s="58" t="s">
        <v>397</v>
      </c>
      <c r="M33" s="18" t="str">
        <f>IF(Fuel_Veh[[#This Row],[Month]]&lt;&gt;"",VLOOKUP(Fuel_Veh[[#This Row],[Month]], dropdown!$S$4:$T$15, 2, FALSE),"")</f>
        <v>Q3</v>
      </c>
      <c r="N33" s="29">
        <v>12.824999999999999</v>
      </c>
      <c r="O33" s="17" t="str">
        <f>IF($K33="","",VLOOKUP($K33,dropdown!$P$14:$Q$18,2,FALSE))</f>
        <v>Liters</v>
      </c>
      <c r="P33" s="29">
        <v>24</v>
      </c>
      <c r="Q33" s="17" t="str">
        <f t="shared" si="0"/>
        <v>Kilometers</v>
      </c>
      <c r="R33" s="199" t="s">
        <v>1465</v>
      </c>
    </row>
    <row r="34" spans="9:18" x14ac:dyDescent="0.2">
      <c r="I34" s="194">
        <f t="shared" si="1"/>
        <v>28</v>
      </c>
      <c r="J34" s="57" t="s">
        <v>365</v>
      </c>
      <c r="K34" s="57" t="s">
        <v>63</v>
      </c>
      <c r="L34" s="58" t="s">
        <v>400</v>
      </c>
      <c r="M34" s="18" t="str">
        <f>IF(Fuel_Veh[[#This Row],[Month]]&lt;&gt;"",VLOOKUP(Fuel_Veh[[#This Row],[Month]], dropdown!$S$4:$T$15, 2, FALSE),"")</f>
        <v>Q4</v>
      </c>
      <c r="N34" s="29">
        <v>45.069000000000003</v>
      </c>
      <c r="O34" s="17" t="str">
        <f>IF($K34="","",VLOOKUP($K34,dropdown!$P$14:$Q$18,2,FALSE))</f>
        <v>Liters</v>
      </c>
      <c r="P34" s="29">
        <v>543</v>
      </c>
      <c r="Q34" s="17" t="str">
        <f t="shared" si="0"/>
        <v>Kilometers</v>
      </c>
      <c r="R34" s="199" t="s">
        <v>1461</v>
      </c>
    </row>
    <row r="35" spans="9:18" x14ac:dyDescent="0.2">
      <c r="I35" s="194">
        <f t="shared" si="1"/>
        <v>29</v>
      </c>
      <c r="J35" s="57" t="s">
        <v>381</v>
      </c>
      <c r="K35" s="57" t="s">
        <v>63</v>
      </c>
      <c r="L35" s="58" t="s">
        <v>400</v>
      </c>
      <c r="M35" s="18" t="str">
        <f>IF(Fuel_Veh[[#This Row],[Month]]&lt;&gt;"",VLOOKUP(Fuel_Veh[[#This Row],[Month]], dropdown!$S$4:$T$15, 2, FALSE),"")</f>
        <v>Q4</v>
      </c>
      <c r="N35" s="29">
        <v>24.817</v>
      </c>
      <c r="O35" s="17" t="str">
        <f>IF($K35="","",VLOOKUP($K35,dropdown!$P$14:$Q$18,2,FALSE))</f>
        <v>Liters</v>
      </c>
      <c r="P35" s="29">
        <v>299</v>
      </c>
      <c r="Q35" s="17" t="str">
        <f t="shared" si="0"/>
        <v>Kilometers</v>
      </c>
      <c r="R35" s="199" t="s">
        <v>1462</v>
      </c>
    </row>
    <row r="36" spans="9:18" x14ac:dyDescent="0.2">
      <c r="I36" s="194">
        <f t="shared" si="1"/>
        <v>30</v>
      </c>
      <c r="J36" s="57" t="s">
        <v>343</v>
      </c>
      <c r="K36" s="57" t="s">
        <v>63</v>
      </c>
      <c r="L36" s="58" t="s">
        <v>400</v>
      </c>
      <c r="M36" s="18" t="str">
        <f>IF(Fuel_Veh[[#This Row],[Month]]&lt;&gt;"",VLOOKUP(Fuel_Veh[[#This Row],[Month]], dropdown!$S$4:$T$15, 2, FALSE),"")</f>
        <v>Q4</v>
      </c>
      <c r="N36" s="29">
        <v>42.408999999999999</v>
      </c>
      <c r="O36" s="17" t="str">
        <f>IF($K36="","",VLOOKUP($K36,dropdown!$P$14:$Q$18,2,FALSE))</f>
        <v>Liters</v>
      </c>
      <c r="P36" s="29">
        <v>26.2</v>
      </c>
      <c r="Q36" s="17" t="str">
        <f t="shared" si="0"/>
        <v>Kilometers</v>
      </c>
      <c r="R36" s="199" t="s">
        <v>1465</v>
      </c>
    </row>
    <row r="37" spans="9:18" x14ac:dyDescent="0.2">
      <c r="I37" s="194">
        <f t="shared" si="1"/>
        <v>31</v>
      </c>
      <c r="J37" s="57" t="s">
        <v>365</v>
      </c>
      <c r="K37" s="57" t="s">
        <v>63</v>
      </c>
      <c r="L37" s="58" t="s">
        <v>404</v>
      </c>
      <c r="M37" s="18" t="str">
        <f>IF(Fuel_Veh[[#This Row],[Month]]&lt;&gt;"",VLOOKUP(Fuel_Veh[[#This Row],[Month]], dropdown!$S$4:$T$15, 2, FALSE),"")</f>
        <v>Q4</v>
      </c>
      <c r="N37" s="29">
        <v>50.63</v>
      </c>
      <c r="O37" s="17" t="str">
        <f>IF($K37="","",VLOOKUP($K37,dropdown!$P$14:$Q$18,2,FALSE))</f>
        <v>Liters</v>
      </c>
      <c r="P37" s="29">
        <v>610</v>
      </c>
      <c r="Q37" s="17" t="str">
        <f t="shared" si="0"/>
        <v>Kilometers</v>
      </c>
      <c r="R37" s="199" t="s">
        <v>1461</v>
      </c>
    </row>
    <row r="38" spans="9:18" x14ac:dyDescent="0.2">
      <c r="I38" s="194">
        <f t="shared" si="1"/>
        <v>32</v>
      </c>
      <c r="J38" s="57" t="s">
        <v>381</v>
      </c>
      <c r="K38" s="57" t="s">
        <v>63</v>
      </c>
      <c r="L38" s="58" t="s">
        <v>404</v>
      </c>
      <c r="M38" s="18" t="str">
        <f>IF(Fuel_Veh[[#This Row],[Month]]&lt;&gt;"",VLOOKUP(Fuel_Veh[[#This Row],[Month]], dropdown!$S$4:$T$15, 2, FALSE),"")</f>
        <v>Q4</v>
      </c>
      <c r="N38" s="29">
        <v>75.364000000000004</v>
      </c>
      <c r="O38" s="17" t="str">
        <f>IF($K38="","",VLOOKUP($K38,dropdown!$P$14:$Q$18,2,FALSE))</f>
        <v>Liters</v>
      </c>
      <c r="P38" s="29">
        <v>908</v>
      </c>
      <c r="Q38" s="17" t="str">
        <f t="shared" si="0"/>
        <v>Kilometers</v>
      </c>
      <c r="R38" s="199" t="s">
        <v>1462</v>
      </c>
    </row>
    <row r="39" spans="9:18" x14ac:dyDescent="0.2">
      <c r="I39" s="194">
        <f t="shared" si="1"/>
        <v>33</v>
      </c>
      <c r="J39" s="57" t="s">
        <v>343</v>
      </c>
      <c r="K39" s="57" t="s">
        <v>63</v>
      </c>
      <c r="L39" s="58" t="s">
        <v>404</v>
      </c>
      <c r="M39" s="18" t="str">
        <f>IF(Fuel_Veh[[#This Row],[Month]]&lt;&gt;"",VLOOKUP(Fuel_Veh[[#This Row],[Month]], dropdown!$S$4:$T$15, 2, FALSE),"")</f>
        <v>Q4</v>
      </c>
      <c r="N39" s="29">
        <v>31.962</v>
      </c>
      <c r="O39" s="17" t="str">
        <f>IF($K39="","",VLOOKUP($K39,dropdown!$P$14:$Q$18,2,FALSE))</f>
        <v>Liters</v>
      </c>
      <c r="P39" s="29">
        <v>24</v>
      </c>
      <c r="Q39" s="17" t="str">
        <f t="shared" si="0"/>
        <v>Kilometers</v>
      </c>
      <c r="R39" s="199" t="s">
        <v>1465</v>
      </c>
    </row>
    <row r="40" spans="9:18" x14ac:dyDescent="0.2">
      <c r="I40" s="194">
        <f t="shared" si="1"/>
        <v>34</v>
      </c>
      <c r="J40" s="57" t="s">
        <v>365</v>
      </c>
      <c r="K40" s="57" t="s">
        <v>63</v>
      </c>
      <c r="L40" s="58" t="s">
        <v>407</v>
      </c>
      <c r="M40" s="18" t="str">
        <f>IF(Fuel_Veh[[#This Row],[Month]]&lt;&gt;"",VLOOKUP(Fuel_Veh[[#This Row],[Month]], dropdown!$S$4:$T$15, 2, FALSE),"")</f>
        <v>Q4</v>
      </c>
      <c r="N40" s="29">
        <v>50.713000000000001</v>
      </c>
      <c r="O40" s="17" t="str">
        <f>IF($K40="","",VLOOKUP($K40,dropdown!$P$14:$Q$18,2,FALSE))</f>
        <v>Liters</v>
      </c>
      <c r="P40" s="29">
        <v>611</v>
      </c>
      <c r="Q40" s="17" t="str">
        <f t="shared" si="0"/>
        <v>Kilometers</v>
      </c>
      <c r="R40" s="199" t="s">
        <v>1461</v>
      </c>
    </row>
    <row r="41" spans="9:18" x14ac:dyDescent="0.2">
      <c r="I41" s="194">
        <f t="shared" si="1"/>
        <v>35</v>
      </c>
      <c r="J41" s="57" t="s">
        <v>381</v>
      </c>
      <c r="K41" s="57" t="s">
        <v>63</v>
      </c>
      <c r="L41" s="58" t="s">
        <v>407</v>
      </c>
      <c r="M41" s="18" t="str">
        <f>IF(Fuel_Veh[[#This Row],[Month]]&lt;&gt;"",VLOOKUP(Fuel_Veh[[#This Row],[Month]], dropdown!$S$4:$T$15, 2, FALSE),"")</f>
        <v>Q4</v>
      </c>
      <c r="N41" s="29">
        <v>6.7229999999999999</v>
      </c>
      <c r="O41" s="17" t="str">
        <f>IF($K41="","",VLOOKUP($K41,dropdown!$P$14:$Q$18,2,FALSE))</f>
        <v>Liters</v>
      </c>
      <c r="P41" s="29">
        <v>81</v>
      </c>
      <c r="Q41" s="17" t="str">
        <f t="shared" si="0"/>
        <v>Kilometers</v>
      </c>
      <c r="R41" s="199" t="s">
        <v>1462</v>
      </c>
    </row>
    <row r="42" spans="9:18" x14ac:dyDescent="0.2">
      <c r="I42" s="194">
        <f t="shared" si="1"/>
        <v>36</v>
      </c>
      <c r="J42" s="57" t="s">
        <v>343</v>
      </c>
      <c r="K42" s="57" t="s">
        <v>63</v>
      </c>
      <c r="L42" s="58" t="s">
        <v>407</v>
      </c>
      <c r="M42" s="18" t="str">
        <f>IF(Fuel_Veh[[#This Row],[Month]]&lt;&gt;"",VLOOKUP(Fuel_Veh[[#This Row],[Month]], dropdown!$S$4:$T$15, 2, FALSE),"")</f>
        <v>Q4</v>
      </c>
      <c r="N42" s="29">
        <v>11.526999999999999</v>
      </c>
      <c r="O42" s="17" t="str">
        <f>IF($K42="","",VLOOKUP($K42,dropdown!$P$14:$Q$18,2,FALSE))</f>
        <v>Liters</v>
      </c>
      <c r="P42" s="29">
        <v>9.1</v>
      </c>
      <c r="Q42" s="17" t="str">
        <f t="shared" si="0"/>
        <v>Kilometers</v>
      </c>
      <c r="R42" s="199" t="s">
        <v>1465</v>
      </c>
    </row>
    <row r="43" spans="9:18" x14ac:dyDescent="0.2">
      <c r="I43" s="194" t="str">
        <f t="shared" si="1"/>
        <v/>
      </c>
      <c r="J43" s="57"/>
      <c r="K43" s="57"/>
      <c r="L43" s="58"/>
      <c r="M43" s="18" t="str">
        <f>IF(Fuel_Veh[[#This Row],[Month]]&lt;&gt;"",VLOOKUP(Fuel_Veh[[#This Row],[Month]], dropdown!$S$4:$T$15, 2, FALSE),"")</f>
        <v/>
      </c>
      <c r="N43" s="29"/>
      <c r="O43" s="17" t="str">
        <f>IF($K43="","",VLOOKUP($K43,dropdown!$P$14:$Q$18,2,FALSE))</f>
        <v/>
      </c>
      <c r="P43" s="29"/>
      <c r="Q43" s="17" t="str">
        <f t="shared" si="0"/>
        <v/>
      </c>
      <c r="R43" s="199"/>
    </row>
    <row r="44" spans="9:18" x14ac:dyDescent="0.2">
      <c r="I44" s="194" t="str">
        <f t="shared" si="1"/>
        <v/>
      </c>
      <c r="J44" s="57"/>
      <c r="K44" s="57"/>
      <c r="L44" s="58"/>
      <c r="M44" s="18" t="str">
        <f>IF(Fuel_Veh[[#This Row],[Month]]&lt;&gt;"",VLOOKUP(Fuel_Veh[[#This Row],[Month]], dropdown!$S$4:$T$15, 2, FALSE),"")</f>
        <v/>
      </c>
      <c r="N44" s="29"/>
      <c r="O44" s="17" t="str">
        <f>IF($K44="","",VLOOKUP($K44,dropdown!$P$14:$Q$18,2,FALSE))</f>
        <v/>
      </c>
      <c r="P44" s="29"/>
      <c r="Q44" s="17" t="str">
        <f t="shared" si="0"/>
        <v/>
      </c>
      <c r="R44" s="199"/>
    </row>
    <row r="45" spans="9:18" x14ac:dyDescent="0.2">
      <c r="I45" s="194" t="str">
        <f t="shared" si="1"/>
        <v/>
      </c>
      <c r="J45" s="57"/>
      <c r="K45" s="57"/>
      <c r="L45" s="58"/>
      <c r="M45" s="18" t="str">
        <f>IF(Fuel_Veh[[#This Row],[Month]]&lt;&gt;"",VLOOKUP(Fuel_Veh[[#This Row],[Month]], dropdown!$S$4:$T$15, 2, FALSE),"")</f>
        <v/>
      </c>
      <c r="N45" s="29"/>
      <c r="O45" s="17" t="str">
        <f>IF($K45="","",VLOOKUP($K45,dropdown!$P$14:$Q$18,2,FALSE))</f>
        <v/>
      </c>
      <c r="P45" s="29"/>
      <c r="Q45" s="17" t="str">
        <f t="shared" si="0"/>
        <v/>
      </c>
      <c r="R45" s="199"/>
    </row>
    <row r="46" spans="9:18" x14ac:dyDescent="0.2">
      <c r="I46" s="194" t="str">
        <f t="shared" si="1"/>
        <v/>
      </c>
      <c r="J46" s="57"/>
      <c r="K46" s="57"/>
      <c r="L46" s="58"/>
      <c r="M46" s="18" t="str">
        <f>IF(Fuel_Veh[[#This Row],[Month]]&lt;&gt;"",VLOOKUP(Fuel_Veh[[#This Row],[Month]], dropdown!$S$4:$T$15, 2, FALSE),"")</f>
        <v/>
      </c>
      <c r="N46" s="29"/>
      <c r="O46" s="17" t="str">
        <f>IF($K46="","",VLOOKUP($K46,dropdown!$P$14:$Q$18,2,FALSE))</f>
        <v/>
      </c>
      <c r="P46" s="29"/>
      <c r="Q46" s="17" t="str">
        <f t="shared" si="0"/>
        <v/>
      </c>
      <c r="R46" s="199"/>
    </row>
    <row r="47" spans="9:18" x14ac:dyDescent="0.2">
      <c r="I47" s="194" t="str">
        <f t="shared" si="1"/>
        <v/>
      </c>
      <c r="J47" s="57"/>
      <c r="K47" s="57"/>
      <c r="L47" s="58"/>
      <c r="M47" s="18" t="str">
        <f>IF(Fuel_Veh[[#This Row],[Month]]&lt;&gt;"",VLOOKUP(Fuel_Veh[[#This Row],[Month]], dropdown!$S$4:$T$15, 2, FALSE),"")</f>
        <v/>
      </c>
      <c r="N47" s="29"/>
      <c r="O47" s="17" t="str">
        <f>IF($K47="","",VLOOKUP($K47,dropdown!$P$14:$Q$18,2,FALSE))</f>
        <v/>
      </c>
      <c r="P47" s="29"/>
      <c r="Q47" s="17" t="str">
        <f t="shared" si="0"/>
        <v/>
      </c>
      <c r="R47" s="199"/>
    </row>
    <row r="48" spans="9:18" x14ac:dyDescent="0.2">
      <c r="I48" s="194" t="str">
        <f t="shared" si="1"/>
        <v/>
      </c>
      <c r="J48" s="57"/>
      <c r="K48" s="57"/>
      <c r="L48" s="58"/>
      <c r="M48" s="18" t="str">
        <f>IF(Fuel_Veh[[#This Row],[Month]]&lt;&gt;"",VLOOKUP(Fuel_Veh[[#This Row],[Month]], dropdown!$S$4:$T$15, 2, FALSE),"")</f>
        <v/>
      </c>
      <c r="N48" s="29"/>
      <c r="O48" s="17" t="str">
        <f>IF($K48="","",VLOOKUP($K48,dropdown!$P$14:$Q$18,2,FALSE))</f>
        <v/>
      </c>
      <c r="P48" s="29"/>
      <c r="Q48" s="17" t="str">
        <f t="shared" si="0"/>
        <v/>
      </c>
      <c r="R48" s="199"/>
    </row>
    <row r="49" spans="9:18" x14ac:dyDescent="0.2">
      <c r="I49" s="194" t="str">
        <f t="shared" si="1"/>
        <v/>
      </c>
      <c r="J49" s="57"/>
      <c r="K49" s="57"/>
      <c r="L49" s="58"/>
      <c r="M49" s="18" t="str">
        <f>IF(Fuel_Veh[[#This Row],[Month]]&lt;&gt;"",VLOOKUP(Fuel_Veh[[#This Row],[Month]], dropdown!$S$4:$T$15, 2, FALSE),"")</f>
        <v/>
      </c>
      <c r="N49" s="29"/>
      <c r="O49" s="17" t="str">
        <f>IF($K49="","",VLOOKUP($K49,dropdown!$P$14:$Q$18,2,FALSE))</f>
        <v/>
      </c>
      <c r="P49" s="29"/>
      <c r="Q49" s="17" t="str">
        <f t="shared" si="0"/>
        <v/>
      </c>
      <c r="R49" s="199"/>
    </row>
    <row r="50" spans="9:18" x14ac:dyDescent="0.2">
      <c r="I50" s="194" t="str">
        <f t="shared" si="1"/>
        <v/>
      </c>
      <c r="J50" s="57"/>
      <c r="K50" s="57"/>
      <c r="L50" s="58"/>
      <c r="M50" s="18" t="str">
        <f>IF(Fuel_Veh[[#This Row],[Month]]&lt;&gt;"",VLOOKUP(Fuel_Veh[[#This Row],[Month]], dropdown!$S$4:$T$15, 2, FALSE),"")</f>
        <v/>
      </c>
      <c r="N50" s="29"/>
      <c r="O50" s="17" t="str">
        <f>IF($K50="","",VLOOKUP($K50,dropdown!$P$14:$Q$18,2,FALSE))</f>
        <v/>
      </c>
      <c r="P50" s="29"/>
      <c r="Q50" s="17" t="str">
        <f t="shared" si="0"/>
        <v/>
      </c>
      <c r="R50" s="199"/>
    </row>
    <row r="51" spans="9:18" x14ac:dyDescent="0.2">
      <c r="I51" s="194" t="str">
        <f t="shared" si="1"/>
        <v/>
      </c>
      <c r="J51" s="57"/>
      <c r="K51" s="57"/>
      <c r="L51" s="58"/>
      <c r="M51" s="18" t="str">
        <f>IF(Fuel_Veh[[#This Row],[Month]]&lt;&gt;"",VLOOKUP(Fuel_Veh[[#This Row],[Month]], dropdown!$S$4:$T$15, 2, FALSE),"")</f>
        <v/>
      </c>
      <c r="N51" s="29"/>
      <c r="O51" s="17" t="str">
        <f>IF($K51="","",VLOOKUP($K51,dropdown!$P$14:$Q$18,2,FALSE))</f>
        <v/>
      </c>
      <c r="P51" s="29"/>
      <c r="Q51" s="17" t="str">
        <f t="shared" si="0"/>
        <v/>
      </c>
      <c r="R51" s="199"/>
    </row>
    <row r="52" spans="9:18" x14ac:dyDescent="0.2">
      <c r="I52" s="194" t="str">
        <f t="shared" si="1"/>
        <v/>
      </c>
      <c r="J52" s="57"/>
      <c r="K52" s="57"/>
      <c r="L52" s="58"/>
      <c r="M52" s="18" t="str">
        <f>IF(Fuel_Veh[[#This Row],[Month]]&lt;&gt;"",VLOOKUP(Fuel_Veh[[#This Row],[Month]], dropdown!$S$4:$T$15, 2, FALSE),"")</f>
        <v/>
      </c>
      <c r="N52" s="29"/>
      <c r="O52" s="17" t="str">
        <f>IF($K52="","",VLOOKUP($K52,dropdown!$P$14:$Q$18,2,FALSE))</f>
        <v/>
      </c>
      <c r="P52" s="29"/>
      <c r="Q52" s="17" t="str">
        <f t="shared" si="0"/>
        <v/>
      </c>
      <c r="R52" s="199"/>
    </row>
    <row r="53" spans="9:18" x14ac:dyDescent="0.2">
      <c r="I53" s="194" t="str">
        <f t="shared" si="1"/>
        <v/>
      </c>
      <c r="J53" s="57"/>
      <c r="K53" s="57"/>
      <c r="L53" s="58"/>
      <c r="M53" s="18" t="str">
        <f>IF(Fuel_Veh[[#This Row],[Month]]&lt;&gt;"",VLOOKUP(Fuel_Veh[[#This Row],[Month]], dropdown!$S$4:$T$15, 2, FALSE),"")</f>
        <v/>
      </c>
      <c r="N53" s="29"/>
      <c r="O53" s="17" t="str">
        <f>IF($K53="","",VLOOKUP($K53,dropdown!$P$14:$Q$18,2,FALSE))</f>
        <v/>
      </c>
      <c r="P53" s="29"/>
      <c r="Q53" s="17" t="str">
        <f t="shared" si="0"/>
        <v/>
      </c>
      <c r="R53" s="199"/>
    </row>
    <row r="54" spans="9:18" x14ac:dyDescent="0.2">
      <c r="I54" s="194" t="str">
        <f t="shared" si="1"/>
        <v/>
      </c>
      <c r="J54" s="57"/>
      <c r="K54" s="57"/>
      <c r="L54" s="58"/>
      <c r="M54" s="18" t="str">
        <f>IF(Fuel_Veh[[#This Row],[Month]]&lt;&gt;"",VLOOKUP(Fuel_Veh[[#This Row],[Month]], dropdown!$S$4:$T$15, 2, FALSE),"")</f>
        <v/>
      </c>
      <c r="N54" s="29"/>
      <c r="O54" s="17" t="str">
        <f>IF($K54="","",VLOOKUP($K54,dropdown!$P$14:$Q$18,2,FALSE))</f>
        <v/>
      </c>
      <c r="P54" s="29"/>
      <c r="Q54" s="17" t="str">
        <f t="shared" si="0"/>
        <v/>
      </c>
      <c r="R54" s="199"/>
    </row>
    <row r="55" spans="9:18" x14ac:dyDescent="0.2">
      <c r="I55" s="194" t="str">
        <f t="shared" si="1"/>
        <v/>
      </c>
      <c r="J55" s="57"/>
      <c r="K55" s="57"/>
      <c r="L55" s="58"/>
      <c r="M55" s="18" t="str">
        <f>IF(Fuel_Veh[[#This Row],[Month]]&lt;&gt;"",VLOOKUP(Fuel_Veh[[#This Row],[Month]], dropdown!$S$4:$T$15, 2, FALSE),"")</f>
        <v/>
      </c>
      <c r="N55" s="29"/>
      <c r="O55" s="17" t="str">
        <f>IF($K55="","",VLOOKUP($K55,dropdown!$P$14:$Q$18,2,FALSE))</f>
        <v/>
      </c>
      <c r="P55" s="29"/>
      <c r="Q55" s="17" t="str">
        <f t="shared" si="0"/>
        <v/>
      </c>
      <c r="R55" s="199"/>
    </row>
    <row r="56" spans="9:18" x14ac:dyDescent="0.2">
      <c r="I56" s="194" t="str">
        <f t="shared" si="1"/>
        <v/>
      </c>
      <c r="J56" s="57"/>
      <c r="K56" s="57"/>
      <c r="L56" s="58"/>
      <c r="M56" s="18" t="str">
        <f>IF(Fuel_Veh[[#This Row],[Month]]&lt;&gt;"",VLOOKUP(Fuel_Veh[[#This Row],[Month]], dropdown!$S$4:$T$15, 2, FALSE),"")</f>
        <v/>
      </c>
      <c r="N56" s="29"/>
      <c r="O56" s="17" t="str">
        <f>IF($K56="","",VLOOKUP($K56,dropdown!$P$14:$Q$18,2,FALSE))</f>
        <v/>
      </c>
      <c r="P56" s="29"/>
      <c r="Q56" s="17" t="str">
        <f t="shared" si="0"/>
        <v/>
      </c>
      <c r="R56" s="199"/>
    </row>
    <row r="57" spans="9:18" x14ac:dyDescent="0.2">
      <c r="I57" s="194" t="str">
        <f t="shared" si="1"/>
        <v/>
      </c>
      <c r="J57" s="57"/>
      <c r="K57" s="57"/>
      <c r="L57" s="58"/>
      <c r="M57" s="18" t="str">
        <f>IF(Fuel_Veh[[#This Row],[Month]]&lt;&gt;"",VLOOKUP(Fuel_Veh[[#This Row],[Month]], dropdown!$S$4:$T$15, 2, FALSE),"")</f>
        <v/>
      </c>
      <c r="N57" s="29"/>
      <c r="O57" s="17" t="str">
        <f>IF($K57="","",VLOOKUP($K57,dropdown!$P$14:$Q$18,2,FALSE))</f>
        <v/>
      </c>
      <c r="P57" s="29"/>
      <c r="Q57" s="17" t="str">
        <f t="shared" si="0"/>
        <v/>
      </c>
      <c r="R57" s="199"/>
    </row>
    <row r="58" spans="9:18" x14ac:dyDescent="0.2">
      <c r="I58" s="194" t="str">
        <f t="shared" si="1"/>
        <v/>
      </c>
      <c r="J58" s="57"/>
      <c r="K58" s="57"/>
      <c r="L58" s="58"/>
      <c r="M58" s="18" t="str">
        <f>IF(Fuel_Veh[[#This Row],[Month]]&lt;&gt;"",VLOOKUP(Fuel_Veh[[#This Row],[Month]], dropdown!$S$4:$T$15, 2, FALSE),"")</f>
        <v/>
      </c>
      <c r="N58" s="29"/>
      <c r="O58" s="17" t="str">
        <f>IF($K58="","",VLOOKUP($K58,dropdown!$P$14:$Q$18,2,FALSE))</f>
        <v/>
      </c>
      <c r="P58" s="29"/>
      <c r="Q58" s="17" t="str">
        <f t="shared" si="0"/>
        <v/>
      </c>
      <c r="R58" s="199"/>
    </row>
    <row r="59" spans="9:18" x14ac:dyDescent="0.2">
      <c r="I59" s="194" t="str">
        <f t="shared" si="1"/>
        <v/>
      </c>
      <c r="J59" s="57"/>
      <c r="K59" s="57"/>
      <c r="L59" s="58"/>
      <c r="M59" s="18" t="str">
        <f>IF(Fuel_Veh[[#This Row],[Month]]&lt;&gt;"",VLOOKUP(Fuel_Veh[[#This Row],[Month]], dropdown!$S$4:$T$15, 2, FALSE),"")</f>
        <v/>
      </c>
      <c r="N59" s="29"/>
      <c r="O59" s="17" t="str">
        <f>IF($K59="","",VLOOKUP($K59,dropdown!$P$14:$Q$18,2,FALSE))</f>
        <v/>
      </c>
      <c r="P59" s="29"/>
      <c r="Q59" s="17" t="str">
        <f t="shared" si="0"/>
        <v/>
      </c>
      <c r="R59" s="199"/>
    </row>
    <row r="60" spans="9:18" x14ac:dyDescent="0.2">
      <c r="I60" s="194" t="str">
        <f t="shared" si="1"/>
        <v/>
      </c>
      <c r="J60" s="57"/>
      <c r="K60" s="57"/>
      <c r="L60" s="58"/>
      <c r="M60" s="18" t="str">
        <f>IF(Fuel_Veh[[#This Row],[Month]]&lt;&gt;"",VLOOKUP(Fuel_Veh[[#This Row],[Month]], dropdown!$S$4:$T$15, 2, FALSE),"")</f>
        <v/>
      </c>
      <c r="N60" s="29"/>
      <c r="O60" s="17" t="str">
        <f>IF($K60="","",VLOOKUP($K60,dropdown!$P$14:$Q$18,2,FALSE))</f>
        <v/>
      </c>
      <c r="P60" s="29"/>
      <c r="Q60" s="17" t="str">
        <f t="shared" si="0"/>
        <v/>
      </c>
      <c r="R60" s="199"/>
    </row>
    <row r="61" spans="9:18" x14ac:dyDescent="0.2">
      <c r="I61" s="194" t="str">
        <f t="shared" si="1"/>
        <v/>
      </c>
      <c r="J61" s="57"/>
      <c r="K61" s="57"/>
      <c r="L61" s="58"/>
      <c r="M61" s="18" t="str">
        <f>IF(Fuel_Veh[[#This Row],[Month]]&lt;&gt;"",VLOOKUP(Fuel_Veh[[#This Row],[Month]], dropdown!$S$4:$T$15, 2, FALSE),"")</f>
        <v/>
      </c>
      <c r="N61" s="29"/>
      <c r="O61" s="17" t="str">
        <f>IF($K61="","",VLOOKUP($K61,dropdown!$P$14:$Q$18,2,FALSE))</f>
        <v/>
      </c>
      <c r="P61" s="29"/>
      <c r="Q61" s="17" t="str">
        <f t="shared" si="0"/>
        <v/>
      </c>
      <c r="R61" s="199"/>
    </row>
    <row r="62" spans="9:18" x14ac:dyDescent="0.2">
      <c r="I62" s="194" t="str">
        <f t="shared" si="1"/>
        <v/>
      </c>
      <c r="J62" s="57"/>
      <c r="K62" s="57"/>
      <c r="L62" s="58"/>
      <c r="M62" s="18" t="str">
        <f>IF(Fuel_Veh[[#This Row],[Month]]&lt;&gt;"",VLOOKUP(Fuel_Veh[[#This Row],[Month]], dropdown!$S$4:$T$15, 2, FALSE),"")</f>
        <v/>
      </c>
      <c r="N62" s="29"/>
      <c r="O62" s="17" t="str">
        <f>IF($K62="","",VLOOKUP($K62,dropdown!$P$14:$Q$18,2,FALSE))</f>
        <v/>
      </c>
      <c r="P62" s="29"/>
      <c r="Q62" s="17" t="str">
        <f t="shared" si="0"/>
        <v/>
      </c>
      <c r="R62" s="199"/>
    </row>
    <row r="63" spans="9:18" x14ac:dyDescent="0.2">
      <c r="I63" s="194" t="str">
        <f t="shared" si="1"/>
        <v/>
      </c>
      <c r="J63" s="57"/>
      <c r="K63" s="57"/>
      <c r="L63" s="58"/>
      <c r="M63" s="18" t="str">
        <f>IF(Fuel_Veh[[#This Row],[Month]]&lt;&gt;"",VLOOKUP(Fuel_Veh[[#This Row],[Month]], dropdown!$S$4:$T$15, 2, FALSE),"")</f>
        <v/>
      </c>
      <c r="N63" s="29"/>
      <c r="O63" s="17" t="str">
        <f>IF($K63="","",VLOOKUP($K63,dropdown!$P$14:$Q$18,2,FALSE))</f>
        <v/>
      </c>
      <c r="P63" s="29"/>
      <c r="Q63" s="17" t="str">
        <f t="shared" si="0"/>
        <v/>
      </c>
      <c r="R63" s="199"/>
    </row>
    <row r="64" spans="9:18" x14ac:dyDescent="0.2">
      <c r="I64" s="194" t="str">
        <f t="shared" si="1"/>
        <v/>
      </c>
      <c r="J64" s="57"/>
      <c r="K64" s="57"/>
      <c r="L64" s="58"/>
      <c r="M64" s="18" t="str">
        <f>IF(Fuel_Veh[[#This Row],[Month]]&lt;&gt;"",VLOOKUP(Fuel_Veh[[#This Row],[Month]], dropdown!$S$4:$T$15, 2, FALSE),"")</f>
        <v/>
      </c>
      <c r="N64" s="29"/>
      <c r="O64" s="17" t="str">
        <f>IF($K64="","",VLOOKUP($K64,dropdown!$P$14:$Q$18,2,FALSE))</f>
        <v/>
      </c>
      <c r="P64" s="29"/>
      <c r="Q64" s="17" t="str">
        <f t="shared" si="0"/>
        <v/>
      </c>
      <c r="R64" s="199"/>
    </row>
    <row r="65" spans="9:18" x14ac:dyDescent="0.2">
      <c r="I65" s="194" t="str">
        <f t="shared" si="1"/>
        <v/>
      </c>
      <c r="J65" s="57"/>
      <c r="K65" s="57"/>
      <c r="L65" s="58"/>
      <c r="M65" s="18" t="str">
        <f>IF(Fuel_Veh[[#This Row],[Month]]&lt;&gt;"",VLOOKUP(Fuel_Veh[[#This Row],[Month]], dropdown!$S$4:$T$15, 2, FALSE),"")</f>
        <v/>
      </c>
      <c r="N65" s="29"/>
      <c r="O65" s="17" t="str">
        <f>IF($K65="","",VLOOKUP($K65,dropdown!$P$14:$Q$18,2,FALSE))</f>
        <v/>
      </c>
      <c r="P65" s="29"/>
      <c r="Q65" s="17" t="str">
        <f t="shared" si="0"/>
        <v/>
      </c>
      <c r="R65" s="199"/>
    </row>
    <row r="66" spans="9:18" x14ac:dyDescent="0.2">
      <c r="I66" s="194" t="str">
        <f t="shared" si="1"/>
        <v/>
      </c>
      <c r="J66" s="57"/>
      <c r="K66" s="57"/>
      <c r="L66" s="58"/>
      <c r="M66" s="18" t="str">
        <f>IF(Fuel_Veh[[#This Row],[Month]]&lt;&gt;"",VLOOKUP(Fuel_Veh[[#This Row],[Month]], dropdown!$S$4:$T$15, 2, FALSE),"")</f>
        <v/>
      </c>
      <c r="N66" s="29"/>
      <c r="O66" s="17" t="str">
        <f>IF($K66="","",VLOOKUP($K66,dropdown!$P$14:$Q$18,2,FALSE))</f>
        <v/>
      </c>
      <c r="P66" s="29"/>
      <c r="Q66" s="17" t="str">
        <f t="shared" si="0"/>
        <v/>
      </c>
      <c r="R66" s="199"/>
    </row>
    <row r="67" spans="9:18" x14ac:dyDescent="0.2">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2">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2"/>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2"/>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2"/>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2"/>
        <v/>
      </c>
      <c r="R75" s="199"/>
    </row>
    <row r="76" spans="9:18" x14ac:dyDescent="0.2">
      <c r="I76" s="194" t="str">
        <f t="shared" ref="I76:I77" si="3">IF($J76="","",$I75+1)</f>
        <v/>
      </c>
      <c r="J76" s="57"/>
      <c r="K76" s="57"/>
      <c r="L76" s="58"/>
      <c r="M76" s="18" t="str">
        <f>IF(Fuel_Veh[[#This Row],[Month]]&lt;&gt;"",VLOOKUP(Fuel_Veh[[#This Row],[Month]], dropdown!$S$4:$T$15, 2, FALSE),"")</f>
        <v/>
      </c>
      <c r="N76" s="29"/>
      <c r="O76" s="17" t="str">
        <f>IF($K76="","",VLOOKUP($K76,dropdown!$P$14:$Q$18,2,FALSE))</f>
        <v/>
      </c>
      <c r="P76" s="29"/>
      <c r="Q76" s="17" t="str">
        <f t="shared" si="2"/>
        <v/>
      </c>
      <c r="R76" s="199"/>
    </row>
    <row r="77" spans="9:18" x14ac:dyDescent="0.2">
      <c r="I77" s="194" t="str">
        <f t="shared" si="3"/>
        <v/>
      </c>
      <c r="J77" s="57"/>
      <c r="K77" s="57"/>
      <c r="L77" s="58"/>
      <c r="M77" s="18" t="str">
        <f>IF(Fuel_Veh[[#This Row],[Month]]&lt;&gt;"",VLOOKUP(Fuel_Veh[[#This Row],[Month]], dropdown!$S$4:$T$15, 2, FALSE),"")</f>
        <v/>
      </c>
      <c r="N77" s="29"/>
      <c r="O77" s="17" t="str">
        <f>IF($K77="","",VLOOKUP($K77,dropdown!$P$14:$Q$18,2,FALSE))</f>
        <v/>
      </c>
      <c r="P77" s="29"/>
      <c r="Q77" s="17" t="str">
        <f t="shared" si="2"/>
        <v/>
      </c>
      <c r="R77" s="199"/>
    </row>
    <row r="78" spans="9:18" x14ac:dyDescent="0.2">
      <c r="I78" s="194" t="str">
        <f t="shared" ref="I78:I85" si="4">IF($J78="","",$I77+1)</f>
        <v/>
      </c>
      <c r="J78" s="57"/>
      <c r="K78" s="57"/>
      <c r="L78" s="58"/>
      <c r="M78" s="18" t="str">
        <f>IF(Fuel_Veh[[#This Row],[Month]]&lt;&gt;"",VLOOKUP(Fuel_Veh[[#This Row],[Month]], dropdown!$S$4:$T$15, 2, FALSE),"")</f>
        <v/>
      </c>
      <c r="N78" s="29"/>
      <c r="O78" s="17" t="str">
        <f>IF($K78="","",VLOOKUP($K78,dropdown!$P$14:$Q$18,2,FALSE))</f>
        <v/>
      </c>
      <c r="P78" s="29"/>
      <c r="Q78" s="17" t="str">
        <f t="shared" si="2"/>
        <v/>
      </c>
      <c r="R78" s="199"/>
    </row>
    <row r="79" spans="9:18" x14ac:dyDescent="0.2">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x14ac:dyDescent="0.2">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x14ac:dyDescent="0.2">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x14ac:dyDescent="0.2">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x14ac:dyDescent="0.2">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x14ac:dyDescent="0.2">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x14ac:dyDescent="0.2">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x14ac:dyDescent="0.2">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x14ac:dyDescent="0.2">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x14ac:dyDescent="0.2">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x14ac:dyDescent="0.2">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x14ac:dyDescent="0.2">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x14ac:dyDescent="0.2">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x14ac:dyDescent="0.2">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x14ac:dyDescent="0.2">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x14ac:dyDescent="0.2">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x14ac:dyDescent="0.2">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x14ac:dyDescent="0.2">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x14ac:dyDescent="0.2">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x14ac:dyDescent="0.2">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x14ac:dyDescent="0.2">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x14ac:dyDescent="0.2">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x14ac:dyDescent="0.2">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x14ac:dyDescent="0.2">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x14ac:dyDescent="0.2">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x14ac:dyDescent="0.2">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x14ac:dyDescent="0.2">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x14ac:dyDescent="0.2">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x14ac:dyDescent="0.2">
      <c r="I108" s="322" t="s">
        <v>178</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conditionalFormatting sqref="K7:Q106">
    <cfRule type="expression" dxfId="6"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zoomScale="94" zoomScaleNormal="120" workbookViewId="0">
      <selection activeCell="O20" sqref="O20"/>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29</v>
      </c>
      <c r="C2" s="31"/>
      <c r="D2" s="31"/>
      <c r="E2" s="31"/>
      <c r="F2" s="31"/>
      <c r="G2" s="32"/>
      <c r="I2" s="123" t="s">
        <v>181</v>
      </c>
      <c r="J2" s="62"/>
      <c r="K2" s="62"/>
      <c r="L2" s="62"/>
      <c r="M2" s="62"/>
      <c r="N2" s="62"/>
      <c r="O2" s="124"/>
      <c r="P2" s="61"/>
      <c r="Q2" s="61"/>
      <c r="R2" s="61"/>
      <c r="S2" s="61"/>
      <c r="T2" s="61"/>
      <c r="U2" s="61"/>
      <c r="V2" s="403"/>
    </row>
    <row r="3" spans="2:31" ht="13.5" customHeight="1" x14ac:dyDescent="0.2">
      <c r="B3" s="33" t="s">
        <v>8</v>
      </c>
      <c r="C3" s="34"/>
      <c r="D3" s="35" t="s">
        <v>168</v>
      </c>
      <c r="E3" s="34"/>
      <c r="F3" s="34" t="s">
        <v>169</v>
      </c>
      <c r="G3" s="36"/>
      <c r="I3" s="353"/>
      <c r="J3" s="339"/>
      <c r="K3" s="339"/>
      <c r="L3" s="339"/>
      <c r="M3" s="339"/>
      <c r="N3" s="339"/>
      <c r="O3" s="342"/>
      <c r="P3" s="343"/>
      <c r="Q3" s="340"/>
      <c r="R3" s="299"/>
      <c r="S3" s="339"/>
      <c r="T3" s="300"/>
      <c r="U3" s="300"/>
      <c r="V3" s="404"/>
    </row>
    <row r="4" spans="2:31" x14ac:dyDescent="0.2">
      <c r="B4" s="161" t="str">
        <f>'1. Data Info and Summary'!$D$2</f>
        <v>Dumaguete Branch</v>
      </c>
      <c r="C4" s="37"/>
      <c r="D4" s="38">
        <f>IF('1. Data Info and Summary'!$D$3=0,"-",'1. Data Info and Summary'!$D$3)</f>
        <v>2024</v>
      </c>
      <c r="E4" s="37"/>
      <c r="F4" s="37" t="s">
        <v>182</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172</v>
      </c>
      <c r="C6" s="447" t="s">
        <v>1536</v>
      </c>
      <c r="D6" s="448"/>
      <c r="E6" s="448"/>
      <c r="F6" s="448"/>
      <c r="G6" s="449"/>
      <c r="I6" s="298"/>
      <c r="J6" s="298"/>
      <c r="K6" s="298"/>
      <c r="L6" s="298"/>
      <c r="M6" s="298"/>
      <c r="N6" s="298"/>
      <c r="O6" s="298"/>
      <c r="P6" s="298"/>
      <c r="Q6" s="298"/>
      <c r="R6" s="298"/>
      <c r="S6" s="298"/>
      <c r="T6" s="298"/>
      <c r="U6" s="298"/>
      <c r="V6" s="298"/>
    </row>
    <row r="7" spans="2:31" ht="15" customHeight="1" x14ac:dyDescent="0.2">
      <c r="B7" s="278" t="s">
        <v>174</v>
      </c>
      <c r="C7" s="459">
        <v>45909</v>
      </c>
      <c r="D7" s="448"/>
      <c r="E7" s="448"/>
      <c r="F7" s="448"/>
      <c r="G7" s="449"/>
      <c r="I7" s="418" t="s">
        <v>154</v>
      </c>
      <c r="J7" s="417"/>
      <c r="K7" s="415"/>
      <c r="L7" s="415"/>
      <c r="M7" s="415"/>
      <c r="N7" s="415"/>
      <c r="O7" s="451" t="s">
        <v>183</v>
      </c>
      <c r="P7" s="451"/>
      <c r="Q7" s="452" t="s">
        <v>184</v>
      </c>
      <c r="R7" s="453"/>
      <c r="S7" s="454" t="s">
        <v>86</v>
      </c>
      <c r="T7" s="455"/>
      <c r="U7" s="455"/>
      <c r="V7" s="416"/>
      <c r="W7" s="415"/>
      <c r="X7" s="56"/>
      <c r="AB7" s="11"/>
      <c r="AE7" s="11"/>
    </row>
    <row r="8" spans="2:31" ht="25.5" customHeight="1" x14ac:dyDescent="0.2">
      <c r="I8" s="420" t="s">
        <v>173</v>
      </c>
      <c r="J8" s="420" t="s">
        <v>72</v>
      </c>
      <c r="K8" s="421" t="s">
        <v>75</v>
      </c>
      <c r="L8" s="421" t="s">
        <v>78</v>
      </c>
      <c r="M8" s="421" t="s">
        <v>81</v>
      </c>
      <c r="N8" s="421" t="s">
        <v>84</v>
      </c>
      <c r="O8" s="422" t="s">
        <v>185</v>
      </c>
      <c r="P8" s="402" t="s">
        <v>90</v>
      </c>
      <c r="Q8" s="394" t="s">
        <v>92</v>
      </c>
      <c r="R8" s="394" t="s">
        <v>186</v>
      </c>
      <c r="S8" s="394" t="s">
        <v>96</v>
      </c>
      <c r="T8" s="395" t="s">
        <v>187</v>
      </c>
      <c r="U8" s="400" t="s">
        <v>100</v>
      </c>
      <c r="V8" s="416" t="s">
        <v>43</v>
      </c>
      <c r="W8" s="415" t="s">
        <v>54</v>
      </c>
      <c r="X8" s="56"/>
      <c r="AB8" s="11"/>
      <c r="AE8" s="11"/>
    </row>
    <row r="9" spans="2:31" ht="14" x14ac:dyDescent="0.2">
      <c r="B9" s="14" t="s">
        <v>71</v>
      </c>
      <c r="C9" s="14"/>
      <c r="D9" s="14"/>
      <c r="E9" s="14"/>
      <c r="F9" s="14"/>
      <c r="G9" s="14"/>
      <c r="I9" s="396">
        <f>IF($K9="","",1)</f>
        <v>1</v>
      </c>
      <c r="J9" s="434" t="s">
        <v>1523</v>
      </c>
      <c r="K9" s="391" t="s">
        <v>194</v>
      </c>
      <c r="L9" s="392">
        <v>1</v>
      </c>
      <c r="M9" s="393" t="s">
        <v>364</v>
      </c>
      <c r="N9" s="419" t="s">
        <v>352</v>
      </c>
      <c r="O9" s="397"/>
      <c r="P9" s="398"/>
      <c r="Q9" s="397"/>
      <c r="R9" s="399">
        <v>0</v>
      </c>
      <c r="S9" s="397"/>
      <c r="T9" s="399"/>
      <c r="U9" s="399"/>
      <c r="V9" s="430" t="str">
        <f>IFERROR(VLOOKUP($O9, dropdown!$S$4:$T$15, 2, FALSE),
 IFERROR(VLOOKUP($Q9, dropdown!$S$4:$T$15, 2, FALSE),
 IFERROR(VLOOKUP($S9, dropdown!$S$4:$T$15, 2, FALSE),
 "")))</f>
        <v/>
      </c>
      <c r="W9" s="392" t="s">
        <v>1528</v>
      </c>
      <c r="X9" s="56"/>
      <c r="AB9" s="11"/>
      <c r="AE9" s="11"/>
    </row>
    <row r="10" spans="2:31" ht="14" x14ac:dyDescent="0.2">
      <c r="B10" s="175" t="str">
        <f>$Q$7</f>
        <v>In Operation</v>
      </c>
      <c r="C10" s="13" t="s">
        <v>51</v>
      </c>
      <c r="D10" s="40" t="s">
        <v>45</v>
      </c>
      <c r="E10" s="40" t="s">
        <v>149</v>
      </c>
      <c r="F10" s="40" t="s">
        <v>150</v>
      </c>
      <c r="G10" s="40" t="s">
        <v>151</v>
      </c>
      <c r="I10" s="18">
        <f t="shared" ref="I10:I41" si="0">IF($K10="","",$I9+1)</f>
        <v>2</v>
      </c>
      <c r="J10" s="435" t="s">
        <v>1524</v>
      </c>
      <c r="K10" s="57" t="s">
        <v>197</v>
      </c>
      <c r="L10" s="28">
        <v>16</v>
      </c>
      <c r="M10" s="264" t="s">
        <v>380</v>
      </c>
      <c r="N10" s="401" t="s">
        <v>352</v>
      </c>
      <c r="O10" s="397"/>
      <c r="P10" s="398"/>
      <c r="Q10" s="397"/>
      <c r="R10" s="399">
        <v>0</v>
      </c>
      <c r="S10" s="397"/>
      <c r="T10" s="399"/>
      <c r="U10" s="399"/>
      <c r="V10" s="430" t="str">
        <f>IFERROR(VLOOKUP($O10, dropdown!$S$4:$T$15, 2, FALSE),
 IFERROR(VLOOKUP($Q10, dropdown!$S$4:$T$15, 2, FALSE),
 IFERROR(VLOOKUP($S10, dropdown!$S$4:$T$15, 2, FALSE),
 "")))</f>
        <v/>
      </c>
      <c r="W10" s="28" t="s">
        <v>1525</v>
      </c>
      <c r="X10" s="56"/>
      <c r="AB10" s="11"/>
      <c r="AE10" s="11"/>
    </row>
    <row r="11" spans="2:31" ht="14" x14ac:dyDescent="0.2">
      <c r="B11" s="41" t="s">
        <v>188</v>
      </c>
      <c r="C11" s="17" t="s">
        <v>189</v>
      </c>
      <c r="D11" s="176">
        <f>SUMIFS($L$9:$L$107,$N$9:$N$107,$B11,$V$9:$V$107,$D$10)</f>
        <v>0</v>
      </c>
      <c r="E11" s="176">
        <f>SUMIFS($L$9:$L$107,$N$9:$N$107,$B11,$V$9:$V$107,$E$10)</f>
        <v>0</v>
      </c>
      <c r="F11" s="176">
        <f>SUMIFS($L$9:$L$107,$N$9:$N$107,$B11,$V$9:$V$107,$F$10)</f>
        <v>1</v>
      </c>
      <c r="G11" s="176">
        <f>SUMIFS($L$9:$L$107,$N$9:$N$107,$B11,$V$9:$V$107,$G$10)</f>
        <v>0</v>
      </c>
      <c r="I11" s="18">
        <f t="shared" si="0"/>
        <v>3</v>
      </c>
      <c r="J11" s="435" t="s">
        <v>1527</v>
      </c>
      <c r="K11" s="57" t="s">
        <v>200</v>
      </c>
      <c r="L11" s="28">
        <v>1</v>
      </c>
      <c r="M11" s="264" t="s">
        <v>380</v>
      </c>
      <c r="N11" s="401" t="s">
        <v>352</v>
      </c>
      <c r="O11" s="397"/>
      <c r="P11" s="398"/>
      <c r="Q11" s="397"/>
      <c r="R11" s="399">
        <v>0</v>
      </c>
      <c r="S11" s="397"/>
      <c r="T11" s="399"/>
      <c r="U11" s="399"/>
      <c r="V11" s="430" t="str">
        <f>IFERROR(VLOOKUP($O11, dropdown!$S$4:$T$15, 2, FALSE),
 IFERROR(VLOOKUP($Q11, dropdown!$S$4:$T$15, 2, FALSE),
 IFERROR(VLOOKUP($S11, dropdown!$S$4:$T$15, 2, FALSE),
 "")))</f>
        <v/>
      </c>
      <c r="W11" s="28" t="s">
        <v>1531</v>
      </c>
      <c r="X11" s="56"/>
      <c r="AB11" s="11"/>
      <c r="AE11" s="11"/>
    </row>
    <row r="12" spans="2:31" ht="14" x14ac:dyDescent="0.2">
      <c r="B12" s="17" t="s">
        <v>184</v>
      </c>
      <c r="C12" s="17" t="s">
        <v>189</v>
      </c>
      <c r="D12" s="176">
        <f>SUMIFS($L$9:$L$107,$N$9:$N$107,$B12,$V$9:$V$107,$D$10)</f>
        <v>0</v>
      </c>
      <c r="E12" s="176">
        <f>SUMIFS($L$9:$L$107,$N$9:$N$107,$B12,$V$9:$V$107,$E$10)</f>
        <v>0</v>
      </c>
      <c r="F12" s="176">
        <f>SUMIFS($L$9:$L$107,$N$9:$N$107,$B12,$V$9:$V$107,$F$10)</f>
        <v>0</v>
      </c>
      <c r="G12" s="176">
        <f>SUMIFS($L$9:$L$107,$N$9:$N$107,$B12,$V$9:$V$107,$G$10)</f>
        <v>0</v>
      </c>
      <c r="I12" s="18">
        <f t="shared" si="0"/>
        <v>4</v>
      </c>
      <c r="J12" s="435" t="s">
        <v>1523</v>
      </c>
      <c r="K12" s="57" t="s">
        <v>200</v>
      </c>
      <c r="L12" s="28">
        <v>1</v>
      </c>
      <c r="M12" s="264" t="s">
        <v>363</v>
      </c>
      <c r="N12" s="401" t="s">
        <v>352</v>
      </c>
      <c r="O12" s="397"/>
      <c r="P12" s="398"/>
      <c r="Q12" s="397"/>
      <c r="R12" s="399">
        <v>0</v>
      </c>
      <c r="S12" s="397"/>
      <c r="T12" s="399"/>
      <c r="U12" s="399"/>
      <c r="V12" s="430" t="str">
        <f>IFERROR(VLOOKUP($O12, dropdown!$S$4:$T$15, 2, FALSE),
 IFERROR(VLOOKUP($Q12, dropdown!$S$4:$T$15, 2, FALSE),
 IFERROR(VLOOKUP($S12, dropdown!$S$4:$T$15, 2, FALSE),
 "")))</f>
        <v/>
      </c>
      <c r="W12" s="28" t="s">
        <v>1529</v>
      </c>
      <c r="X12" s="56"/>
      <c r="AB12" s="11"/>
      <c r="AE12" s="11"/>
    </row>
    <row r="13" spans="2:31" ht="14" x14ac:dyDescent="0.2">
      <c r="B13" s="17" t="s">
        <v>86</v>
      </c>
      <c r="C13" s="17" t="s">
        <v>189</v>
      </c>
      <c r="D13" s="176">
        <f>SUMIFS($L$9:$L$107,$N$9:$N$107,$B13,$V$9:$V$107,$D$10)</f>
        <v>1</v>
      </c>
      <c r="E13" s="176">
        <f>SUMIFS($L$9:$L$107,$N$9:$N$107,$B13,$V$9:$V$107,$E$10)</f>
        <v>0</v>
      </c>
      <c r="F13" s="176">
        <f>SUMIFS($L$9:$L$107,$N$9:$N$107,$B13,$V$9:$V$107,$F$10)</f>
        <v>1</v>
      </c>
      <c r="G13" s="176">
        <f>SUMIFS($L$9:$L$107,$N$9:$N$107,$B13,$V$9:$V$107,$G$10)</f>
        <v>1</v>
      </c>
      <c r="I13" s="18">
        <f t="shared" si="0"/>
        <v>5</v>
      </c>
      <c r="J13" s="435" t="s">
        <v>1533</v>
      </c>
      <c r="K13" s="57" t="s">
        <v>203</v>
      </c>
      <c r="L13" s="28">
        <v>6</v>
      </c>
      <c r="M13" s="264" t="s">
        <v>339</v>
      </c>
      <c r="N13" s="401" t="s">
        <v>352</v>
      </c>
      <c r="O13" s="397"/>
      <c r="P13" s="398"/>
      <c r="Q13" s="397"/>
      <c r="R13" s="399">
        <v>0</v>
      </c>
      <c r="S13" s="397"/>
      <c r="T13" s="399"/>
      <c r="U13" s="399"/>
      <c r="V13" s="430" t="str">
        <f>IFERROR(VLOOKUP($O13, dropdown!$S$4:$T$15, 2, FALSE),
 IFERROR(VLOOKUP($Q13, dropdown!$S$4:$T$15, 2, FALSE),
 IFERROR(VLOOKUP($S13, dropdown!$S$4:$T$15, 2, FALSE),
 "")))</f>
        <v/>
      </c>
      <c r="W13" s="28" t="s">
        <v>1533</v>
      </c>
      <c r="AB13" s="11"/>
      <c r="AE13" s="11"/>
    </row>
    <row r="14" spans="2:31" ht="17" customHeight="1" x14ac:dyDescent="0.2">
      <c r="D14" s="177" t="str">
        <f>IF(SUM(D$11:D$13)&gt;0,"x","")</f>
        <v>x</v>
      </c>
      <c r="E14" s="177" t="str">
        <f t="shared" ref="E14:G14" si="1">IF(SUM(E$11:E$13)&gt;0,"x","")</f>
        <v/>
      </c>
      <c r="F14" s="177" t="str">
        <f t="shared" si="1"/>
        <v>x</v>
      </c>
      <c r="G14" s="177" t="str">
        <f t="shared" si="1"/>
        <v>x</v>
      </c>
      <c r="I14" s="18">
        <f t="shared" si="0"/>
        <v>6</v>
      </c>
      <c r="J14" s="435" t="s">
        <v>343</v>
      </c>
      <c r="K14" s="57" t="s">
        <v>203</v>
      </c>
      <c r="L14" s="28">
        <v>1</v>
      </c>
      <c r="M14" s="264" t="s">
        <v>339</v>
      </c>
      <c r="N14" s="401" t="s">
        <v>86</v>
      </c>
      <c r="O14" s="397"/>
      <c r="P14" s="398"/>
      <c r="Q14" s="397"/>
      <c r="R14" s="399"/>
      <c r="S14" s="397" t="s">
        <v>390</v>
      </c>
      <c r="T14" s="399">
        <v>0.85</v>
      </c>
      <c r="U14" s="399">
        <v>0</v>
      </c>
      <c r="V14" s="430" t="str">
        <f>IFERROR(VLOOKUP($O14, dropdown!$S$4:$T$15, 2, FALSE),
 IFERROR(VLOOKUP($Q14, dropdown!$S$4:$T$15, 2, FALSE),
 IFERROR(VLOOKUP($S14, dropdown!$S$4:$T$15, 2, FALSE),
 "")))</f>
        <v>Q3</v>
      </c>
      <c r="W14" s="28" t="s">
        <v>1709</v>
      </c>
      <c r="AB14" s="11"/>
      <c r="AE14" s="11"/>
    </row>
    <row r="15" spans="2:31" ht="17" customHeight="1" x14ac:dyDescent="0.2">
      <c r="B15" s="119" t="s">
        <v>38</v>
      </c>
      <c r="I15" s="18">
        <f>IF($K15="","",$I14+1)</f>
        <v>7</v>
      </c>
      <c r="J15" s="435" t="s">
        <v>1527</v>
      </c>
      <c r="K15" s="57" t="s">
        <v>200</v>
      </c>
      <c r="L15" s="28">
        <v>1</v>
      </c>
      <c r="M15" s="264" t="s">
        <v>372</v>
      </c>
      <c r="N15" s="401" t="s">
        <v>86</v>
      </c>
      <c r="O15" s="397"/>
      <c r="P15" s="398"/>
      <c r="Q15" s="397"/>
      <c r="R15" s="399"/>
      <c r="S15" s="397" t="s">
        <v>338</v>
      </c>
      <c r="T15" s="399">
        <v>1.05</v>
      </c>
      <c r="U15" s="399">
        <v>0</v>
      </c>
      <c r="V15" s="430" t="str">
        <f>IFERROR(VLOOKUP($O15, dropdown!$S$4:$T$15, 2, FALSE),
 IFERROR(VLOOKUP($Q15, dropdown!$S$4:$T$15, 2, FALSE),
 IFERROR(VLOOKUP($S15, dropdown!$S$4:$T$15, 2, FALSE),
 "")))</f>
        <v>Q1</v>
      </c>
      <c r="W15" s="28" t="s">
        <v>1717</v>
      </c>
      <c r="AB15" s="11"/>
      <c r="AE15" s="11"/>
    </row>
    <row r="16" spans="2:31" ht="14" x14ac:dyDescent="0.2">
      <c r="B16" s="120" t="s">
        <v>175</v>
      </c>
      <c r="I16" s="18">
        <f>IF($K16="","",$I15+1)</f>
        <v>8</v>
      </c>
      <c r="J16" s="435" t="s">
        <v>1523</v>
      </c>
      <c r="K16" s="57" t="s">
        <v>200</v>
      </c>
      <c r="L16" s="28">
        <v>1</v>
      </c>
      <c r="M16" s="264" t="s">
        <v>363</v>
      </c>
      <c r="N16" s="401" t="s">
        <v>86</v>
      </c>
      <c r="O16" s="397"/>
      <c r="P16" s="398"/>
      <c r="Q16" s="397"/>
      <c r="R16" s="399"/>
      <c r="S16" s="397" t="s">
        <v>400</v>
      </c>
      <c r="T16" s="399">
        <v>0.79</v>
      </c>
      <c r="U16" s="399">
        <v>0</v>
      </c>
      <c r="V16" s="430" t="str">
        <f>IFERROR(VLOOKUP($O16, dropdown!$S$4:$T$15, 2, FALSE),
 IFERROR(VLOOKUP($Q16, dropdown!$S$4:$T$15, 2, FALSE),
 IFERROR(VLOOKUP($S16, dropdown!$S$4:$T$15, 2, FALSE),
 "")))</f>
        <v>Q4</v>
      </c>
      <c r="W16" s="28" t="s">
        <v>1720</v>
      </c>
      <c r="AB16" s="11"/>
      <c r="AE16" s="11"/>
    </row>
    <row r="17" spans="2:31" ht="15" customHeight="1" x14ac:dyDescent="0.2">
      <c r="B17" s="121" t="s">
        <v>176</v>
      </c>
      <c r="I17" s="18">
        <f t="shared" si="0"/>
        <v>9</v>
      </c>
      <c r="J17" s="435" t="s">
        <v>1527</v>
      </c>
      <c r="K17" s="57" t="s">
        <v>200</v>
      </c>
      <c r="L17" s="28">
        <v>1</v>
      </c>
      <c r="M17" s="264" t="s">
        <v>372</v>
      </c>
      <c r="N17" s="401" t="s">
        <v>188</v>
      </c>
      <c r="O17" s="397" t="s">
        <v>390</v>
      </c>
      <c r="P17" s="398">
        <v>3.4</v>
      </c>
      <c r="Q17" s="397"/>
      <c r="R17" s="399"/>
      <c r="S17" s="397"/>
      <c r="T17" s="399"/>
      <c r="U17" s="399"/>
      <c r="V17" s="430" t="str">
        <f>IFERROR(VLOOKUP($O17, dropdown!$S$4:$T$15, 2, FALSE),
 IFERROR(VLOOKUP($Q17, dropdown!$S$4:$T$15, 2, FALSE),
 IFERROR(VLOOKUP($S17, dropdown!$S$4:$T$15, 2, FALSE),
 "")))</f>
        <v>Q3</v>
      </c>
      <c r="W17" s="28" t="s">
        <v>1721</v>
      </c>
      <c r="AB17" s="11"/>
      <c r="AE17" s="11"/>
    </row>
    <row r="18" spans="2:31" ht="15" customHeight="1" x14ac:dyDescent="0.2">
      <c r="B18" s="122" t="s">
        <v>177</v>
      </c>
      <c r="I18" s="18" t="str">
        <f t="shared" si="0"/>
        <v/>
      </c>
      <c r="J18" s="435"/>
      <c r="K18" s="57"/>
      <c r="L18" s="28"/>
      <c r="M18" s="264"/>
      <c r="N18" s="401"/>
      <c r="O18" s="397"/>
      <c r="P18" s="398"/>
      <c r="Q18" s="397"/>
      <c r="R18" s="399"/>
      <c r="S18" s="397"/>
      <c r="T18" s="399"/>
      <c r="U18" s="399"/>
      <c r="V18" s="430" t="str">
        <f>IFERROR(VLOOKUP($O18, dropdown!$S$4:$T$15, 2, FALSE),
 IFERROR(VLOOKUP($Q18, dropdown!$S$4:$T$15, 2, FALSE),
 IFERROR(VLOOKUP($S18, dropdown!$S$4:$T$15, 2, FALSE),
 "")))</f>
        <v/>
      </c>
      <c r="W18" s="28"/>
      <c r="AB18" s="11"/>
      <c r="AE18" s="11"/>
    </row>
    <row r="19" spans="2:31" ht="27" x14ac:dyDescent="0.2">
      <c r="B19" s="382" t="s">
        <v>190</v>
      </c>
      <c r="I19" s="18" t="str">
        <f t="shared" si="0"/>
        <v/>
      </c>
      <c r="J19" s="435"/>
      <c r="K19" s="57"/>
      <c r="L19" s="28"/>
      <c r="M19" s="264"/>
      <c r="N19" s="401"/>
      <c r="O19" s="397"/>
      <c r="P19" s="398"/>
      <c r="Q19" s="397"/>
      <c r="R19" s="399"/>
      <c r="S19" s="397"/>
      <c r="T19" s="399"/>
      <c r="U19" s="399"/>
      <c r="V19" s="430" t="str">
        <f>IFERROR(VLOOKUP($O19, dropdown!$S$4:$T$15, 2, FALSE),
 IFERROR(VLOOKUP($Q19, dropdown!$S$4:$T$15, 2, FALSE),
 IFERROR(VLOOKUP($S19, dropdown!$S$4:$T$15, 2, FALSE),
 "")))</f>
        <v/>
      </c>
      <c r="W19" s="28"/>
      <c r="AB19" s="11"/>
      <c r="AE19" s="11"/>
    </row>
    <row r="20" spans="2:31" ht="14" x14ac:dyDescent="0.2">
      <c r="I20" s="18" t="str">
        <f t="shared" si="0"/>
        <v/>
      </c>
      <c r="J20" s="435"/>
      <c r="K20" s="57"/>
      <c r="L20" s="28"/>
      <c r="M20" s="264"/>
      <c r="N20" s="401"/>
      <c r="O20" s="397"/>
      <c r="P20" s="398"/>
      <c r="Q20" s="397"/>
      <c r="R20" s="399"/>
      <c r="S20" s="397"/>
      <c r="T20" s="399"/>
      <c r="U20" s="399"/>
      <c r="V20" s="430" t="str">
        <f>IFERROR(VLOOKUP($O20, dropdown!$S$4:$T$15, 2, FALSE),
 IFERROR(VLOOKUP($Q20, dropdown!$S$4:$T$15, 2, FALSE),
 IFERROR(VLOOKUP($S20, dropdown!$S$4:$T$15, 2, FALSE),
 "")))</f>
        <v/>
      </c>
      <c r="W20" s="28"/>
      <c r="AB20" s="11"/>
      <c r="AE20" s="11"/>
    </row>
    <row r="21" spans="2:31" ht="14" x14ac:dyDescent="0.2">
      <c r="B21" s="166" t="s">
        <v>191</v>
      </c>
      <c r="I21" s="18" t="str">
        <f t="shared" si="0"/>
        <v/>
      </c>
      <c r="J21" s="435"/>
      <c r="K21" s="57"/>
      <c r="L21" s="28"/>
      <c r="M21" s="264"/>
      <c r="N21" s="401"/>
      <c r="O21" s="397"/>
      <c r="P21" s="398"/>
      <c r="Q21" s="397"/>
      <c r="R21" s="399"/>
      <c r="S21" s="397"/>
      <c r="T21" s="399"/>
      <c r="U21" s="399"/>
      <c r="V21" s="430" t="str">
        <f>IFERROR(VLOOKUP($O21, dropdown!$S$4:$T$15, 2, FALSE),
 IFERROR(VLOOKUP($Q21, dropdown!$S$4:$T$15, 2, FALSE),
 IFERROR(VLOOKUP($S21, dropdown!$S$4:$T$15, 2, FALSE),
 "")))</f>
        <v/>
      </c>
      <c r="W21" s="28"/>
      <c r="AB21" s="11"/>
      <c r="AE21" s="11"/>
    </row>
    <row r="22" spans="2:31" ht="14" x14ac:dyDescent="0.2">
      <c r="B22" s="457" t="s">
        <v>192</v>
      </c>
      <c r="C22" s="460" t="s">
        <v>5</v>
      </c>
      <c r="D22" s="461"/>
      <c r="E22" s="460" t="s">
        <v>193</v>
      </c>
      <c r="F22" s="462"/>
      <c r="G22" s="462"/>
      <c r="I22" s="18" t="str">
        <f t="shared" si="0"/>
        <v/>
      </c>
      <c r="J22" s="435"/>
      <c r="K22" s="57"/>
      <c r="L22" s="28"/>
      <c r="M22" s="264"/>
      <c r="N22" s="401"/>
      <c r="O22" s="397"/>
      <c r="P22" s="398"/>
      <c r="Q22" s="397"/>
      <c r="R22" s="399"/>
      <c r="S22" s="397"/>
      <c r="T22" s="399"/>
      <c r="U22" s="399"/>
      <c r="V22" s="430" t="str">
        <f>IFERROR(VLOOKUP($O22, dropdown!$S$4:$T$15, 2, FALSE),
 IFERROR(VLOOKUP($Q22, dropdown!$S$4:$T$15, 2, FALSE),
 IFERROR(VLOOKUP($S22, dropdown!$S$4:$T$15, 2, FALSE),
 "")))</f>
        <v/>
      </c>
      <c r="W22" s="28"/>
      <c r="AB22" s="11"/>
      <c r="AE22" s="11"/>
    </row>
    <row r="23" spans="2:31" ht="14" x14ac:dyDescent="0.2">
      <c r="B23" s="458"/>
      <c r="C23" s="460"/>
      <c r="D23" s="461"/>
      <c r="E23" s="460"/>
      <c r="F23" s="462"/>
      <c r="G23" s="462"/>
      <c r="I23" s="18" t="str">
        <f t="shared" si="0"/>
        <v/>
      </c>
      <c r="J23" s="435"/>
      <c r="K23" s="57"/>
      <c r="L23" s="28"/>
      <c r="M23" s="264"/>
      <c r="N23" s="401"/>
      <c r="O23" s="397"/>
      <c r="P23" s="398"/>
      <c r="Q23" s="397"/>
      <c r="R23" s="399"/>
      <c r="S23" s="397"/>
      <c r="T23" s="399"/>
      <c r="U23" s="399"/>
      <c r="V23" s="430" t="str">
        <f>IFERROR(VLOOKUP($O23, dropdown!$S$4:$T$15, 2, FALSE),
 IFERROR(VLOOKUP($Q23, dropdown!$S$4:$T$15, 2, FALSE),
 IFERROR(VLOOKUP($S23, dropdown!$S$4:$T$15, 2, FALSE),
 "")))</f>
        <v/>
      </c>
      <c r="W23" s="28"/>
      <c r="AB23" s="11"/>
      <c r="AE23" s="11"/>
    </row>
    <row r="24" spans="2:31" ht="14" x14ac:dyDescent="0.2">
      <c r="B24" s="456" t="s">
        <v>194</v>
      </c>
      <c r="C24" s="456" t="s">
        <v>195</v>
      </c>
      <c r="D24" s="456"/>
      <c r="E24" s="456" t="s">
        <v>196</v>
      </c>
      <c r="F24" s="456"/>
      <c r="G24" s="456"/>
      <c r="I24" s="18" t="str">
        <f t="shared" si="0"/>
        <v/>
      </c>
      <c r="J24" s="435"/>
      <c r="K24" s="57"/>
      <c r="L24" s="28"/>
      <c r="M24" s="264"/>
      <c r="N24" s="401"/>
      <c r="O24" s="397"/>
      <c r="P24" s="398"/>
      <c r="Q24" s="397"/>
      <c r="R24" s="399"/>
      <c r="S24" s="397"/>
      <c r="T24" s="399"/>
      <c r="U24" s="399"/>
      <c r="V24" s="430" t="str">
        <f>IFERROR(VLOOKUP($O24, dropdown!$S$4:$T$15, 2, FALSE),
 IFERROR(VLOOKUP($Q24, dropdown!$S$4:$T$15, 2, FALSE),
 IFERROR(VLOOKUP($S24, dropdown!$S$4:$T$15, 2, FALSE),
 "")))</f>
        <v/>
      </c>
      <c r="W24" s="28"/>
      <c r="X24" s="56"/>
      <c r="AB24" s="11"/>
      <c r="AE24" s="11"/>
    </row>
    <row r="25" spans="2:31" ht="14" x14ac:dyDescent="0.2">
      <c r="B25" s="456"/>
      <c r="C25" s="456"/>
      <c r="D25" s="456"/>
      <c r="E25" s="456"/>
      <c r="F25" s="456"/>
      <c r="G25" s="456"/>
      <c r="I25" s="18" t="str">
        <f t="shared" si="0"/>
        <v/>
      </c>
      <c r="J25" s="435"/>
      <c r="K25" s="57"/>
      <c r="L25" s="28"/>
      <c r="M25" s="264"/>
      <c r="N25" s="401"/>
      <c r="O25" s="397"/>
      <c r="P25" s="398"/>
      <c r="Q25" s="397"/>
      <c r="R25" s="399"/>
      <c r="S25" s="397"/>
      <c r="T25" s="399"/>
      <c r="U25" s="399"/>
      <c r="V25" s="430" t="str">
        <f>IFERROR(VLOOKUP($O25, dropdown!$S$4:$T$15, 2, FALSE),
 IFERROR(VLOOKUP($Q25, dropdown!$S$4:$T$15, 2, FALSE),
 IFERROR(VLOOKUP($S25, dropdown!$S$4:$T$15, 2, FALSE),
 "")))</f>
        <v/>
      </c>
      <c r="W25" s="28"/>
      <c r="X25" s="56"/>
      <c r="AB25" s="11"/>
      <c r="AE25" s="11"/>
    </row>
    <row r="26" spans="2:31" ht="14" x14ac:dyDescent="0.2">
      <c r="B26" s="456" t="s">
        <v>197</v>
      </c>
      <c r="C26" s="456" t="s">
        <v>198</v>
      </c>
      <c r="D26" s="456"/>
      <c r="E26" s="456" t="s">
        <v>199</v>
      </c>
      <c r="F26" s="456"/>
      <c r="G26" s="456"/>
      <c r="I26" s="18" t="str">
        <f t="shared" si="0"/>
        <v/>
      </c>
      <c r="J26" s="435"/>
      <c r="K26" s="57"/>
      <c r="L26" s="28"/>
      <c r="M26" s="264"/>
      <c r="N26" s="401"/>
      <c r="O26" s="397"/>
      <c r="P26" s="398"/>
      <c r="Q26" s="397"/>
      <c r="R26" s="399"/>
      <c r="S26" s="397"/>
      <c r="T26" s="399"/>
      <c r="U26" s="399"/>
      <c r="V26" s="430" t="str">
        <f>IFERROR(VLOOKUP($O26, dropdown!$S$4:$T$15, 2, FALSE),
 IFERROR(VLOOKUP($Q26, dropdown!$S$4:$T$15, 2, FALSE),
 IFERROR(VLOOKUP($S26, dropdown!$S$4:$T$15, 2, FALSE),
 "")))</f>
        <v/>
      </c>
      <c r="W26" s="28"/>
      <c r="X26" s="56"/>
      <c r="AB26" s="11"/>
      <c r="AE26" s="11"/>
    </row>
    <row r="27" spans="2:31" ht="14" x14ac:dyDescent="0.2">
      <c r="B27" s="456"/>
      <c r="C27" s="456"/>
      <c r="D27" s="456"/>
      <c r="E27" s="456"/>
      <c r="F27" s="456"/>
      <c r="G27" s="456"/>
      <c r="I27" s="18" t="str">
        <f t="shared" si="0"/>
        <v/>
      </c>
      <c r="J27" s="435"/>
      <c r="K27" s="57"/>
      <c r="L27" s="28"/>
      <c r="M27" s="264"/>
      <c r="N27" s="401"/>
      <c r="O27" s="397"/>
      <c r="P27" s="398"/>
      <c r="Q27" s="397"/>
      <c r="R27" s="399"/>
      <c r="S27" s="397"/>
      <c r="T27" s="399"/>
      <c r="U27" s="399"/>
      <c r="V27" s="430" t="str">
        <f>IFERROR(VLOOKUP($O27, dropdown!$S$4:$T$15, 2, FALSE),
 IFERROR(VLOOKUP($Q27, dropdown!$S$4:$T$15, 2, FALSE),
 IFERROR(VLOOKUP($S27, dropdown!$S$4:$T$15, 2, FALSE),
 "")))</f>
        <v/>
      </c>
      <c r="W27" s="28"/>
      <c r="X27" s="56"/>
      <c r="AB27" s="11"/>
      <c r="AE27" s="11"/>
    </row>
    <row r="28" spans="2:31" ht="14" x14ac:dyDescent="0.2">
      <c r="B28" s="456" t="s">
        <v>200</v>
      </c>
      <c r="C28" s="456" t="s">
        <v>201</v>
      </c>
      <c r="D28" s="456"/>
      <c r="E28" s="456" t="s">
        <v>202</v>
      </c>
      <c r="F28" s="456"/>
      <c r="G28" s="456"/>
      <c r="I28" s="18" t="str">
        <f t="shared" si="0"/>
        <v/>
      </c>
      <c r="J28" s="435"/>
      <c r="K28" s="57"/>
      <c r="L28" s="28"/>
      <c r="M28" s="264"/>
      <c r="N28" s="401"/>
      <c r="O28" s="397"/>
      <c r="P28" s="398"/>
      <c r="Q28" s="397"/>
      <c r="R28" s="399"/>
      <c r="S28" s="397"/>
      <c r="T28" s="399"/>
      <c r="U28" s="399"/>
      <c r="V28" s="430" t="str">
        <f>IFERROR(VLOOKUP($O28, dropdown!$S$4:$T$15, 2, FALSE),
 IFERROR(VLOOKUP($Q28, dropdown!$S$4:$T$15, 2, FALSE),
 IFERROR(VLOOKUP($S28, dropdown!$S$4:$T$15, 2, FALSE),
 "")))</f>
        <v/>
      </c>
      <c r="W28" s="28"/>
      <c r="X28" s="56"/>
      <c r="AB28" s="11"/>
      <c r="AE28" s="11"/>
    </row>
    <row r="29" spans="2:31" ht="14" x14ac:dyDescent="0.2">
      <c r="B29" s="456"/>
      <c r="C29" s="456"/>
      <c r="D29" s="456"/>
      <c r="E29" s="456"/>
      <c r="F29" s="456"/>
      <c r="G29" s="456"/>
      <c r="I29" s="18" t="str">
        <f t="shared" si="0"/>
        <v/>
      </c>
      <c r="J29" s="435"/>
      <c r="K29" s="57"/>
      <c r="L29" s="28"/>
      <c r="M29" s="264"/>
      <c r="N29" s="401"/>
      <c r="O29" s="397"/>
      <c r="P29" s="398"/>
      <c r="Q29" s="397"/>
      <c r="R29" s="399"/>
      <c r="S29" s="397"/>
      <c r="T29" s="399"/>
      <c r="U29" s="399"/>
      <c r="V29" s="430" t="str">
        <f>IFERROR(VLOOKUP($O29, dropdown!$S$4:$T$15, 2, FALSE),
 IFERROR(VLOOKUP($Q29, dropdown!$S$4:$T$15, 2, FALSE),
 IFERROR(VLOOKUP($S29, dropdown!$S$4:$T$15, 2, FALSE),
 "")))</f>
        <v/>
      </c>
      <c r="W29" s="28"/>
      <c r="X29" s="56"/>
      <c r="AB29" s="11"/>
      <c r="AE29" s="11"/>
    </row>
    <row r="30" spans="2:31" ht="14" x14ac:dyDescent="0.2">
      <c r="B30" s="456" t="s">
        <v>203</v>
      </c>
      <c r="C30" s="456" t="s">
        <v>204</v>
      </c>
      <c r="D30" s="456"/>
      <c r="E30" s="456" t="s">
        <v>205</v>
      </c>
      <c r="F30" s="456"/>
      <c r="G30" s="456"/>
      <c r="I30" s="18" t="str">
        <f t="shared" si="0"/>
        <v/>
      </c>
      <c r="J30" s="435"/>
      <c r="K30" s="57"/>
      <c r="L30" s="28"/>
      <c r="M30" s="264"/>
      <c r="N30" s="401"/>
      <c r="O30" s="397"/>
      <c r="P30" s="398"/>
      <c r="Q30" s="397"/>
      <c r="R30" s="399"/>
      <c r="S30" s="397"/>
      <c r="T30" s="399"/>
      <c r="U30" s="399"/>
      <c r="V30" s="430" t="str">
        <f>IFERROR(VLOOKUP($O30, dropdown!$S$4:$T$15, 2, FALSE),
 IFERROR(VLOOKUP($Q30, dropdown!$S$4:$T$15, 2, FALSE),
 IFERROR(VLOOKUP($S30, dropdown!$S$4:$T$15, 2, FALSE),
 "")))</f>
        <v/>
      </c>
      <c r="W30" s="28"/>
      <c r="X30" s="56"/>
      <c r="AB30" s="11"/>
      <c r="AE30" s="11"/>
    </row>
    <row r="31" spans="2:31" ht="14" x14ac:dyDescent="0.2">
      <c r="B31" s="456"/>
      <c r="C31" s="456"/>
      <c r="D31" s="456"/>
      <c r="E31" s="456"/>
      <c r="F31" s="456"/>
      <c r="G31" s="456"/>
      <c r="I31" s="18" t="str">
        <f t="shared" si="0"/>
        <v/>
      </c>
      <c r="J31" s="435"/>
      <c r="K31" s="57"/>
      <c r="L31" s="28"/>
      <c r="M31" s="264"/>
      <c r="N31" s="401"/>
      <c r="O31" s="397"/>
      <c r="P31" s="398"/>
      <c r="Q31" s="397"/>
      <c r="R31" s="399"/>
      <c r="S31" s="397"/>
      <c r="T31" s="399"/>
      <c r="U31" s="399"/>
      <c r="V31" s="430" t="str">
        <f>IFERROR(VLOOKUP($O31, dropdown!$S$4:$T$15, 2, FALSE),
 IFERROR(VLOOKUP($Q31, dropdown!$S$4:$T$15, 2, FALSE),
 IFERROR(VLOOKUP($S31, dropdown!$S$4:$T$15, 2, FALSE),
 "")))</f>
        <v/>
      </c>
      <c r="W31" s="28"/>
      <c r="X31" s="56"/>
      <c r="AB31" s="11"/>
      <c r="AE31" s="11"/>
    </row>
    <row r="32" spans="2:31" ht="22.5" customHeight="1" x14ac:dyDescent="0.2">
      <c r="I32" s="18" t="str">
        <f t="shared" si="0"/>
        <v/>
      </c>
      <c r="J32" s="435"/>
      <c r="K32" s="57"/>
      <c r="L32" s="28"/>
      <c r="M32" s="264"/>
      <c r="N32" s="401"/>
      <c r="O32" s="397"/>
      <c r="P32" s="398"/>
      <c r="Q32" s="397"/>
      <c r="R32" s="399"/>
      <c r="S32" s="397"/>
      <c r="T32" s="399"/>
      <c r="U32" s="399"/>
      <c r="V32" s="430" t="str">
        <f>IFERROR(VLOOKUP($O32, dropdown!$S$4:$T$15, 2, FALSE),
 IFERROR(VLOOKUP($Q32, dropdown!$S$4:$T$15, 2, FALSE),
 IFERROR(VLOOKUP($S32, dropdown!$S$4:$T$15, 2, FALSE),
 "")))</f>
        <v/>
      </c>
      <c r="W32" s="28"/>
      <c r="X32" s="56"/>
      <c r="AB32" s="11"/>
      <c r="AE32" s="11"/>
    </row>
    <row r="33" spans="9:31" ht="14" x14ac:dyDescent="0.2">
      <c r="I33" s="18" t="str">
        <f t="shared" si="0"/>
        <v/>
      </c>
      <c r="J33" s="435"/>
      <c r="K33" s="57"/>
      <c r="L33" s="28"/>
      <c r="M33" s="264"/>
      <c r="N33" s="401"/>
      <c r="O33" s="397"/>
      <c r="P33" s="398"/>
      <c r="Q33" s="397"/>
      <c r="R33" s="399"/>
      <c r="S33" s="397"/>
      <c r="T33" s="399"/>
      <c r="U33" s="399"/>
      <c r="V33" s="430" t="str">
        <f>IFERROR(VLOOKUP($O33, dropdown!$S$4:$T$15, 2, FALSE),
 IFERROR(VLOOKUP($Q33, dropdown!$S$4:$T$15, 2, FALSE),
 IFERROR(VLOOKUP($S33, dropdown!$S$4:$T$15, 2, FALSE),
 "")))</f>
        <v/>
      </c>
      <c r="W33" s="28"/>
      <c r="X33" s="56"/>
      <c r="AB33" s="11"/>
      <c r="AE33" s="11"/>
    </row>
    <row r="34" spans="9:31" ht="15" customHeight="1" x14ac:dyDescent="0.2">
      <c r="I34" s="18" t="str">
        <f t="shared" si="0"/>
        <v/>
      </c>
      <c r="J34" s="435"/>
      <c r="K34" s="57"/>
      <c r="L34" s="28"/>
      <c r="M34" s="264"/>
      <c r="N34" s="401"/>
      <c r="O34" s="397"/>
      <c r="P34" s="398"/>
      <c r="Q34" s="397"/>
      <c r="R34" s="399"/>
      <c r="S34" s="397"/>
      <c r="T34" s="399"/>
      <c r="U34" s="399"/>
      <c r="V34" s="430" t="str">
        <f>IFERROR(VLOOKUP($O34, dropdown!$S$4:$T$15, 2, FALSE),
 IFERROR(VLOOKUP($Q34, dropdown!$S$4:$T$15, 2, FALSE),
 IFERROR(VLOOKUP($S34, dropdown!$S$4:$T$15, 2, FALSE),
 "")))</f>
        <v/>
      </c>
      <c r="W34" s="28"/>
      <c r="X34" s="56"/>
      <c r="AB34" s="11"/>
      <c r="AE34" s="11"/>
    </row>
    <row r="35" spans="9:31" ht="14" x14ac:dyDescent="0.2">
      <c r="I35" s="18" t="str">
        <f t="shared" si="0"/>
        <v/>
      </c>
      <c r="J35" s="435"/>
      <c r="K35" s="57"/>
      <c r="L35" s="28"/>
      <c r="M35" s="264"/>
      <c r="N35" s="401"/>
      <c r="O35" s="397"/>
      <c r="P35" s="398"/>
      <c r="Q35" s="397"/>
      <c r="R35" s="399"/>
      <c r="S35" s="397"/>
      <c r="T35" s="399"/>
      <c r="U35" s="399"/>
      <c r="V35" s="430" t="str">
        <f>IFERROR(VLOOKUP($O35, dropdown!$S$4:$T$15, 2, FALSE),
 IFERROR(VLOOKUP($Q35, dropdown!$S$4:$T$15, 2, FALSE),
 IFERROR(VLOOKUP($S35, dropdown!$S$4:$T$15, 2, FALSE),
 "")))</f>
        <v/>
      </c>
      <c r="W35" s="28"/>
      <c r="X35" s="56"/>
      <c r="AB35" s="11"/>
      <c r="AE35" s="11"/>
    </row>
    <row r="36" spans="9:31" ht="14" x14ac:dyDescent="0.2">
      <c r="I36" s="18" t="str">
        <f t="shared" si="0"/>
        <v/>
      </c>
      <c r="J36" s="435"/>
      <c r="K36" s="57"/>
      <c r="L36" s="28"/>
      <c r="M36" s="264"/>
      <c r="N36" s="401"/>
      <c r="O36" s="397"/>
      <c r="P36" s="398"/>
      <c r="Q36" s="397"/>
      <c r="R36" s="399"/>
      <c r="S36" s="397"/>
      <c r="T36" s="399"/>
      <c r="U36" s="399"/>
      <c r="V36" s="430" t="str">
        <f>IFERROR(VLOOKUP($O36, dropdown!$S$4:$T$15, 2, FALSE),
 IFERROR(VLOOKUP($Q36, dropdown!$S$4:$T$15, 2, FALSE),
 IFERROR(VLOOKUP($S36, dropdown!$S$4:$T$15, 2, FALSE),
 "")))</f>
        <v/>
      </c>
      <c r="W36" s="28"/>
      <c r="X36" s="56"/>
      <c r="AB36" s="11"/>
      <c r="AE36" s="11"/>
    </row>
    <row r="37" spans="9:31" ht="14" x14ac:dyDescent="0.2">
      <c r="I37" s="18" t="str">
        <f t="shared" si="0"/>
        <v/>
      </c>
      <c r="J37" s="435"/>
      <c r="K37" s="57"/>
      <c r="L37" s="28"/>
      <c r="M37" s="264"/>
      <c r="N37" s="401"/>
      <c r="O37" s="397"/>
      <c r="P37" s="398"/>
      <c r="Q37" s="397"/>
      <c r="R37" s="399"/>
      <c r="S37" s="397"/>
      <c r="T37" s="399"/>
      <c r="U37" s="399"/>
      <c r="V37" s="430" t="str">
        <f>IFERROR(VLOOKUP($O37, dropdown!$S$4:$T$15, 2, FALSE),
 IFERROR(VLOOKUP($Q37, dropdown!$S$4:$T$15, 2, FALSE),
 IFERROR(VLOOKUP($S37, dropdown!$S$4:$T$15, 2, FALSE),
 "")))</f>
        <v/>
      </c>
      <c r="W37" s="28"/>
      <c r="X37" s="56"/>
      <c r="AB37" s="11"/>
      <c r="AE37" s="11"/>
    </row>
    <row r="38" spans="9:31" ht="14" x14ac:dyDescent="0.2">
      <c r="I38" s="18" t="str">
        <f t="shared" si="0"/>
        <v/>
      </c>
      <c r="J38" s="435"/>
      <c r="K38" s="57"/>
      <c r="L38" s="28"/>
      <c r="M38" s="264"/>
      <c r="N38" s="401"/>
      <c r="O38" s="397"/>
      <c r="P38" s="398"/>
      <c r="Q38" s="397"/>
      <c r="R38" s="399"/>
      <c r="S38" s="397"/>
      <c r="T38" s="399"/>
      <c r="U38" s="399"/>
      <c r="V38" s="430" t="str">
        <f>IFERROR(VLOOKUP($O38, dropdown!$S$4:$T$15, 2, FALSE),
 IFERROR(VLOOKUP($Q38, dropdown!$S$4:$T$15, 2, FALSE),
 IFERROR(VLOOKUP($S38, dropdown!$S$4:$T$15, 2, FALSE),
 "")))</f>
        <v/>
      </c>
      <c r="W38" s="28"/>
      <c r="X38" s="56"/>
      <c r="AB38" s="11"/>
      <c r="AE38" s="11"/>
    </row>
    <row r="39" spans="9:31" ht="14" x14ac:dyDescent="0.2">
      <c r="I39" s="18" t="str">
        <f t="shared" si="0"/>
        <v/>
      </c>
      <c r="J39" s="435"/>
      <c r="K39" s="57"/>
      <c r="L39" s="28"/>
      <c r="M39" s="264"/>
      <c r="N39" s="401"/>
      <c r="O39" s="397"/>
      <c r="P39" s="398"/>
      <c r="Q39" s="397"/>
      <c r="R39" s="399"/>
      <c r="S39" s="397"/>
      <c r="T39" s="399"/>
      <c r="U39" s="399"/>
      <c r="V39" s="430" t="str">
        <f>IFERROR(VLOOKUP($O39, dropdown!$S$4:$T$15, 2, FALSE),
 IFERROR(VLOOKUP($Q39, dropdown!$S$4:$T$15, 2, FALSE),
 IFERROR(VLOOKUP($S39, dropdown!$S$4:$T$15, 2, FALSE),
 "")))</f>
        <v/>
      </c>
      <c r="W39" s="28"/>
      <c r="X39" s="56"/>
      <c r="AB39" s="11"/>
      <c r="AE39" s="11"/>
    </row>
    <row r="40" spans="9:31" ht="14" x14ac:dyDescent="0.2">
      <c r="I40" s="18" t="str">
        <f t="shared" si="0"/>
        <v/>
      </c>
      <c r="J40" s="435"/>
      <c r="K40" s="57"/>
      <c r="L40" s="28"/>
      <c r="M40" s="264"/>
      <c r="N40" s="401"/>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t="str">
        <f t="shared" si="0"/>
        <v/>
      </c>
      <c r="J41" s="435"/>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2"/>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178</v>
      </c>
    </row>
  </sheetData>
  <sheetProtection algorithmName="SHA-512" hashValue="Z4SC4wT/R7IezyvYFDS8lmDTJF7NSS/ihiyvFubXMpZXEG1EEOf7bX0vSvCvMdPTH/FBp19F0RnYF9iC09io7g==" saltValue="gMlyusgJ0kkCeHxlu4Cf7A==" spinCount="100000" sheet="1" objects="1" scenarios="1" selectLockedCells="1"/>
  <protectedRanges>
    <protectedRange sqref="J8:U107 W8:W107" name="Range1"/>
  </protectedRanges>
  <mergeCells count="20">
    <mergeCell ref="C6:G6"/>
    <mergeCell ref="C7:G7"/>
    <mergeCell ref="C22:D23"/>
    <mergeCell ref="E22:G23"/>
    <mergeCell ref="E24:G25"/>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s>
  <conditionalFormatting sqref="O9:O107">
    <cfRule type="expression" dxfId="5" priority="6">
      <formula>$N9="New installation"</formula>
    </cfRule>
  </conditionalFormatting>
  <conditionalFormatting sqref="P9:P107">
    <cfRule type="expression" dxfId="4" priority="5">
      <formula>$N9="New installation"</formula>
    </cfRule>
  </conditionalFormatting>
  <conditionalFormatting sqref="Q9:Q107">
    <cfRule type="expression" dxfId="3" priority="4">
      <formula>$N9="In operation"</formula>
    </cfRule>
  </conditionalFormatting>
  <conditionalFormatting sqref="R9:R107">
    <cfRule type="expression" dxfId="2" priority="3">
      <formula>$N9="In operation"</formula>
    </cfRule>
  </conditionalFormatting>
  <conditionalFormatting sqref="S9:S107">
    <cfRule type="expression" dxfId="1" priority="2">
      <formula>$N9="Disposed"</formula>
    </cfRule>
  </conditionalFormatting>
  <conditionalFormatting sqref="T9:U107">
    <cfRule type="expression" dxfId="0"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topLeftCell="B1" zoomScaleNormal="100" workbookViewId="0">
      <selection activeCell="O20" sqref="O20"/>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29</v>
      </c>
      <c r="C2" s="31"/>
      <c r="D2" s="31"/>
      <c r="E2" s="31"/>
      <c r="F2" s="31"/>
      <c r="G2" s="32"/>
      <c r="I2" s="307" t="s">
        <v>206</v>
      </c>
      <c r="J2" s="308"/>
      <c r="K2" s="309"/>
      <c r="L2" s="309"/>
      <c r="M2" s="310"/>
      <c r="N2" s="311"/>
      <c r="O2" s="372"/>
    </row>
    <row r="3" spans="2:17" x14ac:dyDescent="0.2">
      <c r="B3" s="33" t="s">
        <v>8</v>
      </c>
      <c r="C3" s="34"/>
      <c r="D3" s="35" t="s">
        <v>168</v>
      </c>
      <c r="E3" s="34"/>
      <c r="F3" s="34" t="s">
        <v>169</v>
      </c>
      <c r="G3" s="36"/>
      <c r="I3" s="284" t="s">
        <v>170</v>
      </c>
      <c r="J3" s="285"/>
      <c r="K3" s="286"/>
      <c r="L3" s="286"/>
      <c r="M3" s="287"/>
      <c r="N3" s="314"/>
      <c r="O3" s="289"/>
    </row>
    <row r="4" spans="2:17" x14ac:dyDescent="0.2">
      <c r="B4" s="161" t="str">
        <f>'1. Data Info and Summary'!$D$2</f>
        <v>Dumaguete Branch</v>
      </c>
      <c r="C4" s="37"/>
      <c r="D4" s="38">
        <f>IF('1. Data Info and Summary'!$D$3=0,"-",'1. Data Info and Summary'!$D$3)</f>
        <v>2024</v>
      </c>
      <c r="E4" s="37"/>
      <c r="F4" s="37" t="s">
        <v>162</v>
      </c>
      <c r="G4" s="39"/>
      <c r="I4" s="316"/>
      <c r="J4" s="272"/>
      <c r="O4" s="291"/>
    </row>
    <row r="5" spans="2:17" x14ac:dyDescent="0.2">
      <c r="B5" s="271"/>
      <c r="D5" s="271"/>
      <c r="I5" s="317"/>
      <c r="J5" s="292"/>
      <c r="K5" s="294"/>
      <c r="L5" s="294"/>
      <c r="M5" s="295"/>
      <c r="N5" s="318"/>
      <c r="O5" s="297"/>
    </row>
    <row r="6" spans="2:17" x14ac:dyDescent="0.2">
      <c r="B6" s="278" t="s">
        <v>172</v>
      </c>
      <c r="C6" s="447"/>
      <c r="D6" s="448"/>
      <c r="E6" s="448"/>
      <c r="F6" s="448"/>
      <c r="G6" s="449"/>
    </row>
    <row r="7" spans="2:17" ht="12.75" customHeight="1" x14ac:dyDescent="0.2">
      <c r="B7" s="278" t="s">
        <v>174</v>
      </c>
      <c r="C7" s="447"/>
      <c r="D7" s="448"/>
      <c r="E7" s="448"/>
      <c r="F7" s="448"/>
      <c r="G7" s="449"/>
      <c r="I7" s="248" t="s">
        <v>173</v>
      </c>
      <c r="J7" s="249" t="s">
        <v>39</v>
      </c>
      <c r="K7" s="249" t="s">
        <v>43</v>
      </c>
      <c r="L7" s="250" t="s">
        <v>106</v>
      </c>
      <c r="M7" s="251" t="s">
        <v>108</v>
      </c>
      <c r="N7" s="252" t="s">
        <v>110</v>
      </c>
      <c r="O7" s="253" t="s">
        <v>54</v>
      </c>
      <c r="P7" s="48"/>
      <c r="Q7" s="20"/>
    </row>
    <row r="8" spans="2:17" x14ac:dyDescent="0.2">
      <c r="B8" s="271"/>
      <c r="D8" s="271"/>
      <c r="I8" s="194">
        <f>IF($L8="","",1)</f>
        <v>1</v>
      </c>
      <c r="J8" s="58" t="s">
        <v>338</v>
      </c>
      <c r="K8" s="18" t="str">
        <f>IF(Electricity[[#This Row],[Month]]&lt;&gt;"",VLOOKUP(Electricity[[#This Row],[Month]], dropdown!$S$4:$T$15, 2, FALSE),"")</f>
        <v>Q1</v>
      </c>
      <c r="L8" s="29">
        <v>37100</v>
      </c>
      <c r="M8" s="47">
        <v>417343.95</v>
      </c>
      <c r="N8" s="165" t="s">
        <v>515</v>
      </c>
      <c r="O8" s="195" t="s">
        <v>1538</v>
      </c>
      <c r="P8" s="48"/>
      <c r="Q8" s="20"/>
    </row>
    <row r="9" spans="2:17" x14ac:dyDescent="0.2">
      <c r="I9" s="194"/>
      <c r="J9" s="58" t="s">
        <v>89</v>
      </c>
      <c r="K9" s="426" t="str">
        <f>IF(Electricity[[#This Row],[Month]]&lt;&gt;"",VLOOKUP(Electricity[[#This Row],[Month]], dropdown!$S$4:$T$15, 2, FALSE),"")</f>
        <v>Q1</v>
      </c>
      <c r="L9" s="29">
        <v>34160</v>
      </c>
      <c r="M9" s="47">
        <v>410730.45</v>
      </c>
      <c r="N9" s="165" t="s">
        <v>515</v>
      </c>
      <c r="O9" s="195" t="s">
        <v>1687</v>
      </c>
      <c r="P9" s="48"/>
      <c r="Q9" s="20"/>
    </row>
    <row r="10" spans="2:17" ht="15" x14ac:dyDescent="0.2">
      <c r="B10" s="334" t="s">
        <v>104</v>
      </c>
      <c r="C10" s="14"/>
      <c r="D10" s="14"/>
      <c r="E10" s="14"/>
      <c r="F10" s="14"/>
      <c r="G10" s="14"/>
      <c r="I10" s="194"/>
      <c r="J10" s="58" t="s">
        <v>362</v>
      </c>
      <c r="K10" s="426" t="str">
        <f>IF(Electricity[[#This Row],[Month]]&lt;&gt;"",VLOOKUP(Electricity[[#This Row],[Month]], dropdown!$S$4:$T$15, 2, FALSE),"")</f>
        <v>Q1</v>
      </c>
      <c r="L10" s="29">
        <v>34300</v>
      </c>
      <c r="M10" s="47">
        <v>361461.44</v>
      </c>
      <c r="N10" s="165" t="s">
        <v>515</v>
      </c>
      <c r="O10" s="195" t="s">
        <v>1688</v>
      </c>
      <c r="P10" s="48"/>
      <c r="Q10" s="20"/>
    </row>
    <row r="11" spans="2:17" x14ac:dyDescent="0.2">
      <c r="B11" s="13" t="s">
        <v>155</v>
      </c>
      <c r="C11" s="13" t="s">
        <v>51</v>
      </c>
      <c r="D11" s="40" t="s">
        <v>45</v>
      </c>
      <c r="E11" s="40" t="s">
        <v>149</v>
      </c>
      <c r="F11" s="40" t="s">
        <v>150</v>
      </c>
      <c r="G11" s="40" t="s">
        <v>151</v>
      </c>
      <c r="I11" s="194"/>
      <c r="J11" s="58" t="s">
        <v>371</v>
      </c>
      <c r="K11" s="426" t="str">
        <f>IF(Electricity[[#This Row],[Month]]&lt;&gt;"",VLOOKUP(Electricity[[#This Row],[Month]], dropdown!$S$4:$T$15, 2, FALSE),"")</f>
        <v>Q2</v>
      </c>
      <c r="L11" s="29">
        <v>36960</v>
      </c>
      <c r="M11" s="47">
        <v>449519.31</v>
      </c>
      <c r="N11" s="165" t="s">
        <v>515</v>
      </c>
      <c r="O11" s="195" t="s">
        <v>1691</v>
      </c>
      <c r="P11" s="48"/>
      <c r="Q11" s="20"/>
    </row>
    <row r="12" spans="2:17" x14ac:dyDescent="0.2">
      <c r="B12" s="17" t="s">
        <v>207</v>
      </c>
      <c r="C12" s="17" t="s">
        <v>208</v>
      </c>
      <c r="D12" s="41">
        <f>SUMIFS(Electricity[Consumption (kWh)],Electricity[Quarter],D$11)</f>
        <v>105560</v>
      </c>
      <c r="E12" s="41">
        <f>SUMIFS(Electricity[Consumption (kWh)],Electricity[Quarter],E$11)</f>
        <v>108920</v>
      </c>
      <c r="F12" s="41">
        <f>SUMIFS(Electricity[Consumption (kWh)],Electricity[Quarter],F$11)</f>
        <v>110600</v>
      </c>
      <c r="G12" s="41">
        <f>SUMIFS(Electricity[Consumption (kWh)],Electricity[Quarter],G$11)</f>
        <v>105700</v>
      </c>
      <c r="I12" s="194"/>
      <c r="J12" s="58" t="s">
        <v>379</v>
      </c>
      <c r="K12" s="426" t="str">
        <f>IF(Electricity[[#This Row],[Month]]&lt;&gt;"",VLOOKUP(Electricity[[#This Row],[Month]], dropdown!$S$4:$T$15, 2, FALSE),"")</f>
        <v>Q2</v>
      </c>
      <c r="L12" s="29">
        <v>34580</v>
      </c>
      <c r="M12" s="47">
        <v>465703.4</v>
      </c>
      <c r="N12" s="165" t="s">
        <v>515</v>
      </c>
      <c r="O12" s="195" t="s">
        <v>1694</v>
      </c>
      <c r="P12" s="48"/>
      <c r="Q12" s="20"/>
    </row>
    <row r="13" spans="2:17" x14ac:dyDescent="0.2">
      <c r="D13" s="167" t="str">
        <f>IF(SUM(D$12:D$12)&gt;0,"x","")</f>
        <v>x</v>
      </c>
      <c r="E13" s="167" t="str">
        <f>IF(SUM(E$12:E$12)&gt;0,"x","")</f>
        <v>x</v>
      </c>
      <c r="F13" s="167" t="str">
        <f>IF(SUM(F$12:F$12)&gt;0,"x","")</f>
        <v>x</v>
      </c>
      <c r="G13" s="167" t="str">
        <f>IF(SUM(G$12:G$12)&gt;0,"x","")</f>
        <v>x</v>
      </c>
      <c r="I13" s="194"/>
      <c r="J13" s="58" t="s">
        <v>386</v>
      </c>
      <c r="K13" s="426" t="str">
        <f>IF(Electricity[[#This Row],[Month]]&lt;&gt;"",VLOOKUP(Electricity[[#This Row],[Month]], dropdown!$S$4:$T$15, 2, FALSE),"")</f>
        <v>Q2</v>
      </c>
      <c r="L13" s="29">
        <v>37380</v>
      </c>
      <c r="M13" s="47">
        <v>309900.12</v>
      </c>
      <c r="N13" s="165" t="s">
        <v>515</v>
      </c>
      <c r="O13" s="195" t="s">
        <v>1695</v>
      </c>
      <c r="P13" s="48"/>
      <c r="Q13" s="20"/>
    </row>
    <row r="14" spans="2:17" x14ac:dyDescent="0.2">
      <c r="B14" s="119" t="s">
        <v>38</v>
      </c>
      <c r="D14" s="168"/>
      <c r="I14" s="194"/>
      <c r="J14" s="58" t="s">
        <v>390</v>
      </c>
      <c r="K14" s="426" t="str">
        <f>IF(Electricity[[#This Row],[Month]]&lt;&gt;"",VLOOKUP(Electricity[[#This Row],[Month]], dropdown!$S$4:$T$15, 2, FALSE),"")</f>
        <v>Q3</v>
      </c>
      <c r="L14" s="29">
        <v>37100</v>
      </c>
      <c r="M14" s="47">
        <v>420774.47</v>
      </c>
      <c r="N14" s="165" t="s">
        <v>515</v>
      </c>
      <c r="O14" s="195" t="s">
        <v>1696</v>
      </c>
      <c r="P14" s="48"/>
      <c r="Q14" s="20"/>
    </row>
    <row r="15" spans="2:17" x14ac:dyDescent="0.2">
      <c r="B15" s="120" t="s">
        <v>175</v>
      </c>
      <c r="D15" s="168"/>
      <c r="I15" s="194"/>
      <c r="J15" s="58" t="s">
        <v>41</v>
      </c>
      <c r="K15" s="426" t="str">
        <f>IF(Electricity[[#This Row],[Month]]&lt;&gt;"",VLOOKUP(Electricity[[#This Row],[Month]], dropdown!$S$4:$T$15, 2, FALSE),"")</f>
        <v>Q3</v>
      </c>
      <c r="L15" s="29">
        <v>35980</v>
      </c>
      <c r="M15" s="47">
        <v>424486.96</v>
      </c>
      <c r="N15" s="165" t="s">
        <v>515</v>
      </c>
      <c r="O15" s="195" t="s">
        <v>1697</v>
      </c>
      <c r="P15" s="48"/>
      <c r="Q15" s="20"/>
    </row>
    <row r="16" spans="2:17" x14ac:dyDescent="0.2">
      <c r="B16" s="121" t="s">
        <v>176</v>
      </c>
      <c r="I16" s="194"/>
      <c r="J16" s="58" t="s">
        <v>397</v>
      </c>
      <c r="K16" s="426" t="str">
        <f>IF(Electricity[[#This Row],[Month]]&lt;&gt;"",VLOOKUP(Electricity[[#This Row],[Month]], dropdown!$S$4:$T$15, 2, FALSE),"")</f>
        <v>Q3</v>
      </c>
      <c r="L16" s="29">
        <v>37520</v>
      </c>
      <c r="M16" s="47">
        <v>521129.01</v>
      </c>
      <c r="N16" s="165" t="s">
        <v>515</v>
      </c>
      <c r="O16" s="195" t="s">
        <v>1698</v>
      </c>
      <c r="P16" s="48"/>
      <c r="Q16" s="20"/>
    </row>
    <row r="17" spans="2:17" x14ac:dyDescent="0.2">
      <c r="B17" s="122" t="s">
        <v>177</v>
      </c>
      <c r="I17" s="194"/>
      <c r="J17" s="58" t="s">
        <v>400</v>
      </c>
      <c r="K17" s="426" t="str">
        <f>IF(Electricity[[#This Row],[Month]]&lt;&gt;"",VLOOKUP(Electricity[[#This Row],[Month]], dropdown!$S$4:$T$15, 2, FALSE),"")</f>
        <v>Q4</v>
      </c>
      <c r="L17" s="29">
        <v>35000</v>
      </c>
      <c r="M17" s="47">
        <v>376523.61</v>
      </c>
      <c r="N17" s="165" t="s">
        <v>515</v>
      </c>
      <c r="O17" s="195" t="s">
        <v>1699</v>
      </c>
      <c r="P17" s="48"/>
      <c r="Q17" s="20"/>
    </row>
    <row r="18" spans="2:17" x14ac:dyDescent="0.2">
      <c r="I18" s="194">
        <f t="shared" ref="I18:I49" si="0">IF($L18="","",$I17+1)</f>
        <v>1</v>
      </c>
      <c r="J18" s="58" t="s">
        <v>404</v>
      </c>
      <c r="K18" s="426" t="str">
        <f>IF(Electricity[[#This Row],[Month]]&lt;&gt;"",VLOOKUP(Electricity[[#This Row],[Month]], dropdown!$S$4:$T$15, 2, FALSE),"")</f>
        <v>Q4</v>
      </c>
      <c r="L18" s="29">
        <v>36120</v>
      </c>
      <c r="M18" s="47">
        <v>455548.39</v>
      </c>
      <c r="N18" s="165" t="s">
        <v>515</v>
      </c>
      <c r="O18" s="195" t="s">
        <v>1700</v>
      </c>
      <c r="P18" s="48"/>
      <c r="Q18" s="20"/>
    </row>
    <row r="19" spans="2:17" x14ac:dyDescent="0.2">
      <c r="I19" s="194">
        <f t="shared" si="0"/>
        <v>2</v>
      </c>
      <c r="J19" s="58" t="s">
        <v>407</v>
      </c>
      <c r="K19" s="426" t="str">
        <f>IF(Electricity[[#This Row],[Month]]&lt;&gt;"",VLOOKUP(Electricity[[#This Row],[Month]], dropdown!$S$4:$T$15, 2, FALSE),"")</f>
        <v>Q4</v>
      </c>
      <c r="L19" s="29">
        <v>34580</v>
      </c>
      <c r="M19" s="47">
        <v>390644.42</v>
      </c>
      <c r="N19" s="165" t="s">
        <v>515</v>
      </c>
      <c r="O19" s="195" t="s">
        <v>1701</v>
      </c>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Q4</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Q4</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Q4</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178</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zoomScaleNormal="142" workbookViewId="0">
      <selection activeCell="G8" sqref="G8"/>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29</v>
      </c>
      <c r="C2" s="31"/>
      <c r="D2" s="31"/>
      <c r="E2" s="31"/>
      <c r="F2" s="31"/>
      <c r="G2" s="32"/>
      <c r="I2" s="369" t="s">
        <v>209</v>
      </c>
      <c r="J2" s="370"/>
      <c r="K2" s="370"/>
      <c r="L2" s="371"/>
      <c r="M2" s="371"/>
      <c r="N2" s="372"/>
    </row>
    <row r="3" spans="2:16" x14ac:dyDescent="0.2">
      <c r="B3" s="33" t="s">
        <v>8</v>
      </c>
      <c r="C3" s="34"/>
      <c r="D3" s="35" t="s">
        <v>168</v>
      </c>
      <c r="E3" s="34"/>
      <c r="F3" s="34" t="s">
        <v>169</v>
      </c>
      <c r="G3" s="34"/>
      <c r="I3" s="428" t="s">
        <v>210</v>
      </c>
      <c r="J3" s="285"/>
      <c r="K3" s="285"/>
      <c r="L3" s="285"/>
      <c r="M3" s="285"/>
      <c r="N3" s="289"/>
    </row>
    <row r="4" spans="2:16" x14ac:dyDescent="0.2">
      <c r="B4" s="161" t="str">
        <f>'1. Data Info and Summary'!$D$2</f>
        <v>Dumaguete Branch</v>
      </c>
      <c r="C4" s="37"/>
      <c r="D4" s="38">
        <f>IF('1. Data Info and Summary'!$D$3=0,"-",'1. Data Info and Summary'!$D$3)</f>
        <v>2024</v>
      </c>
      <c r="E4" s="37"/>
      <c r="F4" s="37" t="s">
        <v>211</v>
      </c>
      <c r="G4" s="39"/>
      <c r="I4" s="429"/>
      <c r="J4" s="293"/>
      <c r="K4" s="293"/>
      <c r="L4" s="293"/>
      <c r="M4" s="293"/>
      <c r="N4" s="297"/>
    </row>
    <row r="5" spans="2:16" x14ac:dyDescent="0.2">
      <c r="B5" s="271"/>
      <c r="D5" s="271"/>
    </row>
    <row r="6" spans="2:16" ht="30" x14ac:dyDescent="0.2">
      <c r="B6" s="278" t="s">
        <v>172</v>
      </c>
      <c r="C6" s="447" t="s">
        <v>1431</v>
      </c>
      <c r="D6" s="448"/>
      <c r="E6" s="448"/>
      <c r="F6" s="448"/>
      <c r="G6" s="449"/>
      <c r="I6" s="248" t="s">
        <v>173</v>
      </c>
      <c r="J6" s="249" t="s">
        <v>39</v>
      </c>
      <c r="K6" s="249" t="s">
        <v>43</v>
      </c>
      <c r="L6" s="250" t="s">
        <v>115</v>
      </c>
      <c r="M6" s="352" t="s">
        <v>212</v>
      </c>
      <c r="N6" s="253" t="s">
        <v>54</v>
      </c>
      <c r="O6" s="349"/>
    </row>
    <row r="7" spans="2:16" x14ac:dyDescent="0.2">
      <c r="B7" s="278" t="s">
        <v>174</v>
      </c>
      <c r="C7" s="459">
        <v>45909</v>
      </c>
      <c r="D7" s="448"/>
      <c r="E7" s="448"/>
      <c r="F7" s="448"/>
      <c r="G7" s="449"/>
      <c r="I7" s="194" t="str">
        <f>IF(Electricity6[[#This Row],[Month]]="","",1)</f>
        <v/>
      </c>
      <c r="J7" s="58"/>
      <c r="K7" s="18" t="str">
        <f>IF(Electricity6[[#This Row],[Month]]&lt;&gt;"",VLOOKUP(Electricity6[[#This Row],[Month]], dropdown!$S$4:$T$15, 2, FALSE),"")</f>
        <v/>
      </c>
      <c r="L7" s="29"/>
      <c r="M7" s="350"/>
      <c r="N7" s="195"/>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row>
    <row r="9" spans="2:16" ht="15" x14ac:dyDescent="0.2">
      <c r="B9" s="334" t="s">
        <v>213</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214</v>
      </c>
      <c r="C10" s="13" t="s">
        <v>51</v>
      </c>
      <c r="D10" s="40" t="s">
        <v>45</v>
      </c>
      <c r="E10" s="40" t="s">
        <v>149</v>
      </c>
      <c r="F10" s="40" t="s">
        <v>150</v>
      </c>
      <c r="G10" s="40" t="s">
        <v>151</v>
      </c>
      <c r="I10" s="194" t="str">
        <f>IF(Electricity6[[#This Row],[Month]]="","",I9+1)</f>
        <v/>
      </c>
      <c r="J10" s="58"/>
      <c r="K10" s="18" t="str">
        <f>IF(Electricity6[[#This Row],[Month]]&lt;&gt;"",VLOOKUP(Electricity6[[#This Row],[Month]], dropdown!$S$4:$T$15, 2, FALSE),"")</f>
        <v/>
      </c>
      <c r="L10" s="29"/>
      <c r="M10" s="350"/>
      <c r="N10" s="195"/>
    </row>
    <row r="11" spans="2:16" x14ac:dyDescent="0.2">
      <c r="B11" s="17" t="s">
        <v>207</v>
      </c>
      <c r="C11" s="17" t="s">
        <v>208</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38</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175</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176</v>
      </c>
      <c r="I15" s="194" t="str">
        <f>IF(Electricity6[[#This Row],[Month]]="","",I14+1)</f>
        <v/>
      </c>
      <c r="J15" s="58"/>
      <c r="K15" s="18" t="str">
        <f>IF(Electricity6[[#This Row],[Month]]&lt;&gt;"",VLOOKUP(Electricity6[[#This Row],[Month]], dropdown!$S$4:$T$15, 2, FALSE),"")</f>
        <v/>
      </c>
      <c r="L15" s="29"/>
      <c r="M15" s="350"/>
      <c r="N15" s="195"/>
    </row>
    <row r="16" spans="2:16" x14ac:dyDescent="0.2">
      <c r="B16" s="122" t="s">
        <v>177</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178</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zoomScaleNormal="100" workbookViewId="0">
      <selection activeCell="N19" sqref="N19"/>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29</v>
      </c>
      <c r="C2" s="31"/>
      <c r="D2" s="31"/>
      <c r="E2" s="31"/>
      <c r="F2" s="31"/>
      <c r="G2" s="32"/>
      <c r="I2" s="135" t="s">
        <v>215</v>
      </c>
      <c r="J2" s="131"/>
      <c r="K2" s="63"/>
      <c r="L2" s="63"/>
      <c r="M2" s="63"/>
      <c r="N2" s="64"/>
      <c r="O2" s="67"/>
      <c r="P2" s="67"/>
      <c r="Q2" s="133"/>
      <c r="R2" s="67"/>
      <c r="S2" s="67"/>
      <c r="T2" s="67"/>
      <c r="U2" s="142"/>
      <c r="V2" s="67"/>
      <c r="W2" s="365"/>
    </row>
    <row r="3" spans="2:23" ht="14" x14ac:dyDescent="0.2">
      <c r="B3" s="33" t="s">
        <v>8</v>
      </c>
      <c r="C3" s="34"/>
      <c r="D3" s="35" t="s">
        <v>168</v>
      </c>
      <c r="E3" s="34"/>
      <c r="F3" s="34" t="s">
        <v>169</v>
      </c>
      <c r="G3" s="36"/>
      <c r="I3" s="54" t="s">
        <v>216</v>
      </c>
      <c r="J3" s="366"/>
      <c r="W3" s="367"/>
    </row>
    <row r="4" spans="2:23" ht="14" x14ac:dyDescent="0.2">
      <c r="B4" s="161" t="str">
        <f>'1. Data Info and Summary'!$D$2</f>
        <v>Dumaguete Branch</v>
      </c>
      <c r="C4" s="37"/>
      <c r="D4" s="38">
        <f>IF('1. Data Info and Summary'!$D$3=0,"-",'1. Data Info and Summary'!$D$3)</f>
        <v>2024</v>
      </c>
      <c r="E4" s="37"/>
      <c r="F4" s="37" t="s">
        <v>164</v>
      </c>
      <c r="G4" s="39"/>
      <c r="I4" s="136" t="s">
        <v>217</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172</v>
      </c>
      <c r="C6" s="447" t="s">
        <v>1431</v>
      </c>
      <c r="D6" s="448"/>
      <c r="E6" s="448"/>
      <c r="F6" s="448"/>
      <c r="G6" s="449"/>
      <c r="I6" s="134" t="s">
        <v>120</v>
      </c>
      <c r="J6" s="65"/>
      <c r="K6" s="65"/>
      <c r="L6" s="65"/>
      <c r="M6" s="65"/>
      <c r="N6" s="66"/>
      <c r="P6" s="134" t="s">
        <v>128</v>
      </c>
      <c r="Q6" s="65"/>
      <c r="R6" s="65"/>
      <c r="S6" s="65"/>
      <c r="T6" s="66"/>
      <c r="U6" s="66"/>
      <c r="W6" s="20"/>
    </row>
    <row r="7" spans="2:23" ht="12.75" customHeight="1" x14ac:dyDescent="0.2">
      <c r="B7" s="278" t="s">
        <v>174</v>
      </c>
      <c r="C7" s="459">
        <v>45909</v>
      </c>
      <c r="D7" s="448"/>
      <c r="E7" s="448"/>
      <c r="F7" s="448"/>
      <c r="G7" s="449"/>
      <c r="I7" s="248" t="s">
        <v>173</v>
      </c>
      <c r="J7" s="249" t="s">
        <v>39</v>
      </c>
      <c r="K7" s="249" t="s">
        <v>43</v>
      </c>
      <c r="L7" s="249" t="s">
        <v>122</v>
      </c>
      <c r="M7" s="250" t="s">
        <v>125</v>
      </c>
      <c r="N7" s="253" t="s">
        <v>54</v>
      </c>
      <c r="O7" s="68"/>
      <c r="P7" s="248" t="s">
        <v>173</v>
      </c>
      <c r="Q7" s="249" t="s">
        <v>39</v>
      </c>
      <c r="R7" s="249" t="s">
        <v>43</v>
      </c>
      <c r="S7" s="261" t="s">
        <v>131</v>
      </c>
      <c r="T7" s="250" t="s">
        <v>218</v>
      </c>
      <c r="U7" s="262" t="s">
        <v>54</v>
      </c>
      <c r="W7" s="20"/>
    </row>
    <row r="8" spans="2:23" ht="14" x14ac:dyDescent="0.2">
      <c r="B8" s="20"/>
      <c r="C8" s="20"/>
      <c r="D8" s="20"/>
      <c r="E8" s="20"/>
      <c r="F8" s="20"/>
      <c r="G8" s="20"/>
      <c r="I8" s="194">
        <f>IF($M8="","",1)</f>
        <v>1</v>
      </c>
      <c r="J8" s="58" t="s">
        <v>338</v>
      </c>
      <c r="K8" s="18" t="str">
        <f>IF(water_in[[#This Row],[Month]]&lt;&gt;"",VLOOKUP(water_in[[#This Row],[Month]], dropdown!$S$4:$T$15, 2, FALSE),"")</f>
        <v>Q1</v>
      </c>
      <c r="L8" s="58" t="s">
        <v>124</v>
      </c>
      <c r="M8" s="29">
        <v>140</v>
      </c>
      <c r="N8" s="195" t="s">
        <v>1551</v>
      </c>
      <c r="O8" s="44"/>
      <c r="P8" s="194" t="str">
        <f>IF($T8="","",1)</f>
        <v/>
      </c>
      <c r="Q8" s="58"/>
      <c r="R8" s="18" t="str">
        <f>IF(water_out[[#This Row],[Month]]&lt;&gt;"",VLOOKUP(water_out[[#This Row],[Month]], dropdown!$S$4:$T$15, 2, FALSE),"")</f>
        <v/>
      </c>
      <c r="S8" s="60"/>
      <c r="T8" s="29"/>
      <c r="U8" s="195"/>
      <c r="W8" s="20"/>
    </row>
    <row r="9" spans="2:23" ht="14" x14ac:dyDescent="0.2">
      <c r="B9" s="14" t="s">
        <v>219</v>
      </c>
      <c r="C9" s="14"/>
      <c r="D9" s="14"/>
      <c r="E9" s="14"/>
      <c r="F9" s="14"/>
      <c r="G9" s="14"/>
      <c r="I9" s="194">
        <f>IF($M9="","",$I8+1)</f>
        <v>2</v>
      </c>
      <c r="J9" s="58" t="s">
        <v>89</v>
      </c>
      <c r="K9" s="18" t="str">
        <f>IF(water_in[[#This Row],[Month]]&lt;&gt;"",VLOOKUP(water_in[[#This Row],[Month]], dropdown!$S$4:$T$15, 2, FALSE),"")</f>
        <v>Q1</v>
      </c>
      <c r="L9" s="58" t="s">
        <v>124</v>
      </c>
      <c r="M9" s="29">
        <v>115</v>
      </c>
      <c r="N9" s="195" t="s">
        <v>1723</v>
      </c>
      <c r="O9" s="44"/>
      <c r="P9" s="194" t="str">
        <f>IF($T9="","",$P8+1)</f>
        <v/>
      </c>
      <c r="Q9" s="58"/>
      <c r="R9" s="18" t="str">
        <f>IF(water_out[[#This Row],[Month]]&lt;&gt;"",VLOOKUP(water_out[[#This Row],[Month]], dropdown!$S$4:$T$15, 2, FALSE),"")</f>
        <v/>
      </c>
      <c r="S9" s="60"/>
      <c r="T9" s="29"/>
      <c r="U9" s="195"/>
      <c r="W9" s="20"/>
    </row>
    <row r="10" spans="2:23" ht="14" x14ac:dyDescent="0.2">
      <c r="B10" s="13" t="s">
        <v>157</v>
      </c>
      <c r="C10" s="13" t="s">
        <v>51</v>
      </c>
      <c r="D10" s="40" t="s">
        <v>45</v>
      </c>
      <c r="E10" s="40" t="s">
        <v>149</v>
      </c>
      <c r="F10" s="40" t="s">
        <v>150</v>
      </c>
      <c r="G10" s="40" t="s">
        <v>151</v>
      </c>
      <c r="I10" s="194">
        <f t="shared" ref="I10:I73" si="0">IF($M10="","",$I9+1)</f>
        <v>3</v>
      </c>
      <c r="J10" s="58" t="s">
        <v>362</v>
      </c>
      <c r="K10" s="426" t="str">
        <f>IF(water_in[[#This Row],[Month]]&lt;&gt;"",VLOOKUP(water_in[[#This Row],[Month]], dropdown!$S$4:$T$15, 2, FALSE),"")</f>
        <v>Q1</v>
      </c>
      <c r="L10" s="58" t="s">
        <v>124</v>
      </c>
      <c r="M10" s="29">
        <v>112</v>
      </c>
      <c r="N10" s="195" t="s">
        <v>1724</v>
      </c>
      <c r="O10" s="44"/>
      <c r="P10" s="194" t="str">
        <f t="shared" ref="P10:P73" si="1">IF($T10="","",$P9+1)</f>
        <v/>
      </c>
      <c r="Q10" s="58"/>
      <c r="R10" s="18" t="str">
        <f>IF(water_out[[#This Row],[Month]]&lt;&gt;"",VLOOKUP(water_out[[#This Row],[Month]], dropdown!$S$4:$T$15, 2, FALSE),"")</f>
        <v/>
      </c>
      <c r="S10" s="60"/>
      <c r="T10" s="29"/>
      <c r="U10" s="195"/>
      <c r="W10" s="20"/>
    </row>
    <row r="11" spans="2:23" ht="14" x14ac:dyDescent="0.2">
      <c r="B11" s="17" t="s">
        <v>120</v>
      </c>
      <c r="C11" s="17" t="s">
        <v>220</v>
      </c>
      <c r="D11" s="41">
        <f>SUMIFS(water_in[Volume (m3)],water_in[Quarter],D$10)</f>
        <v>367</v>
      </c>
      <c r="E11" s="41">
        <f>SUMIFS(water_in[Volume (m3)],water_in[Quarter],E$10)</f>
        <v>508</v>
      </c>
      <c r="F11" s="41">
        <f>SUMIFS(water_in[Volume (m3)],water_in[Quarter],F$10)</f>
        <v>685</v>
      </c>
      <c r="G11" s="41">
        <f>SUMIFS(water_in[Volume (m3)],water_in[Quarter],G$10)</f>
        <v>776</v>
      </c>
      <c r="I11" s="194">
        <f t="shared" si="0"/>
        <v>4</v>
      </c>
      <c r="J11" s="58" t="s">
        <v>371</v>
      </c>
      <c r="K11" s="426" t="str">
        <f>IF(water_in[[#This Row],[Month]]&lt;&gt;"",VLOOKUP(water_in[[#This Row],[Month]], dropdown!$S$4:$T$15, 2, FALSE),"")</f>
        <v>Q2</v>
      </c>
      <c r="L11" s="58" t="s">
        <v>124</v>
      </c>
      <c r="M11" s="29">
        <v>131</v>
      </c>
      <c r="N11" s="195" t="s">
        <v>1725</v>
      </c>
      <c r="O11" s="44"/>
      <c r="P11" s="194" t="str">
        <f t="shared" si="1"/>
        <v/>
      </c>
      <c r="Q11" s="58"/>
      <c r="R11" s="18" t="str">
        <f>IF(water_out[[#This Row],[Month]]&lt;&gt;"",VLOOKUP(water_out[[#This Row],[Month]], dropdown!$S$4:$T$15, 2, FALSE),"")</f>
        <v/>
      </c>
      <c r="S11" s="60"/>
      <c r="T11" s="29"/>
      <c r="U11" s="195"/>
      <c r="W11" s="20"/>
    </row>
    <row r="12" spans="2:23" ht="14" x14ac:dyDescent="0.2">
      <c r="B12" s="17" t="s">
        <v>128</v>
      </c>
      <c r="C12" s="17" t="s">
        <v>220</v>
      </c>
      <c r="D12" s="41">
        <f>SUMIFS(water_out[Volume2 (m3)],water_out[Quarter],D$10)</f>
        <v>0</v>
      </c>
      <c r="E12" s="41">
        <f>SUMIFS(water_out[Volume2 (m3)],water_out[Quarter],E$10)</f>
        <v>0</v>
      </c>
      <c r="F12" s="41">
        <f>SUMIFS(water_out[Volume2 (m3)],water_out[Quarter],F$10)</f>
        <v>0</v>
      </c>
      <c r="G12" s="41">
        <f>SUMIFS(water_out[Volume2 (m3)],water_out[Quarter],G$10)</f>
        <v>0</v>
      </c>
      <c r="I12" s="194">
        <f t="shared" si="0"/>
        <v>5</v>
      </c>
      <c r="J12" s="58" t="s">
        <v>379</v>
      </c>
      <c r="K12" s="426" t="str">
        <f>IF(water_in[[#This Row],[Month]]&lt;&gt;"",VLOOKUP(water_in[[#This Row],[Month]], dropdown!$S$4:$T$15, 2, FALSE),"")</f>
        <v>Q2</v>
      </c>
      <c r="L12" s="58" t="s">
        <v>124</v>
      </c>
      <c r="M12" s="29">
        <v>182</v>
      </c>
      <c r="N12" s="195" t="s">
        <v>1726</v>
      </c>
      <c r="O12" s="44" t="str">
        <f>IF(J12="","",VLOOKUP($J12,dropdown!$S$3:$T$15,2,FALSE))</f>
        <v>Q2</v>
      </c>
      <c r="P12" s="194" t="str">
        <f t="shared" si="1"/>
        <v/>
      </c>
      <c r="Q12" s="58"/>
      <c r="R12" s="18" t="str">
        <f>IF(water_out[[#This Row],[Month]]&lt;&gt;"",VLOOKUP(water_out[[#This Row],[Month]], dropdown!$S$4:$T$15, 2, FALSE),"")</f>
        <v/>
      </c>
      <c r="S12" s="60"/>
      <c r="T12" s="29"/>
      <c r="U12" s="195"/>
      <c r="W12" s="20"/>
    </row>
    <row r="13" spans="2:23" ht="14" x14ac:dyDescent="0.2">
      <c r="D13" s="167" t="str">
        <f>IF(SUM(D$11:D$12)&gt;0,"x","")</f>
        <v>x</v>
      </c>
      <c r="E13" s="167" t="str">
        <f>IF(SUM(E$11:E$12)&gt;0,"x","")</f>
        <v>x</v>
      </c>
      <c r="F13" s="167" t="str">
        <f>IF(SUM(F$11:F$12)&gt;0,"x","")</f>
        <v>x</v>
      </c>
      <c r="G13" s="167" t="str">
        <f>IF(SUM(G$11:G$12)&gt;0,"x","")</f>
        <v>x</v>
      </c>
      <c r="I13" s="194">
        <f t="shared" si="0"/>
        <v>6</v>
      </c>
      <c r="J13" s="58" t="s">
        <v>386</v>
      </c>
      <c r="K13" s="426" t="str">
        <f>IF(water_in[[#This Row],[Month]]&lt;&gt;"",VLOOKUP(water_in[[#This Row],[Month]], dropdown!$S$4:$T$15, 2, FALSE),"")</f>
        <v>Q2</v>
      </c>
      <c r="L13" s="58" t="s">
        <v>124</v>
      </c>
      <c r="M13" s="29">
        <v>195</v>
      </c>
      <c r="N13" s="195" t="s">
        <v>1727</v>
      </c>
      <c r="O13" s="44" t="str">
        <f>IF(J13="","",VLOOKUP($J13,dropdown!$S$3:$T$15,2,FALSE))</f>
        <v>Q2</v>
      </c>
      <c r="P13" s="194" t="str">
        <f t="shared" si="1"/>
        <v/>
      </c>
      <c r="Q13" s="58"/>
      <c r="R13" s="18" t="str">
        <f>IF(water_out[[#This Row],[Month]]&lt;&gt;"",VLOOKUP(water_out[[#This Row],[Month]], dropdown!$S$4:$T$15, 2, FALSE),"")</f>
        <v/>
      </c>
      <c r="S13" s="60"/>
      <c r="T13" s="29"/>
      <c r="U13" s="195"/>
      <c r="W13" s="20"/>
    </row>
    <row r="14" spans="2:23" ht="14" x14ac:dyDescent="0.2">
      <c r="B14" s="119" t="s">
        <v>38</v>
      </c>
      <c r="I14" s="194">
        <f t="shared" si="0"/>
        <v>7</v>
      </c>
      <c r="J14" s="58" t="s">
        <v>390</v>
      </c>
      <c r="K14" s="426" t="str">
        <f>IF(water_in[[#This Row],[Month]]&lt;&gt;"",VLOOKUP(water_in[[#This Row],[Month]], dropdown!$S$4:$T$15, 2, FALSE),"")</f>
        <v>Q3</v>
      </c>
      <c r="L14" s="58" t="s">
        <v>124</v>
      </c>
      <c r="M14" s="29">
        <v>202</v>
      </c>
      <c r="N14" s="195" t="s">
        <v>1728</v>
      </c>
      <c r="O14" s="44" t="str">
        <f>IF(J14="","",VLOOKUP($J14,dropdown!$S$3:$T$15,2,FALSE))</f>
        <v>Q3</v>
      </c>
      <c r="P14" s="194" t="str">
        <f t="shared" si="1"/>
        <v/>
      </c>
      <c r="Q14" s="58"/>
      <c r="R14" s="18" t="str">
        <f>IF(water_out[[#This Row],[Month]]&lt;&gt;"",VLOOKUP(water_out[[#This Row],[Month]], dropdown!$S$4:$T$15, 2, FALSE),"")</f>
        <v/>
      </c>
      <c r="S14" s="60"/>
      <c r="T14" s="29"/>
      <c r="U14" s="195"/>
      <c r="W14" s="20"/>
    </row>
    <row r="15" spans="2:23" ht="11" customHeight="1" x14ac:dyDescent="0.2">
      <c r="B15" s="120" t="s">
        <v>175</v>
      </c>
      <c r="I15" s="194">
        <f t="shared" si="0"/>
        <v>8</v>
      </c>
      <c r="J15" s="58" t="s">
        <v>41</v>
      </c>
      <c r="K15" s="426" t="str">
        <f>IF(water_in[[#This Row],[Month]]&lt;&gt;"",VLOOKUP(water_in[[#This Row],[Month]], dropdown!$S$4:$T$15, 2, FALSE),"")</f>
        <v>Q3</v>
      </c>
      <c r="L15" s="58" t="s">
        <v>124</v>
      </c>
      <c r="M15" s="29">
        <v>246</v>
      </c>
      <c r="N15" s="195" t="s">
        <v>1729</v>
      </c>
      <c r="O15" s="44" t="str">
        <f>IF(J15="","",VLOOKUP($J15,dropdown!$S$3:$T$15,2,FALSE))</f>
        <v>Q3</v>
      </c>
      <c r="P15" s="194" t="str">
        <f t="shared" si="1"/>
        <v/>
      </c>
      <c r="Q15" s="58"/>
      <c r="R15" s="18" t="str">
        <f>IF(water_out[[#This Row],[Month]]&lt;&gt;"",VLOOKUP(water_out[[#This Row],[Month]], dropdown!$S$4:$T$15, 2, FALSE),"")</f>
        <v/>
      </c>
      <c r="S15" s="60"/>
      <c r="T15" s="29"/>
      <c r="U15" s="195"/>
      <c r="W15" s="20"/>
    </row>
    <row r="16" spans="2:23" ht="14" x14ac:dyDescent="0.2">
      <c r="B16" s="121" t="s">
        <v>176</v>
      </c>
      <c r="I16" s="194">
        <f t="shared" si="0"/>
        <v>9</v>
      </c>
      <c r="J16" s="58" t="s">
        <v>397</v>
      </c>
      <c r="K16" s="426" t="str">
        <f>IF(water_in[[#This Row],[Month]]&lt;&gt;"",VLOOKUP(water_in[[#This Row],[Month]], dropdown!$S$4:$T$15, 2, FALSE),"")</f>
        <v>Q3</v>
      </c>
      <c r="L16" s="58" t="s">
        <v>124</v>
      </c>
      <c r="M16" s="29">
        <v>237</v>
      </c>
      <c r="N16" s="195" t="s">
        <v>1730</v>
      </c>
      <c r="O16" s="44" t="str">
        <f>IF(J16="","",VLOOKUP($J16,dropdown!$S$3:$T$15,2,FALSE))</f>
        <v>Q3</v>
      </c>
      <c r="P16" s="194" t="str">
        <f t="shared" si="1"/>
        <v/>
      </c>
      <c r="Q16" s="58"/>
      <c r="R16" s="18" t="str">
        <f>IF(water_out[[#This Row],[Month]]&lt;&gt;"",VLOOKUP(water_out[[#This Row],[Month]], dropdown!$S$4:$T$15, 2, FALSE),"")</f>
        <v/>
      </c>
      <c r="S16" s="60"/>
      <c r="T16" s="29"/>
      <c r="U16" s="195"/>
      <c r="W16" s="20"/>
    </row>
    <row r="17" spans="2:23" ht="14" x14ac:dyDescent="0.2">
      <c r="B17" s="122" t="s">
        <v>177</v>
      </c>
      <c r="I17" s="194">
        <f t="shared" si="0"/>
        <v>10</v>
      </c>
      <c r="J17" s="58" t="s">
        <v>400</v>
      </c>
      <c r="K17" s="426" t="str">
        <f>IF(water_in[[#This Row],[Month]]&lt;&gt;"",VLOOKUP(water_in[[#This Row],[Month]], dropdown!$S$4:$T$15, 2, FALSE),"")</f>
        <v>Q4</v>
      </c>
      <c r="L17" s="58" t="s">
        <v>124</v>
      </c>
      <c r="M17" s="29">
        <v>242</v>
      </c>
      <c r="N17" s="195" t="s">
        <v>1731</v>
      </c>
      <c r="O17" s="44" t="str">
        <f>IF(J17="","",VLOOKUP($J17,dropdown!$S$3:$T$15,2,FALSE))</f>
        <v>Q4</v>
      </c>
      <c r="P17" s="194" t="str">
        <f t="shared" si="1"/>
        <v/>
      </c>
      <c r="Q17" s="58"/>
      <c r="R17" s="18" t="str">
        <f>IF(water_out[[#This Row],[Month]]&lt;&gt;"",VLOOKUP(water_out[[#This Row],[Month]], dropdown!$S$4:$T$15, 2, FALSE),"")</f>
        <v/>
      </c>
      <c r="S17" s="60"/>
      <c r="T17" s="29"/>
      <c r="U17" s="195"/>
      <c r="V17" s="44" t="s">
        <v>43</v>
      </c>
      <c r="W17" s="20"/>
    </row>
    <row r="18" spans="2:23" ht="14" x14ac:dyDescent="0.2">
      <c r="I18" s="194">
        <f t="shared" si="0"/>
        <v>11</v>
      </c>
      <c r="J18" s="58" t="s">
        <v>404</v>
      </c>
      <c r="K18" s="426" t="str">
        <f>IF(water_in[[#This Row],[Month]]&lt;&gt;"",VLOOKUP(water_in[[#This Row],[Month]], dropdown!$S$4:$T$15, 2, FALSE),"")</f>
        <v>Q4</v>
      </c>
      <c r="L18" s="58" t="s">
        <v>124</v>
      </c>
      <c r="M18" s="29">
        <v>237</v>
      </c>
      <c r="N18" s="195" t="s">
        <v>1732</v>
      </c>
      <c r="O18" s="44" t="str">
        <f>IF(J18="","",VLOOKUP($J18,dropdown!$S$3:$T$15,2,FALSE))</f>
        <v>Q4</v>
      </c>
      <c r="P18" s="194" t="str">
        <f t="shared" si="1"/>
        <v/>
      </c>
      <c r="Q18" s="58"/>
      <c r="R18" s="18" t="str">
        <f>IF(water_out[[#This Row],[Month]]&lt;&gt;"",VLOOKUP(water_out[[#This Row],[Month]], dropdown!$S$4:$T$15, 2, FALSE),"")</f>
        <v/>
      </c>
      <c r="S18" s="60"/>
      <c r="T18" s="29"/>
      <c r="U18" s="195"/>
      <c r="V18" s="44" t="str">
        <f>IF(Q8="","",VLOOKUP($Q8,dropdown!$S$3:$T$15,2,FALSE))</f>
        <v/>
      </c>
      <c r="W18" s="20"/>
    </row>
    <row r="19" spans="2:23" ht="14" x14ac:dyDescent="0.2">
      <c r="I19" s="194">
        <f t="shared" si="0"/>
        <v>12</v>
      </c>
      <c r="J19" s="58" t="s">
        <v>407</v>
      </c>
      <c r="K19" s="426" t="str">
        <f>IF(water_in[[#This Row],[Month]]&lt;&gt;"",VLOOKUP(water_in[[#This Row],[Month]], dropdown!$S$4:$T$15, 2, FALSE),"")</f>
        <v>Q4</v>
      </c>
      <c r="L19" s="58" t="s">
        <v>124</v>
      </c>
      <c r="M19" s="29">
        <v>297</v>
      </c>
      <c r="N19" s="195" t="s">
        <v>1733</v>
      </c>
      <c r="O19" s="44" t="str">
        <f>IF(J19="","",VLOOKUP($J19,dropdown!$S$3:$T$15,2,FALSE))</f>
        <v>Q4</v>
      </c>
      <c r="P19" s="194" t="str">
        <f t="shared" si="1"/>
        <v/>
      </c>
      <c r="Q19" s="58"/>
      <c r="R19" s="18" t="str">
        <f>IF(water_out[[#This Row],[Month]]&lt;&gt;"",VLOOKUP(water_out[[#This Row],[Month]], dropdown!$S$4:$T$15, 2, FALSE),"")</f>
        <v/>
      </c>
      <c r="S19" s="60"/>
      <c r="T19" s="29"/>
      <c r="U19" s="195"/>
      <c r="V19" s="44" t="str">
        <f>IF(Q9="","",VLOOKUP($Q9,dropdown!$S$3:$T$15,2,FALSE))</f>
        <v/>
      </c>
      <c r="W19" s="20"/>
    </row>
    <row r="20" spans="2:23"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
      </c>
      <c r="W20" s="20"/>
    </row>
    <row r="21" spans="2:23"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
      </c>
      <c r="W21" s="20"/>
    </row>
    <row r="22" spans="2:23"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
      </c>
      <c r="W22" s="20"/>
    </row>
    <row r="23" spans="2:23"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
      </c>
      <c r="W23" s="20"/>
    </row>
    <row r="24" spans="2:23"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
      </c>
      <c r="W24" s="20"/>
    </row>
    <row r="25" spans="2:23"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178</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29</v>
      </c>
      <c r="C2" s="31"/>
      <c r="D2" s="31"/>
      <c r="E2" s="31"/>
      <c r="F2" s="31"/>
      <c r="G2" s="32"/>
      <c r="I2" s="307" t="s">
        <v>221</v>
      </c>
      <c r="J2" s="308"/>
      <c r="K2" s="309"/>
      <c r="L2" s="310"/>
      <c r="M2" s="311"/>
      <c r="N2" s="312"/>
      <c r="O2" s="313"/>
    </row>
    <row r="3" spans="2:15" x14ac:dyDescent="0.2">
      <c r="B3" s="33" t="s">
        <v>8</v>
      </c>
      <c r="C3" s="34"/>
      <c r="D3" s="35" t="s">
        <v>168</v>
      </c>
      <c r="E3" s="34"/>
      <c r="F3" s="34" t="s">
        <v>169</v>
      </c>
      <c r="G3" s="36"/>
      <c r="I3" s="284" t="s">
        <v>222</v>
      </c>
      <c r="J3" s="285"/>
      <c r="K3" s="286"/>
      <c r="L3" s="287"/>
      <c r="M3" s="314"/>
      <c r="N3" s="315"/>
      <c r="O3" s="289"/>
    </row>
    <row r="4" spans="2:15" x14ac:dyDescent="0.2">
      <c r="B4" s="161" t="str">
        <f>'1. Data Info and Summary'!$D$2</f>
        <v>Dumaguete Branch</v>
      </c>
      <c r="C4" s="37"/>
      <c r="D4" s="38">
        <f>'1. Data Info and Summary'!$D$3</f>
        <v>2024</v>
      </c>
      <c r="E4" s="37"/>
      <c r="F4" s="37" t="s">
        <v>223</v>
      </c>
      <c r="G4" s="39"/>
      <c r="I4" s="290" t="s">
        <v>224</v>
      </c>
      <c r="O4" s="291"/>
    </row>
    <row r="5" spans="2:15" x14ac:dyDescent="0.2">
      <c r="B5" s="271"/>
      <c r="D5" s="271"/>
      <c r="I5" s="324" t="s">
        <v>225</v>
      </c>
      <c r="O5" s="291"/>
    </row>
    <row r="6" spans="2:15" x14ac:dyDescent="0.2">
      <c r="B6" s="278" t="s">
        <v>226</v>
      </c>
      <c r="C6" s="279"/>
      <c r="D6" s="278" t="s">
        <v>227</v>
      </c>
      <c r="E6" s="279"/>
      <c r="I6" s="323" t="s">
        <v>228</v>
      </c>
      <c r="J6" s="293"/>
      <c r="K6" s="294"/>
      <c r="L6" s="295"/>
      <c r="M6" s="318"/>
      <c r="N6" s="319"/>
      <c r="O6" s="297"/>
    </row>
    <row r="7" spans="2:15" x14ac:dyDescent="0.2">
      <c r="B7" s="278" t="s">
        <v>229</v>
      </c>
      <c r="C7" s="279"/>
      <c r="D7" s="278" t="s">
        <v>229</v>
      </c>
      <c r="E7" s="279"/>
      <c r="I7" s="271"/>
    </row>
    <row r="8" spans="2:15" x14ac:dyDescent="0.2">
      <c r="B8" s="278" t="s">
        <v>230</v>
      </c>
      <c r="C8" s="280"/>
      <c r="D8" s="278" t="s">
        <v>230</v>
      </c>
      <c r="E8" s="280"/>
      <c r="I8" s="271"/>
    </row>
    <row r="9" spans="2:15" x14ac:dyDescent="0.2">
      <c r="B9" s="327"/>
      <c r="C9" s="328"/>
      <c r="D9" s="327"/>
      <c r="E9" s="306"/>
      <c r="I9" s="271"/>
    </row>
    <row r="10" spans="2:15" ht="19" x14ac:dyDescent="0.25">
      <c r="B10" s="257" t="s">
        <v>231</v>
      </c>
      <c r="C10" s="31"/>
      <c r="D10" s="31"/>
      <c r="E10" s="31"/>
      <c r="F10" s="31"/>
      <c r="G10" s="32"/>
      <c r="I10" s="271"/>
    </row>
    <row r="11" spans="2:15" x14ac:dyDescent="0.2">
      <c r="I11" s="321" t="s">
        <v>232</v>
      </c>
    </row>
    <row r="12" spans="2:15" ht="15" x14ac:dyDescent="0.2">
      <c r="B12" s="119" t="s">
        <v>38</v>
      </c>
      <c r="C12"/>
      <c r="D12" s="119" t="s">
        <v>233</v>
      </c>
      <c r="E12" s="119"/>
      <c r="F12" s="119"/>
      <c r="G12"/>
      <c r="I12" s="216" t="s">
        <v>234</v>
      </c>
      <c r="J12" s="217" t="s">
        <v>235</v>
      </c>
      <c r="K12" s="217" t="s">
        <v>236</v>
      </c>
      <c r="L12" s="221" t="s">
        <v>237</v>
      </c>
      <c r="M12" s="218" t="s">
        <v>238</v>
      </c>
      <c r="N12" s="219" t="s">
        <v>239</v>
      </c>
      <c r="O12" s="223" t="s">
        <v>240</v>
      </c>
    </row>
    <row r="13" spans="2:15" ht="16" x14ac:dyDescent="0.2">
      <c r="B13" s="330" t="s">
        <v>175</v>
      </c>
      <c r="C13"/>
      <c r="D13" s="325">
        <v>1000</v>
      </c>
      <c r="E13" s="326"/>
      <c r="F13" s="120" t="s">
        <v>241</v>
      </c>
      <c r="G13"/>
      <c r="I13" s="220" t="s">
        <v>242</v>
      </c>
      <c r="J13" s="220" t="s">
        <v>243</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176</v>
      </c>
      <c r="C14"/>
      <c r="D14" s="119" t="s">
        <v>244</v>
      </c>
      <c r="E14" s="119"/>
      <c r="F14" s="119"/>
      <c r="G14"/>
      <c r="I14" s="220" t="s">
        <v>245</v>
      </c>
      <c r="J14" s="220" t="s">
        <v>246</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177</v>
      </c>
      <c r="C15"/>
      <c r="D15" s="222">
        <v>4.0800000000000003E-2</v>
      </c>
      <c r="E15" s="215"/>
      <c r="F15" s="122" t="s">
        <v>247</v>
      </c>
      <c r="G15"/>
      <c r="I15" s="220" t="s">
        <v>248</v>
      </c>
      <c r="J15" s="220" t="s">
        <v>249</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250</v>
      </c>
      <c r="J16" s="220" t="s">
        <v>251</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252</v>
      </c>
      <c r="D17" s="119" t="s">
        <v>253</v>
      </c>
      <c r="E17" s="119"/>
      <c r="F17" s="119"/>
      <c r="I17" s="220" t="s">
        <v>254</v>
      </c>
      <c r="J17" s="220" t="s">
        <v>255</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256</v>
      </c>
      <c r="I18" s="220" t="s">
        <v>257</v>
      </c>
      <c r="J18" s="220" t="s">
        <v>258</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259</v>
      </c>
      <c r="I19" s="220" t="s">
        <v>260</v>
      </c>
      <c r="J19" s="220" t="s">
        <v>261</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262</v>
      </c>
      <c r="J20" s="220" t="s">
        <v>263</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264</v>
      </c>
      <c r="J21" s="220" t="s">
        <v>265</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266</v>
      </c>
      <c r="J22" s="220" t="s">
        <v>267</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268</v>
      </c>
      <c r="J23" s="220" t="s">
        <v>269</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270</v>
      </c>
      <c r="J24" s="220" t="s">
        <v>271</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272</v>
      </c>
      <c r="J25" s="220" t="s">
        <v>273</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274</v>
      </c>
      <c r="J26" s="220" t="s">
        <v>275</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276</v>
      </c>
      <c r="J27" s="220" t="s">
        <v>277</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278</v>
      </c>
      <c r="J28" s="220" t="s">
        <v>279</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280</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topLeftCell="E1" zoomScaleNormal="100" workbookViewId="0">
      <selection activeCell="M10" sqref="M10"/>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29</v>
      </c>
      <c r="C2" s="31"/>
      <c r="D2" s="31"/>
      <c r="E2" s="31"/>
      <c r="F2" s="31"/>
      <c r="G2" s="32"/>
      <c r="I2" s="377" t="s">
        <v>281</v>
      </c>
      <c r="J2" s="378"/>
      <c r="K2" s="378"/>
      <c r="L2" s="379"/>
      <c r="M2" s="380"/>
      <c r="N2" s="379"/>
      <c r="O2" s="381"/>
      <c r="Q2" s="44"/>
    </row>
    <row r="3" spans="2:17" x14ac:dyDescent="0.2">
      <c r="B3" s="33" t="s">
        <v>8</v>
      </c>
      <c r="C3" s="34"/>
      <c r="D3" s="35" t="s">
        <v>168</v>
      </c>
      <c r="E3" s="34"/>
      <c r="F3" s="34" t="s">
        <v>169</v>
      </c>
      <c r="G3" s="36"/>
      <c r="I3" s="54"/>
      <c r="O3" s="23"/>
      <c r="Q3" s="44"/>
    </row>
    <row r="4" spans="2:17" x14ac:dyDescent="0.2">
      <c r="B4" s="161" t="str">
        <f>'1. Data Info and Summary'!$D$2</f>
        <v>Dumaguete Branch</v>
      </c>
      <c r="C4" s="37"/>
      <c r="D4" s="38">
        <f>IF('1. Data Info and Summary'!$D$3=0,"-",'1. Data Info and Summary'!$D$3)</f>
        <v>2024</v>
      </c>
      <c r="E4" s="37"/>
      <c r="F4" s="37" t="s">
        <v>165</v>
      </c>
      <c r="G4" s="39"/>
      <c r="I4" s="42"/>
      <c r="J4" s="25"/>
      <c r="K4" s="25"/>
      <c r="L4" s="24"/>
      <c r="M4" s="26"/>
      <c r="N4" s="24"/>
      <c r="O4" s="27"/>
      <c r="Q4" s="44"/>
    </row>
    <row r="5" spans="2:17" x14ac:dyDescent="0.2">
      <c r="B5" s="212"/>
      <c r="C5" s="213"/>
      <c r="D5" s="212"/>
      <c r="E5" s="213"/>
      <c r="F5" s="213"/>
      <c r="G5" s="213"/>
      <c r="Q5" s="44"/>
    </row>
    <row r="6" spans="2:17" x14ac:dyDescent="0.2">
      <c r="B6" s="278" t="s">
        <v>172</v>
      </c>
      <c r="C6" s="447" t="s">
        <v>1431</v>
      </c>
      <c r="D6" s="448"/>
      <c r="E6" s="448"/>
      <c r="F6" s="448"/>
      <c r="G6" s="449"/>
      <c r="I6" s="409" t="s">
        <v>282</v>
      </c>
      <c r="J6" s="407"/>
      <c r="K6" s="407"/>
      <c r="L6" s="407"/>
      <c r="M6" s="408"/>
      <c r="N6" s="407"/>
      <c r="O6" s="407"/>
      <c r="Q6" s="44"/>
    </row>
    <row r="7" spans="2:17" ht="25.5" customHeight="1" x14ac:dyDescent="0.2">
      <c r="B7" s="278" t="s">
        <v>174</v>
      </c>
      <c r="C7" s="447"/>
      <c r="D7" s="448"/>
      <c r="E7" s="448"/>
      <c r="F7" s="448"/>
      <c r="G7" s="449"/>
      <c r="I7" s="248" t="s">
        <v>173</v>
      </c>
      <c r="J7" s="249" t="s">
        <v>39</v>
      </c>
      <c r="K7" s="249" t="s">
        <v>43</v>
      </c>
      <c r="L7" s="249" t="s">
        <v>137</v>
      </c>
      <c r="M7" s="254" t="s">
        <v>140</v>
      </c>
      <c r="N7" s="255" t="s">
        <v>142</v>
      </c>
      <c r="O7" s="253" t="s">
        <v>54</v>
      </c>
      <c r="Q7" s="44"/>
    </row>
    <row r="8" spans="2:17" x14ac:dyDescent="0.2">
      <c r="I8" s="194">
        <f>IF($J8="","",1)</f>
        <v>1</v>
      </c>
      <c r="J8" s="58" t="s">
        <v>338</v>
      </c>
      <c r="K8" s="194" t="str">
        <f>IF(Waste[[#This Row],[Month]]&lt;&gt;"",VLOOKUP(Waste[[#This Row],[Month]], dropdown!$S$4:$T$15, 2, FALSE),"")</f>
        <v>Q1</v>
      </c>
      <c r="L8" s="57" t="s">
        <v>139</v>
      </c>
      <c r="M8" s="29">
        <v>50</v>
      </c>
      <c r="N8" s="57" t="s">
        <v>313</v>
      </c>
      <c r="O8" s="195"/>
      <c r="Q8" s="44"/>
    </row>
    <row r="9" spans="2:17" x14ac:dyDescent="0.2">
      <c r="B9" s="14" t="s">
        <v>134</v>
      </c>
      <c r="C9" s="14"/>
      <c r="D9" s="14"/>
      <c r="E9" s="14"/>
      <c r="F9" s="14"/>
      <c r="G9" s="14"/>
      <c r="I9" s="194">
        <f t="shared" ref="I9:I72" si="0">IF($J9="","",$I8+1)</f>
        <v>2</v>
      </c>
      <c r="J9" s="58" t="s">
        <v>338</v>
      </c>
      <c r="K9" s="194" t="str">
        <f>IF(Waste[[#This Row],[Month]]&lt;&gt;"",VLOOKUP(Waste[[#This Row],[Month]], dropdown!$S$4:$T$15, 2, FALSE),"")</f>
        <v>Q1</v>
      </c>
      <c r="L9" s="57" t="s">
        <v>367</v>
      </c>
      <c r="M9" s="29">
        <v>1500</v>
      </c>
      <c r="N9" s="57" t="s">
        <v>384</v>
      </c>
      <c r="O9" s="195" t="s">
        <v>1603</v>
      </c>
      <c r="Q9" s="44"/>
    </row>
    <row r="10" spans="2:17" x14ac:dyDescent="0.2">
      <c r="B10" s="13" t="s">
        <v>137</v>
      </c>
      <c r="C10" s="13" t="s">
        <v>51</v>
      </c>
      <c r="D10" s="40" t="s">
        <v>45</v>
      </c>
      <c r="E10" s="40" t="s">
        <v>149</v>
      </c>
      <c r="F10" s="40" t="s">
        <v>150</v>
      </c>
      <c r="G10" s="40" t="s">
        <v>151</v>
      </c>
      <c r="I10" s="194">
        <f t="shared" si="0"/>
        <v>3</v>
      </c>
      <c r="J10" s="58" t="s">
        <v>338</v>
      </c>
      <c r="K10" s="194" t="str">
        <f>IF(Waste[[#This Row],[Month]]&lt;&gt;"",VLOOKUP(Waste[[#This Row],[Month]], dropdown!$S$4:$T$15, 2, FALSE),"")</f>
        <v>Q1</v>
      </c>
      <c r="L10" s="57" t="s">
        <v>383</v>
      </c>
      <c r="M10" s="29">
        <v>230</v>
      </c>
      <c r="N10" s="57" t="s">
        <v>313</v>
      </c>
      <c r="O10" s="195"/>
      <c r="Q10" s="44"/>
    </row>
    <row r="11" spans="2:17" x14ac:dyDescent="0.2">
      <c r="B11" s="17" t="str">
        <f>dropdown!$B4</f>
        <v>Compostable</v>
      </c>
      <c r="C11" s="17" t="s">
        <v>283</v>
      </c>
      <c r="D11" s="41">
        <f>SUMIFS(Waste[Weight (kg)],Waste[Quarter],D$10,Waste[Waste Composition],$B$11)</f>
        <v>160</v>
      </c>
      <c r="E11" s="41">
        <f>SUMIFS(Waste[Weight (kg)],Waste[Quarter],E$10,Waste[Waste Composition],$B11)</f>
        <v>170</v>
      </c>
      <c r="F11" s="41">
        <f>SUMIFS(Waste[Weight (kg)],Waste[Quarter],F$10,Waste[Waste Composition],$B11)</f>
        <v>160</v>
      </c>
      <c r="G11" s="41">
        <f>SUMIFS(Waste[Weight (kg)],Waste[Quarter],G$10,Waste[Waste Composition],$B11)</f>
        <v>170</v>
      </c>
      <c r="I11" s="194">
        <f t="shared" si="0"/>
        <v>4</v>
      </c>
      <c r="J11" s="58" t="s">
        <v>89</v>
      </c>
      <c r="K11" s="194" t="str">
        <f>IF(Waste[[#This Row],[Month]]&lt;&gt;"",VLOOKUP(Waste[[#This Row],[Month]], dropdown!$S$4:$T$15, 2, FALSE),"")</f>
        <v>Q1</v>
      </c>
      <c r="L11" s="57" t="s">
        <v>139</v>
      </c>
      <c r="M11" s="29">
        <v>60</v>
      </c>
      <c r="N11" s="57" t="s">
        <v>313</v>
      </c>
      <c r="O11" s="195"/>
      <c r="Q11" s="44"/>
    </row>
    <row r="12" spans="2:17" x14ac:dyDescent="0.2">
      <c r="B12" s="17" t="str">
        <f>dropdown!$B5</f>
        <v>Recyclable</v>
      </c>
      <c r="C12" s="17" t="s">
        <v>283</v>
      </c>
      <c r="D12" s="41">
        <f>SUMIFS(Waste[Weight (kg)],Waste[Quarter],D$10,Waste[Waste Composition],$B12)</f>
        <v>0</v>
      </c>
      <c r="E12" s="41">
        <f>SUMIFS(Waste[Weight (kg)],Waste[Quarter],E$10,Waste[Waste Composition],$B12)</f>
        <v>1700</v>
      </c>
      <c r="F12" s="41">
        <f>SUMIFS(Waste[Weight (kg)],Waste[Quarter],F$10,Waste[Waste Composition],$B12)</f>
        <v>0</v>
      </c>
      <c r="G12" s="41">
        <f>SUMIFS(Waste[Weight (kg)],Waste[Quarter],G$10,Waste[Waste Composition],$B12)</f>
        <v>0</v>
      </c>
      <c r="I12" s="194">
        <f t="shared" si="0"/>
        <v>5</v>
      </c>
      <c r="J12" s="58" t="s">
        <v>89</v>
      </c>
      <c r="K12" s="194" t="str">
        <f>IF(Waste[[#This Row],[Month]]&lt;&gt;"",VLOOKUP(Waste[[#This Row],[Month]], dropdown!$S$4:$T$15, 2, FALSE),"")</f>
        <v>Q1</v>
      </c>
      <c r="L12" s="57" t="s">
        <v>367</v>
      </c>
      <c r="M12" s="29">
        <v>4125</v>
      </c>
      <c r="N12" s="57" t="s">
        <v>384</v>
      </c>
      <c r="O12" s="195" t="s">
        <v>1603</v>
      </c>
      <c r="Q12" s="44"/>
    </row>
    <row r="13" spans="2:17" ht="15" x14ac:dyDescent="0.2">
      <c r="B13" s="17" t="str">
        <f>dropdown!$B6</f>
        <v>Infectious</v>
      </c>
      <c r="C13" s="17" t="s">
        <v>283</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f t="shared" si="0"/>
        <v>6</v>
      </c>
      <c r="J13" s="58" t="s">
        <v>89</v>
      </c>
      <c r="K13" s="194" t="str">
        <f>IF(Waste[[#This Row],[Month]]&lt;&gt;"",VLOOKUP(Waste[[#This Row],[Month]], dropdown!$S$4:$T$15, 2, FALSE),"")</f>
        <v>Q1</v>
      </c>
      <c r="L13" s="57" t="s">
        <v>383</v>
      </c>
      <c r="M13" s="29">
        <v>210</v>
      </c>
      <c r="N13" s="57" t="s">
        <v>313</v>
      </c>
      <c r="O13" s="195"/>
    </row>
    <row r="14" spans="2:17" ht="14" customHeight="1" x14ac:dyDescent="0.2">
      <c r="B14" s="17" t="str">
        <f>dropdown!$B7</f>
        <v>Security</v>
      </c>
      <c r="C14" s="17" t="s">
        <v>283</v>
      </c>
      <c r="D14" s="41">
        <f>SUMIFS(Waste[Weight (kg)],Waste[Quarter],D$10,Waste[Waste Composition],$B14)</f>
        <v>8125</v>
      </c>
      <c r="E14" s="41">
        <f>SUMIFS(Waste[Weight (kg)],Waste[Quarter],E$10,Waste[Waste Composition],$B14)</f>
        <v>6937.5</v>
      </c>
      <c r="F14" s="41">
        <f>SUMIFS(Waste[Weight (kg)],Waste[Quarter],F$10,Waste[Waste Composition],$B14)</f>
        <v>9350</v>
      </c>
      <c r="G14" s="41">
        <f>SUMIFS(Waste[Weight (kg)],Waste[Quarter],G$10,Waste[Waste Composition],$B14)</f>
        <v>6375</v>
      </c>
      <c r="I14" s="194">
        <f t="shared" si="0"/>
        <v>7</v>
      </c>
      <c r="J14" s="58" t="s">
        <v>362</v>
      </c>
      <c r="K14" s="194" t="str">
        <f>IF(Waste[[#This Row],[Month]]&lt;&gt;"",VLOOKUP(Waste[[#This Row],[Month]], dropdown!$S$4:$T$15, 2, FALSE),"")</f>
        <v>Q1</v>
      </c>
      <c r="L14" s="57" t="s">
        <v>139</v>
      </c>
      <c r="M14" s="29">
        <v>50</v>
      </c>
      <c r="N14" s="57" t="s">
        <v>313</v>
      </c>
      <c r="O14" s="195"/>
      <c r="Q14" s="44"/>
    </row>
    <row r="15" spans="2:17" ht="15" customHeight="1" x14ac:dyDescent="0.2">
      <c r="B15" s="17" t="str">
        <f>dropdown!$B8</f>
        <v>Hazardous</v>
      </c>
      <c r="C15" s="17" t="s">
        <v>283</v>
      </c>
      <c r="D15" s="41">
        <f>SUMIFS(Waste[Weight (kg)],Waste[Quarter],D$10,Waste[Waste Composition],$B15)</f>
        <v>0</v>
      </c>
      <c r="E15" s="41">
        <f>SUMIFS(Waste[Weight (kg)],Waste[Quarter],E$10,Waste[Waste Composition],$B15)</f>
        <v>0</v>
      </c>
      <c r="F15" s="41">
        <f>SUMIFS(Waste[Weight (kg)],Waste[Quarter],F$10,Waste[Waste Composition],$B15)</f>
        <v>0</v>
      </c>
      <c r="G15" s="41">
        <f>SUMIFS(Waste[Weight (kg)],Waste[Quarter],G$10,Waste[Waste Composition],$B15)</f>
        <v>0</v>
      </c>
      <c r="I15" s="194">
        <f t="shared" si="0"/>
        <v>8</v>
      </c>
      <c r="J15" s="58" t="s">
        <v>362</v>
      </c>
      <c r="K15" s="194" t="str">
        <f>IF(Waste[[#This Row],[Month]]&lt;&gt;"",VLOOKUP(Waste[[#This Row],[Month]], dropdown!$S$4:$T$15, 2, FALSE),"")</f>
        <v>Q1</v>
      </c>
      <c r="L15" s="57" t="s">
        <v>367</v>
      </c>
      <c r="M15" s="29">
        <v>2500</v>
      </c>
      <c r="N15" s="57" t="s">
        <v>384</v>
      </c>
      <c r="O15" s="195" t="s">
        <v>1603</v>
      </c>
    </row>
    <row r="16" spans="2:17" x14ac:dyDescent="0.2">
      <c r="B16" s="17" t="str">
        <f>dropdown!$B9</f>
        <v>Residual/Landfill</v>
      </c>
      <c r="C16" s="17" t="s">
        <v>283</v>
      </c>
      <c r="D16" s="41">
        <f>SUMIFS(Waste[Weight (kg)],Waste[Quarter],D$10,Waste[Waste Composition],$B16)</f>
        <v>630</v>
      </c>
      <c r="E16" s="41">
        <f>SUMIFS(Waste[Weight (kg)],Waste[Quarter],E$10,Waste[Waste Composition],$B16)</f>
        <v>620</v>
      </c>
      <c r="F16" s="41">
        <f>SUMIFS(Waste[Weight (kg)],Waste[Quarter],F$10,Waste[Waste Composition],$B16)</f>
        <v>640</v>
      </c>
      <c r="G16" s="41">
        <f>SUMIFS(Waste[Weight (kg)],Waste[Quarter],G$10,Waste[Waste Composition],$B16)</f>
        <v>790</v>
      </c>
      <c r="I16" s="194">
        <f t="shared" si="0"/>
        <v>9</v>
      </c>
      <c r="J16" s="58" t="s">
        <v>362</v>
      </c>
      <c r="K16" s="194" t="str">
        <f>IF(Waste[[#This Row],[Month]]&lt;&gt;"",VLOOKUP(Waste[[#This Row],[Month]], dropdown!$S$4:$T$15, 2, FALSE),"")</f>
        <v>Q1</v>
      </c>
      <c r="L16" s="57" t="s">
        <v>383</v>
      </c>
      <c r="M16" s="29">
        <v>190</v>
      </c>
      <c r="N16" s="57" t="s">
        <v>313</v>
      </c>
      <c r="O16" s="195"/>
    </row>
    <row r="17" spans="2:15" x14ac:dyDescent="0.2">
      <c r="I17" s="194">
        <f t="shared" si="0"/>
        <v>10</v>
      </c>
      <c r="J17" s="58" t="s">
        <v>371</v>
      </c>
      <c r="K17" s="194" t="str">
        <f>IF(Waste[[#This Row],[Month]]&lt;&gt;"",VLOOKUP(Waste[[#This Row],[Month]], dropdown!$S$4:$T$15, 2, FALSE),"")</f>
        <v>Q2</v>
      </c>
      <c r="L17" s="57" t="s">
        <v>139</v>
      </c>
      <c r="M17" s="29">
        <v>60</v>
      </c>
      <c r="N17" s="57" t="s">
        <v>313</v>
      </c>
      <c r="O17" s="195"/>
    </row>
    <row r="18" spans="2:15" x14ac:dyDescent="0.2">
      <c r="B18" s="267" t="s">
        <v>38</v>
      </c>
      <c r="I18" s="194">
        <f t="shared" si="0"/>
        <v>11</v>
      </c>
      <c r="J18" s="58" t="s">
        <v>371</v>
      </c>
      <c r="K18" s="194" t="str">
        <f>IF(Waste[[#This Row],[Month]]&lt;&gt;"",VLOOKUP(Waste[[#This Row],[Month]], dropdown!$S$4:$T$15, 2, FALSE),"")</f>
        <v>Q2</v>
      </c>
      <c r="L18" s="57" t="s">
        <v>367</v>
      </c>
      <c r="M18" s="29">
        <v>1500</v>
      </c>
      <c r="N18" s="57" t="s">
        <v>384</v>
      </c>
      <c r="O18" s="195" t="s">
        <v>1603</v>
      </c>
    </row>
    <row r="19" spans="2:15" x14ac:dyDescent="0.2">
      <c r="B19" s="268" t="s">
        <v>175</v>
      </c>
      <c r="I19" s="194">
        <f t="shared" ref="I19" si="1">IF($J19="","",$I18+1)</f>
        <v>12</v>
      </c>
      <c r="J19" s="58" t="s">
        <v>371</v>
      </c>
      <c r="K19" s="194" t="str">
        <f>IF(Waste[[#This Row],[Month]]&lt;&gt;"",VLOOKUP(Waste[[#This Row],[Month]], dropdown!$S$4:$T$15, 2, FALSE),"")</f>
        <v>Q2</v>
      </c>
      <c r="L19" s="57" t="s">
        <v>383</v>
      </c>
      <c r="M19" s="29">
        <v>210</v>
      </c>
      <c r="N19" s="57" t="s">
        <v>313</v>
      </c>
      <c r="O19" s="195"/>
    </row>
    <row r="20" spans="2:15" x14ac:dyDescent="0.2">
      <c r="B20" s="266" t="s">
        <v>176</v>
      </c>
      <c r="I20" s="194">
        <f t="shared" si="0"/>
        <v>13</v>
      </c>
      <c r="J20" s="58" t="s">
        <v>379</v>
      </c>
      <c r="K20" s="194" t="str">
        <f>IF(Waste[[#This Row],[Month]]&lt;&gt;"",VLOOKUP(Waste[[#This Row],[Month]], dropdown!$S$4:$T$15, 2, FALSE),"")</f>
        <v>Q2</v>
      </c>
      <c r="L20" s="57" t="s">
        <v>139</v>
      </c>
      <c r="M20" s="29">
        <v>50</v>
      </c>
      <c r="N20" s="57" t="s">
        <v>313</v>
      </c>
      <c r="O20" s="195"/>
    </row>
    <row r="21" spans="2:15" x14ac:dyDescent="0.2">
      <c r="B21" s="17" t="s">
        <v>177</v>
      </c>
      <c r="I21" s="194">
        <f t="shared" si="0"/>
        <v>14</v>
      </c>
      <c r="J21" s="58" t="s">
        <v>379</v>
      </c>
      <c r="K21" s="194" t="str">
        <f>IF(Waste[[#This Row],[Month]]&lt;&gt;"",VLOOKUP(Waste[[#This Row],[Month]], dropdown!$S$4:$T$15, 2, FALSE),"")</f>
        <v>Q2</v>
      </c>
      <c r="L21" s="57" t="s">
        <v>367</v>
      </c>
      <c r="M21" s="29">
        <v>3750</v>
      </c>
      <c r="N21" s="57" t="s">
        <v>384</v>
      </c>
      <c r="O21" s="195" t="s">
        <v>1603</v>
      </c>
    </row>
    <row r="22" spans="2:15" x14ac:dyDescent="0.2">
      <c r="I22" s="194">
        <f t="shared" si="0"/>
        <v>15</v>
      </c>
      <c r="J22" s="58" t="s">
        <v>379</v>
      </c>
      <c r="K22" s="194" t="str">
        <f>IF(Waste[[#This Row],[Month]]&lt;&gt;"",VLOOKUP(Waste[[#This Row],[Month]], dropdown!$S$4:$T$15, 2, FALSE),"")</f>
        <v>Q2</v>
      </c>
      <c r="L22" s="57" t="s">
        <v>383</v>
      </c>
      <c r="M22" s="29">
        <v>220</v>
      </c>
      <c r="N22" s="57" t="s">
        <v>313</v>
      </c>
      <c r="O22" s="195"/>
    </row>
    <row r="23" spans="2:15" x14ac:dyDescent="0.2">
      <c r="I23" s="194">
        <f t="shared" si="0"/>
        <v>16</v>
      </c>
      <c r="J23" s="58" t="s">
        <v>379</v>
      </c>
      <c r="K23" s="194" t="str">
        <f>IF(Waste[[#This Row],[Month]]&lt;&gt;"",VLOOKUP(Waste[[#This Row],[Month]], dropdown!$S$4:$T$15, 2, FALSE),"")</f>
        <v>Q2</v>
      </c>
      <c r="L23" s="57" t="s">
        <v>318</v>
      </c>
      <c r="M23" s="29">
        <v>1700</v>
      </c>
      <c r="N23" s="57" t="s">
        <v>357</v>
      </c>
      <c r="O23" s="195" t="s">
        <v>1604</v>
      </c>
    </row>
    <row r="24" spans="2:15" x14ac:dyDescent="0.2">
      <c r="I24" s="194">
        <f t="shared" si="0"/>
        <v>17</v>
      </c>
      <c r="J24" s="58" t="s">
        <v>386</v>
      </c>
      <c r="K24" s="194" t="str">
        <f>IF(Waste[[#This Row],[Month]]&lt;&gt;"",VLOOKUP(Waste[[#This Row],[Month]], dropdown!$S$4:$T$15, 2, FALSE),"")</f>
        <v>Q2</v>
      </c>
      <c r="L24" s="57" t="s">
        <v>139</v>
      </c>
      <c r="M24" s="29">
        <v>60</v>
      </c>
      <c r="N24" s="57" t="s">
        <v>313</v>
      </c>
      <c r="O24" s="195"/>
    </row>
    <row r="25" spans="2:15" x14ac:dyDescent="0.2">
      <c r="I25" s="194">
        <f t="shared" si="0"/>
        <v>18</v>
      </c>
      <c r="J25" s="58" t="s">
        <v>386</v>
      </c>
      <c r="K25" s="194" t="str">
        <f>IF(Waste[[#This Row],[Month]]&lt;&gt;"",VLOOKUP(Waste[[#This Row],[Month]], dropdown!$S$4:$T$15, 2, FALSE),"")</f>
        <v>Q2</v>
      </c>
      <c r="L25" s="57" t="s">
        <v>367</v>
      </c>
      <c r="M25" s="29">
        <v>1687.5</v>
      </c>
      <c r="N25" s="57" t="s">
        <v>384</v>
      </c>
      <c r="O25" s="195" t="s">
        <v>1603</v>
      </c>
    </row>
    <row r="26" spans="2:15" x14ac:dyDescent="0.2">
      <c r="I26" s="194">
        <f t="shared" si="0"/>
        <v>19</v>
      </c>
      <c r="J26" s="58" t="s">
        <v>386</v>
      </c>
      <c r="K26" s="194" t="str">
        <f>IF(Waste[[#This Row],[Month]]&lt;&gt;"",VLOOKUP(Waste[[#This Row],[Month]], dropdown!$S$4:$T$15, 2, FALSE),"")</f>
        <v>Q2</v>
      </c>
      <c r="L26" s="57" t="s">
        <v>383</v>
      </c>
      <c r="M26" s="29">
        <v>190</v>
      </c>
      <c r="N26" s="57" t="s">
        <v>313</v>
      </c>
      <c r="O26" s="195"/>
    </row>
    <row r="27" spans="2:15" x14ac:dyDescent="0.2">
      <c r="I27" s="194">
        <f t="shared" si="0"/>
        <v>20</v>
      </c>
      <c r="J27" s="58" t="s">
        <v>390</v>
      </c>
      <c r="K27" s="194" t="str">
        <f>IF(Waste[[#This Row],[Month]]&lt;&gt;"",VLOOKUP(Waste[[#This Row],[Month]], dropdown!$S$4:$T$15, 2, FALSE),"")</f>
        <v>Q3</v>
      </c>
      <c r="L27" s="57" t="s">
        <v>139</v>
      </c>
      <c r="M27" s="29">
        <v>50</v>
      </c>
      <c r="N27" s="57" t="s">
        <v>313</v>
      </c>
      <c r="O27" s="195"/>
    </row>
    <row r="28" spans="2:15" x14ac:dyDescent="0.2">
      <c r="I28" s="194">
        <f t="shared" si="0"/>
        <v>21</v>
      </c>
      <c r="J28" s="58" t="s">
        <v>390</v>
      </c>
      <c r="K28" s="194" t="str">
        <f>IF(Waste[[#This Row],[Month]]&lt;&gt;"",VLOOKUP(Waste[[#This Row],[Month]], dropdown!$S$4:$T$15, 2, FALSE),"")</f>
        <v>Q3</v>
      </c>
      <c r="L28" s="57" t="s">
        <v>367</v>
      </c>
      <c r="M28" s="29">
        <v>4750</v>
      </c>
      <c r="N28" s="57" t="s">
        <v>384</v>
      </c>
      <c r="O28" s="195" t="s">
        <v>1603</v>
      </c>
    </row>
    <row r="29" spans="2:15" x14ac:dyDescent="0.2">
      <c r="I29" s="194">
        <f t="shared" si="0"/>
        <v>22</v>
      </c>
      <c r="J29" s="58" t="s">
        <v>390</v>
      </c>
      <c r="K29" s="194" t="str">
        <f>IF(Waste[[#This Row],[Month]]&lt;&gt;"",VLOOKUP(Waste[[#This Row],[Month]], dropdown!$S$4:$T$15, 2, FALSE),"")</f>
        <v>Q3</v>
      </c>
      <c r="L29" s="57" t="s">
        <v>383</v>
      </c>
      <c r="M29" s="29">
        <v>230</v>
      </c>
      <c r="N29" s="57" t="s">
        <v>313</v>
      </c>
      <c r="O29" s="195"/>
    </row>
    <row r="30" spans="2:15" x14ac:dyDescent="0.2">
      <c r="I30" s="194">
        <f t="shared" si="0"/>
        <v>23</v>
      </c>
      <c r="J30" s="58" t="s">
        <v>41</v>
      </c>
      <c r="K30" s="194" t="str">
        <f>IF(Waste[[#This Row],[Month]]&lt;&gt;"",VLOOKUP(Waste[[#This Row],[Month]], dropdown!$S$4:$T$15, 2, FALSE),"")</f>
        <v>Q3</v>
      </c>
      <c r="L30" s="57" t="s">
        <v>139</v>
      </c>
      <c r="M30" s="29">
        <v>60</v>
      </c>
      <c r="N30" s="57" t="s">
        <v>313</v>
      </c>
      <c r="O30" s="195"/>
    </row>
    <row r="31" spans="2:15" x14ac:dyDescent="0.2">
      <c r="I31" s="194">
        <f t="shared" si="0"/>
        <v>24</v>
      </c>
      <c r="J31" s="58" t="s">
        <v>41</v>
      </c>
      <c r="K31" s="194" t="str">
        <f>IF(Waste[[#This Row],[Month]]&lt;&gt;"",VLOOKUP(Waste[[#This Row],[Month]], dropdown!$S$4:$T$15, 2, FALSE),"")</f>
        <v>Q3</v>
      </c>
      <c r="L31" s="57" t="s">
        <v>367</v>
      </c>
      <c r="M31" s="29">
        <v>3450</v>
      </c>
      <c r="N31" s="57" t="s">
        <v>384</v>
      </c>
      <c r="O31" s="195" t="s">
        <v>1603</v>
      </c>
    </row>
    <row r="32" spans="2:15" x14ac:dyDescent="0.2">
      <c r="I32" s="194">
        <f t="shared" si="0"/>
        <v>25</v>
      </c>
      <c r="J32" s="58" t="s">
        <v>41</v>
      </c>
      <c r="K32" s="194" t="str">
        <f>IF(Waste[[#This Row],[Month]]&lt;&gt;"",VLOOKUP(Waste[[#This Row],[Month]], dropdown!$S$4:$T$15, 2, FALSE),"")</f>
        <v>Q3</v>
      </c>
      <c r="L32" s="57" t="s">
        <v>383</v>
      </c>
      <c r="M32" s="29">
        <v>200</v>
      </c>
      <c r="N32" s="57" t="s">
        <v>313</v>
      </c>
      <c r="O32" s="195"/>
    </row>
    <row r="33" spans="9:15" x14ac:dyDescent="0.2">
      <c r="I33" s="194">
        <f t="shared" si="0"/>
        <v>26</v>
      </c>
      <c r="J33" s="58" t="s">
        <v>397</v>
      </c>
      <c r="K33" s="194" t="str">
        <f>IF(Waste[[#This Row],[Month]]&lt;&gt;"",VLOOKUP(Waste[[#This Row],[Month]], dropdown!$S$4:$T$15, 2, FALSE),"")</f>
        <v>Q3</v>
      </c>
      <c r="L33" s="57" t="s">
        <v>139</v>
      </c>
      <c r="M33" s="29">
        <v>50</v>
      </c>
      <c r="N33" s="57" t="s">
        <v>313</v>
      </c>
      <c r="O33" s="195"/>
    </row>
    <row r="34" spans="9:15" x14ac:dyDescent="0.2">
      <c r="I34" s="194">
        <f t="shared" si="0"/>
        <v>27</v>
      </c>
      <c r="J34" s="58" t="s">
        <v>397</v>
      </c>
      <c r="K34" s="194" t="str">
        <f>IF(Waste[[#This Row],[Month]]&lt;&gt;"",VLOOKUP(Waste[[#This Row],[Month]], dropdown!$S$4:$T$15, 2, FALSE),"")</f>
        <v>Q3</v>
      </c>
      <c r="L34" s="57" t="s">
        <v>367</v>
      </c>
      <c r="M34" s="29">
        <v>1150</v>
      </c>
      <c r="N34" s="57" t="s">
        <v>384</v>
      </c>
      <c r="O34" s="195" t="s">
        <v>1603</v>
      </c>
    </row>
    <row r="35" spans="9:15" x14ac:dyDescent="0.2">
      <c r="I35" s="194">
        <f t="shared" si="0"/>
        <v>28</v>
      </c>
      <c r="J35" s="58" t="s">
        <v>397</v>
      </c>
      <c r="K35" s="194" t="str">
        <f>IF(Waste[[#This Row],[Month]]&lt;&gt;"",VLOOKUP(Waste[[#This Row],[Month]], dropdown!$S$4:$T$15, 2, FALSE),"")</f>
        <v>Q3</v>
      </c>
      <c r="L35" s="57" t="s">
        <v>383</v>
      </c>
      <c r="M35" s="29">
        <v>210</v>
      </c>
      <c r="N35" s="57" t="s">
        <v>313</v>
      </c>
      <c r="O35" s="195"/>
    </row>
    <row r="36" spans="9:15" x14ac:dyDescent="0.2">
      <c r="I36" s="194">
        <f t="shared" si="0"/>
        <v>29</v>
      </c>
      <c r="J36" s="58" t="s">
        <v>400</v>
      </c>
      <c r="K36" s="194" t="str">
        <f>IF(Waste[[#This Row],[Month]]&lt;&gt;"",VLOOKUP(Waste[[#This Row],[Month]], dropdown!$S$4:$T$15, 2, FALSE),"")</f>
        <v>Q4</v>
      </c>
      <c r="L36" s="57" t="s">
        <v>139</v>
      </c>
      <c r="M36" s="29">
        <v>60</v>
      </c>
      <c r="N36" s="57" t="s">
        <v>313</v>
      </c>
      <c r="O36" s="195"/>
    </row>
    <row r="37" spans="9:15" x14ac:dyDescent="0.2">
      <c r="I37" s="194">
        <f t="shared" si="0"/>
        <v>30</v>
      </c>
      <c r="J37" s="58" t="s">
        <v>400</v>
      </c>
      <c r="K37" s="194" t="str">
        <f>IF(Waste[[#This Row],[Month]]&lt;&gt;"",VLOOKUP(Waste[[#This Row],[Month]], dropdown!$S$4:$T$15, 2, FALSE),"")</f>
        <v>Q4</v>
      </c>
      <c r="L37" s="57" t="s">
        <v>367</v>
      </c>
      <c r="M37" s="29">
        <v>2550</v>
      </c>
      <c r="N37" s="57" t="s">
        <v>384</v>
      </c>
      <c r="O37" s="195" t="s">
        <v>1603</v>
      </c>
    </row>
    <row r="38" spans="9:15" x14ac:dyDescent="0.2">
      <c r="I38" s="194">
        <f t="shared" si="0"/>
        <v>31</v>
      </c>
      <c r="J38" s="58" t="s">
        <v>400</v>
      </c>
      <c r="K38" s="194" t="str">
        <f>IF(Waste[[#This Row],[Month]]&lt;&gt;"",VLOOKUP(Waste[[#This Row],[Month]], dropdown!$S$4:$T$15, 2, FALSE),"")</f>
        <v>Q4</v>
      </c>
      <c r="L38" s="57" t="s">
        <v>383</v>
      </c>
      <c r="M38" s="29">
        <v>230</v>
      </c>
      <c r="N38" s="57" t="s">
        <v>313</v>
      </c>
      <c r="O38" s="195"/>
    </row>
    <row r="39" spans="9:15" x14ac:dyDescent="0.2">
      <c r="I39" s="194">
        <f t="shared" si="0"/>
        <v>32</v>
      </c>
      <c r="J39" s="58" t="s">
        <v>404</v>
      </c>
      <c r="K39" s="194" t="str">
        <f>IF(Waste[[#This Row],[Month]]&lt;&gt;"",VLOOKUP(Waste[[#This Row],[Month]], dropdown!$S$4:$T$15, 2, FALSE),"")</f>
        <v>Q4</v>
      </c>
      <c r="L39" s="57" t="s">
        <v>139</v>
      </c>
      <c r="M39" s="29">
        <v>50</v>
      </c>
      <c r="N39" s="57" t="s">
        <v>313</v>
      </c>
      <c r="O39" s="195"/>
    </row>
    <row r="40" spans="9:15" x14ac:dyDescent="0.2">
      <c r="I40" s="194">
        <f t="shared" si="0"/>
        <v>33</v>
      </c>
      <c r="J40" s="58" t="s">
        <v>404</v>
      </c>
      <c r="K40" s="194" t="str">
        <f>IF(Waste[[#This Row],[Month]]&lt;&gt;"",VLOOKUP(Waste[[#This Row],[Month]], dropdown!$S$4:$T$15, 2, FALSE),"")</f>
        <v>Q4</v>
      </c>
      <c r="L40" s="57" t="s">
        <v>367</v>
      </c>
      <c r="M40" s="29">
        <v>1825</v>
      </c>
      <c r="N40" s="57" t="s">
        <v>384</v>
      </c>
      <c r="O40" s="195" t="s">
        <v>1603</v>
      </c>
    </row>
    <row r="41" spans="9:15" x14ac:dyDescent="0.2">
      <c r="I41" s="194">
        <f t="shared" si="0"/>
        <v>34</v>
      </c>
      <c r="J41" s="58" t="s">
        <v>404</v>
      </c>
      <c r="K41" s="194" t="str">
        <f>IF(Waste[[#This Row],[Month]]&lt;&gt;"",VLOOKUP(Waste[[#This Row],[Month]], dropdown!$S$4:$T$15, 2, FALSE),"")</f>
        <v>Q4</v>
      </c>
      <c r="L41" s="57" t="s">
        <v>383</v>
      </c>
      <c r="M41" s="29">
        <v>200</v>
      </c>
      <c r="N41" s="57" t="s">
        <v>313</v>
      </c>
      <c r="O41" s="195"/>
    </row>
    <row r="42" spans="9:15" x14ac:dyDescent="0.2">
      <c r="I42" s="194">
        <f t="shared" si="0"/>
        <v>35</v>
      </c>
      <c r="J42" s="58" t="s">
        <v>407</v>
      </c>
      <c r="K42" s="194" t="str">
        <f>IF(Waste[[#This Row],[Month]]&lt;&gt;"",VLOOKUP(Waste[[#This Row],[Month]], dropdown!$S$4:$T$15, 2, FALSE),"")</f>
        <v>Q4</v>
      </c>
      <c r="L42" s="57" t="s">
        <v>139</v>
      </c>
      <c r="M42" s="29">
        <v>60</v>
      </c>
      <c r="N42" s="57" t="s">
        <v>313</v>
      </c>
      <c r="O42" s="195"/>
    </row>
    <row r="43" spans="9:15" x14ac:dyDescent="0.2">
      <c r="I43" s="194">
        <f t="shared" si="0"/>
        <v>36</v>
      </c>
      <c r="J43" s="58" t="s">
        <v>407</v>
      </c>
      <c r="K43" s="194" t="str">
        <f>IF(Waste[[#This Row],[Month]]&lt;&gt;"",VLOOKUP(Waste[[#This Row],[Month]], dropdown!$S$4:$T$15, 2, FALSE),"")</f>
        <v>Q4</v>
      </c>
      <c r="L43" s="57" t="s">
        <v>367</v>
      </c>
      <c r="M43" s="29">
        <v>2000</v>
      </c>
      <c r="N43" s="57" t="s">
        <v>384</v>
      </c>
      <c r="O43" s="195" t="s">
        <v>1603</v>
      </c>
    </row>
    <row r="44" spans="9:15" x14ac:dyDescent="0.2">
      <c r="I44" s="194">
        <f t="shared" si="0"/>
        <v>37</v>
      </c>
      <c r="J44" s="58" t="s">
        <v>407</v>
      </c>
      <c r="K44" s="194" t="str">
        <f>IF(Waste[[#This Row],[Month]]&lt;&gt;"",VLOOKUP(Waste[[#This Row],[Month]], dropdown!$S$4:$T$15, 2, FALSE),"")</f>
        <v>Q4</v>
      </c>
      <c r="L44" s="57" t="s">
        <v>383</v>
      </c>
      <c r="M44" s="29">
        <v>360</v>
      </c>
      <c r="N44" s="57" t="s">
        <v>313</v>
      </c>
      <c r="O44" s="195"/>
    </row>
    <row r="45" spans="9:15" x14ac:dyDescent="0.2">
      <c r="I45" s="194" t="str">
        <f t="shared" si="0"/>
        <v/>
      </c>
      <c r="J45" s="58"/>
      <c r="K45" s="194" t="str">
        <f>IF(Waste[[#This Row],[Month]]&lt;&gt;"",VLOOKUP(Waste[[#This Row],[Month]], dropdown!$S$4:$T$15, 2, FALSE),"")</f>
        <v/>
      </c>
      <c r="L45" s="57"/>
      <c r="M45" s="29"/>
      <c r="N45" s="57"/>
      <c r="O45" s="195"/>
    </row>
    <row r="46" spans="9:15" x14ac:dyDescent="0.2">
      <c r="I46" s="194" t="str">
        <f t="shared" si="0"/>
        <v/>
      </c>
      <c r="J46" s="58"/>
      <c r="K46" s="194" t="str">
        <f>IF(Waste[[#This Row],[Month]]&lt;&gt;"",VLOOKUP(Waste[[#This Row],[Month]], dropdown!$S$4:$T$15, 2, FALSE),"")</f>
        <v/>
      </c>
      <c r="L46" s="57"/>
      <c r="M46" s="29"/>
      <c r="N46" s="57"/>
      <c r="O46" s="195"/>
    </row>
    <row r="47" spans="9:15" x14ac:dyDescent="0.2">
      <c r="I47" s="194" t="str">
        <f t="shared" si="0"/>
        <v/>
      </c>
      <c r="J47" s="58"/>
      <c r="K47" s="194" t="str">
        <f>IF(Waste[[#This Row],[Month]]&lt;&gt;"",VLOOKUP(Waste[[#This Row],[Month]], dropdown!$S$4:$T$15, 2, FALSE),"")</f>
        <v/>
      </c>
      <c r="L47" s="57"/>
      <c r="M47" s="29"/>
      <c r="N47" s="57"/>
      <c r="O47" s="195"/>
    </row>
    <row r="48" spans="9:15" x14ac:dyDescent="0.2">
      <c r="I48" s="194" t="str">
        <f t="shared" si="0"/>
        <v/>
      </c>
      <c r="J48" s="58"/>
      <c r="K48" s="194" t="str">
        <f>IF(Waste[[#This Row],[Month]]&lt;&gt;"",VLOOKUP(Waste[[#This Row],[Month]], dropdown!$S$4:$T$15, 2, FALSE),"")</f>
        <v/>
      </c>
      <c r="L48" s="57"/>
      <c r="M48" s="29"/>
      <c r="N48" s="57"/>
      <c r="O48" s="195"/>
    </row>
    <row r="49" spans="9:15" x14ac:dyDescent="0.2">
      <c r="I49" s="194" t="str">
        <f t="shared" si="0"/>
        <v/>
      </c>
      <c r="J49" s="58"/>
      <c r="K49" s="194" t="str">
        <f>IF(Waste[[#This Row],[Month]]&lt;&gt;"",VLOOKUP(Waste[[#This Row],[Month]], dropdown!$S$4:$T$15, 2, FALSE),"")</f>
        <v/>
      </c>
      <c r="L49" s="57"/>
      <c r="M49" s="29"/>
      <c r="N49" s="57"/>
      <c r="O49" s="195"/>
    </row>
    <row r="50" spans="9:15" x14ac:dyDescent="0.2">
      <c r="I50" s="194" t="str">
        <f t="shared" si="0"/>
        <v/>
      </c>
      <c r="J50" s="58"/>
      <c r="K50" s="194" t="str">
        <f>IF(Waste[[#This Row],[Month]]&lt;&gt;"",VLOOKUP(Waste[[#This Row],[Month]], dropdown!$S$4:$T$15, 2, FALSE),"")</f>
        <v/>
      </c>
      <c r="L50" s="57"/>
      <c r="M50" s="29"/>
      <c r="N50" s="57"/>
      <c r="O50" s="195"/>
    </row>
    <row r="51" spans="9:15" x14ac:dyDescent="0.2">
      <c r="I51" s="194" t="str">
        <f t="shared" si="0"/>
        <v/>
      </c>
      <c r="J51" s="58"/>
      <c r="K51" s="194" t="str">
        <f>IF(Waste[[#This Row],[Month]]&lt;&gt;"",VLOOKUP(Waste[[#This Row],[Month]], dropdown!$S$4:$T$15, 2, FALSE),"")</f>
        <v/>
      </c>
      <c r="L51" s="57"/>
      <c r="M51" s="29"/>
      <c r="N51" s="57"/>
      <c r="O51" s="195"/>
    </row>
    <row r="52" spans="9:15" x14ac:dyDescent="0.2">
      <c r="I52" s="194" t="str">
        <f t="shared" si="0"/>
        <v/>
      </c>
      <c r="J52" s="58"/>
      <c r="K52" s="194" t="str">
        <f>IF(Waste[[#This Row],[Month]]&lt;&gt;"",VLOOKUP(Waste[[#This Row],[Month]], dropdown!$S$4:$T$15, 2, FALSE),"")</f>
        <v/>
      </c>
      <c r="L52" s="57"/>
      <c r="M52" s="29"/>
      <c r="N52" s="57"/>
      <c r="O52" s="195"/>
    </row>
    <row r="53" spans="9:15" x14ac:dyDescent="0.2">
      <c r="I53" s="194" t="str">
        <f t="shared" si="0"/>
        <v/>
      </c>
      <c r="J53" s="58"/>
      <c r="K53" s="194" t="str">
        <f>IF(Waste[[#This Row],[Month]]&lt;&gt;"",VLOOKUP(Waste[[#This Row],[Month]], dropdown!$S$4:$T$15, 2, FALSE),"")</f>
        <v/>
      </c>
      <c r="L53" s="57"/>
      <c r="M53" s="29"/>
      <c r="N53" s="57"/>
      <c r="O53" s="195"/>
    </row>
    <row r="54" spans="9:15" x14ac:dyDescent="0.2">
      <c r="I54" s="194" t="str">
        <f t="shared" si="0"/>
        <v/>
      </c>
      <c r="J54" s="58"/>
      <c r="K54" s="194" t="str">
        <f>IF(Waste[[#This Row],[Month]]&lt;&gt;"",VLOOKUP(Waste[[#This Row],[Month]], dropdown!$S$4:$T$15, 2, FALSE),"")</f>
        <v/>
      </c>
      <c r="L54" s="57"/>
      <c r="M54" s="29"/>
      <c r="N54" s="57"/>
      <c r="O54" s="195"/>
    </row>
    <row r="55" spans="9:15" x14ac:dyDescent="0.2">
      <c r="I55" s="194" t="str">
        <f t="shared" si="0"/>
        <v/>
      </c>
      <c r="J55" s="58"/>
      <c r="K55" s="194" t="str">
        <f>IF(Waste[[#This Row],[Month]]&lt;&gt;"",VLOOKUP(Waste[[#This Row],[Month]], dropdown!$S$4:$T$15, 2, FALSE),"")</f>
        <v/>
      </c>
      <c r="L55" s="57"/>
      <c r="M55" s="29"/>
      <c r="N55" s="57"/>
      <c r="O55" s="195"/>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178</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t="str">
        <f>'1. Data Info and Summary'!$D$2</f>
        <v>Dumaguete Branch</v>
      </c>
      <c r="E6" s="463" t="s">
        <v>284</v>
      </c>
      <c r="F6" s="463"/>
      <c r="G6" s="463"/>
      <c r="H6" s="463"/>
      <c r="I6" s="463"/>
      <c r="J6" s="463"/>
      <c r="K6" s="463"/>
      <c r="L6" s="463"/>
      <c r="M6" s="463"/>
      <c r="N6" s="463"/>
      <c r="O6" s="463"/>
      <c r="P6" s="463"/>
      <c r="Q6" s="463"/>
    </row>
    <row r="7" spans="2:17" ht="20" customHeight="1" x14ac:dyDescent="0.2">
      <c r="B7" s="70" t="s">
        <v>12</v>
      </c>
      <c r="C7" s="59">
        <f>'1. Data Info and Summary'!$D$3</f>
        <v>2024</v>
      </c>
      <c r="E7" s="463"/>
      <c r="F7" s="463"/>
      <c r="G7" s="463"/>
      <c r="H7" s="463"/>
      <c r="I7" s="463"/>
      <c r="J7" s="463"/>
      <c r="K7" s="463"/>
      <c r="L7" s="463"/>
      <c r="M7" s="463"/>
      <c r="N7" s="463"/>
      <c r="O7" s="463"/>
      <c r="P7" s="463"/>
      <c r="Q7" s="463"/>
    </row>
    <row r="8" spans="2:17" ht="20" customHeight="1" x14ac:dyDescent="0.2">
      <c r="B8" s="71"/>
    </row>
    <row r="9" spans="2:17" x14ac:dyDescent="0.2">
      <c r="C9" s="53"/>
      <c r="E9" s="465" t="s">
        <v>285</v>
      </c>
      <c r="F9" s="465"/>
      <c r="G9" s="465"/>
      <c r="H9" s="465"/>
      <c r="I9" s="465"/>
      <c r="J9" s="465"/>
      <c r="L9" s="465" t="s">
        <v>286</v>
      </c>
      <c r="M9" s="465"/>
      <c r="N9" s="465"/>
      <c r="O9" s="465"/>
      <c r="P9" s="465"/>
      <c r="Q9" s="465"/>
    </row>
    <row r="10" spans="2:17" ht="8" customHeight="1" x14ac:dyDescent="0.2">
      <c r="B10" s="71"/>
    </row>
    <row r="11" spans="2:17" x14ac:dyDescent="0.2">
      <c r="E11" s="464" t="s">
        <v>287</v>
      </c>
      <c r="F11" s="464"/>
      <c r="G11" s="464"/>
      <c r="H11" s="464"/>
      <c r="I11" s="464"/>
      <c r="J11" s="464"/>
      <c r="L11" s="464" t="s">
        <v>288</v>
      </c>
      <c r="M11" s="464"/>
      <c r="N11" s="464"/>
      <c r="O11" s="464"/>
      <c r="P11" s="464"/>
      <c r="Q11" s="464"/>
    </row>
    <row r="12" spans="2:17" x14ac:dyDescent="0.2">
      <c r="E12" s="72" t="str">
        <f>'1. Data Info and Summary'!$C17</f>
        <v>Fuel Type</v>
      </c>
      <c r="F12" s="75" t="s">
        <v>289</v>
      </c>
      <c r="G12" s="72" t="s">
        <v>51</v>
      </c>
      <c r="H12" s="77"/>
      <c r="I12" s="75" t="s">
        <v>290</v>
      </c>
      <c r="J12" s="75" t="s">
        <v>291</v>
      </c>
      <c r="L12" s="72" t="str">
        <f>'2.3a Electricity'!$B$11</f>
        <v>Electricity</v>
      </c>
      <c r="M12" s="79" t="s">
        <v>289</v>
      </c>
      <c r="N12" s="72" t="str">
        <f>'2.3a Electricity'!$C$11</f>
        <v>Unit</v>
      </c>
      <c r="O12" s="77"/>
      <c r="P12" s="75" t="s">
        <v>290</v>
      </c>
      <c r="Q12" s="72" t="s">
        <v>291</v>
      </c>
    </row>
    <row r="13" spans="2:17" x14ac:dyDescent="0.2">
      <c r="E13" s="73" t="str">
        <f>'1. Data Info and Summary'!$C18</f>
        <v>Diesel - Standby generator sets</v>
      </c>
      <c r="F13" s="78">
        <f>'1. Data Info and Summary'!$E18</f>
        <v>1199.8399999999999</v>
      </c>
      <c r="G13" s="73" t="str">
        <f>'1. Data Info and Summary'!$D18</f>
        <v>Liters</v>
      </c>
      <c r="I13" s="76">
        <f>VLOOKUP($E13,Emission_Factors!$A$1:$G$20,5,FALSE)</f>
        <v>2.68</v>
      </c>
      <c r="J13" s="141">
        <f>F13*I13</f>
        <v>3215.5711999999999</v>
      </c>
      <c r="L13" s="73" t="s">
        <v>155</v>
      </c>
      <c r="M13" s="78">
        <f>SUM('2.3a Electricity'!$D$12:$G$12)</f>
        <v>430780</v>
      </c>
      <c r="N13" s="73" t="str">
        <f>'2.3a Electricity'!$C$12</f>
        <v>Kilowatt-hour</v>
      </c>
      <c r="P13" s="76">
        <f>VLOOKUP($L13,Emission_Factors!$A$1:$G$20,5,FALSE)</f>
        <v>0.56000000000000005</v>
      </c>
      <c r="Q13" s="141">
        <f>M13*P13</f>
        <v>241236.80000000002</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292</v>
      </c>
      <c r="F18" s="78"/>
      <c r="G18" s="73"/>
      <c r="I18" s="76"/>
      <c r="J18" s="148">
        <f>SUM(J13:J17)</f>
        <v>3215.5711999999999</v>
      </c>
    </row>
    <row r="20" spans="5:10" x14ac:dyDescent="0.2">
      <c r="E20" s="464" t="s">
        <v>293</v>
      </c>
      <c r="F20" s="464"/>
      <c r="G20" s="464"/>
      <c r="H20" s="464"/>
      <c r="I20" s="464"/>
      <c r="J20" s="464"/>
    </row>
    <row r="21" spans="5:10" x14ac:dyDescent="0.2">
      <c r="E21" s="72" t="str">
        <f>'1. Data Info and Summary'!$C25</f>
        <v>Fuel Type</v>
      </c>
      <c r="F21" s="72" t="s">
        <v>289</v>
      </c>
      <c r="G21" s="72" t="s">
        <v>51</v>
      </c>
      <c r="H21" s="77"/>
      <c r="I21" s="75" t="s">
        <v>290</v>
      </c>
      <c r="J21" s="75" t="s">
        <v>291</v>
      </c>
    </row>
    <row r="22" spans="5:10" x14ac:dyDescent="0.2">
      <c r="E22" s="73" t="str">
        <f>'1. Data Info and Summary'!$C26</f>
        <v>Diesel - Transport vehicles</v>
      </c>
      <c r="F22" s="78">
        <f>'1. Data Info and Summary'!$E26</f>
        <v>1607.5349999999999</v>
      </c>
      <c r="G22" s="73" t="str">
        <f>'1. Data Info and Summary'!$D26</f>
        <v>Liters</v>
      </c>
      <c r="I22" s="76">
        <f>VLOOKUP($E22,Emission_Factors!$A$1:$G$20,5,FALSE)</f>
        <v>2.68</v>
      </c>
      <c r="J22" s="141">
        <f>F22*I22</f>
        <v>4308.1938</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292</v>
      </c>
      <c r="F24" s="78"/>
      <c r="G24" s="73"/>
      <c r="I24" s="76"/>
      <c r="J24" s="148">
        <f>SUM(J22:J23)</f>
        <v>4308.1938</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6" width="6.6640625" bestFit="1" customWidth="1"/>
    <col min="7" max="7" width="10" bestFit="1" customWidth="1"/>
    <col min="8" max="8" width="11.33203125" bestFit="1" customWidth="1"/>
  </cols>
  <sheetData>
    <row r="1" spans="1:17" ht="19" x14ac:dyDescent="0.25">
      <c r="A1" s="256"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39</v>
      </c>
      <c r="B4" t="s">
        <v>294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295</v>
      </c>
      <c r="B6" s="200" t="s">
        <v>43</v>
      </c>
      <c r="G6" s="20"/>
      <c r="H6" s="12"/>
      <c r="I6" s="20"/>
      <c r="J6" s="20"/>
      <c r="K6" s="20"/>
      <c r="L6" s="20"/>
      <c r="M6" s="21"/>
      <c r="N6" s="21"/>
      <c r="O6" s="22"/>
      <c r="P6" s="11"/>
      <c r="Q6" s="20"/>
    </row>
    <row r="7" spans="1:17" outlineLevel="1" x14ac:dyDescent="0.2">
      <c r="A7" s="200" t="s">
        <v>296</v>
      </c>
      <c r="B7" t="s">
        <v>150</v>
      </c>
      <c r="C7" t="s">
        <v>151</v>
      </c>
      <c r="D7" t="s">
        <v>297</v>
      </c>
      <c r="G7" s="20"/>
      <c r="H7" s="12"/>
      <c r="I7" s="20"/>
      <c r="J7" s="20"/>
      <c r="K7" s="20"/>
      <c r="L7" s="20"/>
      <c r="M7" s="21"/>
      <c r="N7" s="21"/>
      <c r="O7" s="22"/>
      <c r="P7" s="11"/>
      <c r="Q7" s="20"/>
    </row>
    <row r="8" spans="1:17" outlineLevel="1" x14ac:dyDescent="0.2">
      <c r="A8" s="19" t="s">
        <v>298</v>
      </c>
      <c r="B8" s="337"/>
      <c r="C8" s="337"/>
      <c r="D8" s="337"/>
      <c r="G8" s="20"/>
      <c r="H8" s="12"/>
      <c r="I8" s="20"/>
      <c r="J8" s="20"/>
      <c r="K8" s="20"/>
      <c r="L8" s="20"/>
      <c r="M8" s="21"/>
      <c r="N8" s="21"/>
      <c r="O8" s="22"/>
      <c r="P8" s="11"/>
      <c r="Q8" s="20"/>
    </row>
    <row r="9" spans="1:17" outlineLevel="1" x14ac:dyDescent="0.2">
      <c r="A9" s="19" t="s">
        <v>37</v>
      </c>
      <c r="B9" s="337"/>
      <c r="C9" s="337">
        <v>100</v>
      </c>
      <c r="D9" s="337">
        <v>100</v>
      </c>
      <c r="G9" s="20"/>
      <c r="H9" s="12"/>
      <c r="I9" s="20"/>
      <c r="J9" s="20"/>
      <c r="K9" s="20"/>
      <c r="L9" s="20"/>
      <c r="M9" s="21"/>
      <c r="N9" s="21"/>
      <c r="O9" s="22"/>
      <c r="P9" s="11"/>
      <c r="Q9" s="20"/>
    </row>
    <row r="10" spans="1:17" outlineLevel="1" x14ac:dyDescent="0.2">
      <c r="A10" s="19" t="s">
        <v>297</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153</v>
      </c>
      <c r="B25" s="202"/>
      <c r="C25" s="202"/>
      <c r="D25" s="202"/>
      <c r="E25" s="202"/>
      <c r="F25" s="202"/>
    </row>
    <row r="26" spans="1:19" outlineLevel="1" x14ac:dyDescent="0.2"/>
    <row r="27" spans="1:19" outlineLevel="1" x14ac:dyDescent="0.2">
      <c r="A27" s="200" t="s">
        <v>39</v>
      </c>
      <c r="B27" t="s">
        <v>294</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295</v>
      </c>
      <c r="B29" s="200" t="s">
        <v>299</v>
      </c>
      <c r="I29" s="20"/>
      <c r="J29" s="20"/>
      <c r="K29" s="21"/>
      <c r="L29" s="21"/>
      <c r="M29" s="22"/>
      <c r="N29" s="22"/>
      <c r="O29" s="11"/>
      <c r="P29" s="22"/>
      <c r="Q29" s="20"/>
      <c r="R29" s="20"/>
      <c r="S29" s="44"/>
    </row>
    <row r="30" spans="1:19" outlineLevel="1" x14ac:dyDescent="0.2">
      <c r="A30" s="200" t="s">
        <v>296</v>
      </c>
      <c r="C30" t="s">
        <v>45</v>
      </c>
      <c r="D30" t="s">
        <v>151</v>
      </c>
      <c r="E30" t="s">
        <v>149</v>
      </c>
      <c r="F30" t="s">
        <v>150</v>
      </c>
      <c r="G30" t="s">
        <v>297</v>
      </c>
      <c r="I30" s="20"/>
      <c r="J30" s="20"/>
      <c r="K30" s="21"/>
      <c r="L30" s="21"/>
      <c r="M30" s="22"/>
      <c r="N30" s="22"/>
      <c r="O30" s="11"/>
      <c r="P30" s="22"/>
      <c r="Q30" s="20"/>
      <c r="R30" s="20"/>
      <c r="S30" s="44"/>
    </row>
    <row r="31" spans="1:19" outlineLevel="1" x14ac:dyDescent="0.2">
      <c r="A31" s="19" t="s">
        <v>300</v>
      </c>
      <c r="B31" s="337"/>
      <c r="C31" s="337"/>
      <c r="D31" s="337"/>
      <c r="E31" s="337"/>
      <c r="F31" s="337"/>
      <c r="G31" s="337"/>
      <c r="I31" s="20"/>
      <c r="J31" s="20"/>
      <c r="K31" s="21"/>
      <c r="L31" s="21"/>
      <c r="M31" s="22"/>
      <c r="N31" s="22"/>
      <c r="O31" s="11"/>
      <c r="P31" s="22"/>
      <c r="Q31" s="20"/>
      <c r="R31" s="20"/>
      <c r="S31" s="44"/>
    </row>
    <row r="32" spans="1:19" outlineLevel="1" x14ac:dyDescent="0.2">
      <c r="A32" s="203" t="s">
        <v>300</v>
      </c>
      <c r="B32" s="337"/>
      <c r="C32" s="337"/>
      <c r="D32" s="337"/>
      <c r="E32" s="337"/>
      <c r="F32" s="337"/>
      <c r="G32" s="337"/>
      <c r="I32" s="20"/>
      <c r="J32" s="20"/>
      <c r="K32" s="21"/>
      <c r="L32" s="21"/>
      <c r="M32" s="22"/>
      <c r="N32" s="22"/>
      <c r="O32" s="11"/>
      <c r="P32" s="22"/>
      <c r="Q32" s="20"/>
      <c r="R32" s="20"/>
      <c r="S32" s="44"/>
    </row>
    <row r="33" spans="1:19" outlineLevel="1" x14ac:dyDescent="0.2">
      <c r="A33" s="19" t="s">
        <v>343</v>
      </c>
      <c r="B33" s="337"/>
      <c r="C33" s="337">
        <v>88.706000000000003</v>
      </c>
      <c r="D33" s="337">
        <v>85.897999999999996</v>
      </c>
      <c r="E33" s="337">
        <v>295.61899999999997</v>
      </c>
      <c r="F33" s="337">
        <v>27.186999999999998</v>
      </c>
      <c r="G33" s="337">
        <v>497.40999999999997</v>
      </c>
      <c r="I33" s="20"/>
      <c r="J33" s="20"/>
      <c r="K33" s="21"/>
      <c r="L33" s="21"/>
      <c r="M33" s="22"/>
      <c r="N33" s="22"/>
      <c r="O33" s="11"/>
      <c r="P33" s="22"/>
      <c r="Q33" s="20"/>
      <c r="R33" s="20"/>
      <c r="S33" s="44"/>
    </row>
    <row r="34" spans="1:19" outlineLevel="1" x14ac:dyDescent="0.2">
      <c r="A34" s="203" t="s">
        <v>63</v>
      </c>
      <c r="B34" s="337"/>
      <c r="C34" s="337">
        <v>88.706000000000003</v>
      </c>
      <c r="D34" s="337">
        <v>85.897999999999996</v>
      </c>
      <c r="E34" s="337">
        <v>295.61899999999997</v>
      </c>
      <c r="F34" s="337">
        <v>27.186999999999998</v>
      </c>
      <c r="G34" s="337">
        <v>497.40999999999997</v>
      </c>
      <c r="I34" s="20"/>
      <c r="J34" s="20"/>
      <c r="K34" s="21"/>
      <c r="L34" s="21"/>
      <c r="M34" s="22"/>
      <c r="N34" s="22"/>
      <c r="O34" s="11"/>
      <c r="P34" s="22"/>
      <c r="Q34" s="20"/>
      <c r="R34" s="20"/>
      <c r="S34" s="44"/>
    </row>
    <row r="35" spans="1:19" outlineLevel="1" x14ac:dyDescent="0.2">
      <c r="A35" s="19" t="s">
        <v>365</v>
      </c>
      <c r="B35" s="337"/>
      <c r="C35" s="337">
        <v>86.486000000000004</v>
      </c>
      <c r="D35" s="337">
        <v>146.41200000000001</v>
      </c>
      <c r="E35" s="337">
        <v>134.37700000000001</v>
      </c>
      <c r="F35" s="337">
        <v>182.268</v>
      </c>
      <c r="G35" s="337">
        <v>549.54300000000001</v>
      </c>
      <c r="I35" s="20"/>
      <c r="J35" s="20"/>
      <c r="K35" s="21"/>
      <c r="L35" s="21"/>
      <c r="M35" s="22"/>
      <c r="N35" s="22"/>
      <c r="O35" s="11"/>
      <c r="P35" s="22"/>
      <c r="Q35" s="20"/>
      <c r="R35" s="20"/>
      <c r="S35" s="44"/>
    </row>
    <row r="36" spans="1:19" outlineLevel="1" x14ac:dyDescent="0.2">
      <c r="A36" s="203" t="s">
        <v>63</v>
      </c>
      <c r="B36" s="337"/>
      <c r="C36" s="337">
        <v>86.486000000000004</v>
      </c>
      <c r="D36" s="337">
        <v>146.41200000000001</v>
      </c>
      <c r="E36" s="337">
        <v>134.37700000000001</v>
      </c>
      <c r="F36" s="337">
        <v>182.268</v>
      </c>
      <c r="G36" s="337">
        <v>549.54300000000001</v>
      </c>
      <c r="H36" s="12"/>
      <c r="I36" s="20"/>
      <c r="J36" s="20"/>
      <c r="K36" s="21"/>
      <c r="L36" s="21"/>
      <c r="M36" s="22"/>
      <c r="N36" s="22"/>
      <c r="O36" s="11"/>
      <c r="P36" s="22"/>
      <c r="Q36" s="20"/>
      <c r="R36" s="20"/>
      <c r="S36" s="44"/>
    </row>
    <row r="37" spans="1:19" outlineLevel="1" x14ac:dyDescent="0.2">
      <c r="A37" s="19" t="s">
        <v>381</v>
      </c>
      <c r="B37" s="337"/>
      <c r="C37" s="337">
        <v>154.96100000000001</v>
      </c>
      <c r="D37" s="337">
        <v>106.90400000000001</v>
      </c>
      <c r="E37" s="337">
        <v>92.13</v>
      </c>
      <c r="F37" s="337">
        <v>206.58699999999999</v>
      </c>
      <c r="G37" s="337">
        <v>560.58199999999999</v>
      </c>
      <c r="H37" s="12"/>
      <c r="I37" s="20"/>
      <c r="J37" s="20"/>
      <c r="K37" s="21"/>
      <c r="L37" s="21"/>
      <c r="M37" s="22"/>
      <c r="N37" s="22"/>
      <c r="O37" s="11"/>
      <c r="P37" s="22"/>
      <c r="Q37" s="20"/>
      <c r="R37" s="20"/>
      <c r="S37" s="44"/>
    </row>
    <row r="38" spans="1:19" outlineLevel="1" x14ac:dyDescent="0.2">
      <c r="A38" s="203" t="s">
        <v>63</v>
      </c>
      <c r="B38" s="337"/>
      <c r="C38" s="337">
        <v>154.96100000000001</v>
      </c>
      <c r="D38" s="337">
        <v>106.90400000000001</v>
      </c>
      <c r="E38" s="337">
        <v>92.13</v>
      </c>
      <c r="F38" s="337">
        <v>206.58699999999999</v>
      </c>
      <c r="G38" s="337">
        <v>560.58199999999999</v>
      </c>
      <c r="H38" s="12"/>
      <c r="I38" s="20"/>
      <c r="J38" s="20"/>
      <c r="K38" s="21"/>
      <c r="L38" s="21"/>
      <c r="M38" s="22"/>
      <c r="N38" s="22"/>
      <c r="O38" s="11"/>
      <c r="P38" s="22"/>
      <c r="Q38" s="20"/>
      <c r="R38" s="20"/>
      <c r="S38" s="44"/>
    </row>
    <row r="39" spans="1:19" outlineLevel="1" x14ac:dyDescent="0.2">
      <c r="A39" s="19" t="s">
        <v>297</v>
      </c>
      <c r="B39" s="337"/>
      <c r="C39" s="337">
        <v>330.15300000000002</v>
      </c>
      <c r="D39" s="337">
        <v>339.214</v>
      </c>
      <c r="E39" s="337">
        <v>522.12599999999998</v>
      </c>
      <c r="F39" s="337">
        <v>416.04199999999997</v>
      </c>
      <c r="G39" s="337">
        <v>1607.5349999999999</v>
      </c>
      <c r="H39" s="12"/>
      <c r="I39" s="20"/>
      <c r="J39" s="20"/>
      <c r="K39" s="21"/>
      <c r="L39" s="21"/>
      <c r="M39" s="22"/>
      <c r="N39" s="22"/>
      <c r="O39" s="11"/>
      <c r="P39" s="22"/>
      <c r="Q39" s="20"/>
      <c r="R39" s="20"/>
      <c r="S39" s="44"/>
    </row>
    <row r="40" spans="1:19" outlineLevel="1" x14ac:dyDescent="0.2">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155</v>
      </c>
      <c r="B54" s="202"/>
      <c r="C54" s="202"/>
      <c r="D54" s="202"/>
      <c r="E54" s="202"/>
      <c r="F54" s="202"/>
    </row>
    <row r="55" spans="1:18" outlineLevel="1" x14ac:dyDescent="0.2"/>
    <row r="56" spans="1:18" s="20" customFormat="1" outlineLevel="1" x14ac:dyDescent="0.2">
      <c r="A56" s="200" t="s">
        <v>39</v>
      </c>
      <c r="B56" t="s">
        <v>294</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301</v>
      </c>
      <c r="B58" s="200" t="s">
        <v>299</v>
      </c>
      <c r="H58" s="12"/>
      <c r="I58" s="20"/>
      <c r="J58" s="21"/>
      <c r="K58" s="21"/>
      <c r="L58" s="22"/>
      <c r="M58" s="46"/>
      <c r="N58" s="164"/>
      <c r="O58" s="20"/>
      <c r="P58" s="20"/>
      <c r="Q58" s="48"/>
    </row>
    <row r="59" spans="1:18" outlineLevel="1" x14ac:dyDescent="0.2">
      <c r="A59" s="200" t="s">
        <v>296</v>
      </c>
      <c r="C59" t="s">
        <v>45</v>
      </c>
      <c r="D59" t="s">
        <v>150</v>
      </c>
      <c r="E59" t="s">
        <v>151</v>
      </c>
      <c r="F59" t="s">
        <v>149</v>
      </c>
      <c r="G59" t="s">
        <v>297</v>
      </c>
      <c r="H59" s="12"/>
      <c r="I59" s="20"/>
      <c r="J59" s="21"/>
      <c r="K59" s="21"/>
      <c r="L59" s="22"/>
      <c r="M59" s="46"/>
      <c r="N59" s="164"/>
      <c r="O59" s="20"/>
      <c r="P59" s="20"/>
      <c r="Q59" s="48"/>
    </row>
    <row r="60" spans="1:18" outlineLevel="1" x14ac:dyDescent="0.2">
      <c r="A60" s="19" t="s">
        <v>302</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303</v>
      </c>
      <c r="B61" s="337"/>
      <c r="C61" s="337"/>
      <c r="D61" s="337"/>
      <c r="E61" s="337">
        <v>1700</v>
      </c>
      <c r="F61" s="337"/>
      <c r="G61" s="337">
        <v>1700</v>
      </c>
      <c r="H61" s="12"/>
      <c r="I61" s="20"/>
      <c r="J61" s="21"/>
      <c r="K61" s="21"/>
      <c r="L61" s="22"/>
      <c r="M61" s="46"/>
      <c r="N61" s="164"/>
      <c r="O61" s="20"/>
      <c r="P61" s="20"/>
      <c r="Q61" s="48"/>
    </row>
    <row r="62" spans="1:18" outlineLevel="1" x14ac:dyDescent="0.2">
      <c r="A62" s="19" t="s">
        <v>300</v>
      </c>
      <c r="B62" s="337"/>
      <c r="C62" s="337"/>
      <c r="D62" s="337"/>
      <c r="E62" s="337"/>
      <c r="F62" s="337"/>
      <c r="G62" s="337"/>
      <c r="H62" s="12"/>
      <c r="I62" s="20"/>
      <c r="J62" s="21"/>
      <c r="K62" s="21"/>
      <c r="L62" s="22"/>
      <c r="M62" s="46"/>
      <c r="N62" s="164"/>
      <c r="O62" s="20"/>
      <c r="P62" s="20"/>
      <c r="Q62" s="48"/>
    </row>
    <row r="63" spans="1:18" outlineLevel="1" x14ac:dyDescent="0.2">
      <c r="A63" s="19" t="s">
        <v>304</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297</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305</v>
      </c>
      <c r="B79" s="202"/>
      <c r="C79" s="202"/>
      <c r="D79" s="202"/>
      <c r="E79" s="202"/>
      <c r="F79" s="202"/>
    </row>
    <row r="81" spans="1:17" s="20" customFormat="1" outlineLevel="1" x14ac:dyDescent="0.2">
      <c r="A81" s="200" t="s">
        <v>39</v>
      </c>
      <c r="B81" t="s">
        <v>294</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301</v>
      </c>
      <c r="B83" s="200" t="s">
        <v>299</v>
      </c>
      <c r="C83"/>
      <c r="D83"/>
      <c r="E83"/>
      <c r="F83"/>
      <c r="G83"/>
      <c r="H83" s="12"/>
      <c r="J83" s="21"/>
      <c r="K83" s="21"/>
      <c r="L83" s="22"/>
      <c r="M83" s="46"/>
      <c r="N83" s="164"/>
      <c r="Q83" s="48"/>
    </row>
    <row r="84" spans="1:17" s="20" customFormat="1" outlineLevel="1" x14ac:dyDescent="0.2">
      <c r="A84" s="200" t="s">
        <v>296</v>
      </c>
      <c r="B84"/>
      <c r="C84" t="s">
        <v>45</v>
      </c>
      <c r="D84" t="s">
        <v>150</v>
      </c>
      <c r="E84" t="s">
        <v>151</v>
      </c>
      <c r="F84" t="s">
        <v>149</v>
      </c>
      <c r="G84" t="s">
        <v>297</v>
      </c>
      <c r="H84" s="12"/>
      <c r="J84" s="21"/>
      <c r="K84" s="21"/>
      <c r="L84" s="22"/>
      <c r="M84" s="46"/>
      <c r="N84" s="164"/>
      <c r="Q84" s="48"/>
    </row>
    <row r="85" spans="1:17" s="20" customFormat="1" outlineLevel="1" x14ac:dyDescent="0.2">
      <c r="A85" s="19" t="s">
        <v>302</v>
      </c>
      <c r="B85"/>
      <c r="C85">
        <v>1000</v>
      </c>
      <c r="D85">
        <v>2000</v>
      </c>
      <c r="E85">
        <v>3000</v>
      </c>
      <c r="F85">
        <v>4000</v>
      </c>
      <c r="G85">
        <v>10000</v>
      </c>
      <c r="H85" s="12"/>
      <c r="J85" s="21"/>
      <c r="K85" s="21"/>
      <c r="L85" s="22"/>
      <c r="M85" s="46"/>
      <c r="N85" s="164"/>
      <c r="Q85" s="48"/>
    </row>
    <row r="86" spans="1:17" s="20" customFormat="1" outlineLevel="1" x14ac:dyDescent="0.2">
      <c r="A86" s="19" t="s">
        <v>303</v>
      </c>
      <c r="B86"/>
      <c r="C86"/>
      <c r="D86"/>
      <c r="E86">
        <v>1700</v>
      </c>
      <c r="F86"/>
      <c r="G86">
        <v>1700</v>
      </c>
      <c r="H86" s="12"/>
      <c r="J86" s="21"/>
      <c r="K86" s="21"/>
      <c r="L86" s="22"/>
      <c r="M86" s="46"/>
      <c r="N86" s="164"/>
      <c r="Q86" s="48"/>
    </row>
    <row r="87" spans="1:17" s="20" customFormat="1" outlineLevel="1" x14ac:dyDescent="0.2">
      <c r="A87" s="19" t="s">
        <v>300</v>
      </c>
      <c r="B87"/>
      <c r="C87"/>
      <c r="D87"/>
      <c r="E87"/>
      <c r="F87"/>
      <c r="G87"/>
      <c r="H87" s="12"/>
      <c r="J87" s="21"/>
      <c r="K87" s="21"/>
      <c r="L87" s="22"/>
      <c r="M87" s="46"/>
      <c r="N87" s="164"/>
      <c r="Q87" s="48"/>
    </row>
    <row r="88" spans="1:17" s="20" customFormat="1" outlineLevel="1" x14ac:dyDescent="0.2">
      <c r="A88" s="19" t="s">
        <v>304</v>
      </c>
      <c r="B88"/>
      <c r="C88">
        <v>2000</v>
      </c>
      <c r="D88"/>
      <c r="E88">
        <v>3000</v>
      </c>
      <c r="F88"/>
      <c r="G88">
        <v>5000</v>
      </c>
      <c r="H88" s="12"/>
      <c r="J88" s="21"/>
      <c r="K88" s="21"/>
      <c r="L88" s="22"/>
      <c r="M88" s="46"/>
      <c r="N88" s="164"/>
      <c r="Q88" s="48"/>
    </row>
    <row r="89" spans="1:17" s="20" customFormat="1" outlineLevel="1" x14ac:dyDescent="0.2">
      <c r="A89" s="19" t="s">
        <v>297</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157</v>
      </c>
      <c r="B104" s="202"/>
      <c r="C104" s="202"/>
      <c r="D104" s="202"/>
      <c r="E104" s="202"/>
      <c r="F104" s="202"/>
    </row>
    <row r="105" spans="1:21" outlineLevel="1" x14ac:dyDescent="0.2"/>
    <row r="106" spans="1:21" outlineLevel="1" x14ac:dyDescent="0.2">
      <c r="A106" s="200" t="s">
        <v>39</v>
      </c>
      <c r="B106" t="s">
        <v>294</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306</v>
      </c>
      <c r="B108" s="200" t="s">
        <v>43</v>
      </c>
      <c r="G108" s="20"/>
      <c r="H108" s="12"/>
      <c r="I108" s="21"/>
      <c r="J108" s="21"/>
      <c r="K108" s="21"/>
      <c r="L108" s="21"/>
      <c r="M108" s="22"/>
      <c r="N108" s="20"/>
      <c r="O108" s="20"/>
      <c r="P108" s="44"/>
      <c r="Q108" s="20"/>
      <c r="R108" s="11"/>
      <c r="S108" s="20"/>
      <c r="T108" s="20"/>
      <c r="U108" s="20"/>
    </row>
    <row r="109" spans="1:21" outlineLevel="1" x14ac:dyDescent="0.2">
      <c r="A109" s="200" t="s">
        <v>296</v>
      </c>
      <c r="B109" t="s">
        <v>45</v>
      </c>
      <c r="C109" t="s">
        <v>149</v>
      </c>
      <c r="D109" t="s">
        <v>150</v>
      </c>
      <c r="E109" t="s">
        <v>297</v>
      </c>
      <c r="G109" s="20"/>
      <c r="H109" s="12"/>
      <c r="I109" s="21"/>
      <c r="J109" s="21"/>
      <c r="K109" s="21"/>
      <c r="L109" s="21"/>
      <c r="M109" s="22"/>
      <c r="N109" s="20"/>
      <c r="O109" s="20"/>
      <c r="P109" s="44"/>
      <c r="Q109" s="20"/>
      <c r="R109" s="11"/>
      <c r="S109" s="20"/>
      <c r="T109" s="20"/>
      <c r="U109" s="20"/>
    </row>
    <row r="110" spans="1:21" outlineLevel="1" x14ac:dyDescent="0.2">
      <c r="A110" s="19" t="s">
        <v>304</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303</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307</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308</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307</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300</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309</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297</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39</v>
      </c>
      <c r="B123" t="s">
        <v>294</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310</v>
      </c>
      <c r="B125" s="200" t="s">
        <v>43</v>
      </c>
      <c r="G125" s="20"/>
      <c r="H125" s="12"/>
      <c r="I125" s="21"/>
      <c r="J125" s="21"/>
      <c r="K125" s="21"/>
      <c r="L125" s="21"/>
      <c r="M125" s="22"/>
      <c r="N125" s="20"/>
      <c r="O125" s="20"/>
      <c r="P125" s="44"/>
      <c r="Q125" s="20"/>
      <c r="R125" s="11"/>
      <c r="S125" s="20"/>
      <c r="T125" s="20"/>
      <c r="U125" s="20"/>
    </row>
    <row r="126" spans="1:21" outlineLevel="1" x14ac:dyDescent="0.2">
      <c r="A126" s="200" t="s">
        <v>296</v>
      </c>
      <c r="B126" t="s">
        <v>45</v>
      </c>
      <c r="C126" t="s">
        <v>149</v>
      </c>
      <c r="D126" t="s">
        <v>151</v>
      </c>
      <c r="E126" t="s">
        <v>297</v>
      </c>
      <c r="G126" s="20"/>
      <c r="H126" s="12"/>
      <c r="I126" s="21"/>
      <c r="J126" s="21"/>
      <c r="K126" s="21"/>
      <c r="L126" s="21"/>
      <c r="M126" s="22"/>
      <c r="N126" s="20"/>
      <c r="O126" s="20"/>
      <c r="P126" s="44"/>
      <c r="Q126" s="20"/>
      <c r="R126" s="11"/>
      <c r="S126" s="20"/>
      <c r="T126" s="20"/>
      <c r="U126" s="20"/>
    </row>
    <row r="127" spans="1:21" outlineLevel="1" x14ac:dyDescent="0.2">
      <c r="A127" s="19" t="s">
        <v>304</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303</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311</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308</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311</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297</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158</v>
      </c>
      <c r="B141" s="202"/>
      <c r="C141" s="202"/>
      <c r="D141" s="202"/>
      <c r="E141" s="202"/>
      <c r="F141" s="202"/>
    </row>
    <row r="142" spans="1:21" outlineLevel="1" x14ac:dyDescent="0.2"/>
    <row r="143" spans="1:21" outlineLevel="1" x14ac:dyDescent="0.2">
      <c r="A143" s="200" t="s">
        <v>39</v>
      </c>
      <c r="B143" t="s">
        <v>294</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312</v>
      </c>
      <c r="B145" s="200" t="s">
        <v>299</v>
      </c>
      <c r="M145" s="22"/>
      <c r="N145" s="20"/>
      <c r="O145" s="20"/>
      <c r="P145" s="20"/>
    </row>
    <row r="146" spans="1:16" outlineLevel="1" x14ac:dyDescent="0.2">
      <c r="A146" s="200" t="s">
        <v>296</v>
      </c>
      <c r="B146" t="s">
        <v>45</v>
      </c>
      <c r="C146" t="s">
        <v>149</v>
      </c>
      <c r="D146" t="s">
        <v>150</v>
      </c>
      <c r="E146" t="s">
        <v>151</v>
      </c>
      <c r="F146" t="s">
        <v>297</v>
      </c>
      <c r="M146" s="22"/>
      <c r="N146" s="20"/>
      <c r="O146" s="20"/>
      <c r="P146" s="20"/>
    </row>
    <row r="147" spans="1:16" outlineLevel="1" x14ac:dyDescent="0.2">
      <c r="A147" s="19" t="s">
        <v>313</v>
      </c>
      <c r="B147" s="263"/>
      <c r="C147" s="263">
        <v>700</v>
      </c>
      <c r="D147" s="263">
        <v>1000</v>
      </c>
      <c r="E147" s="263">
        <v>500</v>
      </c>
      <c r="F147" s="263">
        <v>2200</v>
      </c>
      <c r="M147" s="22"/>
      <c r="N147" s="20"/>
      <c r="O147" s="20"/>
      <c r="P147" s="20"/>
    </row>
    <row r="148" spans="1:16" outlineLevel="1" x14ac:dyDescent="0.2">
      <c r="A148" s="203" t="s">
        <v>314</v>
      </c>
      <c r="B148" s="263"/>
      <c r="C148" s="263">
        <v>700</v>
      </c>
      <c r="D148" s="263">
        <v>1000</v>
      </c>
      <c r="E148" s="263">
        <v>500</v>
      </c>
      <c r="F148" s="263">
        <v>2200</v>
      </c>
      <c r="M148" s="22"/>
      <c r="N148" s="20"/>
      <c r="O148" s="20"/>
      <c r="P148" s="20"/>
    </row>
    <row r="149" spans="1:16" outlineLevel="1" x14ac:dyDescent="0.2">
      <c r="A149" s="19" t="s">
        <v>315</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316</v>
      </c>
      <c r="B150" s="263">
        <v>500</v>
      </c>
      <c r="C150" s="263"/>
      <c r="D150" s="263"/>
      <c r="E150" s="263">
        <v>750</v>
      </c>
      <c r="F150" s="263">
        <v>1250</v>
      </c>
      <c r="H150" s="12"/>
      <c r="I150" s="21"/>
      <c r="J150" s="21"/>
      <c r="K150" s="20"/>
      <c r="L150" s="20"/>
      <c r="M150" s="22"/>
      <c r="N150" s="20"/>
      <c r="O150" s="20"/>
      <c r="P150" s="20"/>
    </row>
    <row r="151" spans="1:16" outlineLevel="1" x14ac:dyDescent="0.2">
      <c r="A151" s="203" t="s">
        <v>317</v>
      </c>
      <c r="B151" s="263">
        <v>500</v>
      </c>
      <c r="C151" s="263"/>
      <c r="D151" s="263"/>
      <c r="E151" s="263"/>
      <c r="F151" s="263">
        <v>500</v>
      </c>
      <c r="H151" s="12"/>
      <c r="I151" s="21"/>
      <c r="J151" s="21"/>
      <c r="K151" s="20"/>
      <c r="L151" s="20"/>
      <c r="M151" s="22"/>
      <c r="N151" s="20"/>
      <c r="O151" s="20"/>
      <c r="P151" s="20"/>
    </row>
    <row r="152" spans="1:16" outlineLevel="1" x14ac:dyDescent="0.2">
      <c r="A152" s="203" t="s">
        <v>318</v>
      </c>
      <c r="B152" s="263"/>
      <c r="C152" s="263">
        <v>500</v>
      </c>
      <c r="D152" s="263"/>
      <c r="E152" s="263"/>
      <c r="F152" s="263">
        <v>500</v>
      </c>
      <c r="H152" s="12"/>
      <c r="I152" s="21"/>
      <c r="J152" s="21"/>
      <c r="K152" s="20"/>
      <c r="L152" s="20"/>
      <c r="M152" s="22"/>
      <c r="N152" s="20"/>
      <c r="O152" s="20"/>
      <c r="P152" s="20"/>
    </row>
    <row r="153" spans="1:16" outlineLevel="1" x14ac:dyDescent="0.2">
      <c r="A153" s="19" t="s">
        <v>297</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319</v>
      </c>
      <c r="E3" s="15" t="s">
        <v>320</v>
      </c>
      <c r="G3" s="265" t="s">
        <v>321</v>
      </c>
      <c r="I3" s="5" t="s">
        <v>322</v>
      </c>
      <c r="K3" s="15" t="s">
        <v>8</v>
      </c>
      <c r="L3" s="15" t="s">
        <v>322</v>
      </c>
      <c r="N3" s="214" t="s">
        <v>323</v>
      </c>
      <c r="P3" s="15" t="s">
        <v>324</v>
      </c>
      <c r="Q3" s="15" t="s">
        <v>51</v>
      </c>
      <c r="S3" s="15" t="s">
        <v>39</v>
      </c>
      <c r="T3" s="15" t="s">
        <v>325</v>
      </c>
      <c r="V3" s="15" t="s">
        <v>168</v>
      </c>
      <c r="X3" s="15" t="s">
        <v>154</v>
      </c>
      <c r="Z3" s="15" t="s">
        <v>326</v>
      </c>
      <c r="AB3" s="15" t="s">
        <v>327</v>
      </c>
      <c r="AE3" s="15" t="s">
        <v>328</v>
      </c>
      <c r="AG3" s="15" t="s">
        <v>131</v>
      </c>
      <c r="AI3" s="15" t="s">
        <v>329</v>
      </c>
      <c r="AK3" s="15" t="s">
        <v>59</v>
      </c>
      <c r="AM3" s="15" t="s">
        <v>330</v>
      </c>
      <c r="AO3" s="15" t="s">
        <v>331</v>
      </c>
      <c r="AQ3" s="15" t="s">
        <v>43</v>
      </c>
    </row>
    <row r="4" spans="2:43" x14ac:dyDescent="0.2">
      <c r="B4" s="16" t="s">
        <v>139</v>
      </c>
      <c r="D4" s="16" t="s">
        <v>313</v>
      </c>
      <c r="E4" s="16" t="s">
        <v>332</v>
      </c>
      <c r="G4" s="16" t="s">
        <v>333</v>
      </c>
      <c r="I4" s="2" t="s">
        <v>334</v>
      </c>
      <c r="K4" s="16" t="s">
        <v>335</v>
      </c>
      <c r="L4" s="16" t="s">
        <v>336</v>
      </c>
      <c r="N4" s="16" t="s">
        <v>337</v>
      </c>
      <c r="P4" s="51" t="s">
        <v>37</v>
      </c>
      <c r="Q4" s="51" t="s">
        <v>53</v>
      </c>
      <c r="S4" s="16" t="s">
        <v>338</v>
      </c>
      <c r="T4" s="16" t="s">
        <v>45</v>
      </c>
      <c r="V4" s="50">
        <v>2019</v>
      </c>
      <c r="X4" s="49" t="s">
        <v>339</v>
      </c>
      <c r="Z4" s="16" t="s">
        <v>340</v>
      </c>
      <c r="AB4" s="16" t="s">
        <v>188</v>
      </c>
      <c r="AE4" s="16" t="s">
        <v>124</v>
      </c>
      <c r="AG4" s="16" t="s">
        <v>341</v>
      </c>
      <c r="AI4" s="16" t="s">
        <v>342</v>
      </c>
      <c r="AK4" s="16" t="s">
        <v>343</v>
      </c>
      <c r="AM4" s="16" t="s">
        <v>194</v>
      </c>
      <c r="AO4" s="16" t="s">
        <v>344</v>
      </c>
      <c r="AQ4" s="16" t="s">
        <v>45</v>
      </c>
    </row>
    <row r="5" spans="2:43" x14ac:dyDescent="0.2">
      <c r="B5" s="16" t="s">
        <v>318</v>
      </c>
      <c r="D5" s="16" t="s">
        <v>345</v>
      </c>
      <c r="E5" s="16" t="s">
        <v>346</v>
      </c>
      <c r="G5" s="16" t="s">
        <v>347</v>
      </c>
      <c r="I5" s="2" t="s">
        <v>348</v>
      </c>
      <c r="K5" s="16" t="s">
        <v>349</v>
      </c>
      <c r="L5" s="16" t="s">
        <v>350</v>
      </c>
      <c r="N5" s="16"/>
      <c r="P5" s="51" t="s">
        <v>298</v>
      </c>
      <c r="Q5" s="51" t="s">
        <v>53</v>
      </c>
      <c r="S5" s="16" t="s">
        <v>89</v>
      </c>
      <c r="T5" s="16" t="s">
        <v>45</v>
      </c>
      <c r="V5" s="50">
        <v>2020</v>
      </c>
      <c r="X5" s="49" t="s">
        <v>351</v>
      </c>
      <c r="Z5" s="16" t="s">
        <v>3</v>
      </c>
      <c r="AB5" s="16" t="s">
        <v>352</v>
      </c>
      <c r="AE5" s="16" t="s">
        <v>309</v>
      </c>
      <c r="AG5" s="16" t="s">
        <v>133</v>
      </c>
      <c r="AI5" s="16" t="s">
        <v>353</v>
      </c>
      <c r="AK5" s="16" t="s">
        <v>354</v>
      </c>
      <c r="AM5" s="16" t="s">
        <v>197</v>
      </c>
      <c r="AO5" s="16" t="s">
        <v>355</v>
      </c>
      <c r="AQ5" s="16" t="s">
        <v>149</v>
      </c>
    </row>
    <row r="6" spans="2:43" x14ac:dyDescent="0.2">
      <c r="B6" s="16" t="s">
        <v>356</v>
      </c>
      <c r="D6" s="16" t="s">
        <v>357</v>
      </c>
      <c r="E6" s="16" t="s">
        <v>346</v>
      </c>
      <c r="G6" s="16" t="s">
        <v>358</v>
      </c>
      <c r="K6" s="16" t="s">
        <v>359</v>
      </c>
      <c r="L6" s="16" t="s">
        <v>360</v>
      </c>
      <c r="P6" s="51" t="s">
        <v>361</v>
      </c>
      <c r="Q6" s="51" t="s">
        <v>53</v>
      </c>
      <c r="S6" s="16" t="s">
        <v>362</v>
      </c>
      <c r="T6" s="16" t="s">
        <v>45</v>
      </c>
      <c r="V6" s="50">
        <v>2021</v>
      </c>
      <c r="X6" s="49" t="s">
        <v>363</v>
      </c>
      <c r="AB6" s="16" t="s">
        <v>86</v>
      </c>
      <c r="AE6" s="16" t="s">
        <v>307</v>
      </c>
      <c r="AG6" s="16" t="s">
        <v>364</v>
      </c>
      <c r="AK6" s="16" t="s">
        <v>365</v>
      </c>
      <c r="AM6" s="16" t="s">
        <v>200</v>
      </c>
      <c r="AO6" s="16" t="s">
        <v>366</v>
      </c>
      <c r="AQ6" s="16" t="s">
        <v>150</v>
      </c>
    </row>
    <row r="7" spans="2:43" x14ac:dyDescent="0.2">
      <c r="B7" s="16" t="s">
        <v>367</v>
      </c>
      <c r="D7" s="16" t="s">
        <v>347</v>
      </c>
      <c r="G7" s="16" t="s">
        <v>368</v>
      </c>
      <c r="K7" s="16" t="s">
        <v>369</v>
      </c>
      <c r="L7" s="16" t="s">
        <v>350</v>
      </c>
      <c r="P7" s="51" t="s">
        <v>370</v>
      </c>
      <c r="Q7" s="51" t="s">
        <v>283</v>
      </c>
      <c r="S7" s="16" t="s">
        <v>371</v>
      </c>
      <c r="T7" s="16" t="s">
        <v>149</v>
      </c>
      <c r="V7" s="50">
        <v>2022</v>
      </c>
      <c r="X7" s="49" t="s">
        <v>372</v>
      </c>
      <c r="AE7" s="16" t="s">
        <v>373</v>
      </c>
      <c r="AG7" s="16"/>
      <c r="AK7" s="16" t="s">
        <v>374</v>
      </c>
      <c r="AM7" s="16" t="s">
        <v>203</v>
      </c>
      <c r="AO7" s="16" t="s">
        <v>375</v>
      </c>
      <c r="AQ7" s="16" t="s">
        <v>151</v>
      </c>
    </row>
    <row r="8" spans="2:43" x14ac:dyDescent="0.2">
      <c r="B8" s="16" t="s">
        <v>317</v>
      </c>
      <c r="D8" s="16" t="s">
        <v>376</v>
      </c>
      <c r="G8" s="16" t="s">
        <v>364</v>
      </c>
      <c r="K8" s="16" t="s">
        <v>377</v>
      </c>
      <c r="L8" s="16" t="s">
        <v>360</v>
      </c>
      <c r="P8" s="51" t="s">
        <v>378</v>
      </c>
      <c r="Q8" s="51" t="s">
        <v>220</v>
      </c>
      <c r="S8" s="16" t="s">
        <v>379</v>
      </c>
      <c r="T8" s="16" t="s">
        <v>149</v>
      </c>
      <c r="V8" s="50">
        <v>2023</v>
      </c>
      <c r="X8" s="49" t="s">
        <v>380</v>
      </c>
      <c r="AE8" s="16" t="s">
        <v>364</v>
      </c>
      <c r="AK8" s="16" t="s">
        <v>381</v>
      </c>
      <c r="AM8" s="16" t="s">
        <v>364</v>
      </c>
      <c r="AO8" s="16" t="s">
        <v>382</v>
      </c>
    </row>
    <row r="9" spans="2:43" ht="16" x14ac:dyDescent="0.2">
      <c r="B9" s="16" t="s">
        <v>383</v>
      </c>
      <c r="D9" s="16" t="s">
        <v>384</v>
      </c>
      <c r="K9" s="16" t="s">
        <v>385</v>
      </c>
      <c r="L9" s="16" t="s">
        <v>360</v>
      </c>
      <c r="S9" s="16" t="s">
        <v>386</v>
      </c>
      <c r="T9" s="16" t="s">
        <v>149</v>
      </c>
      <c r="V9" s="50">
        <v>2024</v>
      </c>
      <c r="X9" s="49" t="s">
        <v>364</v>
      </c>
      <c r="AK9" s="376" t="s">
        <v>387</v>
      </c>
      <c r="AO9" s="16" t="s">
        <v>388</v>
      </c>
    </row>
    <row r="10" spans="2:43" ht="16" x14ac:dyDescent="0.2">
      <c r="D10" s="16" t="s">
        <v>364</v>
      </c>
      <c r="K10" s="16" t="s">
        <v>389</v>
      </c>
      <c r="L10" s="16" t="s">
        <v>350</v>
      </c>
      <c r="S10" s="16" t="s">
        <v>390</v>
      </c>
      <c r="T10" s="16" t="s">
        <v>150</v>
      </c>
      <c r="V10" s="50">
        <v>2025</v>
      </c>
      <c r="X10"/>
      <c r="AK10" s="376" t="s">
        <v>391</v>
      </c>
      <c r="AO10" s="16" t="s">
        <v>392</v>
      </c>
    </row>
    <row r="11" spans="2:43" ht="16" x14ac:dyDescent="0.2">
      <c r="K11" s="16" t="s">
        <v>393</v>
      </c>
      <c r="L11" s="16" t="s">
        <v>336</v>
      </c>
      <c r="S11" s="16" t="s">
        <v>41</v>
      </c>
      <c r="T11" s="16" t="s">
        <v>150</v>
      </c>
      <c r="V11" s="50">
        <v>2026</v>
      </c>
      <c r="X11"/>
      <c r="AK11" s="376" t="s">
        <v>394</v>
      </c>
      <c r="AO11" s="16" t="s">
        <v>395</v>
      </c>
    </row>
    <row r="12" spans="2:43" ht="16" x14ac:dyDescent="0.2">
      <c r="K12" s="16" t="s">
        <v>396</v>
      </c>
      <c r="L12" s="16" t="s">
        <v>360</v>
      </c>
      <c r="S12" s="16" t="s">
        <v>397</v>
      </c>
      <c r="T12" s="16" t="s">
        <v>150</v>
      </c>
      <c r="V12" s="50">
        <v>2027</v>
      </c>
      <c r="X12"/>
      <c r="AK12" s="376" t="s">
        <v>364</v>
      </c>
      <c r="AO12" s="16" t="s">
        <v>398</v>
      </c>
    </row>
    <row r="13" spans="2:43" x14ac:dyDescent="0.2">
      <c r="K13" s="16" t="s">
        <v>11</v>
      </c>
      <c r="L13" s="16" t="s">
        <v>399</v>
      </c>
      <c r="S13" s="16" t="s">
        <v>400</v>
      </c>
      <c r="T13" s="16" t="s">
        <v>151</v>
      </c>
      <c r="V13" s="50">
        <v>2028</v>
      </c>
      <c r="X13"/>
      <c r="AO13" s="16" t="s">
        <v>401</v>
      </c>
    </row>
    <row r="14" spans="2:43" x14ac:dyDescent="0.2">
      <c r="K14" s="16" t="s">
        <v>402</v>
      </c>
      <c r="L14" s="16" t="s">
        <v>336</v>
      </c>
      <c r="P14" s="15" t="s">
        <v>403</v>
      </c>
      <c r="Q14" s="15" t="s">
        <v>51</v>
      </c>
      <c r="S14" s="16" t="s">
        <v>404</v>
      </c>
      <c r="T14" s="16" t="s">
        <v>151</v>
      </c>
      <c r="V14" s="50">
        <v>2029</v>
      </c>
      <c r="X14"/>
      <c r="AO14" s="16" t="s">
        <v>405</v>
      </c>
    </row>
    <row r="15" spans="2:43" x14ac:dyDescent="0.2">
      <c r="K15" s="16" t="s">
        <v>406</v>
      </c>
      <c r="L15" s="16" t="s">
        <v>350</v>
      </c>
      <c r="P15" s="51" t="s">
        <v>63</v>
      </c>
      <c r="Q15" s="51" t="s">
        <v>53</v>
      </c>
      <c r="S15" s="16" t="s">
        <v>407</v>
      </c>
      <c r="T15" s="16" t="s">
        <v>151</v>
      </c>
      <c r="V15" s="50">
        <v>2030</v>
      </c>
      <c r="X15"/>
      <c r="AO15" s="16" t="s">
        <v>408</v>
      </c>
    </row>
    <row r="16" spans="2:43" x14ac:dyDescent="0.2">
      <c r="K16" s="16" t="s">
        <v>409</v>
      </c>
      <c r="L16" s="16" t="s">
        <v>410</v>
      </c>
      <c r="P16" s="51" t="s">
        <v>411</v>
      </c>
      <c r="Q16" s="51" t="s">
        <v>53</v>
      </c>
      <c r="V16" s="19"/>
      <c r="X16"/>
      <c r="AO16" s="16" t="s">
        <v>412</v>
      </c>
    </row>
    <row r="17" spans="11:41" x14ac:dyDescent="0.2">
      <c r="K17" s="16" t="s">
        <v>413</v>
      </c>
      <c r="L17" s="16" t="s">
        <v>410</v>
      </c>
      <c r="P17" s="51"/>
      <c r="Q17" s="51"/>
      <c r="X17"/>
      <c r="AO17" s="16" t="s">
        <v>414</v>
      </c>
    </row>
    <row r="18" spans="11:41" x14ac:dyDescent="0.2">
      <c r="K18" s="16" t="s">
        <v>415</v>
      </c>
      <c r="L18" s="16" t="s">
        <v>360</v>
      </c>
      <c r="P18" s="163"/>
      <c r="Q18" s="163"/>
      <c r="X18"/>
      <c r="AO18" s="16" t="s">
        <v>416</v>
      </c>
    </row>
    <row r="19" spans="11:41" x14ac:dyDescent="0.2">
      <c r="K19" s="16" t="s">
        <v>417</v>
      </c>
      <c r="L19" s="16" t="s">
        <v>350</v>
      </c>
      <c r="X19"/>
      <c r="AO19" s="16" t="s">
        <v>418</v>
      </c>
    </row>
    <row r="20" spans="11:41" x14ac:dyDescent="0.2">
      <c r="K20" s="16" t="s">
        <v>419</v>
      </c>
      <c r="L20" s="16" t="s">
        <v>360</v>
      </c>
      <c r="X20"/>
      <c r="AO20" s="16" t="s">
        <v>420</v>
      </c>
    </row>
    <row r="21" spans="11:41" x14ac:dyDescent="0.2">
      <c r="K21" s="16" t="s">
        <v>421</v>
      </c>
      <c r="L21" s="16" t="s">
        <v>410</v>
      </c>
      <c r="X21"/>
      <c r="AO21" s="16" t="s">
        <v>422</v>
      </c>
    </row>
    <row r="22" spans="11:41" x14ac:dyDescent="0.2">
      <c r="K22" s="16" t="s">
        <v>423</v>
      </c>
      <c r="L22" s="16" t="s">
        <v>336</v>
      </c>
      <c r="X22"/>
      <c r="AO22" s="16" t="s">
        <v>424</v>
      </c>
    </row>
    <row r="23" spans="11:41" x14ac:dyDescent="0.2">
      <c r="K23" s="16" t="s">
        <v>425</v>
      </c>
      <c r="L23" s="16" t="s">
        <v>350</v>
      </c>
      <c r="X23"/>
      <c r="AO23" s="16" t="s">
        <v>426</v>
      </c>
    </row>
    <row r="24" spans="11:41" x14ac:dyDescent="0.2">
      <c r="K24" s="16" t="s">
        <v>427</v>
      </c>
      <c r="L24" s="16" t="s">
        <v>399</v>
      </c>
      <c r="X24"/>
      <c r="AO24" s="16" t="s">
        <v>428</v>
      </c>
    </row>
    <row r="25" spans="11:41" x14ac:dyDescent="0.2">
      <c r="K25" s="16" t="s">
        <v>429</v>
      </c>
      <c r="L25" s="16" t="s">
        <v>410</v>
      </c>
      <c r="X25"/>
      <c r="AO25" s="16" t="s">
        <v>430</v>
      </c>
    </row>
    <row r="26" spans="11:41" x14ac:dyDescent="0.2">
      <c r="K26" s="16" t="s">
        <v>431</v>
      </c>
      <c r="L26" s="16" t="s">
        <v>336</v>
      </c>
      <c r="X26"/>
      <c r="AO26" s="16" t="s">
        <v>432</v>
      </c>
    </row>
    <row r="27" spans="11:41" x14ac:dyDescent="0.2">
      <c r="K27" s="16" t="s">
        <v>433</v>
      </c>
      <c r="L27" s="16" t="s">
        <v>350</v>
      </c>
      <c r="X27"/>
      <c r="AO27" s="16" t="s">
        <v>434</v>
      </c>
    </row>
    <row r="28" spans="11:41" x14ac:dyDescent="0.2">
      <c r="K28" s="16" t="s">
        <v>435</v>
      </c>
      <c r="L28" s="16" t="s">
        <v>336</v>
      </c>
      <c r="X28"/>
      <c r="AO28" s="16" t="s">
        <v>436</v>
      </c>
    </row>
    <row r="29" spans="11:41" x14ac:dyDescent="0.2">
      <c r="K29" s="16" t="s">
        <v>437</v>
      </c>
      <c r="L29" s="16" t="s">
        <v>360</v>
      </c>
      <c r="X29"/>
      <c r="AO29" s="16" t="s">
        <v>438</v>
      </c>
    </row>
    <row r="30" spans="11:41" x14ac:dyDescent="0.2">
      <c r="X30"/>
      <c r="AO30" s="16" t="s">
        <v>439</v>
      </c>
    </row>
    <row r="31" spans="11:41" x14ac:dyDescent="0.2">
      <c r="X31"/>
      <c r="AO31" s="16" t="s">
        <v>440</v>
      </c>
    </row>
    <row r="32" spans="11:41" x14ac:dyDescent="0.2">
      <c r="X32"/>
      <c r="AO32" s="16" t="s">
        <v>441</v>
      </c>
    </row>
    <row r="33" spans="24:41" x14ac:dyDescent="0.2">
      <c r="X33"/>
      <c r="AO33" s="16" t="s">
        <v>442</v>
      </c>
    </row>
    <row r="34" spans="24:41" x14ac:dyDescent="0.2">
      <c r="X34"/>
      <c r="AO34" s="16" t="s">
        <v>443</v>
      </c>
    </row>
    <row r="35" spans="24:41" x14ac:dyDescent="0.2">
      <c r="X35"/>
      <c r="AO35" s="16" t="s">
        <v>444</v>
      </c>
    </row>
    <row r="36" spans="24:41" x14ac:dyDescent="0.2">
      <c r="X36"/>
      <c r="AO36" s="16" t="s">
        <v>445</v>
      </c>
    </row>
    <row r="37" spans="24:41" x14ac:dyDescent="0.2">
      <c r="X37"/>
      <c r="AO37" s="16" t="s">
        <v>446</v>
      </c>
    </row>
    <row r="38" spans="24:41" x14ac:dyDescent="0.2">
      <c r="X38"/>
      <c r="AO38" s="16" t="s">
        <v>447</v>
      </c>
    </row>
    <row r="39" spans="24:41" x14ac:dyDescent="0.2">
      <c r="X39"/>
      <c r="AO39" s="16" t="s">
        <v>448</v>
      </c>
    </row>
    <row r="40" spans="24:41" x14ac:dyDescent="0.2">
      <c r="X40"/>
      <c r="AO40" s="16" t="s">
        <v>449</v>
      </c>
    </row>
    <row r="41" spans="24:41" x14ac:dyDescent="0.2">
      <c r="X41"/>
      <c r="AO41" s="16" t="s">
        <v>450</v>
      </c>
    </row>
    <row r="42" spans="24:41" x14ac:dyDescent="0.2">
      <c r="X42"/>
      <c r="AO42" t="s">
        <v>451</v>
      </c>
    </row>
    <row r="43" spans="24:41" x14ac:dyDescent="0.2">
      <c r="X43"/>
      <c r="AO43" s="16" t="s">
        <v>452</v>
      </c>
    </row>
    <row r="44" spans="24:41" x14ac:dyDescent="0.2">
      <c r="X44"/>
      <c r="AO44" s="16" t="s">
        <v>453</v>
      </c>
    </row>
    <row r="45" spans="24:41" x14ac:dyDescent="0.2">
      <c r="X45"/>
      <c r="AO45" s="16" t="s">
        <v>454</v>
      </c>
    </row>
    <row r="46" spans="24:41" x14ac:dyDescent="0.2">
      <c r="X46"/>
      <c r="AO46" s="16" t="s">
        <v>455</v>
      </c>
    </row>
    <row r="47" spans="24:41" x14ac:dyDescent="0.2">
      <c r="X47"/>
      <c r="AO47" s="16" t="s">
        <v>456</v>
      </c>
    </row>
    <row r="48" spans="24:41" x14ac:dyDescent="0.2">
      <c r="X48"/>
      <c r="AO48" s="16" t="s">
        <v>457</v>
      </c>
    </row>
    <row r="49" spans="24:41" x14ac:dyDescent="0.2">
      <c r="X49"/>
      <c r="AO49" s="16" t="s">
        <v>458</v>
      </c>
    </row>
    <row r="50" spans="24:41" x14ac:dyDescent="0.2">
      <c r="X50"/>
      <c r="AO50" t="s">
        <v>459</v>
      </c>
    </row>
    <row r="51" spans="24:41" x14ac:dyDescent="0.2">
      <c r="X51"/>
      <c r="AO51" s="16" t="s">
        <v>460</v>
      </c>
    </row>
    <row r="52" spans="24:41" x14ac:dyDescent="0.2">
      <c r="X52"/>
      <c r="AO52" s="16" t="s">
        <v>461</v>
      </c>
    </row>
    <row r="53" spans="24:41" x14ac:dyDescent="0.2">
      <c r="X53"/>
      <c r="AO53" s="16" t="s">
        <v>462</v>
      </c>
    </row>
    <row r="54" spans="24:41" x14ac:dyDescent="0.2">
      <c r="X54"/>
      <c r="AO54" s="16" t="s">
        <v>463</v>
      </c>
    </row>
    <row r="55" spans="24:41" x14ac:dyDescent="0.2">
      <c r="X55"/>
      <c r="AO55" s="16" t="s">
        <v>464</v>
      </c>
    </row>
    <row r="56" spans="24:41" x14ac:dyDescent="0.2">
      <c r="X56"/>
      <c r="AO56" s="16" t="s">
        <v>465</v>
      </c>
    </row>
    <row r="57" spans="24:41" x14ac:dyDescent="0.2">
      <c r="X57"/>
      <c r="AO57" s="16" t="s">
        <v>466</v>
      </c>
    </row>
    <row r="58" spans="24:41" x14ac:dyDescent="0.2">
      <c r="AO58" s="16" t="s">
        <v>467</v>
      </c>
    </row>
    <row r="59" spans="24:41" x14ac:dyDescent="0.2">
      <c r="AO59" s="16" t="s">
        <v>468</v>
      </c>
    </row>
    <row r="60" spans="24:41" x14ac:dyDescent="0.2">
      <c r="AO60" s="16" t="s">
        <v>469</v>
      </c>
    </row>
    <row r="61" spans="24:41" x14ac:dyDescent="0.2">
      <c r="AO61" s="16" t="s">
        <v>470</v>
      </c>
    </row>
    <row r="62" spans="24:41" x14ac:dyDescent="0.2">
      <c r="AO62" s="16" t="s">
        <v>471</v>
      </c>
    </row>
    <row r="63" spans="24:41" x14ac:dyDescent="0.2">
      <c r="AO63" s="16" t="s">
        <v>472</v>
      </c>
    </row>
    <row r="64" spans="24:41" x14ac:dyDescent="0.2">
      <c r="AO64" s="16" t="s">
        <v>473</v>
      </c>
    </row>
    <row r="65" spans="41:41" x14ac:dyDescent="0.2">
      <c r="AO65" s="16" t="s">
        <v>474</v>
      </c>
    </row>
    <row r="66" spans="41:41" x14ac:dyDescent="0.2">
      <c r="AO66" s="16" t="s">
        <v>475</v>
      </c>
    </row>
    <row r="67" spans="41:41" x14ac:dyDescent="0.2">
      <c r="AO67" s="16" t="s">
        <v>476</v>
      </c>
    </row>
    <row r="68" spans="41:41" x14ac:dyDescent="0.2">
      <c r="AO68" s="16" t="s">
        <v>477</v>
      </c>
    </row>
    <row r="69" spans="41:41" x14ac:dyDescent="0.2">
      <c r="AO69" s="16" t="s">
        <v>478</v>
      </c>
    </row>
    <row r="70" spans="41:41" x14ac:dyDescent="0.2">
      <c r="AO70" s="16" t="s">
        <v>479</v>
      </c>
    </row>
    <row r="71" spans="41:41" x14ac:dyDescent="0.2">
      <c r="AO71" s="16" t="s">
        <v>480</v>
      </c>
    </row>
    <row r="72" spans="41:41" x14ac:dyDescent="0.2">
      <c r="AO72" s="16" t="s">
        <v>481</v>
      </c>
    </row>
    <row r="73" spans="41:41" x14ac:dyDescent="0.2">
      <c r="AO73" s="16" t="s">
        <v>482</v>
      </c>
    </row>
    <row r="74" spans="41:41" x14ac:dyDescent="0.2">
      <c r="AO74" s="16" t="s">
        <v>483</v>
      </c>
    </row>
    <row r="75" spans="41:41" x14ac:dyDescent="0.2">
      <c r="AO75" s="16" t="s">
        <v>484</v>
      </c>
    </row>
    <row r="76" spans="41:41" x14ac:dyDescent="0.2">
      <c r="AO76" s="16" t="s">
        <v>485</v>
      </c>
    </row>
    <row r="77" spans="41:41" x14ac:dyDescent="0.2">
      <c r="AO77" s="16" t="s">
        <v>486</v>
      </c>
    </row>
    <row r="78" spans="41:41" x14ac:dyDescent="0.2">
      <c r="AO78" s="16" t="s">
        <v>487</v>
      </c>
    </row>
    <row r="79" spans="41:41" x14ac:dyDescent="0.2">
      <c r="AO79" s="16" t="s">
        <v>488</v>
      </c>
    </row>
    <row r="80" spans="41:41" x14ac:dyDescent="0.2">
      <c r="AO80" s="16" t="s">
        <v>489</v>
      </c>
    </row>
    <row r="81" spans="41:41" x14ac:dyDescent="0.2">
      <c r="AO81" s="16" t="s">
        <v>490</v>
      </c>
    </row>
    <row r="82" spans="41:41" x14ac:dyDescent="0.2">
      <c r="AO82" s="16" t="s">
        <v>491</v>
      </c>
    </row>
    <row r="83" spans="41:41" x14ac:dyDescent="0.2">
      <c r="AO83" s="16" t="s">
        <v>492</v>
      </c>
    </row>
    <row r="84" spans="41:41" x14ac:dyDescent="0.2">
      <c r="AO84" s="16" t="s">
        <v>493</v>
      </c>
    </row>
    <row r="85" spans="41:41" x14ac:dyDescent="0.2">
      <c r="AO85" s="16" t="s">
        <v>494</v>
      </c>
    </row>
    <row r="86" spans="41:41" x14ac:dyDescent="0.2">
      <c r="AO86" s="16" t="s">
        <v>495</v>
      </c>
    </row>
    <row r="87" spans="41:41" x14ac:dyDescent="0.2">
      <c r="AO87" s="16" t="s">
        <v>496</v>
      </c>
    </row>
    <row r="88" spans="41:41" x14ac:dyDescent="0.2">
      <c r="AO88" s="16" t="s">
        <v>497</v>
      </c>
    </row>
    <row r="89" spans="41:41" x14ac:dyDescent="0.2">
      <c r="AO89" s="16" t="s">
        <v>498</v>
      </c>
    </row>
    <row r="90" spans="41:41" x14ac:dyDescent="0.2">
      <c r="AO90" s="16" t="s">
        <v>499</v>
      </c>
    </row>
    <row r="91" spans="41:41" x14ac:dyDescent="0.2">
      <c r="AO91" s="16" t="s">
        <v>112</v>
      </c>
    </row>
    <row r="92" spans="41:41" x14ac:dyDescent="0.2">
      <c r="AO92" s="16" t="s">
        <v>500</v>
      </c>
    </row>
    <row r="93" spans="41:41" x14ac:dyDescent="0.2">
      <c r="AO93" s="16" t="s">
        <v>501</v>
      </c>
    </row>
    <row r="94" spans="41:41" x14ac:dyDescent="0.2">
      <c r="AO94" s="16" t="s">
        <v>502</v>
      </c>
    </row>
    <row r="95" spans="41:41" x14ac:dyDescent="0.2">
      <c r="AO95" s="16" t="s">
        <v>503</v>
      </c>
    </row>
    <row r="96" spans="41:41" x14ac:dyDescent="0.2">
      <c r="AO96" s="16" t="s">
        <v>504</v>
      </c>
    </row>
    <row r="97" spans="41:41" x14ac:dyDescent="0.2">
      <c r="AO97" s="16" t="s">
        <v>505</v>
      </c>
    </row>
    <row r="98" spans="41:41" x14ac:dyDescent="0.2">
      <c r="AO98" s="16" t="s">
        <v>506</v>
      </c>
    </row>
    <row r="99" spans="41:41" x14ac:dyDescent="0.2">
      <c r="AO99" s="16" t="s">
        <v>507</v>
      </c>
    </row>
    <row r="100" spans="41:41" x14ac:dyDescent="0.2">
      <c r="AO100" s="16" t="s">
        <v>508</v>
      </c>
    </row>
    <row r="101" spans="41:41" x14ac:dyDescent="0.2">
      <c r="AO101" s="16" t="s">
        <v>509</v>
      </c>
    </row>
    <row r="102" spans="41:41" x14ac:dyDescent="0.2">
      <c r="AO102" s="16" t="s">
        <v>510</v>
      </c>
    </row>
    <row r="103" spans="41:41" x14ac:dyDescent="0.2">
      <c r="AO103" s="16" t="s">
        <v>511</v>
      </c>
    </row>
    <row r="104" spans="41:41" x14ac:dyDescent="0.2">
      <c r="AO104" s="16" t="s">
        <v>512</v>
      </c>
    </row>
    <row r="105" spans="41:41" x14ac:dyDescent="0.2">
      <c r="AO105" s="16" t="s">
        <v>513</v>
      </c>
    </row>
    <row r="106" spans="41:41" x14ac:dyDescent="0.2">
      <c r="AO106" s="16" t="s">
        <v>514</v>
      </c>
    </row>
    <row r="107" spans="41:41" x14ac:dyDescent="0.2">
      <c r="AO107" s="16" t="s">
        <v>515</v>
      </c>
    </row>
    <row r="108" spans="41:41" x14ac:dyDescent="0.2">
      <c r="AO108" s="16" t="s">
        <v>516</v>
      </c>
    </row>
    <row r="109" spans="41:41" x14ac:dyDescent="0.2">
      <c r="AO109" s="16" t="s">
        <v>517</v>
      </c>
    </row>
    <row r="110" spans="41:41" x14ac:dyDescent="0.2">
      <c r="AO110" s="16" t="s">
        <v>518</v>
      </c>
    </row>
    <row r="111" spans="41:41" x14ac:dyDescent="0.2">
      <c r="AO111" s="16" t="s">
        <v>519</v>
      </c>
    </row>
    <row r="112" spans="41:41" x14ac:dyDescent="0.2">
      <c r="AO112" s="16" t="s">
        <v>520</v>
      </c>
    </row>
    <row r="113" spans="41:41" x14ac:dyDescent="0.2">
      <c r="AO113" s="16" t="s">
        <v>521</v>
      </c>
    </row>
    <row r="114" spans="41:41" x14ac:dyDescent="0.2">
      <c r="AO114" s="16" t="s">
        <v>522</v>
      </c>
    </row>
    <row r="115" spans="41:41" x14ac:dyDescent="0.2">
      <c r="AO115" s="16" t="s">
        <v>523</v>
      </c>
    </row>
    <row r="116" spans="41:41" x14ac:dyDescent="0.2">
      <c r="AO116" s="16" t="s">
        <v>524</v>
      </c>
    </row>
    <row r="117" spans="41:41" x14ac:dyDescent="0.2">
      <c r="AO117" s="16" t="s">
        <v>525</v>
      </c>
    </row>
    <row r="118" spans="41:41" x14ac:dyDescent="0.2">
      <c r="AO118" s="16" t="s">
        <v>526</v>
      </c>
    </row>
    <row r="119" spans="41:41" x14ac:dyDescent="0.2">
      <c r="AO119" s="16" t="s">
        <v>527</v>
      </c>
    </row>
    <row r="120" spans="41:41" x14ac:dyDescent="0.2">
      <c r="AO120" s="16" t="s">
        <v>528</v>
      </c>
    </row>
    <row r="121" spans="41:41" x14ac:dyDescent="0.2">
      <c r="AO121" s="16" t="s">
        <v>529</v>
      </c>
    </row>
    <row r="122" spans="41:41" x14ac:dyDescent="0.2">
      <c r="AO122" s="16" t="s">
        <v>530</v>
      </c>
    </row>
    <row r="123" spans="41:41" x14ac:dyDescent="0.2">
      <c r="AO123" s="16" t="s">
        <v>531</v>
      </c>
    </row>
    <row r="124" spans="41:41" x14ac:dyDescent="0.2">
      <c r="AO124" s="16" t="s">
        <v>532</v>
      </c>
    </row>
    <row r="125" spans="41:41" x14ac:dyDescent="0.2">
      <c r="AO125" s="16" t="s">
        <v>533</v>
      </c>
    </row>
    <row r="126" spans="41:41" x14ac:dyDescent="0.2">
      <c r="AO126" s="16" t="s">
        <v>534</v>
      </c>
    </row>
    <row r="127" spans="41:41" x14ac:dyDescent="0.2">
      <c r="AO127" s="16" t="s">
        <v>535</v>
      </c>
    </row>
    <row r="128" spans="41:41" x14ac:dyDescent="0.2">
      <c r="AO128" s="16" t="s">
        <v>536</v>
      </c>
    </row>
    <row r="129" spans="41:41" x14ac:dyDescent="0.2">
      <c r="AO129" s="16" t="s">
        <v>537</v>
      </c>
    </row>
    <row r="130" spans="41:41" x14ac:dyDescent="0.2">
      <c r="AO130" s="16" t="s">
        <v>538</v>
      </c>
    </row>
    <row r="131" spans="41:41" x14ac:dyDescent="0.2">
      <c r="AO131" s="16" t="s">
        <v>539</v>
      </c>
    </row>
    <row r="132" spans="41:41" x14ac:dyDescent="0.2">
      <c r="AO132" s="16" t="s">
        <v>540</v>
      </c>
    </row>
    <row r="133" spans="41:41" x14ac:dyDescent="0.2">
      <c r="AO133" s="16" t="s">
        <v>541</v>
      </c>
    </row>
    <row r="134" spans="41:41" x14ac:dyDescent="0.2">
      <c r="AO134" s="16" t="s">
        <v>542</v>
      </c>
    </row>
    <row r="135" spans="41:41" x14ac:dyDescent="0.2">
      <c r="AO135" s="16" t="s">
        <v>543</v>
      </c>
    </row>
    <row r="136" spans="41:41" x14ac:dyDescent="0.2">
      <c r="AO136" s="16" t="s">
        <v>544</v>
      </c>
    </row>
    <row r="137" spans="41:41" x14ac:dyDescent="0.2">
      <c r="AO137" s="16" t="s">
        <v>545</v>
      </c>
    </row>
    <row r="138" spans="41:41" x14ac:dyDescent="0.2">
      <c r="AO138" s="16" t="s">
        <v>546</v>
      </c>
    </row>
    <row r="139" spans="41:41" x14ac:dyDescent="0.2">
      <c r="AO139" s="16" t="s">
        <v>547</v>
      </c>
    </row>
    <row r="140" spans="41:41" x14ac:dyDescent="0.2">
      <c r="AO140" s="16" t="s">
        <v>548</v>
      </c>
    </row>
    <row r="141" spans="41:41" x14ac:dyDescent="0.2">
      <c r="AO141" s="16" t="s">
        <v>549</v>
      </c>
    </row>
    <row r="142" spans="41:41" x14ac:dyDescent="0.2">
      <c r="AO142" s="16" t="s">
        <v>550</v>
      </c>
    </row>
    <row r="143" spans="41:41" x14ac:dyDescent="0.2">
      <c r="AO143" s="16" t="s">
        <v>551</v>
      </c>
    </row>
    <row r="144" spans="41:41" x14ac:dyDescent="0.2">
      <c r="AO144" s="16" t="s">
        <v>552</v>
      </c>
    </row>
    <row r="145" spans="41:41" x14ac:dyDescent="0.2">
      <c r="AO145" s="16" t="s">
        <v>553</v>
      </c>
    </row>
    <row r="146" spans="41:41" x14ac:dyDescent="0.2">
      <c r="AO146" s="16" t="s">
        <v>554</v>
      </c>
    </row>
    <row r="147" spans="41:41" x14ac:dyDescent="0.2">
      <c r="AO147" s="16" t="s">
        <v>555</v>
      </c>
    </row>
    <row r="148" spans="41:41" x14ac:dyDescent="0.2">
      <c r="AO148" s="16" t="s">
        <v>556</v>
      </c>
    </row>
    <row r="149" spans="41:41" x14ac:dyDescent="0.2">
      <c r="AO149" s="16" t="s">
        <v>557</v>
      </c>
    </row>
    <row r="150" spans="41:41" x14ac:dyDescent="0.2">
      <c r="AO150" s="16" t="s">
        <v>558</v>
      </c>
    </row>
    <row r="151" spans="41:41" x14ac:dyDescent="0.2">
      <c r="AO151" s="16" t="s">
        <v>559</v>
      </c>
    </row>
    <row r="152" spans="41:41" x14ac:dyDescent="0.2">
      <c r="AO152" s="16" t="s">
        <v>560</v>
      </c>
    </row>
    <row r="153" spans="41:41" x14ac:dyDescent="0.2">
      <c r="AO153" s="16" t="s">
        <v>561</v>
      </c>
    </row>
    <row r="154" spans="41:41" x14ac:dyDescent="0.2">
      <c r="AO154" s="16" t="s">
        <v>562</v>
      </c>
    </row>
    <row r="155" spans="41:41" x14ac:dyDescent="0.2">
      <c r="AO155" s="16" t="s">
        <v>563</v>
      </c>
    </row>
    <row r="156" spans="41:41" x14ac:dyDescent="0.2">
      <c r="AO156" s="16" t="s">
        <v>564</v>
      </c>
    </row>
    <row r="157" spans="41:41" x14ac:dyDescent="0.2">
      <c r="AO157" s="16" t="s">
        <v>364</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565</v>
      </c>
      <c r="B1" s="1" t="s">
        <v>192</v>
      </c>
      <c r="C1" s="1" t="s">
        <v>566</v>
      </c>
      <c r="D1" s="1" t="s">
        <v>51</v>
      </c>
      <c r="E1" s="1" t="s">
        <v>567</v>
      </c>
      <c r="F1" s="1" t="s">
        <v>568</v>
      </c>
    </row>
    <row r="2" spans="1:12" x14ac:dyDescent="0.2">
      <c r="A2" t="s">
        <v>37</v>
      </c>
      <c r="B2" t="s">
        <v>569</v>
      </c>
      <c r="C2" t="s">
        <v>570</v>
      </c>
      <c r="D2" t="s">
        <v>571</v>
      </c>
      <c r="E2">
        <v>2.68</v>
      </c>
      <c r="F2" t="s">
        <v>572</v>
      </c>
    </row>
    <row r="3" spans="1:12" x14ac:dyDescent="0.2">
      <c r="A3" t="s">
        <v>361</v>
      </c>
      <c r="B3" t="s">
        <v>569</v>
      </c>
      <c r="C3" t="s">
        <v>573</v>
      </c>
      <c r="D3" t="s">
        <v>571</v>
      </c>
      <c r="E3">
        <v>2.3199999999999998</v>
      </c>
      <c r="F3" t="s">
        <v>572</v>
      </c>
    </row>
    <row r="4" spans="1:12" x14ac:dyDescent="0.2">
      <c r="A4" t="s">
        <v>370</v>
      </c>
      <c r="B4" t="s">
        <v>569</v>
      </c>
      <c r="C4" t="s">
        <v>574</v>
      </c>
      <c r="D4" t="s">
        <v>575</v>
      </c>
      <c r="E4">
        <v>1.51</v>
      </c>
      <c r="F4" t="s">
        <v>572</v>
      </c>
    </row>
    <row r="5" spans="1:12" x14ac:dyDescent="0.2">
      <c r="A5" t="s">
        <v>378</v>
      </c>
      <c r="B5" t="s">
        <v>569</v>
      </c>
      <c r="C5" t="s">
        <v>576</v>
      </c>
      <c r="D5" t="s">
        <v>577</v>
      </c>
      <c r="E5">
        <v>1.9</v>
      </c>
      <c r="F5" t="s">
        <v>572</v>
      </c>
    </row>
    <row r="6" spans="1:12" x14ac:dyDescent="0.2">
      <c r="A6" t="s">
        <v>63</v>
      </c>
      <c r="B6" t="s">
        <v>578</v>
      </c>
      <c r="C6" t="s">
        <v>570</v>
      </c>
      <c r="D6" t="s">
        <v>571</v>
      </c>
      <c r="E6">
        <v>2.68</v>
      </c>
      <c r="F6" t="s">
        <v>572</v>
      </c>
      <c r="L6" s="51"/>
    </row>
    <row r="7" spans="1:12" x14ac:dyDescent="0.2">
      <c r="A7" t="s">
        <v>411</v>
      </c>
      <c r="B7" t="s">
        <v>578</v>
      </c>
      <c r="C7" t="s">
        <v>573</v>
      </c>
      <c r="D7" t="s">
        <v>571</v>
      </c>
      <c r="E7">
        <v>2.3199999999999998</v>
      </c>
      <c r="F7" t="s">
        <v>572</v>
      </c>
      <c r="L7" s="51"/>
    </row>
    <row r="8" spans="1:12" x14ac:dyDescent="0.2">
      <c r="A8" t="s">
        <v>155</v>
      </c>
      <c r="B8" t="s">
        <v>155</v>
      </c>
      <c r="C8" t="s">
        <v>579</v>
      </c>
      <c r="D8" t="s">
        <v>580</v>
      </c>
      <c r="E8">
        <v>0.56000000000000005</v>
      </c>
      <c r="F8" t="s">
        <v>581</v>
      </c>
      <c r="L8" s="51"/>
    </row>
    <row r="9" spans="1:12" x14ac:dyDescent="0.2">
      <c r="B9" t="s">
        <v>582</v>
      </c>
      <c r="C9" t="s">
        <v>583</v>
      </c>
      <c r="D9" t="s">
        <v>575</v>
      </c>
      <c r="E9">
        <v>1430</v>
      </c>
      <c r="F9" t="s">
        <v>584</v>
      </c>
      <c r="L9" s="51"/>
    </row>
    <row r="10" spans="1:12" x14ac:dyDescent="0.2">
      <c r="B10" t="s">
        <v>582</v>
      </c>
      <c r="C10" t="s">
        <v>585</v>
      </c>
      <c r="D10" t="s">
        <v>575</v>
      </c>
      <c r="E10">
        <v>2088</v>
      </c>
      <c r="F10" t="s">
        <v>584</v>
      </c>
      <c r="L10" s="51"/>
    </row>
    <row r="11" spans="1:12" x14ac:dyDescent="0.2">
      <c r="A11" s="51" t="s">
        <v>298</v>
      </c>
      <c r="B11" t="s">
        <v>364</v>
      </c>
      <c r="C11" t="s">
        <v>570</v>
      </c>
      <c r="D11" t="s">
        <v>571</v>
      </c>
      <c r="E11">
        <v>2.68</v>
      </c>
      <c r="F11" t="s">
        <v>572</v>
      </c>
      <c r="L11" s="51"/>
    </row>
    <row r="12" spans="1:12" x14ac:dyDescent="0.2">
      <c r="A12" t="s">
        <v>586</v>
      </c>
      <c r="B12" t="s">
        <v>578</v>
      </c>
      <c r="L12" s="51"/>
    </row>
    <row r="13" spans="1:12" x14ac:dyDescent="0.2">
      <c r="L13" s="51"/>
    </row>
    <row r="15" spans="1:12" ht="16" thickBot="1" x14ac:dyDescent="0.25">
      <c r="A15" s="224" t="s">
        <v>587</v>
      </c>
      <c r="B15" s="225"/>
    </row>
    <row r="16" spans="1:12" ht="16" thickBot="1" x14ac:dyDescent="0.25">
      <c r="A16" s="226" t="s">
        <v>588</v>
      </c>
      <c r="B16" s="227" t="s">
        <v>589</v>
      </c>
    </row>
    <row r="17" spans="1:2" ht="16" thickBot="1" x14ac:dyDescent="0.25">
      <c r="A17" s="228" t="s">
        <v>590</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1546"/>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591</v>
      </c>
      <c r="B1" s="270" t="s">
        <v>592</v>
      </c>
      <c r="C1" s="270" t="s">
        <v>593</v>
      </c>
      <c r="D1" s="270" t="s">
        <v>594</v>
      </c>
      <c r="E1" s="270" t="s">
        <v>595</v>
      </c>
    </row>
    <row r="2" spans="1:5" x14ac:dyDescent="0.2">
      <c r="A2" s="269">
        <v>45870.383900462963</v>
      </c>
      <c r="B2" t="s">
        <v>596</v>
      </c>
      <c r="C2" t="s">
        <v>597</v>
      </c>
      <c r="D2" t="s">
        <v>598</v>
      </c>
    </row>
    <row r="3" spans="1:5" x14ac:dyDescent="0.2">
      <c r="A3" s="269">
        <v>45870.383958333332</v>
      </c>
      <c r="B3" t="s">
        <v>596</v>
      </c>
      <c r="C3" t="s">
        <v>597</v>
      </c>
      <c r="D3" t="s">
        <v>598</v>
      </c>
    </row>
    <row r="4" spans="1:5" x14ac:dyDescent="0.2">
      <c r="A4" s="269">
        <v>45870.38422453704</v>
      </c>
      <c r="B4" t="s">
        <v>596</v>
      </c>
      <c r="C4" t="s">
        <v>597</v>
      </c>
      <c r="D4" t="s">
        <v>599</v>
      </c>
    </row>
    <row r="5" spans="1:5" x14ac:dyDescent="0.2">
      <c r="A5" s="269">
        <v>45870.384328703702</v>
      </c>
      <c r="B5" t="s">
        <v>596</v>
      </c>
      <c r="C5" t="s">
        <v>597</v>
      </c>
      <c r="D5" t="s">
        <v>600</v>
      </c>
      <c r="E5" t="s">
        <v>294</v>
      </c>
    </row>
    <row r="6" spans="1:5" x14ac:dyDescent="0.2">
      <c r="A6" s="269">
        <v>45870.384328703702</v>
      </c>
      <c r="B6" t="s">
        <v>596</v>
      </c>
      <c r="C6" t="s">
        <v>597</v>
      </c>
      <c r="D6" t="s">
        <v>601</v>
      </c>
      <c r="E6" t="s">
        <v>39</v>
      </c>
    </row>
    <row r="7" spans="1:5" x14ac:dyDescent="0.2">
      <c r="A7" s="269">
        <v>45870.385231481479</v>
      </c>
      <c r="B7" t="s">
        <v>596</v>
      </c>
      <c r="C7" t="s">
        <v>597</v>
      </c>
      <c r="D7" t="s">
        <v>602</v>
      </c>
      <c r="E7" t="s">
        <v>305</v>
      </c>
    </row>
    <row r="8" spans="1:5" x14ac:dyDescent="0.2">
      <c r="A8" s="269">
        <v>45870.386203703703</v>
      </c>
      <c r="B8" t="s">
        <v>596</v>
      </c>
      <c r="C8" t="s">
        <v>597</v>
      </c>
      <c r="D8" t="s">
        <v>603</v>
      </c>
      <c r="E8" t="s">
        <v>157</v>
      </c>
    </row>
    <row r="9" spans="1:5" x14ac:dyDescent="0.2">
      <c r="A9" s="269">
        <v>45870.386597222219</v>
      </c>
      <c r="B9" t="s">
        <v>596</v>
      </c>
      <c r="C9" t="s">
        <v>597</v>
      </c>
      <c r="D9" t="s">
        <v>604</v>
      </c>
      <c r="E9" t="s">
        <v>39</v>
      </c>
    </row>
    <row r="10" spans="1:5" x14ac:dyDescent="0.2">
      <c r="A10" s="269">
        <v>45870.387233796297</v>
      </c>
      <c r="B10" t="s">
        <v>596</v>
      </c>
      <c r="C10" t="s">
        <v>597</v>
      </c>
      <c r="D10" t="s">
        <v>605</v>
      </c>
      <c r="E10" t="s">
        <v>157</v>
      </c>
    </row>
    <row r="11" spans="1:5" x14ac:dyDescent="0.2">
      <c r="A11" s="269">
        <v>45870.387638888889</v>
      </c>
      <c r="B11" t="s">
        <v>596</v>
      </c>
      <c r="C11" t="s">
        <v>597</v>
      </c>
      <c r="D11" t="s">
        <v>606</v>
      </c>
      <c r="E11" t="s">
        <v>157</v>
      </c>
    </row>
    <row r="12" spans="1:5" x14ac:dyDescent="0.2">
      <c r="A12" s="269">
        <v>45870.387673611112</v>
      </c>
      <c r="B12" t="s">
        <v>596</v>
      </c>
      <c r="C12" t="s">
        <v>597</v>
      </c>
      <c r="D12" t="s">
        <v>607</v>
      </c>
      <c r="E12" t="s">
        <v>158</v>
      </c>
    </row>
    <row r="13" spans="1:5" x14ac:dyDescent="0.2">
      <c r="A13" s="269">
        <v>45870.388043981482</v>
      </c>
      <c r="B13" t="s">
        <v>596</v>
      </c>
      <c r="C13" t="s">
        <v>597</v>
      </c>
      <c r="D13" t="s">
        <v>608</v>
      </c>
      <c r="E13" t="s">
        <v>39</v>
      </c>
    </row>
    <row r="14" spans="1:5" x14ac:dyDescent="0.2">
      <c r="A14" s="269">
        <v>45870.388379629629</v>
      </c>
      <c r="B14" t="s">
        <v>596</v>
      </c>
      <c r="C14" t="s">
        <v>597</v>
      </c>
      <c r="D14" t="s">
        <v>609</v>
      </c>
    </row>
    <row r="15" spans="1:5" x14ac:dyDescent="0.2">
      <c r="A15" s="269">
        <v>45870.38858796296</v>
      </c>
      <c r="B15" t="s">
        <v>596</v>
      </c>
      <c r="C15" t="s">
        <v>597</v>
      </c>
      <c r="D15" t="s">
        <v>610</v>
      </c>
      <c r="E15" t="s">
        <v>39</v>
      </c>
    </row>
    <row r="16" spans="1:5" x14ac:dyDescent="0.2">
      <c r="A16" s="269">
        <v>45870.392395833333</v>
      </c>
      <c r="B16" t="s">
        <v>596</v>
      </c>
      <c r="C16" t="s">
        <v>611</v>
      </c>
      <c r="D16" t="s">
        <v>612</v>
      </c>
    </row>
    <row r="17" spans="1:5" x14ac:dyDescent="0.2">
      <c r="A17" s="269">
        <v>45870.392430555556</v>
      </c>
      <c r="B17" t="s">
        <v>596</v>
      </c>
      <c r="C17" t="s">
        <v>611</v>
      </c>
      <c r="D17" t="s">
        <v>612</v>
      </c>
    </row>
    <row r="18" spans="1:5" x14ac:dyDescent="0.2">
      <c r="A18" s="269">
        <v>45870.392500000002</v>
      </c>
      <c r="B18" t="s">
        <v>596</v>
      </c>
      <c r="C18" t="s">
        <v>611</v>
      </c>
      <c r="D18" t="s">
        <v>613</v>
      </c>
    </row>
    <row r="19" spans="1:5" x14ac:dyDescent="0.2">
      <c r="A19" s="269">
        <v>45870.392534722225</v>
      </c>
      <c r="B19" t="s">
        <v>596</v>
      </c>
      <c r="C19" t="s">
        <v>611</v>
      </c>
      <c r="D19" t="s">
        <v>612</v>
      </c>
    </row>
    <row r="20" spans="1:5" x14ac:dyDescent="0.2">
      <c r="A20" s="269">
        <v>45870.392604166664</v>
      </c>
      <c r="B20" t="s">
        <v>596</v>
      </c>
      <c r="C20" t="s">
        <v>611</v>
      </c>
      <c r="D20" t="s">
        <v>614</v>
      </c>
    </row>
    <row r="21" spans="1:5" x14ac:dyDescent="0.2">
      <c r="A21" s="269">
        <v>45870.392685185187</v>
      </c>
      <c r="B21" t="s">
        <v>596</v>
      </c>
      <c r="C21" t="s">
        <v>611</v>
      </c>
      <c r="D21" t="s">
        <v>615</v>
      </c>
    </row>
    <row r="22" spans="1:5" x14ac:dyDescent="0.2">
      <c r="A22" s="269">
        <v>45870.39298611111</v>
      </c>
      <c r="B22" t="s">
        <v>596</v>
      </c>
      <c r="C22" t="s">
        <v>611</v>
      </c>
      <c r="D22" t="s">
        <v>616</v>
      </c>
      <c r="E22" t="s">
        <v>27</v>
      </c>
    </row>
    <row r="23" spans="1:5" x14ac:dyDescent="0.2">
      <c r="A23" s="269">
        <v>45870.393136574072</v>
      </c>
      <c r="B23" t="s">
        <v>596</v>
      </c>
      <c r="C23" t="s">
        <v>611</v>
      </c>
      <c r="D23" t="s">
        <v>617</v>
      </c>
    </row>
    <row r="24" spans="1:5" x14ac:dyDescent="0.2">
      <c r="A24" s="269">
        <v>45870.393784722219</v>
      </c>
      <c r="B24" t="s">
        <v>596</v>
      </c>
      <c r="C24" t="s">
        <v>611</v>
      </c>
      <c r="D24" t="s">
        <v>618</v>
      </c>
    </row>
    <row r="25" spans="1:5" x14ac:dyDescent="0.2">
      <c r="A25" s="269">
        <v>45870.393865740742</v>
      </c>
      <c r="B25" t="s">
        <v>596</v>
      </c>
      <c r="C25" t="s">
        <v>611</v>
      </c>
      <c r="D25" t="s">
        <v>619</v>
      </c>
      <c r="E25">
        <v>7</v>
      </c>
    </row>
    <row r="26" spans="1:5" x14ac:dyDescent="0.2">
      <c r="A26" s="269">
        <v>45870.394247685188</v>
      </c>
      <c r="B26" t="s">
        <v>596</v>
      </c>
      <c r="C26" t="s">
        <v>611</v>
      </c>
      <c r="D26" t="s">
        <v>620</v>
      </c>
      <c r="E26" t="s">
        <v>621</v>
      </c>
    </row>
    <row r="27" spans="1:5" x14ac:dyDescent="0.2">
      <c r="A27" s="269">
        <v>45870.39435185185</v>
      </c>
      <c r="B27" t="s">
        <v>596</v>
      </c>
      <c r="C27" t="s">
        <v>611</v>
      </c>
      <c r="D27" t="s">
        <v>622</v>
      </c>
      <c r="E27" t="s">
        <v>623</v>
      </c>
    </row>
    <row r="28" spans="1:5" x14ac:dyDescent="0.2">
      <c r="A28" s="269">
        <v>45870.394814814812</v>
      </c>
      <c r="B28" t="s">
        <v>596</v>
      </c>
      <c r="C28" t="s">
        <v>611</v>
      </c>
      <c r="D28" t="s">
        <v>624</v>
      </c>
    </row>
    <row r="29" spans="1:5" x14ac:dyDescent="0.2">
      <c r="A29" s="269">
        <v>45870.394988425927</v>
      </c>
      <c r="B29" t="s">
        <v>596</v>
      </c>
      <c r="C29" t="s">
        <v>611</v>
      </c>
      <c r="D29" t="s">
        <v>625</v>
      </c>
      <c r="E29" t="s">
        <v>626</v>
      </c>
    </row>
    <row r="30" spans="1:5" x14ac:dyDescent="0.2">
      <c r="A30" s="269">
        <v>45870.39508101852</v>
      </c>
      <c r="B30" t="s">
        <v>596</v>
      </c>
      <c r="C30" t="s">
        <v>611</v>
      </c>
      <c r="D30" t="s">
        <v>627</v>
      </c>
      <c r="E30">
        <v>4</v>
      </c>
    </row>
    <row r="31" spans="1:5" ht="64" x14ac:dyDescent="0.2">
      <c r="A31" s="269">
        <v>45870.395613425928</v>
      </c>
      <c r="B31" t="s">
        <v>596</v>
      </c>
      <c r="C31" t="s">
        <v>611</v>
      </c>
      <c r="D31" t="s">
        <v>628</v>
      </c>
      <c r="E31" s="6" t="s">
        <v>629</v>
      </c>
    </row>
    <row r="32" spans="1:5" ht="64" x14ac:dyDescent="0.2">
      <c r="A32" s="269">
        <v>45870.39565972222</v>
      </c>
      <c r="B32" t="s">
        <v>596</v>
      </c>
      <c r="C32" t="s">
        <v>611</v>
      </c>
      <c r="D32" t="s">
        <v>628</v>
      </c>
      <c r="E32" s="6" t="s">
        <v>629</v>
      </c>
    </row>
    <row r="33" spans="1:5" ht="64" x14ac:dyDescent="0.2">
      <c r="A33" s="269">
        <v>45870.395729166667</v>
      </c>
      <c r="B33" t="s">
        <v>596</v>
      </c>
      <c r="C33" t="s">
        <v>611</v>
      </c>
      <c r="D33" t="s">
        <v>628</v>
      </c>
      <c r="E33" s="6" t="s">
        <v>629</v>
      </c>
    </row>
    <row r="34" spans="1:5" x14ac:dyDescent="0.2">
      <c r="A34" s="269">
        <v>45870.395810185182</v>
      </c>
      <c r="B34" t="s">
        <v>596</v>
      </c>
      <c r="C34" t="s">
        <v>611</v>
      </c>
      <c r="D34" t="s">
        <v>630</v>
      </c>
      <c r="E34" t="s">
        <v>10</v>
      </c>
    </row>
    <row r="35" spans="1:5" x14ac:dyDescent="0.2">
      <c r="A35" s="269">
        <v>45870.395844907405</v>
      </c>
      <c r="B35" t="s">
        <v>596</v>
      </c>
      <c r="C35" t="s">
        <v>611</v>
      </c>
      <c r="D35" t="s">
        <v>631</v>
      </c>
      <c r="E35" t="s">
        <v>37</v>
      </c>
    </row>
    <row r="36" spans="1:5" x14ac:dyDescent="0.2">
      <c r="A36" s="269">
        <v>45870.395914351851</v>
      </c>
      <c r="B36" t="s">
        <v>596</v>
      </c>
      <c r="C36" t="s">
        <v>611</v>
      </c>
      <c r="D36" t="s">
        <v>631</v>
      </c>
      <c r="E36" t="s">
        <v>632</v>
      </c>
    </row>
    <row r="37" spans="1:5" x14ac:dyDescent="0.2">
      <c r="A37" s="269">
        <v>45870.39638888889</v>
      </c>
      <c r="B37" t="s">
        <v>596</v>
      </c>
      <c r="C37" t="s">
        <v>27</v>
      </c>
      <c r="D37" t="s">
        <v>633</v>
      </c>
      <c r="E37" t="s">
        <v>35</v>
      </c>
    </row>
    <row r="38" spans="1:5" x14ac:dyDescent="0.2">
      <c r="A38" s="269">
        <v>45870.429965277777</v>
      </c>
      <c r="B38" t="s">
        <v>596</v>
      </c>
      <c r="C38" t="s">
        <v>634</v>
      </c>
      <c r="D38" t="s">
        <v>635</v>
      </c>
      <c r="E38" t="s">
        <v>380</v>
      </c>
    </row>
    <row r="39" spans="1:5" x14ac:dyDescent="0.2">
      <c r="A39" s="269">
        <v>45870.429988425924</v>
      </c>
      <c r="B39" t="s">
        <v>596</v>
      </c>
      <c r="C39" t="s">
        <v>634</v>
      </c>
      <c r="D39" t="s">
        <v>636</v>
      </c>
    </row>
    <row r="40" spans="1:5" x14ac:dyDescent="0.2">
      <c r="A40" s="269">
        <v>45870.430138888885</v>
      </c>
      <c r="B40" t="s">
        <v>596</v>
      </c>
      <c r="C40" t="s">
        <v>634</v>
      </c>
      <c r="D40" t="s">
        <v>636</v>
      </c>
    </row>
    <row r="41" spans="1:5" x14ac:dyDescent="0.2">
      <c r="A41" s="269">
        <v>45870.430208333331</v>
      </c>
      <c r="B41" t="s">
        <v>596</v>
      </c>
      <c r="C41" t="s">
        <v>634</v>
      </c>
      <c r="D41" t="s">
        <v>636</v>
      </c>
    </row>
    <row r="42" spans="1:5" x14ac:dyDescent="0.2">
      <c r="A42" s="269">
        <v>45870.431111111109</v>
      </c>
      <c r="B42" t="s">
        <v>596</v>
      </c>
      <c r="C42" t="s">
        <v>634</v>
      </c>
      <c r="D42" t="s">
        <v>637</v>
      </c>
    </row>
    <row r="43" spans="1:5" ht="48" x14ac:dyDescent="0.2">
      <c r="A43" s="269">
        <v>45870.431666666664</v>
      </c>
      <c r="B43" t="s">
        <v>596</v>
      </c>
      <c r="C43" t="s">
        <v>611</v>
      </c>
      <c r="D43" t="s">
        <v>628</v>
      </c>
      <c r="E43" s="6" t="s">
        <v>638</v>
      </c>
    </row>
    <row r="44" spans="1:5" x14ac:dyDescent="0.2">
      <c r="A44" s="269">
        <v>45870.432337962964</v>
      </c>
      <c r="B44" t="s">
        <v>596</v>
      </c>
      <c r="C44" t="s">
        <v>27</v>
      </c>
      <c r="D44" t="s">
        <v>639</v>
      </c>
      <c r="E44" t="s">
        <v>337</v>
      </c>
    </row>
    <row r="45" spans="1:5" x14ac:dyDescent="0.2">
      <c r="A45" s="269">
        <v>45870.43240740741</v>
      </c>
      <c r="B45" t="s">
        <v>596</v>
      </c>
      <c r="C45" t="s">
        <v>27</v>
      </c>
      <c r="D45" t="s">
        <v>640</v>
      </c>
      <c r="E45" t="s">
        <v>337</v>
      </c>
    </row>
    <row r="46" spans="1:5" x14ac:dyDescent="0.2">
      <c r="A46" s="269">
        <v>45870.432615740741</v>
      </c>
      <c r="B46" t="s">
        <v>596</v>
      </c>
      <c r="C46" t="s">
        <v>27</v>
      </c>
      <c r="D46" t="s">
        <v>640</v>
      </c>
      <c r="E46" t="s">
        <v>337</v>
      </c>
    </row>
    <row r="47" spans="1:5" x14ac:dyDescent="0.2">
      <c r="A47" s="269">
        <v>45870.432696759257</v>
      </c>
      <c r="B47" t="s">
        <v>596</v>
      </c>
      <c r="C47" t="s">
        <v>611</v>
      </c>
      <c r="D47" t="s">
        <v>628</v>
      </c>
      <c r="E47" t="s">
        <v>22</v>
      </c>
    </row>
    <row r="48" spans="1:5" x14ac:dyDescent="0.2">
      <c r="A48" s="269">
        <v>45870.43277777778</v>
      </c>
      <c r="B48" t="s">
        <v>596</v>
      </c>
      <c r="C48" t="s">
        <v>611</v>
      </c>
      <c r="D48" t="s">
        <v>630</v>
      </c>
      <c r="E48" t="s">
        <v>10</v>
      </c>
    </row>
    <row r="49" spans="1:5" x14ac:dyDescent="0.2">
      <c r="A49" s="269">
        <v>45870.432870370372</v>
      </c>
      <c r="B49" t="s">
        <v>596</v>
      </c>
      <c r="C49" t="s">
        <v>611</v>
      </c>
      <c r="D49" t="s">
        <v>630</v>
      </c>
      <c r="E49" t="s">
        <v>18</v>
      </c>
    </row>
    <row r="50" spans="1:5" x14ac:dyDescent="0.2">
      <c r="A50" s="269">
        <v>45870.432951388888</v>
      </c>
      <c r="B50" t="s">
        <v>596</v>
      </c>
      <c r="C50" t="s">
        <v>611</v>
      </c>
      <c r="D50" t="s">
        <v>631</v>
      </c>
      <c r="E50" t="s">
        <v>24</v>
      </c>
    </row>
    <row r="51" spans="1:5" x14ac:dyDescent="0.2">
      <c r="A51" s="269">
        <v>45870.432974537034</v>
      </c>
      <c r="B51" t="s">
        <v>596</v>
      </c>
      <c r="C51" t="s">
        <v>611</v>
      </c>
      <c r="D51" t="s">
        <v>631</v>
      </c>
      <c r="E51" t="s">
        <v>337</v>
      </c>
    </row>
    <row r="52" spans="1:5" x14ac:dyDescent="0.2">
      <c r="A52" s="269">
        <v>45870.433275462965</v>
      </c>
      <c r="B52" t="s">
        <v>596</v>
      </c>
      <c r="C52" t="s">
        <v>58</v>
      </c>
      <c r="D52" t="s">
        <v>641</v>
      </c>
      <c r="E52" t="s">
        <v>39</v>
      </c>
    </row>
    <row r="53" spans="1:5" x14ac:dyDescent="0.2">
      <c r="A53" s="269">
        <v>45870.433275462965</v>
      </c>
      <c r="B53" t="s">
        <v>596</v>
      </c>
      <c r="C53" t="s">
        <v>597</v>
      </c>
      <c r="D53" t="s">
        <v>642</v>
      </c>
      <c r="E53" t="s">
        <v>39</v>
      </c>
    </row>
    <row r="54" spans="1:5" x14ac:dyDescent="0.2">
      <c r="A54" s="269">
        <v>45870.433275462965</v>
      </c>
      <c r="B54" t="s">
        <v>596</v>
      </c>
      <c r="C54" t="s">
        <v>103</v>
      </c>
      <c r="D54" t="s">
        <v>643</v>
      </c>
      <c r="E54" t="s">
        <v>39</v>
      </c>
    </row>
    <row r="55" spans="1:5" x14ac:dyDescent="0.2">
      <c r="A55" s="269">
        <v>45870.433275462965</v>
      </c>
      <c r="B55" t="s">
        <v>596</v>
      </c>
      <c r="C55" t="s">
        <v>644</v>
      </c>
      <c r="D55" t="s">
        <v>645</v>
      </c>
      <c r="E55" t="s">
        <v>39</v>
      </c>
    </row>
    <row r="56" spans="1:5" x14ac:dyDescent="0.2">
      <c r="A56" s="269">
        <v>45870.433275462965</v>
      </c>
      <c r="B56" t="s">
        <v>596</v>
      </c>
      <c r="C56" t="s">
        <v>597</v>
      </c>
      <c r="D56" t="s">
        <v>646</v>
      </c>
      <c r="E56" t="s">
        <v>39</v>
      </c>
    </row>
    <row r="57" spans="1:5" x14ac:dyDescent="0.2">
      <c r="A57" s="269">
        <v>45870.433275462965</v>
      </c>
      <c r="B57" t="s">
        <v>596</v>
      </c>
      <c r="C57" t="s">
        <v>597</v>
      </c>
      <c r="D57" t="s">
        <v>647</v>
      </c>
      <c r="E57" t="s">
        <v>39</v>
      </c>
    </row>
    <row r="58" spans="1:5" x14ac:dyDescent="0.2">
      <c r="A58" s="269">
        <v>45870.433275462965</v>
      </c>
      <c r="B58" t="s">
        <v>596</v>
      </c>
      <c r="C58" t="s">
        <v>648</v>
      </c>
      <c r="D58" t="s">
        <v>649</v>
      </c>
      <c r="E58" t="s">
        <v>39</v>
      </c>
    </row>
    <row r="59" spans="1:5" x14ac:dyDescent="0.2">
      <c r="A59" s="269">
        <v>45870.433275462965</v>
      </c>
      <c r="B59" t="s">
        <v>596</v>
      </c>
      <c r="C59" t="s">
        <v>597</v>
      </c>
      <c r="D59" t="s">
        <v>650</v>
      </c>
      <c r="E59" t="s">
        <v>39</v>
      </c>
    </row>
    <row r="60" spans="1:5" x14ac:dyDescent="0.2">
      <c r="A60" s="269">
        <v>45870.433275462965</v>
      </c>
      <c r="B60" t="s">
        <v>596</v>
      </c>
      <c r="C60" t="s">
        <v>27</v>
      </c>
      <c r="D60" t="s">
        <v>651</v>
      </c>
      <c r="E60" t="s">
        <v>39</v>
      </c>
    </row>
    <row r="61" spans="1:5" x14ac:dyDescent="0.2">
      <c r="A61" s="269">
        <v>45870.433275462965</v>
      </c>
      <c r="B61" t="s">
        <v>596</v>
      </c>
      <c r="C61" t="s">
        <v>597</v>
      </c>
      <c r="D61" t="s">
        <v>652</v>
      </c>
      <c r="E61" t="s">
        <v>39</v>
      </c>
    </row>
    <row r="62" spans="1:5" x14ac:dyDescent="0.2">
      <c r="A62" s="269">
        <v>45870.433275462965</v>
      </c>
      <c r="B62" t="s">
        <v>596</v>
      </c>
      <c r="C62" t="s">
        <v>653</v>
      </c>
      <c r="D62" t="s">
        <v>654</v>
      </c>
      <c r="E62" t="s">
        <v>39</v>
      </c>
    </row>
    <row r="63" spans="1:5" x14ac:dyDescent="0.2">
      <c r="A63" s="269">
        <v>45870.433275462965</v>
      </c>
      <c r="B63" t="s">
        <v>596</v>
      </c>
      <c r="C63" t="s">
        <v>597</v>
      </c>
      <c r="D63" t="s">
        <v>655</v>
      </c>
      <c r="E63" t="s">
        <v>39</v>
      </c>
    </row>
    <row r="64" spans="1:5" x14ac:dyDescent="0.2">
      <c r="A64" s="269">
        <v>45870.433275462965</v>
      </c>
      <c r="B64" t="s">
        <v>596</v>
      </c>
      <c r="C64" t="s">
        <v>653</v>
      </c>
      <c r="D64" t="s">
        <v>656</v>
      </c>
      <c r="E64" t="s">
        <v>39</v>
      </c>
    </row>
    <row r="65" spans="1:5" x14ac:dyDescent="0.2">
      <c r="A65" s="269">
        <v>45870.433275462965</v>
      </c>
      <c r="B65" t="s">
        <v>596</v>
      </c>
      <c r="C65" t="s">
        <v>597</v>
      </c>
      <c r="D65" t="s">
        <v>657</v>
      </c>
      <c r="E65" t="s">
        <v>39</v>
      </c>
    </row>
    <row r="66" spans="1:5" x14ac:dyDescent="0.2">
      <c r="A66" s="269">
        <v>45870.442314814813</v>
      </c>
      <c r="B66" t="s">
        <v>596</v>
      </c>
      <c r="C66" t="s">
        <v>28</v>
      </c>
      <c r="D66" t="s">
        <v>658</v>
      </c>
    </row>
    <row r="67" spans="1:5" x14ac:dyDescent="0.2">
      <c r="A67" s="269">
        <v>45873.710810185185</v>
      </c>
      <c r="B67" t="s">
        <v>592</v>
      </c>
      <c r="C67" t="s">
        <v>27</v>
      </c>
      <c r="D67" t="s">
        <v>659</v>
      </c>
      <c r="E67" t="s">
        <v>53</v>
      </c>
    </row>
    <row r="68" spans="1:5" x14ac:dyDescent="0.2">
      <c r="A68" s="269">
        <v>45873.7109837963</v>
      </c>
      <c r="B68" t="s">
        <v>592</v>
      </c>
      <c r="C68" t="s">
        <v>27</v>
      </c>
      <c r="D68" t="s">
        <v>660</v>
      </c>
      <c r="E68">
        <v>9</v>
      </c>
    </row>
    <row r="69" spans="1:5" x14ac:dyDescent="0.2">
      <c r="A69" s="269">
        <v>45873.711331018516</v>
      </c>
      <c r="B69" t="s">
        <v>592</v>
      </c>
      <c r="C69" t="s">
        <v>27</v>
      </c>
      <c r="D69" t="s">
        <v>661</v>
      </c>
      <c r="E69">
        <v>1</v>
      </c>
    </row>
    <row r="70" spans="1:5" x14ac:dyDescent="0.2">
      <c r="A70" s="269">
        <v>45873.711342592593</v>
      </c>
      <c r="B70" t="s">
        <v>592</v>
      </c>
      <c r="C70" t="s">
        <v>27</v>
      </c>
      <c r="D70" t="s">
        <v>661</v>
      </c>
      <c r="E70">
        <v>3</v>
      </c>
    </row>
    <row r="71" spans="1:5" x14ac:dyDescent="0.2">
      <c r="A71" s="269">
        <v>45873.711412037039</v>
      </c>
      <c r="B71" t="s">
        <v>592</v>
      </c>
      <c r="C71" t="s">
        <v>27</v>
      </c>
      <c r="D71" t="s">
        <v>662</v>
      </c>
      <c r="E71">
        <v>1</v>
      </c>
    </row>
    <row r="72" spans="1:5" x14ac:dyDescent="0.2">
      <c r="A72" s="269">
        <v>45873.711527777778</v>
      </c>
      <c r="B72" t="s">
        <v>592</v>
      </c>
      <c r="C72" t="s">
        <v>27</v>
      </c>
      <c r="D72" t="s">
        <v>662</v>
      </c>
      <c r="E72">
        <v>2</v>
      </c>
    </row>
    <row r="73" spans="1:5" x14ac:dyDescent="0.2">
      <c r="A73" s="269">
        <v>45873.711608796293</v>
      </c>
      <c r="B73" t="s">
        <v>592</v>
      </c>
      <c r="C73" t="s">
        <v>27</v>
      </c>
      <c r="D73" t="s">
        <v>661</v>
      </c>
      <c r="E73">
        <v>3</v>
      </c>
    </row>
    <row r="74" spans="1:5" x14ac:dyDescent="0.2">
      <c r="A74" s="269">
        <v>45873.711851851855</v>
      </c>
      <c r="B74" t="s">
        <v>592</v>
      </c>
      <c r="C74" t="s">
        <v>27</v>
      </c>
      <c r="D74" t="s">
        <v>663</v>
      </c>
    </row>
    <row r="75" spans="1:5" x14ac:dyDescent="0.2">
      <c r="A75" s="269">
        <v>45873.711944444447</v>
      </c>
      <c r="B75" t="s">
        <v>592</v>
      </c>
      <c r="C75" t="s">
        <v>27</v>
      </c>
      <c r="D75" t="s">
        <v>664</v>
      </c>
      <c r="E75" t="s">
        <v>178</v>
      </c>
    </row>
    <row r="76" spans="1:5" x14ac:dyDescent="0.2">
      <c r="A76" s="269">
        <v>45873.712094907409</v>
      </c>
      <c r="B76" t="s">
        <v>592</v>
      </c>
      <c r="C76" t="s">
        <v>27</v>
      </c>
      <c r="D76" t="s">
        <v>665</v>
      </c>
    </row>
    <row r="77" spans="1:5" x14ac:dyDescent="0.2">
      <c r="A77" s="269">
        <v>45873.712164351855</v>
      </c>
      <c r="B77" t="s">
        <v>592</v>
      </c>
      <c r="C77" t="s">
        <v>27</v>
      </c>
      <c r="D77" t="s">
        <v>666</v>
      </c>
    </row>
    <row r="78" spans="1:5" x14ac:dyDescent="0.2">
      <c r="A78" s="269">
        <v>45873.712268518517</v>
      </c>
      <c r="B78" t="s">
        <v>592</v>
      </c>
      <c r="C78" t="s">
        <v>27</v>
      </c>
      <c r="D78" t="s">
        <v>667</v>
      </c>
      <c r="E78" t="s">
        <v>151</v>
      </c>
    </row>
    <row r="79" spans="1:5" x14ac:dyDescent="0.2">
      <c r="A79" s="269">
        <v>45873.712465277778</v>
      </c>
      <c r="B79" t="s">
        <v>592</v>
      </c>
      <c r="C79" t="s">
        <v>27</v>
      </c>
      <c r="D79" t="s">
        <v>668</v>
      </c>
      <c r="E79" t="s">
        <v>51</v>
      </c>
    </row>
    <row r="80" spans="1:5" x14ac:dyDescent="0.2">
      <c r="A80" s="269">
        <v>45873.712754629632</v>
      </c>
      <c r="B80" t="s">
        <v>592</v>
      </c>
      <c r="C80" t="s">
        <v>27</v>
      </c>
      <c r="D80" t="s">
        <v>669</v>
      </c>
    </row>
    <row r="81" spans="1:5" x14ac:dyDescent="0.2">
      <c r="A81" s="269">
        <v>45873.71366898148</v>
      </c>
      <c r="B81" t="s">
        <v>592</v>
      </c>
      <c r="C81" t="s">
        <v>27</v>
      </c>
      <c r="D81" t="s">
        <v>670</v>
      </c>
    </row>
    <row r="82" spans="1:5" x14ac:dyDescent="0.2">
      <c r="A82" s="269">
        <v>45873.71371527778</v>
      </c>
      <c r="B82" t="s">
        <v>592</v>
      </c>
      <c r="C82" t="s">
        <v>27</v>
      </c>
      <c r="D82" t="s">
        <v>671</v>
      </c>
    </row>
    <row r="83" spans="1:5" x14ac:dyDescent="0.2">
      <c r="A83" s="269">
        <v>45873.713784722226</v>
      </c>
      <c r="B83" t="s">
        <v>592</v>
      </c>
      <c r="C83" t="s">
        <v>27</v>
      </c>
      <c r="D83" t="s">
        <v>672</v>
      </c>
      <c r="E83" t="s">
        <v>673</v>
      </c>
    </row>
    <row r="84" spans="1:5" x14ac:dyDescent="0.2">
      <c r="A84" s="269">
        <v>45873.713784722226</v>
      </c>
      <c r="B84" t="s">
        <v>592</v>
      </c>
      <c r="C84" t="s">
        <v>27</v>
      </c>
      <c r="D84" t="s">
        <v>674</v>
      </c>
      <c r="E84" t="s">
        <v>673</v>
      </c>
    </row>
    <row r="85" spans="1:5" x14ac:dyDescent="0.2">
      <c r="A85" s="269">
        <v>45873.713796296295</v>
      </c>
      <c r="B85" t="s">
        <v>592</v>
      </c>
      <c r="C85" t="s">
        <v>27</v>
      </c>
      <c r="D85" t="s">
        <v>675</v>
      </c>
      <c r="E85" t="s">
        <v>673</v>
      </c>
    </row>
    <row r="86" spans="1:5" x14ac:dyDescent="0.2">
      <c r="A86" s="269">
        <v>45873.713796296295</v>
      </c>
      <c r="B86" t="s">
        <v>592</v>
      </c>
      <c r="C86" t="s">
        <v>27</v>
      </c>
      <c r="D86" t="s">
        <v>676</v>
      </c>
      <c r="E86" t="s">
        <v>673</v>
      </c>
    </row>
    <row r="87" spans="1:5" x14ac:dyDescent="0.2">
      <c r="A87" s="269">
        <v>45873.713796296295</v>
      </c>
      <c r="B87" t="s">
        <v>592</v>
      </c>
      <c r="C87" t="s">
        <v>27</v>
      </c>
      <c r="D87" t="s">
        <v>677</v>
      </c>
      <c r="E87" t="s">
        <v>673</v>
      </c>
    </row>
    <row r="88" spans="1:5" x14ac:dyDescent="0.2">
      <c r="A88" s="269">
        <v>45873.713796296295</v>
      </c>
      <c r="B88" t="s">
        <v>592</v>
      </c>
      <c r="C88" t="s">
        <v>27</v>
      </c>
      <c r="D88" t="s">
        <v>678</v>
      </c>
      <c r="E88" t="s">
        <v>673</v>
      </c>
    </row>
    <row r="89" spans="1:5" x14ac:dyDescent="0.2">
      <c r="A89" s="269">
        <v>45873.713831018518</v>
      </c>
      <c r="B89" t="s">
        <v>592</v>
      </c>
      <c r="C89" t="s">
        <v>27</v>
      </c>
      <c r="D89" t="s">
        <v>679</v>
      </c>
    </row>
    <row r="90" spans="1:5" x14ac:dyDescent="0.2">
      <c r="A90" s="269">
        <v>45873.713900462964</v>
      </c>
      <c r="B90" t="s">
        <v>592</v>
      </c>
      <c r="C90" t="s">
        <v>27</v>
      </c>
      <c r="D90" t="s">
        <v>680</v>
      </c>
    </row>
    <row r="91" spans="1:5" x14ac:dyDescent="0.2">
      <c r="A91" s="269">
        <v>45873.714780092596</v>
      </c>
      <c r="B91" t="s">
        <v>592</v>
      </c>
      <c r="C91" t="s">
        <v>27</v>
      </c>
      <c r="D91" t="s">
        <v>681</v>
      </c>
    </row>
    <row r="92" spans="1:5" x14ac:dyDescent="0.2">
      <c r="A92" s="269">
        <v>45873.714780092596</v>
      </c>
      <c r="B92" t="s">
        <v>592</v>
      </c>
      <c r="C92" t="s">
        <v>27</v>
      </c>
      <c r="D92" t="s">
        <v>682</v>
      </c>
      <c r="E92" t="s">
        <v>33</v>
      </c>
    </row>
    <row r="93" spans="1:5" x14ac:dyDescent="0.2">
      <c r="A93" s="269">
        <v>45873.714837962965</v>
      </c>
      <c r="B93" t="s">
        <v>592</v>
      </c>
      <c r="C93" t="s">
        <v>27</v>
      </c>
      <c r="D93" t="s">
        <v>681</v>
      </c>
      <c r="E93" t="s">
        <v>33</v>
      </c>
    </row>
    <row r="94" spans="1:5" x14ac:dyDescent="0.2">
      <c r="A94" s="269">
        <v>45873.714837962965</v>
      </c>
      <c r="B94" t="s">
        <v>592</v>
      </c>
      <c r="C94" t="s">
        <v>27</v>
      </c>
      <c r="D94" t="s">
        <v>682</v>
      </c>
    </row>
    <row r="95" spans="1:5" x14ac:dyDescent="0.2">
      <c r="A95" s="269">
        <v>45873.714837962965</v>
      </c>
      <c r="B95" t="s">
        <v>592</v>
      </c>
      <c r="C95" t="s">
        <v>27</v>
      </c>
      <c r="D95" t="s">
        <v>682</v>
      </c>
    </row>
    <row r="96" spans="1:5" x14ac:dyDescent="0.2">
      <c r="A96" s="269">
        <v>45873.714872685188</v>
      </c>
      <c r="B96" t="s">
        <v>592</v>
      </c>
      <c r="C96" t="s">
        <v>27</v>
      </c>
      <c r="D96" t="s">
        <v>681</v>
      </c>
    </row>
    <row r="97" spans="1:5" x14ac:dyDescent="0.2">
      <c r="A97" s="269">
        <v>45873.714872685188</v>
      </c>
      <c r="B97" t="s">
        <v>592</v>
      </c>
      <c r="C97" t="s">
        <v>27</v>
      </c>
      <c r="D97" t="s">
        <v>683</v>
      </c>
      <c r="E97" t="s">
        <v>33</v>
      </c>
    </row>
    <row r="98" spans="1:5" x14ac:dyDescent="0.2">
      <c r="A98" s="269">
        <v>45873.715173611112</v>
      </c>
      <c r="B98" t="s">
        <v>592</v>
      </c>
      <c r="C98" t="s">
        <v>27</v>
      </c>
      <c r="D98" t="s">
        <v>684</v>
      </c>
    </row>
    <row r="99" spans="1:5" x14ac:dyDescent="0.2">
      <c r="A99" s="269">
        <v>45873.715173611112</v>
      </c>
      <c r="B99" t="s">
        <v>592</v>
      </c>
      <c r="C99" t="s">
        <v>27</v>
      </c>
      <c r="D99" t="s">
        <v>685</v>
      </c>
      <c r="E99" t="s">
        <v>38</v>
      </c>
    </row>
    <row r="100" spans="1:5" x14ac:dyDescent="0.2">
      <c r="A100" s="269">
        <v>45873.716585648152</v>
      </c>
      <c r="B100" t="s">
        <v>592</v>
      </c>
      <c r="C100" t="s">
        <v>686</v>
      </c>
      <c r="D100" t="s">
        <v>687</v>
      </c>
    </row>
    <row r="101" spans="1:5" x14ac:dyDescent="0.2">
      <c r="A101" s="269">
        <v>45873.716585648152</v>
      </c>
      <c r="B101" t="s">
        <v>592</v>
      </c>
      <c r="C101" t="s">
        <v>686</v>
      </c>
      <c r="D101" t="s">
        <v>687</v>
      </c>
    </row>
    <row r="102" spans="1:5" x14ac:dyDescent="0.2">
      <c r="A102" s="269">
        <v>45873.716736111113</v>
      </c>
      <c r="B102" t="s">
        <v>592</v>
      </c>
      <c r="C102" t="s">
        <v>686</v>
      </c>
      <c r="D102" t="s">
        <v>688</v>
      </c>
    </row>
    <row r="103" spans="1:5" x14ac:dyDescent="0.2">
      <c r="A103" s="269">
        <v>45873.716736111113</v>
      </c>
      <c r="B103" t="s">
        <v>592</v>
      </c>
      <c r="C103" t="s">
        <v>686</v>
      </c>
      <c r="D103" t="s">
        <v>689</v>
      </c>
      <c r="E103" t="s">
        <v>173</v>
      </c>
    </row>
    <row r="104" spans="1:5" x14ac:dyDescent="0.2">
      <c r="A104" s="269">
        <v>45873.716817129629</v>
      </c>
      <c r="B104" t="s">
        <v>592</v>
      </c>
      <c r="C104" t="s">
        <v>686</v>
      </c>
      <c r="D104" t="s">
        <v>689</v>
      </c>
    </row>
    <row r="105" spans="1:5" x14ac:dyDescent="0.2">
      <c r="A105" s="269">
        <v>45873.716817129629</v>
      </c>
      <c r="B105" t="s">
        <v>592</v>
      </c>
      <c r="C105" t="s">
        <v>686</v>
      </c>
      <c r="D105" t="s">
        <v>690</v>
      </c>
      <c r="E105" t="s">
        <v>173</v>
      </c>
    </row>
    <row r="106" spans="1:5" x14ac:dyDescent="0.2">
      <c r="A106" s="269">
        <v>45873.716886574075</v>
      </c>
      <c r="B106" t="s">
        <v>592</v>
      </c>
      <c r="C106" t="s">
        <v>686</v>
      </c>
      <c r="D106" t="s">
        <v>691</v>
      </c>
    </row>
    <row r="107" spans="1:5" x14ac:dyDescent="0.2">
      <c r="A107" s="269">
        <v>45873.717048611114</v>
      </c>
      <c r="B107" t="s">
        <v>592</v>
      </c>
      <c r="C107" t="s">
        <v>686</v>
      </c>
      <c r="D107" t="s">
        <v>692</v>
      </c>
    </row>
    <row r="108" spans="1:5" x14ac:dyDescent="0.2">
      <c r="A108" s="269">
        <v>45873.717048611114</v>
      </c>
      <c r="B108" t="s">
        <v>592</v>
      </c>
      <c r="C108" t="s">
        <v>686</v>
      </c>
      <c r="D108" t="s">
        <v>693</v>
      </c>
      <c r="E108" t="s">
        <v>29</v>
      </c>
    </row>
    <row r="109" spans="1:5" x14ac:dyDescent="0.2">
      <c r="A109" s="269">
        <v>45873.717164351852</v>
      </c>
      <c r="B109" t="s">
        <v>592</v>
      </c>
      <c r="C109" t="s">
        <v>686</v>
      </c>
      <c r="D109" t="s">
        <v>694</v>
      </c>
      <c r="E109" t="s">
        <v>229</v>
      </c>
    </row>
    <row r="110" spans="1:5" x14ac:dyDescent="0.2">
      <c r="A110" s="269">
        <v>45873.717175925929</v>
      </c>
      <c r="B110" t="s">
        <v>592</v>
      </c>
      <c r="C110" t="s">
        <v>686</v>
      </c>
      <c r="D110" t="s">
        <v>694</v>
      </c>
      <c r="E110" t="s">
        <v>229</v>
      </c>
    </row>
    <row r="111" spans="1:5" x14ac:dyDescent="0.2">
      <c r="A111" s="269">
        <v>45873.717210648145</v>
      </c>
      <c r="B111" t="s">
        <v>592</v>
      </c>
      <c r="C111" t="s">
        <v>686</v>
      </c>
      <c r="D111" t="s">
        <v>695</v>
      </c>
    </row>
    <row r="112" spans="1:5" x14ac:dyDescent="0.2">
      <c r="A112" s="269">
        <v>45873.717534722222</v>
      </c>
      <c r="B112" t="s">
        <v>592</v>
      </c>
      <c r="C112" t="s">
        <v>686</v>
      </c>
      <c r="D112" t="s">
        <v>695</v>
      </c>
    </row>
    <row r="113" spans="1:5" x14ac:dyDescent="0.2">
      <c r="A113" s="269">
        <v>45873.717557870368</v>
      </c>
      <c r="B113" t="s">
        <v>592</v>
      </c>
      <c r="C113" t="s">
        <v>686</v>
      </c>
      <c r="D113" t="s">
        <v>695</v>
      </c>
    </row>
    <row r="114" spans="1:5" x14ac:dyDescent="0.2">
      <c r="A114" s="269">
        <v>45873.71775462963</v>
      </c>
      <c r="B114" t="s">
        <v>592</v>
      </c>
      <c r="C114" t="s">
        <v>686</v>
      </c>
      <c r="D114" t="s">
        <v>695</v>
      </c>
      <c r="E114" t="s">
        <v>229</v>
      </c>
    </row>
    <row r="115" spans="1:5" x14ac:dyDescent="0.2">
      <c r="A115" s="269">
        <v>45873.717777777776</v>
      </c>
      <c r="B115" t="s">
        <v>592</v>
      </c>
      <c r="C115" t="s">
        <v>686</v>
      </c>
      <c r="D115" t="s">
        <v>696</v>
      </c>
      <c r="E115" t="s">
        <v>230</v>
      </c>
    </row>
    <row r="116" spans="1:5" x14ac:dyDescent="0.2">
      <c r="A116" s="269">
        <v>45873.717800925922</v>
      </c>
      <c r="B116" t="s">
        <v>592</v>
      </c>
      <c r="C116" t="s">
        <v>686</v>
      </c>
      <c r="D116" t="s">
        <v>697</v>
      </c>
      <c r="E116" t="s">
        <v>227</v>
      </c>
    </row>
    <row r="117" spans="1:5" x14ac:dyDescent="0.2">
      <c r="A117" s="269">
        <v>45873.717812499999</v>
      </c>
      <c r="B117" t="s">
        <v>592</v>
      </c>
      <c r="C117" t="s">
        <v>686</v>
      </c>
      <c r="D117" t="s">
        <v>698</v>
      </c>
      <c r="E117" t="s">
        <v>229</v>
      </c>
    </row>
    <row r="118" spans="1:5" x14ac:dyDescent="0.2">
      <c r="A118" s="269">
        <v>45873.717835648145</v>
      </c>
      <c r="B118" t="s">
        <v>592</v>
      </c>
      <c r="C118" t="s">
        <v>686</v>
      </c>
      <c r="D118" t="s">
        <v>699</v>
      </c>
      <c r="E118" t="s">
        <v>230</v>
      </c>
    </row>
    <row r="119" spans="1:5" x14ac:dyDescent="0.2">
      <c r="A119" s="269">
        <v>45873.718958333331</v>
      </c>
      <c r="B119" t="s">
        <v>592</v>
      </c>
      <c r="C119" t="s">
        <v>686</v>
      </c>
      <c r="D119" t="s">
        <v>700</v>
      </c>
    </row>
    <row r="120" spans="1:5" x14ac:dyDescent="0.2">
      <c r="A120" s="269">
        <v>45873.718958333331</v>
      </c>
      <c r="B120" t="s">
        <v>592</v>
      </c>
      <c r="C120" t="s">
        <v>686</v>
      </c>
      <c r="D120" t="s">
        <v>701</v>
      </c>
      <c r="E120" t="s">
        <v>33</v>
      </c>
    </row>
    <row r="121" spans="1:5" x14ac:dyDescent="0.2">
      <c r="A121" s="269">
        <v>45873.718993055554</v>
      </c>
      <c r="B121" t="s">
        <v>592</v>
      </c>
      <c r="C121" t="s">
        <v>686</v>
      </c>
      <c r="D121" t="s">
        <v>701</v>
      </c>
    </row>
    <row r="122" spans="1:5" x14ac:dyDescent="0.2">
      <c r="A122" s="269">
        <v>45873.718993055554</v>
      </c>
      <c r="B122" t="s">
        <v>592</v>
      </c>
      <c r="C122" t="s">
        <v>686</v>
      </c>
      <c r="D122" t="s">
        <v>683</v>
      </c>
      <c r="E122" t="s">
        <v>33</v>
      </c>
    </row>
    <row r="123" spans="1:5" x14ac:dyDescent="0.2">
      <c r="A123" s="269">
        <v>45873.719942129632</v>
      </c>
      <c r="B123" t="s">
        <v>592</v>
      </c>
      <c r="C123" t="s">
        <v>686</v>
      </c>
      <c r="D123" t="s">
        <v>702</v>
      </c>
    </row>
    <row r="124" spans="1:5" x14ac:dyDescent="0.2">
      <c r="A124" s="269">
        <v>45873.719942129632</v>
      </c>
      <c r="B124" t="s">
        <v>592</v>
      </c>
      <c r="C124" t="s">
        <v>686</v>
      </c>
      <c r="D124" t="s">
        <v>703</v>
      </c>
      <c r="E124" t="s">
        <v>169</v>
      </c>
    </row>
    <row r="125" spans="1:5" x14ac:dyDescent="0.2">
      <c r="A125" s="269">
        <v>45873.720520833333</v>
      </c>
      <c r="B125" t="s">
        <v>592</v>
      </c>
      <c r="C125" t="s">
        <v>686</v>
      </c>
      <c r="D125" t="s">
        <v>704</v>
      </c>
    </row>
    <row r="126" spans="1:5" x14ac:dyDescent="0.2">
      <c r="A126" s="269">
        <v>45873.720520833333</v>
      </c>
      <c r="B126" t="s">
        <v>592</v>
      </c>
      <c r="C126" t="s">
        <v>686</v>
      </c>
      <c r="D126" t="s">
        <v>705</v>
      </c>
      <c r="E126" t="s">
        <v>706</v>
      </c>
    </row>
    <row r="127" spans="1:5" x14ac:dyDescent="0.2">
      <c r="A127" s="269">
        <v>45873.722569444442</v>
      </c>
      <c r="B127" t="s">
        <v>592</v>
      </c>
      <c r="C127" t="s">
        <v>27</v>
      </c>
      <c r="D127" t="s">
        <v>707</v>
      </c>
    </row>
    <row r="128" spans="1:5" x14ac:dyDescent="0.2">
      <c r="A128" s="269">
        <v>45873.722569444442</v>
      </c>
      <c r="B128" t="s">
        <v>592</v>
      </c>
      <c r="C128" t="s">
        <v>27</v>
      </c>
      <c r="D128" t="s">
        <v>708</v>
      </c>
      <c r="E128" t="s">
        <v>226</v>
      </c>
    </row>
    <row r="129" spans="1:5" x14ac:dyDescent="0.2">
      <c r="A129" s="269">
        <v>45873.722650462965</v>
      </c>
      <c r="B129" t="s">
        <v>592</v>
      </c>
      <c r="C129" t="s">
        <v>27</v>
      </c>
      <c r="D129" t="s">
        <v>683</v>
      </c>
    </row>
    <row r="130" spans="1:5" x14ac:dyDescent="0.2">
      <c r="A130" s="269">
        <v>45873.722650462965</v>
      </c>
      <c r="B130" t="s">
        <v>592</v>
      </c>
      <c r="C130" t="s">
        <v>27</v>
      </c>
      <c r="D130" t="s">
        <v>709</v>
      </c>
      <c r="E130" t="s">
        <v>33</v>
      </c>
    </row>
    <row r="131" spans="1:5" x14ac:dyDescent="0.2">
      <c r="A131" s="269">
        <v>45873.722893518519</v>
      </c>
      <c r="B131" t="s">
        <v>592</v>
      </c>
      <c r="C131" t="s">
        <v>27</v>
      </c>
      <c r="D131" t="s">
        <v>685</v>
      </c>
    </row>
    <row r="132" spans="1:5" x14ac:dyDescent="0.2">
      <c r="A132" s="269">
        <v>45873.722893518519</v>
      </c>
      <c r="B132" t="s">
        <v>592</v>
      </c>
      <c r="C132" t="s">
        <v>27</v>
      </c>
      <c r="D132" t="s">
        <v>684</v>
      </c>
      <c r="E132" t="s">
        <v>38</v>
      </c>
    </row>
    <row r="133" spans="1:5" x14ac:dyDescent="0.2">
      <c r="A133" s="269">
        <v>45873.722939814812</v>
      </c>
      <c r="B133" t="s">
        <v>592</v>
      </c>
      <c r="C133" t="s">
        <v>27</v>
      </c>
      <c r="D133" t="s">
        <v>710</v>
      </c>
      <c r="E133" t="s">
        <v>230</v>
      </c>
    </row>
    <row r="134" spans="1:5" x14ac:dyDescent="0.2">
      <c r="A134" s="269">
        <v>45873.722939814812</v>
      </c>
      <c r="B134" t="s">
        <v>592</v>
      </c>
      <c r="C134" t="s">
        <v>27</v>
      </c>
      <c r="D134" t="s">
        <v>711</v>
      </c>
      <c r="E134" t="s">
        <v>226</v>
      </c>
    </row>
    <row r="135" spans="1:5" x14ac:dyDescent="0.2">
      <c r="A135" s="269">
        <v>45873.723113425927</v>
      </c>
      <c r="B135" t="s">
        <v>592</v>
      </c>
      <c r="C135" t="s">
        <v>27</v>
      </c>
      <c r="D135" t="s">
        <v>712</v>
      </c>
    </row>
    <row r="136" spans="1:5" x14ac:dyDescent="0.2">
      <c r="A136" s="269">
        <v>45873.723333333335</v>
      </c>
      <c r="B136" t="s">
        <v>592</v>
      </c>
      <c r="C136" t="s">
        <v>27</v>
      </c>
      <c r="D136" t="s">
        <v>688</v>
      </c>
    </row>
    <row r="137" spans="1:5" x14ac:dyDescent="0.2">
      <c r="A137" s="269">
        <v>45873.723333333335</v>
      </c>
      <c r="B137" t="s">
        <v>592</v>
      </c>
      <c r="C137" t="s">
        <v>27</v>
      </c>
      <c r="D137" t="s">
        <v>713</v>
      </c>
      <c r="E137" t="s">
        <v>173</v>
      </c>
    </row>
    <row r="138" spans="1:5" x14ac:dyDescent="0.2">
      <c r="A138" s="269">
        <v>45873.723483796297</v>
      </c>
      <c r="B138" t="s">
        <v>592</v>
      </c>
      <c r="C138" t="s">
        <v>27</v>
      </c>
      <c r="D138" t="s">
        <v>714</v>
      </c>
    </row>
    <row r="139" spans="1:5" x14ac:dyDescent="0.2">
      <c r="A139" s="269">
        <v>45873.723506944443</v>
      </c>
      <c r="B139" t="s">
        <v>592</v>
      </c>
      <c r="C139" t="s">
        <v>27</v>
      </c>
      <c r="D139" t="s">
        <v>715</v>
      </c>
    </row>
    <row r="140" spans="1:5" x14ac:dyDescent="0.2">
      <c r="A140" s="269">
        <v>45873.723530092589</v>
      </c>
      <c r="B140" t="s">
        <v>592</v>
      </c>
      <c r="C140" t="s">
        <v>27</v>
      </c>
      <c r="D140" t="s">
        <v>716</v>
      </c>
    </row>
    <row r="141" spans="1:5" x14ac:dyDescent="0.2">
      <c r="A141" s="269">
        <v>45873.723541666666</v>
      </c>
      <c r="B141" t="s">
        <v>592</v>
      </c>
      <c r="C141" t="s">
        <v>27</v>
      </c>
      <c r="D141" t="s">
        <v>717</v>
      </c>
    </row>
    <row r="142" spans="1:5" x14ac:dyDescent="0.2">
      <c r="A142" s="269">
        <v>45873.723564814813</v>
      </c>
      <c r="B142" t="s">
        <v>592</v>
      </c>
      <c r="C142" t="s">
        <v>27</v>
      </c>
      <c r="D142" t="s">
        <v>718</v>
      </c>
    </row>
    <row r="143" spans="1:5" x14ac:dyDescent="0.2">
      <c r="A143" s="269">
        <v>45873.727430555555</v>
      </c>
      <c r="B143" t="s">
        <v>592</v>
      </c>
      <c r="C143" t="s">
        <v>27</v>
      </c>
      <c r="D143" t="s">
        <v>709</v>
      </c>
    </row>
    <row r="144" spans="1:5" x14ac:dyDescent="0.2">
      <c r="A144" s="269">
        <v>45873.727430555555</v>
      </c>
      <c r="B144" t="s">
        <v>592</v>
      </c>
      <c r="C144" t="s">
        <v>27</v>
      </c>
      <c r="D144" t="s">
        <v>719</v>
      </c>
      <c r="E144" t="s">
        <v>33</v>
      </c>
    </row>
    <row r="145" spans="1:5" x14ac:dyDescent="0.2">
      <c r="A145" s="269">
        <v>45873.727465277778</v>
      </c>
      <c r="B145" t="s">
        <v>592</v>
      </c>
      <c r="C145" t="s">
        <v>27</v>
      </c>
      <c r="D145" t="s">
        <v>720</v>
      </c>
    </row>
    <row r="146" spans="1:5" x14ac:dyDescent="0.2">
      <c r="A146" s="269">
        <v>45873.727465277778</v>
      </c>
      <c r="B146" t="s">
        <v>592</v>
      </c>
      <c r="C146" t="s">
        <v>27</v>
      </c>
      <c r="D146" t="s">
        <v>721</v>
      </c>
      <c r="E146" t="s">
        <v>38</v>
      </c>
    </row>
    <row r="147" spans="1:5" x14ac:dyDescent="0.2">
      <c r="A147" s="269">
        <v>45873.727546296293</v>
      </c>
      <c r="B147" t="s">
        <v>592</v>
      </c>
      <c r="C147" t="s">
        <v>27</v>
      </c>
      <c r="D147" t="s">
        <v>722</v>
      </c>
    </row>
    <row r="148" spans="1:5" x14ac:dyDescent="0.2">
      <c r="A148" s="269">
        <v>45873.727546296293</v>
      </c>
      <c r="B148" t="s">
        <v>592</v>
      </c>
      <c r="C148" t="s">
        <v>27</v>
      </c>
      <c r="D148" t="s">
        <v>723</v>
      </c>
      <c r="E148" t="s">
        <v>226</v>
      </c>
    </row>
    <row r="149" spans="1:5" x14ac:dyDescent="0.2">
      <c r="A149" s="269">
        <v>45873.72761574074</v>
      </c>
      <c r="B149" t="s">
        <v>592</v>
      </c>
      <c r="C149" t="s">
        <v>27</v>
      </c>
      <c r="D149" t="s">
        <v>724</v>
      </c>
    </row>
    <row r="150" spans="1:5" x14ac:dyDescent="0.2">
      <c r="A150" s="269">
        <v>45873.72761574074</v>
      </c>
      <c r="B150" t="s">
        <v>592</v>
      </c>
      <c r="C150" t="s">
        <v>27</v>
      </c>
      <c r="D150" t="s">
        <v>725</v>
      </c>
      <c r="E150" t="s">
        <v>33</v>
      </c>
    </row>
    <row r="151" spans="1:5" x14ac:dyDescent="0.2">
      <c r="A151" s="269">
        <v>45873.732777777775</v>
      </c>
      <c r="B151" t="s">
        <v>592</v>
      </c>
      <c r="C151" t="s">
        <v>27</v>
      </c>
      <c r="D151" t="s">
        <v>726</v>
      </c>
    </row>
    <row r="152" spans="1:5" x14ac:dyDescent="0.2">
      <c r="A152" s="269">
        <v>45873.733171296299</v>
      </c>
      <c r="B152" t="s">
        <v>592</v>
      </c>
      <c r="C152" t="s">
        <v>27</v>
      </c>
      <c r="D152" t="s">
        <v>727</v>
      </c>
      <c r="E152" t="s">
        <v>728</v>
      </c>
    </row>
    <row r="153" spans="1:5" x14ac:dyDescent="0.2">
      <c r="A153" s="269">
        <v>45873.733518518522</v>
      </c>
      <c r="B153" t="s">
        <v>592</v>
      </c>
      <c r="C153" t="s">
        <v>611</v>
      </c>
      <c r="D153" t="s">
        <v>624</v>
      </c>
    </row>
    <row r="154" spans="1:5" x14ac:dyDescent="0.2">
      <c r="A154" s="269">
        <v>45873.733587962961</v>
      </c>
      <c r="B154" t="s">
        <v>592</v>
      </c>
      <c r="C154" t="s">
        <v>611</v>
      </c>
      <c r="D154" t="s">
        <v>729</v>
      </c>
      <c r="E154">
        <v>5</v>
      </c>
    </row>
    <row r="155" spans="1:5" x14ac:dyDescent="0.2">
      <c r="A155" s="269">
        <v>45873.733634259261</v>
      </c>
      <c r="B155" t="s">
        <v>592</v>
      </c>
      <c r="C155" t="s">
        <v>611</v>
      </c>
      <c r="D155" t="s">
        <v>620</v>
      </c>
      <c r="E155" t="s">
        <v>728</v>
      </c>
    </row>
    <row r="156" spans="1:5" x14ac:dyDescent="0.2">
      <c r="A156" s="269">
        <v>45873.733668981484</v>
      </c>
      <c r="B156" t="s">
        <v>592</v>
      </c>
      <c r="C156" t="s">
        <v>611</v>
      </c>
      <c r="D156" t="s">
        <v>622</v>
      </c>
      <c r="E156" t="s">
        <v>730</v>
      </c>
    </row>
    <row r="157" spans="1:5" x14ac:dyDescent="0.2">
      <c r="A157" s="269">
        <v>45873.735729166663</v>
      </c>
      <c r="B157" t="s">
        <v>592</v>
      </c>
      <c r="C157" t="s">
        <v>58</v>
      </c>
      <c r="D157" t="s">
        <v>731</v>
      </c>
    </row>
    <row r="158" spans="1:5" x14ac:dyDescent="0.2">
      <c r="A158" s="269">
        <v>45873.735775462963</v>
      </c>
      <c r="B158" t="s">
        <v>592</v>
      </c>
      <c r="C158" t="s">
        <v>58</v>
      </c>
      <c r="D158" t="s">
        <v>732</v>
      </c>
    </row>
    <row r="159" spans="1:5" x14ac:dyDescent="0.2">
      <c r="A159" s="269">
        <v>45873.736261574071</v>
      </c>
      <c r="B159" t="s">
        <v>592</v>
      </c>
      <c r="C159" t="s">
        <v>58</v>
      </c>
      <c r="D159" t="s">
        <v>733</v>
      </c>
    </row>
    <row r="160" spans="1:5" x14ac:dyDescent="0.2">
      <c r="A160" s="269">
        <v>45873.736284722225</v>
      </c>
      <c r="B160" t="s">
        <v>592</v>
      </c>
      <c r="C160" t="s">
        <v>58</v>
      </c>
      <c r="D160" t="s">
        <v>734</v>
      </c>
    </row>
    <row r="161" spans="1:5" x14ac:dyDescent="0.2">
      <c r="A161" s="269">
        <v>45873.736307870371</v>
      </c>
      <c r="B161" t="s">
        <v>592</v>
      </c>
      <c r="C161" t="s">
        <v>58</v>
      </c>
      <c r="D161" t="s">
        <v>735</v>
      </c>
    </row>
    <row r="162" spans="1:5" x14ac:dyDescent="0.2">
      <c r="A162" s="269">
        <v>45873.736331018517</v>
      </c>
      <c r="B162" t="s">
        <v>592</v>
      </c>
      <c r="C162" t="s">
        <v>58</v>
      </c>
      <c r="D162" t="s">
        <v>736</v>
      </c>
    </row>
    <row r="163" spans="1:5" x14ac:dyDescent="0.2">
      <c r="A163" s="269">
        <v>45873.736354166664</v>
      </c>
      <c r="B163" t="s">
        <v>592</v>
      </c>
      <c r="C163" t="s">
        <v>58</v>
      </c>
      <c r="D163" t="s">
        <v>737</v>
      </c>
    </row>
    <row r="164" spans="1:5" x14ac:dyDescent="0.2">
      <c r="A164" s="269">
        <v>45873.736493055556</v>
      </c>
      <c r="B164" t="s">
        <v>592</v>
      </c>
      <c r="C164" t="s">
        <v>58</v>
      </c>
      <c r="D164" t="s">
        <v>738</v>
      </c>
    </row>
    <row r="165" spans="1:5" x14ac:dyDescent="0.2">
      <c r="A165" s="269">
        <v>45873.736493055556</v>
      </c>
      <c r="B165" t="s">
        <v>592</v>
      </c>
      <c r="C165" t="s">
        <v>58</v>
      </c>
      <c r="D165" t="s">
        <v>739</v>
      </c>
      <c r="E165" t="s">
        <v>173</v>
      </c>
    </row>
    <row r="166" spans="1:5" x14ac:dyDescent="0.2">
      <c r="A166" s="269">
        <v>45873.736550925925</v>
      </c>
      <c r="B166" t="s">
        <v>592</v>
      </c>
      <c r="C166" t="s">
        <v>58</v>
      </c>
      <c r="D166" t="s">
        <v>740</v>
      </c>
      <c r="E166" t="s">
        <v>35</v>
      </c>
    </row>
    <row r="167" spans="1:5" x14ac:dyDescent="0.2">
      <c r="A167" s="269">
        <v>45873.736550925925</v>
      </c>
      <c r="B167" t="s">
        <v>592</v>
      </c>
      <c r="C167" t="s">
        <v>58</v>
      </c>
      <c r="D167" t="s">
        <v>741</v>
      </c>
      <c r="E167" t="s">
        <v>33</v>
      </c>
    </row>
    <row r="168" spans="1:5" x14ac:dyDescent="0.2">
      <c r="A168" s="269">
        <v>45873.736643518518</v>
      </c>
      <c r="B168" t="s">
        <v>592</v>
      </c>
      <c r="C168" t="s">
        <v>58</v>
      </c>
      <c r="D168" t="s">
        <v>742</v>
      </c>
      <c r="E168" t="s">
        <v>173</v>
      </c>
    </row>
    <row r="169" spans="1:5" x14ac:dyDescent="0.2">
      <c r="A169" s="269">
        <v>45873.736770833333</v>
      </c>
      <c r="B169" t="s">
        <v>592</v>
      </c>
      <c r="C169" t="s">
        <v>58</v>
      </c>
      <c r="D169" t="s">
        <v>743</v>
      </c>
    </row>
    <row r="170" spans="1:5" x14ac:dyDescent="0.2">
      <c r="A170" s="269">
        <v>45873.736793981479</v>
      </c>
      <c r="B170" t="s">
        <v>592</v>
      </c>
      <c r="C170" t="s">
        <v>58</v>
      </c>
      <c r="D170" t="s">
        <v>744</v>
      </c>
    </row>
    <row r="171" spans="1:5" x14ac:dyDescent="0.2">
      <c r="A171" s="269">
        <v>45873.736851851849</v>
      </c>
      <c r="B171" t="s">
        <v>592</v>
      </c>
      <c r="C171" t="s">
        <v>58</v>
      </c>
      <c r="D171" t="s">
        <v>745</v>
      </c>
    </row>
    <row r="172" spans="1:5" x14ac:dyDescent="0.2">
      <c r="A172" s="269">
        <v>45873.736886574072</v>
      </c>
      <c r="B172" t="s">
        <v>592</v>
      </c>
      <c r="C172" t="s">
        <v>58</v>
      </c>
      <c r="D172" t="s">
        <v>746</v>
      </c>
    </row>
    <row r="173" spans="1:5" x14ac:dyDescent="0.2">
      <c r="A173" s="269">
        <v>45873.736967592595</v>
      </c>
      <c r="B173" t="s">
        <v>592</v>
      </c>
      <c r="C173" t="s">
        <v>58</v>
      </c>
      <c r="D173" t="s">
        <v>747</v>
      </c>
    </row>
    <row r="174" spans="1:5" x14ac:dyDescent="0.2">
      <c r="A174" s="269">
        <v>45873.736967592595</v>
      </c>
      <c r="B174" t="s">
        <v>592</v>
      </c>
      <c r="C174" t="s">
        <v>58</v>
      </c>
      <c r="D174" t="s">
        <v>747</v>
      </c>
    </row>
    <row r="175" spans="1:5" x14ac:dyDescent="0.2">
      <c r="A175" s="269">
        <v>45873.737025462964</v>
      </c>
      <c r="B175" t="s">
        <v>592</v>
      </c>
      <c r="C175" t="s">
        <v>58</v>
      </c>
      <c r="D175" t="s">
        <v>748</v>
      </c>
      <c r="E175" t="s">
        <v>343</v>
      </c>
    </row>
    <row r="176" spans="1:5" x14ac:dyDescent="0.2">
      <c r="A176" s="269">
        <v>45873.737071759257</v>
      </c>
      <c r="B176" t="s">
        <v>592</v>
      </c>
      <c r="C176" t="s">
        <v>58</v>
      </c>
      <c r="D176" t="s">
        <v>749</v>
      </c>
      <c r="E176">
        <v>5</v>
      </c>
    </row>
    <row r="177" spans="1:5" x14ac:dyDescent="0.2">
      <c r="A177" s="269">
        <v>45873.737129629626</v>
      </c>
      <c r="B177" t="s">
        <v>592</v>
      </c>
      <c r="C177" t="s">
        <v>58</v>
      </c>
      <c r="D177" t="s">
        <v>750</v>
      </c>
    </row>
    <row r="178" spans="1:5" x14ac:dyDescent="0.2">
      <c r="A178" s="269">
        <v>45873.737164351849</v>
      </c>
      <c r="B178" t="s">
        <v>592</v>
      </c>
      <c r="C178" t="s">
        <v>58</v>
      </c>
      <c r="D178" t="s">
        <v>751</v>
      </c>
    </row>
    <row r="179" spans="1:5" x14ac:dyDescent="0.2">
      <c r="A179" s="269">
        <v>45873.737303240741</v>
      </c>
      <c r="B179" t="s">
        <v>592</v>
      </c>
      <c r="C179" t="s">
        <v>58</v>
      </c>
      <c r="D179" t="s">
        <v>752</v>
      </c>
      <c r="E179" t="s">
        <v>343</v>
      </c>
    </row>
    <row r="180" spans="1:5" x14ac:dyDescent="0.2">
      <c r="A180" s="269">
        <v>45873.737349537034</v>
      </c>
      <c r="B180" t="s">
        <v>592</v>
      </c>
      <c r="C180" t="s">
        <v>58</v>
      </c>
      <c r="D180" t="s">
        <v>753</v>
      </c>
    </row>
    <row r="181" spans="1:5" x14ac:dyDescent="0.2">
      <c r="A181" s="269">
        <v>45873.73741898148</v>
      </c>
      <c r="B181" t="s">
        <v>592</v>
      </c>
      <c r="C181" t="s">
        <v>58</v>
      </c>
      <c r="D181" t="s">
        <v>754</v>
      </c>
      <c r="E181" t="s">
        <v>178</v>
      </c>
    </row>
    <row r="182" spans="1:5" x14ac:dyDescent="0.2">
      <c r="A182" s="269">
        <v>45873.737476851849</v>
      </c>
      <c r="B182" t="s">
        <v>592</v>
      </c>
      <c r="C182" t="s">
        <v>58</v>
      </c>
      <c r="D182" t="s">
        <v>755</v>
      </c>
    </row>
    <row r="183" spans="1:5" x14ac:dyDescent="0.2">
      <c r="A183" s="269">
        <v>45873.737581018519</v>
      </c>
      <c r="B183" t="s">
        <v>592</v>
      </c>
      <c r="C183" t="s">
        <v>58</v>
      </c>
      <c r="D183" t="s">
        <v>756</v>
      </c>
      <c r="E183" t="s">
        <v>45</v>
      </c>
    </row>
    <row r="184" spans="1:5" x14ac:dyDescent="0.2">
      <c r="A184" s="269">
        <v>45874.37263888889</v>
      </c>
      <c r="B184" t="s">
        <v>757</v>
      </c>
      <c r="C184" t="s">
        <v>597</v>
      </c>
      <c r="D184" t="s">
        <v>758</v>
      </c>
      <c r="E184" t="s">
        <v>39</v>
      </c>
    </row>
    <row r="185" spans="1:5" x14ac:dyDescent="0.2">
      <c r="A185" s="269">
        <v>45874.37263888889</v>
      </c>
      <c r="B185" t="s">
        <v>757</v>
      </c>
      <c r="C185" t="s">
        <v>597</v>
      </c>
      <c r="D185" t="s">
        <v>657</v>
      </c>
      <c r="E185" t="s">
        <v>39</v>
      </c>
    </row>
    <row r="186" spans="1:5" x14ac:dyDescent="0.2">
      <c r="A186" s="269">
        <v>45874.37263888889</v>
      </c>
      <c r="B186" t="s">
        <v>757</v>
      </c>
      <c r="C186" t="s">
        <v>597</v>
      </c>
      <c r="D186" t="s">
        <v>655</v>
      </c>
      <c r="E186" t="s">
        <v>39</v>
      </c>
    </row>
    <row r="187" spans="1:5" x14ac:dyDescent="0.2">
      <c r="A187" s="269">
        <v>45874.37263888889</v>
      </c>
      <c r="B187" t="s">
        <v>757</v>
      </c>
      <c r="C187" t="s">
        <v>597</v>
      </c>
      <c r="D187" t="s">
        <v>759</v>
      </c>
      <c r="E187" t="s">
        <v>39</v>
      </c>
    </row>
    <row r="188" spans="1:5" x14ac:dyDescent="0.2">
      <c r="A188" s="269">
        <v>45874.37263888889</v>
      </c>
      <c r="B188" t="s">
        <v>757</v>
      </c>
      <c r="C188" t="s">
        <v>597</v>
      </c>
      <c r="D188" t="s">
        <v>650</v>
      </c>
      <c r="E188" t="s">
        <v>39</v>
      </c>
    </row>
    <row r="189" spans="1:5" x14ac:dyDescent="0.2">
      <c r="A189" s="269">
        <v>45874.372650462959</v>
      </c>
      <c r="B189" t="s">
        <v>757</v>
      </c>
      <c r="C189" t="s">
        <v>597</v>
      </c>
      <c r="D189" t="s">
        <v>647</v>
      </c>
      <c r="E189" t="s">
        <v>39</v>
      </c>
    </row>
    <row r="190" spans="1:5" x14ac:dyDescent="0.2">
      <c r="A190" s="269">
        <v>45874.372650462959</v>
      </c>
      <c r="B190" t="s">
        <v>757</v>
      </c>
      <c r="C190" t="s">
        <v>597</v>
      </c>
      <c r="D190" t="s">
        <v>646</v>
      </c>
      <c r="E190" t="s">
        <v>39</v>
      </c>
    </row>
    <row r="191" spans="1:5" x14ac:dyDescent="0.2">
      <c r="A191" s="269">
        <v>45874.385277777779</v>
      </c>
      <c r="B191" t="s">
        <v>757</v>
      </c>
      <c r="C191" t="s">
        <v>611</v>
      </c>
      <c r="D191" t="s">
        <v>760</v>
      </c>
      <c r="E191" t="s">
        <v>761</v>
      </c>
    </row>
    <row r="192" spans="1:5" x14ac:dyDescent="0.2">
      <c r="A192" s="269">
        <v>45874.432812500003</v>
      </c>
      <c r="B192" t="s">
        <v>757</v>
      </c>
      <c r="C192" t="s">
        <v>611</v>
      </c>
      <c r="D192" t="s">
        <v>762</v>
      </c>
    </row>
    <row r="193" spans="1:5" x14ac:dyDescent="0.2">
      <c r="A193" s="269">
        <v>45874.432812500003</v>
      </c>
      <c r="B193" t="s">
        <v>757</v>
      </c>
      <c r="C193" t="s">
        <v>611</v>
      </c>
      <c r="D193" t="s">
        <v>763</v>
      </c>
      <c r="E193" t="s">
        <v>38</v>
      </c>
    </row>
    <row r="194" spans="1:5" x14ac:dyDescent="0.2">
      <c r="A194" s="269">
        <v>45874.460486111115</v>
      </c>
      <c r="B194" t="s">
        <v>757</v>
      </c>
      <c r="C194" t="s">
        <v>611</v>
      </c>
      <c r="D194" t="s">
        <v>760</v>
      </c>
      <c r="E194" t="s">
        <v>764</v>
      </c>
    </row>
    <row r="195" spans="1:5" x14ac:dyDescent="0.2">
      <c r="A195" s="269">
        <v>45874.461006944446</v>
      </c>
      <c r="B195" t="s">
        <v>757</v>
      </c>
      <c r="C195" t="s">
        <v>611</v>
      </c>
      <c r="D195" t="s">
        <v>765</v>
      </c>
      <c r="E195" t="s">
        <v>766</v>
      </c>
    </row>
    <row r="196" spans="1:5" x14ac:dyDescent="0.2">
      <c r="A196" s="269">
        <v>45874.463275462964</v>
      </c>
      <c r="B196" t="s">
        <v>757</v>
      </c>
      <c r="C196" t="s">
        <v>611</v>
      </c>
      <c r="D196" t="s">
        <v>765</v>
      </c>
      <c r="E196" t="s">
        <v>767</v>
      </c>
    </row>
    <row r="197" spans="1:5" x14ac:dyDescent="0.2">
      <c r="A197" s="269">
        <v>45874.463483796295</v>
      </c>
      <c r="B197" t="s">
        <v>757</v>
      </c>
      <c r="C197" t="s">
        <v>611</v>
      </c>
      <c r="D197" t="s">
        <v>768</v>
      </c>
      <c r="E197" t="s">
        <v>769</v>
      </c>
    </row>
    <row r="198" spans="1:5" x14ac:dyDescent="0.2">
      <c r="A198" s="269">
        <v>45874.463854166665</v>
      </c>
      <c r="B198" t="s">
        <v>757</v>
      </c>
      <c r="C198" t="s">
        <v>611</v>
      </c>
      <c r="D198" t="s">
        <v>768</v>
      </c>
      <c r="E198" t="s">
        <v>57</v>
      </c>
    </row>
    <row r="199" spans="1:5" x14ac:dyDescent="0.2">
      <c r="A199" s="269">
        <v>45874.464513888888</v>
      </c>
      <c r="B199" t="s">
        <v>757</v>
      </c>
      <c r="C199" t="s">
        <v>611</v>
      </c>
      <c r="D199" t="s">
        <v>622</v>
      </c>
      <c r="E199" t="s">
        <v>770</v>
      </c>
    </row>
    <row r="200" spans="1:5" x14ac:dyDescent="0.2">
      <c r="A200" s="269">
        <v>45874.46502314815</v>
      </c>
      <c r="B200" t="s">
        <v>757</v>
      </c>
      <c r="C200" t="s">
        <v>611</v>
      </c>
      <c r="D200" t="s">
        <v>765</v>
      </c>
      <c r="E200" t="s">
        <v>771</v>
      </c>
    </row>
    <row r="201" spans="1:5" x14ac:dyDescent="0.2">
      <c r="A201" s="269">
        <v>45874.465856481482</v>
      </c>
      <c r="B201" t="s">
        <v>757</v>
      </c>
      <c r="C201" t="s">
        <v>611</v>
      </c>
      <c r="D201" t="s">
        <v>765</v>
      </c>
      <c r="E201" t="s">
        <v>55</v>
      </c>
    </row>
    <row r="202" spans="1:5" x14ac:dyDescent="0.2">
      <c r="A202" s="269">
        <v>45874.473310185182</v>
      </c>
      <c r="B202" t="s">
        <v>757</v>
      </c>
      <c r="C202" t="s">
        <v>15</v>
      </c>
      <c r="D202" t="s">
        <v>733</v>
      </c>
    </row>
    <row r="203" spans="1:5" x14ac:dyDescent="0.2">
      <c r="A203" s="269">
        <v>45874.473333333335</v>
      </c>
      <c r="B203" t="s">
        <v>757</v>
      </c>
      <c r="C203" t="s">
        <v>15</v>
      </c>
      <c r="D203" t="s">
        <v>734</v>
      </c>
    </row>
    <row r="204" spans="1:5" x14ac:dyDescent="0.2">
      <c r="A204" s="269">
        <v>45874.473356481481</v>
      </c>
      <c r="B204" t="s">
        <v>757</v>
      </c>
      <c r="C204" t="s">
        <v>15</v>
      </c>
      <c r="D204" t="s">
        <v>735</v>
      </c>
    </row>
    <row r="205" spans="1:5" x14ac:dyDescent="0.2">
      <c r="A205" s="269">
        <v>45874.473379629628</v>
      </c>
      <c r="B205" t="s">
        <v>757</v>
      </c>
      <c r="C205" t="s">
        <v>15</v>
      </c>
      <c r="D205" t="s">
        <v>736</v>
      </c>
    </row>
    <row r="206" spans="1:5" x14ac:dyDescent="0.2">
      <c r="A206" s="269">
        <v>45874.473391203705</v>
      </c>
      <c r="B206" t="s">
        <v>757</v>
      </c>
      <c r="C206" t="s">
        <v>15</v>
      </c>
      <c r="D206" t="s">
        <v>737</v>
      </c>
    </row>
    <row r="207" spans="1:5" x14ac:dyDescent="0.2">
      <c r="A207" s="269">
        <v>45874.473530092589</v>
      </c>
      <c r="B207" t="s">
        <v>757</v>
      </c>
      <c r="C207" t="s">
        <v>15</v>
      </c>
      <c r="D207" t="s">
        <v>772</v>
      </c>
      <c r="E207" t="s">
        <v>175</v>
      </c>
    </row>
    <row r="208" spans="1:5" x14ac:dyDescent="0.2">
      <c r="A208" s="269">
        <v>45874.473530092589</v>
      </c>
      <c r="B208" t="s">
        <v>757</v>
      </c>
      <c r="C208" t="s">
        <v>15</v>
      </c>
      <c r="D208" t="s">
        <v>773</v>
      </c>
      <c r="E208" t="s">
        <v>38</v>
      </c>
    </row>
    <row r="209" spans="1:5" x14ac:dyDescent="0.2">
      <c r="A209" s="269">
        <v>45874.473749999997</v>
      </c>
      <c r="B209" t="s">
        <v>757</v>
      </c>
      <c r="C209" t="s">
        <v>15</v>
      </c>
      <c r="D209" t="s">
        <v>774</v>
      </c>
    </row>
    <row r="210" spans="1:5" x14ac:dyDescent="0.2">
      <c r="A210" s="269">
        <v>45874.473749999997</v>
      </c>
      <c r="B210" t="s">
        <v>757</v>
      </c>
      <c r="C210" t="s">
        <v>15</v>
      </c>
      <c r="D210" t="s">
        <v>775</v>
      </c>
      <c r="E210" t="s">
        <v>173</v>
      </c>
    </row>
    <row r="211" spans="1:5" x14ac:dyDescent="0.2">
      <c r="A211" s="269">
        <v>45874.474108796298</v>
      </c>
      <c r="B211" t="s">
        <v>757</v>
      </c>
      <c r="C211" t="s">
        <v>2</v>
      </c>
      <c r="D211" t="s">
        <v>776</v>
      </c>
      <c r="E211">
        <v>2024</v>
      </c>
    </row>
    <row r="212" spans="1:5" x14ac:dyDescent="0.2">
      <c r="A212" s="269">
        <v>45874.474259259259</v>
      </c>
      <c r="B212" t="s">
        <v>757</v>
      </c>
      <c r="C212" t="s">
        <v>2</v>
      </c>
      <c r="D212" t="s">
        <v>776</v>
      </c>
    </row>
    <row r="213" spans="1:5" x14ac:dyDescent="0.2">
      <c r="A213" s="269">
        <v>45874.474386574075</v>
      </c>
      <c r="B213" t="s">
        <v>757</v>
      </c>
      <c r="C213" t="s">
        <v>15</v>
      </c>
      <c r="D213" t="s">
        <v>777</v>
      </c>
      <c r="E213" t="s">
        <v>778</v>
      </c>
    </row>
    <row r="214" spans="1:5" x14ac:dyDescent="0.2">
      <c r="A214" s="269">
        <v>45874.474814814814</v>
      </c>
      <c r="B214" t="s">
        <v>757</v>
      </c>
      <c r="C214" t="s">
        <v>15</v>
      </c>
      <c r="D214" t="s">
        <v>777</v>
      </c>
      <c r="E214" t="s">
        <v>779</v>
      </c>
    </row>
    <row r="215" spans="1:5" x14ac:dyDescent="0.2">
      <c r="A215" s="269">
        <v>45874.476215277777</v>
      </c>
      <c r="B215" t="s">
        <v>757</v>
      </c>
      <c r="C215" t="s">
        <v>15</v>
      </c>
      <c r="D215" t="s">
        <v>780</v>
      </c>
    </row>
    <row r="216" spans="1:5" x14ac:dyDescent="0.2">
      <c r="A216" s="269">
        <v>45874.476284722223</v>
      </c>
      <c r="B216" t="s">
        <v>757</v>
      </c>
      <c r="C216" t="s">
        <v>15</v>
      </c>
      <c r="D216" t="s">
        <v>780</v>
      </c>
      <c r="E216" t="s">
        <v>24</v>
      </c>
    </row>
    <row r="217" spans="1:5" x14ac:dyDescent="0.2">
      <c r="A217" s="269">
        <v>45874.476377314815</v>
      </c>
      <c r="B217" t="s">
        <v>757</v>
      </c>
      <c r="C217" t="s">
        <v>58</v>
      </c>
      <c r="D217" t="s">
        <v>780</v>
      </c>
      <c r="E217" t="s">
        <v>24</v>
      </c>
    </row>
    <row r="218" spans="1:5" x14ac:dyDescent="0.2">
      <c r="A218" s="269">
        <v>45874.476412037038</v>
      </c>
      <c r="B218" t="s">
        <v>757</v>
      </c>
      <c r="C218" t="s">
        <v>27</v>
      </c>
      <c r="D218" t="s">
        <v>780</v>
      </c>
      <c r="E218" t="s">
        <v>24</v>
      </c>
    </row>
    <row r="219" spans="1:5" x14ac:dyDescent="0.2">
      <c r="A219" s="269">
        <v>45874.476435185185</v>
      </c>
      <c r="B219" t="s">
        <v>757</v>
      </c>
      <c r="C219" t="s">
        <v>103</v>
      </c>
      <c r="D219" t="s">
        <v>780</v>
      </c>
      <c r="E219" t="s">
        <v>24</v>
      </c>
    </row>
    <row r="220" spans="1:5" x14ac:dyDescent="0.2">
      <c r="A220" s="269">
        <v>45874.476469907408</v>
      </c>
      <c r="B220" t="s">
        <v>757</v>
      </c>
      <c r="C220" t="s">
        <v>644</v>
      </c>
      <c r="D220" t="s">
        <v>780</v>
      </c>
      <c r="E220" t="s">
        <v>24</v>
      </c>
    </row>
    <row r="221" spans="1:5" x14ac:dyDescent="0.2">
      <c r="A221" s="269">
        <v>45874.476504629631</v>
      </c>
      <c r="B221" t="s">
        <v>757</v>
      </c>
      <c r="C221" t="s">
        <v>26</v>
      </c>
      <c r="D221" t="s">
        <v>780</v>
      </c>
      <c r="E221" t="s">
        <v>24</v>
      </c>
    </row>
    <row r="222" spans="1:5" x14ac:dyDescent="0.2">
      <c r="A222" s="269">
        <v>45874.476539351854</v>
      </c>
      <c r="B222" t="s">
        <v>757</v>
      </c>
      <c r="C222" t="s">
        <v>28</v>
      </c>
      <c r="D222" t="s">
        <v>780</v>
      </c>
      <c r="E222" t="s">
        <v>24</v>
      </c>
    </row>
    <row r="223" spans="1:5" x14ac:dyDescent="0.2">
      <c r="A223" s="269">
        <v>45874.477106481485</v>
      </c>
      <c r="B223" t="s">
        <v>757</v>
      </c>
      <c r="C223" t="s">
        <v>15</v>
      </c>
      <c r="D223" t="s">
        <v>781</v>
      </c>
    </row>
    <row r="224" spans="1:5" x14ac:dyDescent="0.2">
      <c r="A224" s="269">
        <v>45874.477106481485</v>
      </c>
      <c r="B224" t="s">
        <v>757</v>
      </c>
      <c r="C224" t="s">
        <v>15</v>
      </c>
      <c r="D224" t="s">
        <v>782</v>
      </c>
      <c r="E224" t="s">
        <v>191</v>
      </c>
    </row>
    <row r="225" spans="1:5" x14ac:dyDescent="0.2">
      <c r="A225" s="269">
        <v>45874.477303240739</v>
      </c>
      <c r="B225" t="s">
        <v>757</v>
      </c>
      <c r="C225" t="s">
        <v>15</v>
      </c>
      <c r="D225" t="s">
        <v>783</v>
      </c>
    </row>
    <row r="226" spans="1:5" x14ac:dyDescent="0.2">
      <c r="A226" s="269">
        <v>45874.477303240739</v>
      </c>
      <c r="B226" t="s">
        <v>757</v>
      </c>
      <c r="C226" t="s">
        <v>15</v>
      </c>
      <c r="D226" t="s">
        <v>784</v>
      </c>
      <c r="E226" t="s">
        <v>193</v>
      </c>
    </row>
    <row r="227" spans="1:5" x14ac:dyDescent="0.2">
      <c r="A227" s="269">
        <v>45874.47761574074</v>
      </c>
      <c r="B227" t="s">
        <v>757</v>
      </c>
      <c r="C227" t="s">
        <v>15</v>
      </c>
      <c r="D227" t="s">
        <v>785</v>
      </c>
    </row>
    <row r="228" spans="1:5" x14ac:dyDescent="0.2">
      <c r="A228" s="269">
        <v>45874.478136574071</v>
      </c>
      <c r="B228" t="s">
        <v>757</v>
      </c>
      <c r="C228" t="s">
        <v>15</v>
      </c>
      <c r="D228" t="s">
        <v>786</v>
      </c>
    </row>
    <row r="229" spans="1:5" x14ac:dyDescent="0.2">
      <c r="A229" s="269">
        <v>45874.478136574071</v>
      </c>
      <c r="B229" t="s">
        <v>757</v>
      </c>
      <c r="C229" t="s">
        <v>15</v>
      </c>
      <c r="D229" t="s">
        <v>787</v>
      </c>
      <c r="E229" t="s">
        <v>197</v>
      </c>
    </row>
    <row r="230" spans="1:5" x14ac:dyDescent="0.2">
      <c r="A230" s="269">
        <v>45874.478148148148</v>
      </c>
      <c r="B230" t="s">
        <v>757</v>
      </c>
      <c r="C230" t="s">
        <v>15</v>
      </c>
      <c r="D230" t="s">
        <v>788</v>
      </c>
      <c r="E230" t="s">
        <v>673</v>
      </c>
    </row>
    <row r="231" spans="1:5" x14ac:dyDescent="0.2">
      <c r="A231" s="269">
        <v>45874.478171296294</v>
      </c>
      <c r="B231" t="s">
        <v>757</v>
      </c>
      <c r="C231" t="s">
        <v>15</v>
      </c>
      <c r="D231" t="s">
        <v>788</v>
      </c>
      <c r="E231" t="s">
        <v>197</v>
      </c>
    </row>
    <row r="232" spans="1:5" x14ac:dyDescent="0.2">
      <c r="A232" s="269">
        <v>45874.478217592594</v>
      </c>
      <c r="B232" t="s">
        <v>757</v>
      </c>
      <c r="C232" t="s">
        <v>15</v>
      </c>
      <c r="D232" t="s">
        <v>789</v>
      </c>
    </row>
    <row r="233" spans="1:5" x14ac:dyDescent="0.2">
      <c r="A233" s="269">
        <v>45874.478217592594</v>
      </c>
      <c r="B233" t="s">
        <v>757</v>
      </c>
      <c r="C233" t="s">
        <v>15</v>
      </c>
      <c r="D233" t="s">
        <v>790</v>
      </c>
      <c r="E233" t="s">
        <v>200</v>
      </c>
    </row>
    <row r="234" spans="1:5" x14ac:dyDescent="0.2">
      <c r="A234" s="269">
        <v>45874.478252314817</v>
      </c>
      <c r="B234" t="s">
        <v>757</v>
      </c>
      <c r="C234" t="s">
        <v>15</v>
      </c>
      <c r="D234" t="s">
        <v>791</v>
      </c>
    </row>
    <row r="235" spans="1:5" x14ac:dyDescent="0.2">
      <c r="A235" s="269">
        <v>45874.478252314817</v>
      </c>
      <c r="B235" t="s">
        <v>757</v>
      </c>
      <c r="C235" t="s">
        <v>15</v>
      </c>
      <c r="D235" t="s">
        <v>792</v>
      </c>
      <c r="E235" t="s">
        <v>203</v>
      </c>
    </row>
    <row r="236" spans="1:5" x14ac:dyDescent="0.2">
      <c r="A236" s="269">
        <v>45874.479872685188</v>
      </c>
      <c r="B236" t="s">
        <v>757</v>
      </c>
      <c r="C236" t="s">
        <v>15</v>
      </c>
      <c r="D236" t="s">
        <v>793</v>
      </c>
    </row>
    <row r="237" spans="1:5" x14ac:dyDescent="0.2">
      <c r="A237" s="269">
        <v>45874.479942129627</v>
      </c>
      <c r="B237" t="s">
        <v>757</v>
      </c>
      <c r="C237" t="s">
        <v>15</v>
      </c>
      <c r="D237" t="s">
        <v>794</v>
      </c>
      <c r="E237">
        <v>1</v>
      </c>
    </row>
    <row r="238" spans="1:5" x14ac:dyDescent="0.2">
      <c r="A238" s="269">
        <v>45874.47996527778</v>
      </c>
      <c r="B238" t="s">
        <v>757</v>
      </c>
      <c r="C238" t="s">
        <v>15</v>
      </c>
      <c r="D238" t="s">
        <v>794</v>
      </c>
    </row>
    <row r="239" spans="1:5" x14ac:dyDescent="0.2">
      <c r="A239" s="269">
        <v>45874.479988425926</v>
      </c>
      <c r="B239" t="s">
        <v>757</v>
      </c>
      <c r="C239" t="s">
        <v>15</v>
      </c>
      <c r="D239" t="s">
        <v>795</v>
      </c>
    </row>
    <row r="240" spans="1:5" x14ac:dyDescent="0.2">
      <c r="A240" s="269">
        <v>45874.48</v>
      </c>
      <c r="B240" t="s">
        <v>757</v>
      </c>
      <c r="C240" t="s">
        <v>15</v>
      </c>
      <c r="D240" t="s">
        <v>795</v>
      </c>
    </row>
    <row r="241" spans="1:5" x14ac:dyDescent="0.2">
      <c r="A241" s="269">
        <v>45874.480023148149</v>
      </c>
      <c r="B241" t="s">
        <v>757</v>
      </c>
      <c r="C241" t="s">
        <v>15</v>
      </c>
      <c r="D241" t="s">
        <v>795</v>
      </c>
      <c r="E241" t="s">
        <v>197</v>
      </c>
    </row>
    <row r="242" spans="1:5" x14ac:dyDescent="0.2">
      <c r="A242" s="269">
        <v>45874.480081018519</v>
      </c>
      <c r="B242" t="s">
        <v>757</v>
      </c>
      <c r="C242" t="s">
        <v>15</v>
      </c>
      <c r="D242" t="s">
        <v>796</v>
      </c>
      <c r="E242" t="s">
        <v>197</v>
      </c>
    </row>
    <row r="243" spans="1:5" x14ac:dyDescent="0.2">
      <c r="A243" s="269">
        <v>45874.480162037034</v>
      </c>
      <c r="B243" t="s">
        <v>757</v>
      </c>
      <c r="C243" t="s">
        <v>15</v>
      </c>
      <c r="D243" t="s">
        <v>797</v>
      </c>
    </row>
    <row r="244" spans="1:5" x14ac:dyDescent="0.2">
      <c r="A244" s="269">
        <v>45874.480208333334</v>
      </c>
      <c r="B244" t="s">
        <v>757</v>
      </c>
      <c r="C244" t="s">
        <v>15</v>
      </c>
      <c r="D244" t="s">
        <v>798</v>
      </c>
    </row>
    <row r="245" spans="1:5" x14ac:dyDescent="0.2">
      <c r="A245" s="269">
        <v>45874.480312500003</v>
      </c>
      <c r="B245" t="s">
        <v>757</v>
      </c>
      <c r="C245" t="s">
        <v>15</v>
      </c>
      <c r="D245" t="s">
        <v>799</v>
      </c>
      <c r="E245" t="s">
        <v>178</v>
      </c>
    </row>
    <row r="246" spans="1:5" x14ac:dyDescent="0.2">
      <c r="A246" s="269">
        <v>45874.613298611112</v>
      </c>
      <c r="B246" t="s">
        <v>757</v>
      </c>
      <c r="C246" t="s">
        <v>103</v>
      </c>
      <c r="D246" t="s">
        <v>733</v>
      </c>
    </row>
    <row r="247" spans="1:5" x14ac:dyDescent="0.2">
      <c r="A247" s="269">
        <v>45874.613321759258</v>
      </c>
      <c r="B247" t="s">
        <v>757</v>
      </c>
      <c r="C247" t="s">
        <v>103</v>
      </c>
      <c r="D247" t="s">
        <v>734</v>
      </c>
    </row>
    <row r="248" spans="1:5" x14ac:dyDescent="0.2">
      <c r="A248" s="269">
        <v>45874.613344907404</v>
      </c>
      <c r="B248" t="s">
        <v>757</v>
      </c>
      <c r="C248" t="s">
        <v>103</v>
      </c>
      <c r="D248" t="s">
        <v>735</v>
      </c>
    </row>
    <row r="249" spans="1:5" x14ac:dyDescent="0.2">
      <c r="A249" s="269">
        <v>45874.613368055558</v>
      </c>
      <c r="B249" t="s">
        <v>757</v>
      </c>
      <c r="C249" t="s">
        <v>103</v>
      </c>
      <c r="D249" t="s">
        <v>736</v>
      </c>
    </row>
    <row r="250" spans="1:5" x14ac:dyDescent="0.2">
      <c r="A250" s="269">
        <v>45874.613391203704</v>
      </c>
      <c r="B250" t="s">
        <v>757</v>
      </c>
      <c r="C250" t="s">
        <v>103</v>
      </c>
      <c r="D250" t="s">
        <v>737</v>
      </c>
    </row>
    <row r="251" spans="1:5" x14ac:dyDescent="0.2">
      <c r="A251" s="269">
        <v>45874.613530092596</v>
      </c>
      <c r="B251" t="s">
        <v>757</v>
      </c>
      <c r="C251" t="s">
        <v>103</v>
      </c>
      <c r="D251" t="s">
        <v>800</v>
      </c>
      <c r="E251" t="s">
        <v>175</v>
      </c>
    </row>
    <row r="252" spans="1:5" x14ac:dyDescent="0.2">
      <c r="A252" s="269">
        <v>45874.613530092596</v>
      </c>
      <c r="B252" t="s">
        <v>757</v>
      </c>
      <c r="C252" t="s">
        <v>103</v>
      </c>
      <c r="D252" t="s">
        <v>801</v>
      </c>
      <c r="E252" t="s">
        <v>38</v>
      </c>
    </row>
    <row r="253" spans="1:5" x14ac:dyDescent="0.2">
      <c r="A253" s="269">
        <v>45874.614178240743</v>
      </c>
      <c r="B253" t="s">
        <v>757</v>
      </c>
      <c r="C253" t="s">
        <v>103</v>
      </c>
      <c r="D253" t="s">
        <v>802</v>
      </c>
    </row>
    <row r="254" spans="1:5" x14ac:dyDescent="0.2">
      <c r="A254" s="269">
        <v>45874.614247685182</v>
      </c>
      <c r="B254" t="s">
        <v>757</v>
      </c>
      <c r="C254" t="s">
        <v>103</v>
      </c>
      <c r="D254" t="s">
        <v>803</v>
      </c>
      <c r="E254" t="s">
        <v>302</v>
      </c>
    </row>
    <row r="255" spans="1:5" x14ac:dyDescent="0.2">
      <c r="A255" s="269">
        <v>45874.614317129628</v>
      </c>
      <c r="B255" t="s">
        <v>757</v>
      </c>
      <c r="C255" t="s">
        <v>103</v>
      </c>
      <c r="D255" t="s">
        <v>804</v>
      </c>
    </row>
    <row r="256" spans="1:5" x14ac:dyDescent="0.2">
      <c r="A256" s="269">
        <v>45874.614374999997</v>
      </c>
      <c r="B256" t="s">
        <v>757</v>
      </c>
      <c r="C256" t="s">
        <v>103</v>
      </c>
      <c r="D256" t="s">
        <v>805</v>
      </c>
    </row>
    <row r="257" spans="1:5" x14ac:dyDescent="0.2">
      <c r="A257" s="269">
        <v>45874.6169212963</v>
      </c>
      <c r="B257" t="s">
        <v>757</v>
      </c>
      <c r="C257" t="s">
        <v>103</v>
      </c>
      <c r="D257" t="s">
        <v>806</v>
      </c>
      <c r="E257" t="s">
        <v>178</v>
      </c>
    </row>
    <row r="258" spans="1:5" x14ac:dyDescent="0.2">
      <c r="A258" s="269">
        <v>45874.62327546296</v>
      </c>
      <c r="B258" t="s">
        <v>757</v>
      </c>
      <c r="C258" t="s">
        <v>644</v>
      </c>
      <c r="D258" t="s">
        <v>807</v>
      </c>
    </row>
    <row r="259" spans="1:5" x14ac:dyDescent="0.2">
      <c r="A259" s="269">
        <v>45874.623425925929</v>
      </c>
      <c r="B259" t="s">
        <v>757</v>
      </c>
      <c r="C259" t="s">
        <v>644</v>
      </c>
      <c r="D259" t="s">
        <v>733</v>
      </c>
    </row>
    <row r="260" spans="1:5" x14ac:dyDescent="0.2">
      <c r="A260" s="269">
        <v>45874.623449074075</v>
      </c>
      <c r="B260" t="s">
        <v>757</v>
      </c>
      <c r="C260" t="s">
        <v>644</v>
      </c>
      <c r="D260" t="s">
        <v>734</v>
      </c>
    </row>
    <row r="261" spans="1:5" x14ac:dyDescent="0.2">
      <c r="A261" s="269">
        <v>45874.623472222222</v>
      </c>
      <c r="B261" t="s">
        <v>757</v>
      </c>
      <c r="C261" t="s">
        <v>644</v>
      </c>
      <c r="D261" t="s">
        <v>735</v>
      </c>
    </row>
    <row r="262" spans="1:5" x14ac:dyDescent="0.2">
      <c r="A262" s="269">
        <v>45874.623495370368</v>
      </c>
      <c r="B262" t="s">
        <v>757</v>
      </c>
      <c r="C262" t="s">
        <v>644</v>
      </c>
      <c r="D262" t="s">
        <v>736</v>
      </c>
    </row>
    <row r="263" spans="1:5" x14ac:dyDescent="0.2">
      <c r="A263" s="269">
        <v>45874.623518518521</v>
      </c>
      <c r="B263" t="s">
        <v>757</v>
      </c>
      <c r="C263" t="s">
        <v>644</v>
      </c>
      <c r="D263" t="s">
        <v>737</v>
      </c>
    </row>
    <row r="264" spans="1:5" x14ac:dyDescent="0.2">
      <c r="A264" s="269">
        <v>45874.623668981483</v>
      </c>
      <c r="B264" t="s">
        <v>757</v>
      </c>
      <c r="C264" t="s">
        <v>644</v>
      </c>
      <c r="D264" t="s">
        <v>808</v>
      </c>
    </row>
    <row r="265" spans="1:5" x14ac:dyDescent="0.2">
      <c r="A265" s="269">
        <v>45874.623668981483</v>
      </c>
      <c r="B265" t="s">
        <v>757</v>
      </c>
      <c r="C265" t="s">
        <v>644</v>
      </c>
      <c r="D265" t="s">
        <v>809</v>
      </c>
      <c r="E265" t="s">
        <v>173</v>
      </c>
    </row>
    <row r="266" spans="1:5" x14ac:dyDescent="0.2">
      <c r="A266" s="269">
        <v>45874.62641203704</v>
      </c>
      <c r="B266" t="s">
        <v>757</v>
      </c>
      <c r="C266" t="s">
        <v>58</v>
      </c>
      <c r="D266" t="s">
        <v>712</v>
      </c>
    </row>
    <row r="267" spans="1:5" x14ac:dyDescent="0.2">
      <c r="A267" s="269">
        <v>45874.636817129627</v>
      </c>
      <c r="B267" t="s">
        <v>757</v>
      </c>
      <c r="C267" t="s">
        <v>27</v>
      </c>
      <c r="D267" t="s">
        <v>810</v>
      </c>
      <c r="E267" t="s">
        <v>167</v>
      </c>
    </row>
    <row r="268" spans="1:5" x14ac:dyDescent="0.2">
      <c r="A268" s="269">
        <v>45874.636863425927</v>
      </c>
      <c r="B268" t="s">
        <v>757</v>
      </c>
      <c r="C268" t="s">
        <v>27</v>
      </c>
      <c r="D268" t="s">
        <v>810</v>
      </c>
      <c r="E268" t="s">
        <v>167</v>
      </c>
    </row>
    <row r="269" spans="1:5" x14ac:dyDescent="0.2">
      <c r="A269" s="269">
        <v>45874.636956018519</v>
      </c>
      <c r="B269" t="s">
        <v>757</v>
      </c>
      <c r="C269" t="s">
        <v>58</v>
      </c>
      <c r="D269" t="s">
        <v>810</v>
      </c>
      <c r="E269" t="s">
        <v>179</v>
      </c>
    </row>
    <row r="270" spans="1:5" x14ac:dyDescent="0.2">
      <c r="A270" s="269">
        <v>45874.637013888889</v>
      </c>
      <c r="B270" t="s">
        <v>757</v>
      </c>
      <c r="C270" t="s">
        <v>15</v>
      </c>
      <c r="D270" t="s">
        <v>810</v>
      </c>
      <c r="E270" t="s">
        <v>181</v>
      </c>
    </row>
    <row r="271" spans="1:5" x14ac:dyDescent="0.2">
      <c r="A271" s="269">
        <v>45874.637071759258</v>
      </c>
      <c r="B271" t="s">
        <v>757</v>
      </c>
      <c r="C271" t="s">
        <v>103</v>
      </c>
      <c r="D271" t="s">
        <v>810</v>
      </c>
      <c r="E271" t="s">
        <v>811</v>
      </c>
    </row>
    <row r="272" spans="1:5" x14ac:dyDescent="0.2">
      <c r="A272" s="269">
        <v>45874.637141203704</v>
      </c>
      <c r="B272" t="s">
        <v>757</v>
      </c>
      <c r="C272" t="s">
        <v>103</v>
      </c>
      <c r="D272" t="s">
        <v>810</v>
      </c>
      <c r="E272" t="s">
        <v>206</v>
      </c>
    </row>
    <row r="273" spans="1:5" x14ac:dyDescent="0.2">
      <c r="A273" s="269">
        <v>45874.63721064815</v>
      </c>
      <c r="B273" t="s">
        <v>757</v>
      </c>
      <c r="C273" t="s">
        <v>644</v>
      </c>
      <c r="D273" t="s">
        <v>810</v>
      </c>
      <c r="E273" t="s">
        <v>206</v>
      </c>
    </row>
    <row r="274" spans="1:5" x14ac:dyDescent="0.2">
      <c r="A274" s="269">
        <v>45874.637280092589</v>
      </c>
      <c r="B274" t="s">
        <v>757</v>
      </c>
      <c r="C274" t="s">
        <v>26</v>
      </c>
      <c r="D274" t="s">
        <v>810</v>
      </c>
      <c r="E274" t="s">
        <v>215</v>
      </c>
    </row>
    <row r="275" spans="1:5" x14ac:dyDescent="0.2">
      <c r="A275" s="269">
        <v>45874.637349537035</v>
      </c>
      <c r="B275" t="s">
        <v>757</v>
      </c>
      <c r="C275" t="s">
        <v>28</v>
      </c>
      <c r="D275" t="s">
        <v>810</v>
      </c>
      <c r="E275" t="s">
        <v>812</v>
      </c>
    </row>
    <row r="276" spans="1:5" x14ac:dyDescent="0.2">
      <c r="A276" s="269">
        <v>45874.637557870374</v>
      </c>
      <c r="B276" t="s">
        <v>757</v>
      </c>
      <c r="C276" t="s">
        <v>28</v>
      </c>
      <c r="D276" t="s">
        <v>813</v>
      </c>
    </row>
    <row r="277" spans="1:5" x14ac:dyDescent="0.2">
      <c r="A277" s="269">
        <v>45874.637557870374</v>
      </c>
      <c r="B277" t="s">
        <v>757</v>
      </c>
      <c r="C277" t="s">
        <v>28</v>
      </c>
      <c r="D277" t="s">
        <v>814</v>
      </c>
      <c r="E277" t="s">
        <v>173</v>
      </c>
    </row>
    <row r="278" spans="1:5" x14ac:dyDescent="0.2">
      <c r="A278" s="269">
        <v>45874.637627314813</v>
      </c>
      <c r="B278" t="s">
        <v>757</v>
      </c>
      <c r="C278" t="s">
        <v>28</v>
      </c>
      <c r="D278" t="s">
        <v>813</v>
      </c>
      <c r="E278" t="s">
        <v>173</v>
      </c>
    </row>
    <row r="279" spans="1:5" x14ac:dyDescent="0.2">
      <c r="A279" s="269">
        <v>45874.637627314813</v>
      </c>
      <c r="B279" t="s">
        <v>757</v>
      </c>
      <c r="C279" t="s">
        <v>28</v>
      </c>
      <c r="D279" t="s">
        <v>814</v>
      </c>
    </row>
    <row r="280" spans="1:5" x14ac:dyDescent="0.2">
      <c r="A280" s="269">
        <v>45874.637638888889</v>
      </c>
      <c r="B280" t="s">
        <v>757</v>
      </c>
      <c r="C280" t="s">
        <v>28</v>
      </c>
      <c r="D280" t="s">
        <v>814</v>
      </c>
    </row>
    <row r="281" spans="1:5" x14ac:dyDescent="0.2">
      <c r="A281" s="269">
        <v>45874.637673611112</v>
      </c>
      <c r="B281" t="s">
        <v>757</v>
      </c>
      <c r="C281" t="s">
        <v>28</v>
      </c>
      <c r="D281" t="s">
        <v>815</v>
      </c>
    </row>
    <row r="282" spans="1:5" x14ac:dyDescent="0.2">
      <c r="A282" s="269">
        <v>45874.638148148151</v>
      </c>
      <c r="B282" t="s">
        <v>757</v>
      </c>
      <c r="C282" t="s">
        <v>28</v>
      </c>
      <c r="D282" t="s">
        <v>816</v>
      </c>
      <c r="E282">
        <v>8</v>
      </c>
    </row>
    <row r="283" spans="1:5" x14ac:dyDescent="0.2">
      <c r="A283" s="269">
        <v>45874.638148148151</v>
      </c>
      <c r="B283" t="s">
        <v>757</v>
      </c>
      <c r="C283" t="s">
        <v>28</v>
      </c>
      <c r="D283" t="s">
        <v>814</v>
      </c>
      <c r="E283" t="s">
        <v>173</v>
      </c>
    </row>
    <row r="284" spans="1:5" x14ac:dyDescent="0.2">
      <c r="A284" s="269">
        <v>45874.638402777775</v>
      </c>
      <c r="B284" t="s">
        <v>757</v>
      </c>
      <c r="C284" t="s">
        <v>28</v>
      </c>
      <c r="D284" t="s">
        <v>733</v>
      </c>
    </row>
    <row r="285" spans="1:5" x14ac:dyDescent="0.2">
      <c r="A285" s="269">
        <v>45874.638437499998</v>
      </c>
      <c r="B285" t="s">
        <v>757</v>
      </c>
      <c r="C285" t="s">
        <v>28</v>
      </c>
      <c r="D285" t="s">
        <v>734</v>
      </c>
    </row>
    <row r="286" spans="1:5" x14ac:dyDescent="0.2">
      <c r="A286" s="269">
        <v>45874.638483796298</v>
      </c>
      <c r="B286" t="s">
        <v>757</v>
      </c>
      <c r="C286" t="s">
        <v>28</v>
      </c>
      <c r="D286" t="s">
        <v>735</v>
      </c>
    </row>
    <row r="287" spans="1:5" x14ac:dyDescent="0.2">
      <c r="A287" s="269">
        <v>45874.638518518521</v>
      </c>
      <c r="B287" t="s">
        <v>757</v>
      </c>
      <c r="C287" t="s">
        <v>28</v>
      </c>
      <c r="D287" t="s">
        <v>736</v>
      </c>
    </row>
    <row r="288" spans="1:5" x14ac:dyDescent="0.2">
      <c r="A288" s="269">
        <v>45874.638564814813</v>
      </c>
      <c r="B288" t="s">
        <v>757</v>
      </c>
      <c r="C288" t="s">
        <v>28</v>
      </c>
      <c r="D288" t="s">
        <v>737</v>
      </c>
    </row>
    <row r="289" spans="1:5" x14ac:dyDescent="0.2">
      <c r="A289" s="269">
        <v>45874.638692129629</v>
      </c>
      <c r="B289" t="s">
        <v>757</v>
      </c>
      <c r="C289" t="s">
        <v>28</v>
      </c>
      <c r="D289" t="s">
        <v>817</v>
      </c>
      <c r="E289" t="s">
        <v>137</v>
      </c>
    </row>
    <row r="290" spans="1:5" x14ac:dyDescent="0.2">
      <c r="A290" s="269">
        <v>45874.638692129629</v>
      </c>
      <c r="B290" t="s">
        <v>757</v>
      </c>
      <c r="C290" t="s">
        <v>28</v>
      </c>
      <c r="D290" t="s">
        <v>818</v>
      </c>
      <c r="E290" t="s">
        <v>819</v>
      </c>
    </row>
    <row r="291" spans="1:5" x14ac:dyDescent="0.2">
      <c r="A291" s="269">
        <v>45874.647719907407</v>
      </c>
      <c r="B291" t="s">
        <v>757</v>
      </c>
      <c r="C291" t="s">
        <v>26</v>
      </c>
      <c r="D291" t="s">
        <v>733</v>
      </c>
    </row>
    <row r="292" spans="1:5" x14ac:dyDescent="0.2">
      <c r="A292" s="269">
        <v>45874.647766203707</v>
      </c>
      <c r="B292" t="s">
        <v>757</v>
      </c>
      <c r="C292" t="s">
        <v>26</v>
      </c>
      <c r="D292" t="s">
        <v>734</v>
      </c>
    </row>
    <row r="293" spans="1:5" x14ac:dyDescent="0.2">
      <c r="A293" s="269">
        <v>45874.647800925923</v>
      </c>
      <c r="B293" t="s">
        <v>757</v>
      </c>
      <c r="C293" t="s">
        <v>26</v>
      </c>
      <c r="D293" t="s">
        <v>735</v>
      </c>
    </row>
    <row r="294" spans="1:5" x14ac:dyDescent="0.2">
      <c r="A294" s="269">
        <v>45874.647847222222</v>
      </c>
      <c r="B294" t="s">
        <v>757</v>
      </c>
      <c r="C294" t="s">
        <v>26</v>
      </c>
      <c r="D294" t="s">
        <v>735</v>
      </c>
    </row>
    <row r="295" spans="1:5" x14ac:dyDescent="0.2">
      <c r="A295" s="269">
        <v>45874.647893518515</v>
      </c>
      <c r="B295" t="s">
        <v>757</v>
      </c>
      <c r="C295" t="s">
        <v>26</v>
      </c>
      <c r="D295" t="s">
        <v>736</v>
      </c>
    </row>
    <row r="296" spans="1:5" x14ac:dyDescent="0.2">
      <c r="A296" s="269">
        <v>45874.647939814815</v>
      </c>
      <c r="B296" t="s">
        <v>757</v>
      </c>
      <c r="C296" t="s">
        <v>26</v>
      </c>
      <c r="D296" t="s">
        <v>737</v>
      </c>
    </row>
    <row r="297" spans="1:5" x14ac:dyDescent="0.2">
      <c r="A297" s="269">
        <v>45874.64806712963</v>
      </c>
      <c r="B297" t="s">
        <v>757</v>
      </c>
      <c r="C297" t="s">
        <v>26</v>
      </c>
      <c r="D297" t="s">
        <v>820</v>
      </c>
    </row>
    <row r="298" spans="1:5" x14ac:dyDescent="0.2">
      <c r="A298" s="269">
        <v>45874.64806712963</v>
      </c>
      <c r="B298" t="s">
        <v>757</v>
      </c>
      <c r="C298" t="s">
        <v>26</v>
      </c>
      <c r="D298" t="s">
        <v>821</v>
      </c>
      <c r="E298" t="s">
        <v>120</v>
      </c>
    </row>
    <row r="299" spans="1:5" x14ac:dyDescent="0.2">
      <c r="A299" s="269">
        <v>45874.648125</v>
      </c>
      <c r="B299" t="s">
        <v>757</v>
      </c>
      <c r="C299" t="s">
        <v>26</v>
      </c>
      <c r="D299" t="s">
        <v>822</v>
      </c>
    </row>
    <row r="300" spans="1:5" x14ac:dyDescent="0.2">
      <c r="A300" s="269">
        <v>45874.658784722225</v>
      </c>
      <c r="B300" t="s">
        <v>757</v>
      </c>
      <c r="C300" t="s">
        <v>611</v>
      </c>
      <c r="D300" t="s">
        <v>823</v>
      </c>
      <c r="E300" t="s">
        <v>824</v>
      </c>
    </row>
    <row r="301" spans="1:5" x14ac:dyDescent="0.2">
      <c r="A301" s="269">
        <v>45874.658819444441</v>
      </c>
      <c r="B301" t="s">
        <v>757</v>
      </c>
      <c r="C301" t="s">
        <v>611</v>
      </c>
      <c r="D301" t="s">
        <v>823</v>
      </c>
      <c r="E301" t="s">
        <v>824</v>
      </c>
    </row>
    <row r="302" spans="1:5" x14ac:dyDescent="0.2">
      <c r="A302" s="269">
        <v>45874.708935185183</v>
      </c>
      <c r="B302" t="s">
        <v>757</v>
      </c>
      <c r="C302" t="s">
        <v>644</v>
      </c>
      <c r="D302" t="s">
        <v>825</v>
      </c>
    </row>
    <row r="303" spans="1:5" x14ac:dyDescent="0.2">
      <c r="A303" s="269">
        <v>45874.710127314815</v>
      </c>
      <c r="B303" t="s">
        <v>757</v>
      </c>
      <c r="C303" t="s">
        <v>644</v>
      </c>
      <c r="D303" t="s">
        <v>826</v>
      </c>
    </row>
    <row r="304" spans="1:5" x14ac:dyDescent="0.2">
      <c r="A304" s="269">
        <v>45874.710393518515</v>
      </c>
      <c r="B304" t="s">
        <v>757</v>
      </c>
      <c r="C304" t="s">
        <v>644</v>
      </c>
      <c r="D304" t="s">
        <v>740</v>
      </c>
    </row>
    <row r="305" spans="1:5" x14ac:dyDescent="0.2">
      <c r="A305" s="269">
        <v>45874.710393518515</v>
      </c>
      <c r="B305" t="s">
        <v>757</v>
      </c>
      <c r="C305" t="s">
        <v>644</v>
      </c>
      <c r="D305" t="s">
        <v>827</v>
      </c>
      <c r="E305" t="s">
        <v>231</v>
      </c>
    </row>
    <row r="306" spans="1:5" x14ac:dyDescent="0.2">
      <c r="A306" s="269">
        <v>45874.710428240738</v>
      </c>
      <c r="B306" t="s">
        <v>757</v>
      </c>
      <c r="C306" t="s">
        <v>644</v>
      </c>
      <c r="D306" t="s">
        <v>828</v>
      </c>
    </row>
    <row r="307" spans="1:5" x14ac:dyDescent="0.2">
      <c r="A307" s="269">
        <v>45874.710555555554</v>
      </c>
      <c r="B307" t="s">
        <v>757</v>
      </c>
      <c r="C307" t="s">
        <v>644</v>
      </c>
      <c r="D307" t="s">
        <v>723</v>
      </c>
    </row>
    <row r="308" spans="1:5" x14ac:dyDescent="0.2">
      <c r="A308" s="269">
        <v>45874.710555555554</v>
      </c>
      <c r="B308" t="s">
        <v>757</v>
      </c>
      <c r="C308" t="s">
        <v>644</v>
      </c>
      <c r="D308" t="s">
        <v>829</v>
      </c>
      <c r="E308" t="s">
        <v>226</v>
      </c>
    </row>
    <row r="309" spans="1:5" x14ac:dyDescent="0.2">
      <c r="A309" s="269">
        <v>45874.710729166669</v>
      </c>
      <c r="B309" t="s">
        <v>757</v>
      </c>
      <c r="C309" t="s">
        <v>644</v>
      </c>
      <c r="D309" t="s">
        <v>829</v>
      </c>
      <c r="E309" t="s">
        <v>229</v>
      </c>
    </row>
    <row r="310" spans="1:5" x14ac:dyDescent="0.2">
      <c r="A310" s="269">
        <v>45874.710729166669</v>
      </c>
      <c r="B310" t="s">
        <v>757</v>
      </c>
      <c r="C310" t="s">
        <v>644</v>
      </c>
      <c r="D310" t="s">
        <v>723</v>
      </c>
      <c r="E310" t="s">
        <v>226</v>
      </c>
    </row>
    <row r="311" spans="1:5" x14ac:dyDescent="0.2">
      <c r="A311" s="269">
        <v>45874.710821759261</v>
      </c>
      <c r="B311" t="s">
        <v>757</v>
      </c>
      <c r="C311" t="s">
        <v>644</v>
      </c>
      <c r="D311" t="s">
        <v>830</v>
      </c>
      <c r="E311">
        <v>1</v>
      </c>
    </row>
    <row r="312" spans="1:5" x14ac:dyDescent="0.2">
      <c r="A312" s="269">
        <v>45874.710821759261</v>
      </c>
      <c r="B312" t="s">
        <v>757</v>
      </c>
      <c r="C312" t="s">
        <v>644</v>
      </c>
      <c r="D312" t="s">
        <v>831</v>
      </c>
      <c r="E312" t="s">
        <v>173</v>
      </c>
    </row>
    <row r="313" spans="1:5" x14ac:dyDescent="0.2">
      <c r="A313" s="269">
        <v>45874.711481481485</v>
      </c>
      <c r="B313" t="s">
        <v>757</v>
      </c>
      <c r="C313" t="s">
        <v>644</v>
      </c>
      <c r="D313" t="s">
        <v>831</v>
      </c>
    </row>
    <row r="314" spans="1:5" x14ac:dyDescent="0.2">
      <c r="A314" s="269">
        <v>45874.711481481485</v>
      </c>
      <c r="B314" t="s">
        <v>757</v>
      </c>
      <c r="C314" t="s">
        <v>644</v>
      </c>
      <c r="D314" t="s">
        <v>830</v>
      </c>
      <c r="E314" t="s">
        <v>173</v>
      </c>
    </row>
    <row r="315" spans="1:5" x14ac:dyDescent="0.2">
      <c r="A315" s="269">
        <v>45874.712430555555</v>
      </c>
      <c r="B315" t="s">
        <v>757</v>
      </c>
      <c r="C315" t="s">
        <v>644</v>
      </c>
      <c r="D315" t="s">
        <v>832</v>
      </c>
      <c r="E315" t="s">
        <v>212</v>
      </c>
    </row>
    <row r="316" spans="1:5" x14ac:dyDescent="0.2">
      <c r="A316" s="269">
        <v>45874.712569444448</v>
      </c>
      <c r="B316" t="s">
        <v>757</v>
      </c>
      <c r="C316" t="s">
        <v>644</v>
      </c>
      <c r="D316" t="s">
        <v>833</v>
      </c>
      <c r="E316" t="s">
        <v>115</v>
      </c>
    </row>
    <row r="317" spans="1:5" x14ac:dyDescent="0.2">
      <c r="A317" s="269">
        <v>45874.71303240741</v>
      </c>
      <c r="B317" t="s">
        <v>757</v>
      </c>
      <c r="C317" t="s">
        <v>644</v>
      </c>
      <c r="D317" t="s">
        <v>834</v>
      </c>
    </row>
    <row r="318" spans="1:5" x14ac:dyDescent="0.2">
      <c r="A318" s="269">
        <v>45874.71303240741</v>
      </c>
      <c r="B318" t="s">
        <v>757</v>
      </c>
      <c r="C318" t="s">
        <v>644</v>
      </c>
      <c r="D318" t="s">
        <v>835</v>
      </c>
      <c r="E318" t="s">
        <v>104</v>
      </c>
    </row>
    <row r="319" spans="1:5" x14ac:dyDescent="0.2">
      <c r="A319" s="269">
        <v>45874.713101851848</v>
      </c>
      <c r="B319" t="s">
        <v>757</v>
      </c>
      <c r="C319" t="s">
        <v>644</v>
      </c>
      <c r="D319" t="s">
        <v>762</v>
      </c>
      <c r="E319" t="s">
        <v>175</v>
      </c>
    </row>
    <row r="320" spans="1:5" x14ac:dyDescent="0.2">
      <c r="A320" s="269">
        <v>45874.713101851848</v>
      </c>
      <c r="B320" t="s">
        <v>757</v>
      </c>
      <c r="C320" t="s">
        <v>644</v>
      </c>
      <c r="D320" t="s">
        <v>836</v>
      </c>
      <c r="E320" t="s">
        <v>38</v>
      </c>
    </row>
    <row r="321" spans="1:5" x14ac:dyDescent="0.2">
      <c r="A321" s="269">
        <v>45874.713356481479</v>
      </c>
      <c r="B321" t="s">
        <v>757</v>
      </c>
      <c r="C321" t="s">
        <v>644</v>
      </c>
      <c r="D321" t="s">
        <v>837</v>
      </c>
      <c r="E321" t="s">
        <v>173</v>
      </c>
    </row>
    <row r="322" spans="1:5" x14ac:dyDescent="0.2">
      <c r="A322" s="269">
        <v>45874.713460648149</v>
      </c>
      <c r="B322" t="s">
        <v>757</v>
      </c>
      <c r="C322" t="s">
        <v>644</v>
      </c>
      <c r="D322" t="s">
        <v>838</v>
      </c>
      <c r="E322" t="s">
        <v>304</v>
      </c>
    </row>
    <row r="323" spans="1:5" x14ac:dyDescent="0.2">
      <c r="A323" s="269">
        <v>45874.713541666664</v>
      </c>
      <c r="B323" t="s">
        <v>757</v>
      </c>
      <c r="C323" t="s">
        <v>644</v>
      </c>
      <c r="D323" t="s">
        <v>839</v>
      </c>
      <c r="E323">
        <v>15</v>
      </c>
    </row>
    <row r="324" spans="1:5" x14ac:dyDescent="0.2">
      <c r="A324" s="269">
        <v>45874.713587962964</v>
      </c>
      <c r="B324" t="s">
        <v>757</v>
      </c>
      <c r="C324" t="s">
        <v>644</v>
      </c>
      <c r="D324" t="s">
        <v>840</v>
      </c>
    </row>
    <row r="325" spans="1:5" x14ac:dyDescent="0.2">
      <c r="A325" s="269">
        <v>45874.71365740741</v>
      </c>
      <c r="B325" t="s">
        <v>757</v>
      </c>
      <c r="C325" t="s">
        <v>644</v>
      </c>
      <c r="D325" t="s">
        <v>841</v>
      </c>
    </row>
    <row r="326" spans="1:5" x14ac:dyDescent="0.2">
      <c r="A326" s="269">
        <v>45874.713900462964</v>
      </c>
      <c r="B326" t="s">
        <v>757</v>
      </c>
      <c r="C326" t="s">
        <v>644</v>
      </c>
      <c r="D326" t="s">
        <v>754</v>
      </c>
      <c r="E326" t="s">
        <v>178</v>
      </c>
    </row>
    <row r="327" spans="1:5" x14ac:dyDescent="0.2">
      <c r="A327" s="269">
        <v>45874.714988425927</v>
      </c>
      <c r="B327" t="s">
        <v>757</v>
      </c>
      <c r="C327" t="s">
        <v>26</v>
      </c>
      <c r="D327" t="s">
        <v>842</v>
      </c>
    </row>
    <row r="328" spans="1:5" x14ac:dyDescent="0.2">
      <c r="A328" s="269">
        <v>45874.715069444443</v>
      </c>
      <c r="B328" t="s">
        <v>757</v>
      </c>
      <c r="C328" t="s">
        <v>26</v>
      </c>
      <c r="D328" t="s">
        <v>843</v>
      </c>
      <c r="E328" t="s">
        <v>120</v>
      </c>
    </row>
    <row r="329" spans="1:5" x14ac:dyDescent="0.2">
      <c r="A329" s="269">
        <v>45874.715069444443</v>
      </c>
      <c r="B329" t="s">
        <v>757</v>
      </c>
      <c r="C329" t="s">
        <v>26</v>
      </c>
      <c r="D329" t="s">
        <v>741</v>
      </c>
      <c r="E329" t="s">
        <v>219</v>
      </c>
    </row>
    <row r="330" spans="1:5" x14ac:dyDescent="0.2">
      <c r="A330" s="269">
        <v>45874.715162037035</v>
      </c>
      <c r="B330" t="s">
        <v>757</v>
      </c>
      <c r="C330" t="s">
        <v>26</v>
      </c>
      <c r="D330" t="s">
        <v>801</v>
      </c>
      <c r="E330" t="s">
        <v>175</v>
      </c>
    </row>
    <row r="331" spans="1:5" x14ac:dyDescent="0.2">
      <c r="A331" s="269">
        <v>45874.715162037035</v>
      </c>
      <c r="B331" t="s">
        <v>757</v>
      </c>
      <c r="C331" t="s">
        <v>26</v>
      </c>
      <c r="D331" t="s">
        <v>762</v>
      </c>
      <c r="E331" t="s">
        <v>38</v>
      </c>
    </row>
    <row r="332" spans="1:5" x14ac:dyDescent="0.2">
      <c r="A332" s="269">
        <v>45874.716643518521</v>
      </c>
      <c r="B332" t="s">
        <v>757</v>
      </c>
      <c r="C332" t="s">
        <v>26</v>
      </c>
      <c r="D332" t="s">
        <v>844</v>
      </c>
      <c r="E332" t="s">
        <v>173</v>
      </c>
    </row>
    <row r="333" spans="1:5" x14ac:dyDescent="0.2">
      <c r="A333" s="269">
        <v>45874.71671296296</v>
      </c>
      <c r="B333" t="s">
        <v>757</v>
      </c>
      <c r="C333" t="s">
        <v>26</v>
      </c>
      <c r="D333" t="s">
        <v>845</v>
      </c>
      <c r="E333" t="s">
        <v>173</v>
      </c>
    </row>
    <row r="334" spans="1:5" x14ac:dyDescent="0.2">
      <c r="A334" s="269">
        <v>45874.718321759261</v>
      </c>
      <c r="B334" t="s">
        <v>757</v>
      </c>
      <c r="C334" t="s">
        <v>26</v>
      </c>
      <c r="D334" t="s">
        <v>846</v>
      </c>
      <c r="E334" t="s">
        <v>308</v>
      </c>
    </row>
    <row r="335" spans="1:5" x14ac:dyDescent="0.2">
      <c r="A335" s="269">
        <v>45874.718356481484</v>
      </c>
      <c r="B335" t="s">
        <v>757</v>
      </c>
      <c r="C335" t="s">
        <v>26</v>
      </c>
      <c r="D335" t="s">
        <v>846</v>
      </c>
    </row>
    <row r="336" spans="1:5" x14ac:dyDescent="0.2">
      <c r="A336" s="269">
        <v>45874.718622685185</v>
      </c>
      <c r="B336" t="s">
        <v>757</v>
      </c>
      <c r="C336" t="s">
        <v>26</v>
      </c>
      <c r="D336" t="s">
        <v>806</v>
      </c>
      <c r="E336" t="s">
        <v>178</v>
      </c>
    </row>
    <row r="337" spans="1:5" x14ac:dyDescent="0.2">
      <c r="A337" s="269">
        <v>45874.718888888892</v>
      </c>
      <c r="B337" t="s">
        <v>757</v>
      </c>
      <c r="C337" t="s">
        <v>28</v>
      </c>
      <c r="D337" t="s">
        <v>847</v>
      </c>
      <c r="E337" t="s">
        <v>173</v>
      </c>
    </row>
    <row r="338" spans="1:5" x14ac:dyDescent="0.2">
      <c r="A338" s="269">
        <v>45874.718981481485</v>
      </c>
      <c r="B338" t="s">
        <v>757</v>
      </c>
      <c r="C338" t="s">
        <v>28</v>
      </c>
      <c r="D338" t="s">
        <v>806</v>
      </c>
      <c r="E338" t="s">
        <v>178</v>
      </c>
    </row>
    <row r="339" spans="1:5" x14ac:dyDescent="0.2">
      <c r="A339" s="269">
        <v>45874.733564814815</v>
      </c>
      <c r="B339" t="s">
        <v>757</v>
      </c>
      <c r="C339" t="s">
        <v>28</v>
      </c>
      <c r="D339" t="s">
        <v>848</v>
      </c>
    </row>
    <row r="340" spans="1:5" x14ac:dyDescent="0.2">
      <c r="A340" s="269">
        <v>45874.7344212963</v>
      </c>
      <c r="B340" t="s">
        <v>757</v>
      </c>
      <c r="C340" t="s">
        <v>28</v>
      </c>
      <c r="D340" t="s">
        <v>849</v>
      </c>
    </row>
    <row r="341" spans="1:5" x14ac:dyDescent="0.2">
      <c r="A341" s="269">
        <v>45874.734594907408</v>
      </c>
      <c r="B341" t="s">
        <v>757</v>
      </c>
      <c r="C341" t="s">
        <v>28</v>
      </c>
      <c r="D341" t="s">
        <v>849</v>
      </c>
    </row>
    <row r="342" spans="1:5" x14ac:dyDescent="0.2">
      <c r="A342" s="269">
        <v>45874.736273148148</v>
      </c>
      <c r="B342" t="s">
        <v>757</v>
      </c>
      <c r="C342" t="s">
        <v>28</v>
      </c>
      <c r="D342" t="s">
        <v>850</v>
      </c>
    </row>
    <row r="343" spans="1:5" x14ac:dyDescent="0.2">
      <c r="A343" s="269">
        <v>45874.737025462964</v>
      </c>
      <c r="B343" t="s">
        <v>757</v>
      </c>
      <c r="C343" t="s">
        <v>28</v>
      </c>
      <c r="D343" t="s">
        <v>851</v>
      </c>
    </row>
    <row r="344" spans="1:5" x14ac:dyDescent="0.2">
      <c r="A344" s="269">
        <v>45874.737199074072</v>
      </c>
      <c r="B344" t="s">
        <v>757</v>
      </c>
      <c r="C344" t="s">
        <v>28</v>
      </c>
      <c r="D344" t="s">
        <v>852</v>
      </c>
    </row>
    <row r="345" spans="1:5" x14ac:dyDescent="0.2">
      <c r="A345" s="269">
        <v>45874.75509259259</v>
      </c>
      <c r="B345" t="s">
        <v>757</v>
      </c>
      <c r="C345" t="s">
        <v>28</v>
      </c>
      <c r="D345" t="s">
        <v>853</v>
      </c>
      <c r="E345" t="s">
        <v>45</v>
      </c>
    </row>
    <row r="346" spans="1:5" x14ac:dyDescent="0.2">
      <c r="A346" s="269">
        <v>45874.755231481482</v>
      </c>
      <c r="B346" t="s">
        <v>757</v>
      </c>
      <c r="C346" t="s">
        <v>28</v>
      </c>
      <c r="D346" t="s">
        <v>854</v>
      </c>
    </row>
    <row r="347" spans="1:5" x14ac:dyDescent="0.2">
      <c r="A347" s="269">
        <v>45874.755243055559</v>
      </c>
      <c r="B347" t="s">
        <v>757</v>
      </c>
      <c r="C347" t="s">
        <v>28</v>
      </c>
      <c r="D347" t="s">
        <v>854</v>
      </c>
    </row>
    <row r="348" spans="1:5" x14ac:dyDescent="0.2">
      <c r="A348" s="269">
        <v>45874.755266203705</v>
      </c>
      <c r="B348" t="s">
        <v>757</v>
      </c>
      <c r="C348" t="s">
        <v>28</v>
      </c>
      <c r="D348" t="s">
        <v>825</v>
      </c>
    </row>
    <row r="349" spans="1:5" x14ac:dyDescent="0.2">
      <c r="A349" s="269">
        <v>45874.755300925928</v>
      </c>
      <c r="B349" t="s">
        <v>757</v>
      </c>
      <c r="C349" t="s">
        <v>28</v>
      </c>
      <c r="D349" t="s">
        <v>855</v>
      </c>
    </row>
    <row r="350" spans="1:5" x14ac:dyDescent="0.2">
      <c r="A350" s="269">
        <v>45874.757013888891</v>
      </c>
      <c r="B350" t="s">
        <v>757</v>
      </c>
      <c r="C350" t="s">
        <v>634</v>
      </c>
      <c r="D350" t="s">
        <v>856</v>
      </c>
      <c r="E350" t="s">
        <v>365</v>
      </c>
    </row>
    <row r="351" spans="1:5" x14ac:dyDescent="0.2">
      <c r="A351" s="269">
        <v>45874.757037037038</v>
      </c>
      <c r="B351" t="s">
        <v>757</v>
      </c>
      <c r="C351" t="s">
        <v>634</v>
      </c>
      <c r="D351" t="s">
        <v>857</v>
      </c>
      <c r="E351" t="s">
        <v>365</v>
      </c>
    </row>
    <row r="352" spans="1:5" x14ac:dyDescent="0.2">
      <c r="A352" s="269">
        <v>45874.757118055553</v>
      </c>
      <c r="B352" t="s">
        <v>757</v>
      </c>
      <c r="C352" t="s">
        <v>634</v>
      </c>
      <c r="D352" t="s">
        <v>858</v>
      </c>
      <c r="E352" t="s">
        <v>859</v>
      </c>
    </row>
    <row r="353" spans="1:5" x14ac:dyDescent="0.2">
      <c r="A353" s="269">
        <v>45874.757175925923</v>
      </c>
      <c r="B353" t="s">
        <v>757</v>
      </c>
      <c r="C353" t="s">
        <v>634</v>
      </c>
      <c r="D353" t="s">
        <v>860</v>
      </c>
      <c r="E353" t="s">
        <v>381</v>
      </c>
    </row>
    <row r="354" spans="1:5" ht="32" x14ac:dyDescent="0.2">
      <c r="A354" s="269">
        <v>45874.757233796299</v>
      </c>
      <c r="B354" t="s">
        <v>757</v>
      </c>
      <c r="C354" t="s">
        <v>634</v>
      </c>
      <c r="D354" t="s">
        <v>861</v>
      </c>
      <c r="E354" s="6" t="s">
        <v>862</v>
      </c>
    </row>
    <row r="355" spans="1:5" x14ac:dyDescent="0.2">
      <c r="A355" s="269">
        <v>45874.757303240738</v>
      </c>
      <c r="B355" t="s">
        <v>757</v>
      </c>
      <c r="C355" t="s">
        <v>634</v>
      </c>
      <c r="D355" t="s">
        <v>861</v>
      </c>
      <c r="E355" t="s">
        <v>863</v>
      </c>
    </row>
    <row r="356" spans="1:5" x14ac:dyDescent="0.2">
      <c r="A356" s="269">
        <v>45874.757349537038</v>
      </c>
      <c r="B356" t="s">
        <v>757</v>
      </c>
      <c r="C356" t="s">
        <v>634</v>
      </c>
      <c r="D356" t="s">
        <v>861</v>
      </c>
      <c r="E356" t="s">
        <v>864</v>
      </c>
    </row>
    <row r="357" spans="1:5" x14ac:dyDescent="0.2">
      <c r="A357" s="269">
        <v>45874.7575</v>
      </c>
      <c r="B357" t="s">
        <v>757</v>
      </c>
      <c r="C357" t="s">
        <v>634</v>
      </c>
      <c r="D357" t="s">
        <v>865</v>
      </c>
      <c r="E357" t="s">
        <v>864</v>
      </c>
    </row>
    <row r="358" spans="1:5" x14ac:dyDescent="0.2">
      <c r="A358" s="269">
        <v>45874.757511574076</v>
      </c>
      <c r="B358" t="s">
        <v>757</v>
      </c>
      <c r="C358" t="s">
        <v>634</v>
      </c>
      <c r="D358" t="s">
        <v>865</v>
      </c>
      <c r="E358" t="s">
        <v>364</v>
      </c>
    </row>
    <row r="359" spans="1:5" x14ac:dyDescent="0.2">
      <c r="A359" s="269">
        <v>45874.758831018517</v>
      </c>
      <c r="B359" t="s">
        <v>757</v>
      </c>
      <c r="C359" t="s">
        <v>27</v>
      </c>
      <c r="D359" t="s">
        <v>727</v>
      </c>
      <c r="E359" t="s">
        <v>72</v>
      </c>
    </row>
    <row r="360" spans="1:5" x14ac:dyDescent="0.2">
      <c r="A360" s="269">
        <v>45874.758923611109</v>
      </c>
      <c r="B360" t="s">
        <v>757</v>
      </c>
      <c r="C360" t="s">
        <v>611</v>
      </c>
      <c r="D360" t="s">
        <v>620</v>
      </c>
      <c r="E360" t="s">
        <v>72</v>
      </c>
    </row>
    <row r="361" spans="1:5" ht="224" x14ac:dyDescent="0.2">
      <c r="A361" s="269">
        <v>45874.767754629633</v>
      </c>
      <c r="B361" t="s">
        <v>757</v>
      </c>
      <c r="C361" t="s">
        <v>611</v>
      </c>
      <c r="D361" t="s">
        <v>866</v>
      </c>
      <c r="E361" s="6" t="s">
        <v>867</v>
      </c>
    </row>
    <row r="362" spans="1:5" ht="224" x14ac:dyDescent="0.2">
      <c r="A362" s="269">
        <v>45874.767789351848</v>
      </c>
      <c r="B362" t="s">
        <v>757</v>
      </c>
      <c r="C362" t="s">
        <v>611</v>
      </c>
      <c r="D362" t="s">
        <v>866</v>
      </c>
      <c r="E362" s="6" t="s">
        <v>867</v>
      </c>
    </row>
    <row r="363" spans="1:5" ht="224" x14ac:dyDescent="0.2">
      <c r="A363" s="269">
        <v>45874.768043981479</v>
      </c>
      <c r="B363" t="s">
        <v>757</v>
      </c>
      <c r="C363" t="s">
        <v>611</v>
      </c>
      <c r="D363" t="s">
        <v>866</v>
      </c>
      <c r="E363" s="6" t="s">
        <v>867</v>
      </c>
    </row>
    <row r="364" spans="1:5" x14ac:dyDescent="0.2">
      <c r="A364" s="269">
        <v>45874.768611111111</v>
      </c>
      <c r="B364" t="s">
        <v>757</v>
      </c>
      <c r="C364" t="s">
        <v>611</v>
      </c>
      <c r="D364" t="s">
        <v>866</v>
      </c>
      <c r="E364" t="s">
        <v>868</v>
      </c>
    </row>
    <row r="365" spans="1:5" ht="224" x14ac:dyDescent="0.2">
      <c r="A365" s="269">
        <v>45874.768680555557</v>
      </c>
      <c r="B365" t="s">
        <v>757</v>
      </c>
      <c r="C365" t="s">
        <v>611</v>
      </c>
      <c r="D365" t="s">
        <v>869</v>
      </c>
      <c r="E365" s="6" t="s">
        <v>868</v>
      </c>
    </row>
    <row r="366" spans="1:5" x14ac:dyDescent="0.2">
      <c r="A366" s="269">
        <v>45874.772719907407</v>
      </c>
      <c r="B366" t="s">
        <v>757</v>
      </c>
      <c r="C366" t="s">
        <v>634</v>
      </c>
      <c r="D366" t="s">
        <v>870</v>
      </c>
      <c r="E366" t="s">
        <v>139</v>
      </c>
    </row>
    <row r="367" spans="1:5" x14ac:dyDescent="0.2">
      <c r="A367" s="269">
        <v>45874.772743055553</v>
      </c>
      <c r="B367" t="s">
        <v>757</v>
      </c>
      <c r="C367" t="s">
        <v>634</v>
      </c>
      <c r="D367" t="s">
        <v>870</v>
      </c>
      <c r="E367" t="s">
        <v>316</v>
      </c>
    </row>
    <row r="368" spans="1:5" x14ac:dyDescent="0.2">
      <c r="A368" s="269">
        <v>45874.772847222222</v>
      </c>
      <c r="B368" t="s">
        <v>757</v>
      </c>
      <c r="C368" t="s">
        <v>634</v>
      </c>
      <c r="D368" t="s">
        <v>870</v>
      </c>
      <c r="E368" t="s">
        <v>139</v>
      </c>
    </row>
    <row r="369" spans="1:5" x14ac:dyDescent="0.2">
      <c r="A369" s="269">
        <v>45874.772881944446</v>
      </c>
      <c r="B369" t="s">
        <v>757</v>
      </c>
      <c r="C369" t="s">
        <v>634</v>
      </c>
      <c r="D369" t="s">
        <v>870</v>
      </c>
      <c r="E369" t="s">
        <v>316</v>
      </c>
    </row>
    <row r="370" spans="1:5" x14ac:dyDescent="0.2">
      <c r="A370" s="269">
        <v>45874.772951388892</v>
      </c>
      <c r="B370" t="s">
        <v>757</v>
      </c>
      <c r="C370" t="s">
        <v>634</v>
      </c>
      <c r="D370" t="s">
        <v>870</v>
      </c>
      <c r="E370" t="s">
        <v>139</v>
      </c>
    </row>
    <row r="371" spans="1:5" x14ac:dyDescent="0.2">
      <c r="A371" s="269">
        <v>45874.773287037038</v>
      </c>
      <c r="B371" t="s">
        <v>757</v>
      </c>
      <c r="C371" t="s">
        <v>634</v>
      </c>
      <c r="D371" t="s">
        <v>871</v>
      </c>
      <c r="E371" t="s">
        <v>139</v>
      </c>
    </row>
    <row r="372" spans="1:5" x14ac:dyDescent="0.2">
      <c r="A372" s="269">
        <v>45874.774699074071</v>
      </c>
      <c r="B372" t="s">
        <v>757</v>
      </c>
      <c r="C372" t="s">
        <v>634</v>
      </c>
      <c r="D372" t="s">
        <v>872</v>
      </c>
      <c r="E372" t="s">
        <v>364</v>
      </c>
    </row>
    <row r="373" spans="1:5" x14ac:dyDescent="0.2">
      <c r="A373" s="269">
        <v>45874.77480324074</v>
      </c>
      <c r="B373" t="s">
        <v>757</v>
      </c>
      <c r="C373" t="s">
        <v>634</v>
      </c>
      <c r="D373" t="s">
        <v>873</v>
      </c>
      <c r="E373" t="s">
        <v>364</v>
      </c>
    </row>
    <row r="374" spans="1:5" x14ac:dyDescent="0.2">
      <c r="A374" s="269">
        <v>45874.775972222225</v>
      </c>
      <c r="B374" t="s">
        <v>757</v>
      </c>
      <c r="C374" t="s">
        <v>28</v>
      </c>
      <c r="D374" t="s">
        <v>874</v>
      </c>
      <c r="E374" t="s">
        <v>364</v>
      </c>
    </row>
    <row r="375" spans="1:5" ht="96" x14ac:dyDescent="0.2">
      <c r="A375" s="269">
        <v>45874.778043981481</v>
      </c>
      <c r="B375" t="s">
        <v>757</v>
      </c>
      <c r="C375" t="s">
        <v>611</v>
      </c>
      <c r="D375" t="s">
        <v>875</v>
      </c>
      <c r="E375" s="6" t="s">
        <v>876</v>
      </c>
    </row>
    <row r="376" spans="1:5" ht="96" x14ac:dyDescent="0.2">
      <c r="A376" s="269">
        <v>45874.77847222222</v>
      </c>
      <c r="B376" t="s">
        <v>757</v>
      </c>
      <c r="C376" t="s">
        <v>611</v>
      </c>
      <c r="D376" t="s">
        <v>875</v>
      </c>
      <c r="E376" s="6" t="s">
        <v>877</v>
      </c>
    </row>
    <row r="377" spans="1:5" ht="80" x14ac:dyDescent="0.2">
      <c r="A377" s="269">
        <v>45874.778634259259</v>
      </c>
      <c r="B377" t="s">
        <v>757</v>
      </c>
      <c r="C377" t="s">
        <v>611</v>
      </c>
      <c r="D377" t="s">
        <v>875</v>
      </c>
      <c r="E377" s="6" t="s">
        <v>878</v>
      </c>
    </row>
    <row r="378" spans="1:5" x14ac:dyDescent="0.2">
      <c r="A378" s="269">
        <v>45874.778993055559</v>
      </c>
      <c r="B378" t="s">
        <v>757</v>
      </c>
      <c r="C378" t="s">
        <v>634</v>
      </c>
      <c r="D378" t="s">
        <v>879</v>
      </c>
      <c r="E378" t="s">
        <v>880</v>
      </c>
    </row>
    <row r="379" spans="1:5" x14ac:dyDescent="0.2">
      <c r="A379" s="269">
        <v>45874.779004629629</v>
      </c>
      <c r="B379" t="s">
        <v>757</v>
      </c>
      <c r="C379" t="s">
        <v>634</v>
      </c>
      <c r="D379" t="s">
        <v>881</v>
      </c>
    </row>
    <row r="380" spans="1:5" x14ac:dyDescent="0.2">
      <c r="A380" s="269">
        <v>45874.779328703706</v>
      </c>
      <c r="B380" t="s">
        <v>757</v>
      </c>
      <c r="C380" t="s">
        <v>634</v>
      </c>
      <c r="D380" t="s">
        <v>879</v>
      </c>
      <c r="E380" t="s">
        <v>364</v>
      </c>
    </row>
    <row r="381" spans="1:5" x14ac:dyDescent="0.2">
      <c r="A381" s="269">
        <v>45874.779340277775</v>
      </c>
      <c r="B381" t="s">
        <v>757</v>
      </c>
      <c r="C381" t="s">
        <v>634</v>
      </c>
      <c r="D381" t="s">
        <v>882</v>
      </c>
      <c r="E381" t="s">
        <v>364</v>
      </c>
    </row>
    <row r="382" spans="1:5" x14ac:dyDescent="0.2">
      <c r="A382" s="269">
        <v>45874.782418981478</v>
      </c>
      <c r="B382" t="s">
        <v>757</v>
      </c>
      <c r="C382" t="s">
        <v>28</v>
      </c>
      <c r="D382" t="s">
        <v>883</v>
      </c>
    </row>
    <row r="383" spans="1:5" x14ac:dyDescent="0.2">
      <c r="A383" s="269">
        <v>45874.782418981478</v>
      </c>
      <c r="B383" t="s">
        <v>757</v>
      </c>
      <c r="C383" t="s">
        <v>28</v>
      </c>
      <c r="D383" t="s">
        <v>884</v>
      </c>
      <c r="E383" t="s">
        <v>177</v>
      </c>
    </row>
    <row r="384" spans="1:5" x14ac:dyDescent="0.2">
      <c r="A384" s="269">
        <v>45874.782881944448</v>
      </c>
      <c r="B384" t="s">
        <v>757</v>
      </c>
      <c r="C384" t="s">
        <v>15</v>
      </c>
      <c r="D384" t="s">
        <v>885</v>
      </c>
    </row>
    <row r="385" spans="1:5" x14ac:dyDescent="0.2">
      <c r="A385" s="269">
        <v>45874.782939814817</v>
      </c>
      <c r="B385" t="s">
        <v>757</v>
      </c>
      <c r="C385" t="s">
        <v>15</v>
      </c>
      <c r="D385" t="s">
        <v>885</v>
      </c>
      <c r="E385" t="s">
        <v>886</v>
      </c>
    </row>
    <row r="386" spans="1:5" x14ac:dyDescent="0.2">
      <c r="A386" s="269">
        <v>45874.783101851855</v>
      </c>
      <c r="B386" t="s">
        <v>757</v>
      </c>
      <c r="C386" t="s">
        <v>15</v>
      </c>
      <c r="D386" t="s">
        <v>885</v>
      </c>
      <c r="E386" t="s">
        <v>190</v>
      </c>
    </row>
    <row r="387" spans="1:5" x14ac:dyDescent="0.2">
      <c r="A387" s="269">
        <v>45874.783576388887</v>
      </c>
      <c r="B387" t="s">
        <v>757</v>
      </c>
      <c r="C387" t="s">
        <v>644</v>
      </c>
      <c r="D387" t="s">
        <v>810</v>
      </c>
      <c r="E387" t="s">
        <v>209</v>
      </c>
    </row>
    <row r="388" spans="1:5" x14ac:dyDescent="0.2">
      <c r="A388" s="269">
        <v>45874.786458333336</v>
      </c>
      <c r="B388" t="s">
        <v>757</v>
      </c>
      <c r="C388" t="s">
        <v>611</v>
      </c>
      <c r="D388" t="s">
        <v>887</v>
      </c>
      <c r="E388" t="s">
        <v>888</v>
      </c>
    </row>
    <row r="389" spans="1:5" x14ac:dyDescent="0.2">
      <c r="A389" s="269">
        <v>45874.787662037037</v>
      </c>
      <c r="B389" t="s">
        <v>757</v>
      </c>
      <c r="C389" t="s">
        <v>611</v>
      </c>
      <c r="D389" t="s">
        <v>887</v>
      </c>
      <c r="E389" t="s">
        <v>889</v>
      </c>
    </row>
    <row r="390" spans="1:5" x14ac:dyDescent="0.2">
      <c r="A390" s="269">
        <v>45874.788854166669</v>
      </c>
      <c r="B390" t="s">
        <v>757</v>
      </c>
      <c r="C390" t="s">
        <v>611</v>
      </c>
      <c r="D390" t="s">
        <v>887</v>
      </c>
      <c r="E390" t="s">
        <v>890</v>
      </c>
    </row>
    <row r="391" spans="1:5" x14ac:dyDescent="0.2">
      <c r="A391" s="269">
        <v>45874.789224537039</v>
      </c>
      <c r="B391" t="s">
        <v>757</v>
      </c>
      <c r="C391" t="s">
        <v>611</v>
      </c>
      <c r="D391" t="s">
        <v>887</v>
      </c>
      <c r="E391" t="s">
        <v>891</v>
      </c>
    </row>
    <row r="392" spans="1:5" x14ac:dyDescent="0.2">
      <c r="A392" s="269">
        <v>45874.789571759262</v>
      </c>
      <c r="B392" t="s">
        <v>757</v>
      </c>
      <c r="C392" t="s">
        <v>611</v>
      </c>
      <c r="D392" t="s">
        <v>887</v>
      </c>
      <c r="E392" t="s">
        <v>892</v>
      </c>
    </row>
    <row r="393" spans="1:5" x14ac:dyDescent="0.2">
      <c r="A393" s="269">
        <v>45874.790034722224</v>
      </c>
      <c r="B393" t="s">
        <v>757</v>
      </c>
      <c r="C393" t="s">
        <v>611</v>
      </c>
      <c r="D393" t="s">
        <v>893</v>
      </c>
      <c r="E393" t="s">
        <v>25</v>
      </c>
    </row>
    <row r="394" spans="1:5" x14ac:dyDescent="0.2">
      <c r="A394" s="269">
        <v>45874.790532407409</v>
      </c>
      <c r="B394" t="s">
        <v>757</v>
      </c>
      <c r="C394" t="s">
        <v>2</v>
      </c>
      <c r="D394" t="s">
        <v>894</v>
      </c>
    </row>
    <row r="395" spans="1:5" x14ac:dyDescent="0.2">
      <c r="A395" s="269">
        <v>45874.790706018517</v>
      </c>
      <c r="B395" t="s">
        <v>757</v>
      </c>
      <c r="C395" t="s">
        <v>2</v>
      </c>
      <c r="D395" t="s">
        <v>776</v>
      </c>
    </row>
    <row r="396" spans="1:5" x14ac:dyDescent="0.2">
      <c r="A396" s="269">
        <v>45874.790775462963</v>
      </c>
      <c r="B396" t="s">
        <v>757</v>
      </c>
      <c r="C396" t="s">
        <v>2</v>
      </c>
      <c r="D396" t="s">
        <v>895</v>
      </c>
    </row>
    <row r="397" spans="1:5" x14ac:dyDescent="0.2">
      <c r="A397" s="269">
        <v>45874.790914351855</v>
      </c>
      <c r="B397" t="s">
        <v>757</v>
      </c>
      <c r="C397" t="s">
        <v>2</v>
      </c>
      <c r="D397" t="s">
        <v>896</v>
      </c>
    </row>
    <row r="398" spans="1:5" x14ac:dyDescent="0.2">
      <c r="A398" s="269">
        <v>45874.790914351855</v>
      </c>
      <c r="B398" t="s">
        <v>757</v>
      </c>
      <c r="C398" t="s">
        <v>2</v>
      </c>
      <c r="D398" t="s">
        <v>897</v>
      </c>
      <c r="E398" t="s">
        <v>16</v>
      </c>
    </row>
    <row r="399" spans="1:5" x14ac:dyDescent="0.2">
      <c r="A399" s="269">
        <v>45874.790937500002</v>
      </c>
      <c r="B399" t="s">
        <v>757</v>
      </c>
      <c r="C399" t="s">
        <v>2</v>
      </c>
      <c r="D399" t="s">
        <v>896</v>
      </c>
      <c r="E399" t="s">
        <v>16</v>
      </c>
    </row>
    <row r="400" spans="1:5" x14ac:dyDescent="0.2">
      <c r="A400" s="269">
        <v>45874.790937500002</v>
      </c>
      <c r="B400" t="s">
        <v>757</v>
      </c>
      <c r="C400" t="s">
        <v>2</v>
      </c>
      <c r="D400" t="s">
        <v>897</v>
      </c>
    </row>
    <row r="401" spans="1:5" x14ac:dyDescent="0.2">
      <c r="A401" s="269">
        <v>45874.790937500002</v>
      </c>
      <c r="B401" t="s">
        <v>757</v>
      </c>
      <c r="C401" t="s">
        <v>2</v>
      </c>
      <c r="D401" t="s">
        <v>897</v>
      </c>
    </row>
    <row r="402" spans="1:5" x14ac:dyDescent="0.2">
      <c r="A402" s="269">
        <v>45874.791087962964</v>
      </c>
      <c r="B402" t="s">
        <v>757</v>
      </c>
      <c r="C402" t="s">
        <v>2</v>
      </c>
      <c r="D402" t="s">
        <v>898</v>
      </c>
    </row>
    <row r="403" spans="1:5" x14ac:dyDescent="0.2">
      <c r="A403" s="269">
        <v>45874.791087962964</v>
      </c>
      <c r="B403" t="s">
        <v>757</v>
      </c>
      <c r="C403" t="s">
        <v>2</v>
      </c>
      <c r="D403" t="s">
        <v>899</v>
      </c>
      <c r="E403" t="s">
        <v>159</v>
      </c>
    </row>
    <row r="404" spans="1:5" x14ac:dyDescent="0.2">
      <c r="A404" s="269">
        <v>45874.791134259256</v>
      </c>
      <c r="B404" t="s">
        <v>757</v>
      </c>
      <c r="C404" t="s">
        <v>2</v>
      </c>
      <c r="D404" t="s">
        <v>896</v>
      </c>
    </row>
    <row r="405" spans="1:5" x14ac:dyDescent="0.2">
      <c r="A405" s="269">
        <v>45874.791134259256</v>
      </c>
      <c r="B405" t="s">
        <v>757</v>
      </c>
      <c r="C405" t="s">
        <v>2</v>
      </c>
      <c r="D405" t="s">
        <v>900</v>
      </c>
      <c r="E405" t="s">
        <v>16</v>
      </c>
    </row>
    <row r="406" spans="1:5" x14ac:dyDescent="0.2">
      <c r="A406" s="269">
        <v>45874.791226851848</v>
      </c>
      <c r="B406" t="s">
        <v>757</v>
      </c>
      <c r="C406" t="s">
        <v>2</v>
      </c>
      <c r="D406" t="s">
        <v>899</v>
      </c>
      <c r="E406" t="s">
        <v>35</v>
      </c>
    </row>
    <row r="407" spans="1:5" x14ac:dyDescent="0.2">
      <c r="A407" s="269">
        <v>45874.791226851848</v>
      </c>
      <c r="B407" t="s">
        <v>757</v>
      </c>
      <c r="C407" t="s">
        <v>2</v>
      </c>
      <c r="D407" t="s">
        <v>901</v>
      </c>
      <c r="E407" t="s">
        <v>159</v>
      </c>
    </row>
    <row r="408" spans="1:5" x14ac:dyDescent="0.2">
      <c r="A408" s="269">
        <v>45874.791273148148</v>
      </c>
      <c r="B408" t="s">
        <v>757</v>
      </c>
      <c r="C408" t="s">
        <v>2</v>
      </c>
      <c r="D408" t="s">
        <v>902</v>
      </c>
    </row>
    <row r="409" spans="1:5" x14ac:dyDescent="0.2">
      <c r="A409" s="269">
        <v>45874.791608796295</v>
      </c>
      <c r="B409" t="s">
        <v>757</v>
      </c>
      <c r="C409" t="s">
        <v>2</v>
      </c>
      <c r="D409" t="s">
        <v>903</v>
      </c>
    </row>
    <row r="410" spans="1:5" x14ac:dyDescent="0.2">
      <c r="A410" s="269">
        <v>45874.791608796295</v>
      </c>
      <c r="B410" t="s">
        <v>757</v>
      </c>
      <c r="C410" t="s">
        <v>2</v>
      </c>
      <c r="D410" t="s">
        <v>904</v>
      </c>
      <c r="E410" t="s">
        <v>165</v>
      </c>
    </row>
    <row r="411" spans="1:5" x14ac:dyDescent="0.2">
      <c r="A411" s="269">
        <v>45874.791759259257</v>
      </c>
      <c r="B411" t="s">
        <v>757</v>
      </c>
      <c r="C411" t="s">
        <v>2</v>
      </c>
      <c r="D411" t="s">
        <v>905</v>
      </c>
    </row>
    <row r="412" spans="1:5" x14ac:dyDescent="0.2">
      <c r="A412" s="269">
        <v>45874.791886574072</v>
      </c>
      <c r="B412" t="s">
        <v>757</v>
      </c>
      <c r="C412" t="s">
        <v>2</v>
      </c>
      <c r="D412" t="s">
        <v>906</v>
      </c>
    </row>
    <row r="413" spans="1:5" x14ac:dyDescent="0.2">
      <c r="A413" s="269">
        <v>45874.791886574072</v>
      </c>
      <c r="B413" t="s">
        <v>757</v>
      </c>
      <c r="C413" t="s">
        <v>2</v>
      </c>
      <c r="D413" t="s">
        <v>907</v>
      </c>
      <c r="E413" t="s">
        <v>8</v>
      </c>
    </row>
    <row r="414" spans="1:5" x14ac:dyDescent="0.2">
      <c r="A414" s="269">
        <v>45874.791909722226</v>
      </c>
      <c r="B414" t="s">
        <v>757</v>
      </c>
      <c r="C414" t="s">
        <v>2</v>
      </c>
      <c r="D414" t="s">
        <v>908</v>
      </c>
    </row>
    <row r="415" spans="1:5" x14ac:dyDescent="0.2">
      <c r="A415" s="269">
        <v>45874.79215277778</v>
      </c>
      <c r="B415" t="s">
        <v>757</v>
      </c>
      <c r="C415" t="s">
        <v>611</v>
      </c>
      <c r="D415" t="s">
        <v>909</v>
      </c>
    </row>
    <row r="416" spans="1:5" x14ac:dyDescent="0.2">
      <c r="A416" s="269">
        <v>45874.792210648149</v>
      </c>
      <c r="B416" t="s">
        <v>757</v>
      </c>
      <c r="C416" t="s">
        <v>611</v>
      </c>
      <c r="D416" t="s">
        <v>910</v>
      </c>
      <c r="E416">
        <v>3</v>
      </c>
    </row>
    <row r="417" spans="1:5" x14ac:dyDescent="0.2">
      <c r="A417" s="269">
        <v>45874.792280092595</v>
      </c>
      <c r="B417" t="s">
        <v>757</v>
      </c>
      <c r="C417" t="s">
        <v>611</v>
      </c>
      <c r="D417" t="s">
        <v>911</v>
      </c>
    </row>
    <row r="418" spans="1:5" x14ac:dyDescent="0.2">
      <c r="A418" s="269">
        <v>45874.792303240742</v>
      </c>
      <c r="B418" t="s">
        <v>757</v>
      </c>
      <c r="C418" t="s">
        <v>611</v>
      </c>
      <c r="D418" t="s">
        <v>912</v>
      </c>
    </row>
    <row r="419" spans="1:5" x14ac:dyDescent="0.2">
      <c r="A419" s="269">
        <v>45874.792581018519</v>
      </c>
      <c r="B419" t="s">
        <v>757</v>
      </c>
      <c r="C419" t="s">
        <v>611</v>
      </c>
      <c r="D419" t="s">
        <v>913</v>
      </c>
      <c r="E419">
        <v>4</v>
      </c>
    </row>
    <row r="420" spans="1:5" x14ac:dyDescent="0.2">
      <c r="A420" s="269">
        <v>45874.792581018519</v>
      </c>
      <c r="B420" t="s">
        <v>757</v>
      </c>
      <c r="C420" t="s">
        <v>611</v>
      </c>
      <c r="D420" t="s">
        <v>914</v>
      </c>
      <c r="E420" t="s">
        <v>27</v>
      </c>
    </row>
    <row r="421" spans="1:5" x14ac:dyDescent="0.2">
      <c r="A421" s="269">
        <v>45874.794085648151</v>
      </c>
      <c r="B421" t="s">
        <v>757</v>
      </c>
      <c r="C421" t="s">
        <v>2</v>
      </c>
      <c r="D421" t="s">
        <v>915</v>
      </c>
    </row>
    <row r="422" spans="1:5" x14ac:dyDescent="0.2">
      <c r="A422" s="269">
        <v>45874.794131944444</v>
      </c>
      <c r="B422" t="s">
        <v>757</v>
      </c>
      <c r="C422" t="s">
        <v>2</v>
      </c>
      <c r="D422" t="s">
        <v>916</v>
      </c>
    </row>
    <row r="423" spans="1:5" x14ac:dyDescent="0.2">
      <c r="A423" s="269">
        <v>45874.794340277775</v>
      </c>
      <c r="B423" t="s">
        <v>757</v>
      </c>
      <c r="C423" t="s">
        <v>2</v>
      </c>
      <c r="D423" t="s">
        <v>917</v>
      </c>
    </row>
    <row r="424" spans="1:5" x14ac:dyDescent="0.2">
      <c r="A424" s="269">
        <v>45874.7971875</v>
      </c>
      <c r="B424" t="s">
        <v>757</v>
      </c>
      <c r="C424" t="s">
        <v>15</v>
      </c>
      <c r="D424" t="s">
        <v>918</v>
      </c>
      <c r="E424" t="s">
        <v>352</v>
      </c>
    </row>
    <row r="425" spans="1:5" ht="48" x14ac:dyDescent="0.2">
      <c r="A425" s="269">
        <v>45874.797361111108</v>
      </c>
      <c r="B425" t="s">
        <v>757</v>
      </c>
      <c r="C425" t="s">
        <v>611</v>
      </c>
      <c r="D425" t="s">
        <v>919</v>
      </c>
      <c r="E425" s="6" t="s">
        <v>920</v>
      </c>
    </row>
    <row r="426" spans="1:5" ht="48" x14ac:dyDescent="0.2">
      <c r="A426" s="269">
        <v>45874.797488425924</v>
      </c>
      <c r="B426" t="s">
        <v>757</v>
      </c>
      <c r="C426" t="s">
        <v>611</v>
      </c>
      <c r="D426" t="s">
        <v>919</v>
      </c>
      <c r="E426" s="6" t="s">
        <v>921</v>
      </c>
    </row>
    <row r="427" spans="1:5" ht="48" x14ac:dyDescent="0.2">
      <c r="A427" s="269">
        <v>45874.79755787037</v>
      </c>
      <c r="B427" t="s">
        <v>757</v>
      </c>
      <c r="C427" t="s">
        <v>611</v>
      </c>
      <c r="D427" t="s">
        <v>919</v>
      </c>
      <c r="E427" s="6" t="s">
        <v>922</v>
      </c>
    </row>
    <row r="428" spans="1:5" ht="48" x14ac:dyDescent="0.2">
      <c r="A428" s="269">
        <v>45874.797997685186</v>
      </c>
      <c r="B428" t="s">
        <v>757</v>
      </c>
      <c r="C428" t="s">
        <v>611</v>
      </c>
      <c r="D428" t="s">
        <v>919</v>
      </c>
      <c r="E428" s="6" t="s">
        <v>91</v>
      </c>
    </row>
    <row r="429" spans="1:5" x14ac:dyDescent="0.2">
      <c r="A429" s="269">
        <v>45874.798611111109</v>
      </c>
      <c r="B429" t="s">
        <v>757</v>
      </c>
      <c r="C429" t="s">
        <v>15</v>
      </c>
      <c r="D429" t="s">
        <v>825</v>
      </c>
    </row>
    <row r="430" spans="1:5" x14ac:dyDescent="0.2">
      <c r="A430" s="269">
        <v>45874.798634259256</v>
      </c>
      <c r="B430" t="s">
        <v>757</v>
      </c>
      <c r="C430" t="s">
        <v>15</v>
      </c>
      <c r="D430" t="s">
        <v>825</v>
      </c>
    </row>
    <row r="431" spans="1:5" x14ac:dyDescent="0.2">
      <c r="A431" s="269">
        <v>45874.798888888887</v>
      </c>
      <c r="B431" t="s">
        <v>757</v>
      </c>
      <c r="C431" t="s">
        <v>15</v>
      </c>
      <c r="D431" t="s">
        <v>918</v>
      </c>
      <c r="E431" t="s">
        <v>352</v>
      </c>
    </row>
    <row r="432" spans="1:5" x14ac:dyDescent="0.2">
      <c r="A432" s="269">
        <v>45874.79896990741</v>
      </c>
      <c r="B432" t="s">
        <v>757</v>
      </c>
      <c r="C432" t="s">
        <v>15</v>
      </c>
      <c r="D432" t="s">
        <v>923</v>
      </c>
      <c r="E432" t="s">
        <v>188</v>
      </c>
    </row>
    <row r="433" spans="1:5" x14ac:dyDescent="0.2">
      <c r="A433" s="269">
        <v>45874.799004629633</v>
      </c>
      <c r="B433" t="s">
        <v>757</v>
      </c>
      <c r="C433" t="s">
        <v>15</v>
      </c>
      <c r="D433" t="s">
        <v>924</v>
      </c>
      <c r="E433" t="s">
        <v>86</v>
      </c>
    </row>
    <row r="434" spans="1:5" x14ac:dyDescent="0.2">
      <c r="A434" s="269">
        <v>45874.799293981479</v>
      </c>
      <c r="B434" t="s">
        <v>757</v>
      </c>
      <c r="C434" t="s">
        <v>15</v>
      </c>
      <c r="D434" t="s">
        <v>925</v>
      </c>
      <c r="E434">
        <v>2021</v>
      </c>
    </row>
    <row r="435" spans="1:5" x14ac:dyDescent="0.2">
      <c r="A435" s="269">
        <v>45874.800752314812</v>
      </c>
      <c r="B435" t="s">
        <v>757</v>
      </c>
      <c r="C435" t="s">
        <v>15</v>
      </c>
      <c r="D435" t="s">
        <v>926</v>
      </c>
      <c r="E435">
        <v>100</v>
      </c>
    </row>
    <row r="436" spans="1:5" x14ac:dyDescent="0.2">
      <c r="A436" s="269">
        <v>45874.803854166668</v>
      </c>
      <c r="B436" t="s">
        <v>757</v>
      </c>
      <c r="C436" t="s">
        <v>611</v>
      </c>
      <c r="D436" t="s">
        <v>927</v>
      </c>
      <c r="E436" t="s">
        <v>928</v>
      </c>
    </row>
    <row r="437" spans="1:5" x14ac:dyDescent="0.2">
      <c r="A437" s="269">
        <v>45874.803993055553</v>
      </c>
      <c r="B437" t="s">
        <v>757</v>
      </c>
      <c r="C437" t="s">
        <v>611</v>
      </c>
      <c r="D437" t="s">
        <v>927</v>
      </c>
      <c r="E437" t="s">
        <v>929</v>
      </c>
    </row>
    <row r="438" spans="1:5" x14ac:dyDescent="0.2">
      <c r="A438" s="269">
        <v>45874.807453703703</v>
      </c>
      <c r="B438" t="s">
        <v>757</v>
      </c>
      <c r="C438" t="s">
        <v>611</v>
      </c>
      <c r="D438" t="s">
        <v>930</v>
      </c>
      <c r="E438" t="s">
        <v>929</v>
      </c>
    </row>
    <row r="439" spans="1:5" x14ac:dyDescent="0.2">
      <c r="A439" s="269">
        <v>45874.807523148149</v>
      </c>
      <c r="B439" t="s">
        <v>757</v>
      </c>
      <c r="C439" t="s">
        <v>611</v>
      </c>
      <c r="D439" t="s">
        <v>931</v>
      </c>
      <c r="E439" t="s">
        <v>929</v>
      </c>
    </row>
    <row r="440" spans="1:5" x14ac:dyDescent="0.2">
      <c r="A440" s="269">
        <v>45874.807986111111</v>
      </c>
      <c r="B440" t="s">
        <v>757</v>
      </c>
      <c r="C440" t="s">
        <v>611</v>
      </c>
      <c r="D440" t="s">
        <v>932</v>
      </c>
      <c r="E440" t="s">
        <v>8</v>
      </c>
    </row>
    <row r="441" spans="1:5" x14ac:dyDescent="0.2">
      <c r="A441" s="269">
        <v>45874.808275462965</v>
      </c>
      <c r="B441" t="s">
        <v>757</v>
      </c>
      <c r="C441" t="s">
        <v>25</v>
      </c>
      <c r="D441" t="s">
        <v>933</v>
      </c>
    </row>
    <row r="442" spans="1:5" x14ac:dyDescent="0.2">
      <c r="A442" s="269">
        <v>45874.808761574073</v>
      </c>
      <c r="B442" t="s">
        <v>757</v>
      </c>
      <c r="C442" t="s">
        <v>25</v>
      </c>
      <c r="D442" t="s">
        <v>934</v>
      </c>
      <c r="E442">
        <v>1</v>
      </c>
    </row>
    <row r="443" spans="1:5" x14ac:dyDescent="0.2">
      <c r="A443" s="269">
        <v>45874.808831018519</v>
      </c>
      <c r="B443" t="s">
        <v>757</v>
      </c>
      <c r="C443" t="s">
        <v>25</v>
      </c>
      <c r="D443" t="s">
        <v>935</v>
      </c>
      <c r="E443">
        <v>1</v>
      </c>
    </row>
    <row r="444" spans="1:5" x14ac:dyDescent="0.2">
      <c r="A444" s="269">
        <v>45874.808958333335</v>
      </c>
      <c r="B444" t="s">
        <v>757</v>
      </c>
      <c r="C444" t="s">
        <v>25</v>
      </c>
      <c r="D444" t="s">
        <v>936</v>
      </c>
      <c r="E444" t="e">
        <v>#VALUE!</v>
      </c>
    </row>
    <row r="445" spans="1:5" x14ac:dyDescent="0.2">
      <c r="A445" s="269">
        <v>45874.80909722222</v>
      </c>
      <c r="B445" t="s">
        <v>757</v>
      </c>
      <c r="C445" t="s">
        <v>25</v>
      </c>
      <c r="D445" t="s">
        <v>934</v>
      </c>
      <c r="E445" t="s">
        <v>173</v>
      </c>
    </row>
    <row r="446" spans="1:5" x14ac:dyDescent="0.2">
      <c r="A446" s="269">
        <v>45874.80914351852</v>
      </c>
      <c r="B446" t="s">
        <v>757</v>
      </c>
      <c r="C446" t="s">
        <v>25</v>
      </c>
      <c r="D446" t="s">
        <v>934</v>
      </c>
      <c r="E446">
        <v>1</v>
      </c>
    </row>
    <row r="447" spans="1:5" x14ac:dyDescent="0.2">
      <c r="A447" s="269">
        <v>45874.809189814812</v>
      </c>
      <c r="B447" t="s">
        <v>757</v>
      </c>
      <c r="C447" t="s">
        <v>25</v>
      </c>
      <c r="D447" t="s">
        <v>936</v>
      </c>
      <c r="E447" t="e">
        <v>#VALUE!</v>
      </c>
    </row>
    <row r="448" spans="1:5" x14ac:dyDescent="0.2">
      <c r="A448" s="269">
        <v>45874.815891203703</v>
      </c>
      <c r="B448" t="s">
        <v>757</v>
      </c>
      <c r="C448" t="s">
        <v>15</v>
      </c>
      <c r="D448" t="s">
        <v>937</v>
      </c>
      <c r="E448" t="s">
        <v>92</v>
      </c>
    </row>
    <row r="449" spans="1:5" x14ac:dyDescent="0.2">
      <c r="A449" s="269">
        <v>45874.817499999997</v>
      </c>
      <c r="B449" t="s">
        <v>757</v>
      </c>
      <c r="C449" t="s">
        <v>611</v>
      </c>
      <c r="D449" t="s">
        <v>938</v>
      </c>
      <c r="E449" t="s">
        <v>939</v>
      </c>
    </row>
    <row r="450" spans="1:5" x14ac:dyDescent="0.2">
      <c r="A450" s="269">
        <v>45874.817546296297</v>
      </c>
      <c r="B450" t="s">
        <v>757</v>
      </c>
      <c r="C450" t="s">
        <v>611</v>
      </c>
      <c r="D450" t="s">
        <v>940</v>
      </c>
      <c r="E450" t="s">
        <v>939</v>
      </c>
    </row>
    <row r="451" spans="1:5" x14ac:dyDescent="0.2">
      <c r="A451" s="269">
        <v>45874.817627314813</v>
      </c>
      <c r="B451" t="s">
        <v>757</v>
      </c>
      <c r="C451" t="s">
        <v>611</v>
      </c>
      <c r="D451" t="s">
        <v>941</v>
      </c>
      <c r="E451" t="s">
        <v>939</v>
      </c>
    </row>
    <row r="452" spans="1:5" x14ac:dyDescent="0.2">
      <c r="A452" s="269">
        <v>45874.818206018521</v>
      </c>
      <c r="B452" t="s">
        <v>757</v>
      </c>
      <c r="C452" t="s">
        <v>25</v>
      </c>
      <c r="D452" t="s">
        <v>934</v>
      </c>
      <c r="E452">
        <v>1</v>
      </c>
    </row>
    <row r="453" spans="1:5" x14ac:dyDescent="0.2">
      <c r="A453" s="269">
        <v>45874.818252314813</v>
      </c>
      <c r="B453" t="s">
        <v>757</v>
      </c>
      <c r="C453" t="s">
        <v>25</v>
      </c>
      <c r="D453" t="s">
        <v>935</v>
      </c>
    </row>
    <row r="454" spans="1:5" x14ac:dyDescent="0.2">
      <c r="A454" s="269">
        <v>45874.818298611113</v>
      </c>
      <c r="B454" t="s">
        <v>757</v>
      </c>
      <c r="C454" t="s">
        <v>25</v>
      </c>
      <c r="D454" t="s">
        <v>936</v>
      </c>
      <c r="E454">
        <v>1</v>
      </c>
    </row>
    <row r="455" spans="1:5" x14ac:dyDescent="0.2">
      <c r="A455" s="269">
        <v>45874.818356481483</v>
      </c>
      <c r="B455" t="s">
        <v>757</v>
      </c>
      <c r="C455" t="s">
        <v>25</v>
      </c>
      <c r="D455" t="s">
        <v>936</v>
      </c>
      <c r="E455">
        <v>2</v>
      </c>
    </row>
    <row r="456" spans="1:5" x14ac:dyDescent="0.2">
      <c r="A456" s="269">
        <v>45874.818425925929</v>
      </c>
      <c r="B456" t="s">
        <v>757</v>
      </c>
      <c r="C456" t="s">
        <v>25</v>
      </c>
      <c r="D456" t="s">
        <v>942</v>
      </c>
      <c r="E456">
        <v>3</v>
      </c>
    </row>
    <row r="457" spans="1:5" x14ac:dyDescent="0.2">
      <c r="A457" s="269">
        <v>45874.818738425929</v>
      </c>
      <c r="B457" t="s">
        <v>757</v>
      </c>
      <c r="C457" t="s">
        <v>611</v>
      </c>
      <c r="D457" t="s">
        <v>943</v>
      </c>
    </row>
    <row r="458" spans="1:5" ht="128" x14ac:dyDescent="0.2">
      <c r="A458" s="269">
        <v>45874.8200462963</v>
      </c>
      <c r="B458" t="s">
        <v>757</v>
      </c>
      <c r="C458" t="s">
        <v>611</v>
      </c>
      <c r="D458" t="s">
        <v>944</v>
      </c>
      <c r="E458" s="6" t="s">
        <v>945</v>
      </c>
    </row>
    <row r="459" spans="1:5" ht="128" x14ac:dyDescent="0.2">
      <c r="A459" s="269">
        <v>45874.820081018515</v>
      </c>
      <c r="B459" t="s">
        <v>757</v>
      </c>
      <c r="C459" t="s">
        <v>611</v>
      </c>
      <c r="D459" t="s">
        <v>944</v>
      </c>
      <c r="E459" s="6" t="s">
        <v>945</v>
      </c>
    </row>
    <row r="460" spans="1:5" x14ac:dyDescent="0.2">
      <c r="A460" s="269">
        <v>45874.821504629632</v>
      </c>
      <c r="B460" t="s">
        <v>757</v>
      </c>
      <c r="C460" t="s">
        <v>103</v>
      </c>
      <c r="D460" t="s">
        <v>946</v>
      </c>
      <c r="E460" t="s">
        <v>939</v>
      </c>
    </row>
    <row r="461" spans="1:5" x14ac:dyDescent="0.2">
      <c r="A461" s="269">
        <v>45874.821608796294</v>
      </c>
      <c r="B461" t="s">
        <v>757</v>
      </c>
      <c r="C461" t="s">
        <v>26</v>
      </c>
      <c r="D461" t="s">
        <v>946</v>
      </c>
      <c r="E461" t="s">
        <v>939</v>
      </c>
    </row>
    <row r="462" spans="1:5" x14ac:dyDescent="0.2">
      <c r="A462" s="269">
        <v>45874.821851851855</v>
      </c>
      <c r="B462" t="s">
        <v>757</v>
      </c>
      <c r="C462" t="s">
        <v>28</v>
      </c>
      <c r="D462" t="s">
        <v>947</v>
      </c>
    </row>
    <row r="463" spans="1:5" x14ac:dyDescent="0.2">
      <c r="A463" s="269">
        <v>45874.821909722225</v>
      </c>
      <c r="B463" t="s">
        <v>757</v>
      </c>
      <c r="C463" t="s">
        <v>28</v>
      </c>
      <c r="D463" t="s">
        <v>948</v>
      </c>
    </row>
    <row r="464" spans="1:5" x14ac:dyDescent="0.2">
      <c r="A464" s="269">
        <v>45875.17046296296</v>
      </c>
      <c r="B464" t="s">
        <v>596</v>
      </c>
      <c r="C464" t="s">
        <v>597</v>
      </c>
      <c r="D464" t="s">
        <v>949</v>
      </c>
      <c r="E464" t="s">
        <v>39</v>
      </c>
    </row>
    <row r="465" spans="1:5" x14ac:dyDescent="0.2">
      <c r="A465" s="269">
        <v>45875.172152777777</v>
      </c>
      <c r="B465" t="s">
        <v>596</v>
      </c>
      <c r="C465" t="s">
        <v>15</v>
      </c>
      <c r="D465" t="s">
        <v>726</v>
      </c>
    </row>
    <row r="466" spans="1:5" x14ac:dyDescent="0.2">
      <c r="A466" s="269">
        <v>45875.172268518516</v>
      </c>
      <c r="B466" t="s">
        <v>596</v>
      </c>
      <c r="C466" t="s">
        <v>15</v>
      </c>
      <c r="D466" t="s">
        <v>950</v>
      </c>
      <c r="E466" t="s">
        <v>78</v>
      </c>
    </row>
    <row r="467" spans="1:5" x14ac:dyDescent="0.2">
      <c r="A467" s="269">
        <v>45875.172303240739</v>
      </c>
      <c r="B467" t="s">
        <v>596</v>
      </c>
      <c r="C467" t="s">
        <v>15</v>
      </c>
      <c r="D467" t="s">
        <v>951</v>
      </c>
      <c r="E467" t="s">
        <v>81</v>
      </c>
    </row>
    <row r="468" spans="1:5" x14ac:dyDescent="0.2">
      <c r="A468" s="269">
        <v>45875.172395833331</v>
      </c>
      <c r="B468" t="s">
        <v>596</v>
      </c>
      <c r="C468" t="s">
        <v>15</v>
      </c>
      <c r="D468" t="s">
        <v>848</v>
      </c>
    </row>
    <row r="469" spans="1:5" x14ac:dyDescent="0.2">
      <c r="A469" s="269">
        <v>45875.173125000001</v>
      </c>
      <c r="B469" t="s">
        <v>596</v>
      </c>
      <c r="C469" t="s">
        <v>15</v>
      </c>
      <c r="D469" t="s">
        <v>777</v>
      </c>
      <c r="E469" t="s">
        <v>952</v>
      </c>
    </row>
    <row r="470" spans="1:5" x14ac:dyDescent="0.2">
      <c r="A470" s="269">
        <v>45875.173993055556</v>
      </c>
      <c r="B470" t="s">
        <v>596</v>
      </c>
      <c r="C470" t="s">
        <v>15</v>
      </c>
      <c r="D470" t="s">
        <v>754</v>
      </c>
      <c r="E470">
        <v>0</v>
      </c>
    </row>
    <row r="471" spans="1:5" x14ac:dyDescent="0.2">
      <c r="A471" s="269">
        <v>45875.174317129633</v>
      </c>
      <c r="B471" t="s">
        <v>596</v>
      </c>
      <c r="C471" t="s">
        <v>15</v>
      </c>
      <c r="D471" t="s">
        <v>953</v>
      </c>
      <c r="E471">
        <v>1</v>
      </c>
    </row>
    <row r="472" spans="1:5" x14ac:dyDescent="0.2">
      <c r="A472" s="269">
        <v>45875.174317129633</v>
      </c>
      <c r="B472" t="s">
        <v>596</v>
      </c>
      <c r="C472" t="s">
        <v>15</v>
      </c>
      <c r="D472" t="s">
        <v>953</v>
      </c>
      <c r="E472">
        <v>1</v>
      </c>
    </row>
    <row r="473" spans="1:5" x14ac:dyDescent="0.2">
      <c r="A473" s="269">
        <v>45875.174317129633</v>
      </c>
      <c r="B473" t="s">
        <v>596</v>
      </c>
      <c r="C473" t="s">
        <v>15</v>
      </c>
      <c r="D473" t="s">
        <v>954</v>
      </c>
      <c r="E473">
        <v>1</v>
      </c>
    </row>
    <row r="474" spans="1:5" x14ac:dyDescent="0.2">
      <c r="A474" s="269">
        <v>45875.174317129633</v>
      </c>
      <c r="B474" t="s">
        <v>596</v>
      </c>
      <c r="C474" t="s">
        <v>15</v>
      </c>
      <c r="D474" t="s">
        <v>955</v>
      </c>
      <c r="E474">
        <v>2</v>
      </c>
    </row>
    <row r="475" spans="1:5" x14ac:dyDescent="0.2">
      <c r="A475" s="269">
        <v>45875.174317129633</v>
      </c>
      <c r="B475" t="s">
        <v>596</v>
      </c>
      <c r="C475" t="s">
        <v>15</v>
      </c>
      <c r="D475" t="s">
        <v>955</v>
      </c>
      <c r="E475">
        <v>2</v>
      </c>
    </row>
    <row r="476" spans="1:5" x14ac:dyDescent="0.2">
      <c r="A476" s="269">
        <v>45875.174675925926</v>
      </c>
      <c r="B476" t="s">
        <v>596</v>
      </c>
      <c r="C476" t="s">
        <v>15</v>
      </c>
      <c r="D476" t="s">
        <v>956</v>
      </c>
      <c r="E476" t="s">
        <v>957</v>
      </c>
    </row>
    <row r="477" spans="1:5" x14ac:dyDescent="0.2">
      <c r="A477" s="269">
        <v>45875.174687500003</v>
      </c>
      <c r="B477" t="s">
        <v>596</v>
      </c>
      <c r="C477" t="s">
        <v>15</v>
      </c>
      <c r="D477" t="s">
        <v>958</v>
      </c>
      <c r="E477" t="s">
        <v>959</v>
      </c>
    </row>
    <row r="478" spans="1:5" x14ac:dyDescent="0.2">
      <c r="A478" s="269">
        <v>45875.174687500003</v>
      </c>
      <c r="B478" t="s">
        <v>596</v>
      </c>
      <c r="C478" t="s">
        <v>15</v>
      </c>
      <c r="D478" t="s">
        <v>960</v>
      </c>
      <c r="E478" t="s">
        <v>961</v>
      </c>
    </row>
    <row r="479" spans="1:5" x14ac:dyDescent="0.2">
      <c r="A479" s="269">
        <v>45875.174687500003</v>
      </c>
      <c r="B479" t="s">
        <v>596</v>
      </c>
      <c r="C479" t="s">
        <v>15</v>
      </c>
      <c r="D479" t="s">
        <v>962</v>
      </c>
      <c r="E479" t="s">
        <v>963</v>
      </c>
    </row>
    <row r="480" spans="1:5" x14ac:dyDescent="0.2">
      <c r="A480" s="269">
        <v>45875.174687500003</v>
      </c>
      <c r="B480" t="s">
        <v>596</v>
      </c>
      <c r="C480" t="s">
        <v>15</v>
      </c>
      <c r="D480" t="s">
        <v>964</v>
      </c>
      <c r="E480" t="s">
        <v>965</v>
      </c>
    </row>
    <row r="481" spans="1:5" x14ac:dyDescent="0.2">
      <c r="A481" s="269">
        <v>45875.174745370372</v>
      </c>
      <c r="B481" t="s">
        <v>596</v>
      </c>
      <c r="C481" t="s">
        <v>15</v>
      </c>
      <c r="D481" t="s">
        <v>964</v>
      </c>
    </row>
    <row r="482" spans="1:5" x14ac:dyDescent="0.2">
      <c r="A482" s="269">
        <v>45875.174745370372</v>
      </c>
      <c r="B482" t="s">
        <v>596</v>
      </c>
      <c r="C482" t="s">
        <v>15</v>
      </c>
      <c r="D482" t="s">
        <v>962</v>
      </c>
    </row>
    <row r="483" spans="1:5" x14ac:dyDescent="0.2">
      <c r="A483" s="269">
        <v>45875.174745370372</v>
      </c>
      <c r="B483" t="s">
        <v>596</v>
      </c>
      <c r="C483" t="s">
        <v>15</v>
      </c>
      <c r="D483" t="s">
        <v>960</v>
      </c>
    </row>
    <row r="484" spans="1:5" x14ac:dyDescent="0.2">
      <c r="A484" s="269">
        <v>45875.174745370372</v>
      </c>
      <c r="B484" t="s">
        <v>596</v>
      </c>
      <c r="C484" t="s">
        <v>15</v>
      </c>
      <c r="D484" t="s">
        <v>958</v>
      </c>
    </row>
    <row r="485" spans="1:5" x14ac:dyDescent="0.2">
      <c r="A485" s="269">
        <v>45875.174745370372</v>
      </c>
      <c r="B485" t="s">
        <v>596</v>
      </c>
      <c r="C485" t="s">
        <v>15</v>
      </c>
      <c r="D485" t="s">
        <v>956</v>
      </c>
    </row>
    <row r="486" spans="1:5" x14ac:dyDescent="0.2">
      <c r="A486" s="269">
        <v>45875.174849537034</v>
      </c>
      <c r="B486" t="s">
        <v>596</v>
      </c>
      <c r="C486" t="s">
        <v>15</v>
      </c>
      <c r="D486" t="s">
        <v>956</v>
      </c>
      <c r="E486" t="s">
        <v>957</v>
      </c>
    </row>
    <row r="487" spans="1:5" x14ac:dyDescent="0.2">
      <c r="A487" s="269">
        <v>45875.174849537034</v>
      </c>
      <c r="B487" t="s">
        <v>596</v>
      </c>
      <c r="C487" t="s">
        <v>15</v>
      </c>
      <c r="D487" t="s">
        <v>958</v>
      </c>
      <c r="E487" t="s">
        <v>959</v>
      </c>
    </row>
    <row r="488" spans="1:5" x14ac:dyDescent="0.2">
      <c r="A488" s="269">
        <v>45875.174849537034</v>
      </c>
      <c r="B488" t="s">
        <v>596</v>
      </c>
      <c r="C488" t="s">
        <v>15</v>
      </c>
      <c r="D488" t="s">
        <v>960</v>
      </c>
      <c r="E488" t="s">
        <v>961</v>
      </c>
    </row>
    <row r="489" spans="1:5" x14ac:dyDescent="0.2">
      <c r="A489" s="269">
        <v>45875.174849537034</v>
      </c>
      <c r="B489" t="s">
        <v>596</v>
      </c>
      <c r="C489" t="s">
        <v>15</v>
      </c>
      <c r="D489" t="s">
        <v>962</v>
      </c>
      <c r="E489" t="s">
        <v>963</v>
      </c>
    </row>
    <row r="490" spans="1:5" x14ac:dyDescent="0.2">
      <c r="A490" s="269">
        <v>45875.174849537034</v>
      </c>
      <c r="B490" t="s">
        <v>596</v>
      </c>
      <c r="C490" t="s">
        <v>15</v>
      </c>
      <c r="D490" t="s">
        <v>964</v>
      </c>
      <c r="E490" t="s">
        <v>965</v>
      </c>
    </row>
    <row r="491" spans="1:5" x14ac:dyDescent="0.2">
      <c r="A491" s="269">
        <v>45875.175694444442</v>
      </c>
      <c r="B491" t="s">
        <v>596</v>
      </c>
      <c r="C491" t="s">
        <v>15</v>
      </c>
      <c r="D491" t="s">
        <v>964</v>
      </c>
    </row>
    <row r="492" spans="1:5" x14ac:dyDescent="0.2">
      <c r="A492" s="269">
        <v>45875.175694444442</v>
      </c>
      <c r="B492" t="s">
        <v>596</v>
      </c>
      <c r="C492" t="s">
        <v>15</v>
      </c>
      <c r="D492" t="s">
        <v>962</v>
      </c>
    </row>
    <row r="493" spans="1:5" x14ac:dyDescent="0.2">
      <c r="A493" s="269">
        <v>45875.175694444442</v>
      </c>
      <c r="B493" t="s">
        <v>596</v>
      </c>
      <c r="C493" t="s">
        <v>15</v>
      </c>
      <c r="D493" t="s">
        <v>960</v>
      </c>
    </row>
    <row r="494" spans="1:5" x14ac:dyDescent="0.2">
      <c r="A494" s="269">
        <v>45875.175694444442</v>
      </c>
      <c r="B494" t="s">
        <v>596</v>
      </c>
      <c r="C494" t="s">
        <v>15</v>
      </c>
      <c r="D494" t="s">
        <v>958</v>
      </c>
    </row>
    <row r="495" spans="1:5" x14ac:dyDescent="0.2">
      <c r="A495" s="269">
        <v>45875.175694444442</v>
      </c>
      <c r="B495" t="s">
        <v>596</v>
      </c>
      <c r="C495" t="s">
        <v>15</v>
      </c>
      <c r="D495" t="s">
        <v>956</v>
      </c>
    </row>
    <row r="496" spans="1:5" x14ac:dyDescent="0.2">
      <c r="A496" s="269">
        <v>45875.176111111112</v>
      </c>
      <c r="B496" t="s">
        <v>596</v>
      </c>
      <c r="C496" t="s">
        <v>15</v>
      </c>
      <c r="D496" t="s">
        <v>966</v>
      </c>
    </row>
    <row r="497" spans="1:5" x14ac:dyDescent="0.2">
      <c r="A497" s="269">
        <v>45875.176319444443</v>
      </c>
      <c r="B497" t="s">
        <v>596</v>
      </c>
      <c r="C497" t="s">
        <v>15</v>
      </c>
      <c r="D497" t="s">
        <v>966</v>
      </c>
    </row>
    <row r="498" spans="1:5" x14ac:dyDescent="0.2">
      <c r="A498" s="269">
        <v>45875.176550925928</v>
      </c>
      <c r="B498" t="s">
        <v>596</v>
      </c>
      <c r="C498" t="s">
        <v>15</v>
      </c>
      <c r="D498" t="s">
        <v>967</v>
      </c>
      <c r="E498">
        <v>0</v>
      </c>
    </row>
    <row r="499" spans="1:5" x14ac:dyDescent="0.2">
      <c r="A499" s="269">
        <v>45875.179756944446</v>
      </c>
      <c r="B499" t="s">
        <v>596</v>
      </c>
      <c r="C499" t="s">
        <v>15</v>
      </c>
      <c r="D499" t="s">
        <v>966</v>
      </c>
    </row>
    <row r="500" spans="1:5" x14ac:dyDescent="0.2">
      <c r="A500" s="269">
        <v>45875.184328703705</v>
      </c>
      <c r="B500" t="s">
        <v>596</v>
      </c>
      <c r="C500" t="s">
        <v>15</v>
      </c>
      <c r="D500" t="s">
        <v>968</v>
      </c>
    </row>
    <row r="501" spans="1:5" x14ac:dyDescent="0.2">
      <c r="A501" s="269">
        <v>45875.184374999997</v>
      </c>
      <c r="B501" t="s">
        <v>596</v>
      </c>
      <c r="C501" t="s">
        <v>15</v>
      </c>
      <c r="D501" t="s">
        <v>969</v>
      </c>
      <c r="E501" t="s">
        <v>43</v>
      </c>
    </row>
    <row r="502" spans="1:5" x14ac:dyDescent="0.2">
      <c r="A502" s="269">
        <v>45875.184942129628</v>
      </c>
      <c r="B502" t="s">
        <v>596</v>
      </c>
      <c r="C502" t="s">
        <v>15</v>
      </c>
      <c r="D502" t="s">
        <v>970</v>
      </c>
    </row>
    <row r="503" spans="1:5" x14ac:dyDescent="0.2">
      <c r="A503" s="269">
        <v>45875.185127314813</v>
      </c>
      <c r="B503" t="s">
        <v>596</v>
      </c>
      <c r="C503" t="s">
        <v>15</v>
      </c>
      <c r="D503" t="s">
        <v>971</v>
      </c>
    </row>
    <row r="504" spans="1:5" x14ac:dyDescent="0.2">
      <c r="A504" s="269">
        <v>45875.185185185182</v>
      </c>
      <c r="B504" t="s">
        <v>596</v>
      </c>
      <c r="C504" t="s">
        <v>15</v>
      </c>
      <c r="D504" t="s">
        <v>972</v>
      </c>
    </row>
    <row r="505" spans="1:5" x14ac:dyDescent="0.2">
      <c r="A505" s="269">
        <v>45875.190069444441</v>
      </c>
      <c r="B505" t="s">
        <v>596</v>
      </c>
      <c r="C505" t="s">
        <v>15</v>
      </c>
      <c r="D505" t="s">
        <v>960</v>
      </c>
      <c r="E505" t="s">
        <v>184</v>
      </c>
    </row>
    <row r="506" spans="1:5" x14ac:dyDescent="0.2">
      <c r="A506" s="269">
        <v>45875.190104166664</v>
      </c>
      <c r="B506" t="s">
        <v>596</v>
      </c>
      <c r="C506" t="s">
        <v>15</v>
      </c>
      <c r="D506" t="s">
        <v>962</v>
      </c>
      <c r="E506" t="s">
        <v>86</v>
      </c>
    </row>
    <row r="507" spans="1:5" x14ac:dyDescent="0.2">
      <c r="A507" s="269">
        <v>45875.190138888887</v>
      </c>
      <c r="B507" t="s">
        <v>596</v>
      </c>
      <c r="C507" t="s">
        <v>15</v>
      </c>
      <c r="D507" t="s">
        <v>956</v>
      </c>
      <c r="E507" t="s">
        <v>183</v>
      </c>
    </row>
    <row r="508" spans="1:5" x14ac:dyDescent="0.2">
      <c r="A508" s="269">
        <v>45875.190925925926</v>
      </c>
      <c r="B508" t="s">
        <v>596</v>
      </c>
      <c r="C508" t="s">
        <v>15</v>
      </c>
      <c r="D508" t="s">
        <v>973</v>
      </c>
      <c r="E508" t="s">
        <v>188</v>
      </c>
    </row>
    <row r="509" spans="1:5" x14ac:dyDescent="0.2">
      <c r="A509" s="269">
        <v>45875.191666666666</v>
      </c>
      <c r="B509" t="s">
        <v>596</v>
      </c>
      <c r="C509" t="s">
        <v>15</v>
      </c>
      <c r="D509" t="s">
        <v>973</v>
      </c>
      <c r="E509" t="s">
        <v>352</v>
      </c>
    </row>
    <row r="510" spans="1:5" x14ac:dyDescent="0.2">
      <c r="A510" s="269">
        <v>45875.191701388889</v>
      </c>
      <c r="B510" t="s">
        <v>596</v>
      </c>
      <c r="C510" t="s">
        <v>15</v>
      </c>
      <c r="D510" t="s">
        <v>973</v>
      </c>
      <c r="E510" t="s">
        <v>188</v>
      </c>
    </row>
    <row r="511" spans="1:5" x14ac:dyDescent="0.2">
      <c r="A511" s="269">
        <v>45875.192187499997</v>
      </c>
      <c r="B511" t="s">
        <v>596</v>
      </c>
      <c r="C511" t="s">
        <v>15</v>
      </c>
      <c r="D511" t="s">
        <v>973</v>
      </c>
      <c r="E511" t="s">
        <v>352</v>
      </c>
    </row>
    <row r="512" spans="1:5" x14ac:dyDescent="0.2">
      <c r="A512" s="269">
        <v>45875.196435185186</v>
      </c>
      <c r="B512" t="s">
        <v>596</v>
      </c>
      <c r="C512" t="s">
        <v>15</v>
      </c>
      <c r="D512" t="s">
        <v>974</v>
      </c>
    </row>
    <row r="513" spans="1:5" x14ac:dyDescent="0.2">
      <c r="A513" s="269">
        <v>45875.196585648147</v>
      </c>
      <c r="B513" t="s">
        <v>596</v>
      </c>
      <c r="C513" t="s">
        <v>15</v>
      </c>
      <c r="D513" t="s">
        <v>975</v>
      </c>
    </row>
    <row r="514" spans="1:5" x14ac:dyDescent="0.2">
      <c r="A514" s="269">
        <v>45875.197812500002</v>
      </c>
      <c r="B514" t="s">
        <v>596</v>
      </c>
      <c r="C514" t="s">
        <v>15</v>
      </c>
      <c r="D514" t="s">
        <v>973</v>
      </c>
      <c r="E514" t="s">
        <v>188</v>
      </c>
    </row>
    <row r="515" spans="1:5" x14ac:dyDescent="0.2">
      <c r="A515" s="269">
        <v>45875.19809027778</v>
      </c>
      <c r="B515" t="s">
        <v>596</v>
      </c>
      <c r="C515" t="s">
        <v>15</v>
      </c>
      <c r="D515" t="s">
        <v>973</v>
      </c>
      <c r="E515" t="s">
        <v>352</v>
      </c>
    </row>
    <row r="516" spans="1:5" x14ac:dyDescent="0.2">
      <c r="A516" s="269">
        <v>45875.198113425926</v>
      </c>
      <c r="B516" t="s">
        <v>596</v>
      </c>
      <c r="C516" t="s">
        <v>15</v>
      </c>
      <c r="D516" t="s">
        <v>973</v>
      </c>
      <c r="E516" t="s">
        <v>188</v>
      </c>
    </row>
    <row r="517" spans="1:5" x14ac:dyDescent="0.2">
      <c r="A517" s="269">
        <v>45875.199050925927</v>
      </c>
      <c r="B517" t="s">
        <v>596</v>
      </c>
      <c r="C517" t="s">
        <v>15</v>
      </c>
      <c r="D517" t="s">
        <v>973</v>
      </c>
      <c r="E517" t="s">
        <v>352</v>
      </c>
    </row>
    <row r="518" spans="1:5" x14ac:dyDescent="0.2">
      <c r="A518" s="269">
        <v>45875.199074074073</v>
      </c>
      <c r="B518" t="s">
        <v>596</v>
      </c>
      <c r="C518" t="s">
        <v>15</v>
      </c>
      <c r="D518" t="s">
        <v>973</v>
      </c>
      <c r="E518" t="s">
        <v>188</v>
      </c>
    </row>
    <row r="519" spans="1:5" x14ac:dyDescent="0.2">
      <c r="A519" s="269">
        <v>45875.199525462966</v>
      </c>
      <c r="B519" t="s">
        <v>596</v>
      </c>
      <c r="C519" t="s">
        <v>15</v>
      </c>
      <c r="D519" t="s">
        <v>976</v>
      </c>
      <c r="E519" t="s">
        <v>352</v>
      </c>
    </row>
    <row r="520" spans="1:5" x14ac:dyDescent="0.2">
      <c r="A520" s="269">
        <v>45875.199548611112</v>
      </c>
      <c r="B520" t="s">
        <v>596</v>
      </c>
      <c r="C520" t="s">
        <v>15</v>
      </c>
      <c r="D520" t="s">
        <v>976</v>
      </c>
      <c r="E520" t="s">
        <v>188</v>
      </c>
    </row>
    <row r="521" spans="1:5" x14ac:dyDescent="0.2">
      <c r="A521" s="269">
        <v>45875.199594907404</v>
      </c>
      <c r="B521" t="s">
        <v>596</v>
      </c>
      <c r="C521" t="s">
        <v>15</v>
      </c>
      <c r="D521" t="s">
        <v>973</v>
      </c>
    </row>
    <row r="522" spans="1:5" x14ac:dyDescent="0.2">
      <c r="A522" s="269">
        <v>45875.199618055558</v>
      </c>
      <c r="B522" t="s">
        <v>596</v>
      </c>
      <c r="C522" t="s">
        <v>15</v>
      </c>
      <c r="D522" t="s">
        <v>976</v>
      </c>
    </row>
    <row r="523" spans="1:5" x14ac:dyDescent="0.2">
      <c r="A523" s="269">
        <v>45875.201064814813</v>
      </c>
      <c r="B523" t="s">
        <v>596</v>
      </c>
      <c r="C523" t="s">
        <v>15</v>
      </c>
      <c r="D523" t="s">
        <v>973</v>
      </c>
      <c r="E523" t="s">
        <v>188</v>
      </c>
    </row>
    <row r="524" spans="1:5" x14ac:dyDescent="0.2">
      <c r="A524" s="269">
        <v>45875.201909722222</v>
      </c>
      <c r="B524" t="s">
        <v>596</v>
      </c>
      <c r="C524" t="s">
        <v>15</v>
      </c>
      <c r="D524" t="s">
        <v>973</v>
      </c>
      <c r="E524" t="s">
        <v>352</v>
      </c>
    </row>
    <row r="525" spans="1:5" x14ac:dyDescent="0.2">
      <c r="A525" s="269">
        <v>45875.202499999999</v>
      </c>
      <c r="B525" t="s">
        <v>596</v>
      </c>
      <c r="C525" t="s">
        <v>15</v>
      </c>
      <c r="D525" t="s">
        <v>977</v>
      </c>
      <c r="E525" t="s">
        <v>352</v>
      </c>
    </row>
    <row r="526" spans="1:5" x14ac:dyDescent="0.2">
      <c r="A526" s="269">
        <v>45875.202557870369</v>
      </c>
      <c r="B526" t="s">
        <v>596</v>
      </c>
      <c r="C526" t="s">
        <v>15</v>
      </c>
      <c r="D526" t="s">
        <v>977</v>
      </c>
    </row>
    <row r="527" spans="1:5" x14ac:dyDescent="0.2">
      <c r="A527" s="269">
        <v>45875.20275462963</v>
      </c>
      <c r="B527" t="s">
        <v>596</v>
      </c>
      <c r="C527" t="s">
        <v>15</v>
      </c>
      <c r="D527" t="s">
        <v>978</v>
      </c>
    </row>
    <row r="528" spans="1:5" x14ac:dyDescent="0.2">
      <c r="A528" s="269">
        <v>45875.202777777777</v>
      </c>
      <c r="B528" t="s">
        <v>596</v>
      </c>
      <c r="C528" t="s">
        <v>15</v>
      </c>
      <c r="D528" t="s">
        <v>979</v>
      </c>
    </row>
    <row r="529" spans="1:5" x14ac:dyDescent="0.2">
      <c r="A529" s="269">
        <v>45875.202777777777</v>
      </c>
      <c r="B529" t="s">
        <v>596</v>
      </c>
      <c r="C529" t="s">
        <v>15</v>
      </c>
      <c r="D529" t="s">
        <v>980</v>
      </c>
    </row>
    <row r="530" spans="1:5" x14ac:dyDescent="0.2">
      <c r="A530" s="269">
        <v>45875.203414351854</v>
      </c>
      <c r="B530" t="s">
        <v>596</v>
      </c>
      <c r="C530" t="s">
        <v>15</v>
      </c>
      <c r="D530" t="s">
        <v>973</v>
      </c>
      <c r="E530" t="s">
        <v>86</v>
      </c>
    </row>
    <row r="531" spans="1:5" x14ac:dyDescent="0.2">
      <c r="A531" s="269">
        <v>45875.203449074077</v>
      </c>
      <c r="B531" t="s">
        <v>596</v>
      </c>
      <c r="C531" t="s">
        <v>15</v>
      </c>
      <c r="D531" t="s">
        <v>981</v>
      </c>
      <c r="E531" t="s">
        <v>86</v>
      </c>
    </row>
    <row r="532" spans="1:5" x14ac:dyDescent="0.2">
      <c r="A532" s="269">
        <v>45875.20722222222</v>
      </c>
      <c r="B532" t="s">
        <v>596</v>
      </c>
      <c r="C532" t="s">
        <v>15</v>
      </c>
      <c r="D532" t="s">
        <v>982</v>
      </c>
    </row>
    <row r="533" spans="1:5" x14ac:dyDescent="0.2">
      <c r="A533" s="269">
        <v>45875.207731481481</v>
      </c>
      <c r="B533" t="s">
        <v>596</v>
      </c>
      <c r="C533" t="s">
        <v>103</v>
      </c>
      <c r="D533" t="s">
        <v>983</v>
      </c>
      <c r="E533" t="s">
        <v>45</v>
      </c>
    </row>
    <row r="534" spans="1:5" x14ac:dyDescent="0.2">
      <c r="A534" s="269">
        <v>45875.20826388889</v>
      </c>
      <c r="B534" t="s">
        <v>596</v>
      </c>
      <c r="C534" t="s">
        <v>15</v>
      </c>
      <c r="D534" t="s">
        <v>982</v>
      </c>
    </row>
    <row r="535" spans="1:5" x14ac:dyDescent="0.2">
      <c r="A535" s="269">
        <v>45875.208333333336</v>
      </c>
      <c r="B535" t="s">
        <v>596</v>
      </c>
      <c r="C535" t="s">
        <v>15</v>
      </c>
      <c r="D535" t="s">
        <v>978</v>
      </c>
      <c r="E535" t="s">
        <v>89</v>
      </c>
    </row>
    <row r="536" spans="1:5" x14ac:dyDescent="0.2">
      <c r="A536" s="269">
        <v>45875.208657407406</v>
      </c>
      <c r="B536" t="s">
        <v>596</v>
      </c>
      <c r="C536" t="s">
        <v>15</v>
      </c>
      <c r="D536" t="s">
        <v>984</v>
      </c>
      <c r="E536">
        <v>0</v>
      </c>
    </row>
    <row r="537" spans="1:5" x14ac:dyDescent="0.2">
      <c r="A537" s="269">
        <v>45875.208715277775</v>
      </c>
      <c r="B537" t="s">
        <v>596</v>
      </c>
      <c r="C537" t="s">
        <v>15</v>
      </c>
      <c r="D537" t="s">
        <v>985</v>
      </c>
      <c r="E537" t="s">
        <v>45</v>
      </c>
    </row>
    <row r="538" spans="1:5" x14ac:dyDescent="0.2">
      <c r="A538" s="269">
        <v>45875.208784722221</v>
      </c>
      <c r="B538" t="s">
        <v>596</v>
      </c>
      <c r="C538" t="s">
        <v>15</v>
      </c>
      <c r="D538" t="s">
        <v>986</v>
      </c>
      <c r="E538" t="s">
        <v>362</v>
      </c>
    </row>
    <row r="539" spans="1:5" x14ac:dyDescent="0.2">
      <c r="A539" s="269">
        <v>45875.208819444444</v>
      </c>
      <c r="B539" t="s">
        <v>596</v>
      </c>
      <c r="C539" t="s">
        <v>15</v>
      </c>
      <c r="D539" t="s">
        <v>986</v>
      </c>
      <c r="E539" t="s">
        <v>41</v>
      </c>
    </row>
    <row r="540" spans="1:5" x14ac:dyDescent="0.2">
      <c r="A540" s="269">
        <v>45875.209849537037</v>
      </c>
      <c r="B540" t="s">
        <v>596</v>
      </c>
      <c r="C540" t="s">
        <v>15</v>
      </c>
      <c r="D540" t="s">
        <v>987</v>
      </c>
    </row>
    <row r="541" spans="1:5" x14ac:dyDescent="0.2">
      <c r="A541" s="269">
        <v>45875.209849537037</v>
      </c>
      <c r="B541" t="s">
        <v>596</v>
      </c>
      <c r="C541" t="s">
        <v>15</v>
      </c>
      <c r="D541" t="s">
        <v>987</v>
      </c>
      <c r="E541">
        <v>0</v>
      </c>
    </row>
    <row r="542" spans="1:5" x14ac:dyDescent="0.2">
      <c r="A542" s="269">
        <v>45875.210034722222</v>
      </c>
      <c r="B542" t="s">
        <v>596</v>
      </c>
      <c r="C542" t="s">
        <v>103</v>
      </c>
      <c r="D542" t="s">
        <v>988</v>
      </c>
      <c r="E542">
        <v>3000</v>
      </c>
    </row>
    <row r="543" spans="1:5" x14ac:dyDescent="0.2">
      <c r="A543" s="269">
        <v>45875.210798611108</v>
      </c>
      <c r="B543" t="s">
        <v>596</v>
      </c>
      <c r="C543" t="s">
        <v>15</v>
      </c>
      <c r="D543" t="s">
        <v>987</v>
      </c>
      <c r="E543" t="e">
        <v>#VALUE!</v>
      </c>
    </row>
    <row r="544" spans="1:5" x14ac:dyDescent="0.2">
      <c r="A544" s="269">
        <v>45875.2108912037</v>
      </c>
      <c r="B544" t="s">
        <v>596</v>
      </c>
      <c r="C544" t="s">
        <v>15</v>
      </c>
      <c r="D544" t="s">
        <v>987</v>
      </c>
      <c r="E544" t="e">
        <v>#VALUE!</v>
      </c>
    </row>
    <row r="545" spans="1:5" x14ac:dyDescent="0.2">
      <c r="A545" s="269">
        <v>45875.210914351854</v>
      </c>
      <c r="B545" t="s">
        <v>596</v>
      </c>
      <c r="C545" t="s">
        <v>15</v>
      </c>
      <c r="D545" t="s">
        <v>987</v>
      </c>
    </row>
    <row r="546" spans="1:5" x14ac:dyDescent="0.2">
      <c r="A546" s="269">
        <v>45875.211793981478</v>
      </c>
      <c r="B546" t="s">
        <v>596</v>
      </c>
      <c r="C546" t="s">
        <v>28</v>
      </c>
      <c r="D546" t="s">
        <v>987</v>
      </c>
      <c r="E546">
        <v>0</v>
      </c>
    </row>
    <row r="547" spans="1:5" x14ac:dyDescent="0.2">
      <c r="A547" s="269">
        <v>45875.212766203702</v>
      </c>
      <c r="B547" t="s">
        <v>596</v>
      </c>
      <c r="C547" t="s">
        <v>15</v>
      </c>
      <c r="D547" t="s">
        <v>987</v>
      </c>
      <c r="E547">
        <v>0</v>
      </c>
    </row>
    <row r="548" spans="1:5" x14ac:dyDescent="0.2">
      <c r="A548" s="269">
        <v>45875.212835648148</v>
      </c>
      <c r="B548" t="s">
        <v>596</v>
      </c>
      <c r="C548" t="s">
        <v>15</v>
      </c>
      <c r="D548" t="s">
        <v>989</v>
      </c>
      <c r="E548" t="s">
        <v>183</v>
      </c>
    </row>
    <row r="549" spans="1:5" x14ac:dyDescent="0.2">
      <c r="A549" s="269">
        <v>45875.212858796294</v>
      </c>
      <c r="B549" t="s">
        <v>596</v>
      </c>
      <c r="C549" t="s">
        <v>15</v>
      </c>
      <c r="D549" t="s">
        <v>990</v>
      </c>
      <c r="E549" t="s">
        <v>991</v>
      </c>
    </row>
    <row r="550" spans="1:5" x14ac:dyDescent="0.2">
      <c r="A550" s="269">
        <v>45875.212951388887</v>
      </c>
      <c r="B550" t="s">
        <v>596</v>
      </c>
      <c r="C550" t="s">
        <v>15</v>
      </c>
      <c r="D550" t="s">
        <v>990</v>
      </c>
      <c r="E550" t="s">
        <v>184</v>
      </c>
    </row>
    <row r="551" spans="1:5" x14ac:dyDescent="0.2">
      <c r="A551" s="269">
        <v>45875.21297453704</v>
      </c>
      <c r="B551" t="s">
        <v>596</v>
      </c>
      <c r="C551" t="s">
        <v>15</v>
      </c>
      <c r="D551" t="s">
        <v>992</v>
      </c>
      <c r="E551" t="s">
        <v>86</v>
      </c>
    </row>
    <row r="552" spans="1:5" x14ac:dyDescent="0.2">
      <c r="A552" s="269">
        <v>45875.213043981479</v>
      </c>
      <c r="B552" t="s">
        <v>596</v>
      </c>
      <c r="C552" t="s">
        <v>15</v>
      </c>
      <c r="D552" t="s">
        <v>976</v>
      </c>
      <c r="E552" t="s">
        <v>188</v>
      </c>
    </row>
    <row r="553" spans="1:5" x14ac:dyDescent="0.2">
      <c r="A553" s="269">
        <v>45875.213159722225</v>
      </c>
      <c r="B553" t="s">
        <v>596</v>
      </c>
      <c r="C553" t="s">
        <v>15</v>
      </c>
      <c r="D553" t="s">
        <v>989</v>
      </c>
      <c r="E553" t="s">
        <v>993</v>
      </c>
    </row>
    <row r="554" spans="1:5" x14ac:dyDescent="0.2">
      <c r="A554" s="269">
        <v>45875.213217592594</v>
      </c>
      <c r="B554" t="s">
        <v>596</v>
      </c>
      <c r="C554" t="s">
        <v>15</v>
      </c>
      <c r="D554" t="s">
        <v>989</v>
      </c>
      <c r="E554" t="s">
        <v>188</v>
      </c>
    </row>
    <row r="555" spans="1:5" x14ac:dyDescent="0.2">
      <c r="A555" s="269">
        <v>45875.213287037041</v>
      </c>
      <c r="B555" t="s">
        <v>596</v>
      </c>
      <c r="C555" t="s">
        <v>15</v>
      </c>
      <c r="D555" t="s">
        <v>994</v>
      </c>
      <c r="E555" t="s">
        <v>380</v>
      </c>
    </row>
    <row r="556" spans="1:5" x14ac:dyDescent="0.2">
      <c r="A556" s="269">
        <v>45875.213310185187</v>
      </c>
      <c r="B556" t="s">
        <v>596</v>
      </c>
      <c r="C556" t="s">
        <v>15</v>
      </c>
      <c r="D556" t="s">
        <v>995</v>
      </c>
      <c r="E556">
        <v>5</v>
      </c>
    </row>
    <row r="557" spans="1:5" x14ac:dyDescent="0.2">
      <c r="A557" s="269">
        <v>45875.213472222225</v>
      </c>
      <c r="B557" t="s">
        <v>596</v>
      </c>
      <c r="C557" t="s">
        <v>15</v>
      </c>
      <c r="D557" t="s">
        <v>996</v>
      </c>
      <c r="E557" t="s">
        <v>89</v>
      </c>
    </row>
    <row r="558" spans="1:5" x14ac:dyDescent="0.2">
      <c r="A558" s="269">
        <v>45875.213680555556</v>
      </c>
      <c r="B558" t="s">
        <v>596</v>
      </c>
      <c r="C558" t="s">
        <v>15</v>
      </c>
      <c r="D558" t="s">
        <v>997</v>
      </c>
      <c r="E558">
        <v>0</v>
      </c>
    </row>
    <row r="559" spans="1:5" x14ac:dyDescent="0.2">
      <c r="A559" s="269">
        <v>45875.213819444441</v>
      </c>
      <c r="B559" t="s">
        <v>596</v>
      </c>
      <c r="C559" t="s">
        <v>15</v>
      </c>
      <c r="D559" t="s">
        <v>998</v>
      </c>
      <c r="E559">
        <v>0</v>
      </c>
    </row>
    <row r="560" spans="1:5" x14ac:dyDescent="0.2">
      <c r="A560" s="269">
        <v>45875.213865740741</v>
      </c>
      <c r="B560" t="s">
        <v>596</v>
      </c>
      <c r="C560" t="s">
        <v>15</v>
      </c>
      <c r="D560" t="s">
        <v>999</v>
      </c>
      <c r="E560">
        <v>5</v>
      </c>
    </row>
    <row r="561" spans="1:5" x14ac:dyDescent="0.2">
      <c r="A561" s="269">
        <v>45875.213958333334</v>
      </c>
      <c r="B561" t="s">
        <v>596</v>
      </c>
      <c r="C561" t="s">
        <v>15</v>
      </c>
      <c r="D561" t="s">
        <v>988</v>
      </c>
      <c r="E561">
        <v>0</v>
      </c>
    </row>
    <row r="562" spans="1:5" x14ac:dyDescent="0.2">
      <c r="A562" s="269">
        <v>45875.214560185188</v>
      </c>
      <c r="B562" t="s">
        <v>596</v>
      </c>
      <c r="C562" t="s">
        <v>15</v>
      </c>
      <c r="D562" t="s">
        <v>987</v>
      </c>
      <c r="E562">
        <v>5</v>
      </c>
    </row>
    <row r="563" spans="1:5" x14ac:dyDescent="0.2">
      <c r="A563" s="269">
        <v>45875.214583333334</v>
      </c>
      <c r="B563" t="s">
        <v>596</v>
      </c>
      <c r="C563" t="s">
        <v>15</v>
      </c>
      <c r="D563" t="s">
        <v>999</v>
      </c>
      <c r="E563">
        <v>5</v>
      </c>
    </row>
    <row r="564" spans="1:5" x14ac:dyDescent="0.2">
      <c r="A564" s="269">
        <v>45875.21465277778</v>
      </c>
      <c r="B564" t="s">
        <v>596</v>
      </c>
      <c r="C564" t="s">
        <v>15</v>
      </c>
      <c r="D564" t="s">
        <v>988</v>
      </c>
      <c r="E564">
        <v>0</v>
      </c>
    </row>
    <row r="565" spans="1:5" x14ac:dyDescent="0.2">
      <c r="A565" s="269">
        <v>45875.214814814812</v>
      </c>
      <c r="B565" t="s">
        <v>596</v>
      </c>
      <c r="C565" t="s">
        <v>15</v>
      </c>
      <c r="D565" t="s">
        <v>998</v>
      </c>
      <c r="E565">
        <v>0</v>
      </c>
    </row>
    <row r="566" spans="1:5" x14ac:dyDescent="0.2">
      <c r="A566" s="269">
        <v>45875.215127314812</v>
      </c>
      <c r="B566" t="s">
        <v>596</v>
      </c>
      <c r="C566" t="s">
        <v>15</v>
      </c>
      <c r="D566" t="s">
        <v>998</v>
      </c>
      <c r="E566">
        <v>0</v>
      </c>
    </row>
    <row r="567" spans="1:5" x14ac:dyDescent="0.2">
      <c r="A567" s="269">
        <v>45875.215243055558</v>
      </c>
      <c r="B567" t="s">
        <v>596</v>
      </c>
      <c r="C567" t="s">
        <v>15</v>
      </c>
      <c r="D567" t="s">
        <v>998</v>
      </c>
      <c r="E567">
        <v>0</v>
      </c>
    </row>
    <row r="568" spans="1:5" x14ac:dyDescent="0.2">
      <c r="A568" s="269">
        <v>45875.215312499997</v>
      </c>
      <c r="B568" t="s">
        <v>596</v>
      </c>
      <c r="C568" t="s">
        <v>15</v>
      </c>
      <c r="D568" t="s">
        <v>1000</v>
      </c>
      <c r="E568">
        <v>5</v>
      </c>
    </row>
    <row r="569" spans="1:5" x14ac:dyDescent="0.2">
      <c r="A569" s="269">
        <v>45875.215439814812</v>
      </c>
      <c r="B569" t="s">
        <v>596</v>
      </c>
      <c r="C569" t="s">
        <v>15</v>
      </c>
      <c r="D569" t="s">
        <v>998</v>
      </c>
      <c r="E569">
        <v>0</v>
      </c>
    </row>
    <row r="570" spans="1:5" x14ac:dyDescent="0.2">
      <c r="A570" s="269">
        <v>45875.215462962966</v>
      </c>
      <c r="B570" t="s">
        <v>596</v>
      </c>
      <c r="C570" t="s">
        <v>15</v>
      </c>
      <c r="D570" t="s">
        <v>1001</v>
      </c>
      <c r="E570">
        <v>0</v>
      </c>
    </row>
    <row r="571" spans="1:5" x14ac:dyDescent="0.2">
      <c r="A571" s="269">
        <v>45875.215509259258</v>
      </c>
      <c r="B571" t="s">
        <v>596</v>
      </c>
      <c r="C571" t="s">
        <v>15</v>
      </c>
      <c r="D571" t="s">
        <v>997</v>
      </c>
      <c r="E571">
        <v>0</v>
      </c>
    </row>
    <row r="572" spans="1:5" x14ac:dyDescent="0.2">
      <c r="A572" s="269">
        <v>45875.215578703705</v>
      </c>
      <c r="B572" t="s">
        <v>596</v>
      </c>
      <c r="C572" t="s">
        <v>15</v>
      </c>
      <c r="D572" t="s">
        <v>1002</v>
      </c>
      <c r="E572">
        <v>0</v>
      </c>
    </row>
    <row r="573" spans="1:5" x14ac:dyDescent="0.2">
      <c r="A573" s="269">
        <v>45875.215648148151</v>
      </c>
      <c r="B573" t="s">
        <v>596</v>
      </c>
      <c r="C573" t="s">
        <v>15</v>
      </c>
      <c r="D573" t="s">
        <v>1003</v>
      </c>
      <c r="E573" t="e">
        <v>#REF!</v>
      </c>
    </row>
    <row r="574" spans="1:5" x14ac:dyDescent="0.2">
      <c r="A574" s="269">
        <v>45875.215694444443</v>
      </c>
      <c r="B574" t="s">
        <v>596</v>
      </c>
      <c r="C574" t="s">
        <v>15</v>
      </c>
      <c r="D574" t="s">
        <v>1004</v>
      </c>
      <c r="E574">
        <v>0</v>
      </c>
    </row>
    <row r="575" spans="1:5" x14ac:dyDescent="0.2">
      <c r="A575" s="269">
        <v>45875.21570601852</v>
      </c>
      <c r="B575" t="s">
        <v>596</v>
      </c>
      <c r="C575" t="s">
        <v>15</v>
      </c>
      <c r="D575" t="s">
        <v>1005</v>
      </c>
      <c r="E575">
        <v>0</v>
      </c>
    </row>
    <row r="576" spans="1:5" x14ac:dyDescent="0.2">
      <c r="A576" s="269">
        <v>45875.215752314813</v>
      </c>
      <c r="B576" t="s">
        <v>596</v>
      </c>
      <c r="C576" t="s">
        <v>15</v>
      </c>
      <c r="D576" t="s">
        <v>1002</v>
      </c>
      <c r="E576">
        <v>0</v>
      </c>
    </row>
    <row r="577" spans="1:5" x14ac:dyDescent="0.2">
      <c r="A577" s="269">
        <v>45875.215775462966</v>
      </c>
      <c r="B577" t="s">
        <v>596</v>
      </c>
      <c r="C577" t="s">
        <v>15</v>
      </c>
      <c r="D577" t="s">
        <v>1006</v>
      </c>
      <c r="E577">
        <v>0</v>
      </c>
    </row>
    <row r="578" spans="1:5" x14ac:dyDescent="0.2">
      <c r="A578" s="269">
        <v>45875.215798611112</v>
      </c>
      <c r="B578" t="s">
        <v>596</v>
      </c>
      <c r="C578" t="s">
        <v>15</v>
      </c>
      <c r="D578" t="s">
        <v>1007</v>
      </c>
      <c r="E578">
        <v>0</v>
      </c>
    </row>
    <row r="579" spans="1:5" x14ac:dyDescent="0.2">
      <c r="A579" s="269">
        <v>45875.215844907405</v>
      </c>
      <c r="B579" t="s">
        <v>596</v>
      </c>
      <c r="C579" t="s">
        <v>15</v>
      </c>
      <c r="D579" t="s">
        <v>1002</v>
      </c>
      <c r="E579">
        <v>0</v>
      </c>
    </row>
    <row r="580" spans="1:5" x14ac:dyDescent="0.2">
      <c r="A580" s="269">
        <v>45875.215879629628</v>
      </c>
      <c r="B580" t="s">
        <v>596</v>
      </c>
      <c r="C580" t="s">
        <v>15</v>
      </c>
      <c r="D580" t="s">
        <v>1003</v>
      </c>
      <c r="E580">
        <v>0</v>
      </c>
    </row>
    <row r="581" spans="1:5" x14ac:dyDescent="0.2">
      <c r="A581" s="269">
        <v>45875.215937499997</v>
      </c>
      <c r="B581" t="s">
        <v>596</v>
      </c>
      <c r="C581" t="s">
        <v>15</v>
      </c>
      <c r="D581" t="s">
        <v>1008</v>
      </c>
      <c r="E581">
        <v>0</v>
      </c>
    </row>
    <row r="582" spans="1:5" x14ac:dyDescent="0.2">
      <c r="A582" s="269">
        <v>45875.215960648151</v>
      </c>
      <c r="B582" t="s">
        <v>596</v>
      </c>
      <c r="C582" t="s">
        <v>15</v>
      </c>
      <c r="D582" t="s">
        <v>1007</v>
      </c>
      <c r="E582">
        <v>0</v>
      </c>
    </row>
    <row r="583" spans="1:5" x14ac:dyDescent="0.2">
      <c r="A583" s="269">
        <v>45875.215983796297</v>
      </c>
      <c r="B583" t="s">
        <v>596</v>
      </c>
      <c r="C583" t="s">
        <v>15</v>
      </c>
      <c r="D583" t="s">
        <v>1009</v>
      </c>
      <c r="E583">
        <v>0</v>
      </c>
    </row>
    <row r="584" spans="1:5" x14ac:dyDescent="0.2">
      <c r="A584" s="269">
        <v>45875.21603009259</v>
      </c>
      <c r="B584" t="s">
        <v>596</v>
      </c>
      <c r="C584" t="s">
        <v>15</v>
      </c>
      <c r="D584" t="s">
        <v>1010</v>
      </c>
      <c r="E584">
        <v>2</v>
      </c>
    </row>
    <row r="585" spans="1:5" x14ac:dyDescent="0.2">
      <c r="A585" s="269">
        <v>45875.21607638889</v>
      </c>
      <c r="B585" t="s">
        <v>596</v>
      </c>
      <c r="C585" t="s">
        <v>15</v>
      </c>
      <c r="D585" t="s">
        <v>978</v>
      </c>
      <c r="E585" t="s">
        <v>386</v>
      </c>
    </row>
    <row r="586" spans="1:5" x14ac:dyDescent="0.2">
      <c r="A586" s="269">
        <v>45875.216446759259</v>
      </c>
      <c r="B586" t="s">
        <v>596</v>
      </c>
      <c r="C586" t="s">
        <v>15</v>
      </c>
      <c r="D586" t="s">
        <v>998</v>
      </c>
      <c r="E586">
        <v>0</v>
      </c>
    </row>
    <row r="587" spans="1:5" x14ac:dyDescent="0.2">
      <c r="A587" s="269">
        <v>45875.216550925928</v>
      </c>
      <c r="B587" t="s">
        <v>596</v>
      </c>
      <c r="C587" t="s">
        <v>15</v>
      </c>
      <c r="D587" t="s">
        <v>1005</v>
      </c>
      <c r="E587">
        <v>0</v>
      </c>
    </row>
    <row r="588" spans="1:5" x14ac:dyDescent="0.2">
      <c r="A588" s="269">
        <v>45875.216597222221</v>
      </c>
      <c r="B588" t="s">
        <v>596</v>
      </c>
      <c r="C588" t="s">
        <v>15</v>
      </c>
      <c r="D588" t="s">
        <v>998</v>
      </c>
      <c r="E588">
        <v>0</v>
      </c>
    </row>
    <row r="589" spans="1:5" x14ac:dyDescent="0.2">
      <c r="A589" s="269">
        <v>45875.216666666667</v>
      </c>
      <c r="B589" t="s">
        <v>596</v>
      </c>
      <c r="C589" t="s">
        <v>15</v>
      </c>
      <c r="D589" t="s">
        <v>1005</v>
      </c>
      <c r="E589">
        <v>0</v>
      </c>
    </row>
    <row r="590" spans="1:5" x14ac:dyDescent="0.2">
      <c r="A590" s="269">
        <v>45875.216770833336</v>
      </c>
      <c r="B590" t="s">
        <v>596</v>
      </c>
      <c r="C590" t="s">
        <v>15</v>
      </c>
      <c r="D590" t="s">
        <v>1005</v>
      </c>
      <c r="E590">
        <v>0</v>
      </c>
    </row>
    <row r="591" spans="1:5" x14ac:dyDescent="0.2">
      <c r="A591" s="269">
        <v>45875.216805555552</v>
      </c>
      <c r="B591" t="s">
        <v>596</v>
      </c>
      <c r="C591" t="s">
        <v>15</v>
      </c>
      <c r="D591" t="s">
        <v>998</v>
      </c>
      <c r="E591">
        <v>0</v>
      </c>
    </row>
    <row r="592" spans="1:5" x14ac:dyDescent="0.2">
      <c r="A592" s="269">
        <v>45875.217013888891</v>
      </c>
      <c r="B592" t="s">
        <v>596</v>
      </c>
      <c r="C592" t="s">
        <v>15</v>
      </c>
      <c r="D592" t="s">
        <v>1004</v>
      </c>
      <c r="E592">
        <v>0</v>
      </c>
    </row>
    <row r="593" spans="1:5" x14ac:dyDescent="0.2">
      <c r="A593" s="269">
        <v>45875.217083333337</v>
      </c>
      <c r="B593" t="s">
        <v>596</v>
      </c>
      <c r="C593" t="s">
        <v>15</v>
      </c>
      <c r="D593" t="s">
        <v>1005</v>
      </c>
      <c r="E593">
        <v>0</v>
      </c>
    </row>
    <row r="594" spans="1:5" x14ac:dyDescent="0.2">
      <c r="A594" s="269">
        <v>45875.217280092591</v>
      </c>
      <c r="B594" t="s">
        <v>596</v>
      </c>
      <c r="C594" t="s">
        <v>15</v>
      </c>
      <c r="D594" t="s">
        <v>988</v>
      </c>
      <c r="E594">
        <v>0</v>
      </c>
    </row>
    <row r="595" spans="1:5" x14ac:dyDescent="0.2">
      <c r="A595" s="269">
        <v>45875.217361111114</v>
      </c>
      <c r="B595" t="s">
        <v>596</v>
      </c>
      <c r="C595" t="s">
        <v>15</v>
      </c>
      <c r="D595" t="s">
        <v>987</v>
      </c>
      <c r="E595">
        <v>5</v>
      </c>
    </row>
    <row r="596" spans="1:5" x14ac:dyDescent="0.2">
      <c r="A596" s="269">
        <v>45875.217395833337</v>
      </c>
      <c r="B596" t="s">
        <v>596</v>
      </c>
      <c r="C596" t="s">
        <v>15</v>
      </c>
      <c r="D596" t="s">
        <v>999</v>
      </c>
      <c r="E596">
        <v>5</v>
      </c>
    </row>
    <row r="597" spans="1:5" x14ac:dyDescent="0.2">
      <c r="A597" s="269">
        <v>45875.217418981483</v>
      </c>
      <c r="B597" t="s">
        <v>596</v>
      </c>
      <c r="C597" t="s">
        <v>15</v>
      </c>
      <c r="D597" t="s">
        <v>987</v>
      </c>
      <c r="E597">
        <v>5</v>
      </c>
    </row>
    <row r="598" spans="1:5" x14ac:dyDescent="0.2">
      <c r="A598" s="269">
        <v>45875.217453703706</v>
      </c>
      <c r="B598" t="s">
        <v>596</v>
      </c>
      <c r="C598" t="s">
        <v>15</v>
      </c>
      <c r="D598" t="s">
        <v>988</v>
      </c>
      <c r="E598">
        <v>0</v>
      </c>
    </row>
    <row r="599" spans="1:5" x14ac:dyDescent="0.2">
      <c r="A599" s="269">
        <v>45875.217488425929</v>
      </c>
      <c r="B599" t="s">
        <v>596</v>
      </c>
      <c r="C599" t="s">
        <v>15</v>
      </c>
      <c r="D599" t="s">
        <v>1011</v>
      </c>
      <c r="E599">
        <v>0</v>
      </c>
    </row>
    <row r="600" spans="1:5" x14ac:dyDescent="0.2">
      <c r="A600" s="269">
        <v>45875.217569444445</v>
      </c>
      <c r="B600" t="s">
        <v>596</v>
      </c>
      <c r="C600" t="s">
        <v>15</v>
      </c>
      <c r="D600" t="s">
        <v>998</v>
      </c>
      <c r="E600">
        <v>0</v>
      </c>
    </row>
    <row r="601" spans="1:5" x14ac:dyDescent="0.2">
      <c r="A601" s="269">
        <v>45875.217604166668</v>
      </c>
      <c r="B601" t="s">
        <v>596</v>
      </c>
      <c r="C601" t="s">
        <v>15</v>
      </c>
      <c r="D601" t="s">
        <v>1004</v>
      </c>
      <c r="E601">
        <v>0</v>
      </c>
    </row>
    <row r="602" spans="1:5" x14ac:dyDescent="0.2">
      <c r="A602" s="269">
        <v>45875.217650462961</v>
      </c>
      <c r="B602" t="s">
        <v>596</v>
      </c>
      <c r="C602" t="s">
        <v>15</v>
      </c>
      <c r="D602" t="s">
        <v>1005</v>
      </c>
      <c r="E602">
        <v>0</v>
      </c>
    </row>
    <row r="603" spans="1:5" x14ac:dyDescent="0.2">
      <c r="A603" s="269">
        <v>45875.217766203707</v>
      </c>
      <c r="B603" t="s">
        <v>596</v>
      </c>
      <c r="C603" t="s">
        <v>15</v>
      </c>
      <c r="D603" t="s">
        <v>1005</v>
      </c>
      <c r="E603">
        <v>0</v>
      </c>
    </row>
    <row r="604" spans="1:5" x14ac:dyDescent="0.2">
      <c r="A604" s="269">
        <v>45875.217939814815</v>
      </c>
      <c r="B604" t="s">
        <v>596</v>
      </c>
      <c r="C604" t="s">
        <v>15</v>
      </c>
      <c r="D604" t="s">
        <v>987</v>
      </c>
      <c r="E604">
        <v>5</v>
      </c>
    </row>
    <row r="605" spans="1:5" x14ac:dyDescent="0.2">
      <c r="A605" s="269">
        <v>45875.217974537038</v>
      </c>
      <c r="B605" t="s">
        <v>596</v>
      </c>
      <c r="C605" t="s">
        <v>15</v>
      </c>
      <c r="D605" t="s">
        <v>999</v>
      </c>
      <c r="E605">
        <v>5</v>
      </c>
    </row>
    <row r="606" spans="1:5" x14ac:dyDescent="0.2">
      <c r="A606" s="269">
        <v>45875.21802083333</v>
      </c>
      <c r="B606" t="s">
        <v>596</v>
      </c>
      <c r="C606" t="s">
        <v>15</v>
      </c>
      <c r="D606" t="s">
        <v>987</v>
      </c>
      <c r="E606">
        <v>5</v>
      </c>
    </row>
    <row r="607" spans="1:5" x14ac:dyDescent="0.2">
      <c r="A607" s="269">
        <v>45875.218136574076</v>
      </c>
      <c r="B607" t="s">
        <v>596</v>
      </c>
      <c r="C607" t="s">
        <v>15</v>
      </c>
      <c r="D607" t="s">
        <v>988</v>
      </c>
      <c r="E607">
        <v>0</v>
      </c>
    </row>
    <row r="608" spans="1:5" x14ac:dyDescent="0.2">
      <c r="A608" s="269">
        <v>45875.218182870369</v>
      </c>
      <c r="B608" t="s">
        <v>596</v>
      </c>
      <c r="C608" t="s">
        <v>15</v>
      </c>
      <c r="D608" t="s">
        <v>1011</v>
      </c>
      <c r="E608">
        <v>0</v>
      </c>
    </row>
    <row r="609" spans="1:5" x14ac:dyDescent="0.2">
      <c r="A609" s="269">
        <v>45875.218217592592</v>
      </c>
      <c r="B609" t="s">
        <v>596</v>
      </c>
      <c r="C609" t="s">
        <v>15</v>
      </c>
      <c r="D609" t="s">
        <v>998</v>
      </c>
      <c r="E609">
        <v>0</v>
      </c>
    </row>
    <row r="610" spans="1:5" x14ac:dyDescent="0.2">
      <c r="A610" s="269">
        <v>45875.218240740738</v>
      </c>
      <c r="B610" t="s">
        <v>596</v>
      </c>
      <c r="C610" t="s">
        <v>15</v>
      </c>
      <c r="D610" t="s">
        <v>1012</v>
      </c>
      <c r="E610">
        <v>5</v>
      </c>
    </row>
    <row r="611" spans="1:5" x14ac:dyDescent="0.2">
      <c r="A611" s="269">
        <v>45875.218391203707</v>
      </c>
      <c r="B611" t="s">
        <v>596</v>
      </c>
      <c r="C611" t="s">
        <v>15</v>
      </c>
      <c r="D611" t="s">
        <v>998</v>
      </c>
      <c r="E611">
        <v>0</v>
      </c>
    </row>
    <row r="612" spans="1:5" x14ac:dyDescent="0.2">
      <c r="A612" s="269">
        <v>45875.2184375</v>
      </c>
      <c r="B612" t="s">
        <v>596</v>
      </c>
      <c r="C612" t="s">
        <v>15</v>
      </c>
      <c r="D612" t="s">
        <v>1002</v>
      </c>
      <c r="E612">
        <v>0</v>
      </c>
    </row>
    <row r="613" spans="1:5" x14ac:dyDescent="0.2">
      <c r="A613" s="269">
        <v>45875.218460648146</v>
      </c>
      <c r="B613" t="s">
        <v>596</v>
      </c>
      <c r="C613" t="s">
        <v>15</v>
      </c>
      <c r="D613" t="s">
        <v>1008</v>
      </c>
      <c r="E613">
        <v>0</v>
      </c>
    </row>
    <row r="614" spans="1:5" x14ac:dyDescent="0.2">
      <c r="A614" s="269">
        <v>45875.218495370369</v>
      </c>
      <c r="B614" t="s">
        <v>596</v>
      </c>
      <c r="C614" t="s">
        <v>15</v>
      </c>
      <c r="D614" t="s">
        <v>998</v>
      </c>
      <c r="E614">
        <v>0</v>
      </c>
    </row>
    <row r="615" spans="1:5" x14ac:dyDescent="0.2">
      <c r="A615" s="269">
        <v>45875.218518518515</v>
      </c>
      <c r="B615" t="s">
        <v>596</v>
      </c>
      <c r="C615" t="s">
        <v>15</v>
      </c>
      <c r="D615" t="s">
        <v>1001</v>
      </c>
      <c r="E615">
        <v>0</v>
      </c>
    </row>
    <row r="616" spans="1:5" x14ac:dyDescent="0.2">
      <c r="A616" s="269">
        <v>45875.218553240738</v>
      </c>
      <c r="B616" t="s">
        <v>596</v>
      </c>
      <c r="C616" t="s">
        <v>15</v>
      </c>
      <c r="D616" t="s">
        <v>1006</v>
      </c>
      <c r="E616">
        <v>0</v>
      </c>
    </row>
    <row r="617" spans="1:5" x14ac:dyDescent="0.2">
      <c r="A617" s="269">
        <v>45875.218576388892</v>
      </c>
      <c r="B617" t="s">
        <v>596</v>
      </c>
      <c r="C617" t="s">
        <v>15</v>
      </c>
      <c r="D617" t="s">
        <v>1007</v>
      </c>
      <c r="E617">
        <v>0</v>
      </c>
    </row>
    <row r="618" spans="1:5" x14ac:dyDescent="0.2">
      <c r="A618" s="269">
        <v>45875.218611111108</v>
      </c>
      <c r="B618" t="s">
        <v>596</v>
      </c>
      <c r="C618" t="s">
        <v>15</v>
      </c>
      <c r="D618" t="s">
        <v>1013</v>
      </c>
      <c r="E618" t="s">
        <v>194</v>
      </c>
    </row>
    <row r="619" spans="1:5" x14ac:dyDescent="0.2">
      <c r="A619" s="269">
        <v>45875.218634259261</v>
      </c>
      <c r="B619" t="s">
        <v>596</v>
      </c>
      <c r="C619" t="s">
        <v>15</v>
      </c>
      <c r="D619" t="s">
        <v>1014</v>
      </c>
      <c r="E619">
        <v>5</v>
      </c>
    </row>
    <row r="620" spans="1:5" x14ac:dyDescent="0.2">
      <c r="A620" s="269">
        <v>45875.218668981484</v>
      </c>
      <c r="B620" t="s">
        <v>596</v>
      </c>
      <c r="C620" t="s">
        <v>15</v>
      </c>
      <c r="D620" t="s">
        <v>1015</v>
      </c>
      <c r="E620" t="s">
        <v>372</v>
      </c>
    </row>
    <row r="621" spans="1:5" x14ac:dyDescent="0.2">
      <c r="A621" s="269">
        <v>45875.218715277777</v>
      </c>
      <c r="B621" t="s">
        <v>596</v>
      </c>
      <c r="C621" t="s">
        <v>15</v>
      </c>
      <c r="D621" t="s">
        <v>977</v>
      </c>
      <c r="E621" t="s">
        <v>352</v>
      </c>
    </row>
    <row r="622" spans="1:5" x14ac:dyDescent="0.2">
      <c r="A622" s="269">
        <v>45875.218784722223</v>
      </c>
      <c r="B622" t="s">
        <v>596</v>
      </c>
      <c r="C622" t="s">
        <v>15</v>
      </c>
      <c r="D622" t="s">
        <v>1016</v>
      </c>
      <c r="E622" t="s">
        <v>371</v>
      </c>
    </row>
    <row r="623" spans="1:5" x14ac:dyDescent="0.2">
      <c r="A623" s="269">
        <v>45875.218842592592</v>
      </c>
      <c r="B623" t="s">
        <v>596</v>
      </c>
      <c r="C623" t="s">
        <v>15</v>
      </c>
      <c r="D623" t="s">
        <v>1016</v>
      </c>
      <c r="E623" t="s">
        <v>404</v>
      </c>
    </row>
    <row r="624" spans="1:5" x14ac:dyDescent="0.2">
      <c r="A624" s="269">
        <v>45875.218969907408</v>
      </c>
      <c r="B624" t="s">
        <v>596</v>
      </c>
      <c r="C624" t="s">
        <v>15</v>
      </c>
      <c r="D624" t="s">
        <v>747</v>
      </c>
      <c r="E624" t="s">
        <v>200</v>
      </c>
    </row>
    <row r="625" spans="1:5" x14ac:dyDescent="0.2">
      <c r="A625" s="269">
        <v>45875.218993055554</v>
      </c>
      <c r="B625" t="s">
        <v>596</v>
      </c>
      <c r="C625" t="s">
        <v>15</v>
      </c>
      <c r="D625" t="s">
        <v>1017</v>
      </c>
      <c r="E625">
        <v>1</v>
      </c>
    </row>
    <row r="626" spans="1:5" x14ac:dyDescent="0.2">
      <c r="A626" s="269">
        <v>45875.219027777777</v>
      </c>
      <c r="B626" t="s">
        <v>596</v>
      </c>
      <c r="C626" t="s">
        <v>15</v>
      </c>
      <c r="D626" t="s">
        <v>1018</v>
      </c>
      <c r="E626" t="s">
        <v>363</v>
      </c>
    </row>
    <row r="627" spans="1:5" x14ac:dyDescent="0.2">
      <c r="A627" s="269">
        <v>45875.2190625</v>
      </c>
      <c r="B627" t="s">
        <v>596</v>
      </c>
      <c r="C627" t="s">
        <v>15</v>
      </c>
      <c r="D627" t="s">
        <v>923</v>
      </c>
      <c r="E627" t="s">
        <v>188</v>
      </c>
    </row>
    <row r="628" spans="1:5" x14ac:dyDescent="0.2">
      <c r="A628" s="269">
        <v>45875.219108796293</v>
      </c>
      <c r="B628" t="s">
        <v>596</v>
      </c>
      <c r="C628" t="s">
        <v>15</v>
      </c>
      <c r="D628" t="s">
        <v>1019</v>
      </c>
      <c r="E628" t="s">
        <v>397</v>
      </c>
    </row>
    <row r="629" spans="1:5" x14ac:dyDescent="0.2">
      <c r="A629" s="269">
        <v>45875.219513888886</v>
      </c>
      <c r="B629" t="s">
        <v>596</v>
      </c>
      <c r="C629" t="s">
        <v>15</v>
      </c>
      <c r="D629" t="s">
        <v>1020</v>
      </c>
    </row>
    <row r="630" spans="1:5" x14ac:dyDescent="0.2">
      <c r="A630" s="269">
        <v>45875.219652777778</v>
      </c>
      <c r="B630" t="s">
        <v>596</v>
      </c>
      <c r="C630" t="s">
        <v>15</v>
      </c>
      <c r="D630" t="s">
        <v>1021</v>
      </c>
    </row>
    <row r="631" spans="1:5" x14ac:dyDescent="0.2">
      <c r="A631" s="269">
        <v>45875.220046296294</v>
      </c>
      <c r="B631" t="s">
        <v>596</v>
      </c>
      <c r="C631" t="s">
        <v>15</v>
      </c>
      <c r="D631" t="s">
        <v>1022</v>
      </c>
    </row>
    <row r="632" spans="1:5" x14ac:dyDescent="0.2">
      <c r="A632" s="269">
        <v>45875.220196759263</v>
      </c>
      <c r="B632" t="s">
        <v>596</v>
      </c>
      <c r="C632" t="s">
        <v>15</v>
      </c>
      <c r="D632" t="s">
        <v>1023</v>
      </c>
    </row>
    <row r="633" spans="1:5" x14ac:dyDescent="0.2">
      <c r="A633" s="269">
        <v>45875.22079861111</v>
      </c>
      <c r="B633" t="s">
        <v>596</v>
      </c>
      <c r="C633" t="s">
        <v>15</v>
      </c>
      <c r="D633" t="s">
        <v>658</v>
      </c>
      <c r="E633" t="s">
        <v>39</v>
      </c>
    </row>
    <row r="634" spans="1:5" x14ac:dyDescent="0.2">
      <c r="A634" s="269">
        <v>45875.220833333333</v>
      </c>
      <c r="B634" t="s">
        <v>596</v>
      </c>
      <c r="C634" t="s">
        <v>15</v>
      </c>
      <c r="D634" t="s">
        <v>1024</v>
      </c>
      <c r="E634" t="s">
        <v>39</v>
      </c>
    </row>
    <row r="635" spans="1:5" x14ac:dyDescent="0.2">
      <c r="A635" s="269">
        <v>45875.220879629633</v>
      </c>
      <c r="B635" t="s">
        <v>596</v>
      </c>
      <c r="C635" t="s">
        <v>15</v>
      </c>
      <c r="D635" t="s">
        <v>1025</v>
      </c>
      <c r="E635" t="s">
        <v>39</v>
      </c>
    </row>
    <row r="636" spans="1:5" x14ac:dyDescent="0.2">
      <c r="A636" s="269">
        <v>45875.221307870372</v>
      </c>
      <c r="B636" t="s">
        <v>596</v>
      </c>
      <c r="C636" t="s">
        <v>611</v>
      </c>
      <c r="D636" t="s">
        <v>1026</v>
      </c>
      <c r="E636" t="s">
        <v>952</v>
      </c>
    </row>
    <row r="637" spans="1:5" ht="112" x14ac:dyDescent="0.2">
      <c r="A637" s="269">
        <v>45875.22142361111</v>
      </c>
      <c r="B637" t="s">
        <v>596</v>
      </c>
      <c r="C637" t="s">
        <v>611</v>
      </c>
      <c r="D637" t="s">
        <v>1027</v>
      </c>
      <c r="E637" s="6" t="s">
        <v>1028</v>
      </c>
    </row>
    <row r="638" spans="1:5" x14ac:dyDescent="0.2">
      <c r="A638" s="269">
        <v>45875.221828703703</v>
      </c>
      <c r="B638" t="s">
        <v>596</v>
      </c>
      <c r="C638" t="s">
        <v>611</v>
      </c>
      <c r="D638" t="s">
        <v>1029</v>
      </c>
      <c r="E638" t="s">
        <v>87</v>
      </c>
    </row>
    <row r="639" spans="1:5" x14ac:dyDescent="0.2">
      <c r="A639" s="269">
        <v>45875.221944444442</v>
      </c>
      <c r="B639" t="s">
        <v>596</v>
      </c>
      <c r="C639" t="s">
        <v>611</v>
      </c>
      <c r="D639" t="s">
        <v>1030</v>
      </c>
      <c r="E639" t="s">
        <v>1031</v>
      </c>
    </row>
    <row r="640" spans="1:5" x14ac:dyDescent="0.2">
      <c r="A640" s="269">
        <v>45875.222280092596</v>
      </c>
      <c r="B640" t="s">
        <v>596</v>
      </c>
      <c r="C640" t="s">
        <v>611</v>
      </c>
      <c r="D640" t="s">
        <v>1032</v>
      </c>
    </row>
    <row r="641" spans="1:5" x14ac:dyDescent="0.2">
      <c r="A641" s="269">
        <v>45875.222349537034</v>
      </c>
      <c r="B641" t="s">
        <v>596</v>
      </c>
      <c r="C641" t="s">
        <v>611</v>
      </c>
      <c r="D641" t="s">
        <v>1033</v>
      </c>
      <c r="E641">
        <v>8</v>
      </c>
    </row>
    <row r="642" spans="1:5" x14ac:dyDescent="0.2">
      <c r="A642" s="269">
        <v>45875.222615740742</v>
      </c>
      <c r="B642" t="s">
        <v>596</v>
      </c>
      <c r="C642" t="s">
        <v>611</v>
      </c>
      <c r="D642" t="s">
        <v>1034</v>
      </c>
      <c r="E642">
        <v>10</v>
      </c>
    </row>
    <row r="643" spans="1:5" x14ac:dyDescent="0.2">
      <c r="A643" s="269">
        <v>45875.222650462965</v>
      </c>
      <c r="B643" t="s">
        <v>596</v>
      </c>
      <c r="C643" t="s">
        <v>611</v>
      </c>
      <c r="D643" t="s">
        <v>1035</v>
      </c>
      <c r="E643" t="s">
        <v>98</v>
      </c>
    </row>
    <row r="644" spans="1:5" x14ac:dyDescent="0.2">
      <c r="A644" s="269">
        <v>45875.224050925928</v>
      </c>
      <c r="B644" t="s">
        <v>596</v>
      </c>
      <c r="C644" t="s">
        <v>611</v>
      </c>
      <c r="D644" t="s">
        <v>1036</v>
      </c>
      <c r="E644" t="s">
        <v>1037</v>
      </c>
    </row>
    <row r="645" spans="1:5" x14ac:dyDescent="0.2">
      <c r="A645" s="269">
        <v>45875.224699074075</v>
      </c>
      <c r="B645" t="s">
        <v>596</v>
      </c>
      <c r="C645" t="s">
        <v>15</v>
      </c>
      <c r="D645" t="s">
        <v>1038</v>
      </c>
    </row>
    <row r="646" spans="1:5" x14ac:dyDescent="0.2">
      <c r="A646" s="269">
        <v>45875.22488425926</v>
      </c>
      <c r="B646" t="s">
        <v>596</v>
      </c>
      <c r="C646" t="s">
        <v>611</v>
      </c>
      <c r="D646" t="s">
        <v>1039</v>
      </c>
    </row>
    <row r="647" spans="1:5" x14ac:dyDescent="0.2">
      <c r="A647" s="269">
        <v>45875.224953703706</v>
      </c>
      <c r="B647" t="s">
        <v>596</v>
      </c>
      <c r="C647" t="s">
        <v>611</v>
      </c>
      <c r="D647" t="s">
        <v>1040</v>
      </c>
      <c r="E647">
        <v>9</v>
      </c>
    </row>
    <row r="648" spans="1:5" x14ac:dyDescent="0.2">
      <c r="A648" s="269">
        <v>45875.224988425929</v>
      </c>
      <c r="B648" t="s">
        <v>596</v>
      </c>
      <c r="C648" t="s">
        <v>611</v>
      </c>
      <c r="D648" t="s">
        <v>1041</v>
      </c>
      <c r="E648">
        <v>9</v>
      </c>
    </row>
    <row r="649" spans="1:5" x14ac:dyDescent="0.2">
      <c r="A649" s="269">
        <v>45875.225208333337</v>
      </c>
      <c r="B649" t="s">
        <v>596</v>
      </c>
      <c r="C649" t="s">
        <v>611</v>
      </c>
      <c r="D649" t="s">
        <v>1039</v>
      </c>
    </row>
    <row r="650" spans="1:5" x14ac:dyDescent="0.2">
      <c r="A650" s="269">
        <v>45875.225266203706</v>
      </c>
      <c r="B650" t="s">
        <v>596</v>
      </c>
      <c r="C650" t="s">
        <v>611</v>
      </c>
      <c r="D650" t="s">
        <v>1042</v>
      </c>
      <c r="E650">
        <v>9</v>
      </c>
    </row>
    <row r="651" spans="1:5" x14ac:dyDescent="0.2">
      <c r="A651" s="269">
        <v>45875.22550925926</v>
      </c>
      <c r="B651" t="s">
        <v>596</v>
      </c>
      <c r="C651" t="s">
        <v>611</v>
      </c>
      <c r="D651" t="s">
        <v>1043</v>
      </c>
    </row>
    <row r="652" spans="1:5" x14ac:dyDescent="0.2">
      <c r="A652" s="269">
        <v>45875.225613425922</v>
      </c>
      <c r="B652" t="s">
        <v>596</v>
      </c>
      <c r="C652" t="s">
        <v>611</v>
      </c>
      <c r="D652" t="s">
        <v>1044</v>
      </c>
      <c r="E652" t="s">
        <v>94</v>
      </c>
    </row>
    <row r="653" spans="1:5" x14ac:dyDescent="0.2">
      <c r="A653" s="269">
        <v>45875.226006944446</v>
      </c>
      <c r="B653" t="s">
        <v>596</v>
      </c>
      <c r="C653" t="s">
        <v>611</v>
      </c>
      <c r="D653" t="s">
        <v>1045</v>
      </c>
      <c r="E653" t="s">
        <v>1046</v>
      </c>
    </row>
    <row r="654" spans="1:5" x14ac:dyDescent="0.2">
      <c r="A654" s="269">
        <v>45875.226111111115</v>
      </c>
      <c r="B654" t="s">
        <v>596</v>
      </c>
      <c r="C654" t="s">
        <v>611</v>
      </c>
      <c r="D654" t="s">
        <v>1047</v>
      </c>
      <c r="E654" t="s">
        <v>80</v>
      </c>
    </row>
    <row r="655" spans="1:5" x14ac:dyDescent="0.2">
      <c r="A655" s="269">
        <v>45875.226226851853</v>
      </c>
      <c r="B655" t="s">
        <v>596</v>
      </c>
      <c r="C655" t="s">
        <v>611</v>
      </c>
      <c r="D655" t="s">
        <v>1048</v>
      </c>
      <c r="E655" t="s">
        <v>10</v>
      </c>
    </row>
    <row r="656" spans="1:5" x14ac:dyDescent="0.2">
      <c r="A656" s="269">
        <v>45875.226400462961</v>
      </c>
      <c r="B656" t="s">
        <v>596</v>
      </c>
      <c r="C656" t="s">
        <v>611</v>
      </c>
      <c r="D656" t="s">
        <v>1049</v>
      </c>
    </row>
    <row r="657" spans="1:5" x14ac:dyDescent="0.2">
      <c r="A657" s="269">
        <v>45875.226458333331</v>
      </c>
      <c r="B657" t="s">
        <v>596</v>
      </c>
      <c r="C657" t="s">
        <v>611</v>
      </c>
      <c r="D657" t="s">
        <v>1050</v>
      </c>
      <c r="E657">
        <v>10</v>
      </c>
    </row>
    <row r="658" spans="1:5" x14ac:dyDescent="0.2">
      <c r="A658" s="269">
        <v>45875.226712962962</v>
      </c>
      <c r="B658" t="s">
        <v>596</v>
      </c>
      <c r="C658" t="s">
        <v>611</v>
      </c>
      <c r="D658" t="s">
        <v>1051</v>
      </c>
    </row>
    <row r="659" spans="1:5" x14ac:dyDescent="0.2">
      <c r="A659" s="269">
        <v>45875.226759259262</v>
      </c>
      <c r="B659" t="s">
        <v>596</v>
      </c>
      <c r="C659" t="s">
        <v>611</v>
      </c>
      <c r="D659" t="s">
        <v>1052</v>
      </c>
      <c r="E659" t="s">
        <v>98</v>
      </c>
    </row>
    <row r="660" spans="1:5" x14ac:dyDescent="0.2">
      <c r="A660" s="269">
        <v>45875.226909722223</v>
      </c>
      <c r="B660" t="s">
        <v>596</v>
      </c>
      <c r="C660" t="s">
        <v>611</v>
      </c>
      <c r="D660" t="s">
        <v>1053</v>
      </c>
      <c r="E660" t="s">
        <v>1037</v>
      </c>
    </row>
    <row r="661" spans="1:5" x14ac:dyDescent="0.2">
      <c r="A661" s="269">
        <v>45875.226944444446</v>
      </c>
      <c r="B661" t="s">
        <v>596</v>
      </c>
      <c r="C661" t="s">
        <v>611</v>
      </c>
      <c r="D661" t="s">
        <v>1054</v>
      </c>
      <c r="E661">
        <v>12</v>
      </c>
    </row>
    <row r="662" spans="1:5" x14ac:dyDescent="0.2">
      <c r="A662" s="269">
        <v>45875.227002314816</v>
      </c>
      <c r="B662" t="s">
        <v>596</v>
      </c>
      <c r="C662" t="s">
        <v>611</v>
      </c>
      <c r="D662" t="s">
        <v>1055</v>
      </c>
      <c r="E662" t="s">
        <v>80</v>
      </c>
    </row>
    <row r="663" spans="1:5" x14ac:dyDescent="0.2">
      <c r="A663" s="269">
        <v>45875.227083333331</v>
      </c>
      <c r="B663" t="s">
        <v>596</v>
      </c>
      <c r="C663" t="s">
        <v>611</v>
      </c>
      <c r="D663" t="s">
        <v>1047</v>
      </c>
      <c r="E663" t="s">
        <v>66</v>
      </c>
    </row>
    <row r="664" spans="1:5" x14ac:dyDescent="0.2">
      <c r="A664" s="269">
        <v>45875.227094907408</v>
      </c>
      <c r="B664" t="s">
        <v>596</v>
      </c>
      <c r="C664" t="s">
        <v>611</v>
      </c>
      <c r="D664" t="s">
        <v>1047</v>
      </c>
      <c r="E664" t="s">
        <v>80</v>
      </c>
    </row>
    <row r="665" spans="1:5" x14ac:dyDescent="0.2">
      <c r="A665" s="269">
        <v>45875.227129629631</v>
      </c>
      <c r="B665" t="s">
        <v>596</v>
      </c>
      <c r="C665" t="s">
        <v>611</v>
      </c>
      <c r="D665" t="s">
        <v>1047</v>
      </c>
      <c r="E665" t="s">
        <v>66</v>
      </c>
    </row>
    <row r="666" spans="1:5" x14ac:dyDescent="0.2">
      <c r="A666" s="269">
        <v>45875.227152777778</v>
      </c>
      <c r="B666" t="s">
        <v>596</v>
      </c>
      <c r="C666" t="s">
        <v>611</v>
      </c>
      <c r="D666" t="s">
        <v>1055</v>
      </c>
      <c r="E666" t="s">
        <v>66</v>
      </c>
    </row>
    <row r="667" spans="1:5" x14ac:dyDescent="0.2">
      <c r="A667" s="269">
        <v>45875.22760416667</v>
      </c>
      <c r="B667" t="s">
        <v>596</v>
      </c>
      <c r="C667" t="s">
        <v>611</v>
      </c>
      <c r="D667" t="s">
        <v>1056</v>
      </c>
      <c r="E667">
        <v>2</v>
      </c>
    </row>
    <row r="668" spans="1:5" x14ac:dyDescent="0.2">
      <c r="A668" s="269">
        <v>45875.228472222225</v>
      </c>
      <c r="B668" t="s">
        <v>596</v>
      </c>
      <c r="C668" t="s">
        <v>28</v>
      </c>
      <c r="D668" t="s">
        <v>1057</v>
      </c>
    </row>
    <row r="669" spans="1:5" x14ac:dyDescent="0.2">
      <c r="A669" s="269">
        <v>45875.228472222225</v>
      </c>
      <c r="B669" t="s">
        <v>596</v>
      </c>
      <c r="C669" t="s">
        <v>28</v>
      </c>
      <c r="D669" t="s">
        <v>1058</v>
      </c>
      <c r="E669" t="s">
        <v>1059</v>
      </c>
    </row>
    <row r="670" spans="1:5" x14ac:dyDescent="0.2">
      <c r="A670" s="269">
        <v>45875.228518518517</v>
      </c>
      <c r="B670" t="s">
        <v>596</v>
      </c>
      <c r="C670" t="s">
        <v>28</v>
      </c>
      <c r="D670" t="s">
        <v>1060</v>
      </c>
      <c r="E670" t="s">
        <v>367</v>
      </c>
    </row>
    <row r="671" spans="1:5" x14ac:dyDescent="0.2">
      <c r="A671" s="269">
        <v>45875.228541666664</v>
      </c>
      <c r="B671" t="s">
        <v>596</v>
      </c>
      <c r="C671" t="s">
        <v>28</v>
      </c>
      <c r="D671" t="s">
        <v>1061</v>
      </c>
      <c r="E671" t="s">
        <v>317</v>
      </c>
    </row>
    <row r="672" spans="1:5" x14ac:dyDescent="0.2">
      <c r="A672" s="269">
        <v>45875.228634259256</v>
      </c>
      <c r="B672" t="s">
        <v>596</v>
      </c>
      <c r="C672" t="s">
        <v>28</v>
      </c>
      <c r="D672" t="s">
        <v>1062</v>
      </c>
      <c r="E672" t="s">
        <v>283</v>
      </c>
    </row>
    <row r="673" spans="1:5" x14ac:dyDescent="0.2">
      <c r="A673" s="269">
        <v>45875.229027777779</v>
      </c>
      <c r="B673" t="s">
        <v>596</v>
      </c>
      <c r="C673" t="s">
        <v>28</v>
      </c>
      <c r="D673" t="s">
        <v>988</v>
      </c>
      <c r="E673">
        <v>0</v>
      </c>
    </row>
    <row r="674" spans="1:5" x14ac:dyDescent="0.2">
      <c r="A674" s="269">
        <v>45875.229201388887</v>
      </c>
      <c r="B674" t="s">
        <v>596</v>
      </c>
      <c r="C674" t="s">
        <v>28</v>
      </c>
      <c r="D674" t="s">
        <v>987</v>
      </c>
      <c r="E674">
        <v>0</v>
      </c>
    </row>
    <row r="675" spans="1:5" x14ac:dyDescent="0.2">
      <c r="A675" s="269">
        <v>45875.229259259257</v>
      </c>
      <c r="B675" t="s">
        <v>596</v>
      </c>
      <c r="C675" t="s">
        <v>28</v>
      </c>
      <c r="D675" t="s">
        <v>988</v>
      </c>
      <c r="E675">
        <v>0</v>
      </c>
    </row>
    <row r="676" spans="1:5" x14ac:dyDescent="0.2">
      <c r="A676" s="269">
        <v>45875.229305555556</v>
      </c>
      <c r="B676" t="s">
        <v>596</v>
      </c>
      <c r="C676" t="s">
        <v>28</v>
      </c>
      <c r="D676" t="s">
        <v>987</v>
      </c>
      <c r="E676">
        <v>0</v>
      </c>
    </row>
    <row r="677" spans="1:5" x14ac:dyDescent="0.2">
      <c r="A677" s="269">
        <v>45875.229351851849</v>
      </c>
      <c r="B677" t="s">
        <v>596</v>
      </c>
      <c r="C677" t="s">
        <v>28</v>
      </c>
      <c r="D677" t="s">
        <v>1063</v>
      </c>
      <c r="E677">
        <v>0</v>
      </c>
    </row>
    <row r="678" spans="1:5" x14ac:dyDescent="0.2">
      <c r="A678" s="269">
        <v>45875.229421296295</v>
      </c>
      <c r="B678" t="s">
        <v>596</v>
      </c>
      <c r="C678" t="s">
        <v>28</v>
      </c>
      <c r="D678" t="s">
        <v>987</v>
      </c>
      <c r="E678">
        <v>0</v>
      </c>
    </row>
    <row r="679" spans="1:5" x14ac:dyDescent="0.2">
      <c r="A679" s="269">
        <v>45875.229525462964</v>
      </c>
      <c r="B679" t="s">
        <v>596</v>
      </c>
      <c r="C679" t="s">
        <v>28</v>
      </c>
      <c r="D679" t="s">
        <v>1064</v>
      </c>
      <c r="E679">
        <v>0</v>
      </c>
    </row>
    <row r="680" spans="1:5" x14ac:dyDescent="0.2">
      <c r="A680" s="269">
        <v>45875.229629629626</v>
      </c>
      <c r="B680" t="s">
        <v>596</v>
      </c>
      <c r="C680" t="s">
        <v>28</v>
      </c>
      <c r="D680" t="s">
        <v>987</v>
      </c>
      <c r="E680">
        <v>0</v>
      </c>
    </row>
    <row r="681" spans="1:5" x14ac:dyDescent="0.2">
      <c r="A681" s="269">
        <v>45875.229664351849</v>
      </c>
      <c r="B681" t="s">
        <v>596</v>
      </c>
      <c r="C681" t="s">
        <v>28</v>
      </c>
      <c r="D681" t="s">
        <v>1063</v>
      </c>
      <c r="E681">
        <v>0</v>
      </c>
    </row>
    <row r="682" spans="1:5" x14ac:dyDescent="0.2">
      <c r="A682" s="269">
        <v>45875.229768518519</v>
      </c>
      <c r="B682" t="s">
        <v>596</v>
      </c>
      <c r="C682" t="s">
        <v>28</v>
      </c>
      <c r="D682" t="s">
        <v>987</v>
      </c>
      <c r="E682">
        <v>0</v>
      </c>
    </row>
    <row r="683" spans="1:5" x14ac:dyDescent="0.2">
      <c r="A683" s="269">
        <v>45875.229791666665</v>
      </c>
      <c r="B683" t="s">
        <v>596</v>
      </c>
      <c r="C683" t="s">
        <v>28</v>
      </c>
      <c r="D683" t="s">
        <v>1012</v>
      </c>
      <c r="E683">
        <v>0</v>
      </c>
    </row>
    <row r="684" spans="1:5" x14ac:dyDescent="0.2">
      <c r="A684" s="269">
        <v>45875.229837962965</v>
      </c>
      <c r="B684" t="s">
        <v>596</v>
      </c>
      <c r="C684" t="s">
        <v>28</v>
      </c>
      <c r="D684" t="s">
        <v>998</v>
      </c>
      <c r="E684">
        <v>0</v>
      </c>
    </row>
    <row r="685" spans="1:5" x14ac:dyDescent="0.2">
      <c r="A685" s="269">
        <v>45875.229907407411</v>
      </c>
      <c r="B685" t="s">
        <v>596</v>
      </c>
      <c r="C685" t="s">
        <v>28</v>
      </c>
      <c r="D685" t="s">
        <v>998</v>
      </c>
      <c r="E685">
        <v>0</v>
      </c>
    </row>
    <row r="686" spans="1:5" x14ac:dyDescent="0.2">
      <c r="A686" s="269">
        <v>45875.229942129627</v>
      </c>
      <c r="B686" t="s">
        <v>596</v>
      </c>
      <c r="C686" t="s">
        <v>28</v>
      </c>
      <c r="D686" t="s">
        <v>1065</v>
      </c>
      <c r="E686">
        <v>0</v>
      </c>
    </row>
    <row r="687" spans="1:5" x14ac:dyDescent="0.2">
      <c r="A687" s="269">
        <v>45875.230081018519</v>
      </c>
      <c r="B687" t="s">
        <v>596</v>
      </c>
      <c r="C687" t="s">
        <v>28</v>
      </c>
      <c r="D687" t="s">
        <v>1066</v>
      </c>
      <c r="E687" t="s">
        <v>318</v>
      </c>
    </row>
    <row r="688" spans="1:5" x14ac:dyDescent="0.2">
      <c r="A688" s="269">
        <v>45875.230115740742</v>
      </c>
      <c r="B688" t="s">
        <v>596</v>
      </c>
      <c r="C688" t="s">
        <v>28</v>
      </c>
      <c r="D688" t="s">
        <v>1015</v>
      </c>
      <c r="E688" t="s">
        <v>367</v>
      </c>
    </row>
    <row r="689" spans="1:5" x14ac:dyDescent="0.2">
      <c r="A689" s="269">
        <v>45875.230138888888</v>
      </c>
      <c r="B689" t="s">
        <v>596</v>
      </c>
      <c r="C689" t="s">
        <v>28</v>
      </c>
      <c r="D689" t="s">
        <v>1018</v>
      </c>
      <c r="E689" t="s">
        <v>1067</v>
      </c>
    </row>
    <row r="690" spans="1:5" x14ac:dyDescent="0.2">
      <c r="A690" s="269">
        <v>45875.230173611111</v>
      </c>
      <c r="B690" t="s">
        <v>596</v>
      </c>
      <c r="C690" t="s">
        <v>28</v>
      </c>
      <c r="D690" t="s">
        <v>1068</v>
      </c>
      <c r="E690" t="s">
        <v>318</v>
      </c>
    </row>
    <row r="691" spans="1:5" x14ac:dyDescent="0.2">
      <c r="A691" s="269">
        <v>45875.230196759258</v>
      </c>
      <c r="B691" t="s">
        <v>596</v>
      </c>
      <c r="C691" t="s">
        <v>28</v>
      </c>
      <c r="D691" t="s">
        <v>1069</v>
      </c>
      <c r="E691" t="s">
        <v>356</v>
      </c>
    </row>
    <row r="692" spans="1:5" x14ac:dyDescent="0.2">
      <c r="A692" s="269">
        <v>45875.230254629627</v>
      </c>
      <c r="B692" t="s">
        <v>596</v>
      </c>
      <c r="C692" t="s">
        <v>28</v>
      </c>
      <c r="D692" t="s">
        <v>1002</v>
      </c>
      <c r="E692">
        <v>0</v>
      </c>
    </row>
    <row r="693" spans="1:5" x14ac:dyDescent="0.2">
      <c r="A693" s="269">
        <v>45875.23027777778</v>
      </c>
      <c r="B693" t="s">
        <v>596</v>
      </c>
      <c r="C693" t="s">
        <v>28</v>
      </c>
      <c r="D693" t="s">
        <v>1003</v>
      </c>
      <c r="E693">
        <v>0</v>
      </c>
    </row>
    <row r="694" spans="1:5" x14ac:dyDescent="0.2">
      <c r="A694" s="269">
        <v>45875.230347222219</v>
      </c>
      <c r="B694" t="s">
        <v>596</v>
      </c>
      <c r="C694" t="s">
        <v>28</v>
      </c>
      <c r="D694" t="s">
        <v>1070</v>
      </c>
      <c r="E694">
        <v>0</v>
      </c>
    </row>
    <row r="695" spans="1:5" x14ac:dyDescent="0.2">
      <c r="A695" s="269">
        <v>45875.230428240742</v>
      </c>
      <c r="B695" t="s">
        <v>596</v>
      </c>
      <c r="C695" t="s">
        <v>28</v>
      </c>
      <c r="D695" t="s">
        <v>1003</v>
      </c>
      <c r="E695">
        <v>0</v>
      </c>
    </row>
    <row r="696" spans="1:5" x14ac:dyDescent="0.2">
      <c r="A696" s="269">
        <v>45875.230462962965</v>
      </c>
      <c r="B696" t="s">
        <v>596</v>
      </c>
      <c r="C696" t="s">
        <v>28</v>
      </c>
      <c r="D696" t="s">
        <v>1070</v>
      </c>
      <c r="E696">
        <v>0</v>
      </c>
    </row>
    <row r="697" spans="1:5" x14ac:dyDescent="0.2">
      <c r="A697" s="269">
        <v>45875.230497685188</v>
      </c>
      <c r="B697" t="s">
        <v>596</v>
      </c>
      <c r="C697" t="s">
        <v>28</v>
      </c>
      <c r="D697" t="s">
        <v>1002</v>
      </c>
      <c r="E697">
        <v>0</v>
      </c>
    </row>
    <row r="698" spans="1:5" x14ac:dyDescent="0.2">
      <c r="A698" s="269">
        <v>45875.230509259258</v>
      </c>
      <c r="B698" t="s">
        <v>596</v>
      </c>
      <c r="C698" t="s">
        <v>28</v>
      </c>
      <c r="D698" t="s">
        <v>1003</v>
      </c>
      <c r="E698">
        <v>0</v>
      </c>
    </row>
    <row r="699" spans="1:5" x14ac:dyDescent="0.2">
      <c r="A699" s="269">
        <v>45875.230590277781</v>
      </c>
      <c r="B699" t="s">
        <v>596</v>
      </c>
      <c r="C699" t="s">
        <v>28</v>
      </c>
      <c r="D699" t="s">
        <v>1071</v>
      </c>
      <c r="E699">
        <v>0</v>
      </c>
    </row>
    <row r="700" spans="1:5" x14ac:dyDescent="0.2">
      <c r="A700" s="269">
        <v>45875.23065972222</v>
      </c>
      <c r="B700" t="s">
        <v>596</v>
      </c>
      <c r="C700" t="s">
        <v>28</v>
      </c>
      <c r="D700" t="s">
        <v>1002</v>
      </c>
      <c r="E700">
        <v>0</v>
      </c>
    </row>
    <row r="701" spans="1:5" x14ac:dyDescent="0.2">
      <c r="A701" s="269">
        <v>45875.230682870373</v>
      </c>
      <c r="B701" t="s">
        <v>596</v>
      </c>
      <c r="C701" t="s">
        <v>28</v>
      </c>
      <c r="D701" t="s">
        <v>1070</v>
      </c>
      <c r="E701">
        <v>0</v>
      </c>
    </row>
    <row r="702" spans="1:5" x14ac:dyDescent="0.2">
      <c r="A702" s="269">
        <v>45875.230752314812</v>
      </c>
      <c r="B702" t="s">
        <v>596</v>
      </c>
      <c r="C702" t="s">
        <v>28</v>
      </c>
      <c r="D702" t="s">
        <v>1072</v>
      </c>
      <c r="E702">
        <v>1000</v>
      </c>
    </row>
    <row r="703" spans="1:5" x14ac:dyDescent="0.2">
      <c r="A703" s="269">
        <v>45875.230833333335</v>
      </c>
      <c r="B703" t="s">
        <v>596</v>
      </c>
      <c r="C703" t="s">
        <v>28</v>
      </c>
      <c r="D703" t="s">
        <v>1008</v>
      </c>
      <c r="E703">
        <v>0</v>
      </c>
    </row>
    <row r="704" spans="1:5" x14ac:dyDescent="0.2">
      <c r="A704" s="269">
        <v>45875.230868055558</v>
      </c>
      <c r="B704" t="s">
        <v>596</v>
      </c>
      <c r="C704" t="s">
        <v>28</v>
      </c>
      <c r="D704" t="s">
        <v>1073</v>
      </c>
      <c r="E704">
        <v>0</v>
      </c>
    </row>
    <row r="705" spans="1:5" x14ac:dyDescent="0.2">
      <c r="A705" s="269">
        <v>45875.230891203704</v>
      </c>
      <c r="B705" t="s">
        <v>596</v>
      </c>
      <c r="C705" t="s">
        <v>28</v>
      </c>
      <c r="D705" t="s">
        <v>1008</v>
      </c>
      <c r="E705">
        <v>0</v>
      </c>
    </row>
    <row r="706" spans="1:5" x14ac:dyDescent="0.2">
      <c r="A706" s="269">
        <v>45875.230914351851</v>
      </c>
      <c r="B706" t="s">
        <v>596</v>
      </c>
      <c r="C706" t="s">
        <v>28</v>
      </c>
      <c r="D706" t="s">
        <v>1074</v>
      </c>
      <c r="E706">
        <v>0</v>
      </c>
    </row>
    <row r="707" spans="1:5" x14ac:dyDescent="0.2">
      <c r="A707" s="269">
        <v>45875.380208333336</v>
      </c>
      <c r="B707" t="s">
        <v>757</v>
      </c>
      <c r="C707" t="s">
        <v>597</v>
      </c>
      <c r="D707" t="s">
        <v>949</v>
      </c>
      <c r="E707" t="s">
        <v>39</v>
      </c>
    </row>
    <row r="708" spans="1:5" x14ac:dyDescent="0.2">
      <c r="A708" s="269">
        <v>45875.381342592591</v>
      </c>
      <c r="B708" t="s">
        <v>757</v>
      </c>
      <c r="C708" t="s">
        <v>611</v>
      </c>
      <c r="D708" t="s">
        <v>1004</v>
      </c>
      <c r="E708" t="s">
        <v>939</v>
      </c>
    </row>
    <row r="709" spans="1:5" ht="128" x14ac:dyDescent="0.2">
      <c r="A709" s="269">
        <v>45875.381666666668</v>
      </c>
      <c r="B709" t="s">
        <v>757</v>
      </c>
      <c r="C709" t="s">
        <v>611</v>
      </c>
      <c r="D709" t="s">
        <v>944</v>
      </c>
      <c r="E709" s="6" t="s">
        <v>1075</v>
      </c>
    </row>
    <row r="710" spans="1:5" x14ac:dyDescent="0.2">
      <c r="A710" s="269">
        <v>45875.381886574076</v>
      </c>
      <c r="B710" t="s">
        <v>757</v>
      </c>
      <c r="C710" t="s">
        <v>611</v>
      </c>
      <c r="D710" t="s">
        <v>1076</v>
      </c>
    </row>
    <row r="711" spans="1:5" x14ac:dyDescent="0.2">
      <c r="A711" s="269">
        <v>45875.381956018522</v>
      </c>
      <c r="B711" t="s">
        <v>757</v>
      </c>
      <c r="C711" t="s">
        <v>611</v>
      </c>
      <c r="D711" t="s">
        <v>1077</v>
      </c>
      <c r="E711">
        <v>9</v>
      </c>
    </row>
    <row r="712" spans="1:5" x14ac:dyDescent="0.2">
      <c r="A712" s="269">
        <v>45875.383819444447</v>
      </c>
      <c r="B712" t="s">
        <v>757</v>
      </c>
      <c r="C712" t="s">
        <v>15</v>
      </c>
      <c r="D712" t="s">
        <v>1078</v>
      </c>
    </row>
    <row r="713" spans="1:5" x14ac:dyDescent="0.2">
      <c r="A713" s="269">
        <v>45875.387025462966</v>
      </c>
      <c r="B713" t="s">
        <v>757</v>
      </c>
      <c r="C713" t="s">
        <v>15</v>
      </c>
      <c r="D713" t="s">
        <v>1079</v>
      </c>
    </row>
    <row r="714" spans="1:5" x14ac:dyDescent="0.2">
      <c r="A714" s="269">
        <v>45875.387083333335</v>
      </c>
      <c r="B714" t="s">
        <v>757</v>
      </c>
      <c r="C714" t="s">
        <v>15</v>
      </c>
      <c r="D714" t="s">
        <v>924</v>
      </c>
      <c r="E714" t="s">
        <v>352</v>
      </c>
    </row>
    <row r="715" spans="1:5" x14ac:dyDescent="0.2">
      <c r="A715" s="269">
        <v>45875.387106481481</v>
      </c>
      <c r="B715" t="s">
        <v>757</v>
      </c>
      <c r="C715" t="s">
        <v>15</v>
      </c>
      <c r="D715" t="s">
        <v>924</v>
      </c>
      <c r="E715" t="s">
        <v>188</v>
      </c>
    </row>
    <row r="716" spans="1:5" x14ac:dyDescent="0.2">
      <c r="A716" s="269">
        <v>45875.387118055558</v>
      </c>
      <c r="B716" t="s">
        <v>757</v>
      </c>
      <c r="C716" t="s">
        <v>15</v>
      </c>
      <c r="D716" t="s">
        <v>924</v>
      </c>
    </row>
    <row r="717" spans="1:5" x14ac:dyDescent="0.2">
      <c r="A717" s="269">
        <v>45875.38758101852</v>
      </c>
      <c r="B717" t="s">
        <v>757</v>
      </c>
      <c r="C717" t="s">
        <v>28</v>
      </c>
      <c r="D717" t="s">
        <v>810</v>
      </c>
      <c r="E717" t="s">
        <v>281</v>
      </c>
    </row>
    <row r="718" spans="1:5" x14ac:dyDescent="0.2">
      <c r="A718" s="269">
        <v>45875.387708333335</v>
      </c>
      <c r="B718" t="s">
        <v>757</v>
      </c>
      <c r="C718" t="s">
        <v>28</v>
      </c>
      <c r="D718" t="s">
        <v>1080</v>
      </c>
      <c r="E718" t="s">
        <v>1081</v>
      </c>
    </row>
    <row r="719" spans="1:5" x14ac:dyDescent="0.2">
      <c r="A719" s="269">
        <v>45875.388090277775</v>
      </c>
      <c r="B719" t="s">
        <v>757</v>
      </c>
      <c r="C719" t="s">
        <v>611</v>
      </c>
      <c r="D719" t="s">
        <v>840</v>
      </c>
    </row>
    <row r="720" spans="1:5" x14ac:dyDescent="0.2">
      <c r="A720" s="269">
        <v>45875.388657407406</v>
      </c>
      <c r="B720" t="s">
        <v>757</v>
      </c>
      <c r="C720" t="s">
        <v>611</v>
      </c>
      <c r="D720" t="s">
        <v>1082</v>
      </c>
      <c r="E720">
        <v>4</v>
      </c>
    </row>
    <row r="721" spans="1:5" x14ac:dyDescent="0.2">
      <c r="A721" s="269">
        <v>45875.389027777775</v>
      </c>
      <c r="B721" t="s">
        <v>757</v>
      </c>
      <c r="C721" t="s">
        <v>611</v>
      </c>
      <c r="D721" t="s">
        <v>1083</v>
      </c>
      <c r="E721" t="s">
        <v>819</v>
      </c>
    </row>
    <row r="722" spans="1:5" x14ac:dyDescent="0.2">
      <c r="A722" s="269">
        <v>45875.389097222222</v>
      </c>
      <c r="B722" t="s">
        <v>757</v>
      </c>
      <c r="C722" t="s">
        <v>611</v>
      </c>
      <c r="D722" t="s">
        <v>1084</v>
      </c>
      <c r="E722" t="s">
        <v>1059</v>
      </c>
    </row>
    <row r="723" spans="1:5" x14ac:dyDescent="0.2">
      <c r="A723" s="269">
        <v>45875.389351851853</v>
      </c>
      <c r="B723" t="s">
        <v>757</v>
      </c>
      <c r="C723" t="s">
        <v>28</v>
      </c>
      <c r="D723" t="s">
        <v>1085</v>
      </c>
    </row>
    <row r="724" spans="1:5" x14ac:dyDescent="0.2">
      <c r="A724" s="269">
        <v>45875.389351851853</v>
      </c>
      <c r="B724" t="s">
        <v>757</v>
      </c>
      <c r="C724" t="s">
        <v>28</v>
      </c>
      <c r="D724" t="s">
        <v>1086</v>
      </c>
      <c r="E724" t="s">
        <v>173</v>
      </c>
    </row>
    <row r="725" spans="1:5" x14ac:dyDescent="0.2">
      <c r="A725" s="269">
        <v>45875.389560185184</v>
      </c>
      <c r="B725" t="s">
        <v>757</v>
      </c>
      <c r="C725" t="s">
        <v>28</v>
      </c>
      <c r="D725" t="s">
        <v>1087</v>
      </c>
      <c r="E725" t="s">
        <v>282</v>
      </c>
    </row>
    <row r="726" spans="1:5" x14ac:dyDescent="0.2">
      <c r="A726" s="269">
        <v>45875.389722222222</v>
      </c>
      <c r="B726" t="s">
        <v>757</v>
      </c>
      <c r="C726" t="s">
        <v>28</v>
      </c>
      <c r="D726" t="s">
        <v>1088</v>
      </c>
      <c r="E726" t="s">
        <v>282</v>
      </c>
    </row>
    <row r="727" spans="1:5" x14ac:dyDescent="0.2">
      <c r="A727" s="269">
        <v>45875.389791666668</v>
      </c>
      <c r="B727" t="s">
        <v>757</v>
      </c>
      <c r="C727" t="s">
        <v>28</v>
      </c>
      <c r="D727" t="s">
        <v>1089</v>
      </c>
      <c r="E727" t="s">
        <v>1090</v>
      </c>
    </row>
    <row r="728" spans="1:5" x14ac:dyDescent="0.2">
      <c r="A728" s="269">
        <v>45875.38989583333</v>
      </c>
      <c r="B728" t="s">
        <v>757</v>
      </c>
      <c r="C728" t="s">
        <v>611</v>
      </c>
      <c r="D728" t="s">
        <v>1091</v>
      </c>
      <c r="E728" t="s">
        <v>282</v>
      </c>
    </row>
    <row r="729" spans="1:5" x14ac:dyDescent="0.2">
      <c r="A729" s="269">
        <v>45875.390266203707</v>
      </c>
      <c r="B729" t="s">
        <v>757</v>
      </c>
      <c r="C729" t="s">
        <v>611</v>
      </c>
      <c r="D729" t="s">
        <v>1092</v>
      </c>
      <c r="E729" t="s">
        <v>1093</v>
      </c>
    </row>
    <row r="730" spans="1:5" x14ac:dyDescent="0.2">
      <c r="A730" s="269">
        <v>45875.390381944446</v>
      </c>
      <c r="B730" t="s">
        <v>757</v>
      </c>
      <c r="C730" t="s">
        <v>611</v>
      </c>
      <c r="D730" t="s">
        <v>1094</v>
      </c>
      <c r="E730" t="s">
        <v>140</v>
      </c>
    </row>
    <row r="731" spans="1:5" x14ac:dyDescent="0.2">
      <c r="A731" s="269">
        <v>45875.390717592592</v>
      </c>
      <c r="B731" t="s">
        <v>757</v>
      </c>
      <c r="C731" t="s">
        <v>611</v>
      </c>
      <c r="D731" t="s">
        <v>1095</v>
      </c>
    </row>
    <row r="732" spans="1:5" x14ac:dyDescent="0.2">
      <c r="A732" s="269">
        <v>45875.390717592592</v>
      </c>
      <c r="B732" t="s">
        <v>757</v>
      </c>
      <c r="C732" t="s">
        <v>611</v>
      </c>
      <c r="D732" t="s">
        <v>1095</v>
      </c>
    </row>
    <row r="733" spans="1:5" x14ac:dyDescent="0.2">
      <c r="A733" s="269">
        <v>45875.390810185185</v>
      </c>
      <c r="B733" t="s">
        <v>757</v>
      </c>
      <c r="C733" t="s">
        <v>611</v>
      </c>
      <c r="D733" t="s">
        <v>1096</v>
      </c>
    </row>
    <row r="734" spans="1:5" x14ac:dyDescent="0.2">
      <c r="A734" s="269">
        <v>45875.390844907408</v>
      </c>
      <c r="B734" t="s">
        <v>757</v>
      </c>
      <c r="C734" t="s">
        <v>611</v>
      </c>
      <c r="D734" t="s">
        <v>1097</v>
      </c>
      <c r="E734">
        <v>5</v>
      </c>
    </row>
    <row r="735" spans="1:5" x14ac:dyDescent="0.2">
      <c r="A735" s="269">
        <v>45875.3908912037</v>
      </c>
      <c r="B735" t="s">
        <v>757</v>
      </c>
      <c r="C735" t="s">
        <v>611</v>
      </c>
      <c r="D735" t="s">
        <v>1098</v>
      </c>
    </row>
    <row r="736" spans="1:5" x14ac:dyDescent="0.2">
      <c r="A736" s="269">
        <v>45875.391006944446</v>
      </c>
      <c r="B736" t="s">
        <v>757</v>
      </c>
      <c r="C736" t="s">
        <v>611</v>
      </c>
      <c r="D736" t="s">
        <v>1099</v>
      </c>
      <c r="E736" t="s">
        <v>34</v>
      </c>
    </row>
    <row r="737" spans="1:5" x14ac:dyDescent="0.2">
      <c r="A737" s="269">
        <v>45875.391087962962</v>
      </c>
      <c r="B737" t="s">
        <v>757</v>
      </c>
      <c r="C737" t="s">
        <v>611</v>
      </c>
      <c r="D737" t="s">
        <v>1100</v>
      </c>
      <c r="E737" t="s">
        <v>54</v>
      </c>
    </row>
    <row r="738" spans="1:5" x14ac:dyDescent="0.2">
      <c r="A738" s="269">
        <v>45875.391134259262</v>
      </c>
      <c r="B738" t="s">
        <v>757</v>
      </c>
      <c r="C738" t="s">
        <v>611</v>
      </c>
      <c r="D738" t="s">
        <v>1101</v>
      </c>
      <c r="E738" t="s">
        <v>34</v>
      </c>
    </row>
    <row r="739" spans="1:5" x14ac:dyDescent="0.2">
      <c r="A739" s="269">
        <v>45875.391319444447</v>
      </c>
      <c r="B739" t="s">
        <v>757</v>
      </c>
      <c r="C739" t="s">
        <v>611</v>
      </c>
      <c r="D739" t="s">
        <v>1102</v>
      </c>
      <c r="E739" t="s">
        <v>1103</v>
      </c>
    </row>
    <row r="740" spans="1:5" x14ac:dyDescent="0.2">
      <c r="A740" s="269">
        <v>45875.391365740739</v>
      </c>
      <c r="B740" t="s">
        <v>757</v>
      </c>
      <c r="C740" t="s">
        <v>611</v>
      </c>
      <c r="D740" t="s">
        <v>1102</v>
      </c>
      <c r="E740" t="s">
        <v>1104</v>
      </c>
    </row>
    <row r="741" spans="1:5" ht="144" x14ac:dyDescent="0.2">
      <c r="A741" s="269">
        <v>45875.391886574071</v>
      </c>
      <c r="B741" t="s">
        <v>757</v>
      </c>
      <c r="C741" t="s">
        <v>611</v>
      </c>
      <c r="D741" t="s">
        <v>1105</v>
      </c>
      <c r="E741" s="6" t="s">
        <v>1106</v>
      </c>
    </row>
    <row r="742" spans="1:5" ht="48" x14ac:dyDescent="0.2">
      <c r="A742" s="269">
        <v>45875.391921296294</v>
      </c>
      <c r="B742" t="s">
        <v>757</v>
      </c>
      <c r="C742" t="s">
        <v>611</v>
      </c>
      <c r="D742" t="s">
        <v>1105</v>
      </c>
      <c r="E742" s="6" t="s">
        <v>1107</v>
      </c>
    </row>
    <row r="743" spans="1:5" ht="48" x14ac:dyDescent="0.2">
      <c r="A743" s="269">
        <v>45875.391967592594</v>
      </c>
      <c r="B743" t="s">
        <v>757</v>
      </c>
      <c r="C743" t="s">
        <v>611</v>
      </c>
      <c r="D743" t="s">
        <v>1105</v>
      </c>
      <c r="E743" s="6" t="s">
        <v>1108</v>
      </c>
    </row>
    <row r="744" spans="1:5" ht="80" x14ac:dyDescent="0.2">
      <c r="A744" s="269">
        <v>45875.39203703704</v>
      </c>
      <c r="B744" t="s">
        <v>757</v>
      </c>
      <c r="C744" t="s">
        <v>611</v>
      </c>
      <c r="D744" t="s">
        <v>1109</v>
      </c>
      <c r="E744" s="6" t="s">
        <v>1110</v>
      </c>
    </row>
    <row r="745" spans="1:5" ht="80" x14ac:dyDescent="0.2">
      <c r="A745" s="269">
        <v>45875.392129629632</v>
      </c>
      <c r="B745" t="s">
        <v>757</v>
      </c>
      <c r="C745" t="s">
        <v>611</v>
      </c>
      <c r="D745" t="s">
        <v>1109</v>
      </c>
      <c r="E745" s="6" t="s">
        <v>1111</v>
      </c>
    </row>
    <row r="746" spans="1:5" x14ac:dyDescent="0.2">
      <c r="A746" s="269">
        <v>45875.392789351848</v>
      </c>
      <c r="B746" t="s">
        <v>757</v>
      </c>
      <c r="C746" t="s">
        <v>611</v>
      </c>
      <c r="D746" t="s">
        <v>1112</v>
      </c>
      <c r="E746" t="s">
        <v>313</v>
      </c>
    </row>
    <row r="747" spans="1:5" ht="64" x14ac:dyDescent="0.2">
      <c r="A747" s="269">
        <v>45875.392962962964</v>
      </c>
      <c r="B747" t="s">
        <v>757</v>
      </c>
      <c r="C747" t="s">
        <v>611</v>
      </c>
      <c r="D747" t="s">
        <v>1105</v>
      </c>
      <c r="E747" s="6" t="s">
        <v>1113</v>
      </c>
    </row>
    <row r="748" spans="1:5" x14ac:dyDescent="0.2">
      <c r="A748" s="269">
        <v>45875.392997685187</v>
      </c>
      <c r="B748" t="s">
        <v>757</v>
      </c>
      <c r="C748" t="s">
        <v>611</v>
      </c>
      <c r="D748" t="s">
        <v>1114</v>
      </c>
      <c r="E748" t="s">
        <v>1115</v>
      </c>
    </row>
    <row r="749" spans="1:5" ht="64" x14ac:dyDescent="0.2">
      <c r="A749" s="269">
        <v>45875.393009259256</v>
      </c>
      <c r="B749" t="s">
        <v>757</v>
      </c>
      <c r="C749" t="s">
        <v>611</v>
      </c>
      <c r="D749" t="s">
        <v>1105</v>
      </c>
      <c r="E749" s="6" t="s">
        <v>1116</v>
      </c>
    </row>
    <row r="750" spans="1:5" ht="80" x14ac:dyDescent="0.2">
      <c r="A750" s="269">
        <v>45875.393043981479</v>
      </c>
      <c r="B750" t="s">
        <v>757</v>
      </c>
      <c r="C750" t="s">
        <v>611</v>
      </c>
      <c r="D750" t="s">
        <v>1105</v>
      </c>
      <c r="E750" s="6" t="s">
        <v>1117</v>
      </c>
    </row>
    <row r="751" spans="1:5" x14ac:dyDescent="0.2">
      <c r="A751" s="269">
        <v>45875.393078703702</v>
      </c>
      <c r="B751" t="s">
        <v>757</v>
      </c>
      <c r="C751" t="s">
        <v>611</v>
      </c>
      <c r="D751" t="s">
        <v>1118</v>
      </c>
    </row>
    <row r="752" spans="1:5" ht="96" x14ac:dyDescent="0.2">
      <c r="A752" s="269">
        <v>45875.393136574072</v>
      </c>
      <c r="B752" t="s">
        <v>757</v>
      </c>
      <c r="C752" t="s">
        <v>611</v>
      </c>
      <c r="D752" t="s">
        <v>1105</v>
      </c>
      <c r="E752" s="6" t="s">
        <v>1119</v>
      </c>
    </row>
    <row r="753" spans="1:5" x14ac:dyDescent="0.2">
      <c r="A753" s="269">
        <v>45875.393159722225</v>
      </c>
      <c r="B753" t="s">
        <v>757</v>
      </c>
      <c r="C753" t="s">
        <v>611</v>
      </c>
      <c r="D753" t="s">
        <v>1120</v>
      </c>
    </row>
    <row r="754" spans="1:5" ht="96" x14ac:dyDescent="0.2">
      <c r="A754" s="269">
        <v>45875.393333333333</v>
      </c>
      <c r="B754" t="s">
        <v>757</v>
      </c>
      <c r="C754" t="s">
        <v>611</v>
      </c>
      <c r="D754" t="s">
        <v>1105</v>
      </c>
      <c r="E754" s="6" t="s">
        <v>1119</v>
      </c>
    </row>
    <row r="755" spans="1:5" ht="112" x14ac:dyDescent="0.2">
      <c r="A755" s="269">
        <v>45875.393368055556</v>
      </c>
      <c r="B755" t="s">
        <v>757</v>
      </c>
      <c r="C755" t="s">
        <v>611</v>
      </c>
      <c r="D755" t="s">
        <v>1105</v>
      </c>
      <c r="E755" s="6" t="s">
        <v>1121</v>
      </c>
    </row>
    <row r="756" spans="1:5" ht="96" x14ac:dyDescent="0.2">
      <c r="A756" s="269">
        <v>45875.393460648149</v>
      </c>
      <c r="B756" t="s">
        <v>757</v>
      </c>
      <c r="C756" t="s">
        <v>611</v>
      </c>
      <c r="D756" t="s">
        <v>1109</v>
      </c>
      <c r="E756" s="6" t="s">
        <v>1122</v>
      </c>
    </row>
    <row r="757" spans="1:5" x14ac:dyDescent="0.2">
      <c r="A757" s="269">
        <v>45875.393587962964</v>
      </c>
      <c r="B757" t="s">
        <v>757</v>
      </c>
      <c r="C757" t="s">
        <v>611</v>
      </c>
      <c r="D757" t="s">
        <v>1123</v>
      </c>
      <c r="E757" t="s">
        <v>333</v>
      </c>
    </row>
    <row r="758" spans="1:5" ht="112" x14ac:dyDescent="0.2">
      <c r="A758" s="269">
        <v>45875.393726851849</v>
      </c>
      <c r="B758" t="s">
        <v>757</v>
      </c>
      <c r="C758" t="s">
        <v>611</v>
      </c>
      <c r="D758" t="s">
        <v>1109</v>
      </c>
      <c r="E758" s="6" t="s">
        <v>1124</v>
      </c>
    </row>
    <row r="759" spans="1:5" ht="112" x14ac:dyDescent="0.2">
      <c r="A759" s="269">
        <v>45875.393819444442</v>
      </c>
      <c r="B759" t="s">
        <v>757</v>
      </c>
      <c r="C759" t="s">
        <v>611</v>
      </c>
      <c r="D759" t="s">
        <v>1109</v>
      </c>
      <c r="E759" s="6" t="s">
        <v>1125</v>
      </c>
    </row>
    <row r="760" spans="1:5" ht="112" x14ac:dyDescent="0.2">
      <c r="A760" s="269">
        <v>45875.393865740742</v>
      </c>
      <c r="B760" t="s">
        <v>757</v>
      </c>
      <c r="C760" t="s">
        <v>611</v>
      </c>
      <c r="D760" t="s">
        <v>1109</v>
      </c>
      <c r="E760" s="6" t="s">
        <v>1125</v>
      </c>
    </row>
    <row r="761" spans="1:5" x14ac:dyDescent="0.2">
      <c r="A761" s="269">
        <v>45875.393877314818</v>
      </c>
      <c r="B761" t="s">
        <v>757</v>
      </c>
      <c r="C761" t="s">
        <v>611</v>
      </c>
      <c r="D761" t="s">
        <v>1126</v>
      </c>
    </row>
    <row r="762" spans="1:5" x14ac:dyDescent="0.2">
      <c r="A762" s="269">
        <v>45875.394108796296</v>
      </c>
      <c r="B762" t="s">
        <v>757</v>
      </c>
      <c r="C762" t="s">
        <v>611</v>
      </c>
      <c r="D762" t="s">
        <v>1127</v>
      </c>
      <c r="E762" t="s">
        <v>103</v>
      </c>
    </row>
    <row r="763" spans="1:5" x14ac:dyDescent="0.2">
      <c r="A763" s="269">
        <v>45875.394479166665</v>
      </c>
      <c r="B763" t="s">
        <v>757</v>
      </c>
      <c r="C763" t="s">
        <v>27</v>
      </c>
      <c r="D763" t="s">
        <v>727</v>
      </c>
      <c r="E763" t="s">
        <v>939</v>
      </c>
    </row>
    <row r="764" spans="1:5" x14ac:dyDescent="0.2">
      <c r="A764" s="269">
        <v>45875.394791666666</v>
      </c>
      <c r="B764" t="s">
        <v>757</v>
      </c>
      <c r="C764" t="s">
        <v>15</v>
      </c>
      <c r="D764" t="s">
        <v>1079</v>
      </c>
      <c r="E764" t="s">
        <v>362</v>
      </c>
    </row>
    <row r="765" spans="1:5" x14ac:dyDescent="0.2">
      <c r="A765" s="269">
        <v>45875.397152777776</v>
      </c>
      <c r="B765" t="s">
        <v>757</v>
      </c>
      <c r="C765" t="s">
        <v>15</v>
      </c>
      <c r="D765" t="s">
        <v>1128</v>
      </c>
    </row>
    <row r="766" spans="1:5" x14ac:dyDescent="0.2">
      <c r="A766" s="269">
        <v>45875.397268518522</v>
      </c>
      <c r="B766" t="s">
        <v>757</v>
      </c>
      <c r="C766" t="s">
        <v>15</v>
      </c>
      <c r="D766" t="s">
        <v>981</v>
      </c>
    </row>
    <row r="767" spans="1:5" x14ac:dyDescent="0.2">
      <c r="A767" s="269">
        <v>45875.402025462965</v>
      </c>
      <c r="B767" t="s">
        <v>757</v>
      </c>
      <c r="C767" t="s">
        <v>611</v>
      </c>
      <c r="D767" t="s">
        <v>1129</v>
      </c>
      <c r="E767" t="s">
        <v>84</v>
      </c>
    </row>
    <row r="768" spans="1:5" ht="112" x14ac:dyDescent="0.2">
      <c r="A768" s="269">
        <v>45875.402268518519</v>
      </c>
      <c r="B768" t="s">
        <v>757</v>
      </c>
      <c r="C768" t="s">
        <v>611</v>
      </c>
      <c r="D768" t="s">
        <v>1130</v>
      </c>
      <c r="E768" s="6" t="s">
        <v>1131</v>
      </c>
    </row>
    <row r="769" spans="1:5" ht="112" x14ac:dyDescent="0.2">
      <c r="A769" s="269">
        <v>45875.402407407404</v>
      </c>
      <c r="B769" t="s">
        <v>757</v>
      </c>
      <c r="C769" t="s">
        <v>611</v>
      </c>
      <c r="D769" t="s">
        <v>1130</v>
      </c>
      <c r="E769" s="6" t="s">
        <v>1132</v>
      </c>
    </row>
    <row r="770" spans="1:5" x14ac:dyDescent="0.2">
      <c r="A770" s="269">
        <v>45875.402592592596</v>
      </c>
      <c r="B770" t="s">
        <v>757</v>
      </c>
      <c r="C770" t="s">
        <v>15</v>
      </c>
      <c r="D770" t="s">
        <v>777</v>
      </c>
      <c r="E770" t="s">
        <v>84</v>
      </c>
    </row>
    <row r="771" spans="1:5" x14ac:dyDescent="0.2">
      <c r="A771" s="269">
        <v>45875.403402777774</v>
      </c>
      <c r="B771" t="s">
        <v>757</v>
      </c>
      <c r="C771" t="s">
        <v>15</v>
      </c>
      <c r="D771" t="s">
        <v>658</v>
      </c>
      <c r="E771" t="s">
        <v>87</v>
      </c>
    </row>
    <row r="772" spans="1:5" x14ac:dyDescent="0.2">
      <c r="A772" s="269">
        <v>45875.403599537036</v>
      </c>
      <c r="B772" t="s">
        <v>757</v>
      </c>
      <c r="C772" t="s">
        <v>15</v>
      </c>
      <c r="D772" t="s">
        <v>1133</v>
      </c>
      <c r="E772" t="s">
        <v>92</v>
      </c>
    </row>
    <row r="773" spans="1:5" x14ac:dyDescent="0.2">
      <c r="A773" s="269">
        <v>45875.403657407405</v>
      </c>
      <c r="B773" t="s">
        <v>757</v>
      </c>
      <c r="C773" t="s">
        <v>15</v>
      </c>
      <c r="D773" t="s">
        <v>658</v>
      </c>
      <c r="E773" t="s">
        <v>185</v>
      </c>
    </row>
    <row r="774" spans="1:5" x14ac:dyDescent="0.2">
      <c r="A774" s="269">
        <v>45875.403749999998</v>
      </c>
      <c r="B774" t="s">
        <v>757</v>
      </c>
      <c r="C774" t="s">
        <v>15</v>
      </c>
      <c r="D774" t="s">
        <v>1134</v>
      </c>
      <c r="E774" t="s">
        <v>96</v>
      </c>
    </row>
    <row r="775" spans="1:5" x14ac:dyDescent="0.2">
      <c r="A775" s="269">
        <v>45875.403865740744</v>
      </c>
      <c r="B775" t="s">
        <v>757</v>
      </c>
      <c r="C775" t="s">
        <v>611</v>
      </c>
      <c r="D775" t="s">
        <v>1029</v>
      </c>
      <c r="E775" t="s">
        <v>92</v>
      </c>
    </row>
    <row r="776" spans="1:5" x14ac:dyDescent="0.2">
      <c r="A776" s="269">
        <v>45875.458935185183</v>
      </c>
      <c r="B776" t="s">
        <v>596</v>
      </c>
      <c r="C776" t="s">
        <v>597</v>
      </c>
      <c r="D776" t="s">
        <v>949</v>
      </c>
      <c r="E776" t="s">
        <v>39</v>
      </c>
    </row>
    <row r="777" spans="1:5" x14ac:dyDescent="0.2">
      <c r="A777" s="269">
        <v>45875.459247685183</v>
      </c>
      <c r="B777" t="s">
        <v>596</v>
      </c>
      <c r="C777" t="s">
        <v>2</v>
      </c>
      <c r="D777" t="s">
        <v>1135</v>
      </c>
      <c r="E777" t="s">
        <v>1136</v>
      </c>
    </row>
    <row r="778" spans="1:5" x14ac:dyDescent="0.2">
      <c r="A778" s="269">
        <v>45875.459444444445</v>
      </c>
      <c r="B778" t="s">
        <v>596</v>
      </c>
      <c r="C778" t="s">
        <v>2</v>
      </c>
      <c r="D778" t="s">
        <v>1137</v>
      </c>
      <c r="E778" t="e">
        <v>#REF!</v>
      </c>
    </row>
    <row r="779" spans="1:5" x14ac:dyDescent="0.2">
      <c r="A779" s="269">
        <v>45875.45988425926</v>
      </c>
      <c r="B779" t="s">
        <v>596</v>
      </c>
      <c r="C779" t="s">
        <v>2</v>
      </c>
      <c r="D779" t="s">
        <v>1137</v>
      </c>
      <c r="E779" t="s">
        <v>1136</v>
      </c>
    </row>
    <row r="780" spans="1:5" x14ac:dyDescent="0.2">
      <c r="A780" s="269">
        <v>45875.45994212963</v>
      </c>
      <c r="B780" t="s">
        <v>596</v>
      </c>
      <c r="C780" t="s">
        <v>2</v>
      </c>
      <c r="D780" t="s">
        <v>1138</v>
      </c>
      <c r="E780" t="s">
        <v>1136</v>
      </c>
    </row>
    <row r="781" spans="1:5" x14ac:dyDescent="0.2">
      <c r="A781" s="269">
        <v>45875.460046296299</v>
      </c>
      <c r="B781" t="s">
        <v>596</v>
      </c>
      <c r="C781" t="s">
        <v>28</v>
      </c>
      <c r="D781" t="s">
        <v>1139</v>
      </c>
      <c r="E781" t="s">
        <v>317</v>
      </c>
    </row>
    <row r="782" spans="1:5" x14ac:dyDescent="0.2">
      <c r="A782" s="269">
        <v>45875.460115740738</v>
      </c>
      <c r="B782" t="s">
        <v>596</v>
      </c>
      <c r="C782" t="s">
        <v>28</v>
      </c>
      <c r="D782" t="s">
        <v>1140</v>
      </c>
    </row>
    <row r="783" spans="1:5" x14ac:dyDescent="0.2">
      <c r="A783" s="269">
        <v>45875.460115740738</v>
      </c>
      <c r="B783" t="s">
        <v>596</v>
      </c>
      <c r="C783" t="s">
        <v>28</v>
      </c>
      <c r="D783" t="s">
        <v>1141</v>
      </c>
      <c r="E783" t="s">
        <v>38</v>
      </c>
    </row>
    <row r="784" spans="1:5" x14ac:dyDescent="0.2">
      <c r="A784" s="269">
        <v>45875.460127314815</v>
      </c>
      <c r="B784" t="s">
        <v>596</v>
      </c>
      <c r="C784" t="s">
        <v>28</v>
      </c>
      <c r="D784" t="s">
        <v>1142</v>
      </c>
      <c r="E784" t="s">
        <v>317</v>
      </c>
    </row>
    <row r="785" spans="1:5" x14ac:dyDescent="0.2">
      <c r="A785" s="269">
        <v>45875.460138888891</v>
      </c>
      <c r="B785" t="s">
        <v>596</v>
      </c>
      <c r="C785" t="s">
        <v>28</v>
      </c>
      <c r="D785" t="s">
        <v>1143</v>
      </c>
      <c r="E785" t="s">
        <v>283</v>
      </c>
    </row>
    <row r="786" spans="1:5" x14ac:dyDescent="0.2">
      <c r="A786" s="269">
        <v>45875.460428240738</v>
      </c>
      <c r="B786" t="s">
        <v>596</v>
      </c>
      <c r="C786" t="s">
        <v>28</v>
      </c>
      <c r="D786" t="s">
        <v>1144</v>
      </c>
      <c r="E786">
        <v>0</v>
      </c>
    </row>
    <row r="787" spans="1:5" x14ac:dyDescent="0.2">
      <c r="A787" s="269">
        <v>45875.460474537038</v>
      </c>
      <c r="B787" t="s">
        <v>596</v>
      </c>
      <c r="C787" t="s">
        <v>28</v>
      </c>
      <c r="D787" t="s">
        <v>1145</v>
      </c>
      <c r="E787">
        <v>0</v>
      </c>
    </row>
    <row r="788" spans="1:5" x14ac:dyDescent="0.2">
      <c r="A788" s="269">
        <v>45875.460543981484</v>
      </c>
      <c r="B788" t="s">
        <v>596</v>
      </c>
      <c r="C788" t="s">
        <v>28</v>
      </c>
      <c r="D788" t="s">
        <v>1146</v>
      </c>
      <c r="E788">
        <v>0</v>
      </c>
    </row>
    <row r="789" spans="1:5" x14ac:dyDescent="0.2">
      <c r="A789" s="269">
        <v>45875.460578703707</v>
      </c>
      <c r="B789" t="s">
        <v>596</v>
      </c>
      <c r="C789" t="s">
        <v>28</v>
      </c>
      <c r="D789" t="s">
        <v>1147</v>
      </c>
      <c r="E789">
        <v>0</v>
      </c>
    </row>
    <row r="790" spans="1:5" x14ac:dyDescent="0.2">
      <c r="A790" s="269">
        <v>45875.460601851853</v>
      </c>
      <c r="B790" t="s">
        <v>596</v>
      </c>
      <c r="C790" t="s">
        <v>28</v>
      </c>
      <c r="D790" t="s">
        <v>1148</v>
      </c>
      <c r="E790">
        <v>0</v>
      </c>
    </row>
    <row r="791" spans="1:5" x14ac:dyDescent="0.2">
      <c r="A791" s="269">
        <v>45875.460752314815</v>
      </c>
      <c r="B791" t="s">
        <v>596</v>
      </c>
      <c r="C791" t="s">
        <v>28</v>
      </c>
      <c r="D791" t="s">
        <v>1149</v>
      </c>
      <c r="E791">
        <v>0</v>
      </c>
    </row>
    <row r="792" spans="1:5" x14ac:dyDescent="0.2">
      <c r="A792" s="269">
        <v>45875.460810185185</v>
      </c>
      <c r="B792" t="s">
        <v>596</v>
      </c>
      <c r="C792" t="s">
        <v>28</v>
      </c>
      <c r="D792" t="s">
        <v>1144</v>
      </c>
      <c r="E792">
        <v>0</v>
      </c>
    </row>
    <row r="793" spans="1:5" x14ac:dyDescent="0.2">
      <c r="A793" s="269">
        <v>45875.460844907408</v>
      </c>
      <c r="B793" t="s">
        <v>596</v>
      </c>
      <c r="C793" t="s">
        <v>28</v>
      </c>
      <c r="D793" t="s">
        <v>1147</v>
      </c>
      <c r="E793">
        <v>0</v>
      </c>
    </row>
    <row r="794" spans="1:5" x14ac:dyDescent="0.2">
      <c r="A794" s="269">
        <v>45875.461006944446</v>
      </c>
      <c r="B794" t="s">
        <v>596</v>
      </c>
      <c r="C794" t="s">
        <v>28</v>
      </c>
      <c r="D794" t="s">
        <v>1146</v>
      </c>
      <c r="E794">
        <v>0</v>
      </c>
    </row>
    <row r="795" spans="1:5" x14ac:dyDescent="0.2">
      <c r="A795" s="269">
        <v>45875.461030092592</v>
      </c>
      <c r="B795" t="s">
        <v>596</v>
      </c>
      <c r="C795" t="s">
        <v>28</v>
      </c>
      <c r="D795" t="s">
        <v>1150</v>
      </c>
      <c r="E795">
        <v>0</v>
      </c>
    </row>
    <row r="796" spans="1:5" x14ac:dyDescent="0.2">
      <c r="A796" s="269">
        <v>45875.461076388892</v>
      </c>
      <c r="B796" t="s">
        <v>596</v>
      </c>
      <c r="C796" t="s">
        <v>28</v>
      </c>
      <c r="D796" t="s">
        <v>1151</v>
      </c>
      <c r="E796">
        <v>0</v>
      </c>
    </row>
    <row r="797" spans="1:5" x14ac:dyDescent="0.2">
      <c r="A797" s="269">
        <v>45875.461122685185</v>
      </c>
      <c r="B797" t="s">
        <v>596</v>
      </c>
      <c r="C797" t="s">
        <v>28</v>
      </c>
      <c r="D797" t="s">
        <v>1146</v>
      </c>
      <c r="E797">
        <v>0</v>
      </c>
    </row>
    <row r="798" spans="1:5" x14ac:dyDescent="0.2">
      <c r="A798" s="269">
        <v>45875.461157407408</v>
      </c>
      <c r="B798" t="s">
        <v>596</v>
      </c>
      <c r="C798" t="s">
        <v>28</v>
      </c>
      <c r="D798" t="s">
        <v>1152</v>
      </c>
      <c r="E798">
        <v>0</v>
      </c>
    </row>
    <row r="799" spans="1:5" x14ac:dyDescent="0.2">
      <c r="A799" s="269">
        <v>45875.461180555554</v>
      </c>
      <c r="B799" t="s">
        <v>596</v>
      </c>
      <c r="C799" t="s">
        <v>28</v>
      </c>
      <c r="D799" t="s">
        <v>1153</v>
      </c>
      <c r="E799">
        <v>0</v>
      </c>
    </row>
    <row r="800" spans="1:5" x14ac:dyDescent="0.2">
      <c r="A800" s="269">
        <v>45875.4612037037</v>
      </c>
      <c r="B800" t="s">
        <v>596</v>
      </c>
      <c r="C800" t="s">
        <v>28</v>
      </c>
      <c r="D800" t="s">
        <v>1154</v>
      </c>
      <c r="E800">
        <v>0</v>
      </c>
    </row>
    <row r="801" spans="1:5" x14ac:dyDescent="0.2">
      <c r="A801" s="269">
        <v>45875.461273148147</v>
      </c>
      <c r="B801" t="s">
        <v>596</v>
      </c>
      <c r="C801" t="s">
        <v>28</v>
      </c>
      <c r="D801" t="s">
        <v>1155</v>
      </c>
      <c r="E801">
        <v>0</v>
      </c>
    </row>
    <row r="802" spans="1:5" x14ac:dyDescent="0.2">
      <c r="A802" s="269">
        <v>45875.461342592593</v>
      </c>
      <c r="B802" t="s">
        <v>596</v>
      </c>
      <c r="C802" t="s">
        <v>28</v>
      </c>
      <c r="D802" t="s">
        <v>1156</v>
      </c>
      <c r="E802">
        <v>500</v>
      </c>
    </row>
    <row r="803" spans="1:5" x14ac:dyDescent="0.2">
      <c r="A803" s="269">
        <v>45875.461377314816</v>
      </c>
      <c r="B803" t="s">
        <v>596</v>
      </c>
      <c r="C803" t="s">
        <v>28</v>
      </c>
      <c r="D803" t="s">
        <v>1157</v>
      </c>
      <c r="E803">
        <v>0</v>
      </c>
    </row>
    <row r="804" spans="1:5" x14ac:dyDescent="0.2">
      <c r="A804" s="269">
        <v>45875.461400462962</v>
      </c>
      <c r="B804" t="s">
        <v>596</v>
      </c>
      <c r="C804" t="s">
        <v>28</v>
      </c>
      <c r="D804" t="s">
        <v>1158</v>
      </c>
      <c r="E804">
        <v>500</v>
      </c>
    </row>
    <row r="805" spans="1:5" x14ac:dyDescent="0.2">
      <c r="A805" s="269">
        <v>45875.461446759262</v>
      </c>
      <c r="B805" t="s">
        <v>596</v>
      </c>
      <c r="C805" t="s">
        <v>28</v>
      </c>
      <c r="D805" t="s">
        <v>1159</v>
      </c>
      <c r="E805">
        <v>0</v>
      </c>
    </row>
    <row r="806" spans="1:5" x14ac:dyDescent="0.2">
      <c r="A806" s="269">
        <v>45875.461469907408</v>
      </c>
      <c r="B806" t="s">
        <v>596</v>
      </c>
      <c r="C806" t="s">
        <v>28</v>
      </c>
      <c r="D806" t="s">
        <v>1160</v>
      </c>
      <c r="E806">
        <v>0</v>
      </c>
    </row>
    <row r="807" spans="1:5" x14ac:dyDescent="0.2">
      <c r="A807" s="269">
        <v>45875.461493055554</v>
      </c>
      <c r="B807" t="s">
        <v>596</v>
      </c>
      <c r="C807" t="s">
        <v>28</v>
      </c>
      <c r="D807" t="s">
        <v>1161</v>
      </c>
      <c r="E807">
        <v>0</v>
      </c>
    </row>
    <row r="808" spans="1:5" x14ac:dyDescent="0.2">
      <c r="A808" s="269">
        <v>45875.461539351854</v>
      </c>
      <c r="B808" t="s">
        <v>596</v>
      </c>
      <c r="C808" t="s">
        <v>28</v>
      </c>
      <c r="D808" t="s">
        <v>1162</v>
      </c>
      <c r="E808">
        <v>0</v>
      </c>
    </row>
    <row r="809" spans="1:5" x14ac:dyDescent="0.2">
      <c r="A809" s="269">
        <v>45875.461574074077</v>
      </c>
      <c r="B809" t="s">
        <v>596</v>
      </c>
      <c r="C809" t="s">
        <v>28</v>
      </c>
      <c r="D809" t="s">
        <v>1163</v>
      </c>
      <c r="E809">
        <v>0</v>
      </c>
    </row>
    <row r="810" spans="1:5" x14ac:dyDescent="0.2">
      <c r="A810" s="269">
        <v>45875.461585648147</v>
      </c>
      <c r="B810" t="s">
        <v>596</v>
      </c>
      <c r="C810" t="s">
        <v>28</v>
      </c>
      <c r="D810" t="s">
        <v>1164</v>
      </c>
      <c r="E810">
        <v>0</v>
      </c>
    </row>
    <row r="811" spans="1:5" x14ac:dyDescent="0.2">
      <c r="A811" s="269">
        <v>45875.46162037037</v>
      </c>
      <c r="B811" t="s">
        <v>596</v>
      </c>
      <c r="C811" t="s">
        <v>28</v>
      </c>
      <c r="D811" t="s">
        <v>944</v>
      </c>
      <c r="E811">
        <v>0</v>
      </c>
    </row>
    <row r="812" spans="1:5" x14ac:dyDescent="0.2">
      <c r="A812" s="269">
        <v>45875.461655092593</v>
      </c>
      <c r="B812" t="s">
        <v>596</v>
      </c>
      <c r="C812" t="s">
        <v>28</v>
      </c>
      <c r="D812" t="s">
        <v>1165</v>
      </c>
      <c r="E812">
        <v>0</v>
      </c>
    </row>
    <row r="813" spans="1:5" x14ac:dyDescent="0.2">
      <c r="A813" s="269">
        <v>45875.461724537039</v>
      </c>
      <c r="B813" t="s">
        <v>596</v>
      </c>
      <c r="C813" t="s">
        <v>28</v>
      </c>
      <c r="D813" t="s">
        <v>1166</v>
      </c>
    </row>
    <row r="814" spans="1:5" x14ac:dyDescent="0.2">
      <c r="A814" s="269">
        <v>45875.461770833332</v>
      </c>
      <c r="B814" t="s">
        <v>596</v>
      </c>
      <c r="C814" t="s">
        <v>28</v>
      </c>
      <c r="D814" t="s">
        <v>1167</v>
      </c>
    </row>
    <row r="815" spans="1:5" x14ac:dyDescent="0.2">
      <c r="A815" s="269">
        <v>45876.40185185185</v>
      </c>
      <c r="B815" t="s">
        <v>596</v>
      </c>
      <c r="C815" t="s">
        <v>597</v>
      </c>
      <c r="D815" t="s">
        <v>949</v>
      </c>
      <c r="E815" t="s">
        <v>39</v>
      </c>
    </row>
    <row r="816" spans="1:5" x14ac:dyDescent="0.2">
      <c r="A816" s="269">
        <v>45876.414918981478</v>
      </c>
      <c r="B816" t="s">
        <v>596</v>
      </c>
      <c r="C816" t="s">
        <v>145</v>
      </c>
      <c r="D816" t="s">
        <v>1168</v>
      </c>
    </row>
    <row r="817" spans="1:5" x14ac:dyDescent="0.2">
      <c r="A817" s="269">
        <v>45876.414976851855</v>
      </c>
      <c r="B817" t="s">
        <v>596</v>
      </c>
      <c r="C817" t="s">
        <v>145</v>
      </c>
      <c r="D817" t="s">
        <v>1169</v>
      </c>
    </row>
    <row r="818" spans="1:5" x14ac:dyDescent="0.2">
      <c r="A818" s="269">
        <v>45882.470520833333</v>
      </c>
      <c r="B818" t="s">
        <v>757</v>
      </c>
      <c r="C818" t="s">
        <v>634</v>
      </c>
      <c r="D818" t="s">
        <v>865</v>
      </c>
      <c r="E818" t="s">
        <v>387</v>
      </c>
    </row>
    <row r="819" spans="1:5" x14ac:dyDescent="0.2">
      <c r="A819" s="269">
        <v>45882.470659722225</v>
      </c>
      <c r="B819" t="s">
        <v>757</v>
      </c>
      <c r="C819" t="s">
        <v>634</v>
      </c>
      <c r="D819" t="s">
        <v>1170</v>
      </c>
      <c r="E819" t="s">
        <v>1171</v>
      </c>
    </row>
    <row r="820" spans="1:5" x14ac:dyDescent="0.2">
      <c r="A820" s="269">
        <v>45882.470694444448</v>
      </c>
      <c r="B820" t="s">
        <v>757</v>
      </c>
      <c r="C820" t="s">
        <v>634</v>
      </c>
      <c r="D820" t="s">
        <v>1172</v>
      </c>
      <c r="E820" t="s">
        <v>1173</v>
      </c>
    </row>
    <row r="821" spans="1:5" x14ac:dyDescent="0.2">
      <c r="A821" s="269">
        <v>45882.47074074074</v>
      </c>
      <c r="B821" t="s">
        <v>757</v>
      </c>
      <c r="C821" t="s">
        <v>634</v>
      </c>
      <c r="D821" t="s">
        <v>860</v>
      </c>
      <c r="E821" t="s">
        <v>374</v>
      </c>
    </row>
    <row r="822" spans="1:5" x14ac:dyDescent="0.2">
      <c r="A822" s="269">
        <v>45882.470775462964</v>
      </c>
      <c r="B822" t="s">
        <v>757</v>
      </c>
      <c r="C822" t="s">
        <v>634</v>
      </c>
      <c r="D822" t="s">
        <v>856</v>
      </c>
      <c r="E822" t="s">
        <v>354</v>
      </c>
    </row>
    <row r="823" spans="1:5" x14ac:dyDescent="0.2">
      <c r="A823" s="269">
        <v>45882.652337962965</v>
      </c>
      <c r="B823" t="s">
        <v>757</v>
      </c>
      <c r="C823" t="s">
        <v>611</v>
      </c>
      <c r="D823" t="s">
        <v>763</v>
      </c>
    </row>
    <row r="824" spans="1:5" x14ac:dyDescent="0.2">
      <c r="A824" s="269">
        <v>45882.652337962965</v>
      </c>
      <c r="B824" t="s">
        <v>757</v>
      </c>
      <c r="C824" t="s">
        <v>611</v>
      </c>
      <c r="D824" t="s">
        <v>836</v>
      </c>
      <c r="E824" t="s">
        <v>38</v>
      </c>
    </row>
    <row r="825" spans="1:5" x14ac:dyDescent="0.2">
      <c r="A825" s="269">
        <v>45882.654074074075</v>
      </c>
      <c r="B825" t="s">
        <v>757</v>
      </c>
      <c r="C825" t="s">
        <v>611</v>
      </c>
      <c r="D825" t="s">
        <v>836</v>
      </c>
      <c r="E825" t="s">
        <v>42</v>
      </c>
    </row>
    <row r="826" spans="1:5" x14ac:dyDescent="0.2">
      <c r="A826" s="269">
        <v>45882.654074074075</v>
      </c>
      <c r="B826" t="s">
        <v>757</v>
      </c>
      <c r="C826" t="s">
        <v>611</v>
      </c>
      <c r="D826" t="s">
        <v>1174</v>
      </c>
      <c r="E826" t="s">
        <v>38</v>
      </c>
    </row>
    <row r="827" spans="1:5" x14ac:dyDescent="0.2">
      <c r="A827" s="269">
        <v>45882.654108796298</v>
      </c>
      <c r="B827" t="s">
        <v>757</v>
      </c>
      <c r="C827" t="s">
        <v>611</v>
      </c>
      <c r="D827" t="s">
        <v>1174</v>
      </c>
      <c r="E827" t="s">
        <v>46</v>
      </c>
    </row>
    <row r="828" spans="1:5" x14ac:dyDescent="0.2">
      <c r="A828" s="269">
        <v>45882.654108796298</v>
      </c>
      <c r="B828" t="s">
        <v>757</v>
      </c>
      <c r="C828" t="s">
        <v>611</v>
      </c>
      <c r="D828" t="s">
        <v>763</v>
      </c>
      <c r="E828" t="s">
        <v>38</v>
      </c>
    </row>
    <row r="829" spans="1:5" x14ac:dyDescent="0.2">
      <c r="A829" s="269">
        <v>45882.654293981483</v>
      </c>
      <c r="B829" t="s">
        <v>757</v>
      </c>
      <c r="C829" t="s">
        <v>611</v>
      </c>
      <c r="D829" t="s">
        <v>1175</v>
      </c>
    </row>
    <row r="830" spans="1:5" x14ac:dyDescent="0.2">
      <c r="A830" s="269">
        <v>45882.654293981483</v>
      </c>
      <c r="B830" t="s">
        <v>757</v>
      </c>
      <c r="C830" t="s">
        <v>611</v>
      </c>
      <c r="D830" t="s">
        <v>1176</v>
      </c>
      <c r="E830" t="s">
        <v>26</v>
      </c>
    </row>
    <row r="831" spans="1:5" x14ac:dyDescent="0.2">
      <c r="A831" s="269">
        <v>45882.654351851852</v>
      </c>
      <c r="B831" t="s">
        <v>757</v>
      </c>
      <c r="C831" t="s">
        <v>611</v>
      </c>
      <c r="D831" t="s">
        <v>1177</v>
      </c>
    </row>
    <row r="832" spans="1:5" x14ac:dyDescent="0.2">
      <c r="A832" s="269">
        <v>45882.654351851852</v>
      </c>
      <c r="B832" t="s">
        <v>757</v>
      </c>
      <c r="C832" t="s">
        <v>611</v>
      </c>
      <c r="D832" t="s">
        <v>836</v>
      </c>
      <c r="E832" t="s">
        <v>38</v>
      </c>
    </row>
    <row r="833" spans="1:5" x14ac:dyDescent="0.2">
      <c r="A833" s="269">
        <v>45882.654467592591</v>
      </c>
      <c r="B833" t="s">
        <v>757</v>
      </c>
      <c r="C833" t="s">
        <v>611</v>
      </c>
      <c r="D833" t="s">
        <v>1178</v>
      </c>
      <c r="E833" t="s">
        <v>25</v>
      </c>
    </row>
    <row r="834" spans="1:5" x14ac:dyDescent="0.2">
      <c r="A834" s="269">
        <v>45882.654502314814</v>
      </c>
      <c r="B834" t="s">
        <v>757</v>
      </c>
      <c r="C834" t="s">
        <v>611</v>
      </c>
      <c r="D834" t="s">
        <v>1178</v>
      </c>
      <c r="E834" t="s">
        <v>25</v>
      </c>
    </row>
    <row r="835" spans="1:5" x14ac:dyDescent="0.2">
      <c r="A835" s="269">
        <v>45882.658842592595</v>
      </c>
      <c r="B835" t="s">
        <v>757</v>
      </c>
      <c r="C835" t="s">
        <v>611</v>
      </c>
      <c r="D835" t="s">
        <v>1179</v>
      </c>
      <c r="E835" t="s">
        <v>1180</v>
      </c>
    </row>
    <row r="836" spans="1:5" x14ac:dyDescent="0.2">
      <c r="A836" s="269">
        <v>45882.660798611112</v>
      </c>
      <c r="B836" t="s">
        <v>757</v>
      </c>
      <c r="C836" t="s">
        <v>634</v>
      </c>
      <c r="D836" t="s">
        <v>1170</v>
      </c>
      <c r="E836" t="s">
        <v>1181</v>
      </c>
    </row>
    <row r="837" spans="1:5" x14ac:dyDescent="0.2">
      <c r="A837" s="269">
        <v>45882.660844907405</v>
      </c>
      <c r="B837" t="s">
        <v>757</v>
      </c>
      <c r="C837" t="s">
        <v>634</v>
      </c>
      <c r="D837" t="s">
        <v>1172</v>
      </c>
      <c r="E837" t="s">
        <v>1182</v>
      </c>
    </row>
    <row r="838" spans="1:5" ht="160" x14ac:dyDescent="0.2">
      <c r="A838" s="269">
        <v>45882.662280092591</v>
      </c>
      <c r="B838" t="s">
        <v>757</v>
      </c>
      <c r="C838" t="s">
        <v>611</v>
      </c>
      <c r="D838" t="s">
        <v>1183</v>
      </c>
      <c r="E838" s="6" t="s">
        <v>1184</v>
      </c>
    </row>
    <row r="839" spans="1:5" ht="160" x14ac:dyDescent="0.2">
      <c r="A839" s="269">
        <v>45882.663437499999</v>
      </c>
      <c r="B839" t="s">
        <v>757</v>
      </c>
      <c r="C839" t="s">
        <v>611</v>
      </c>
      <c r="D839" t="s">
        <v>1183</v>
      </c>
      <c r="E839" s="6" t="s">
        <v>1185</v>
      </c>
    </row>
    <row r="840" spans="1:5" ht="176" x14ac:dyDescent="0.2">
      <c r="A840" s="269">
        <v>45882.663634259261</v>
      </c>
      <c r="B840" t="s">
        <v>757</v>
      </c>
      <c r="C840" t="s">
        <v>611</v>
      </c>
      <c r="D840" t="s">
        <v>1183</v>
      </c>
      <c r="E840" s="6" t="s">
        <v>1186</v>
      </c>
    </row>
    <row r="841" spans="1:5" ht="176" x14ac:dyDescent="0.2">
      <c r="A841" s="269">
        <v>45882.663738425923</v>
      </c>
      <c r="B841" t="s">
        <v>757</v>
      </c>
      <c r="C841" t="s">
        <v>611</v>
      </c>
      <c r="D841" t="s">
        <v>1183</v>
      </c>
      <c r="E841" s="6" t="s">
        <v>1187</v>
      </c>
    </row>
    <row r="842" spans="1:5" x14ac:dyDescent="0.2">
      <c r="A842" s="269">
        <v>45882.665416666663</v>
      </c>
      <c r="B842" t="s">
        <v>757</v>
      </c>
      <c r="C842" t="s">
        <v>611</v>
      </c>
      <c r="D842" t="s">
        <v>1179</v>
      </c>
      <c r="E842" t="s">
        <v>1188</v>
      </c>
    </row>
    <row r="843" spans="1:5" x14ac:dyDescent="0.2">
      <c r="A843" s="269">
        <v>45882.665509259263</v>
      </c>
      <c r="B843" t="s">
        <v>757</v>
      </c>
      <c r="C843" t="s">
        <v>611</v>
      </c>
      <c r="D843" t="s">
        <v>1179</v>
      </c>
      <c r="E843" t="s">
        <v>48</v>
      </c>
    </row>
    <row r="844" spans="1:5" x14ac:dyDescent="0.2">
      <c r="A844" s="269">
        <v>45883.497835648152</v>
      </c>
      <c r="B844" t="s">
        <v>757</v>
      </c>
      <c r="C844" t="s">
        <v>611</v>
      </c>
      <c r="D844" t="s">
        <v>1100</v>
      </c>
      <c r="E844" t="s">
        <v>142</v>
      </c>
    </row>
    <row r="845" spans="1:5" ht="176" x14ac:dyDescent="0.2">
      <c r="A845" s="269">
        <v>45883.558935185189</v>
      </c>
      <c r="B845" t="s">
        <v>757</v>
      </c>
      <c r="C845" t="s">
        <v>611</v>
      </c>
      <c r="D845" t="s">
        <v>1183</v>
      </c>
      <c r="E845" s="6" t="s">
        <v>1189</v>
      </c>
    </row>
    <row r="846" spans="1:5" x14ac:dyDescent="0.2">
      <c r="A846" s="269">
        <v>45883.595173611109</v>
      </c>
      <c r="B846" t="s">
        <v>757</v>
      </c>
      <c r="C846" t="s">
        <v>597</v>
      </c>
      <c r="D846" t="s">
        <v>1190</v>
      </c>
      <c r="E846" t="s">
        <v>39</v>
      </c>
    </row>
    <row r="847" spans="1:5" x14ac:dyDescent="0.2">
      <c r="A847" s="269">
        <v>45883.604722222219</v>
      </c>
      <c r="B847" t="s">
        <v>757</v>
      </c>
      <c r="C847" t="s">
        <v>26</v>
      </c>
      <c r="D847" t="s">
        <v>1191</v>
      </c>
      <c r="E847" t="s">
        <v>89</v>
      </c>
    </row>
    <row r="848" spans="1:5" x14ac:dyDescent="0.2">
      <c r="A848" s="269">
        <v>45883.604756944442</v>
      </c>
      <c r="B848" t="s">
        <v>757</v>
      </c>
      <c r="C848" t="s">
        <v>26</v>
      </c>
      <c r="D848" t="s">
        <v>1191</v>
      </c>
      <c r="E848" t="s">
        <v>338</v>
      </c>
    </row>
    <row r="849" spans="1:5" x14ac:dyDescent="0.2">
      <c r="A849" s="269">
        <v>45883.604861111111</v>
      </c>
      <c r="B849" t="s">
        <v>757</v>
      </c>
      <c r="C849" t="s">
        <v>26</v>
      </c>
      <c r="D849" t="s">
        <v>973</v>
      </c>
      <c r="E849">
        <v>1</v>
      </c>
    </row>
    <row r="850" spans="1:5" x14ac:dyDescent="0.2">
      <c r="A850" s="269">
        <v>45883.604895833334</v>
      </c>
      <c r="B850" t="s">
        <v>757</v>
      </c>
      <c r="C850" t="s">
        <v>26</v>
      </c>
      <c r="D850" t="s">
        <v>1191</v>
      </c>
    </row>
    <row r="851" spans="1:5" x14ac:dyDescent="0.2">
      <c r="A851" s="269">
        <v>45883.605902777781</v>
      </c>
      <c r="B851" t="s">
        <v>757</v>
      </c>
      <c r="C851" t="s">
        <v>611</v>
      </c>
      <c r="D851" t="s">
        <v>1192</v>
      </c>
      <c r="E851" t="s">
        <v>107</v>
      </c>
    </row>
    <row r="852" spans="1:5" x14ac:dyDescent="0.2">
      <c r="A852" s="269">
        <v>45883.606249999997</v>
      </c>
      <c r="B852" t="s">
        <v>757</v>
      </c>
      <c r="C852" t="s">
        <v>611</v>
      </c>
      <c r="D852" t="s">
        <v>1192</v>
      </c>
      <c r="E852" t="s">
        <v>107</v>
      </c>
    </row>
    <row r="853" spans="1:5" x14ac:dyDescent="0.2">
      <c r="A853" s="269">
        <v>45883.606296296297</v>
      </c>
      <c r="B853" t="s">
        <v>757</v>
      </c>
      <c r="C853" t="s">
        <v>611</v>
      </c>
      <c r="D853" t="s">
        <v>1193</v>
      </c>
      <c r="E853" t="s">
        <v>126</v>
      </c>
    </row>
    <row r="854" spans="1:5" x14ac:dyDescent="0.2">
      <c r="A854" s="269">
        <v>45883.60633101852</v>
      </c>
      <c r="B854" t="s">
        <v>757</v>
      </c>
      <c r="C854" t="s">
        <v>611</v>
      </c>
      <c r="D854" t="s">
        <v>931</v>
      </c>
      <c r="E854" t="s">
        <v>130</v>
      </c>
    </row>
    <row r="855" spans="1:5" x14ac:dyDescent="0.2">
      <c r="A855" s="269">
        <v>45883.61273148148</v>
      </c>
      <c r="B855" t="s">
        <v>757</v>
      </c>
      <c r="C855" t="s">
        <v>634</v>
      </c>
      <c r="D855" t="s">
        <v>1194</v>
      </c>
      <c r="E855" t="s">
        <v>383</v>
      </c>
    </row>
    <row r="856" spans="1:5" ht="224" x14ac:dyDescent="0.2">
      <c r="A856" s="269">
        <v>45883.612870370373</v>
      </c>
      <c r="B856" t="s">
        <v>757</v>
      </c>
      <c r="C856" t="s">
        <v>611</v>
      </c>
      <c r="D856" t="s">
        <v>1195</v>
      </c>
      <c r="E856" s="6" t="s">
        <v>1196</v>
      </c>
    </row>
    <row r="857" spans="1:5" ht="224" x14ac:dyDescent="0.2">
      <c r="A857" s="269">
        <v>45883.612939814811</v>
      </c>
      <c r="B857" t="s">
        <v>757</v>
      </c>
      <c r="C857" t="s">
        <v>611</v>
      </c>
      <c r="D857" t="s">
        <v>1195</v>
      </c>
      <c r="E857" s="6" t="s">
        <v>1196</v>
      </c>
    </row>
    <row r="858" spans="1:5" x14ac:dyDescent="0.2">
      <c r="A858" s="269">
        <v>45883.62159722222</v>
      </c>
      <c r="B858" t="s">
        <v>757</v>
      </c>
      <c r="C858" t="s">
        <v>2</v>
      </c>
      <c r="D858" t="s">
        <v>1197</v>
      </c>
    </row>
    <row r="859" spans="1:5" x14ac:dyDescent="0.2">
      <c r="A859" s="269">
        <v>45883.62159722222</v>
      </c>
      <c r="B859" t="s">
        <v>757</v>
      </c>
      <c r="C859" t="s">
        <v>2</v>
      </c>
      <c r="D859" t="s">
        <v>1197</v>
      </c>
    </row>
    <row r="860" spans="1:5" x14ac:dyDescent="0.2">
      <c r="A860" s="269">
        <v>45883.621631944443</v>
      </c>
      <c r="B860" t="s">
        <v>757</v>
      </c>
      <c r="C860" t="s">
        <v>2</v>
      </c>
      <c r="D860" t="s">
        <v>618</v>
      </c>
    </row>
    <row r="861" spans="1:5" x14ac:dyDescent="0.2">
      <c r="A861" s="269">
        <v>45883.621655092589</v>
      </c>
      <c r="B861" t="s">
        <v>757</v>
      </c>
      <c r="C861" t="s">
        <v>2</v>
      </c>
      <c r="D861" t="s">
        <v>618</v>
      </c>
    </row>
    <row r="862" spans="1:5" x14ac:dyDescent="0.2">
      <c r="A862" s="269">
        <v>45883.621655092589</v>
      </c>
      <c r="B862" t="s">
        <v>757</v>
      </c>
      <c r="C862" t="s">
        <v>2</v>
      </c>
      <c r="D862" t="s">
        <v>1197</v>
      </c>
    </row>
    <row r="863" spans="1:5" x14ac:dyDescent="0.2">
      <c r="A863" s="269">
        <v>45883.621689814812</v>
      </c>
      <c r="B863" t="s">
        <v>757</v>
      </c>
      <c r="C863" t="s">
        <v>2</v>
      </c>
      <c r="D863" t="s">
        <v>1198</v>
      </c>
    </row>
    <row r="864" spans="1:5" x14ac:dyDescent="0.2">
      <c r="A864" s="269">
        <v>45883.621736111112</v>
      </c>
      <c r="B864" t="s">
        <v>757</v>
      </c>
      <c r="C864" t="s">
        <v>2</v>
      </c>
      <c r="D864" t="s">
        <v>1198</v>
      </c>
    </row>
    <row r="865" spans="1:5" x14ac:dyDescent="0.2">
      <c r="A865" s="269">
        <v>45883.621805555558</v>
      </c>
      <c r="B865" t="s">
        <v>757</v>
      </c>
      <c r="C865" t="s">
        <v>2</v>
      </c>
      <c r="D865" t="s">
        <v>1199</v>
      </c>
    </row>
    <row r="866" spans="1:5" x14ac:dyDescent="0.2">
      <c r="A866" s="269">
        <v>45883.621805555558</v>
      </c>
      <c r="B866" t="s">
        <v>757</v>
      </c>
      <c r="C866" t="s">
        <v>2</v>
      </c>
      <c r="D866" t="s">
        <v>1199</v>
      </c>
    </row>
    <row r="867" spans="1:5" x14ac:dyDescent="0.2">
      <c r="A867" s="269">
        <v>45883.621851851851</v>
      </c>
      <c r="B867" t="s">
        <v>757</v>
      </c>
      <c r="C867" t="s">
        <v>2</v>
      </c>
      <c r="D867" t="s">
        <v>785</v>
      </c>
    </row>
    <row r="868" spans="1:5" x14ac:dyDescent="0.2">
      <c r="A868" s="269">
        <v>45883.622025462966</v>
      </c>
      <c r="B868" t="s">
        <v>757</v>
      </c>
      <c r="C868" t="s">
        <v>2</v>
      </c>
      <c r="D868" t="s">
        <v>1200</v>
      </c>
      <c r="E868" t="s">
        <v>163</v>
      </c>
    </row>
    <row r="869" spans="1:5" x14ac:dyDescent="0.2">
      <c r="A869" s="269">
        <v>45883.622824074075</v>
      </c>
      <c r="B869" t="s">
        <v>757</v>
      </c>
      <c r="C869" t="s">
        <v>2</v>
      </c>
      <c r="D869" t="s">
        <v>1201</v>
      </c>
      <c r="E869" t="s">
        <v>115</v>
      </c>
    </row>
    <row r="870" spans="1:5" x14ac:dyDescent="0.2">
      <c r="A870" s="269">
        <v>45883.623171296298</v>
      </c>
      <c r="B870" t="s">
        <v>757</v>
      </c>
      <c r="C870" t="s">
        <v>2</v>
      </c>
      <c r="D870" t="s">
        <v>1202</v>
      </c>
      <c r="E870" t="s">
        <v>208</v>
      </c>
    </row>
    <row r="871" spans="1:5" x14ac:dyDescent="0.2">
      <c r="A871" s="269">
        <v>45883.623263888891</v>
      </c>
      <c r="B871" t="s">
        <v>757</v>
      </c>
      <c r="C871" t="s">
        <v>2</v>
      </c>
      <c r="D871" t="s">
        <v>1203</v>
      </c>
      <c r="E871" t="s">
        <v>207</v>
      </c>
    </row>
    <row r="872" spans="1:5" x14ac:dyDescent="0.2">
      <c r="A872" s="269">
        <v>45883.623437499999</v>
      </c>
      <c r="B872" t="s">
        <v>757</v>
      </c>
      <c r="C872" t="s">
        <v>25</v>
      </c>
      <c r="D872" t="s">
        <v>1194</v>
      </c>
      <c r="E872" t="s">
        <v>213</v>
      </c>
    </row>
    <row r="873" spans="1:5" x14ac:dyDescent="0.2">
      <c r="A873" s="269">
        <v>45883.623645833337</v>
      </c>
      <c r="B873" t="s">
        <v>757</v>
      </c>
      <c r="C873" t="s">
        <v>25</v>
      </c>
      <c r="D873" t="s">
        <v>1178</v>
      </c>
      <c r="E873" t="s">
        <v>214</v>
      </c>
    </row>
    <row r="874" spans="1:5" x14ac:dyDescent="0.2">
      <c r="A874" s="269">
        <v>45883.624016203707</v>
      </c>
      <c r="B874" t="s">
        <v>757</v>
      </c>
      <c r="C874" t="s">
        <v>2</v>
      </c>
      <c r="D874" t="s">
        <v>1204</v>
      </c>
      <c r="E874" t="s">
        <v>51</v>
      </c>
    </row>
    <row r="875" spans="1:5" x14ac:dyDescent="0.2">
      <c r="A875" s="269">
        <v>45883.624305555553</v>
      </c>
      <c r="B875" t="s">
        <v>757</v>
      </c>
      <c r="C875" t="s">
        <v>2</v>
      </c>
      <c r="D875" t="s">
        <v>1205</v>
      </c>
      <c r="E875">
        <v>1000</v>
      </c>
    </row>
    <row r="876" spans="1:5" x14ac:dyDescent="0.2">
      <c r="A876" s="269">
        <v>45883.624652777777</v>
      </c>
      <c r="B876" t="s">
        <v>757</v>
      </c>
      <c r="C876" t="s">
        <v>2</v>
      </c>
      <c r="D876" t="s">
        <v>1201</v>
      </c>
      <c r="E876" t="s">
        <v>213</v>
      </c>
    </row>
    <row r="877" spans="1:5" x14ac:dyDescent="0.2">
      <c r="A877" s="269">
        <v>45883.624918981484</v>
      </c>
      <c r="B877" t="s">
        <v>757</v>
      </c>
      <c r="C877" t="s">
        <v>2</v>
      </c>
      <c r="D877" t="s">
        <v>1206</v>
      </c>
    </row>
    <row r="878" spans="1:5" x14ac:dyDescent="0.2">
      <c r="A878" s="269">
        <v>45883.625081018516</v>
      </c>
      <c r="B878" t="s">
        <v>757</v>
      </c>
      <c r="C878" t="s">
        <v>2</v>
      </c>
      <c r="D878" t="s">
        <v>1207</v>
      </c>
      <c r="E878" t="s">
        <v>156</v>
      </c>
    </row>
    <row r="879" spans="1:5" x14ac:dyDescent="0.2">
      <c r="A879" s="269">
        <v>45883.625787037039</v>
      </c>
      <c r="B879" t="s">
        <v>757</v>
      </c>
      <c r="C879" t="s">
        <v>2</v>
      </c>
      <c r="D879" t="s">
        <v>1208</v>
      </c>
      <c r="E879" t="s">
        <v>1136</v>
      </c>
    </row>
    <row r="880" spans="1:5" x14ac:dyDescent="0.2">
      <c r="A880" s="269">
        <v>45883.625856481478</v>
      </c>
      <c r="B880" t="s">
        <v>757</v>
      </c>
      <c r="C880" t="s">
        <v>2</v>
      </c>
      <c r="D880" t="s">
        <v>1209</v>
      </c>
      <c r="E880" t="s">
        <v>1136</v>
      </c>
    </row>
    <row r="881" spans="1:5" x14ac:dyDescent="0.2">
      <c r="A881" s="269">
        <v>45883.626145833332</v>
      </c>
      <c r="B881" t="s">
        <v>757</v>
      </c>
      <c r="C881" t="s">
        <v>2</v>
      </c>
      <c r="D881" t="s">
        <v>1210</v>
      </c>
      <c r="E881" t="s">
        <v>317</v>
      </c>
    </row>
    <row r="882" spans="1:5" x14ac:dyDescent="0.2">
      <c r="A882" s="269">
        <v>45883.626168981478</v>
      </c>
      <c r="B882" t="s">
        <v>757</v>
      </c>
      <c r="C882" t="s">
        <v>2</v>
      </c>
      <c r="D882" t="s">
        <v>1211</v>
      </c>
      <c r="E882" t="s">
        <v>383</v>
      </c>
    </row>
    <row r="883" spans="1:5" x14ac:dyDescent="0.2">
      <c r="A883" s="269">
        <v>45883.626608796294</v>
      </c>
      <c r="B883" t="s">
        <v>757</v>
      </c>
      <c r="C883" t="s">
        <v>611</v>
      </c>
      <c r="D883" t="s">
        <v>1212</v>
      </c>
      <c r="E883" t="s">
        <v>1213</v>
      </c>
    </row>
    <row r="884" spans="1:5" x14ac:dyDescent="0.2">
      <c r="A884" s="269">
        <v>45883.626655092594</v>
      </c>
      <c r="B884" t="s">
        <v>757</v>
      </c>
      <c r="C884" t="s">
        <v>611</v>
      </c>
      <c r="D884" t="s">
        <v>1212</v>
      </c>
      <c r="E884" t="s">
        <v>114</v>
      </c>
    </row>
    <row r="885" spans="1:5" x14ac:dyDescent="0.2">
      <c r="A885" s="269">
        <v>45883.674768518518</v>
      </c>
      <c r="B885" t="s">
        <v>596</v>
      </c>
      <c r="C885" t="s">
        <v>103</v>
      </c>
      <c r="D885" t="s">
        <v>1214</v>
      </c>
    </row>
    <row r="886" spans="1:5" x14ac:dyDescent="0.2">
      <c r="A886" s="269">
        <v>45883.674803240741</v>
      </c>
      <c r="B886" t="s">
        <v>596</v>
      </c>
      <c r="C886" t="s">
        <v>103</v>
      </c>
      <c r="D886" t="s">
        <v>1214</v>
      </c>
    </row>
    <row r="887" spans="1:5" x14ac:dyDescent="0.2">
      <c r="A887" s="269">
        <v>45883.674803240741</v>
      </c>
      <c r="B887" t="s">
        <v>596</v>
      </c>
      <c r="C887" t="s">
        <v>103</v>
      </c>
      <c r="D887" t="s">
        <v>1215</v>
      </c>
    </row>
    <row r="888" spans="1:5" x14ac:dyDescent="0.2">
      <c r="A888" s="269">
        <v>45883.675081018519</v>
      </c>
      <c r="B888" t="s">
        <v>596</v>
      </c>
      <c r="C888" t="s">
        <v>103</v>
      </c>
      <c r="D888" t="s">
        <v>1216</v>
      </c>
    </row>
    <row r="889" spans="1:5" x14ac:dyDescent="0.2">
      <c r="A889" s="269">
        <v>45883.675185185188</v>
      </c>
      <c r="B889" t="s">
        <v>596</v>
      </c>
      <c r="C889" t="s">
        <v>103</v>
      </c>
      <c r="D889" t="s">
        <v>1217</v>
      </c>
    </row>
    <row r="890" spans="1:5" x14ac:dyDescent="0.2">
      <c r="A890" s="269">
        <v>45883.675254629627</v>
      </c>
      <c r="B890" t="s">
        <v>596</v>
      </c>
      <c r="C890" t="s">
        <v>103</v>
      </c>
      <c r="D890" t="s">
        <v>1214</v>
      </c>
    </row>
    <row r="891" spans="1:5" x14ac:dyDescent="0.2">
      <c r="A891" s="269">
        <v>45883.676053240742</v>
      </c>
      <c r="B891" t="s">
        <v>596</v>
      </c>
      <c r="C891" t="s">
        <v>58</v>
      </c>
      <c r="D891" t="s">
        <v>936</v>
      </c>
    </row>
    <row r="892" spans="1:5" x14ac:dyDescent="0.2">
      <c r="A892" s="269">
        <v>45883.679444444446</v>
      </c>
      <c r="B892" t="s">
        <v>596</v>
      </c>
      <c r="C892" t="s">
        <v>25</v>
      </c>
      <c r="D892" t="s">
        <v>1218</v>
      </c>
    </row>
    <row r="893" spans="1:5" x14ac:dyDescent="0.2">
      <c r="A893" s="269">
        <v>45883.679537037038</v>
      </c>
      <c r="B893" t="s">
        <v>596</v>
      </c>
      <c r="C893" t="s">
        <v>25</v>
      </c>
      <c r="D893" t="s">
        <v>1219</v>
      </c>
    </row>
    <row r="894" spans="1:5" x14ac:dyDescent="0.2">
      <c r="A894" s="269">
        <v>45883.682129629633</v>
      </c>
      <c r="B894" t="s">
        <v>596</v>
      </c>
      <c r="C894" t="s">
        <v>28</v>
      </c>
      <c r="D894" t="s">
        <v>936</v>
      </c>
    </row>
    <row r="895" spans="1:5" x14ac:dyDescent="0.2">
      <c r="A895" s="269">
        <v>45883.682500000003</v>
      </c>
      <c r="B895" t="s">
        <v>596</v>
      </c>
      <c r="C895" t="s">
        <v>28</v>
      </c>
      <c r="D895" t="s">
        <v>936</v>
      </c>
    </row>
    <row r="896" spans="1:5" x14ac:dyDescent="0.2">
      <c r="A896" s="269">
        <v>45883.682557870372</v>
      </c>
      <c r="B896" t="s">
        <v>596</v>
      </c>
      <c r="C896" t="s">
        <v>28</v>
      </c>
      <c r="D896" t="s">
        <v>1220</v>
      </c>
    </row>
    <row r="897" spans="1:5" x14ac:dyDescent="0.2">
      <c r="A897" s="269">
        <v>45883.682638888888</v>
      </c>
      <c r="B897" t="s">
        <v>596</v>
      </c>
      <c r="C897" t="s">
        <v>28</v>
      </c>
      <c r="D897" t="s">
        <v>1221</v>
      </c>
    </row>
    <row r="898" spans="1:5" x14ac:dyDescent="0.2">
      <c r="A898" s="269">
        <v>45887.74</v>
      </c>
      <c r="B898" t="s">
        <v>592</v>
      </c>
      <c r="C898" t="s">
        <v>28</v>
      </c>
      <c r="D898" t="s">
        <v>777</v>
      </c>
      <c r="E898" t="s">
        <v>140</v>
      </c>
    </row>
    <row r="899" spans="1:5" x14ac:dyDescent="0.2">
      <c r="A899" s="269">
        <v>45887.740023148152</v>
      </c>
      <c r="B899" t="s">
        <v>592</v>
      </c>
      <c r="C899" t="s">
        <v>28</v>
      </c>
      <c r="D899" t="s">
        <v>777</v>
      </c>
      <c r="E899" t="s">
        <v>140</v>
      </c>
    </row>
    <row r="900" spans="1:5" x14ac:dyDescent="0.2">
      <c r="A900" s="269">
        <v>45887.740034722221</v>
      </c>
      <c r="B900" t="s">
        <v>592</v>
      </c>
      <c r="C900" t="s">
        <v>28</v>
      </c>
      <c r="D900" t="s">
        <v>777</v>
      </c>
      <c r="E900" t="s">
        <v>140</v>
      </c>
    </row>
    <row r="901" spans="1:5" x14ac:dyDescent="0.2">
      <c r="A901" s="269">
        <v>45887.740046296298</v>
      </c>
      <c r="B901" t="s">
        <v>592</v>
      </c>
      <c r="C901" t="s">
        <v>28</v>
      </c>
      <c r="D901" t="s">
        <v>777</v>
      </c>
      <c r="E901" t="s">
        <v>140</v>
      </c>
    </row>
    <row r="902" spans="1:5" x14ac:dyDescent="0.2">
      <c r="A902" s="269">
        <v>45887.740069444444</v>
      </c>
      <c r="B902" t="s">
        <v>592</v>
      </c>
      <c r="C902" t="s">
        <v>28</v>
      </c>
      <c r="D902" t="s">
        <v>777</v>
      </c>
      <c r="E902" t="s">
        <v>140</v>
      </c>
    </row>
    <row r="903" spans="1:5" x14ac:dyDescent="0.2">
      <c r="A903" s="269">
        <v>45887.740185185183</v>
      </c>
      <c r="B903" t="s">
        <v>592</v>
      </c>
      <c r="C903" t="s">
        <v>28</v>
      </c>
      <c r="D903" t="s">
        <v>1194</v>
      </c>
      <c r="E903" t="s">
        <v>134</v>
      </c>
    </row>
    <row r="904" spans="1:5" x14ac:dyDescent="0.2">
      <c r="A904" s="269">
        <v>45887.740763888891</v>
      </c>
      <c r="B904" t="s">
        <v>592</v>
      </c>
      <c r="C904" t="s">
        <v>28</v>
      </c>
      <c r="D904" t="s">
        <v>800</v>
      </c>
      <c r="E904" t="s">
        <v>176</v>
      </c>
    </row>
    <row r="905" spans="1:5" x14ac:dyDescent="0.2">
      <c r="A905" s="269">
        <v>45887.740763888891</v>
      </c>
      <c r="B905" t="s">
        <v>592</v>
      </c>
      <c r="C905" t="s">
        <v>28</v>
      </c>
      <c r="D905" t="s">
        <v>762</v>
      </c>
      <c r="E905" t="s">
        <v>38</v>
      </c>
    </row>
    <row r="906" spans="1:5" x14ac:dyDescent="0.2">
      <c r="A906" s="269">
        <v>45887.740856481483</v>
      </c>
      <c r="B906" t="s">
        <v>592</v>
      </c>
      <c r="C906" t="s">
        <v>28</v>
      </c>
      <c r="D906" t="s">
        <v>1222</v>
      </c>
      <c r="E906" t="s">
        <v>172</v>
      </c>
    </row>
    <row r="907" spans="1:5" x14ac:dyDescent="0.2">
      <c r="A907" s="269">
        <v>45887.74114583333</v>
      </c>
      <c r="B907" t="s">
        <v>592</v>
      </c>
      <c r="C907" t="s">
        <v>2</v>
      </c>
      <c r="D907" t="s">
        <v>1223</v>
      </c>
    </row>
    <row r="908" spans="1:5" x14ac:dyDescent="0.2">
      <c r="A908" s="269">
        <v>45887.742974537039</v>
      </c>
      <c r="B908" t="s">
        <v>592</v>
      </c>
      <c r="C908" t="s">
        <v>2</v>
      </c>
      <c r="D908" t="s">
        <v>1137</v>
      </c>
    </row>
    <row r="909" spans="1:5" x14ac:dyDescent="0.2">
      <c r="A909" s="269">
        <v>45887.743032407408</v>
      </c>
      <c r="B909" t="s">
        <v>592</v>
      </c>
      <c r="C909" t="s">
        <v>2</v>
      </c>
      <c r="D909" t="s">
        <v>1138</v>
      </c>
    </row>
    <row r="910" spans="1:5" ht="144" x14ac:dyDescent="0.2">
      <c r="A910" s="269">
        <v>45887.743611111109</v>
      </c>
      <c r="B910" t="s">
        <v>592</v>
      </c>
      <c r="C910" t="s">
        <v>611</v>
      </c>
      <c r="D910" t="s">
        <v>1224</v>
      </c>
      <c r="E910" s="6" t="s">
        <v>1225</v>
      </c>
    </row>
    <row r="911" spans="1:5" x14ac:dyDescent="0.2">
      <c r="A911" s="269">
        <v>45887.753923611112</v>
      </c>
      <c r="B911" t="s">
        <v>592</v>
      </c>
      <c r="C911" t="s">
        <v>26</v>
      </c>
      <c r="D911" t="s">
        <v>1226</v>
      </c>
      <c r="E911" t="s">
        <v>216</v>
      </c>
    </row>
    <row r="912" spans="1:5" x14ac:dyDescent="0.2">
      <c r="A912" s="269">
        <v>45887.754027777781</v>
      </c>
      <c r="B912" t="s">
        <v>592</v>
      </c>
      <c r="C912" t="s">
        <v>26</v>
      </c>
      <c r="D912" t="s">
        <v>1227</v>
      </c>
      <c r="E912" t="s">
        <v>217</v>
      </c>
    </row>
    <row r="913" spans="1:5" x14ac:dyDescent="0.2">
      <c r="A913" s="269">
        <v>45887.754548611112</v>
      </c>
      <c r="B913" t="s">
        <v>592</v>
      </c>
      <c r="C913" t="s">
        <v>25</v>
      </c>
      <c r="D913" t="s">
        <v>1226</v>
      </c>
      <c r="E913" t="s">
        <v>1228</v>
      </c>
    </row>
    <row r="914" spans="1:5" x14ac:dyDescent="0.2">
      <c r="A914" s="269">
        <v>45887.754571759258</v>
      </c>
      <c r="B914" t="s">
        <v>592</v>
      </c>
      <c r="C914" t="s">
        <v>25</v>
      </c>
      <c r="D914" t="s">
        <v>1226</v>
      </c>
      <c r="E914" t="s">
        <v>210</v>
      </c>
    </row>
    <row r="915" spans="1:5" ht="32" x14ac:dyDescent="0.2">
      <c r="A915" s="269">
        <v>45887.755104166667</v>
      </c>
      <c r="B915" t="s">
        <v>592</v>
      </c>
      <c r="C915" t="s">
        <v>2</v>
      </c>
      <c r="D915" t="s">
        <v>1229</v>
      </c>
      <c r="E915" s="6" t="s">
        <v>166</v>
      </c>
    </row>
    <row r="916" spans="1:5" x14ac:dyDescent="0.2">
      <c r="A916" s="269">
        <v>45901.39402777778</v>
      </c>
      <c r="B916" t="s">
        <v>592</v>
      </c>
      <c r="C916" t="s">
        <v>597</v>
      </c>
      <c r="D916" t="s">
        <v>1230</v>
      </c>
      <c r="E916" t="s">
        <v>39</v>
      </c>
    </row>
    <row r="917" spans="1:5" x14ac:dyDescent="0.2">
      <c r="A917" s="269">
        <v>45901.394560185188</v>
      </c>
      <c r="B917" t="s">
        <v>592</v>
      </c>
      <c r="C917" t="s">
        <v>597</v>
      </c>
      <c r="D917" t="s">
        <v>1230</v>
      </c>
      <c r="E917" t="s">
        <v>39</v>
      </c>
    </row>
    <row r="918" spans="1:5" x14ac:dyDescent="0.2">
      <c r="A918" s="269">
        <v>45901.396724537037</v>
      </c>
      <c r="B918" t="s">
        <v>592</v>
      </c>
      <c r="C918" t="s">
        <v>597</v>
      </c>
      <c r="D918" t="s">
        <v>1230</v>
      </c>
      <c r="E918" t="s">
        <v>39</v>
      </c>
    </row>
    <row r="919" spans="1:5" x14ac:dyDescent="0.2">
      <c r="A919" s="269">
        <v>45901.596331018518</v>
      </c>
      <c r="B919" t="s">
        <v>596</v>
      </c>
      <c r="C919" t="s">
        <v>597</v>
      </c>
      <c r="D919" t="s">
        <v>1230</v>
      </c>
      <c r="E919" t="s">
        <v>39</v>
      </c>
    </row>
    <row r="920" spans="1:5" x14ac:dyDescent="0.2">
      <c r="A920" s="269">
        <v>45901.666747685187</v>
      </c>
      <c r="B920" t="s">
        <v>596</v>
      </c>
      <c r="C920" t="s">
        <v>597</v>
      </c>
      <c r="D920" t="s">
        <v>1230</v>
      </c>
      <c r="E920" t="s">
        <v>39</v>
      </c>
    </row>
    <row r="921" spans="1:5" x14ac:dyDescent="0.2">
      <c r="A921" s="269">
        <v>45901.666967592595</v>
      </c>
      <c r="B921" t="s">
        <v>596</v>
      </c>
      <c r="C921" t="s">
        <v>611</v>
      </c>
      <c r="D921" t="s">
        <v>1429</v>
      </c>
      <c r="E921" t="s">
        <v>2</v>
      </c>
    </row>
    <row r="922" spans="1:5" x14ac:dyDescent="0.2">
      <c r="A922" s="269">
        <v>45901.666990740741</v>
      </c>
      <c r="B922" t="s">
        <v>596</v>
      </c>
      <c r="C922" t="s">
        <v>611</v>
      </c>
      <c r="D922" t="s">
        <v>1429</v>
      </c>
      <c r="E922" t="s">
        <v>2</v>
      </c>
    </row>
    <row r="923" spans="1:5" x14ac:dyDescent="0.2">
      <c r="A923" s="269">
        <v>45901.667071759257</v>
      </c>
      <c r="B923" t="s">
        <v>596</v>
      </c>
      <c r="C923" t="s">
        <v>611</v>
      </c>
      <c r="D923" t="s">
        <v>1429</v>
      </c>
      <c r="E923" t="s">
        <v>2</v>
      </c>
    </row>
    <row r="924" spans="1:5" x14ac:dyDescent="0.2">
      <c r="A924" s="269">
        <v>45901.667118055557</v>
      </c>
      <c r="B924" t="s">
        <v>596</v>
      </c>
      <c r="C924" t="s">
        <v>611</v>
      </c>
      <c r="D924" t="s">
        <v>1429</v>
      </c>
      <c r="E924" t="s">
        <v>2</v>
      </c>
    </row>
    <row r="925" spans="1:5" x14ac:dyDescent="0.2">
      <c r="A925" s="269">
        <v>45901.667210648149</v>
      </c>
      <c r="B925" t="s">
        <v>596</v>
      </c>
      <c r="C925" t="s">
        <v>611</v>
      </c>
      <c r="D925" t="s">
        <v>1222</v>
      </c>
      <c r="E925" t="s">
        <v>27</v>
      </c>
    </row>
    <row r="926" spans="1:5" x14ac:dyDescent="0.2">
      <c r="A926" s="269">
        <v>45901.667256944442</v>
      </c>
      <c r="B926" t="s">
        <v>596</v>
      </c>
      <c r="C926" t="s">
        <v>611</v>
      </c>
      <c r="D926" t="s">
        <v>1430</v>
      </c>
      <c r="E926" t="s">
        <v>58</v>
      </c>
    </row>
    <row r="927" spans="1:5" x14ac:dyDescent="0.2">
      <c r="A927" s="269">
        <v>45909.479432870372</v>
      </c>
      <c r="B927" t="s">
        <v>1431</v>
      </c>
      <c r="C927" t="s">
        <v>597</v>
      </c>
      <c r="D927" t="s">
        <v>1230</v>
      </c>
      <c r="E927" t="s">
        <v>39</v>
      </c>
    </row>
    <row r="928" spans="1:5" x14ac:dyDescent="0.2">
      <c r="A928" s="269">
        <v>45909.490231481483</v>
      </c>
      <c r="B928" t="s">
        <v>1431</v>
      </c>
      <c r="C928" t="s">
        <v>597</v>
      </c>
      <c r="D928" t="s">
        <v>1230</v>
      </c>
      <c r="E928" t="s">
        <v>39</v>
      </c>
    </row>
    <row r="929" spans="1:5" x14ac:dyDescent="0.2">
      <c r="A929" s="269">
        <v>45909.490324074075</v>
      </c>
      <c r="B929" t="s">
        <v>1431</v>
      </c>
      <c r="C929" t="s">
        <v>2</v>
      </c>
      <c r="D929" t="s">
        <v>1432</v>
      </c>
      <c r="E929" t="s">
        <v>393</v>
      </c>
    </row>
    <row r="930" spans="1:5" x14ac:dyDescent="0.2">
      <c r="A930" s="269">
        <v>45909.490358796298</v>
      </c>
      <c r="B930" t="s">
        <v>1431</v>
      </c>
      <c r="C930" t="s">
        <v>2</v>
      </c>
      <c r="D930" t="s">
        <v>1433</v>
      </c>
      <c r="E930">
        <v>2024</v>
      </c>
    </row>
    <row r="931" spans="1:5" x14ac:dyDescent="0.2">
      <c r="A931" s="269">
        <v>45909.490416666667</v>
      </c>
      <c r="B931" t="s">
        <v>1431</v>
      </c>
      <c r="C931" t="s">
        <v>27</v>
      </c>
      <c r="D931" t="s">
        <v>946</v>
      </c>
      <c r="E931" t="s">
        <v>37</v>
      </c>
    </row>
    <row r="932" spans="1:5" x14ac:dyDescent="0.2">
      <c r="A932" s="269">
        <v>45909.490439814814</v>
      </c>
      <c r="B932" t="s">
        <v>1431</v>
      </c>
      <c r="C932" t="s">
        <v>27</v>
      </c>
      <c r="D932" t="s">
        <v>950</v>
      </c>
      <c r="E932" t="s">
        <v>338</v>
      </c>
    </row>
    <row r="933" spans="1:5" x14ac:dyDescent="0.2">
      <c r="A933" s="269">
        <v>45909.490497685183</v>
      </c>
      <c r="B933" t="s">
        <v>1431</v>
      </c>
      <c r="C933" t="s">
        <v>27</v>
      </c>
      <c r="D933" t="s">
        <v>777</v>
      </c>
      <c r="E933">
        <v>15.14</v>
      </c>
    </row>
    <row r="934" spans="1:5" x14ac:dyDescent="0.2">
      <c r="A934" s="269">
        <v>45909.490555555552</v>
      </c>
      <c r="B934" t="s">
        <v>1431</v>
      </c>
      <c r="C934" t="s">
        <v>27</v>
      </c>
      <c r="D934" t="s">
        <v>1434</v>
      </c>
      <c r="E934" t="s">
        <v>37</v>
      </c>
    </row>
    <row r="935" spans="1:5" x14ac:dyDescent="0.2">
      <c r="A935" s="269">
        <v>45909.490590277775</v>
      </c>
      <c r="B935" t="s">
        <v>1431</v>
      </c>
      <c r="C935" t="s">
        <v>27</v>
      </c>
      <c r="D935" t="s">
        <v>1191</v>
      </c>
      <c r="E935" t="s">
        <v>37</v>
      </c>
    </row>
    <row r="936" spans="1:5" x14ac:dyDescent="0.2">
      <c r="A936" s="269">
        <v>45909.490613425929</v>
      </c>
      <c r="B936" t="s">
        <v>1431</v>
      </c>
      <c r="C936" t="s">
        <v>27</v>
      </c>
      <c r="D936" t="s">
        <v>795</v>
      </c>
      <c r="E936" t="s">
        <v>37</v>
      </c>
    </row>
    <row r="937" spans="1:5" x14ac:dyDescent="0.2">
      <c r="A937" s="269">
        <v>45909.490659722222</v>
      </c>
      <c r="B937" t="s">
        <v>1431</v>
      </c>
      <c r="C937" t="s">
        <v>27</v>
      </c>
      <c r="D937" t="s">
        <v>1435</v>
      </c>
      <c r="E937" t="s">
        <v>89</v>
      </c>
    </row>
    <row r="938" spans="1:5" x14ac:dyDescent="0.2">
      <c r="A938" s="269">
        <v>45909.490682870368</v>
      </c>
      <c r="B938" t="s">
        <v>1431</v>
      </c>
      <c r="C938" t="s">
        <v>27</v>
      </c>
      <c r="D938" t="s">
        <v>1010</v>
      </c>
      <c r="E938" t="s">
        <v>362</v>
      </c>
    </row>
    <row r="939" spans="1:5" x14ac:dyDescent="0.2">
      <c r="A939" s="269">
        <v>45909.490706018521</v>
      </c>
      <c r="B939" t="s">
        <v>1431</v>
      </c>
      <c r="C939" t="s">
        <v>27</v>
      </c>
      <c r="D939" t="s">
        <v>995</v>
      </c>
      <c r="E939" t="s">
        <v>371</v>
      </c>
    </row>
    <row r="940" spans="1:5" x14ac:dyDescent="0.2">
      <c r="A940" s="269">
        <v>45909.490763888891</v>
      </c>
      <c r="B940" t="s">
        <v>1431</v>
      </c>
      <c r="C940" t="s">
        <v>27</v>
      </c>
      <c r="D940" t="s">
        <v>1436</v>
      </c>
      <c r="E940">
        <v>231.54</v>
      </c>
    </row>
    <row r="941" spans="1:5" x14ac:dyDescent="0.2">
      <c r="A941" s="269">
        <v>45909.490798611114</v>
      </c>
      <c r="B941" t="s">
        <v>1431</v>
      </c>
      <c r="C941" t="s">
        <v>27</v>
      </c>
      <c r="D941" t="s">
        <v>973</v>
      </c>
      <c r="E941">
        <v>196.06</v>
      </c>
    </row>
    <row r="942" spans="1:5" x14ac:dyDescent="0.2">
      <c r="A942" s="269">
        <v>45909.490856481483</v>
      </c>
      <c r="B942" t="s">
        <v>1431</v>
      </c>
      <c r="C942" t="s">
        <v>27</v>
      </c>
      <c r="D942" t="s">
        <v>976</v>
      </c>
      <c r="E942">
        <v>218.77</v>
      </c>
    </row>
    <row r="943" spans="1:5" x14ac:dyDescent="0.2">
      <c r="A943" s="269">
        <v>45909.491261574076</v>
      </c>
      <c r="B943" t="s">
        <v>1431</v>
      </c>
      <c r="C943" t="s">
        <v>27</v>
      </c>
      <c r="D943" t="s">
        <v>1013</v>
      </c>
      <c r="E943" t="s">
        <v>37</v>
      </c>
    </row>
    <row r="944" spans="1:5" x14ac:dyDescent="0.2">
      <c r="A944" s="269">
        <v>45909.491296296299</v>
      </c>
      <c r="B944" t="s">
        <v>1431</v>
      </c>
      <c r="C944" t="s">
        <v>27</v>
      </c>
      <c r="D944" t="s">
        <v>1014</v>
      </c>
      <c r="E944" t="s">
        <v>379</v>
      </c>
    </row>
    <row r="945" spans="1:5" x14ac:dyDescent="0.2">
      <c r="A945" s="269">
        <v>45909.491793981484</v>
      </c>
      <c r="B945" t="s">
        <v>1431</v>
      </c>
      <c r="C945" t="s">
        <v>27</v>
      </c>
      <c r="D945" t="s">
        <v>977</v>
      </c>
      <c r="E945">
        <v>231</v>
      </c>
    </row>
    <row r="946" spans="1:5" x14ac:dyDescent="0.2">
      <c r="A946" s="269">
        <v>45909.491828703707</v>
      </c>
      <c r="B946" t="s">
        <v>1431</v>
      </c>
      <c r="C946" t="s">
        <v>27</v>
      </c>
      <c r="D946" t="s">
        <v>977</v>
      </c>
      <c r="E946">
        <v>64</v>
      </c>
    </row>
    <row r="947" spans="1:5" x14ac:dyDescent="0.2">
      <c r="A947" s="269">
        <v>45909.492083333331</v>
      </c>
      <c r="B947" t="s">
        <v>1431</v>
      </c>
      <c r="C947" t="s">
        <v>27</v>
      </c>
      <c r="D947" t="s">
        <v>977</v>
      </c>
      <c r="E947">
        <v>231.64</v>
      </c>
    </row>
    <row r="948" spans="1:5" x14ac:dyDescent="0.2">
      <c r="A948" s="269">
        <v>45909.492118055554</v>
      </c>
      <c r="B948" t="s">
        <v>1431</v>
      </c>
      <c r="C948" t="s">
        <v>27</v>
      </c>
      <c r="D948" t="s">
        <v>747</v>
      </c>
      <c r="E948" t="s">
        <v>37</v>
      </c>
    </row>
    <row r="949" spans="1:5" x14ac:dyDescent="0.2">
      <c r="A949" s="269">
        <v>45909.492152777777</v>
      </c>
      <c r="B949" t="s">
        <v>1431</v>
      </c>
      <c r="C949" t="s">
        <v>27</v>
      </c>
      <c r="D949" t="s">
        <v>1017</v>
      </c>
      <c r="E949" t="s">
        <v>386</v>
      </c>
    </row>
    <row r="950" spans="1:5" x14ac:dyDescent="0.2">
      <c r="A950" s="269">
        <v>45909.492928240739</v>
      </c>
      <c r="B950" t="s">
        <v>1431</v>
      </c>
      <c r="C950" t="s">
        <v>27</v>
      </c>
      <c r="D950" t="s">
        <v>923</v>
      </c>
      <c r="E950">
        <v>179.03</v>
      </c>
    </row>
    <row r="951" spans="1:5" x14ac:dyDescent="0.2">
      <c r="A951" s="269">
        <v>45909.492974537039</v>
      </c>
      <c r="B951" t="s">
        <v>1431</v>
      </c>
      <c r="C951" t="s">
        <v>27</v>
      </c>
      <c r="D951" t="s">
        <v>1437</v>
      </c>
      <c r="E951" t="s">
        <v>37</v>
      </c>
    </row>
    <row r="952" spans="1:5" x14ac:dyDescent="0.2">
      <c r="A952" s="269">
        <v>45909.493009259262</v>
      </c>
      <c r="B952" t="s">
        <v>1431</v>
      </c>
      <c r="C952" t="s">
        <v>27</v>
      </c>
      <c r="D952" t="s">
        <v>1438</v>
      </c>
      <c r="E952" t="s">
        <v>390</v>
      </c>
    </row>
    <row r="953" spans="1:5" x14ac:dyDescent="0.2">
      <c r="A953" s="269">
        <v>45909.493078703701</v>
      </c>
      <c r="B953" t="s">
        <v>1431</v>
      </c>
      <c r="C953" t="s">
        <v>27</v>
      </c>
      <c r="D953" t="s">
        <v>918</v>
      </c>
      <c r="E953">
        <v>28.77</v>
      </c>
    </row>
    <row r="954" spans="1:5" x14ac:dyDescent="0.2">
      <c r="A954" s="269">
        <v>45909.493275462963</v>
      </c>
      <c r="B954" t="s">
        <v>1431</v>
      </c>
      <c r="C954" t="s">
        <v>27</v>
      </c>
      <c r="D954" t="s">
        <v>1439</v>
      </c>
      <c r="E954" t="s">
        <v>37</v>
      </c>
    </row>
    <row r="955" spans="1:5" x14ac:dyDescent="0.2">
      <c r="A955" s="269">
        <v>45909.493298611109</v>
      </c>
      <c r="B955" t="s">
        <v>1431</v>
      </c>
      <c r="C955" t="s">
        <v>27</v>
      </c>
      <c r="D955" t="s">
        <v>1440</v>
      </c>
      <c r="E955" t="s">
        <v>41</v>
      </c>
    </row>
    <row r="956" spans="1:5" x14ac:dyDescent="0.2">
      <c r="A956" s="269">
        <v>45909.493356481478</v>
      </c>
      <c r="B956" t="s">
        <v>1431</v>
      </c>
      <c r="C956" t="s">
        <v>27</v>
      </c>
      <c r="D956" t="s">
        <v>924</v>
      </c>
      <c r="E956">
        <v>175.62</v>
      </c>
    </row>
    <row r="957" spans="1:5" x14ac:dyDescent="0.2">
      <c r="A957" s="269">
        <v>45909.493391203701</v>
      </c>
      <c r="B957" t="s">
        <v>1431</v>
      </c>
      <c r="C957" t="s">
        <v>27</v>
      </c>
      <c r="D957" t="s">
        <v>1441</v>
      </c>
      <c r="E957" t="s">
        <v>37</v>
      </c>
    </row>
    <row r="958" spans="1:5" x14ac:dyDescent="0.2">
      <c r="A958" s="269">
        <v>45909.493425925924</v>
      </c>
      <c r="B958" t="s">
        <v>1431</v>
      </c>
      <c r="C958" t="s">
        <v>27</v>
      </c>
      <c r="D958" t="s">
        <v>1442</v>
      </c>
      <c r="E958" t="s">
        <v>397</v>
      </c>
    </row>
    <row r="959" spans="1:5" x14ac:dyDescent="0.2">
      <c r="A959" s="269">
        <v>45909.493506944447</v>
      </c>
      <c r="B959" t="s">
        <v>1431</v>
      </c>
      <c r="C959" t="s">
        <v>27</v>
      </c>
      <c r="D959" t="s">
        <v>1443</v>
      </c>
      <c r="E959">
        <v>19.3</v>
      </c>
    </row>
    <row r="960" spans="1:5" x14ac:dyDescent="0.2">
      <c r="A960" s="269">
        <v>45909.493541666663</v>
      </c>
      <c r="B960" t="s">
        <v>1431</v>
      </c>
      <c r="C960" t="s">
        <v>27</v>
      </c>
      <c r="D960" t="s">
        <v>672</v>
      </c>
      <c r="E960" t="s">
        <v>37</v>
      </c>
    </row>
    <row r="961" spans="1:5" x14ac:dyDescent="0.2">
      <c r="A961" s="269">
        <v>45909.493576388886</v>
      </c>
      <c r="B961" t="s">
        <v>1431</v>
      </c>
      <c r="C961" t="s">
        <v>27</v>
      </c>
      <c r="D961" t="s">
        <v>1444</v>
      </c>
      <c r="E961" t="s">
        <v>400</v>
      </c>
    </row>
    <row r="962" spans="1:5" x14ac:dyDescent="0.2">
      <c r="A962" s="269">
        <v>45909.493634259263</v>
      </c>
      <c r="B962" t="s">
        <v>1431</v>
      </c>
      <c r="C962" t="s">
        <v>27</v>
      </c>
      <c r="D962" t="s">
        <v>981</v>
      </c>
      <c r="E962">
        <v>52.61</v>
      </c>
    </row>
    <row r="963" spans="1:5" x14ac:dyDescent="0.2">
      <c r="A963" s="269">
        <v>45909.493668981479</v>
      </c>
      <c r="B963" t="s">
        <v>1431</v>
      </c>
      <c r="C963" t="s">
        <v>27</v>
      </c>
      <c r="D963" t="s">
        <v>674</v>
      </c>
      <c r="E963" t="s">
        <v>37</v>
      </c>
    </row>
    <row r="964" spans="1:5" x14ac:dyDescent="0.2">
      <c r="A964" s="269">
        <v>45909.493750000001</v>
      </c>
      <c r="B964" t="s">
        <v>1431</v>
      </c>
      <c r="C964" t="s">
        <v>27</v>
      </c>
      <c r="D964" t="s">
        <v>1445</v>
      </c>
      <c r="E964" t="s">
        <v>404</v>
      </c>
    </row>
    <row r="965" spans="1:5" x14ac:dyDescent="0.2">
      <c r="A965" s="269">
        <v>45909.49417824074</v>
      </c>
      <c r="B965" t="s">
        <v>1431</v>
      </c>
      <c r="C965" t="s">
        <v>27</v>
      </c>
      <c r="D965" t="s">
        <v>1446</v>
      </c>
      <c r="E965">
        <v>34.07</v>
      </c>
    </row>
    <row r="966" spans="1:5" x14ac:dyDescent="0.2">
      <c r="A966" s="269">
        <v>45909.494386574072</v>
      </c>
      <c r="B966" t="s">
        <v>1431</v>
      </c>
      <c r="C966" t="s">
        <v>27</v>
      </c>
      <c r="D966" t="s">
        <v>675</v>
      </c>
      <c r="E966" t="s">
        <v>37</v>
      </c>
    </row>
    <row r="967" spans="1:5" x14ac:dyDescent="0.2">
      <c r="A967" s="269">
        <v>45909.494409722225</v>
      </c>
      <c r="B967" t="s">
        <v>1431</v>
      </c>
      <c r="C967" t="s">
        <v>27</v>
      </c>
      <c r="D967" t="s">
        <v>1447</v>
      </c>
      <c r="E967" t="s">
        <v>407</v>
      </c>
    </row>
    <row r="968" spans="1:5" x14ac:dyDescent="0.2">
      <c r="A968" s="269">
        <v>45909.494467592594</v>
      </c>
      <c r="B968" t="s">
        <v>1431</v>
      </c>
      <c r="C968" t="s">
        <v>27</v>
      </c>
      <c r="D968" t="s">
        <v>1448</v>
      </c>
      <c r="E968">
        <v>29.9</v>
      </c>
    </row>
    <row r="969" spans="1:5" x14ac:dyDescent="0.2">
      <c r="A969" s="269">
        <v>45909.496574074074</v>
      </c>
      <c r="B969" t="s">
        <v>1431</v>
      </c>
      <c r="C969" t="s">
        <v>27</v>
      </c>
      <c r="D969" t="s">
        <v>1449</v>
      </c>
    </row>
    <row r="970" spans="1:5" x14ac:dyDescent="0.2">
      <c r="A970" s="269">
        <v>45909.496817129628</v>
      </c>
      <c r="B970" t="s">
        <v>1431</v>
      </c>
      <c r="C970" t="s">
        <v>27</v>
      </c>
      <c r="D970" t="s">
        <v>1436</v>
      </c>
      <c r="E970">
        <v>18.93</v>
      </c>
    </row>
    <row r="971" spans="1:5" x14ac:dyDescent="0.2">
      <c r="A971" s="269">
        <v>45909.497534722221</v>
      </c>
      <c r="B971" t="s">
        <v>1431</v>
      </c>
      <c r="C971" t="s">
        <v>27</v>
      </c>
      <c r="D971" t="s">
        <v>1450</v>
      </c>
      <c r="E971" t="s">
        <v>1431</v>
      </c>
    </row>
    <row r="972" spans="1:5" x14ac:dyDescent="0.2">
      <c r="A972" s="269">
        <v>45909.497627314813</v>
      </c>
      <c r="B972" t="s">
        <v>1431</v>
      </c>
      <c r="C972" t="s">
        <v>27</v>
      </c>
      <c r="D972" t="s">
        <v>1451</v>
      </c>
      <c r="E972" s="442">
        <v>45909</v>
      </c>
    </row>
    <row r="973" spans="1:5" x14ac:dyDescent="0.2">
      <c r="A973" s="269">
        <v>45909.498807870368</v>
      </c>
      <c r="B973" t="s">
        <v>1431</v>
      </c>
      <c r="C973" t="s">
        <v>27</v>
      </c>
      <c r="D973" t="s">
        <v>956</v>
      </c>
      <c r="E973" t="s">
        <v>1452</v>
      </c>
    </row>
    <row r="974" spans="1:5" x14ac:dyDescent="0.2">
      <c r="A974" s="269">
        <v>45909.499467592592</v>
      </c>
      <c r="B974" t="s">
        <v>1431</v>
      </c>
      <c r="C974" t="s">
        <v>27</v>
      </c>
      <c r="D974" t="s">
        <v>956</v>
      </c>
      <c r="E974" t="s">
        <v>1452</v>
      </c>
    </row>
    <row r="975" spans="1:5" x14ac:dyDescent="0.2">
      <c r="A975" s="269">
        <v>45909.499560185184</v>
      </c>
      <c r="B975" t="s">
        <v>1431</v>
      </c>
      <c r="C975" t="s">
        <v>27</v>
      </c>
      <c r="D975" t="s">
        <v>956</v>
      </c>
      <c r="E975" t="s">
        <v>57</v>
      </c>
    </row>
    <row r="976" spans="1:5" x14ac:dyDescent="0.2">
      <c r="A976" s="269">
        <v>45909.499814814815</v>
      </c>
      <c r="B976" t="s">
        <v>1431</v>
      </c>
      <c r="C976" t="s">
        <v>27</v>
      </c>
      <c r="D976" t="s">
        <v>956</v>
      </c>
      <c r="E976" t="s">
        <v>1453</v>
      </c>
    </row>
    <row r="977" spans="1:5" x14ac:dyDescent="0.2">
      <c r="A977" s="269">
        <v>45909.499895833331</v>
      </c>
      <c r="B977" t="s">
        <v>1431</v>
      </c>
      <c r="C977" t="s">
        <v>27</v>
      </c>
      <c r="D977" t="s">
        <v>956</v>
      </c>
      <c r="E977" t="s">
        <v>1454</v>
      </c>
    </row>
    <row r="978" spans="1:5" x14ac:dyDescent="0.2">
      <c r="A978" s="269">
        <v>45909.500150462962</v>
      </c>
      <c r="B978" t="s">
        <v>1431</v>
      </c>
      <c r="C978" t="s">
        <v>27</v>
      </c>
      <c r="D978" t="s">
        <v>658</v>
      </c>
      <c r="E978" t="s">
        <v>1454</v>
      </c>
    </row>
    <row r="979" spans="1:5" x14ac:dyDescent="0.2">
      <c r="A979" s="269">
        <v>45909.500162037039</v>
      </c>
      <c r="B979" t="s">
        <v>1431</v>
      </c>
      <c r="C979" t="s">
        <v>27</v>
      </c>
      <c r="D979" t="s">
        <v>1455</v>
      </c>
      <c r="E979" t="s">
        <v>1454</v>
      </c>
    </row>
    <row r="980" spans="1:5" x14ac:dyDescent="0.2">
      <c r="A980" s="269">
        <v>45909.500173611108</v>
      </c>
      <c r="B980" t="s">
        <v>1431</v>
      </c>
      <c r="C980" t="s">
        <v>27</v>
      </c>
      <c r="D980" t="s">
        <v>996</v>
      </c>
      <c r="E980" t="s">
        <v>1454</v>
      </c>
    </row>
    <row r="981" spans="1:5" x14ac:dyDescent="0.2">
      <c r="A981" s="269">
        <v>45909.500173611108</v>
      </c>
      <c r="B981" t="s">
        <v>1431</v>
      </c>
      <c r="C981" t="s">
        <v>27</v>
      </c>
      <c r="D981" t="s">
        <v>996</v>
      </c>
      <c r="E981" t="s">
        <v>1454</v>
      </c>
    </row>
    <row r="982" spans="1:5" x14ac:dyDescent="0.2">
      <c r="A982" s="269">
        <v>45909.500208333331</v>
      </c>
      <c r="B982" t="s">
        <v>1431</v>
      </c>
      <c r="C982" t="s">
        <v>27</v>
      </c>
      <c r="D982" t="s">
        <v>1456</v>
      </c>
      <c r="E982" t="s">
        <v>1454</v>
      </c>
    </row>
    <row r="983" spans="1:5" x14ac:dyDescent="0.2">
      <c r="A983" s="269">
        <v>45909.500231481485</v>
      </c>
      <c r="B983" t="s">
        <v>1431</v>
      </c>
      <c r="C983" t="s">
        <v>27</v>
      </c>
      <c r="D983" t="s">
        <v>981</v>
      </c>
      <c r="E983">
        <v>19.3</v>
      </c>
    </row>
    <row r="984" spans="1:5" x14ac:dyDescent="0.2">
      <c r="A984" s="269">
        <v>45909.5002662037</v>
      </c>
      <c r="B984" t="s">
        <v>1431</v>
      </c>
      <c r="C984" t="s">
        <v>27</v>
      </c>
      <c r="D984" t="s">
        <v>981</v>
      </c>
      <c r="E984">
        <v>52.61</v>
      </c>
    </row>
    <row r="985" spans="1:5" x14ac:dyDescent="0.2">
      <c r="A985" s="269">
        <v>45909.501168981478</v>
      </c>
      <c r="B985" t="s">
        <v>1431</v>
      </c>
      <c r="C985" t="s">
        <v>58</v>
      </c>
      <c r="D985" t="s">
        <v>1450</v>
      </c>
      <c r="E985" t="s">
        <v>1431</v>
      </c>
    </row>
    <row r="986" spans="1:5" x14ac:dyDescent="0.2">
      <c r="A986" s="269">
        <v>45909.501238425924</v>
      </c>
      <c r="B986" t="s">
        <v>1431</v>
      </c>
      <c r="C986" t="s">
        <v>58</v>
      </c>
      <c r="D986" t="s">
        <v>1451</v>
      </c>
      <c r="E986" s="442">
        <v>45909</v>
      </c>
    </row>
    <row r="987" spans="1:5" x14ac:dyDescent="0.2">
      <c r="A987" s="269">
        <v>45909.507951388892</v>
      </c>
      <c r="B987" t="s">
        <v>1431</v>
      </c>
      <c r="C987" t="s">
        <v>58</v>
      </c>
      <c r="D987" t="s">
        <v>946</v>
      </c>
      <c r="E987" t="s">
        <v>365</v>
      </c>
    </row>
    <row r="988" spans="1:5" x14ac:dyDescent="0.2">
      <c r="A988" s="269">
        <v>45909.507986111108</v>
      </c>
      <c r="B988" t="s">
        <v>1431</v>
      </c>
      <c r="C988" t="s">
        <v>58</v>
      </c>
      <c r="D988" t="s">
        <v>950</v>
      </c>
      <c r="E988" t="s">
        <v>63</v>
      </c>
    </row>
    <row r="989" spans="1:5" x14ac:dyDescent="0.2">
      <c r="A989" s="269">
        <v>45909.508020833331</v>
      </c>
      <c r="B989" t="s">
        <v>1431</v>
      </c>
      <c r="C989" t="s">
        <v>58</v>
      </c>
      <c r="D989" t="s">
        <v>951</v>
      </c>
      <c r="E989" t="s">
        <v>338</v>
      </c>
    </row>
    <row r="990" spans="1:5" x14ac:dyDescent="0.2">
      <c r="A990" s="269">
        <v>45909.50818287037</v>
      </c>
      <c r="B990" t="s">
        <v>1431</v>
      </c>
      <c r="C990" t="s">
        <v>58</v>
      </c>
      <c r="D990" t="s">
        <v>1457</v>
      </c>
      <c r="E990">
        <v>19.754000000000001</v>
      </c>
    </row>
    <row r="991" spans="1:5" x14ac:dyDescent="0.2">
      <c r="A991" s="269">
        <v>45909.50849537037</v>
      </c>
      <c r="B991" t="s">
        <v>1431</v>
      </c>
      <c r="C991" t="s">
        <v>58</v>
      </c>
      <c r="D991" t="s">
        <v>958</v>
      </c>
      <c r="E991">
        <v>238</v>
      </c>
    </row>
    <row r="992" spans="1:5" x14ac:dyDescent="0.2">
      <c r="A992" s="269">
        <v>45909.508634259262</v>
      </c>
      <c r="B992" t="s">
        <v>1431</v>
      </c>
      <c r="C992" t="s">
        <v>58</v>
      </c>
      <c r="D992" t="s">
        <v>1434</v>
      </c>
      <c r="E992" t="s">
        <v>365</v>
      </c>
    </row>
    <row r="993" spans="1:5" x14ac:dyDescent="0.2">
      <c r="A993" s="269">
        <v>45909.508657407408</v>
      </c>
      <c r="B993" t="s">
        <v>1431</v>
      </c>
      <c r="C993" t="s">
        <v>58</v>
      </c>
      <c r="D993" t="s">
        <v>1435</v>
      </c>
      <c r="E993" t="s">
        <v>63</v>
      </c>
    </row>
    <row r="994" spans="1:5" x14ac:dyDescent="0.2">
      <c r="A994" s="269">
        <v>45909.509212962963</v>
      </c>
      <c r="B994" t="s">
        <v>1431</v>
      </c>
      <c r="C994" t="s">
        <v>58</v>
      </c>
      <c r="D994" t="s">
        <v>1457</v>
      </c>
      <c r="E994">
        <v>25.896000000000001</v>
      </c>
    </row>
    <row r="995" spans="1:5" x14ac:dyDescent="0.2">
      <c r="A995" s="269">
        <v>45909.509293981479</v>
      </c>
      <c r="B995" t="s">
        <v>1431</v>
      </c>
      <c r="C995" t="s">
        <v>58</v>
      </c>
      <c r="D995" t="s">
        <v>1434</v>
      </c>
      <c r="E995" t="s">
        <v>381</v>
      </c>
    </row>
    <row r="996" spans="1:5" x14ac:dyDescent="0.2">
      <c r="A996" s="269">
        <v>45909.509317129632</v>
      </c>
      <c r="B996" t="s">
        <v>1431</v>
      </c>
      <c r="C996" t="s">
        <v>58</v>
      </c>
      <c r="D996" t="s">
        <v>983</v>
      </c>
      <c r="E996" t="s">
        <v>338</v>
      </c>
    </row>
    <row r="997" spans="1:5" x14ac:dyDescent="0.2">
      <c r="A997" s="269">
        <v>45909.509560185186</v>
      </c>
      <c r="B997" t="s">
        <v>1431</v>
      </c>
      <c r="C997" t="s">
        <v>58</v>
      </c>
      <c r="D997" t="s">
        <v>937</v>
      </c>
      <c r="E997">
        <v>46.646000000000001</v>
      </c>
    </row>
    <row r="998" spans="1:5" x14ac:dyDescent="0.2">
      <c r="A998" s="269">
        <v>45909.509722222225</v>
      </c>
      <c r="B998" t="s">
        <v>1431</v>
      </c>
      <c r="C998" t="s">
        <v>58</v>
      </c>
      <c r="D998" t="s">
        <v>958</v>
      </c>
      <c r="E998">
        <v>800</v>
      </c>
    </row>
    <row r="999" spans="1:5" x14ac:dyDescent="0.2">
      <c r="A999" s="269">
        <v>45909.50990740741</v>
      </c>
      <c r="B999" t="s">
        <v>1431</v>
      </c>
      <c r="C999" t="s">
        <v>58</v>
      </c>
      <c r="D999" t="s">
        <v>1458</v>
      </c>
      <c r="E999">
        <v>563</v>
      </c>
    </row>
    <row r="1000" spans="1:5" x14ac:dyDescent="0.2">
      <c r="A1000" s="269">
        <v>45909.509930555556</v>
      </c>
      <c r="B1000" t="s">
        <v>1431</v>
      </c>
      <c r="C1000" t="s">
        <v>58</v>
      </c>
      <c r="D1000" t="s">
        <v>1458</v>
      </c>
      <c r="E1000">
        <v>562</v>
      </c>
    </row>
    <row r="1001" spans="1:5" x14ac:dyDescent="0.2">
      <c r="A1001" s="269">
        <v>45909.510636574072</v>
      </c>
      <c r="B1001" t="s">
        <v>1431</v>
      </c>
      <c r="C1001" t="s">
        <v>58</v>
      </c>
      <c r="D1001" t="s">
        <v>958</v>
      </c>
      <c r="E1001">
        <v>312</v>
      </c>
    </row>
    <row r="1002" spans="1:5" x14ac:dyDescent="0.2">
      <c r="A1002" s="269">
        <v>45909.510844907411</v>
      </c>
      <c r="B1002" t="s">
        <v>1431</v>
      </c>
      <c r="C1002" t="s">
        <v>58</v>
      </c>
      <c r="D1002" t="s">
        <v>960</v>
      </c>
      <c r="E1002" t="s">
        <v>1459</v>
      </c>
    </row>
    <row r="1003" spans="1:5" x14ac:dyDescent="0.2">
      <c r="A1003" s="269">
        <v>45909.51090277778</v>
      </c>
      <c r="B1003" t="s">
        <v>1431</v>
      </c>
      <c r="C1003" t="s">
        <v>58</v>
      </c>
      <c r="D1003" t="s">
        <v>960</v>
      </c>
      <c r="E1003" t="s">
        <v>1460</v>
      </c>
    </row>
    <row r="1004" spans="1:5" x14ac:dyDescent="0.2">
      <c r="A1004" s="269">
        <v>45909.511018518519</v>
      </c>
      <c r="B1004" t="s">
        <v>1431</v>
      </c>
      <c r="C1004" t="s">
        <v>58</v>
      </c>
      <c r="D1004" t="s">
        <v>960</v>
      </c>
      <c r="E1004" t="s">
        <v>1461</v>
      </c>
    </row>
    <row r="1005" spans="1:5" x14ac:dyDescent="0.2">
      <c r="A1005" s="269">
        <v>45909.511030092595</v>
      </c>
      <c r="B1005" t="s">
        <v>1431</v>
      </c>
      <c r="C1005" t="s">
        <v>58</v>
      </c>
      <c r="D1005" t="s">
        <v>1024</v>
      </c>
      <c r="E1005" t="s">
        <v>1461</v>
      </c>
    </row>
    <row r="1006" spans="1:5" x14ac:dyDescent="0.2">
      <c r="A1006" s="269">
        <v>45909.511122685188</v>
      </c>
      <c r="B1006" t="s">
        <v>1431</v>
      </c>
      <c r="C1006" t="s">
        <v>58</v>
      </c>
      <c r="D1006" t="s">
        <v>1024</v>
      </c>
      <c r="E1006" t="s">
        <v>1462</v>
      </c>
    </row>
    <row r="1007" spans="1:5" x14ac:dyDescent="0.2">
      <c r="A1007" s="269">
        <v>45909.51121527778</v>
      </c>
      <c r="B1007" t="s">
        <v>1431</v>
      </c>
      <c r="C1007" t="s">
        <v>58</v>
      </c>
      <c r="D1007" t="s">
        <v>1191</v>
      </c>
      <c r="E1007" t="s">
        <v>343</v>
      </c>
    </row>
    <row r="1008" spans="1:5" x14ac:dyDescent="0.2">
      <c r="A1008" s="269">
        <v>45909.511238425926</v>
      </c>
      <c r="B1008" t="s">
        <v>1431</v>
      </c>
      <c r="C1008" t="s">
        <v>58</v>
      </c>
      <c r="D1008" t="s">
        <v>1010</v>
      </c>
      <c r="E1008" t="s">
        <v>63</v>
      </c>
    </row>
    <row r="1009" spans="1:5" x14ac:dyDescent="0.2">
      <c r="A1009" s="269">
        <v>45909.511261574073</v>
      </c>
      <c r="B1009" t="s">
        <v>1431</v>
      </c>
      <c r="C1009" t="s">
        <v>58</v>
      </c>
      <c r="D1009" t="s">
        <v>1066</v>
      </c>
      <c r="E1009" t="s">
        <v>338</v>
      </c>
    </row>
    <row r="1010" spans="1:5" x14ac:dyDescent="0.2">
      <c r="A1010" s="269">
        <v>45909.511400462965</v>
      </c>
      <c r="B1010" t="s">
        <v>1431</v>
      </c>
      <c r="C1010" t="s">
        <v>58</v>
      </c>
      <c r="D1010" t="s">
        <v>926</v>
      </c>
      <c r="E1010">
        <v>0</v>
      </c>
    </row>
    <row r="1011" spans="1:5" x14ac:dyDescent="0.2">
      <c r="A1011" s="269">
        <v>45909.511435185188</v>
      </c>
      <c r="B1011" t="s">
        <v>1431</v>
      </c>
      <c r="C1011" t="s">
        <v>58</v>
      </c>
      <c r="D1011" t="s">
        <v>975</v>
      </c>
      <c r="E1011">
        <v>0</v>
      </c>
    </row>
    <row r="1012" spans="1:5" x14ac:dyDescent="0.2">
      <c r="A1012" s="269">
        <v>45909.511782407404</v>
      </c>
      <c r="B1012" t="s">
        <v>1431</v>
      </c>
      <c r="C1012" t="s">
        <v>58</v>
      </c>
      <c r="D1012" t="s">
        <v>972</v>
      </c>
      <c r="E1012" t="s">
        <v>1463</v>
      </c>
    </row>
    <row r="1013" spans="1:5" x14ac:dyDescent="0.2">
      <c r="A1013" s="269">
        <v>45909.511921296296</v>
      </c>
      <c r="B1013" t="s">
        <v>1431</v>
      </c>
      <c r="C1013" t="s">
        <v>58</v>
      </c>
      <c r="D1013" t="s">
        <v>972</v>
      </c>
      <c r="E1013" t="s">
        <v>1464</v>
      </c>
    </row>
    <row r="1014" spans="1:5" x14ac:dyDescent="0.2">
      <c r="A1014" s="269">
        <v>45909.512303240743</v>
      </c>
      <c r="B1014" t="s">
        <v>1431</v>
      </c>
      <c r="C1014" t="s">
        <v>58</v>
      </c>
      <c r="D1014" t="s">
        <v>972</v>
      </c>
      <c r="E1014" t="s">
        <v>1465</v>
      </c>
    </row>
    <row r="1015" spans="1:5" x14ac:dyDescent="0.2">
      <c r="A1015" s="269">
        <v>45909.512511574074</v>
      </c>
      <c r="B1015" t="s">
        <v>1431</v>
      </c>
      <c r="C1015" t="s">
        <v>58</v>
      </c>
      <c r="D1015" t="s">
        <v>795</v>
      </c>
      <c r="E1015" t="s">
        <v>365</v>
      </c>
    </row>
    <row r="1016" spans="1:5" x14ac:dyDescent="0.2">
      <c r="A1016" s="269">
        <v>45909.51253472222</v>
      </c>
      <c r="B1016" t="s">
        <v>1431</v>
      </c>
      <c r="C1016" t="s">
        <v>58</v>
      </c>
      <c r="D1016" t="s">
        <v>995</v>
      </c>
      <c r="E1016" t="s">
        <v>63</v>
      </c>
    </row>
    <row r="1017" spans="1:5" x14ac:dyDescent="0.2">
      <c r="A1017" s="269">
        <v>45909.512557870374</v>
      </c>
      <c r="B1017" t="s">
        <v>1431</v>
      </c>
      <c r="C1017" t="s">
        <v>58</v>
      </c>
      <c r="D1017" t="s">
        <v>994</v>
      </c>
      <c r="E1017" t="s">
        <v>89</v>
      </c>
    </row>
    <row r="1018" spans="1:5" x14ac:dyDescent="0.2">
      <c r="A1018" s="269">
        <v>45909.513043981482</v>
      </c>
      <c r="B1018" t="s">
        <v>1431</v>
      </c>
      <c r="C1018" t="s">
        <v>58</v>
      </c>
      <c r="D1018" t="s">
        <v>974</v>
      </c>
      <c r="E1018">
        <v>4</v>
      </c>
    </row>
    <row r="1019" spans="1:5" x14ac:dyDescent="0.2">
      <c r="A1019" s="269">
        <v>45909.513414351852</v>
      </c>
      <c r="B1019" t="s">
        <v>1431</v>
      </c>
      <c r="C1019" t="s">
        <v>58</v>
      </c>
      <c r="D1019" t="s">
        <v>874</v>
      </c>
      <c r="E1019">
        <v>45.234999999999999</v>
      </c>
    </row>
    <row r="1020" spans="1:5" x14ac:dyDescent="0.2">
      <c r="A1020" s="269">
        <v>45909.513506944444</v>
      </c>
      <c r="B1020" t="s">
        <v>1431</v>
      </c>
      <c r="C1020" t="s">
        <v>58</v>
      </c>
      <c r="D1020" t="s">
        <v>974</v>
      </c>
      <c r="E1020">
        <v>545</v>
      </c>
    </row>
    <row r="1021" spans="1:5" x14ac:dyDescent="0.2">
      <c r="A1021" s="269">
        <v>45909.51353009259</v>
      </c>
      <c r="B1021" t="s">
        <v>1431</v>
      </c>
      <c r="C1021" t="s">
        <v>58</v>
      </c>
      <c r="D1021" t="s">
        <v>1466</v>
      </c>
      <c r="E1021" t="s">
        <v>1461</v>
      </c>
    </row>
    <row r="1022" spans="1:5" x14ac:dyDescent="0.2">
      <c r="A1022" s="269">
        <v>45909.51358796296</v>
      </c>
      <c r="B1022" t="s">
        <v>1431</v>
      </c>
      <c r="C1022" t="s">
        <v>58</v>
      </c>
      <c r="D1022" t="s">
        <v>1013</v>
      </c>
      <c r="E1022" t="s">
        <v>381</v>
      </c>
    </row>
    <row r="1023" spans="1:5" x14ac:dyDescent="0.2">
      <c r="A1023" s="269">
        <v>45909.513622685183</v>
      </c>
      <c r="B1023" t="s">
        <v>1431</v>
      </c>
      <c r="C1023" t="s">
        <v>58</v>
      </c>
      <c r="D1023" t="s">
        <v>1014</v>
      </c>
      <c r="E1023" t="s">
        <v>63</v>
      </c>
    </row>
    <row r="1024" spans="1:5" x14ac:dyDescent="0.2">
      <c r="A1024" s="269">
        <v>45909.513645833336</v>
      </c>
      <c r="B1024" t="s">
        <v>1431</v>
      </c>
      <c r="C1024" t="s">
        <v>58</v>
      </c>
      <c r="D1024" t="s">
        <v>1015</v>
      </c>
      <c r="E1024" t="s">
        <v>89</v>
      </c>
    </row>
    <row r="1025" spans="1:5" x14ac:dyDescent="0.2">
      <c r="A1025" s="269">
        <v>45909.513703703706</v>
      </c>
      <c r="B1025" t="s">
        <v>1431</v>
      </c>
      <c r="C1025" t="s">
        <v>58</v>
      </c>
      <c r="D1025" t="s">
        <v>1016</v>
      </c>
      <c r="E1025" t="s">
        <v>1462</v>
      </c>
    </row>
    <row r="1026" spans="1:5" x14ac:dyDescent="0.2">
      <c r="A1026" s="269">
        <v>45909.513877314814</v>
      </c>
      <c r="B1026" t="s">
        <v>1431</v>
      </c>
      <c r="C1026" t="s">
        <v>58</v>
      </c>
      <c r="D1026" t="s">
        <v>1467</v>
      </c>
      <c r="E1026">
        <v>23.489000000000001</v>
      </c>
    </row>
    <row r="1027" spans="1:5" x14ac:dyDescent="0.2">
      <c r="A1027" s="269">
        <v>45909.513912037037</v>
      </c>
      <c r="B1027" t="s">
        <v>1431</v>
      </c>
      <c r="C1027" t="s">
        <v>58</v>
      </c>
      <c r="D1027" t="s">
        <v>1468</v>
      </c>
      <c r="E1027">
        <v>283</v>
      </c>
    </row>
    <row r="1028" spans="1:5" x14ac:dyDescent="0.2">
      <c r="A1028" s="269">
        <v>45909.513993055552</v>
      </c>
      <c r="B1028" t="s">
        <v>1431</v>
      </c>
      <c r="C1028" t="s">
        <v>58</v>
      </c>
      <c r="D1028" t="s">
        <v>747</v>
      </c>
      <c r="E1028" t="s">
        <v>343</v>
      </c>
    </row>
    <row r="1029" spans="1:5" x14ac:dyDescent="0.2">
      <c r="A1029" s="269">
        <v>45909.514016203706</v>
      </c>
      <c r="B1029" t="s">
        <v>1431</v>
      </c>
      <c r="C1029" t="s">
        <v>58</v>
      </c>
      <c r="D1029" t="s">
        <v>1017</v>
      </c>
      <c r="E1029" t="s">
        <v>63</v>
      </c>
    </row>
    <row r="1030" spans="1:5" x14ac:dyDescent="0.2">
      <c r="A1030" s="269">
        <v>45909.514039351852</v>
      </c>
      <c r="B1030" t="s">
        <v>1431</v>
      </c>
      <c r="C1030" t="s">
        <v>58</v>
      </c>
      <c r="D1030" t="s">
        <v>1018</v>
      </c>
      <c r="E1030" t="s">
        <v>89</v>
      </c>
    </row>
    <row r="1031" spans="1:5" x14ac:dyDescent="0.2">
      <c r="A1031" s="269">
        <v>45909.514317129629</v>
      </c>
      <c r="B1031" t="s">
        <v>1431</v>
      </c>
      <c r="C1031" t="s">
        <v>58</v>
      </c>
      <c r="D1031" t="s">
        <v>1469</v>
      </c>
      <c r="E1031">
        <v>35.359000000000002</v>
      </c>
    </row>
    <row r="1032" spans="1:5" x14ac:dyDescent="0.2">
      <c r="A1032" s="269">
        <v>45909.514467592591</v>
      </c>
      <c r="B1032" t="s">
        <v>1431</v>
      </c>
      <c r="C1032" t="s">
        <v>58</v>
      </c>
      <c r="D1032" t="s">
        <v>1470</v>
      </c>
      <c r="E1032">
        <v>25.5</v>
      </c>
    </row>
    <row r="1033" spans="1:5" x14ac:dyDescent="0.2">
      <c r="A1033" s="269">
        <v>45909.514513888891</v>
      </c>
      <c r="B1033" t="s">
        <v>1431</v>
      </c>
      <c r="C1033" t="s">
        <v>58</v>
      </c>
      <c r="D1033" t="s">
        <v>1471</v>
      </c>
      <c r="E1033" t="s">
        <v>1465</v>
      </c>
    </row>
    <row r="1034" spans="1:5" x14ac:dyDescent="0.2">
      <c r="A1034" s="269">
        <v>45909.550509259258</v>
      </c>
      <c r="B1034" t="s">
        <v>1431</v>
      </c>
      <c r="C1034" t="s">
        <v>58</v>
      </c>
      <c r="D1034" t="s">
        <v>1437</v>
      </c>
      <c r="E1034" t="s">
        <v>365</v>
      </c>
    </row>
    <row r="1035" spans="1:5" x14ac:dyDescent="0.2">
      <c r="A1035" s="269">
        <v>45909.550891203704</v>
      </c>
      <c r="B1035" t="s">
        <v>1431</v>
      </c>
      <c r="C1035" t="s">
        <v>58</v>
      </c>
      <c r="D1035" t="s">
        <v>1438</v>
      </c>
      <c r="E1035" t="s">
        <v>63</v>
      </c>
    </row>
    <row r="1036" spans="1:5" x14ac:dyDescent="0.2">
      <c r="A1036" s="269">
        <v>45909.550925925927</v>
      </c>
      <c r="B1036" t="s">
        <v>1431</v>
      </c>
      <c r="C1036" t="s">
        <v>58</v>
      </c>
      <c r="D1036" t="s">
        <v>1068</v>
      </c>
      <c r="E1036" t="s">
        <v>362</v>
      </c>
    </row>
    <row r="1037" spans="1:5" x14ac:dyDescent="0.2">
      <c r="A1037" s="269">
        <v>45909.55641203704</v>
      </c>
      <c r="B1037" t="s">
        <v>1431</v>
      </c>
      <c r="C1037" t="s">
        <v>58</v>
      </c>
      <c r="D1037" t="s">
        <v>1439</v>
      </c>
      <c r="E1037" t="s">
        <v>365</v>
      </c>
    </row>
    <row r="1038" spans="1:5" x14ac:dyDescent="0.2">
      <c r="A1038" s="269">
        <v>45909.556435185186</v>
      </c>
      <c r="B1038" t="s">
        <v>1431</v>
      </c>
      <c r="C1038" t="s">
        <v>58</v>
      </c>
      <c r="D1038" t="s">
        <v>1440</v>
      </c>
      <c r="E1038" t="s">
        <v>63</v>
      </c>
    </row>
    <row r="1039" spans="1:5" x14ac:dyDescent="0.2">
      <c r="A1039" s="269">
        <v>45909.556481481479</v>
      </c>
      <c r="B1039" t="s">
        <v>1431</v>
      </c>
      <c r="C1039" t="s">
        <v>58</v>
      </c>
      <c r="D1039" t="s">
        <v>1439</v>
      </c>
      <c r="E1039" t="s">
        <v>381</v>
      </c>
    </row>
    <row r="1040" spans="1:5" x14ac:dyDescent="0.2">
      <c r="A1040" s="269">
        <v>45909.556504629632</v>
      </c>
      <c r="B1040" t="s">
        <v>1431</v>
      </c>
      <c r="C1040" t="s">
        <v>58</v>
      </c>
      <c r="D1040" t="s">
        <v>1441</v>
      </c>
      <c r="E1040" t="s">
        <v>343</v>
      </c>
    </row>
    <row r="1041" spans="1:5" x14ac:dyDescent="0.2">
      <c r="A1041" s="269">
        <v>45909.556527777779</v>
      </c>
      <c r="B1041" t="s">
        <v>1431</v>
      </c>
      <c r="C1041" t="s">
        <v>58</v>
      </c>
      <c r="D1041" t="s">
        <v>1442</v>
      </c>
      <c r="E1041" t="s">
        <v>63</v>
      </c>
    </row>
    <row r="1042" spans="1:5" x14ac:dyDescent="0.2">
      <c r="A1042" s="269">
        <v>45909.556550925925</v>
      </c>
      <c r="B1042" t="s">
        <v>1431</v>
      </c>
      <c r="C1042" t="s">
        <v>58</v>
      </c>
      <c r="D1042" t="s">
        <v>1069</v>
      </c>
      <c r="E1042" t="s">
        <v>362</v>
      </c>
    </row>
    <row r="1043" spans="1:5" x14ac:dyDescent="0.2">
      <c r="A1043" s="269">
        <v>45909.556574074071</v>
      </c>
      <c r="B1043" t="s">
        <v>1431</v>
      </c>
      <c r="C1043" t="s">
        <v>58</v>
      </c>
      <c r="D1043" t="s">
        <v>1472</v>
      </c>
      <c r="E1043" t="s">
        <v>362</v>
      </c>
    </row>
    <row r="1044" spans="1:5" x14ac:dyDescent="0.2">
      <c r="A1044" s="269">
        <v>45909.556631944448</v>
      </c>
      <c r="B1044" t="s">
        <v>1431</v>
      </c>
      <c r="C1044" t="s">
        <v>58</v>
      </c>
      <c r="D1044" t="s">
        <v>1473</v>
      </c>
      <c r="E1044" t="s">
        <v>1461</v>
      </c>
    </row>
    <row r="1045" spans="1:5" x14ac:dyDescent="0.2">
      <c r="A1045" s="269">
        <v>45909.55667824074</v>
      </c>
      <c r="B1045" t="s">
        <v>1431</v>
      </c>
      <c r="C1045" t="s">
        <v>58</v>
      </c>
      <c r="D1045" t="s">
        <v>672</v>
      </c>
      <c r="E1045" t="s">
        <v>365</v>
      </c>
    </row>
    <row r="1046" spans="1:5" x14ac:dyDescent="0.2">
      <c r="A1046" s="269">
        <v>45909.556701388887</v>
      </c>
      <c r="B1046" t="s">
        <v>1431</v>
      </c>
      <c r="C1046" t="s">
        <v>58</v>
      </c>
      <c r="D1046" t="s">
        <v>674</v>
      </c>
      <c r="E1046" t="s">
        <v>381</v>
      </c>
    </row>
    <row r="1047" spans="1:5" x14ac:dyDescent="0.2">
      <c r="A1047" s="269">
        <v>45909.55673611111</v>
      </c>
      <c r="B1047" t="s">
        <v>1431</v>
      </c>
      <c r="C1047" t="s">
        <v>58</v>
      </c>
      <c r="D1047" t="s">
        <v>675</v>
      </c>
      <c r="E1047" t="s">
        <v>343</v>
      </c>
    </row>
    <row r="1048" spans="1:5" x14ac:dyDescent="0.2">
      <c r="A1048" s="269">
        <v>45909.556759259256</v>
      </c>
      <c r="B1048" t="s">
        <v>1431</v>
      </c>
      <c r="C1048" t="s">
        <v>58</v>
      </c>
      <c r="D1048" t="s">
        <v>1444</v>
      </c>
      <c r="E1048" t="s">
        <v>63</v>
      </c>
    </row>
    <row r="1049" spans="1:5" x14ac:dyDescent="0.2">
      <c r="A1049" s="269">
        <v>45909.556759259256</v>
      </c>
      <c r="B1049" t="s">
        <v>1431</v>
      </c>
      <c r="C1049" t="s">
        <v>58</v>
      </c>
      <c r="D1049" t="s">
        <v>1444</v>
      </c>
      <c r="E1049" t="s">
        <v>63</v>
      </c>
    </row>
    <row r="1050" spans="1:5" x14ac:dyDescent="0.2">
      <c r="A1050" s="269">
        <v>45909.556770833333</v>
      </c>
      <c r="B1050" t="s">
        <v>1431</v>
      </c>
      <c r="C1050" t="s">
        <v>58</v>
      </c>
      <c r="D1050" t="s">
        <v>1445</v>
      </c>
      <c r="E1050" t="s">
        <v>63</v>
      </c>
    </row>
    <row r="1051" spans="1:5" x14ac:dyDescent="0.2">
      <c r="A1051" s="269">
        <v>45909.55678240741</v>
      </c>
      <c r="B1051" t="s">
        <v>1431</v>
      </c>
      <c r="C1051" t="s">
        <v>58</v>
      </c>
      <c r="D1051" t="s">
        <v>1447</v>
      </c>
      <c r="E1051" t="s">
        <v>63</v>
      </c>
    </row>
    <row r="1052" spans="1:5" x14ac:dyDescent="0.2">
      <c r="A1052" s="269">
        <v>45909.556805555556</v>
      </c>
      <c r="B1052" t="s">
        <v>1431</v>
      </c>
      <c r="C1052" t="s">
        <v>58</v>
      </c>
      <c r="D1052" t="s">
        <v>1474</v>
      </c>
      <c r="E1052" t="s">
        <v>371</v>
      </c>
    </row>
    <row r="1053" spans="1:5" x14ac:dyDescent="0.2">
      <c r="A1053" s="269">
        <v>45909.556817129633</v>
      </c>
      <c r="B1053" t="s">
        <v>1431</v>
      </c>
      <c r="C1053" t="s">
        <v>58</v>
      </c>
      <c r="D1053" t="s">
        <v>1475</v>
      </c>
      <c r="E1053" t="s">
        <v>371</v>
      </c>
    </row>
    <row r="1054" spans="1:5" x14ac:dyDescent="0.2">
      <c r="A1054" s="269">
        <v>45909.556817129633</v>
      </c>
      <c r="B1054" t="s">
        <v>1431</v>
      </c>
      <c r="C1054" t="s">
        <v>58</v>
      </c>
      <c r="D1054" t="s">
        <v>1476</v>
      </c>
      <c r="E1054" t="s">
        <v>371</v>
      </c>
    </row>
    <row r="1055" spans="1:5" x14ac:dyDescent="0.2">
      <c r="A1055" s="269">
        <v>45909.556921296295</v>
      </c>
      <c r="B1055" t="s">
        <v>1431</v>
      </c>
      <c r="C1055" t="s">
        <v>58</v>
      </c>
      <c r="D1055" t="s">
        <v>1477</v>
      </c>
      <c r="E1055" t="s">
        <v>1461</v>
      </c>
    </row>
    <row r="1056" spans="1:5" x14ac:dyDescent="0.2">
      <c r="A1056" s="269">
        <v>45909.556956018518</v>
      </c>
      <c r="B1056" t="s">
        <v>1431</v>
      </c>
      <c r="C1056" t="s">
        <v>58</v>
      </c>
      <c r="D1056" t="s">
        <v>676</v>
      </c>
      <c r="E1056" t="s">
        <v>365</v>
      </c>
    </row>
    <row r="1057" spans="1:5" x14ac:dyDescent="0.2">
      <c r="A1057" s="269">
        <v>45909.556990740741</v>
      </c>
      <c r="B1057" t="s">
        <v>1431</v>
      </c>
      <c r="C1057" t="s">
        <v>58</v>
      </c>
      <c r="D1057" t="s">
        <v>677</v>
      </c>
      <c r="E1057" t="s">
        <v>381</v>
      </c>
    </row>
    <row r="1058" spans="1:5" x14ac:dyDescent="0.2">
      <c r="A1058" s="269">
        <v>45909.557372685187</v>
      </c>
      <c r="B1058" t="s">
        <v>1431</v>
      </c>
      <c r="C1058" t="s">
        <v>58</v>
      </c>
      <c r="D1058" t="s">
        <v>678</v>
      </c>
      <c r="E1058" t="s">
        <v>343</v>
      </c>
    </row>
    <row r="1059" spans="1:5" x14ac:dyDescent="0.2">
      <c r="A1059" s="269">
        <v>45909.557395833333</v>
      </c>
      <c r="B1059" t="s">
        <v>1431</v>
      </c>
      <c r="C1059" t="s">
        <v>58</v>
      </c>
      <c r="D1059" t="s">
        <v>1478</v>
      </c>
      <c r="E1059" t="s">
        <v>63</v>
      </c>
    </row>
    <row r="1060" spans="1:5" x14ac:dyDescent="0.2">
      <c r="A1060" s="269">
        <v>45909.55740740741</v>
      </c>
      <c r="B1060" t="s">
        <v>1431</v>
      </c>
      <c r="C1060" t="s">
        <v>58</v>
      </c>
      <c r="D1060" t="s">
        <v>1449</v>
      </c>
      <c r="E1060" t="s">
        <v>63</v>
      </c>
    </row>
    <row r="1061" spans="1:5" x14ac:dyDescent="0.2">
      <c r="A1061" s="269">
        <v>45909.55741898148</v>
      </c>
      <c r="B1061" t="s">
        <v>1431</v>
      </c>
      <c r="C1061" t="s">
        <v>58</v>
      </c>
      <c r="D1061" t="s">
        <v>1479</v>
      </c>
      <c r="E1061" t="s">
        <v>63</v>
      </c>
    </row>
    <row r="1062" spans="1:5" x14ac:dyDescent="0.2">
      <c r="A1062" s="269">
        <v>45909.557442129626</v>
      </c>
      <c r="B1062" t="s">
        <v>1431</v>
      </c>
      <c r="C1062" t="s">
        <v>58</v>
      </c>
      <c r="D1062" t="s">
        <v>1480</v>
      </c>
      <c r="E1062" t="s">
        <v>379</v>
      </c>
    </row>
    <row r="1063" spans="1:5" x14ac:dyDescent="0.2">
      <c r="A1063" s="269">
        <v>45909.557453703703</v>
      </c>
      <c r="B1063" t="s">
        <v>1431</v>
      </c>
      <c r="C1063" t="s">
        <v>58</v>
      </c>
      <c r="D1063" t="s">
        <v>1481</v>
      </c>
      <c r="E1063" t="s">
        <v>379</v>
      </c>
    </row>
    <row r="1064" spans="1:5" x14ac:dyDescent="0.2">
      <c r="A1064" s="269">
        <v>45909.557453703703</v>
      </c>
      <c r="B1064" t="s">
        <v>1431</v>
      </c>
      <c r="C1064" t="s">
        <v>58</v>
      </c>
      <c r="D1064" t="s">
        <v>1482</v>
      </c>
      <c r="E1064" t="s">
        <v>379</v>
      </c>
    </row>
    <row r="1065" spans="1:5" x14ac:dyDescent="0.2">
      <c r="A1065" s="269">
        <v>45909.560150462959</v>
      </c>
      <c r="B1065" t="s">
        <v>1431</v>
      </c>
      <c r="C1065" t="s">
        <v>58</v>
      </c>
      <c r="D1065" t="s">
        <v>1483</v>
      </c>
      <c r="E1065">
        <v>43.741</v>
      </c>
    </row>
    <row r="1066" spans="1:5" x14ac:dyDescent="0.2">
      <c r="A1066" s="269">
        <v>45909.560347222221</v>
      </c>
      <c r="B1066" t="s">
        <v>1431</v>
      </c>
      <c r="C1066" t="s">
        <v>58</v>
      </c>
      <c r="D1066" t="s">
        <v>668</v>
      </c>
      <c r="E1066">
        <v>527</v>
      </c>
    </row>
    <row r="1067" spans="1:5" x14ac:dyDescent="0.2">
      <c r="A1067" s="269">
        <v>45909.56040509259</v>
      </c>
      <c r="B1067" t="s">
        <v>1431</v>
      </c>
      <c r="C1067" t="s">
        <v>58</v>
      </c>
      <c r="D1067" t="s">
        <v>1484</v>
      </c>
      <c r="E1067">
        <v>231</v>
      </c>
    </row>
    <row r="1068" spans="1:5" x14ac:dyDescent="0.2">
      <c r="A1068" s="269">
        <v>45909.56046296296</v>
      </c>
      <c r="B1068" t="s">
        <v>1431</v>
      </c>
      <c r="C1068" t="s">
        <v>58</v>
      </c>
      <c r="D1068" t="s">
        <v>1485</v>
      </c>
      <c r="E1068">
        <v>19.172999999999998</v>
      </c>
    </row>
    <row r="1069" spans="1:5" x14ac:dyDescent="0.2">
      <c r="A1069" s="269">
        <v>45909.560624999998</v>
      </c>
      <c r="B1069" t="s">
        <v>1431</v>
      </c>
      <c r="C1069" t="s">
        <v>58</v>
      </c>
      <c r="D1069" t="s">
        <v>1486</v>
      </c>
      <c r="E1069">
        <v>20</v>
      </c>
    </row>
    <row r="1070" spans="1:5" x14ac:dyDescent="0.2">
      <c r="A1070" s="269">
        <v>45909.56082175926</v>
      </c>
      <c r="B1070" t="s">
        <v>1431</v>
      </c>
      <c r="C1070" t="s">
        <v>58</v>
      </c>
      <c r="D1070" t="s">
        <v>1487</v>
      </c>
      <c r="E1070">
        <v>24.65</v>
      </c>
    </row>
    <row r="1071" spans="1:5" x14ac:dyDescent="0.2">
      <c r="A1071" s="269">
        <v>45909.619143518517</v>
      </c>
      <c r="B1071" t="s">
        <v>1431</v>
      </c>
      <c r="C1071" t="s">
        <v>58</v>
      </c>
      <c r="D1071" t="s">
        <v>1488</v>
      </c>
      <c r="E1071" t="s">
        <v>365</v>
      </c>
    </row>
    <row r="1072" spans="1:5" x14ac:dyDescent="0.2">
      <c r="A1072" s="269">
        <v>45909.619155092594</v>
      </c>
      <c r="B1072" t="s">
        <v>1431</v>
      </c>
      <c r="C1072" t="s">
        <v>58</v>
      </c>
      <c r="D1072" t="s">
        <v>1489</v>
      </c>
      <c r="E1072" t="s">
        <v>365</v>
      </c>
    </row>
    <row r="1073" spans="1:5" x14ac:dyDescent="0.2">
      <c r="A1073" s="269">
        <v>45909.619166666664</v>
      </c>
      <c r="B1073" t="s">
        <v>1431</v>
      </c>
      <c r="C1073" t="s">
        <v>58</v>
      </c>
      <c r="D1073" t="s">
        <v>1490</v>
      </c>
      <c r="E1073" t="s">
        <v>365</v>
      </c>
    </row>
    <row r="1074" spans="1:5" x14ac:dyDescent="0.2">
      <c r="A1074" s="269">
        <v>45909.61917824074</v>
      </c>
      <c r="B1074" t="s">
        <v>1431</v>
      </c>
      <c r="C1074" t="s">
        <v>58</v>
      </c>
      <c r="D1074" t="s">
        <v>1491</v>
      </c>
      <c r="E1074" t="s">
        <v>365</v>
      </c>
    </row>
    <row r="1075" spans="1:5" x14ac:dyDescent="0.2">
      <c r="A1075" s="269">
        <v>45909.619189814817</v>
      </c>
      <c r="B1075" t="s">
        <v>1431</v>
      </c>
      <c r="C1075" t="s">
        <v>58</v>
      </c>
      <c r="D1075" t="s">
        <v>1492</v>
      </c>
      <c r="E1075" t="s">
        <v>365</v>
      </c>
    </row>
    <row r="1076" spans="1:5" x14ac:dyDescent="0.2">
      <c r="A1076" s="269">
        <v>45909.619201388887</v>
      </c>
      <c r="B1076" t="s">
        <v>1431</v>
      </c>
      <c r="C1076" t="s">
        <v>58</v>
      </c>
      <c r="D1076" t="s">
        <v>1493</v>
      </c>
      <c r="E1076" t="s">
        <v>365</v>
      </c>
    </row>
    <row r="1077" spans="1:5" x14ac:dyDescent="0.2">
      <c r="A1077" s="269">
        <v>45909.619247685187</v>
      </c>
      <c r="B1077" t="s">
        <v>1431</v>
      </c>
      <c r="C1077" t="s">
        <v>58</v>
      </c>
      <c r="D1077" t="s">
        <v>1494</v>
      </c>
      <c r="E1077" t="s">
        <v>386</v>
      </c>
    </row>
    <row r="1078" spans="1:5" x14ac:dyDescent="0.2">
      <c r="A1078" s="269">
        <v>45909.61928240741</v>
      </c>
      <c r="B1078" t="s">
        <v>1431</v>
      </c>
      <c r="C1078" t="s">
        <v>58</v>
      </c>
      <c r="D1078" t="s">
        <v>1495</v>
      </c>
      <c r="E1078" t="s">
        <v>386</v>
      </c>
    </row>
    <row r="1079" spans="1:5" x14ac:dyDescent="0.2">
      <c r="A1079" s="269">
        <v>45909.61928240741</v>
      </c>
      <c r="B1079" t="s">
        <v>1431</v>
      </c>
      <c r="C1079" t="s">
        <v>58</v>
      </c>
      <c r="D1079" t="s">
        <v>1496</v>
      </c>
      <c r="E1079" t="s">
        <v>386</v>
      </c>
    </row>
    <row r="1080" spans="1:5" x14ac:dyDescent="0.2">
      <c r="A1080" s="269">
        <v>45909.619317129633</v>
      </c>
      <c r="B1080" t="s">
        <v>1431</v>
      </c>
      <c r="C1080" t="s">
        <v>58</v>
      </c>
      <c r="D1080" t="s">
        <v>1497</v>
      </c>
      <c r="E1080" t="s">
        <v>390</v>
      </c>
    </row>
    <row r="1081" spans="1:5" x14ac:dyDescent="0.2">
      <c r="A1081" s="269">
        <v>45909.619340277779</v>
      </c>
      <c r="B1081" t="s">
        <v>1431</v>
      </c>
      <c r="C1081" t="s">
        <v>58</v>
      </c>
      <c r="D1081" t="s">
        <v>1498</v>
      </c>
      <c r="E1081" t="s">
        <v>390</v>
      </c>
    </row>
    <row r="1082" spans="1:5" x14ac:dyDescent="0.2">
      <c r="A1082" s="269">
        <v>45909.619351851848</v>
      </c>
      <c r="B1082" t="s">
        <v>1431</v>
      </c>
      <c r="C1082" t="s">
        <v>58</v>
      </c>
      <c r="D1082" t="s">
        <v>1499</v>
      </c>
      <c r="E1082" t="s">
        <v>390</v>
      </c>
    </row>
    <row r="1083" spans="1:5" x14ac:dyDescent="0.2">
      <c r="A1083" s="269">
        <v>45909.619375000002</v>
      </c>
      <c r="B1083" t="s">
        <v>1431</v>
      </c>
      <c r="C1083" t="s">
        <v>58</v>
      </c>
      <c r="D1083" t="s">
        <v>1500</v>
      </c>
      <c r="E1083" t="s">
        <v>41</v>
      </c>
    </row>
    <row r="1084" spans="1:5" x14ac:dyDescent="0.2">
      <c r="A1084" s="269">
        <v>45909.619398148148</v>
      </c>
      <c r="B1084" t="s">
        <v>1431</v>
      </c>
      <c r="C1084" t="s">
        <v>58</v>
      </c>
      <c r="D1084" t="s">
        <v>1501</v>
      </c>
      <c r="E1084" t="s">
        <v>41</v>
      </c>
    </row>
    <row r="1085" spans="1:5" x14ac:dyDescent="0.2">
      <c r="A1085" s="269">
        <v>45909.619398148148</v>
      </c>
      <c r="B1085" t="s">
        <v>1431</v>
      </c>
      <c r="C1085" t="s">
        <v>58</v>
      </c>
      <c r="D1085" t="s">
        <v>1502</v>
      </c>
      <c r="E1085" t="s">
        <v>41</v>
      </c>
    </row>
    <row r="1086" spans="1:5" x14ac:dyDescent="0.2">
      <c r="A1086" s="269">
        <v>45909.619421296295</v>
      </c>
      <c r="B1086" t="s">
        <v>1431</v>
      </c>
      <c r="C1086" t="s">
        <v>58</v>
      </c>
      <c r="D1086" t="s">
        <v>1503</v>
      </c>
      <c r="E1086" t="s">
        <v>397</v>
      </c>
    </row>
    <row r="1087" spans="1:5" x14ac:dyDescent="0.2">
      <c r="A1087" s="269">
        <v>45909.619432870371</v>
      </c>
      <c r="B1087" t="s">
        <v>1431</v>
      </c>
      <c r="C1087" t="s">
        <v>58</v>
      </c>
      <c r="D1087" t="s">
        <v>1504</v>
      </c>
      <c r="E1087" t="s">
        <v>397</v>
      </c>
    </row>
    <row r="1088" spans="1:5" x14ac:dyDescent="0.2">
      <c r="A1088" s="269">
        <v>45909.619432870371</v>
      </c>
      <c r="B1088" t="s">
        <v>1431</v>
      </c>
      <c r="C1088" t="s">
        <v>58</v>
      </c>
      <c r="D1088" t="s">
        <v>1505</v>
      </c>
      <c r="E1088" t="s">
        <v>397</v>
      </c>
    </row>
    <row r="1089" spans="1:5" x14ac:dyDescent="0.2">
      <c r="A1089" s="269">
        <v>45909.619467592594</v>
      </c>
      <c r="B1089" t="s">
        <v>1431</v>
      </c>
      <c r="C1089" t="s">
        <v>58</v>
      </c>
      <c r="D1089" t="s">
        <v>1506</v>
      </c>
      <c r="E1089" t="s">
        <v>400</v>
      </c>
    </row>
    <row r="1090" spans="1:5" x14ac:dyDescent="0.2">
      <c r="A1090" s="269">
        <v>45909.619479166664</v>
      </c>
      <c r="B1090" t="s">
        <v>1431</v>
      </c>
      <c r="C1090" t="s">
        <v>58</v>
      </c>
      <c r="D1090" t="s">
        <v>1507</v>
      </c>
      <c r="E1090" t="s">
        <v>400</v>
      </c>
    </row>
    <row r="1091" spans="1:5" x14ac:dyDescent="0.2">
      <c r="A1091" s="269">
        <v>45909.619490740741</v>
      </c>
      <c r="B1091" t="s">
        <v>1431</v>
      </c>
      <c r="C1091" t="s">
        <v>58</v>
      </c>
      <c r="D1091" t="s">
        <v>1508</v>
      </c>
      <c r="E1091" t="s">
        <v>400</v>
      </c>
    </row>
    <row r="1092" spans="1:5" x14ac:dyDescent="0.2">
      <c r="A1092" s="269">
        <v>45909.619513888887</v>
      </c>
      <c r="B1092" t="s">
        <v>1431</v>
      </c>
      <c r="C1092" t="s">
        <v>58</v>
      </c>
      <c r="D1092" t="s">
        <v>1509</v>
      </c>
      <c r="E1092" t="s">
        <v>404</v>
      </c>
    </row>
    <row r="1093" spans="1:5" x14ac:dyDescent="0.2">
      <c r="A1093" s="269">
        <v>45909.619525462964</v>
      </c>
      <c r="B1093" t="s">
        <v>1431</v>
      </c>
      <c r="C1093" t="s">
        <v>58</v>
      </c>
      <c r="D1093" t="s">
        <v>1510</v>
      </c>
      <c r="E1093" t="s">
        <v>404</v>
      </c>
    </row>
    <row r="1094" spans="1:5" x14ac:dyDescent="0.2">
      <c r="A1094" s="269">
        <v>45909.619525462964</v>
      </c>
      <c r="B1094" t="s">
        <v>1431</v>
      </c>
      <c r="C1094" t="s">
        <v>58</v>
      </c>
      <c r="D1094" t="s">
        <v>1511</v>
      </c>
      <c r="E1094" t="s">
        <v>404</v>
      </c>
    </row>
    <row r="1095" spans="1:5" x14ac:dyDescent="0.2">
      <c r="A1095" s="269">
        <v>45909.619826388887</v>
      </c>
      <c r="B1095" t="s">
        <v>1431</v>
      </c>
      <c r="C1095" t="s">
        <v>58</v>
      </c>
      <c r="D1095" t="s">
        <v>1512</v>
      </c>
      <c r="E1095">
        <v>50.63</v>
      </c>
    </row>
    <row r="1096" spans="1:5" x14ac:dyDescent="0.2">
      <c r="A1096" s="269">
        <v>45909.619953703703</v>
      </c>
      <c r="B1096" t="s">
        <v>1431</v>
      </c>
      <c r="C1096" t="s">
        <v>58</v>
      </c>
      <c r="D1096" t="s">
        <v>1513</v>
      </c>
      <c r="E1096">
        <v>610</v>
      </c>
    </row>
    <row r="1097" spans="1:5" x14ac:dyDescent="0.2">
      <c r="A1097" s="269">
        <v>45909.620011574072</v>
      </c>
      <c r="B1097" t="s">
        <v>1431</v>
      </c>
      <c r="C1097" t="s">
        <v>58</v>
      </c>
      <c r="D1097" t="s">
        <v>1514</v>
      </c>
      <c r="E1097">
        <v>908</v>
      </c>
    </row>
    <row r="1098" spans="1:5" x14ac:dyDescent="0.2">
      <c r="A1098" s="269">
        <v>45909.620057870372</v>
      </c>
      <c r="B1098" t="s">
        <v>1431</v>
      </c>
      <c r="C1098" t="s">
        <v>58</v>
      </c>
      <c r="D1098" t="s">
        <v>1515</v>
      </c>
      <c r="E1098">
        <v>75</v>
      </c>
    </row>
    <row r="1099" spans="1:5" x14ac:dyDescent="0.2">
      <c r="A1099" s="269">
        <v>45909.620127314818</v>
      </c>
      <c r="B1099" t="s">
        <v>1431</v>
      </c>
      <c r="C1099" t="s">
        <v>58</v>
      </c>
      <c r="D1099" t="s">
        <v>1515</v>
      </c>
      <c r="E1099">
        <v>75.364000000000004</v>
      </c>
    </row>
    <row r="1100" spans="1:5" x14ac:dyDescent="0.2">
      <c r="A1100" s="269">
        <v>45909.620439814818</v>
      </c>
      <c r="B1100" t="s">
        <v>1431</v>
      </c>
      <c r="C1100" t="s">
        <v>58</v>
      </c>
      <c r="D1100" t="s">
        <v>1516</v>
      </c>
      <c r="E1100">
        <v>31.962</v>
      </c>
    </row>
    <row r="1101" spans="1:5" x14ac:dyDescent="0.2">
      <c r="A1101" s="269">
        <v>45909.620578703703</v>
      </c>
      <c r="B1101" t="s">
        <v>1431</v>
      </c>
      <c r="C1101" t="s">
        <v>58</v>
      </c>
      <c r="D1101" t="s">
        <v>1517</v>
      </c>
      <c r="E1101">
        <v>24</v>
      </c>
    </row>
    <row r="1102" spans="1:5" x14ac:dyDescent="0.2">
      <c r="A1102" s="269">
        <v>45909.620694444442</v>
      </c>
      <c r="B1102" t="s">
        <v>1431</v>
      </c>
      <c r="C1102" t="s">
        <v>58</v>
      </c>
      <c r="D1102" t="s">
        <v>1518</v>
      </c>
      <c r="E1102" t="s">
        <v>365</v>
      </c>
    </row>
    <row r="1103" spans="1:5" x14ac:dyDescent="0.2">
      <c r="A1103" s="269">
        <v>45909.620717592596</v>
      </c>
      <c r="B1103" t="s">
        <v>1431</v>
      </c>
      <c r="C1103" t="s">
        <v>58</v>
      </c>
      <c r="D1103" t="s">
        <v>1519</v>
      </c>
      <c r="E1103" t="s">
        <v>407</v>
      </c>
    </row>
    <row r="1104" spans="1:5" x14ac:dyDescent="0.2">
      <c r="A1104" s="269">
        <v>45909.620729166665</v>
      </c>
      <c r="B1104" t="s">
        <v>1431</v>
      </c>
      <c r="C1104" t="s">
        <v>58</v>
      </c>
      <c r="D1104" t="s">
        <v>1520</v>
      </c>
      <c r="E1104" t="s">
        <v>407</v>
      </c>
    </row>
    <row r="1105" spans="1:5" x14ac:dyDescent="0.2">
      <c r="A1105" s="269">
        <v>45909.620729166665</v>
      </c>
      <c r="B1105" t="s">
        <v>1431</v>
      </c>
      <c r="C1105" t="s">
        <v>58</v>
      </c>
      <c r="D1105" t="s">
        <v>1521</v>
      </c>
      <c r="E1105" t="s">
        <v>407</v>
      </c>
    </row>
    <row r="1106" spans="1:5" x14ac:dyDescent="0.2">
      <c r="A1106" s="269">
        <v>45909.621701388889</v>
      </c>
      <c r="B1106" t="s">
        <v>1431</v>
      </c>
      <c r="C1106" t="s">
        <v>15</v>
      </c>
      <c r="D1106" t="s">
        <v>1191</v>
      </c>
      <c r="E1106" t="s">
        <v>1522</v>
      </c>
    </row>
    <row r="1107" spans="1:5" x14ac:dyDescent="0.2">
      <c r="A1107" s="269">
        <v>45909.621759259258</v>
      </c>
      <c r="B1107" t="s">
        <v>1431</v>
      </c>
      <c r="C1107" t="s">
        <v>15</v>
      </c>
      <c r="D1107" t="s">
        <v>1191</v>
      </c>
      <c r="E1107" t="s">
        <v>1523</v>
      </c>
    </row>
    <row r="1108" spans="1:5" x14ac:dyDescent="0.2">
      <c r="A1108" s="269">
        <v>45909.621840277781</v>
      </c>
      <c r="B1108" t="s">
        <v>1431</v>
      </c>
      <c r="C1108" t="s">
        <v>15</v>
      </c>
      <c r="D1108" t="s">
        <v>1010</v>
      </c>
      <c r="E1108" t="s">
        <v>194</v>
      </c>
    </row>
    <row r="1109" spans="1:5" x14ac:dyDescent="0.2">
      <c r="A1109" s="269">
        <v>45909.621863425928</v>
      </c>
      <c r="B1109" t="s">
        <v>1431</v>
      </c>
      <c r="C1109" t="s">
        <v>15</v>
      </c>
      <c r="D1109" t="s">
        <v>1066</v>
      </c>
      <c r="E1109">
        <v>1</v>
      </c>
    </row>
    <row r="1110" spans="1:5" x14ac:dyDescent="0.2">
      <c r="A1110" s="269">
        <v>45909.621944444443</v>
      </c>
      <c r="B1110" t="s">
        <v>1431</v>
      </c>
      <c r="C1110" t="s">
        <v>15</v>
      </c>
      <c r="D1110" t="s">
        <v>973</v>
      </c>
      <c r="E1110" t="s">
        <v>364</v>
      </c>
    </row>
    <row r="1111" spans="1:5" x14ac:dyDescent="0.2">
      <c r="A1111" s="269">
        <v>45909.622025462966</v>
      </c>
      <c r="B1111" t="s">
        <v>1431</v>
      </c>
      <c r="C1111" t="s">
        <v>15</v>
      </c>
      <c r="D1111" t="s">
        <v>926</v>
      </c>
      <c r="E1111" t="s">
        <v>352</v>
      </c>
    </row>
    <row r="1112" spans="1:5" x14ac:dyDescent="0.2">
      <c r="A1112" s="269">
        <v>45909.623726851853</v>
      </c>
      <c r="B1112" t="s">
        <v>1431</v>
      </c>
      <c r="C1112" t="s">
        <v>15</v>
      </c>
      <c r="D1112" t="s">
        <v>975</v>
      </c>
      <c r="E1112">
        <v>41</v>
      </c>
    </row>
    <row r="1113" spans="1:5" x14ac:dyDescent="0.2">
      <c r="A1113" s="269">
        <v>45909.624328703707</v>
      </c>
      <c r="B1113" t="s">
        <v>1431</v>
      </c>
      <c r="C1113" t="s">
        <v>15</v>
      </c>
      <c r="D1113" t="s">
        <v>975</v>
      </c>
    </row>
    <row r="1114" spans="1:5" x14ac:dyDescent="0.2">
      <c r="A1114" s="269">
        <v>45909.625300925924</v>
      </c>
      <c r="B1114" t="s">
        <v>1431</v>
      </c>
      <c r="C1114" t="s">
        <v>15</v>
      </c>
      <c r="D1114" t="s">
        <v>795</v>
      </c>
      <c r="E1114" t="s">
        <v>1524</v>
      </c>
    </row>
    <row r="1115" spans="1:5" x14ac:dyDescent="0.2">
      <c r="A1115" s="269">
        <v>45909.625347222223</v>
      </c>
      <c r="B1115" t="s">
        <v>1431</v>
      </c>
      <c r="C1115" t="s">
        <v>15</v>
      </c>
      <c r="D1115" t="s">
        <v>995</v>
      </c>
      <c r="E1115" t="s">
        <v>197</v>
      </c>
    </row>
    <row r="1116" spans="1:5" x14ac:dyDescent="0.2">
      <c r="A1116" s="269">
        <v>45909.625358796293</v>
      </c>
      <c r="B1116" t="s">
        <v>1431</v>
      </c>
      <c r="C1116" t="s">
        <v>15</v>
      </c>
      <c r="D1116" t="s">
        <v>994</v>
      </c>
      <c r="E1116">
        <v>16</v>
      </c>
    </row>
    <row r="1117" spans="1:5" x14ac:dyDescent="0.2">
      <c r="A1117" s="269">
        <v>45909.625416666669</v>
      </c>
      <c r="B1117" t="s">
        <v>1431</v>
      </c>
      <c r="C1117" t="s">
        <v>15</v>
      </c>
      <c r="D1117" t="s">
        <v>976</v>
      </c>
      <c r="E1117" t="s">
        <v>380</v>
      </c>
    </row>
    <row r="1118" spans="1:5" x14ac:dyDescent="0.2">
      <c r="A1118" s="269">
        <v>45909.625439814816</v>
      </c>
      <c r="B1118" t="s">
        <v>1431</v>
      </c>
      <c r="C1118" t="s">
        <v>15</v>
      </c>
      <c r="D1118" t="s">
        <v>874</v>
      </c>
      <c r="E1118" t="s">
        <v>352</v>
      </c>
    </row>
    <row r="1119" spans="1:5" x14ac:dyDescent="0.2">
      <c r="A1119" s="269">
        <v>45909.62641203704</v>
      </c>
      <c r="B1119" t="s">
        <v>1431</v>
      </c>
      <c r="C1119" t="s">
        <v>15</v>
      </c>
      <c r="D1119" t="s">
        <v>1526</v>
      </c>
      <c r="E1119" t="s">
        <v>1525</v>
      </c>
    </row>
    <row r="1120" spans="1:5" x14ac:dyDescent="0.2">
      <c r="A1120" s="269">
        <v>45909.626851851855</v>
      </c>
      <c r="B1120" t="s">
        <v>1431</v>
      </c>
      <c r="C1120" t="s">
        <v>15</v>
      </c>
      <c r="D1120" t="s">
        <v>1013</v>
      </c>
      <c r="E1120" t="s">
        <v>1527</v>
      </c>
    </row>
    <row r="1121" spans="1:5" x14ac:dyDescent="0.2">
      <c r="A1121" s="269">
        <v>45909.626909722225</v>
      </c>
      <c r="B1121" t="s">
        <v>1431</v>
      </c>
      <c r="C1121" t="s">
        <v>15</v>
      </c>
      <c r="D1121" t="s">
        <v>1014</v>
      </c>
      <c r="E1121" t="s">
        <v>200</v>
      </c>
    </row>
    <row r="1122" spans="1:5" x14ac:dyDescent="0.2">
      <c r="A1122" s="269">
        <v>45909.627638888887</v>
      </c>
      <c r="B1122" t="s">
        <v>1431</v>
      </c>
      <c r="C1122" t="s">
        <v>15</v>
      </c>
      <c r="D1122" t="s">
        <v>1015</v>
      </c>
      <c r="E1122">
        <v>2</v>
      </c>
    </row>
    <row r="1123" spans="1:5" x14ac:dyDescent="0.2">
      <c r="A1123" s="269">
        <v>45909.628032407411</v>
      </c>
      <c r="B1123" t="s">
        <v>1431</v>
      </c>
      <c r="C1123" t="s">
        <v>15</v>
      </c>
      <c r="D1123" t="s">
        <v>977</v>
      </c>
      <c r="E1123" t="s">
        <v>380</v>
      </c>
    </row>
    <row r="1124" spans="1:5" x14ac:dyDescent="0.2">
      <c r="A1124" s="269">
        <v>45909.628125000003</v>
      </c>
      <c r="B1124" t="s">
        <v>1431</v>
      </c>
      <c r="C1124" t="s">
        <v>15</v>
      </c>
      <c r="D1124" t="s">
        <v>1467</v>
      </c>
      <c r="E1124" t="s">
        <v>352</v>
      </c>
    </row>
    <row r="1125" spans="1:5" x14ac:dyDescent="0.2">
      <c r="A1125" s="269">
        <v>45909.628298611111</v>
      </c>
      <c r="B1125" t="s">
        <v>1431</v>
      </c>
      <c r="C1125" t="s">
        <v>15</v>
      </c>
      <c r="D1125" t="s">
        <v>747</v>
      </c>
      <c r="E1125" t="s">
        <v>1523</v>
      </c>
    </row>
    <row r="1126" spans="1:5" x14ac:dyDescent="0.2">
      <c r="A1126" s="269">
        <v>45909.62840277778</v>
      </c>
      <c r="B1126" t="s">
        <v>1431</v>
      </c>
      <c r="C1126" t="s">
        <v>15</v>
      </c>
      <c r="D1126" t="s">
        <v>982</v>
      </c>
      <c r="E1126" t="s">
        <v>1528</v>
      </c>
    </row>
    <row r="1127" spans="1:5" x14ac:dyDescent="0.2">
      <c r="A1127" s="269">
        <v>45909.628657407404</v>
      </c>
      <c r="B1127" t="s">
        <v>1431</v>
      </c>
      <c r="C1127" t="s">
        <v>15</v>
      </c>
      <c r="D1127" t="s">
        <v>1017</v>
      </c>
      <c r="E1127" t="s">
        <v>200</v>
      </c>
    </row>
    <row r="1128" spans="1:5" x14ac:dyDescent="0.2">
      <c r="A1128" s="269">
        <v>45909.628680555557</v>
      </c>
      <c r="B1128" t="s">
        <v>1431</v>
      </c>
      <c r="C1128" t="s">
        <v>15</v>
      </c>
      <c r="D1128" t="s">
        <v>1018</v>
      </c>
      <c r="E1128">
        <v>2</v>
      </c>
    </row>
    <row r="1129" spans="1:5" x14ac:dyDescent="0.2">
      <c r="A1129" s="269">
        <v>45909.62872685185</v>
      </c>
      <c r="B1129" t="s">
        <v>1431</v>
      </c>
      <c r="C1129" t="s">
        <v>15</v>
      </c>
      <c r="D1129" t="s">
        <v>923</v>
      </c>
      <c r="E1129" t="s">
        <v>363</v>
      </c>
    </row>
    <row r="1130" spans="1:5" x14ac:dyDescent="0.2">
      <c r="A1130" s="269">
        <v>45909.628784722219</v>
      </c>
      <c r="B1130" t="s">
        <v>1431</v>
      </c>
      <c r="C1130" t="s">
        <v>15</v>
      </c>
      <c r="D1130" t="s">
        <v>976</v>
      </c>
      <c r="E1130" t="s">
        <v>364</v>
      </c>
    </row>
    <row r="1131" spans="1:5" x14ac:dyDescent="0.2">
      <c r="A1131" s="269">
        <v>45909.628842592596</v>
      </c>
      <c r="B1131" t="s">
        <v>1431</v>
      </c>
      <c r="C1131" t="s">
        <v>15</v>
      </c>
      <c r="D1131" t="s">
        <v>976</v>
      </c>
      <c r="E1131" t="s">
        <v>380</v>
      </c>
    </row>
    <row r="1132" spans="1:5" x14ac:dyDescent="0.2">
      <c r="A1132" s="269">
        <v>45909.628912037035</v>
      </c>
      <c r="B1132" t="s">
        <v>1431</v>
      </c>
      <c r="C1132" t="s">
        <v>15</v>
      </c>
      <c r="D1132" t="s">
        <v>1469</v>
      </c>
      <c r="E1132" t="s">
        <v>352</v>
      </c>
    </row>
    <row r="1133" spans="1:5" x14ac:dyDescent="0.2">
      <c r="A1133" s="269">
        <v>45909.62903935185</v>
      </c>
      <c r="B1133" t="s">
        <v>1431</v>
      </c>
      <c r="C1133" t="s">
        <v>15</v>
      </c>
      <c r="D1133" t="s">
        <v>1530</v>
      </c>
      <c r="E1133" t="s">
        <v>1529</v>
      </c>
    </row>
    <row r="1134" spans="1:5" x14ac:dyDescent="0.2">
      <c r="A1134" s="269">
        <v>45909.629131944443</v>
      </c>
      <c r="B1134" t="s">
        <v>1431</v>
      </c>
      <c r="C1134" t="s">
        <v>15</v>
      </c>
      <c r="D1134" t="s">
        <v>1532</v>
      </c>
      <c r="E1134" t="s">
        <v>1531</v>
      </c>
    </row>
    <row r="1135" spans="1:5" x14ac:dyDescent="0.2">
      <c r="A1135" s="269">
        <v>45909.630243055559</v>
      </c>
      <c r="B1135" t="s">
        <v>1431</v>
      </c>
      <c r="C1135" t="s">
        <v>15</v>
      </c>
      <c r="D1135" t="s">
        <v>1437</v>
      </c>
      <c r="E1135" t="s">
        <v>1533</v>
      </c>
    </row>
    <row r="1136" spans="1:5" x14ac:dyDescent="0.2">
      <c r="A1136" s="269">
        <v>45909.630300925928</v>
      </c>
      <c r="B1136" t="s">
        <v>1431</v>
      </c>
      <c r="C1136" t="s">
        <v>15</v>
      </c>
      <c r="D1136" t="s">
        <v>1438</v>
      </c>
      <c r="E1136" t="s">
        <v>203</v>
      </c>
    </row>
    <row r="1137" spans="1:5" x14ac:dyDescent="0.2">
      <c r="A1137" s="269">
        <v>45909.632245370369</v>
      </c>
      <c r="B1137" t="s">
        <v>1431</v>
      </c>
      <c r="C1137" t="s">
        <v>15</v>
      </c>
      <c r="D1137" t="s">
        <v>1068</v>
      </c>
      <c r="E1137">
        <v>7</v>
      </c>
    </row>
    <row r="1138" spans="1:5" x14ac:dyDescent="0.2">
      <c r="A1138" s="269">
        <v>45909.632303240738</v>
      </c>
      <c r="B1138" t="s">
        <v>1431</v>
      </c>
      <c r="C1138" t="s">
        <v>15</v>
      </c>
      <c r="D1138" t="s">
        <v>918</v>
      </c>
      <c r="E1138" t="s">
        <v>339</v>
      </c>
    </row>
    <row r="1139" spans="1:5" x14ac:dyDescent="0.2">
      <c r="A1139" s="269">
        <v>45909.63244212963</v>
      </c>
      <c r="B1139" t="s">
        <v>1431</v>
      </c>
      <c r="C1139" t="s">
        <v>15</v>
      </c>
      <c r="D1139" t="s">
        <v>1534</v>
      </c>
      <c r="E1139" t="s">
        <v>188</v>
      </c>
    </row>
    <row r="1140" spans="1:5" x14ac:dyDescent="0.2">
      <c r="A1140" s="269">
        <v>45909.632476851853</v>
      </c>
      <c r="B1140" t="s">
        <v>1431</v>
      </c>
      <c r="C1140" t="s">
        <v>15</v>
      </c>
      <c r="D1140" t="s">
        <v>1534</v>
      </c>
      <c r="E1140" t="s">
        <v>352</v>
      </c>
    </row>
    <row r="1141" spans="1:5" x14ac:dyDescent="0.2">
      <c r="A1141" s="269">
        <v>45909.632673611108</v>
      </c>
      <c r="B1141" t="s">
        <v>1431</v>
      </c>
      <c r="C1141" t="s">
        <v>15</v>
      </c>
      <c r="D1141" t="s">
        <v>1535</v>
      </c>
      <c r="E1141" t="s">
        <v>1533</v>
      </c>
    </row>
    <row r="1142" spans="1:5" x14ac:dyDescent="0.2">
      <c r="A1142" s="269">
        <v>45909.633680555555</v>
      </c>
      <c r="B1142" t="s">
        <v>1431</v>
      </c>
      <c r="C1142" t="s">
        <v>15</v>
      </c>
      <c r="D1142" t="s">
        <v>1450</v>
      </c>
      <c r="E1142" t="s">
        <v>1536</v>
      </c>
    </row>
    <row r="1143" spans="1:5" x14ac:dyDescent="0.2">
      <c r="A1143" s="269">
        <v>45909.633784722224</v>
      </c>
      <c r="B1143" t="s">
        <v>1431</v>
      </c>
      <c r="C1143" t="s">
        <v>15</v>
      </c>
      <c r="D1143" t="s">
        <v>1451</v>
      </c>
      <c r="E1143" s="442">
        <v>45909</v>
      </c>
    </row>
    <row r="1144" spans="1:5" x14ac:dyDescent="0.2">
      <c r="A1144" s="269">
        <v>45909.63385416667</v>
      </c>
      <c r="B1144" t="s">
        <v>1431</v>
      </c>
      <c r="C1144" t="s">
        <v>15</v>
      </c>
      <c r="D1144" t="s">
        <v>1451</v>
      </c>
      <c r="E1144" s="442">
        <v>45909</v>
      </c>
    </row>
    <row r="1145" spans="1:5" x14ac:dyDescent="0.2">
      <c r="A1145" s="269">
        <v>45909.633923611109</v>
      </c>
      <c r="B1145" t="s">
        <v>1431</v>
      </c>
      <c r="C1145" t="s">
        <v>15</v>
      </c>
      <c r="D1145" t="s">
        <v>733</v>
      </c>
      <c r="E1145" s="442">
        <v>45909</v>
      </c>
    </row>
    <row r="1146" spans="1:5" x14ac:dyDescent="0.2">
      <c r="A1146" s="269">
        <v>45909.634027777778</v>
      </c>
      <c r="B1146" t="s">
        <v>1431</v>
      </c>
      <c r="C1146" t="s">
        <v>103</v>
      </c>
      <c r="D1146" t="s">
        <v>1434</v>
      </c>
      <c r="E1146" t="s">
        <v>338</v>
      </c>
    </row>
    <row r="1147" spans="1:5" x14ac:dyDescent="0.2">
      <c r="A1147" s="269">
        <v>45909.634039351855</v>
      </c>
      <c r="B1147" t="s">
        <v>1431</v>
      </c>
      <c r="C1147" t="s">
        <v>103</v>
      </c>
      <c r="D1147" t="s">
        <v>1191</v>
      </c>
      <c r="E1147" t="s">
        <v>89</v>
      </c>
    </row>
    <row r="1148" spans="1:5" x14ac:dyDescent="0.2">
      <c r="A1148" s="269">
        <v>45909.634074074071</v>
      </c>
      <c r="B1148" t="s">
        <v>1431</v>
      </c>
      <c r="C1148" t="s">
        <v>103</v>
      </c>
      <c r="D1148" t="s">
        <v>795</v>
      </c>
      <c r="E1148" t="s">
        <v>362</v>
      </c>
    </row>
    <row r="1149" spans="1:5" x14ac:dyDescent="0.2">
      <c r="A1149" s="269">
        <v>45909.634097222224</v>
      </c>
      <c r="B1149" t="s">
        <v>1431</v>
      </c>
      <c r="C1149" t="s">
        <v>103</v>
      </c>
      <c r="D1149" t="s">
        <v>1013</v>
      </c>
      <c r="E1149" t="s">
        <v>371</v>
      </c>
    </row>
    <row r="1150" spans="1:5" x14ac:dyDescent="0.2">
      <c r="A1150" s="269">
        <v>45909.634131944447</v>
      </c>
      <c r="B1150" t="s">
        <v>1431</v>
      </c>
      <c r="C1150" t="s">
        <v>103</v>
      </c>
      <c r="D1150" t="s">
        <v>747</v>
      </c>
      <c r="E1150" t="s">
        <v>379</v>
      </c>
    </row>
    <row r="1151" spans="1:5" x14ac:dyDescent="0.2">
      <c r="A1151" s="269">
        <v>45909.634155092594</v>
      </c>
      <c r="B1151" t="s">
        <v>1431</v>
      </c>
      <c r="C1151" t="s">
        <v>103</v>
      </c>
      <c r="D1151" t="s">
        <v>1437</v>
      </c>
      <c r="E1151" t="s">
        <v>386</v>
      </c>
    </row>
    <row r="1152" spans="1:5" x14ac:dyDescent="0.2">
      <c r="A1152" s="269">
        <v>45909.634189814817</v>
      </c>
      <c r="B1152" t="s">
        <v>1431</v>
      </c>
      <c r="C1152" t="s">
        <v>103</v>
      </c>
      <c r="D1152" t="s">
        <v>1439</v>
      </c>
      <c r="E1152" t="s">
        <v>390</v>
      </c>
    </row>
    <row r="1153" spans="1:5" x14ac:dyDescent="0.2">
      <c r="A1153" s="269">
        <v>45909.634212962963</v>
      </c>
      <c r="B1153" t="s">
        <v>1431</v>
      </c>
      <c r="C1153" t="s">
        <v>103</v>
      </c>
      <c r="D1153" t="s">
        <v>1441</v>
      </c>
      <c r="E1153" t="s">
        <v>41</v>
      </c>
    </row>
    <row r="1154" spans="1:5" x14ac:dyDescent="0.2">
      <c r="A1154" s="269">
        <v>45909.634236111109</v>
      </c>
      <c r="B1154" t="s">
        <v>1431</v>
      </c>
      <c r="C1154" t="s">
        <v>103</v>
      </c>
      <c r="D1154" t="s">
        <v>672</v>
      </c>
      <c r="E1154" t="s">
        <v>397</v>
      </c>
    </row>
    <row r="1155" spans="1:5" x14ac:dyDescent="0.2">
      <c r="A1155" s="269">
        <v>45909.634259259263</v>
      </c>
      <c r="B1155" t="s">
        <v>1431</v>
      </c>
      <c r="C1155" t="s">
        <v>103</v>
      </c>
      <c r="D1155" t="s">
        <v>674</v>
      </c>
      <c r="E1155" t="s">
        <v>400</v>
      </c>
    </row>
    <row r="1156" spans="1:5" x14ac:dyDescent="0.2">
      <c r="A1156" s="269">
        <v>45909.634293981479</v>
      </c>
      <c r="B1156" t="s">
        <v>1431</v>
      </c>
      <c r="C1156" t="s">
        <v>103</v>
      </c>
      <c r="D1156" t="s">
        <v>675</v>
      </c>
      <c r="E1156" t="s">
        <v>404</v>
      </c>
    </row>
    <row r="1157" spans="1:5" x14ac:dyDescent="0.2">
      <c r="A1157" s="269">
        <v>45909.634328703702</v>
      </c>
      <c r="B1157" t="s">
        <v>1431</v>
      </c>
      <c r="C1157" t="s">
        <v>103</v>
      </c>
      <c r="D1157" t="s">
        <v>676</v>
      </c>
      <c r="E1157" t="s">
        <v>407</v>
      </c>
    </row>
    <row r="1158" spans="1:5" x14ac:dyDescent="0.2">
      <c r="A1158" s="269">
        <v>45909.634571759256</v>
      </c>
      <c r="B1158" t="s">
        <v>1431</v>
      </c>
      <c r="C1158" t="s">
        <v>103</v>
      </c>
      <c r="D1158" t="s">
        <v>1537</v>
      </c>
      <c r="E1158">
        <v>37100</v>
      </c>
    </row>
    <row r="1159" spans="1:5" x14ac:dyDescent="0.2">
      <c r="A1159" s="269">
        <v>45909.634594907409</v>
      </c>
      <c r="B1159" t="s">
        <v>1431</v>
      </c>
      <c r="C1159" t="s">
        <v>103</v>
      </c>
      <c r="D1159" t="s">
        <v>1537</v>
      </c>
    </row>
    <row r="1160" spans="1:5" x14ac:dyDescent="0.2">
      <c r="A1160" s="269">
        <v>45909.634641203702</v>
      </c>
      <c r="B1160" t="s">
        <v>1431</v>
      </c>
      <c r="C1160" t="s">
        <v>103</v>
      </c>
      <c r="D1160" t="s">
        <v>983</v>
      </c>
      <c r="E1160">
        <v>37100</v>
      </c>
    </row>
    <row r="1161" spans="1:5" x14ac:dyDescent="0.2">
      <c r="A1161" s="269">
        <v>45909.634675925925</v>
      </c>
      <c r="B1161" t="s">
        <v>1431</v>
      </c>
      <c r="C1161" t="s">
        <v>103</v>
      </c>
      <c r="D1161" t="s">
        <v>1066</v>
      </c>
      <c r="E1161">
        <v>34160</v>
      </c>
    </row>
    <row r="1162" spans="1:5" x14ac:dyDescent="0.2">
      <c r="A1162" s="269">
        <v>45909.634768518517</v>
      </c>
      <c r="B1162" t="s">
        <v>1431</v>
      </c>
      <c r="C1162" t="s">
        <v>103</v>
      </c>
      <c r="D1162" t="s">
        <v>1436</v>
      </c>
      <c r="E1162">
        <v>417343.95</v>
      </c>
    </row>
    <row r="1163" spans="1:5" x14ac:dyDescent="0.2">
      <c r="A1163" s="269">
        <v>45909.63484953704</v>
      </c>
      <c r="B1163" t="s">
        <v>1431</v>
      </c>
      <c r="C1163" t="s">
        <v>103</v>
      </c>
      <c r="D1163" t="s">
        <v>937</v>
      </c>
      <c r="E1163" t="s">
        <v>515</v>
      </c>
    </row>
    <row r="1164" spans="1:5" x14ac:dyDescent="0.2">
      <c r="A1164" s="269">
        <v>45909.635706018518</v>
      </c>
      <c r="B1164" t="s">
        <v>1431</v>
      </c>
      <c r="C1164" t="s">
        <v>103</v>
      </c>
      <c r="D1164" t="s">
        <v>658</v>
      </c>
      <c r="E1164" t="s">
        <v>1538</v>
      </c>
    </row>
    <row r="1165" spans="1:5" x14ac:dyDescent="0.2">
      <c r="A1165" s="269">
        <v>45909.635729166665</v>
      </c>
      <c r="B1165" t="s">
        <v>1431</v>
      </c>
      <c r="C1165" t="s">
        <v>103</v>
      </c>
      <c r="D1165" t="s">
        <v>1455</v>
      </c>
      <c r="E1165" t="s">
        <v>1538</v>
      </c>
    </row>
    <row r="1166" spans="1:5" x14ac:dyDescent="0.2">
      <c r="A1166" s="269">
        <v>45909.635729166665</v>
      </c>
      <c r="B1166" t="s">
        <v>1431</v>
      </c>
      <c r="C1166" t="s">
        <v>103</v>
      </c>
      <c r="D1166" t="s">
        <v>996</v>
      </c>
      <c r="E1166" t="s">
        <v>1538</v>
      </c>
    </row>
    <row r="1167" spans="1:5" x14ac:dyDescent="0.2">
      <c r="A1167" s="269">
        <v>45909.635740740741</v>
      </c>
      <c r="B1167" t="s">
        <v>1431</v>
      </c>
      <c r="C1167" t="s">
        <v>103</v>
      </c>
      <c r="D1167" t="s">
        <v>1539</v>
      </c>
      <c r="E1167" t="s">
        <v>1538</v>
      </c>
    </row>
    <row r="1168" spans="1:5" x14ac:dyDescent="0.2">
      <c r="A1168" s="269">
        <v>45909.635752314818</v>
      </c>
      <c r="B1168" t="s">
        <v>1431</v>
      </c>
      <c r="C1168" t="s">
        <v>103</v>
      </c>
      <c r="D1168" t="s">
        <v>1019</v>
      </c>
      <c r="E1168" t="s">
        <v>1538</v>
      </c>
    </row>
    <row r="1169" spans="1:5" x14ac:dyDescent="0.2">
      <c r="A1169" s="269">
        <v>45909.635752314818</v>
      </c>
      <c r="B1169" t="s">
        <v>1431</v>
      </c>
      <c r="C1169" t="s">
        <v>103</v>
      </c>
      <c r="D1169" t="s">
        <v>1540</v>
      </c>
      <c r="E1169" t="s">
        <v>1538</v>
      </c>
    </row>
    <row r="1170" spans="1:5" x14ac:dyDescent="0.2">
      <c r="A1170" s="269">
        <v>45909.635775462964</v>
      </c>
      <c r="B1170" t="s">
        <v>1431</v>
      </c>
      <c r="C1170" t="s">
        <v>103</v>
      </c>
      <c r="D1170" t="s">
        <v>1541</v>
      </c>
      <c r="E1170" t="s">
        <v>1538</v>
      </c>
    </row>
    <row r="1171" spans="1:5" x14ac:dyDescent="0.2">
      <c r="A1171" s="269">
        <v>45909.635775462964</v>
      </c>
      <c r="B1171" t="s">
        <v>1431</v>
      </c>
      <c r="C1171" t="s">
        <v>103</v>
      </c>
      <c r="D1171" t="s">
        <v>1542</v>
      </c>
      <c r="E1171" t="s">
        <v>1538</v>
      </c>
    </row>
    <row r="1172" spans="1:5" x14ac:dyDescent="0.2">
      <c r="A1172" s="269">
        <v>45909.635787037034</v>
      </c>
      <c r="B1172" t="s">
        <v>1431</v>
      </c>
      <c r="C1172" t="s">
        <v>103</v>
      </c>
      <c r="D1172" t="s">
        <v>1543</v>
      </c>
      <c r="E1172" t="s">
        <v>1538</v>
      </c>
    </row>
    <row r="1173" spans="1:5" x14ac:dyDescent="0.2">
      <c r="A1173" s="269">
        <v>45909.635798611111</v>
      </c>
      <c r="B1173" t="s">
        <v>1431</v>
      </c>
      <c r="C1173" t="s">
        <v>103</v>
      </c>
      <c r="D1173" t="s">
        <v>1544</v>
      </c>
      <c r="E1173" t="s">
        <v>1538</v>
      </c>
    </row>
    <row r="1174" spans="1:5" x14ac:dyDescent="0.2">
      <c r="A1174" s="269">
        <v>45909.635798611111</v>
      </c>
      <c r="B1174" t="s">
        <v>1431</v>
      </c>
      <c r="C1174" t="s">
        <v>103</v>
      </c>
      <c r="D1174" t="s">
        <v>1545</v>
      </c>
      <c r="E1174" t="s">
        <v>1538</v>
      </c>
    </row>
    <row r="1175" spans="1:5" x14ac:dyDescent="0.2">
      <c r="A1175" s="269">
        <v>45909.635810185187</v>
      </c>
      <c r="B1175" t="s">
        <v>1431</v>
      </c>
      <c r="C1175" t="s">
        <v>103</v>
      </c>
      <c r="D1175" t="s">
        <v>1546</v>
      </c>
      <c r="E1175" t="s">
        <v>1538</v>
      </c>
    </row>
    <row r="1176" spans="1:5" x14ac:dyDescent="0.2">
      <c r="A1176" s="269">
        <v>45909.635879629626</v>
      </c>
      <c r="B1176" t="s">
        <v>1431</v>
      </c>
      <c r="C1176" t="s">
        <v>103</v>
      </c>
      <c r="D1176" t="s">
        <v>926</v>
      </c>
      <c r="E1176" t="s">
        <v>515</v>
      </c>
    </row>
    <row r="1177" spans="1:5" x14ac:dyDescent="0.2">
      <c r="A1177" s="269">
        <v>45909.635914351849</v>
      </c>
      <c r="B1177" t="s">
        <v>1431</v>
      </c>
      <c r="C1177" t="s">
        <v>103</v>
      </c>
      <c r="D1177" t="s">
        <v>1547</v>
      </c>
      <c r="E1177" t="s">
        <v>515</v>
      </c>
    </row>
    <row r="1178" spans="1:5" x14ac:dyDescent="0.2">
      <c r="A1178" s="269">
        <v>45909.636053240742</v>
      </c>
      <c r="B1178" t="s">
        <v>1431</v>
      </c>
      <c r="C1178" t="s">
        <v>103</v>
      </c>
      <c r="D1178" t="s">
        <v>1548</v>
      </c>
      <c r="E1178">
        <v>410730.45</v>
      </c>
    </row>
    <row r="1179" spans="1:5" x14ac:dyDescent="0.2">
      <c r="A1179" s="269">
        <v>45909.636122685188</v>
      </c>
      <c r="B1179" t="s">
        <v>1431</v>
      </c>
      <c r="C1179" t="s">
        <v>103</v>
      </c>
      <c r="D1179" t="s">
        <v>1549</v>
      </c>
      <c r="E1179">
        <v>34300</v>
      </c>
    </row>
    <row r="1180" spans="1:5" x14ac:dyDescent="0.2">
      <c r="A1180" s="269">
        <v>45909.636643518519</v>
      </c>
      <c r="B1180" t="s">
        <v>1431</v>
      </c>
      <c r="C1180" t="s">
        <v>25</v>
      </c>
      <c r="D1180" t="s">
        <v>1450</v>
      </c>
      <c r="E1180" t="s">
        <v>1431</v>
      </c>
    </row>
    <row r="1181" spans="1:5" x14ac:dyDescent="0.2">
      <c r="A1181" s="269">
        <v>45909.636689814812</v>
      </c>
      <c r="B1181" t="s">
        <v>1431</v>
      </c>
      <c r="C1181" t="s">
        <v>25</v>
      </c>
      <c r="D1181" t="s">
        <v>1451</v>
      </c>
      <c r="E1181" s="442">
        <v>45909</v>
      </c>
    </row>
    <row r="1182" spans="1:5" x14ac:dyDescent="0.2">
      <c r="A1182" s="269">
        <v>45909.637337962966</v>
      </c>
      <c r="B1182" t="s">
        <v>1431</v>
      </c>
      <c r="C1182" t="s">
        <v>26</v>
      </c>
      <c r="D1182" t="s">
        <v>1450</v>
      </c>
      <c r="E1182" t="s">
        <v>1431</v>
      </c>
    </row>
    <row r="1183" spans="1:5" x14ac:dyDescent="0.2">
      <c r="A1183" s="269">
        <v>45909.637361111112</v>
      </c>
      <c r="B1183" t="s">
        <v>1431</v>
      </c>
      <c r="C1183" t="s">
        <v>26</v>
      </c>
      <c r="D1183" t="s">
        <v>1451</v>
      </c>
      <c r="E1183" s="442">
        <v>45909</v>
      </c>
    </row>
    <row r="1184" spans="1:5" x14ac:dyDescent="0.2">
      <c r="A1184" s="269">
        <v>45909.637430555558</v>
      </c>
      <c r="B1184" t="s">
        <v>1431</v>
      </c>
      <c r="C1184" t="s">
        <v>26</v>
      </c>
      <c r="D1184" t="s">
        <v>1434</v>
      </c>
      <c r="E1184" t="s">
        <v>338</v>
      </c>
    </row>
    <row r="1185" spans="1:5" x14ac:dyDescent="0.2">
      <c r="A1185" s="269">
        <v>45909.637476851851</v>
      </c>
      <c r="B1185" t="s">
        <v>1431</v>
      </c>
      <c r="C1185" t="s">
        <v>26</v>
      </c>
      <c r="D1185" t="s">
        <v>1191</v>
      </c>
      <c r="E1185" t="s">
        <v>89</v>
      </c>
    </row>
    <row r="1186" spans="1:5" x14ac:dyDescent="0.2">
      <c r="A1186" s="269">
        <v>45909.637499999997</v>
      </c>
      <c r="B1186" t="s">
        <v>1431</v>
      </c>
      <c r="C1186" t="s">
        <v>26</v>
      </c>
      <c r="D1186" t="s">
        <v>795</v>
      </c>
      <c r="E1186" t="s">
        <v>362</v>
      </c>
    </row>
    <row r="1187" spans="1:5" x14ac:dyDescent="0.2">
      <c r="A1187" s="269">
        <v>45909.63753472222</v>
      </c>
      <c r="B1187" t="s">
        <v>1431</v>
      </c>
      <c r="C1187" t="s">
        <v>26</v>
      </c>
      <c r="D1187" t="s">
        <v>1013</v>
      </c>
      <c r="E1187" t="s">
        <v>362</v>
      </c>
    </row>
    <row r="1188" spans="1:5" x14ac:dyDescent="0.2">
      <c r="A1188" s="269">
        <v>45909.637569444443</v>
      </c>
      <c r="B1188" t="s">
        <v>1431</v>
      </c>
      <c r="C1188" t="s">
        <v>26</v>
      </c>
      <c r="D1188" t="s">
        <v>1013</v>
      </c>
      <c r="E1188" t="s">
        <v>371</v>
      </c>
    </row>
    <row r="1189" spans="1:5" x14ac:dyDescent="0.2">
      <c r="A1189" s="269">
        <v>45909.637604166666</v>
      </c>
      <c r="B1189" t="s">
        <v>1431</v>
      </c>
      <c r="C1189" t="s">
        <v>26</v>
      </c>
      <c r="D1189" t="s">
        <v>747</v>
      </c>
      <c r="E1189" t="s">
        <v>379</v>
      </c>
    </row>
    <row r="1190" spans="1:5" x14ac:dyDescent="0.2">
      <c r="A1190" s="269">
        <v>45909.637615740743</v>
      </c>
      <c r="B1190" t="s">
        <v>1431</v>
      </c>
      <c r="C1190" t="s">
        <v>26</v>
      </c>
      <c r="D1190" t="s">
        <v>1437</v>
      </c>
      <c r="E1190" t="s">
        <v>386</v>
      </c>
    </row>
    <row r="1191" spans="1:5" x14ac:dyDescent="0.2">
      <c r="A1191" s="269">
        <v>45909.637662037036</v>
      </c>
      <c r="B1191" t="s">
        <v>1431</v>
      </c>
      <c r="C1191" t="s">
        <v>26</v>
      </c>
      <c r="D1191" t="s">
        <v>1439</v>
      </c>
      <c r="E1191" t="s">
        <v>390</v>
      </c>
    </row>
    <row r="1192" spans="1:5" x14ac:dyDescent="0.2">
      <c r="A1192" s="269">
        <v>45909.637685185182</v>
      </c>
      <c r="B1192" t="s">
        <v>1431</v>
      </c>
      <c r="C1192" t="s">
        <v>26</v>
      </c>
      <c r="D1192" t="s">
        <v>1441</v>
      </c>
      <c r="E1192" t="s">
        <v>41</v>
      </c>
    </row>
    <row r="1193" spans="1:5" x14ac:dyDescent="0.2">
      <c r="A1193" s="269">
        <v>45909.637708333335</v>
      </c>
      <c r="B1193" t="s">
        <v>1431</v>
      </c>
      <c r="C1193" t="s">
        <v>26</v>
      </c>
      <c r="D1193" t="s">
        <v>672</v>
      </c>
      <c r="E1193" t="s">
        <v>397</v>
      </c>
    </row>
    <row r="1194" spans="1:5" x14ac:dyDescent="0.2">
      <c r="A1194" s="269">
        <v>45909.637731481482</v>
      </c>
      <c r="B1194" t="s">
        <v>1431</v>
      </c>
      <c r="C1194" t="s">
        <v>26</v>
      </c>
      <c r="D1194" t="s">
        <v>674</v>
      </c>
      <c r="E1194" t="s">
        <v>400</v>
      </c>
    </row>
    <row r="1195" spans="1:5" x14ac:dyDescent="0.2">
      <c r="A1195" s="269">
        <v>45909.637754629628</v>
      </c>
      <c r="B1195" t="s">
        <v>1431</v>
      </c>
      <c r="C1195" t="s">
        <v>26</v>
      </c>
      <c r="D1195" t="s">
        <v>675</v>
      </c>
      <c r="E1195" t="s">
        <v>400</v>
      </c>
    </row>
    <row r="1196" spans="1:5" x14ac:dyDescent="0.2">
      <c r="A1196" s="269">
        <v>45909.637777777774</v>
      </c>
      <c r="B1196" t="s">
        <v>1431</v>
      </c>
      <c r="C1196" t="s">
        <v>26</v>
      </c>
      <c r="D1196" t="s">
        <v>675</v>
      </c>
      <c r="E1196" t="s">
        <v>404</v>
      </c>
    </row>
    <row r="1197" spans="1:5" x14ac:dyDescent="0.2">
      <c r="A1197" s="269">
        <v>45909.637800925928</v>
      </c>
      <c r="B1197" t="s">
        <v>1431</v>
      </c>
      <c r="C1197" t="s">
        <v>26</v>
      </c>
      <c r="D1197" t="s">
        <v>676</v>
      </c>
      <c r="E1197" t="s">
        <v>407</v>
      </c>
    </row>
    <row r="1198" spans="1:5" x14ac:dyDescent="0.2">
      <c r="A1198" s="269">
        <v>45909.637916666667</v>
      </c>
      <c r="B1198" t="s">
        <v>1431</v>
      </c>
      <c r="C1198" t="s">
        <v>26</v>
      </c>
      <c r="D1198" t="s">
        <v>983</v>
      </c>
      <c r="E1198" t="s">
        <v>124</v>
      </c>
    </row>
    <row r="1199" spans="1:5" x14ac:dyDescent="0.2">
      <c r="A1199" s="269">
        <v>45909.638032407405</v>
      </c>
      <c r="B1199" t="s">
        <v>1431</v>
      </c>
      <c r="C1199" t="s">
        <v>26</v>
      </c>
      <c r="D1199" t="s">
        <v>1066</v>
      </c>
      <c r="E1199" t="s">
        <v>124</v>
      </c>
    </row>
    <row r="1200" spans="1:5" x14ac:dyDescent="0.2">
      <c r="A1200" s="269">
        <v>45909.638043981482</v>
      </c>
      <c r="B1200" t="s">
        <v>1431</v>
      </c>
      <c r="C1200" t="s">
        <v>26</v>
      </c>
      <c r="D1200" t="s">
        <v>994</v>
      </c>
      <c r="E1200" t="s">
        <v>124</v>
      </c>
    </row>
    <row r="1201" spans="1:5" x14ac:dyDescent="0.2">
      <c r="A1201" s="269">
        <v>45909.638043981482</v>
      </c>
      <c r="B1201" t="s">
        <v>1431</v>
      </c>
      <c r="C1201" t="s">
        <v>26</v>
      </c>
      <c r="D1201" t="s">
        <v>1015</v>
      </c>
      <c r="E1201" t="s">
        <v>124</v>
      </c>
    </row>
    <row r="1202" spans="1:5" x14ac:dyDescent="0.2">
      <c r="A1202" s="269">
        <v>45909.638055555559</v>
      </c>
      <c r="B1202" t="s">
        <v>1431</v>
      </c>
      <c r="C1202" t="s">
        <v>26</v>
      </c>
      <c r="D1202" t="s">
        <v>1018</v>
      </c>
      <c r="E1202" t="s">
        <v>124</v>
      </c>
    </row>
    <row r="1203" spans="1:5" x14ac:dyDescent="0.2">
      <c r="A1203" s="269">
        <v>45909.638055555559</v>
      </c>
      <c r="B1203" t="s">
        <v>1431</v>
      </c>
      <c r="C1203" t="s">
        <v>26</v>
      </c>
      <c r="D1203" t="s">
        <v>1068</v>
      </c>
      <c r="E1203" t="s">
        <v>124</v>
      </c>
    </row>
    <row r="1204" spans="1:5" x14ac:dyDescent="0.2">
      <c r="A1204" s="269">
        <v>45909.638067129628</v>
      </c>
      <c r="B1204" t="s">
        <v>1431</v>
      </c>
      <c r="C1204" t="s">
        <v>26</v>
      </c>
      <c r="D1204" t="s">
        <v>1068</v>
      </c>
      <c r="E1204" t="s">
        <v>124</v>
      </c>
    </row>
    <row r="1205" spans="1:5" x14ac:dyDescent="0.2">
      <c r="A1205" s="269">
        <v>45909.638078703705</v>
      </c>
      <c r="B1205" t="s">
        <v>1431</v>
      </c>
      <c r="C1205" t="s">
        <v>26</v>
      </c>
      <c r="D1205" t="s">
        <v>1069</v>
      </c>
      <c r="E1205" t="s">
        <v>124</v>
      </c>
    </row>
    <row r="1206" spans="1:5" x14ac:dyDescent="0.2">
      <c r="A1206" s="269">
        <v>45909.638078703705</v>
      </c>
      <c r="B1206" t="s">
        <v>1431</v>
      </c>
      <c r="C1206" t="s">
        <v>26</v>
      </c>
      <c r="D1206" t="s">
        <v>1472</v>
      </c>
      <c r="E1206" t="s">
        <v>124</v>
      </c>
    </row>
    <row r="1207" spans="1:5" x14ac:dyDescent="0.2">
      <c r="A1207" s="269">
        <v>45909.638090277775</v>
      </c>
      <c r="B1207" t="s">
        <v>1431</v>
      </c>
      <c r="C1207" t="s">
        <v>26</v>
      </c>
      <c r="D1207" t="s">
        <v>1474</v>
      </c>
      <c r="E1207" t="s">
        <v>124</v>
      </c>
    </row>
    <row r="1208" spans="1:5" x14ac:dyDescent="0.2">
      <c r="A1208" s="269">
        <v>45909.638090277775</v>
      </c>
      <c r="B1208" t="s">
        <v>1431</v>
      </c>
      <c r="C1208" t="s">
        <v>26</v>
      </c>
      <c r="D1208" t="s">
        <v>1475</v>
      </c>
      <c r="E1208" t="s">
        <v>124</v>
      </c>
    </row>
    <row r="1209" spans="1:5" x14ac:dyDescent="0.2">
      <c r="A1209" s="269">
        <v>45909.638101851851</v>
      </c>
      <c r="B1209" t="s">
        <v>1431</v>
      </c>
      <c r="C1209" t="s">
        <v>26</v>
      </c>
      <c r="D1209" t="s">
        <v>1476</v>
      </c>
      <c r="E1209" t="s">
        <v>124</v>
      </c>
    </row>
    <row r="1210" spans="1:5" x14ac:dyDescent="0.2">
      <c r="A1210" s="269">
        <v>45909.638101851851</v>
      </c>
      <c r="B1210" t="s">
        <v>1431</v>
      </c>
      <c r="C1210" t="s">
        <v>26</v>
      </c>
      <c r="D1210" t="s">
        <v>1480</v>
      </c>
      <c r="E1210" t="s">
        <v>124</v>
      </c>
    </row>
    <row r="1211" spans="1:5" x14ac:dyDescent="0.2">
      <c r="A1211" s="269">
        <v>45909.638379629629</v>
      </c>
      <c r="B1211" t="s">
        <v>1431</v>
      </c>
      <c r="C1211" t="s">
        <v>26</v>
      </c>
      <c r="D1211" t="s">
        <v>1550</v>
      </c>
      <c r="E1211">
        <v>140</v>
      </c>
    </row>
    <row r="1212" spans="1:5" x14ac:dyDescent="0.2">
      <c r="A1212" s="269">
        <v>45909.641446759262</v>
      </c>
      <c r="B1212" t="s">
        <v>1431</v>
      </c>
      <c r="C1212" t="s">
        <v>26</v>
      </c>
      <c r="D1212" t="s">
        <v>937</v>
      </c>
      <c r="E1212" t="s">
        <v>1551</v>
      </c>
    </row>
    <row r="1213" spans="1:5" x14ac:dyDescent="0.2">
      <c r="A1213" s="269">
        <v>45909.64166666667</v>
      </c>
      <c r="B1213" t="s">
        <v>1431</v>
      </c>
      <c r="C1213" t="s">
        <v>26</v>
      </c>
      <c r="D1213" t="s">
        <v>937</v>
      </c>
    </row>
    <row r="1214" spans="1:5" x14ac:dyDescent="0.2">
      <c r="A1214" s="269">
        <v>45909.659305555557</v>
      </c>
      <c r="B1214" t="s">
        <v>1431</v>
      </c>
      <c r="C1214" t="s">
        <v>28</v>
      </c>
      <c r="D1214" t="s">
        <v>1450</v>
      </c>
      <c r="E1214" t="s">
        <v>1431</v>
      </c>
    </row>
    <row r="1215" spans="1:5" x14ac:dyDescent="0.2">
      <c r="A1215" s="269">
        <v>45909.659398148149</v>
      </c>
      <c r="B1215" t="s">
        <v>1431</v>
      </c>
      <c r="C1215" t="s">
        <v>28</v>
      </c>
      <c r="D1215" t="s">
        <v>1434</v>
      </c>
      <c r="E1215" t="s">
        <v>338</v>
      </c>
    </row>
    <row r="1216" spans="1:5" x14ac:dyDescent="0.2">
      <c r="A1216" s="269">
        <v>45909.65965277778</v>
      </c>
      <c r="B1216" t="s">
        <v>1431</v>
      </c>
      <c r="C1216" t="s">
        <v>28</v>
      </c>
      <c r="D1216" t="s">
        <v>983</v>
      </c>
      <c r="E1216" t="s">
        <v>139</v>
      </c>
    </row>
    <row r="1217" spans="1:5" x14ac:dyDescent="0.2">
      <c r="A1217" s="269">
        <v>45909.667349537034</v>
      </c>
      <c r="B1217" t="s">
        <v>1431</v>
      </c>
      <c r="C1217" t="s">
        <v>28</v>
      </c>
      <c r="D1217" t="s">
        <v>937</v>
      </c>
      <c r="E1217" t="s">
        <v>347</v>
      </c>
    </row>
    <row r="1218" spans="1:5" x14ac:dyDescent="0.2">
      <c r="A1218" s="269">
        <v>45909.692395833335</v>
      </c>
      <c r="B1218" t="s">
        <v>1431</v>
      </c>
      <c r="C1218" t="s">
        <v>58</v>
      </c>
      <c r="D1218" t="s">
        <v>925</v>
      </c>
      <c r="E1218">
        <v>184</v>
      </c>
    </row>
    <row r="1219" spans="1:5" x14ac:dyDescent="0.2">
      <c r="A1219" s="269">
        <v>45909.692615740743</v>
      </c>
      <c r="B1219" t="s">
        <v>1431</v>
      </c>
      <c r="C1219" t="s">
        <v>58</v>
      </c>
      <c r="D1219" t="s">
        <v>1534</v>
      </c>
      <c r="E1219">
        <v>15.355</v>
      </c>
    </row>
    <row r="1220" spans="1:5" x14ac:dyDescent="0.2">
      <c r="A1220" s="269">
        <v>45909.692719907405</v>
      </c>
      <c r="B1220" t="s">
        <v>1431</v>
      </c>
      <c r="C1220" t="s">
        <v>58</v>
      </c>
      <c r="D1220" t="s">
        <v>1552</v>
      </c>
      <c r="E1220">
        <v>10</v>
      </c>
    </row>
    <row r="1221" spans="1:5" x14ac:dyDescent="0.2">
      <c r="A1221" s="269">
        <v>45909.692777777775</v>
      </c>
      <c r="B1221" t="s">
        <v>1431</v>
      </c>
      <c r="C1221" t="s">
        <v>58</v>
      </c>
      <c r="D1221" t="s">
        <v>1552</v>
      </c>
      <c r="E1221">
        <v>1022</v>
      </c>
    </row>
    <row r="1222" spans="1:5" x14ac:dyDescent="0.2">
      <c r="A1222" s="269">
        <v>45909.692835648151</v>
      </c>
      <c r="B1222" t="s">
        <v>1431</v>
      </c>
      <c r="C1222" t="s">
        <v>58</v>
      </c>
      <c r="D1222" t="s">
        <v>1553</v>
      </c>
      <c r="E1222">
        <v>84.825999999999993</v>
      </c>
    </row>
    <row r="1223" spans="1:5" x14ac:dyDescent="0.2">
      <c r="A1223" s="269">
        <v>45909.693067129629</v>
      </c>
      <c r="B1223" t="s">
        <v>1431</v>
      </c>
      <c r="C1223" t="s">
        <v>58</v>
      </c>
      <c r="D1223" t="s">
        <v>1554</v>
      </c>
      <c r="E1223">
        <v>53.347000000000001</v>
      </c>
    </row>
    <row r="1224" spans="1:5" x14ac:dyDescent="0.2">
      <c r="A1224" s="269">
        <v>45909.69327546296</v>
      </c>
      <c r="B1224" t="s">
        <v>1431</v>
      </c>
      <c r="C1224" t="s">
        <v>58</v>
      </c>
      <c r="D1224" t="s">
        <v>1555</v>
      </c>
      <c r="E1224">
        <v>27.1</v>
      </c>
    </row>
    <row r="1225" spans="1:5" x14ac:dyDescent="0.2">
      <c r="A1225" s="269">
        <v>45909.694803240738</v>
      </c>
      <c r="B1225" t="s">
        <v>1431</v>
      </c>
      <c r="C1225" t="s">
        <v>58</v>
      </c>
      <c r="D1225" t="s">
        <v>1556</v>
      </c>
      <c r="E1225">
        <v>55.942</v>
      </c>
    </row>
    <row r="1226" spans="1:5" x14ac:dyDescent="0.2">
      <c r="A1226" s="269">
        <v>45909.695115740738</v>
      </c>
      <c r="B1226" t="s">
        <v>1431</v>
      </c>
      <c r="C1226" t="s">
        <v>58</v>
      </c>
      <c r="D1226" t="s">
        <v>1557</v>
      </c>
      <c r="E1226">
        <v>674</v>
      </c>
    </row>
    <row r="1227" spans="1:5" x14ac:dyDescent="0.2">
      <c r="A1227" s="269">
        <v>45909.6952662037</v>
      </c>
      <c r="B1227" t="s">
        <v>1431</v>
      </c>
      <c r="C1227" t="s">
        <v>58</v>
      </c>
      <c r="D1227" t="s">
        <v>1558</v>
      </c>
      <c r="E1227">
        <v>531</v>
      </c>
    </row>
    <row r="1228" spans="1:5" x14ac:dyDescent="0.2">
      <c r="A1228" s="269">
        <v>45909.6953125</v>
      </c>
      <c r="B1228" t="s">
        <v>1431</v>
      </c>
      <c r="C1228" t="s">
        <v>58</v>
      </c>
      <c r="D1228" t="s">
        <v>1559</v>
      </c>
      <c r="E1228">
        <v>38.761000000000003</v>
      </c>
    </row>
    <row r="1229" spans="1:5" x14ac:dyDescent="0.2">
      <c r="A1229" s="269">
        <v>45909.695717592593</v>
      </c>
      <c r="B1229" t="s">
        <v>1431</v>
      </c>
      <c r="C1229" t="s">
        <v>58</v>
      </c>
      <c r="D1229" t="s">
        <v>1560</v>
      </c>
      <c r="E1229">
        <v>235.57599999999999</v>
      </c>
    </row>
    <row r="1230" spans="1:5" x14ac:dyDescent="0.2">
      <c r="A1230" s="269">
        <v>45909.695972222224</v>
      </c>
      <c r="B1230" t="s">
        <v>1431</v>
      </c>
      <c r="C1230" t="s">
        <v>58</v>
      </c>
      <c r="D1230" t="s">
        <v>1561</v>
      </c>
      <c r="E1230">
        <v>599.9</v>
      </c>
    </row>
    <row r="1231" spans="1:5" x14ac:dyDescent="0.2">
      <c r="A1231" s="269">
        <v>45909.696122685185</v>
      </c>
      <c r="B1231" t="s">
        <v>1431</v>
      </c>
      <c r="C1231" t="s">
        <v>58</v>
      </c>
      <c r="D1231" t="s">
        <v>1561</v>
      </c>
    </row>
    <row r="1232" spans="1:5" x14ac:dyDescent="0.2">
      <c r="A1232" s="269">
        <v>45909.696134259262</v>
      </c>
      <c r="B1232" t="s">
        <v>1431</v>
      </c>
      <c r="C1232" t="s">
        <v>58</v>
      </c>
      <c r="D1232" t="s">
        <v>1560</v>
      </c>
    </row>
    <row r="1233" spans="1:5" x14ac:dyDescent="0.2">
      <c r="A1233" s="269">
        <v>45909.696145833332</v>
      </c>
      <c r="B1233" t="s">
        <v>1431</v>
      </c>
      <c r="C1233" t="s">
        <v>58</v>
      </c>
      <c r="D1233" t="s">
        <v>1559</v>
      </c>
    </row>
    <row r="1234" spans="1:5" x14ac:dyDescent="0.2">
      <c r="A1234" s="269">
        <v>45909.696145833332</v>
      </c>
      <c r="B1234" t="s">
        <v>1431</v>
      </c>
      <c r="C1234" t="s">
        <v>58</v>
      </c>
      <c r="D1234" t="s">
        <v>1558</v>
      </c>
    </row>
    <row r="1235" spans="1:5" x14ac:dyDescent="0.2">
      <c r="A1235" s="269">
        <v>45909.696215277778</v>
      </c>
      <c r="B1235" t="s">
        <v>1431</v>
      </c>
      <c r="C1235" t="s">
        <v>58</v>
      </c>
      <c r="D1235" t="s">
        <v>1558</v>
      </c>
      <c r="E1235">
        <v>531</v>
      </c>
    </row>
    <row r="1236" spans="1:5" x14ac:dyDescent="0.2">
      <c r="A1236" s="269">
        <v>45909.696215277778</v>
      </c>
      <c r="B1236" t="s">
        <v>1431</v>
      </c>
      <c r="C1236" t="s">
        <v>58</v>
      </c>
      <c r="D1236" t="s">
        <v>1559</v>
      </c>
      <c r="E1236">
        <v>38.761000000000003</v>
      </c>
    </row>
    <row r="1237" spans="1:5" x14ac:dyDescent="0.2">
      <c r="A1237" s="269">
        <v>45909.696226851855</v>
      </c>
      <c r="B1237" t="s">
        <v>1431</v>
      </c>
      <c r="C1237" t="s">
        <v>58</v>
      </c>
      <c r="D1237" t="s">
        <v>1560</v>
      </c>
      <c r="E1237">
        <v>235.57599999999999</v>
      </c>
    </row>
    <row r="1238" spans="1:5" x14ac:dyDescent="0.2">
      <c r="A1238" s="269">
        <v>45909.696226851855</v>
      </c>
      <c r="B1238" t="s">
        <v>1431</v>
      </c>
      <c r="C1238" t="s">
        <v>58</v>
      </c>
      <c r="D1238" t="s">
        <v>1561</v>
      </c>
      <c r="E1238">
        <v>599.9</v>
      </c>
    </row>
    <row r="1239" spans="1:5" x14ac:dyDescent="0.2">
      <c r="A1239" s="269">
        <v>45909.696261574078</v>
      </c>
      <c r="B1239" t="s">
        <v>1431</v>
      </c>
      <c r="C1239" t="s">
        <v>58</v>
      </c>
      <c r="D1239" t="s">
        <v>1562</v>
      </c>
      <c r="E1239">
        <v>55.942</v>
      </c>
    </row>
    <row r="1240" spans="1:5" x14ac:dyDescent="0.2">
      <c r="A1240" s="269">
        <v>45909.696296296293</v>
      </c>
      <c r="B1240" t="s">
        <v>1431</v>
      </c>
      <c r="C1240" t="s">
        <v>58</v>
      </c>
      <c r="D1240" t="s">
        <v>1563</v>
      </c>
      <c r="E1240">
        <v>674</v>
      </c>
    </row>
    <row r="1241" spans="1:5" x14ac:dyDescent="0.2">
      <c r="A1241" s="269">
        <v>45909.696319444447</v>
      </c>
      <c r="B1241" t="s">
        <v>1431</v>
      </c>
      <c r="C1241" t="s">
        <v>58</v>
      </c>
      <c r="D1241" t="s">
        <v>1564</v>
      </c>
    </row>
    <row r="1242" spans="1:5" x14ac:dyDescent="0.2">
      <c r="A1242" s="269">
        <v>45909.696331018517</v>
      </c>
      <c r="B1242" t="s">
        <v>1431</v>
      </c>
      <c r="C1242" t="s">
        <v>58</v>
      </c>
      <c r="D1242" t="s">
        <v>1565</v>
      </c>
    </row>
    <row r="1243" spans="1:5" x14ac:dyDescent="0.2">
      <c r="A1243" s="269">
        <v>45909.697083333333</v>
      </c>
      <c r="B1243" t="s">
        <v>1431</v>
      </c>
      <c r="C1243" t="s">
        <v>58</v>
      </c>
      <c r="D1243" t="s">
        <v>1566</v>
      </c>
      <c r="E1243">
        <v>46.978000000000002</v>
      </c>
    </row>
    <row r="1244" spans="1:5" x14ac:dyDescent="0.2">
      <c r="A1244" s="269">
        <v>45909.697245370371</v>
      </c>
      <c r="B1244" t="s">
        <v>1431</v>
      </c>
      <c r="C1244" t="s">
        <v>58</v>
      </c>
      <c r="D1244" t="s">
        <v>1567</v>
      </c>
      <c r="E1244">
        <v>566</v>
      </c>
    </row>
    <row r="1245" spans="1:5" x14ac:dyDescent="0.2">
      <c r="A1245" s="269">
        <v>45909.697384259256</v>
      </c>
      <c r="B1245" t="s">
        <v>1431</v>
      </c>
      <c r="C1245" t="s">
        <v>58</v>
      </c>
      <c r="D1245" t="s">
        <v>1568</v>
      </c>
      <c r="E1245">
        <v>75.695999999999998</v>
      </c>
    </row>
    <row r="1246" spans="1:5" x14ac:dyDescent="0.2">
      <c r="A1246" s="269">
        <v>45909.697442129633</v>
      </c>
      <c r="B1246" t="s">
        <v>1431</v>
      </c>
      <c r="C1246" t="s">
        <v>58</v>
      </c>
      <c r="D1246" t="s">
        <v>1569</v>
      </c>
      <c r="E1246">
        <v>1021</v>
      </c>
    </row>
    <row r="1247" spans="1:5" x14ac:dyDescent="0.2">
      <c r="A1247" s="269">
        <v>45909.697557870371</v>
      </c>
      <c r="B1247" t="s">
        <v>1431</v>
      </c>
      <c r="C1247" t="s">
        <v>58</v>
      </c>
      <c r="D1247" t="s">
        <v>1570</v>
      </c>
      <c r="E1247">
        <v>4.2969999999999997</v>
      </c>
    </row>
    <row r="1248" spans="1:5" x14ac:dyDescent="0.2">
      <c r="A1248" s="269">
        <v>45909.697627314818</v>
      </c>
      <c r="B1248" t="s">
        <v>1431</v>
      </c>
      <c r="C1248" t="s">
        <v>58</v>
      </c>
      <c r="D1248" t="s">
        <v>1571</v>
      </c>
      <c r="E1248">
        <v>3.9</v>
      </c>
    </row>
    <row r="1249" spans="1:5" x14ac:dyDescent="0.2">
      <c r="A1249" s="269">
        <v>45909.698182870372</v>
      </c>
      <c r="B1249" t="s">
        <v>1431</v>
      </c>
      <c r="C1249" t="s">
        <v>58</v>
      </c>
      <c r="D1249" t="s">
        <v>1572</v>
      </c>
      <c r="E1249">
        <v>79.182000000000002</v>
      </c>
    </row>
    <row r="1250" spans="1:5" x14ac:dyDescent="0.2">
      <c r="A1250" s="269">
        <v>45909.69835648148</v>
      </c>
      <c r="B1250" t="s">
        <v>1431</v>
      </c>
      <c r="C1250" t="s">
        <v>58</v>
      </c>
      <c r="D1250" t="s">
        <v>1573</v>
      </c>
      <c r="E1250">
        <v>954</v>
      </c>
    </row>
    <row r="1251" spans="1:5" x14ac:dyDescent="0.2">
      <c r="A1251" s="269">
        <v>45909.698414351849</v>
      </c>
      <c r="B1251" t="s">
        <v>1431</v>
      </c>
      <c r="C1251" t="s">
        <v>58</v>
      </c>
      <c r="D1251" t="s">
        <v>1574</v>
      </c>
      <c r="E1251">
        <v>632</v>
      </c>
    </row>
    <row r="1252" spans="1:5" x14ac:dyDescent="0.2">
      <c r="A1252" s="269">
        <v>45909.698518518519</v>
      </c>
      <c r="B1252" t="s">
        <v>1431</v>
      </c>
      <c r="C1252" t="s">
        <v>58</v>
      </c>
      <c r="D1252" t="s">
        <v>1575</v>
      </c>
      <c r="E1252">
        <v>52.456000000000003</v>
      </c>
    </row>
    <row r="1253" spans="1:5" x14ac:dyDescent="0.2">
      <c r="A1253" s="269">
        <v>45909.698738425926</v>
      </c>
      <c r="B1253" t="s">
        <v>1431</v>
      </c>
      <c r="C1253" t="s">
        <v>58</v>
      </c>
      <c r="D1253" t="s">
        <v>1576</v>
      </c>
      <c r="E1253">
        <v>10.065</v>
      </c>
    </row>
    <row r="1254" spans="1:5" x14ac:dyDescent="0.2">
      <c r="A1254" s="269">
        <v>45909.698888888888</v>
      </c>
      <c r="B1254" t="s">
        <v>1431</v>
      </c>
      <c r="C1254" t="s">
        <v>58</v>
      </c>
      <c r="D1254" t="s">
        <v>1577</v>
      </c>
      <c r="E1254">
        <v>18.2</v>
      </c>
    </row>
    <row r="1255" spans="1:5" x14ac:dyDescent="0.2">
      <c r="A1255" s="269">
        <v>45909.699432870373</v>
      </c>
      <c r="B1255" t="s">
        <v>1431</v>
      </c>
      <c r="C1255" t="s">
        <v>58</v>
      </c>
      <c r="D1255" t="s">
        <v>1556</v>
      </c>
      <c r="E1255">
        <v>34.694000000000003</v>
      </c>
    </row>
    <row r="1256" spans="1:5" x14ac:dyDescent="0.2">
      <c r="A1256" s="269">
        <v>45909.699525462966</v>
      </c>
      <c r="B1256" t="s">
        <v>1431</v>
      </c>
      <c r="C1256" t="s">
        <v>58</v>
      </c>
      <c r="D1256" t="s">
        <v>1557</v>
      </c>
      <c r="E1256">
        <v>422</v>
      </c>
    </row>
    <row r="1257" spans="1:5" x14ac:dyDescent="0.2">
      <c r="A1257" s="269">
        <v>45909.699652777781</v>
      </c>
      <c r="B1257" t="s">
        <v>1431</v>
      </c>
      <c r="C1257" t="s">
        <v>58</v>
      </c>
      <c r="D1257" t="s">
        <v>1558</v>
      </c>
      <c r="E1257">
        <v>588</v>
      </c>
    </row>
    <row r="1258" spans="1:5" x14ac:dyDescent="0.2">
      <c r="A1258" s="269">
        <v>45909.69972222222</v>
      </c>
      <c r="B1258" t="s">
        <v>1431</v>
      </c>
      <c r="C1258" t="s">
        <v>58</v>
      </c>
      <c r="D1258" t="s">
        <v>1559</v>
      </c>
      <c r="E1258">
        <v>48.804000000000002</v>
      </c>
    </row>
    <row r="1259" spans="1:5" x14ac:dyDescent="0.2">
      <c r="A1259" s="269">
        <v>45909.699976851851</v>
      </c>
      <c r="B1259" t="s">
        <v>1431</v>
      </c>
      <c r="C1259" t="s">
        <v>58</v>
      </c>
      <c r="D1259" t="s">
        <v>1560</v>
      </c>
      <c r="E1259">
        <v>35.393000000000001</v>
      </c>
    </row>
    <row r="1260" spans="1:5" x14ac:dyDescent="0.2">
      <c r="A1260" s="269">
        <v>45909.700115740743</v>
      </c>
      <c r="B1260" t="s">
        <v>1431</v>
      </c>
      <c r="C1260" t="s">
        <v>58</v>
      </c>
      <c r="D1260" t="s">
        <v>1561</v>
      </c>
      <c r="E1260">
        <v>28.3</v>
      </c>
    </row>
    <row r="1261" spans="1:5" x14ac:dyDescent="0.2">
      <c r="A1261" s="269">
        <v>45909.700208333335</v>
      </c>
      <c r="B1261" t="s">
        <v>1431</v>
      </c>
      <c r="C1261" t="s">
        <v>58</v>
      </c>
      <c r="D1261" t="s">
        <v>1578</v>
      </c>
      <c r="E1261" t="s">
        <v>1461</v>
      </c>
    </row>
    <row r="1262" spans="1:5" x14ac:dyDescent="0.2">
      <c r="A1262" s="269">
        <v>45909.700219907405</v>
      </c>
      <c r="B1262" t="s">
        <v>1431</v>
      </c>
      <c r="C1262" t="s">
        <v>58</v>
      </c>
      <c r="D1262" t="s">
        <v>1578</v>
      </c>
    </row>
    <row r="1263" spans="1:5" x14ac:dyDescent="0.2">
      <c r="A1263" s="269">
        <v>45909.700219907405</v>
      </c>
      <c r="B1263" t="s">
        <v>1431</v>
      </c>
      <c r="C1263" t="s">
        <v>58</v>
      </c>
      <c r="D1263" t="s">
        <v>1579</v>
      </c>
      <c r="E1263" t="s">
        <v>1461</v>
      </c>
    </row>
    <row r="1264" spans="1:5" x14ac:dyDescent="0.2">
      <c r="A1264" s="269">
        <v>45909.700243055559</v>
      </c>
      <c r="B1264" t="s">
        <v>1431</v>
      </c>
      <c r="C1264" t="s">
        <v>58</v>
      </c>
      <c r="D1264" t="s">
        <v>1578</v>
      </c>
      <c r="E1264" t="s">
        <v>1461</v>
      </c>
    </row>
    <row r="1265" spans="1:5" x14ac:dyDescent="0.2">
      <c r="A1265" s="269">
        <v>45909.700243055559</v>
      </c>
      <c r="B1265" t="s">
        <v>1431</v>
      </c>
      <c r="C1265" t="s">
        <v>58</v>
      </c>
      <c r="D1265" t="s">
        <v>1579</v>
      </c>
      <c r="E1265" t="s">
        <v>1462</v>
      </c>
    </row>
    <row r="1266" spans="1:5" x14ac:dyDescent="0.2">
      <c r="A1266" s="269">
        <v>45909.700243055559</v>
      </c>
      <c r="B1266" t="s">
        <v>1431</v>
      </c>
      <c r="C1266" t="s">
        <v>58</v>
      </c>
      <c r="D1266" t="s">
        <v>1579</v>
      </c>
      <c r="E1266" t="s">
        <v>1462</v>
      </c>
    </row>
    <row r="1267" spans="1:5" x14ac:dyDescent="0.2">
      <c r="A1267" s="269">
        <v>45909.700381944444</v>
      </c>
      <c r="B1267" t="s">
        <v>1431</v>
      </c>
      <c r="C1267" t="s">
        <v>58</v>
      </c>
      <c r="D1267" t="s">
        <v>1580</v>
      </c>
      <c r="E1267" t="s">
        <v>1461</v>
      </c>
    </row>
    <row r="1268" spans="1:5" x14ac:dyDescent="0.2">
      <c r="A1268" s="269">
        <v>45909.70040509259</v>
      </c>
      <c r="B1268" t="s">
        <v>1431</v>
      </c>
      <c r="C1268" t="s">
        <v>58</v>
      </c>
      <c r="D1268" t="s">
        <v>1581</v>
      </c>
      <c r="E1268" t="s">
        <v>1461</v>
      </c>
    </row>
    <row r="1269" spans="1:5" x14ac:dyDescent="0.2">
      <c r="A1269" s="269">
        <v>45909.700428240743</v>
      </c>
      <c r="B1269" t="s">
        <v>1431</v>
      </c>
      <c r="C1269" t="s">
        <v>58</v>
      </c>
      <c r="D1269" t="s">
        <v>1582</v>
      </c>
    </row>
    <row r="1270" spans="1:5" x14ac:dyDescent="0.2">
      <c r="A1270" s="269">
        <v>45909.702731481484</v>
      </c>
      <c r="B1270" t="s">
        <v>1431</v>
      </c>
      <c r="C1270" t="s">
        <v>58</v>
      </c>
      <c r="D1270" t="s">
        <v>1583</v>
      </c>
      <c r="E1270">
        <v>56.107999999999997</v>
      </c>
    </row>
    <row r="1271" spans="1:5" x14ac:dyDescent="0.2">
      <c r="A1271" s="269">
        <v>45909.702893518515</v>
      </c>
      <c r="B1271" t="s">
        <v>1431</v>
      </c>
      <c r="C1271" t="s">
        <v>58</v>
      </c>
      <c r="D1271" t="s">
        <v>1584</v>
      </c>
      <c r="E1271">
        <v>676</v>
      </c>
    </row>
    <row r="1272" spans="1:5" x14ac:dyDescent="0.2">
      <c r="A1272" s="269">
        <v>45909.702962962961</v>
      </c>
      <c r="B1272" t="s">
        <v>1431</v>
      </c>
      <c r="C1272" t="s">
        <v>58</v>
      </c>
      <c r="D1272" t="s">
        <v>1585</v>
      </c>
      <c r="E1272">
        <v>945</v>
      </c>
    </row>
    <row r="1273" spans="1:5" x14ac:dyDescent="0.2">
      <c r="A1273" s="269">
        <v>45909.702997685185</v>
      </c>
      <c r="B1273" t="s">
        <v>1431</v>
      </c>
      <c r="C1273" t="s">
        <v>58</v>
      </c>
      <c r="D1273" t="s">
        <v>1586</v>
      </c>
      <c r="E1273">
        <v>78</v>
      </c>
    </row>
    <row r="1274" spans="1:5" x14ac:dyDescent="0.2">
      <c r="A1274" s="269">
        <v>45909.703055555554</v>
      </c>
      <c r="B1274" t="s">
        <v>1431</v>
      </c>
      <c r="C1274" t="s">
        <v>58</v>
      </c>
      <c r="D1274" t="s">
        <v>1586</v>
      </c>
      <c r="E1274">
        <v>78.435000000000002</v>
      </c>
    </row>
    <row r="1275" spans="1:5" x14ac:dyDescent="0.2">
      <c r="A1275" s="269">
        <v>45909.703414351854</v>
      </c>
      <c r="B1275" t="s">
        <v>1431</v>
      </c>
      <c r="C1275" t="s">
        <v>58</v>
      </c>
      <c r="D1275" t="s">
        <v>1587</v>
      </c>
      <c r="E1275">
        <v>12.824999999999999</v>
      </c>
    </row>
    <row r="1276" spans="1:5" x14ac:dyDescent="0.2">
      <c r="A1276" s="269">
        <v>45909.703541666669</v>
      </c>
      <c r="B1276" t="s">
        <v>1431</v>
      </c>
      <c r="C1276" t="s">
        <v>58</v>
      </c>
      <c r="D1276" t="s">
        <v>1588</v>
      </c>
      <c r="E1276">
        <v>24</v>
      </c>
    </row>
    <row r="1277" spans="1:5" x14ac:dyDescent="0.2">
      <c r="A1277" s="269">
        <v>45909.704224537039</v>
      </c>
      <c r="B1277" t="s">
        <v>1431</v>
      </c>
      <c r="C1277" t="s">
        <v>58</v>
      </c>
      <c r="D1277" t="s">
        <v>1589</v>
      </c>
      <c r="E1277">
        <v>50.63</v>
      </c>
    </row>
    <row r="1278" spans="1:5" x14ac:dyDescent="0.2">
      <c r="A1278" s="269">
        <v>45909.704340277778</v>
      </c>
      <c r="B1278" t="s">
        <v>1431</v>
      </c>
      <c r="C1278" t="s">
        <v>58</v>
      </c>
      <c r="D1278" t="s">
        <v>1590</v>
      </c>
      <c r="E1278">
        <v>610</v>
      </c>
    </row>
    <row r="1279" spans="1:5" x14ac:dyDescent="0.2">
      <c r="A1279" s="269">
        <v>45909.704398148147</v>
      </c>
      <c r="B1279" t="s">
        <v>1431</v>
      </c>
      <c r="C1279" t="s">
        <v>58</v>
      </c>
      <c r="D1279" t="s">
        <v>1591</v>
      </c>
      <c r="E1279">
        <v>908</v>
      </c>
    </row>
    <row r="1280" spans="1:5" x14ac:dyDescent="0.2">
      <c r="A1280" s="269">
        <v>45909.704456018517</v>
      </c>
      <c r="B1280" t="s">
        <v>1431</v>
      </c>
      <c r="C1280" t="s">
        <v>58</v>
      </c>
      <c r="D1280" t="s">
        <v>1592</v>
      </c>
      <c r="E1280">
        <v>75.394000000000005</v>
      </c>
    </row>
    <row r="1281" spans="1:5" x14ac:dyDescent="0.2">
      <c r="A1281" s="269">
        <v>45909.704525462963</v>
      </c>
      <c r="B1281" t="s">
        <v>1431</v>
      </c>
      <c r="C1281" t="s">
        <v>58</v>
      </c>
      <c r="D1281" t="s">
        <v>1592</v>
      </c>
      <c r="E1281">
        <v>75.364000000000004</v>
      </c>
    </row>
    <row r="1282" spans="1:5" x14ac:dyDescent="0.2">
      <c r="A1282" s="269">
        <v>45909.704722222225</v>
      </c>
      <c r="B1282" t="s">
        <v>1431</v>
      </c>
      <c r="C1282" t="s">
        <v>58</v>
      </c>
      <c r="D1282" t="s">
        <v>1593</v>
      </c>
      <c r="E1282">
        <v>31.962</v>
      </c>
    </row>
    <row r="1283" spans="1:5" x14ac:dyDescent="0.2">
      <c r="A1283" s="269">
        <v>45909.704907407409</v>
      </c>
      <c r="B1283" t="s">
        <v>1431</v>
      </c>
      <c r="C1283" t="s">
        <v>58</v>
      </c>
      <c r="D1283" t="s">
        <v>1594</v>
      </c>
      <c r="E1283">
        <v>24</v>
      </c>
    </row>
    <row r="1284" spans="1:5" x14ac:dyDescent="0.2">
      <c r="A1284" s="269">
        <v>45909.705370370371</v>
      </c>
      <c r="B1284" t="s">
        <v>1431</v>
      </c>
      <c r="C1284" t="s">
        <v>58</v>
      </c>
      <c r="D1284" t="s">
        <v>1595</v>
      </c>
      <c r="E1284">
        <v>50713</v>
      </c>
    </row>
    <row r="1285" spans="1:5" x14ac:dyDescent="0.2">
      <c r="A1285" s="269">
        <v>45909.705405092594</v>
      </c>
      <c r="B1285" t="s">
        <v>1431</v>
      </c>
      <c r="C1285" t="s">
        <v>58</v>
      </c>
      <c r="D1285" t="s">
        <v>1595</v>
      </c>
      <c r="E1285">
        <v>50.713000000000001</v>
      </c>
    </row>
    <row r="1286" spans="1:5" x14ac:dyDescent="0.2">
      <c r="A1286" s="269">
        <v>45909.705555555556</v>
      </c>
      <c r="B1286" t="s">
        <v>1431</v>
      </c>
      <c r="C1286" t="s">
        <v>58</v>
      </c>
      <c r="D1286" t="s">
        <v>1596</v>
      </c>
      <c r="E1286">
        <v>611</v>
      </c>
    </row>
    <row r="1287" spans="1:5" x14ac:dyDescent="0.2">
      <c r="A1287" s="269">
        <v>45909.705601851849</v>
      </c>
      <c r="B1287" t="s">
        <v>1431</v>
      </c>
      <c r="C1287" t="s">
        <v>58</v>
      </c>
      <c r="D1287" t="s">
        <v>1597</v>
      </c>
      <c r="E1287">
        <v>81</v>
      </c>
    </row>
    <row r="1288" spans="1:5" x14ac:dyDescent="0.2">
      <c r="A1288" s="269">
        <v>45909.705659722225</v>
      </c>
      <c r="B1288" t="s">
        <v>1431</v>
      </c>
      <c r="C1288" t="s">
        <v>58</v>
      </c>
      <c r="D1288" t="s">
        <v>1598</v>
      </c>
      <c r="E1288">
        <v>6.7229999999999999</v>
      </c>
    </row>
    <row r="1289" spans="1:5" x14ac:dyDescent="0.2">
      <c r="A1289" s="269">
        <v>45909.70584490741</v>
      </c>
      <c r="B1289" t="s">
        <v>1431</v>
      </c>
      <c r="C1289" t="s">
        <v>58</v>
      </c>
      <c r="D1289" t="s">
        <v>1599</v>
      </c>
      <c r="E1289">
        <v>9.1</v>
      </c>
    </row>
    <row r="1290" spans="1:5" x14ac:dyDescent="0.2">
      <c r="A1290" s="269">
        <v>45909.705972222226</v>
      </c>
      <c r="B1290" t="s">
        <v>1431</v>
      </c>
      <c r="C1290" t="s">
        <v>58</v>
      </c>
      <c r="D1290" t="s">
        <v>1600</v>
      </c>
      <c r="E1290">
        <v>11.526999999999999</v>
      </c>
    </row>
    <row r="1291" spans="1:5" x14ac:dyDescent="0.2">
      <c r="A1291" s="269">
        <v>45909.707337962966</v>
      </c>
      <c r="B1291" t="s">
        <v>1431</v>
      </c>
      <c r="C1291" t="s">
        <v>58</v>
      </c>
      <c r="D1291" t="s">
        <v>1601</v>
      </c>
    </row>
    <row r="1292" spans="1:5" x14ac:dyDescent="0.2">
      <c r="A1292" s="269">
        <v>45909.710069444445</v>
      </c>
      <c r="B1292" t="s">
        <v>1431</v>
      </c>
      <c r="C1292" t="s">
        <v>58</v>
      </c>
      <c r="D1292" t="s">
        <v>1602</v>
      </c>
    </row>
    <row r="1293" spans="1:5" x14ac:dyDescent="0.2">
      <c r="A1293" s="269">
        <v>45909.710324074076</v>
      </c>
      <c r="B1293" t="s">
        <v>1431</v>
      </c>
      <c r="C1293" t="s">
        <v>28</v>
      </c>
      <c r="D1293" t="s">
        <v>1436</v>
      </c>
      <c r="E1293">
        <v>50</v>
      </c>
    </row>
    <row r="1294" spans="1:5" x14ac:dyDescent="0.2">
      <c r="A1294" s="269">
        <v>45909.715752314813</v>
      </c>
      <c r="B1294" t="s">
        <v>1431</v>
      </c>
      <c r="C1294" t="s">
        <v>28</v>
      </c>
      <c r="D1294" t="s">
        <v>1191</v>
      </c>
      <c r="E1294" t="s">
        <v>338</v>
      </c>
    </row>
    <row r="1295" spans="1:5" x14ac:dyDescent="0.2">
      <c r="A1295" s="269">
        <v>45909.715983796297</v>
      </c>
      <c r="B1295" t="s">
        <v>1431</v>
      </c>
      <c r="C1295" t="s">
        <v>28</v>
      </c>
      <c r="D1295" t="s">
        <v>1066</v>
      </c>
      <c r="E1295" t="s">
        <v>367</v>
      </c>
    </row>
    <row r="1296" spans="1:5" x14ac:dyDescent="0.2">
      <c r="A1296" s="269">
        <v>45909.71603009259</v>
      </c>
      <c r="B1296" t="s">
        <v>1431</v>
      </c>
      <c r="C1296" t="s">
        <v>28</v>
      </c>
      <c r="D1296" t="s">
        <v>973</v>
      </c>
      <c r="E1296">
        <v>1500</v>
      </c>
    </row>
    <row r="1297" spans="1:5" x14ac:dyDescent="0.2">
      <c r="A1297" s="269">
        <v>45909.717557870368</v>
      </c>
      <c r="B1297" t="s">
        <v>1431</v>
      </c>
      <c r="C1297" t="s">
        <v>28</v>
      </c>
      <c r="D1297" t="s">
        <v>926</v>
      </c>
      <c r="E1297" t="s">
        <v>384</v>
      </c>
    </row>
    <row r="1298" spans="1:5" x14ac:dyDescent="0.2">
      <c r="A1298" s="269">
        <v>45909.717800925922</v>
      </c>
      <c r="B1298" t="s">
        <v>1431</v>
      </c>
      <c r="C1298" t="s">
        <v>28</v>
      </c>
      <c r="D1298" t="s">
        <v>1455</v>
      </c>
      <c r="E1298" t="s">
        <v>1603</v>
      </c>
    </row>
    <row r="1299" spans="1:5" x14ac:dyDescent="0.2">
      <c r="A1299" s="269">
        <v>45909.719895833332</v>
      </c>
      <c r="B1299" t="s">
        <v>1431</v>
      </c>
      <c r="C1299" t="s">
        <v>28</v>
      </c>
      <c r="D1299" t="s">
        <v>674</v>
      </c>
      <c r="E1299" t="s">
        <v>379</v>
      </c>
    </row>
    <row r="1300" spans="1:5" x14ac:dyDescent="0.2">
      <c r="A1300" s="269">
        <v>45909.719930555555</v>
      </c>
      <c r="B1300" t="s">
        <v>1431</v>
      </c>
      <c r="C1300" t="s">
        <v>28</v>
      </c>
      <c r="D1300" t="s">
        <v>1475</v>
      </c>
      <c r="E1300" t="s">
        <v>318</v>
      </c>
    </row>
    <row r="1301" spans="1:5" x14ac:dyDescent="0.2">
      <c r="A1301" s="269">
        <v>45909.720300925925</v>
      </c>
      <c r="B1301" t="s">
        <v>1431</v>
      </c>
      <c r="C1301" t="s">
        <v>28</v>
      </c>
      <c r="D1301" t="s">
        <v>1446</v>
      </c>
      <c r="E1301">
        <v>1700</v>
      </c>
    </row>
    <row r="1302" spans="1:5" x14ac:dyDescent="0.2">
      <c r="A1302" s="269">
        <v>45909.720370370371</v>
      </c>
      <c r="B1302" t="s">
        <v>1431</v>
      </c>
      <c r="C1302" t="s">
        <v>28</v>
      </c>
      <c r="D1302" t="s">
        <v>1485</v>
      </c>
      <c r="E1302" t="s">
        <v>357</v>
      </c>
    </row>
    <row r="1303" spans="1:5" x14ac:dyDescent="0.2">
      <c r="A1303" s="269">
        <v>45909.720601851855</v>
      </c>
      <c r="B1303" t="s">
        <v>1431</v>
      </c>
      <c r="C1303" t="s">
        <v>28</v>
      </c>
      <c r="D1303" t="s">
        <v>1544</v>
      </c>
      <c r="E1303" t="s">
        <v>1604</v>
      </c>
    </row>
    <row r="1304" spans="1:5" x14ac:dyDescent="0.2">
      <c r="A1304" s="269">
        <v>45909.720879629633</v>
      </c>
      <c r="B1304" t="s">
        <v>1431</v>
      </c>
      <c r="C1304" t="s">
        <v>28</v>
      </c>
      <c r="D1304" t="s">
        <v>795</v>
      </c>
      <c r="E1304" t="s">
        <v>338</v>
      </c>
    </row>
    <row r="1305" spans="1:5" x14ac:dyDescent="0.2">
      <c r="A1305" s="269">
        <v>45909.720902777779</v>
      </c>
      <c r="B1305" t="s">
        <v>1431</v>
      </c>
      <c r="C1305" t="s">
        <v>28</v>
      </c>
      <c r="D1305" t="s">
        <v>994</v>
      </c>
      <c r="E1305" t="s">
        <v>383</v>
      </c>
    </row>
    <row r="1306" spans="1:5" x14ac:dyDescent="0.2">
      <c r="A1306" s="269">
        <v>45909.720972222225</v>
      </c>
      <c r="B1306" t="s">
        <v>1431</v>
      </c>
      <c r="C1306" t="s">
        <v>28</v>
      </c>
      <c r="D1306" t="s">
        <v>1013</v>
      </c>
      <c r="E1306" t="s">
        <v>89</v>
      </c>
    </row>
    <row r="1307" spans="1:5" x14ac:dyDescent="0.2">
      <c r="A1307" s="269">
        <v>45909.720995370371</v>
      </c>
      <c r="B1307" t="s">
        <v>1431</v>
      </c>
      <c r="C1307" t="s">
        <v>28</v>
      </c>
      <c r="D1307" t="s">
        <v>747</v>
      </c>
      <c r="E1307" t="s">
        <v>89</v>
      </c>
    </row>
    <row r="1308" spans="1:5" x14ac:dyDescent="0.2">
      <c r="A1308" s="269">
        <v>45909.721018518518</v>
      </c>
      <c r="B1308" t="s">
        <v>1431</v>
      </c>
      <c r="C1308" t="s">
        <v>28</v>
      </c>
      <c r="D1308" t="s">
        <v>1437</v>
      </c>
      <c r="E1308" t="s">
        <v>89</v>
      </c>
    </row>
    <row r="1309" spans="1:5" x14ac:dyDescent="0.2">
      <c r="A1309" s="269">
        <v>45909.721053240741</v>
      </c>
      <c r="B1309" t="s">
        <v>1431</v>
      </c>
      <c r="C1309" t="s">
        <v>28</v>
      </c>
      <c r="D1309" t="s">
        <v>1605</v>
      </c>
      <c r="E1309" t="s">
        <v>367</v>
      </c>
    </row>
    <row r="1310" spans="1:5" x14ac:dyDescent="0.2">
      <c r="A1310" s="269">
        <v>45909.721076388887</v>
      </c>
      <c r="B1310" t="s">
        <v>1431</v>
      </c>
      <c r="C1310" t="s">
        <v>28</v>
      </c>
      <c r="D1310" t="s">
        <v>1605</v>
      </c>
    </row>
    <row r="1311" spans="1:5" x14ac:dyDescent="0.2">
      <c r="A1311" s="269">
        <v>45909.721134259256</v>
      </c>
      <c r="B1311" t="s">
        <v>1431</v>
      </c>
      <c r="C1311" t="s">
        <v>28</v>
      </c>
      <c r="D1311" t="s">
        <v>1606</v>
      </c>
      <c r="E1311" t="s">
        <v>139</v>
      </c>
    </row>
    <row r="1312" spans="1:5" x14ac:dyDescent="0.2">
      <c r="A1312" s="269">
        <v>45909.721180555556</v>
      </c>
      <c r="B1312" t="s">
        <v>1431</v>
      </c>
      <c r="C1312" t="s">
        <v>28</v>
      </c>
      <c r="D1312" t="s">
        <v>1439</v>
      </c>
      <c r="E1312" t="s">
        <v>362</v>
      </c>
    </row>
    <row r="1313" spans="1:5" x14ac:dyDescent="0.2">
      <c r="A1313" s="269">
        <v>45909.721215277779</v>
      </c>
      <c r="B1313" t="s">
        <v>1431</v>
      </c>
      <c r="C1313" t="s">
        <v>28</v>
      </c>
      <c r="D1313" t="s">
        <v>1441</v>
      </c>
      <c r="E1313" t="s">
        <v>362</v>
      </c>
    </row>
    <row r="1314" spans="1:5" x14ac:dyDescent="0.2">
      <c r="A1314" s="269">
        <v>45909.721238425926</v>
      </c>
      <c r="B1314" t="s">
        <v>1431</v>
      </c>
      <c r="C1314" t="s">
        <v>28</v>
      </c>
      <c r="D1314" t="s">
        <v>672</v>
      </c>
      <c r="E1314" t="s">
        <v>362</v>
      </c>
    </row>
    <row r="1315" spans="1:5" x14ac:dyDescent="0.2">
      <c r="A1315" s="269">
        <v>45909.721296296295</v>
      </c>
      <c r="B1315" t="s">
        <v>1431</v>
      </c>
      <c r="C1315" t="s">
        <v>28</v>
      </c>
      <c r="D1315" t="s">
        <v>1607</v>
      </c>
      <c r="E1315" t="s">
        <v>139</v>
      </c>
    </row>
    <row r="1316" spans="1:5" x14ac:dyDescent="0.2">
      <c r="A1316" s="269">
        <v>45909.721412037034</v>
      </c>
      <c r="B1316" t="s">
        <v>1431</v>
      </c>
      <c r="C1316" t="s">
        <v>28</v>
      </c>
      <c r="D1316" t="s">
        <v>674</v>
      </c>
      <c r="E1316" t="s">
        <v>371</v>
      </c>
    </row>
    <row r="1317" spans="1:5" x14ac:dyDescent="0.2">
      <c r="A1317" s="269">
        <v>45909.72142361111</v>
      </c>
      <c r="B1317" t="s">
        <v>1431</v>
      </c>
      <c r="C1317" t="s">
        <v>28</v>
      </c>
      <c r="D1317" t="s">
        <v>675</v>
      </c>
      <c r="E1317" t="s">
        <v>371</v>
      </c>
    </row>
    <row r="1318" spans="1:5" x14ac:dyDescent="0.2">
      <c r="A1318" s="269">
        <v>45909.72142361111</v>
      </c>
      <c r="B1318" t="s">
        <v>1431</v>
      </c>
      <c r="C1318" t="s">
        <v>28</v>
      </c>
      <c r="D1318" t="s">
        <v>676</v>
      </c>
      <c r="E1318" t="s">
        <v>371</v>
      </c>
    </row>
    <row r="1319" spans="1:5" x14ac:dyDescent="0.2">
      <c r="A1319" s="269">
        <v>45909.721493055556</v>
      </c>
      <c r="B1319" t="s">
        <v>1431</v>
      </c>
      <c r="C1319" t="s">
        <v>28</v>
      </c>
      <c r="D1319" t="s">
        <v>1495</v>
      </c>
      <c r="E1319" t="s">
        <v>318</v>
      </c>
    </row>
    <row r="1320" spans="1:5" x14ac:dyDescent="0.2">
      <c r="A1320" s="269">
        <v>45909.721550925926</v>
      </c>
      <c r="B1320" t="s">
        <v>1431</v>
      </c>
      <c r="C1320" t="s">
        <v>28</v>
      </c>
      <c r="D1320" t="s">
        <v>1608</v>
      </c>
      <c r="E1320" t="s">
        <v>139</v>
      </c>
    </row>
    <row r="1321" spans="1:5" x14ac:dyDescent="0.2">
      <c r="A1321" s="269">
        <v>45909.721562500003</v>
      </c>
      <c r="B1321" t="s">
        <v>1431</v>
      </c>
      <c r="C1321" t="s">
        <v>28</v>
      </c>
      <c r="D1321" t="s">
        <v>1609</v>
      </c>
      <c r="E1321" t="s">
        <v>139</v>
      </c>
    </row>
    <row r="1322" spans="1:5" x14ac:dyDescent="0.2">
      <c r="A1322" s="269">
        <v>45909.721597222226</v>
      </c>
      <c r="B1322" t="s">
        <v>1431</v>
      </c>
      <c r="C1322" t="s">
        <v>28</v>
      </c>
      <c r="D1322" t="s">
        <v>677</v>
      </c>
      <c r="E1322" t="s">
        <v>379</v>
      </c>
    </row>
    <row r="1323" spans="1:5" x14ac:dyDescent="0.2">
      <c r="A1323" s="269">
        <v>45909.721620370372</v>
      </c>
      <c r="B1323" t="s">
        <v>1431</v>
      </c>
      <c r="C1323" t="s">
        <v>28</v>
      </c>
      <c r="D1323" t="s">
        <v>678</v>
      </c>
      <c r="E1323" t="s">
        <v>379</v>
      </c>
    </row>
    <row r="1324" spans="1:5" x14ac:dyDescent="0.2">
      <c r="A1324" s="269">
        <v>45909.721631944441</v>
      </c>
      <c r="B1324" t="s">
        <v>1431</v>
      </c>
      <c r="C1324" t="s">
        <v>28</v>
      </c>
      <c r="D1324" t="s">
        <v>1610</v>
      </c>
      <c r="E1324" t="s">
        <v>379</v>
      </c>
    </row>
    <row r="1325" spans="1:5" x14ac:dyDescent="0.2">
      <c r="A1325" s="269">
        <v>45909.721643518518</v>
      </c>
      <c r="B1325" t="s">
        <v>1431</v>
      </c>
      <c r="C1325" t="s">
        <v>28</v>
      </c>
      <c r="D1325" t="s">
        <v>1611</v>
      </c>
      <c r="E1325" t="s">
        <v>379</v>
      </c>
    </row>
    <row r="1326" spans="1:5" x14ac:dyDescent="0.2">
      <c r="A1326" s="269">
        <v>45909.721689814818</v>
      </c>
      <c r="B1326" t="s">
        <v>1431</v>
      </c>
      <c r="C1326" t="s">
        <v>28</v>
      </c>
      <c r="D1326" t="s">
        <v>1612</v>
      </c>
      <c r="E1326">
        <v>1700</v>
      </c>
    </row>
    <row r="1327" spans="1:5" x14ac:dyDescent="0.2">
      <c r="A1327" s="269">
        <v>45909.721712962964</v>
      </c>
      <c r="B1327" t="s">
        <v>1431</v>
      </c>
      <c r="C1327" t="s">
        <v>28</v>
      </c>
      <c r="D1327" t="s">
        <v>1613</v>
      </c>
    </row>
    <row r="1328" spans="1:5" x14ac:dyDescent="0.2">
      <c r="A1328" s="269">
        <v>45909.721747685187</v>
      </c>
      <c r="B1328" t="s">
        <v>1431</v>
      </c>
      <c r="C1328" t="s">
        <v>28</v>
      </c>
      <c r="D1328" t="s">
        <v>1614</v>
      </c>
      <c r="E1328" t="s">
        <v>386</v>
      </c>
    </row>
    <row r="1329" spans="1:5" x14ac:dyDescent="0.2">
      <c r="A1329" s="269">
        <v>45909.721990740742</v>
      </c>
      <c r="B1329" t="s">
        <v>1431</v>
      </c>
      <c r="C1329" t="s">
        <v>28</v>
      </c>
      <c r="D1329" t="s">
        <v>1615</v>
      </c>
      <c r="E1329" t="s">
        <v>139</v>
      </c>
    </row>
    <row r="1330" spans="1:5" x14ac:dyDescent="0.2">
      <c r="A1330" s="269">
        <v>45909.722037037034</v>
      </c>
      <c r="B1330" t="s">
        <v>1431</v>
      </c>
      <c r="C1330" t="s">
        <v>28</v>
      </c>
      <c r="D1330" t="s">
        <v>1616</v>
      </c>
      <c r="E1330" t="s">
        <v>386</v>
      </c>
    </row>
    <row r="1331" spans="1:5" x14ac:dyDescent="0.2">
      <c r="A1331" s="269">
        <v>45909.722037037034</v>
      </c>
      <c r="B1331" t="s">
        <v>1431</v>
      </c>
      <c r="C1331" t="s">
        <v>28</v>
      </c>
      <c r="D1331" t="s">
        <v>1617</v>
      </c>
      <c r="E1331" t="s">
        <v>386</v>
      </c>
    </row>
    <row r="1332" spans="1:5" x14ac:dyDescent="0.2">
      <c r="A1332" s="269">
        <v>45909.723368055558</v>
      </c>
      <c r="B1332" t="s">
        <v>1431</v>
      </c>
      <c r="C1332" t="s">
        <v>28</v>
      </c>
      <c r="D1332" t="s">
        <v>923</v>
      </c>
      <c r="E1332">
        <v>4125</v>
      </c>
    </row>
    <row r="1333" spans="1:5" x14ac:dyDescent="0.2">
      <c r="A1333" s="269">
        <v>45909.723449074074</v>
      </c>
      <c r="B1333" t="s">
        <v>1431</v>
      </c>
      <c r="C1333" t="s">
        <v>28</v>
      </c>
      <c r="D1333" t="s">
        <v>1618</v>
      </c>
      <c r="E1333" t="s">
        <v>384</v>
      </c>
    </row>
    <row r="1334" spans="1:5" x14ac:dyDescent="0.2">
      <c r="A1334" s="269">
        <v>45909.723483796297</v>
      </c>
      <c r="B1334" t="s">
        <v>1431</v>
      </c>
      <c r="C1334" t="s">
        <v>28</v>
      </c>
      <c r="D1334" t="s">
        <v>1619</v>
      </c>
      <c r="E1334" t="s">
        <v>384</v>
      </c>
    </row>
    <row r="1335" spans="1:5" x14ac:dyDescent="0.2">
      <c r="A1335" s="269">
        <v>45909.723530092589</v>
      </c>
      <c r="B1335" t="s">
        <v>1431</v>
      </c>
      <c r="C1335" t="s">
        <v>28</v>
      </c>
      <c r="D1335" t="s">
        <v>1620</v>
      </c>
      <c r="E1335" t="s">
        <v>384</v>
      </c>
    </row>
    <row r="1336" spans="1:5" x14ac:dyDescent="0.2">
      <c r="A1336" s="269">
        <v>45909.723553240743</v>
      </c>
      <c r="B1336" t="s">
        <v>1431</v>
      </c>
      <c r="C1336" t="s">
        <v>28</v>
      </c>
      <c r="D1336" t="s">
        <v>1621</v>
      </c>
      <c r="E1336" t="s">
        <v>384</v>
      </c>
    </row>
    <row r="1337" spans="1:5" x14ac:dyDescent="0.2">
      <c r="A1337" s="269">
        <v>45909.723599537036</v>
      </c>
      <c r="B1337" t="s">
        <v>1431</v>
      </c>
      <c r="C1337" t="s">
        <v>28</v>
      </c>
      <c r="D1337" t="s">
        <v>1622</v>
      </c>
      <c r="E1337" t="s">
        <v>384</v>
      </c>
    </row>
    <row r="1338" spans="1:5" x14ac:dyDescent="0.2">
      <c r="A1338" s="269">
        <v>45909.724097222221</v>
      </c>
      <c r="B1338" t="s">
        <v>1431</v>
      </c>
      <c r="C1338" t="s">
        <v>28</v>
      </c>
      <c r="D1338" t="s">
        <v>1623</v>
      </c>
      <c r="E1338" t="s">
        <v>390</v>
      </c>
    </row>
    <row r="1339" spans="1:5" x14ac:dyDescent="0.2">
      <c r="A1339" s="269">
        <v>45909.724131944444</v>
      </c>
      <c r="B1339" t="s">
        <v>1431</v>
      </c>
      <c r="C1339" t="s">
        <v>28</v>
      </c>
      <c r="D1339" t="s">
        <v>1624</v>
      </c>
      <c r="E1339" t="s">
        <v>390</v>
      </c>
    </row>
    <row r="1340" spans="1:5" x14ac:dyDescent="0.2">
      <c r="A1340" s="269">
        <v>45909.72415509259</v>
      </c>
      <c r="B1340" t="s">
        <v>1431</v>
      </c>
      <c r="C1340" t="s">
        <v>28</v>
      </c>
      <c r="D1340" t="s">
        <v>1625</v>
      </c>
      <c r="E1340" t="s">
        <v>390</v>
      </c>
    </row>
    <row r="1341" spans="1:5" x14ac:dyDescent="0.2">
      <c r="A1341" s="269">
        <v>45909.724178240744</v>
      </c>
      <c r="B1341" t="s">
        <v>1431</v>
      </c>
      <c r="C1341" t="s">
        <v>28</v>
      </c>
      <c r="D1341" t="s">
        <v>1626</v>
      </c>
      <c r="E1341" t="s">
        <v>139</v>
      </c>
    </row>
    <row r="1342" spans="1:5" x14ac:dyDescent="0.2">
      <c r="A1342" s="269">
        <v>45909.724224537036</v>
      </c>
      <c r="B1342" t="s">
        <v>1431</v>
      </c>
      <c r="C1342" t="s">
        <v>28</v>
      </c>
      <c r="D1342" t="s">
        <v>1627</v>
      </c>
      <c r="E1342" t="s">
        <v>384</v>
      </c>
    </row>
    <row r="1343" spans="1:5" x14ac:dyDescent="0.2">
      <c r="A1343" s="269">
        <v>45909.724282407406</v>
      </c>
      <c r="B1343" t="s">
        <v>1431</v>
      </c>
      <c r="C1343" t="s">
        <v>28</v>
      </c>
      <c r="D1343" t="s">
        <v>1628</v>
      </c>
      <c r="E1343" t="s">
        <v>41</v>
      </c>
    </row>
    <row r="1344" spans="1:5" x14ac:dyDescent="0.2">
      <c r="A1344" s="269">
        <v>45909.724305555559</v>
      </c>
      <c r="B1344" t="s">
        <v>1431</v>
      </c>
      <c r="C1344" t="s">
        <v>28</v>
      </c>
      <c r="D1344" t="s">
        <v>1629</v>
      </c>
      <c r="E1344" t="s">
        <v>41</v>
      </c>
    </row>
    <row r="1345" spans="1:5" x14ac:dyDescent="0.2">
      <c r="A1345" s="269">
        <v>45909.724305555559</v>
      </c>
      <c r="B1345" t="s">
        <v>1431</v>
      </c>
      <c r="C1345" t="s">
        <v>28</v>
      </c>
      <c r="D1345" t="s">
        <v>1630</v>
      </c>
      <c r="E1345" t="s">
        <v>41</v>
      </c>
    </row>
    <row r="1346" spans="1:5" x14ac:dyDescent="0.2">
      <c r="A1346" s="269">
        <v>45909.724351851852</v>
      </c>
      <c r="B1346" t="s">
        <v>1431</v>
      </c>
      <c r="C1346" t="s">
        <v>28</v>
      </c>
      <c r="D1346" t="s">
        <v>1631</v>
      </c>
      <c r="E1346" t="s">
        <v>139</v>
      </c>
    </row>
    <row r="1347" spans="1:5" x14ac:dyDescent="0.2">
      <c r="A1347" s="269">
        <v>45909.724398148152</v>
      </c>
      <c r="B1347" t="s">
        <v>1431</v>
      </c>
      <c r="C1347" t="s">
        <v>28</v>
      </c>
      <c r="D1347" t="s">
        <v>1632</v>
      </c>
      <c r="E1347" t="s">
        <v>139</v>
      </c>
    </row>
    <row r="1348" spans="1:5" x14ac:dyDescent="0.2">
      <c r="A1348" s="269">
        <v>45909.724398148152</v>
      </c>
      <c r="B1348" t="s">
        <v>1431</v>
      </c>
      <c r="C1348" t="s">
        <v>28</v>
      </c>
      <c r="D1348" t="s">
        <v>1633</v>
      </c>
      <c r="E1348" t="s">
        <v>139</v>
      </c>
    </row>
    <row r="1349" spans="1:5" x14ac:dyDescent="0.2">
      <c r="A1349" s="269">
        <v>45909.724432870367</v>
      </c>
      <c r="B1349" t="s">
        <v>1431</v>
      </c>
      <c r="C1349" t="s">
        <v>28</v>
      </c>
      <c r="D1349" t="s">
        <v>1634</v>
      </c>
      <c r="E1349" t="s">
        <v>397</v>
      </c>
    </row>
    <row r="1350" spans="1:5" x14ac:dyDescent="0.2">
      <c r="A1350" s="269">
        <v>45909.724444444444</v>
      </c>
      <c r="B1350" t="s">
        <v>1431</v>
      </c>
      <c r="C1350" t="s">
        <v>28</v>
      </c>
      <c r="D1350" t="s">
        <v>1635</v>
      </c>
      <c r="E1350" t="s">
        <v>397</v>
      </c>
    </row>
    <row r="1351" spans="1:5" x14ac:dyDescent="0.2">
      <c r="A1351" s="269">
        <v>45909.724456018521</v>
      </c>
      <c r="B1351" t="s">
        <v>1431</v>
      </c>
      <c r="C1351" t="s">
        <v>28</v>
      </c>
      <c r="D1351" t="s">
        <v>1636</v>
      </c>
    </row>
    <row r="1352" spans="1:5" x14ac:dyDescent="0.2">
      <c r="A1352" s="269">
        <v>45909.72446759259</v>
      </c>
      <c r="B1352" t="s">
        <v>1431</v>
      </c>
      <c r="C1352" t="s">
        <v>28</v>
      </c>
      <c r="D1352" t="s">
        <v>1637</v>
      </c>
      <c r="E1352" t="s">
        <v>397</v>
      </c>
    </row>
    <row r="1353" spans="1:5" x14ac:dyDescent="0.2">
      <c r="A1353" s="269">
        <v>45909.724490740744</v>
      </c>
      <c r="B1353" t="s">
        <v>1431</v>
      </c>
      <c r="C1353" t="s">
        <v>28</v>
      </c>
      <c r="D1353" t="s">
        <v>1636</v>
      </c>
      <c r="E1353" t="s">
        <v>400</v>
      </c>
    </row>
    <row r="1354" spans="1:5" x14ac:dyDescent="0.2">
      <c r="A1354" s="269">
        <v>45909.72451388889</v>
      </c>
      <c r="B1354" t="s">
        <v>1431</v>
      </c>
      <c r="C1354" t="s">
        <v>28</v>
      </c>
      <c r="D1354" t="s">
        <v>1638</v>
      </c>
      <c r="E1354" t="s">
        <v>400</v>
      </c>
    </row>
    <row r="1355" spans="1:5" x14ac:dyDescent="0.2">
      <c r="A1355" s="269">
        <v>45909.72451388889</v>
      </c>
      <c r="B1355" t="s">
        <v>1431</v>
      </c>
      <c r="C1355" t="s">
        <v>28</v>
      </c>
      <c r="D1355" t="s">
        <v>1638</v>
      </c>
      <c r="E1355" t="s">
        <v>400</v>
      </c>
    </row>
    <row r="1356" spans="1:5" x14ac:dyDescent="0.2">
      <c r="A1356" s="269">
        <v>45909.724548611113</v>
      </c>
      <c r="B1356" t="s">
        <v>1431</v>
      </c>
      <c r="C1356" t="s">
        <v>28</v>
      </c>
      <c r="D1356" t="s">
        <v>1638</v>
      </c>
      <c r="E1356" t="s">
        <v>400</v>
      </c>
    </row>
    <row r="1357" spans="1:5" x14ac:dyDescent="0.2">
      <c r="A1357" s="269">
        <v>45909.724594907406</v>
      </c>
      <c r="B1357" t="s">
        <v>1431</v>
      </c>
      <c r="C1357" t="s">
        <v>28</v>
      </c>
      <c r="D1357" t="s">
        <v>1639</v>
      </c>
      <c r="E1357" t="s">
        <v>400</v>
      </c>
    </row>
    <row r="1358" spans="1:5" x14ac:dyDescent="0.2">
      <c r="A1358" s="269">
        <v>45909.724641203706</v>
      </c>
      <c r="B1358" t="s">
        <v>1431</v>
      </c>
      <c r="C1358" t="s">
        <v>28</v>
      </c>
      <c r="D1358" t="s">
        <v>1640</v>
      </c>
      <c r="E1358" t="s">
        <v>139</v>
      </c>
    </row>
    <row r="1359" spans="1:5" x14ac:dyDescent="0.2">
      <c r="A1359" s="269">
        <v>45909.724664351852</v>
      </c>
      <c r="B1359" t="s">
        <v>1431</v>
      </c>
      <c r="C1359" t="s">
        <v>28</v>
      </c>
      <c r="D1359" t="s">
        <v>1641</v>
      </c>
      <c r="E1359" t="s">
        <v>404</v>
      </c>
    </row>
    <row r="1360" spans="1:5" x14ac:dyDescent="0.2">
      <c r="A1360" s="269">
        <v>45909.724675925929</v>
      </c>
      <c r="B1360" t="s">
        <v>1431</v>
      </c>
      <c r="C1360" t="s">
        <v>28</v>
      </c>
      <c r="D1360" t="s">
        <v>1642</v>
      </c>
      <c r="E1360" t="s">
        <v>404</v>
      </c>
    </row>
    <row r="1361" spans="1:5" x14ac:dyDescent="0.2">
      <c r="A1361" s="269">
        <v>45909.724687499998</v>
      </c>
      <c r="B1361" t="s">
        <v>1431</v>
      </c>
      <c r="C1361" t="s">
        <v>28</v>
      </c>
      <c r="D1361" t="s">
        <v>1643</v>
      </c>
      <c r="E1361" t="s">
        <v>404</v>
      </c>
    </row>
    <row r="1362" spans="1:5" x14ac:dyDescent="0.2">
      <c r="A1362" s="269">
        <v>45909.724756944444</v>
      </c>
      <c r="B1362" t="s">
        <v>1431</v>
      </c>
      <c r="C1362" t="s">
        <v>28</v>
      </c>
      <c r="D1362" t="s">
        <v>1644</v>
      </c>
      <c r="E1362" t="s">
        <v>139</v>
      </c>
    </row>
    <row r="1363" spans="1:5" x14ac:dyDescent="0.2">
      <c r="A1363" s="269">
        <v>45909.724780092591</v>
      </c>
      <c r="B1363" t="s">
        <v>1431</v>
      </c>
      <c r="C1363" t="s">
        <v>28</v>
      </c>
      <c r="D1363" t="s">
        <v>1645</v>
      </c>
      <c r="E1363" t="s">
        <v>407</v>
      </c>
    </row>
    <row r="1364" spans="1:5" x14ac:dyDescent="0.2">
      <c r="A1364" s="269">
        <v>45909.724791666667</v>
      </c>
      <c r="B1364" t="s">
        <v>1431</v>
      </c>
      <c r="C1364" t="s">
        <v>28</v>
      </c>
      <c r="D1364" t="s">
        <v>1646</v>
      </c>
      <c r="E1364" t="s">
        <v>407</v>
      </c>
    </row>
    <row r="1365" spans="1:5" x14ac:dyDescent="0.2">
      <c r="A1365" s="269">
        <v>45909.724791666667</v>
      </c>
      <c r="B1365" t="s">
        <v>1431</v>
      </c>
      <c r="C1365" t="s">
        <v>28</v>
      </c>
      <c r="D1365" t="s">
        <v>1647</v>
      </c>
      <c r="E1365" t="s">
        <v>407</v>
      </c>
    </row>
    <row r="1366" spans="1:5" x14ac:dyDescent="0.2">
      <c r="A1366" s="269">
        <v>45909.726990740739</v>
      </c>
      <c r="B1366" t="s">
        <v>1431</v>
      </c>
      <c r="C1366" t="s">
        <v>28</v>
      </c>
      <c r="D1366" t="s">
        <v>1443</v>
      </c>
      <c r="E1366">
        <v>2500</v>
      </c>
    </row>
    <row r="1367" spans="1:5" x14ac:dyDescent="0.2">
      <c r="A1367" s="269">
        <v>45909.727210648147</v>
      </c>
      <c r="B1367" t="s">
        <v>1431</v>
      </c>
      <c r="C1367" t="s">
        <v>28</v>
      </c>
      <c r="D1367" t="s">
        <v>1448</v>
      </c>
      <c r="E1367">
        <v>1500</v>
      </c>
    </row>
    <row r="1368" spans="1:5" x14ac:dyDescent="0.2">
      <c r="A1368" s="269">
        <v>45909.727673611109</v>
      </c>
      <c r="B1368" t="s">
        <v>1431</v>
      </c>
      <c r="C1368" t="s">
        <v>28</v>
      </c>
      <c r="D1368" t="s">
        <v>1648</v>
      </c>
      <c r="E1368">
        <v>3750</v>
      </c>
    </row>
    <row r="1369" spans="1:5" x14ac:dyDescent="0.2">
      <c r="A1369" s="269">
        <v>45909.727962962963</v>
      </c>
      <c r="B1369" t="s">
        <v>1431</v>
      </c>
      <c r="C1369" t="s">
        <v>28</v>
      </c>
      <c r="D1369" t="s">
        <v>1649</v>
      </c>
      <c r="E1369">
        <v>1687.5</v>
      </c>
    </row>
    <row r="1370" spans="1:5" x14ac:dyDescent="0.2">
      <c r="A1370" s="269">
        <v>45909.728229166663</v>
      </c>
      <c r="B1370" t="s">
        <v>1431</v>
      </c>
      <c r="C1370" t="s">
        <v>28</v>
      </c>
      <c r="D1370" t="s">
        <v>1650</v>
      </c>
      <c r="E1370">
        <v>4750</v>
      </c>
    </row>
    <row r="1371" spans="1:5" x14ac:dyDescent="0.2">
      <c r="A1371" s="269">
        <v>45909.728692129633</v>
      </c>
      <c r="B1371" t="s">
        <v>1431</v>
      </c>
      <c r="C1371" t="s">
        <v>28</v>
      </c>
      <c r="D1371" t="s">
        <v>1651</v>
      </c>
      <c r="E1371">
        <v>3450</v>
      </c>
    </row>
    <row r="1372" spans="1:5" x14ac:dyDescent="0.2">
      <c r="A1372" s="269">
        <v>45909.728888888887</v>
      </c>
      <c r="B1372" t="s">
        <v>1431</v>
      </c>
      <c r="C1372" t="s">
        <v>28</v>
      </c>
      <c r="D1372" t="s">
        <v>1652</v>
      </c>
      <c r="E1372">
        <v>1150</v>
      </c>
    </row>
    <row r="1373" spans="1:5" x14ac:dyDescent="0.2">
      <c r="A1373" s="269">
        <v>45909.731273148151</v>
      </c>
      <c r="B1373" t="s">
        <v>1431</v>
      </c>
      <c r="C1373" t="s">
        <v>28</v>
      </c>
      <c r="D1373" t="s">
        <v>1653</v>
      </c>
      <c r="E1373">
        <v>2550</v>
      </c>
    </row>
    <row r="1374" spans="1:5" x14ac:dyDescent="0.2">
      <c r="A1374" s="269">
        <v>45909.731608796297</v>
      </c>
      <c r="B1374" t="s">
        <v>1431</v>
      </c>
      <c r="C1374" t="s">
        <v>28</v>
      </c>
      <c r="D1374" t="s">
        <v>1654</v>
      </c>
      <c r="E1374">
        <v>1825</v>
      </c>
    </row>
    <row r="1375" spans="1:5" x14ac:dyDescent="0.2">
      <c r="A1375" s="269">
        <v>45909.731851851851</v>
      </c>
      <c r="B1375" t="s">
        <v>1431</v>
      </c>
      <c r="C1375" t="s">
        <v>28</v>
      </c>
      <c r="D1375" t="s">
        <v>1655</v>
      </c>
      <c r="E1375">
        <v>2000</v>
      </c>
    </row>
    <row r="1376" spans="1:5" x14ac:dyDescent="0.2">
      <c r="A1376" s="269">
        <v>45909.731932870367</v>
      </c>
      <c r="B1376" t="s">
        <v>1431</v>
      </c>
      <c r="C1376" t="s">
        <v>28</v>
      </c>
      <c r="D1376" t="s">
        <v>977</v>
      </c>
      <c r="E1376">
        <v>50</v>
      </c>
    </row>
    <row r="1377" spans="1:5" x14ac:dyDescent="0.2">
      <c r="A1377" s="269">
        <v>45909.731979166667</v>
      </c>
      <c r="B1377" t="s">
        <v>1431</v>
      </c>
      <c r="C1377" t="s">
        <v>28</v>
      </c>
      <c r="D1377" t="s">
        <v>1467</v>
      </c>
      <c r="E1377" t="s">
        <v>347</v>
      </c>
    </row>
    <row r="1378" spans="1:5" x14ac:dyDescent="0.2">
      <c r="A1378" s="269">
        <v>45909.732002314813</v>
      </c>
      <c r="B1378" t="s">
        <v>1431</v>
      </c>
      <c r="C1378" t="s">
        <v>28</v>
      </c>
      <c r="D1378" t="s">
        <v>1553</v>
      </c>
      <c r="E1378" t="s">
        <v>347</v>
      </c>
    </row>
    <row r="1379" spans="1:5" x14ac:dyDescent="0.2">
      <c r="A1379" s="269">
        <v>45909.732025462959</v>
      </c>
      <c r="B1379" t="s">
        <v>1431</v>
      </c>
      <c r="C1379" t="s">
        <v>28</v>
      </c>
      <c r="D1379" t="s">
        <v>1485</v>
      </c>
      <c r="E1379" t="s">
        <v>347</v>
      </c>
    </row>
    <row r="1380" spans="1:5" x14ac:dyDescent="0.2">
      <c r="A1380" s="269">
        <v>45909.734375</v>
      </c>
      <c r="B1380" t="s">
        <v>1431</v>
      </c>
      <c r="C1380" t="s">
        <v>28</v>
      </c>
      <c r="D1380" t="s">
        <v>874</v>
      </c>
      <c r="E1380" t="s">
        <v>313</v>
      </c>
    </row>
    <row r="1381" spans="1:5" x14ac:dyDescent="0.2">
      <c r="A1381" s="269">
        <v>45909.734432870369</v>
      </c>
      <c r="B1381" t="s">
        <v>1431</v>
      </c>
      <c r="C1381" t="s">
        <v>28</v>
      </c>
      <c r="D1381" t="s">
        <v>1656</v>
      </c>
      <c r="E1381" t="s">
        <v>347</v>
      </c>
    </row>
    <row r="1382" spans="1:5" x14ac:dyDescent="0.2">
      <c r="A1382" s="269">
        <v>45909.734456018516</v>
      </c>
      <c r="B1382" t="s">
        <v>1431</v>
      </c>
      <c r="C1382" t="s">
        <v>28</v>
      </c>
      <c r="D1382" t="s">
        <v>1657</v>
      </c>
      <c r="E1382" t="s">
        <v>347</v>
      </c>
    </row>
    <row r="1383" spans="1:5" x14ac:dyDescent="0.2">
      <c r="A1383" s="269">
        <v>45909.734479166669</v>
      </c>
      <c r="B1383" t="s">
        <v>1431</v>
      </c>
      <c r="C1383" t="s">
        <v>28</v>
      </c>
      <c r="D1383" t="s">
        <v>1658</v>
      </c>
      <c r="E1383" t="s">
        <v>347</v>
      </c>
    </row>
    <row r="1384" spans="1:5" x14ac:dyDescent="0.2">
      <c r="A1384" s="269">
        <v>45909.734502314815</v>
      </c>
      <c r="B1384" t="s">
        <v>1431</v>
      </c>
      <c r="C1384" t="s">
        <v>28</v>
      </c>
      <c r="D1384" t="s">
        <v>1659</v>
      </c>
      <c r="E1384" t="s">
        <v>347</v>
      </c>
    </row>
    <row r="1385" spans="1:5" x14ac:dyDescent="0.2">
      <c r="A1385" s="269">
        <v>45909.734548611108</v>
      </c>
      <c r="B1385" t="s">
        <v>1431</v>
      </c>
      <c r="C1385" t="s">
        <v>28</v>
      </c>
      <c r="D1385" t="s">
        <v>1660</v>
      </c>
      <c r="E1385" t="s">
        <v>347</v>
      </c>
    </row>
    <row r="1386" spans="1:5" x14ac:dyDescent="0.2">
      <c r="A1386" s="269">
        <v>45909.734571759262</v>
      </c>
      <c r="B1386" t="s">
        <v>1431</v>
      </c>
      <c r="C1386" t="s">
        <v>28</v>
      </c>
      <c r="D1386" t="s">
        <v>1661</v>
      </c>
      <c r="E1386" t="s">
        <v>347</v>
      </c>
    </row>
    <row r="1387" spans="1:5" x14ac:dyDescent="0.2">
      <c r="A1387" s="269">
        <v>45909.734583333331</v>
      </c>
      <c r="B1387" t="s">
        <v>1431</v>
      </c>
      <c r="C1387" t="s">
        <v>28</v>
      </c>
      <c r="D1387" t="s">
        <v>1662</v>
      </c>
      <c r="E1387" t="s">
        <v>347</v>
      </c>
    </row>
    <row r="1388" spans="1:5" x14ac:dyDescent="0.2">
      <c r="A1388" s="269">
        <v>45909.734594907408</v>
      </c>
      <c r="B1388" t="s">
        <v>1431</v>
      </c>
      <c r="C1388" t="s">
        <v>28</v>
      </c>
      <c r="D1388" t="s">
        <v>1663</v>
      </c>
      <c r="E1388" t="s">
        <v>347</v>
      </c>
    </row>
    <row r="1389" spans="1:5" x14ac:dyDescent="0.2">
      <c r="A1389" s="269">
        <v>45909.734606481485</v>
      </c>
      <c r="B1389" t="s">
        <v>1431</v>
      </c>
      <c r="C1389" t="s">
        <v>28</v>
      </c>
      <c r="D1389" t="s">
        <v>1664</v>
      </c>
      <c r="E1389" t="s">
        <v>347</v>
      </c>
    </row>
    <row r="1390" spans="1:5" x14ac:dyDescent="0.2">
      <c r="A1390" s="269">
        <v>45909.734618055554</v>
      </c>
      <c r="B1390" t="s">
        <v>1431</v>
      </c>
      <c r="C1390" t="s">
        <v>28</v>
      </c>
      <c r="D1390" t="s">
        <v>1665</v>
      </c>
      <c r="E1390" t="s">
        <v>347</v>
      </c>
    </row>
    <row r="1391" spans="1:5" x14ac:dyDescent="0.2">
      <c r="A1391" s="269">
        <v>45909.734629629631</v>
      </c>
      <c r="B1391" t="s">
        <v>1431</v>
      </c>
      <c r="C1391" t="s">
        <v>28</v>
      </c>
      <c r="D1391" t="s">
        <v>1666</v>
      </c>
      <c r="E1391" t="s">
        <v>347</v>
      </c>
    </row>
    <row r="1392" spans="1:5" x14ac:dyDescent="0.2">
      <c r="A1392" s="269">
        <v>45909.735497685186</v>
      </c>
      <c r="B1392" t="s">
        <v>1431</v>
      </c>
      <c r="C1392" t="s">
        <v>28</v>
      </c>
      <c r="D1392" t="s">
        <v>977</v>
      </c>
      <c r="E1392">
        <v>60</v>
      </c>
    </row>
    <row r="1393" spans="1:5" x14ac:dyDescent="0.2">
      <c r="A1393" s="269">
        <v>45909.735543981478</v>
      </c>
      <c r="B1393" t="s">
        <v>1431</v>
      </c>
      <c r="C1393" t="s">
        <v>28</v>
      </c>
      <c r="D1393" t="s">
        <v>924</v>
      </c>
      <c r="E1393">
        <v>50</v>
      </c>
    </row>
    <row r="1394" spans="1:5" x14ac:dyDescent="0.2">
      <c r="A1394" s="269">
        <v>45909.735567129632</v>
      </c>
      <c r="B1394" t="s">
        <v>1431</v>
      </c>
      <c r="C1394" t="s">
        <v>28</v>
      </c>
      <c r="D1394" t="s">
        <v>1446</v>
      </c>
      <c r="E1394">
        <v>60</v>
      </c>
    </row>
    <row r="1395" spans="1:5" x14ac:dyDescent="0.2">
      <c r="A1395" s="269">
        <v>45909.735636574071</v>
      </c>
      <c r="B1395" t="s">
        <v>1431</v>
      </c>
      <c r="C1395" t="s">
        <v>28</v>
      </c>
      <c r="D1395" t="s">
        <v>1446</v>
      </c>
    </row>
    <row r="1396" spans="1:5" x14ac:dyDescent="0.2">
      <c r="A1396" s="269">
        <v>45909.735648148147</v>
      </c>
      <c r="B1396" t="s">
        <v>1431</v>
      </c>
      <c r="C1396" t="s">
        <v>28</v>
      </c>
      <c r="D1396" t="s">
        <v>924</v>
      </c>
    </row>
    <row r="1397" spans="1:5" x14ac:dyDescent="0.2">
      <c r="A1397" s="269">
        <v>45909.735752314817</v>
      </c>
      <c r="B1397" t="s">
        <v>1431</v>
      </c>
      <c r="C1397" t="s">
        <v>28</v>
      </c>
      <c r="D1397" t="s">
        <v>924</v>
      </c>
      <c r="E1397">
        <v>50</v>
      </c>
    </row>
    <row r="1398" spans="1:5" x14ac:dyDescent="0.2">
      <c r="A1398" s="269">
        <v>45909.735775462963</v>
      </c>
      <c r="B1398" t="s">
        <v>1431</v>
      </c>
      <c r="C1398" t="s">
        <v>28</v>
      </c>
      <c r="D1398" t="s">
        <v>1446</v>
      </c>
      <c r="E1398">
        <v>60</v>
      </c>
    </row>
    <row r="1399" spans="1:5" x14ac:dyDescent="0.2">
      <c r="A1399" s="269">
        <v>45909.735844907409</v>
      </c>
      <c r="B1399" t="s">
        <v>1431</v>
      </c>
      <c r="C1399" t="s">
        <v>28</v>
      </c>
      <c r="D1399" t="s">
        <v>1667</v>
      </c>
      <c r="E1399">
        <v>50</v>
      </c>
    </row>
    <row r="1400" spans="1:5" x14ac:dyDescent="0.2">
      <c r="A1400" s="269">
        <v>45909.735879629632</v>
      </c>
      <c r="B1400" t="s">
        <v>1431</v>
      </c>
      <c r="C1400" t="s">
        <v>28</v>
      </c>
      <c r="D1400" t="s">
        <v>1668</v>
      </c>
      <c r="E1400">
        <v>60</v>
      </c>
    </row>
    <row r="1401" spans="1:5" x14ac:dyDescent="0.2">
      <c r="A1401" s="269">
        <v>45909.735902777778</v>
      </c>
      <c r="B1401" t="s">
        <v>1431</v>
      </c>
      <c r="C1401" t="s">
        <v>28</v>
      </c>
      <c r="D1401" t="s">
        <v>1669</v>
      </c>
      <c r="E1401">
        <v>50</v>
      </c>
    </row>
    <row r="1402" spans="1:5" x14ac:dyDescent="0.2">
      <c r="A1402" s="269">
        <v>45909.735925925925</v>
      </c>
      <c r="B1402" t="s">
        <v>1431</v>
      </c>
      <c r="C1402" t="s">
        <v>28</v>
      </c>
      <c r="D1402" t="s">
        <v>1670</v>
      </c>
      <c r="E1402">
        <v>60</v>
      </c>
    </row>
    <row r="1403" spans="1:5" x14ac:dyDescent="0.2">
      <c r="A1403" s="269">
        <v>45909.735960648148</v>
      </c>
      <c r="B1403" t="s">
        <v>1431</v>
      </c>
      <c r="C1403" t="s">
        <v>28</v>
      </c>
      <c r="D1403" t="s">
        <v>1671</v>
      </c>
      <c r="E1403">
        <v>50</v>
      </c>
    </row>
    <row r="1404" spans="1:5" x14ac:dyDescent="0.2">
      <c r="A1404" s="269">
        <v>45909.735983796294</v>
      </c>
      <c r="B1404" t="s">
        <v>1431</v>
      </c>
      <c r="C1404" t="s">
        <v>28</v>
      </c>
      <c r="D1404" t="s">
        <v>1672</v>
      </c>
      <c r="E1404">
        <v>60</v>
      </c>
    </row>
    <row r="1405" spans="1:5" x14ac:dyDescent="0.2">
      <c r="A1405" s="269">
        <v>45909.736018518517</v>
      </c>
      <c r="B1405" t="s">
        <v>1431</v>
      </c>
      <c r="C1405" t="s">
        <v>28</v>
      </c>
      <c r="D1405" t="s">
        <v>1673</v>
      </c>
      <c r="E1405">
        <v>50</v>
      </c>
    </row>
    <row r="1406" spans="1:5" x14ac:dyDescent="0.2">
      <c r="A1406" s="269">
        <v>45909.736168981479</v>
      </c>
      <c r="B1406" t="s">
        <v>1431</v>
      </c>
      <c r="C1406" t="s">
        <v>28</v>
      </c>
      <c r="D1406" t="s">
        <v>937</v>
      </c>
      <c r="E1406" t="s">
        <v>313</v>
      </c>
    </row>
    <row r="1407" spans="1:5" x14ac:dyDescent="0.2">
      <c r="A1407" s="269">
        <v>45909.736226851855</v>
      </c>
      <c r="B1407" t="s">
        <v>1431</v>
      </c>
      <c r="C1407" t="s">
        <v>28</v>
      </c>
      <c r="D1407" t="s">
        <v>1467</v>
      </c>
      <c r="E1407" t="s">
        <v>313</v>
      </c>
    </row>
    <row r="1408" spans="1:5" x14ac:dyDescent="0.2">
      <c r="A1408" s="269">
        <v>45909.736261574071</v>
      </c>
      <c r="B1408" t="s">
        <v>1431</v>
      </c>
      <c r="C1408" t="s">
        <v>28</v>
      </c>
      <c r="D1408" t="s">
        <v>1553</v>
      </c>
      <c r="E1408" t="s">
        <v>313</v>
      </c>
    </row>
    <row r="1409" spans="1:5" x14ac:dyDescent="0.2">
      <c r="A1409" s="269">
        <v>45909.736296296294</v>
      </c>
      <c r="B1409" t="s">
        <v>1431</v>
      </c>
      <c r="C1409" t="s">
        <v>28</v>
      </c>
      <c r="D1409" t="s">
        <v>1485</v>
      </c>
      <c r="E1409" t="s">
        <v>313</v>
      </c>
    </row>
    <row r="1410" spans="1:5" x14ac:dyDescent="0.2">
      <c r="A1410" s="269">
        <v>45909.736354166664</v>
      </c>
      <c r="B1410" t="s">
        <v>1431</v>
      </c>
      <c r="C1410" t="s">
        <v>28</v>
      </c>
      <c r="D1410" t="s">
        <v>1559</v>
      </c>
      <c r="E1410" t="s">
        <v>313</v>
      </c>
    </row>
    <row r="1411" spans="1:5" x14ac:dyDescent="0.2">
      <c r="A1411" s="269">
        <v>45909.736400462964</v>
      </c>
      <c r="B1411" t="s">
        <v>1431</v>
      </c>
      <c r="C1411" t="s">
        <v>28</v>
      </c>
      <c r="D1411" t="s">
        <v>1674</v>
      </c>
      <c r="E1411" t="s">
        <v>313</v>
      </c>
    </row>
    <row r="1412" spans="1:5" x14ac:dyDescent="0.2">
      <c r="A1412" s="269">
        <v>45909.73642361111</v>
      </c>
      <c r="B1412" t="s">
        <v>1431</v>
      </c>
      <c r="C1412" t="s">
        <v>28</v>
      </c>
      <c r="D1412" t="s">
        <v>1570</v>
      </c>
      <c r="E1412" t="s">
        <v>313</v>
      </c>
    </row>
    <row r="1413" spans="1:5" x14ac:dyDescent="0.2">
      <c r="A1413" s="269">
        <v>45909.73646990741</v>
      </c>
      <c r="B1413" t="s">
        <v>1431</v>
      </c>
      <c r="C1413" t="s">
        <v>28</v>
      </c>
      <c r="D1413" t="s">
        <v>1576</v>
      </c>
      <c r="E1413" t="s">
        <v>313</v>
      </c>
    </row>
    <row r="1414" spans="1:5" x14ac:dyDescent="0.2">
      <c r="A1414" s="269">
        <v>45909.736597222225</v>
      </c>
      <c r="B1414" t="s">
        <v>1431</v>
      </c>
      <c r="C1414" t="s">
        <v>28</v>
      </c>
      <c r="D1414" t="s">
        <v>1587</v>
      </c>
      <c r="E1414" t="s">
        <v>313</v>
      </c>
    </row>
    <row r="1415" spans="1:5" x14ac:dyDescent="0.2">
      <c r="A1415" s="269">
        <v>45909.736643518518</v>
      </c>
      <c r="B1415" t="s">
        <v>1431</v>
      </c>
      <c r="C1415" t="s">
        <v>28</v>
      </c>
      <c r="D1415" t="s">
        <v>1593</v>
      </c>
      <c r="E1415" t="s">
        <v>313</v>
      </c>
    </row>
    <row r="1416" spans="1:5" x14ac:dyDescent="0.2">
      <c r="A1416" s="269">
        <v>45909.736678240741</v>
      </c>
      <c r="B1416" t="s">
        <v>1431</v>
      </c>
      <c r="C1416" t="s">
        <v>28</v>
      </c>
      <c r="D1416" t="s">
        <v>1516</v>
      </c>
      <c r="E1416" t="s">
        <v>313</v>
      </c>
    </row>
    <row r="1417" spans="1:5" x14ac:dyDescent="0.2">
      <c r="A1417" s="269">
        <v>45909.736701388887</v>
      </c>
      <c r="B1417" t="s">
        <v>1431</v>
      </c>
      <c r="C1417" t="s">
        <v>28</v>
      </c>
      <c r="D1417" t="s">
        <v>1600</v>
      </c>
      <c r="E1417" t="s">
        <v>313</v>
      </c>
    </row>
    <row r="1418" spans="1:5" x14ac:dyDescent="0.2">
      <c r="A1418" s="269">
        <v>45909.737164351849</v>
      </c>
      <c r="B1418" t="s">
        <v>1431</v>
      </c>
      <c r="C1418" t="s">
        <v>28</v>
      </c>
      <c r="D1418" t="s">
        <v>1675</v>
      </c>
      <c r="E1418">
        <v>50</v>
      </c>
    </row>
    <row r="1419" spans="1:5" x14ac:dyDescent="0.2">
      <c r="A1419" s="269">
        <v>45909.737187500003</v>
      </c>
      <c r="B1419" t="s">
        <v>1431</v>
      </c>
      <c r="C1419" t="s">
        <v>28</v>
      </c>
      <c r="D1419" t="s">
        <v>1673</v>
      </c>
      <c r="E1419">
        <v>60</v>
      </c>
    </row>
    <row r="1420" spans="1:5" x14ac:dyDescent="0.2">
      <c r="A1420" s="269">
        <v>45910.408263888887</v>
      </c>
      <c r="B1420" t="s">
        <v>1431</v>
      </c>
      <c r="C1420" t="s">
        <v>597</v>
      </c>
      <c r="D1420" t="s">
        <v>1676</v>
      </c>
      <c r="E1420" t="s">
        <v>39</v>
      </c>
    </row>
    <row r="1421" spans="1:5" x14ac:dyDescent="0.2">
      <c r="A1421" s="269">
        <v>45910.440208333333</v>
      </c>
      <c r="B1421" t="s">
        <v>1431</v>
      </c>
      <c r="C1421" t="s">
        <v>597</v>
      </c>
      <c r="D1421" t="s">
        <v>1676</v>
      </c>
      <c r="E1421" t="s">
        <v>39</v>
      </c>
    </row>
    <row r="1422" spans="1:5" x14ac:dyDescent="0.2">
      <c r="A1422" s="269">
        <v>45910.440879629627</v>
      </c>
      <c r="B1422" t="s">
        <v>1431</v>
      </c>
      <c r="C1422" t="s">
        <v>58</v>
      </c>
      <c r="D1422" t="s">
        <v>1589</v>
      </c>
      <c r="E1422">
        <v>45.069000000000003</v>
      </c>
    </row>
    <row r="1423" spans="1:5" x14ac:dyDescent="0.2">
      <c r="A1423" s="269">
        <v>45910.441030092596</v>
      </c>
      <c r="B1423" t="s">
        <v>1431</v>
      </c>
      <c r="C1423" t="s">
        <v>58</v>
      </c>
      <c r="D1423" t="s">
        <v>1590</v>
      </c>
      <c r="E1423">
        <v>543</v>
      </c>
    </row>
    <row r="1424" spans="1:5" x14ac:dyDescent="0.2">
      <c r="A1424" s="269">
        <v>45910.441087962965</v>
      </c>
      <c r="B1424" t="s">
        <v>1431</v>
      </c>
      <c r="C1424" t="s">
        <v>58</v>
      </c>
      <c r="D1424" t="s">
        <v>1591</v>
      </c>
      <c r="E1424">
        <v>299</v>
      </c>
    </row>
    <row r="1425" spans="1:5" x14ac:dyDescent="0.2">
      <c r="A1425" s="269">
        <v>45910.441203703704</v>
      </c>
      <c r="B1425" t="s">
        <v>1431</v>
      </c>
      <c r="C1425" t="s">
        <v>58</v>
      </c>
      <c r="D1425" t="s">
        <v>1592</v>
      </c>
      <c r="E1425">
        <v>24.817</v>
      </c>
    </row>
    <row r="1426" spans="1:5" x14ac:dyDescent="0.2">
      <c r="A1426" s="269">
        <v>45910.441446759258</v>
      </c>
      <c r="B1426" t="s">
        <v>1431</v>
      </c>
      <c r="C1426" t="s">
        <v>58</v>
      </c>
      <c r="D1426" t="s">
        <v>1593</v>
      </c>
      <c r="E1426">
        <v>15.144</v>
      </c>
    </row>
    <row r="1427" spans="1:5" x14ac:dyDescent="0.2">
      <c r="A1427" s="269">
        <v>45910.441574074073</v>
      </c>
      <c r="B1427" t="s">
        <v>1431</v>
      </c>
      <c r="C1427" t="s">
        <v>58</v>
      </c>
      <c r="D1427" t="s">
        <v>1594</v>
      </c>
      <c r="E1427">
        <v>26.2</v>
      </c>
    </row>
    <row r="1428" spans="1:5" x14ac:dyDescent="0.2">
      <c r="A1428" s="269">
        <v>45910.442974537036</v>
      </c>
      <c r="B1428" t="s">
        <v>1431</v>
      </c>
      <c r="C1428" t="s">
        <v>58</v>
      </c>
      <c r="D1428" t="s">
        <v>1593</v>
      </c>
      <c r="E1428">
        <v>42.408999999999999</v>
      </c>
    </row>
    <row r="1429" spans="1:5" x14ac:dyDescent="0.2">
      <c r="A1429" s="269">
        <v>45910.450162037036</v>
      </c>
      <c r="B1429" t="s">
        <v>1431</v>
      </c>
      <c r="C1429" t="s">
        <v>58</v>
      </c>
      <c r="D1429" t="s">
        <v>1564</v>
      </c>
    </row>
    <row r="1430" spans="1:5" x14ac:dyDescent="0.2">
      <c r="A1430" s="269">
        <v>45910.450185185182</v>
      </c>
      <c r="B1430" t="s">
        <v>1431</v>
      </c>
      <c r="C1430" t="s">
        <v>58</v>
      </c>
      <c r="D1430" t="s">
        <v>1565</v>
      </c>
    </row>
    <row r="1431" spans="1:5" x14ac:dyDescent="0.2">
      <c r="A1431" s="269">
        <v>45910.451458333337</v>
      </c>
      <c r="B1431" t="s">
        <v>1431</v>
      </c>
      <c r="C1431" t="s">
        <v>58</v>
      </c>
      <c r="D1431" t="s">
        <v>1560</v>
      </c>
      <c r="E1431">
        <v>35.393000000000001</v>
      </c>
    </row>
    <row r="1432" spans="1:5" x14ac:dyDescent="0.2">
      <c r="A1432" s="269">
        <v>45910.451643518521</v>
      </c>
      <c r="B1432" t="s">
        <v>1431</v>
      </c>
      <c r="C1432" t="s">
        <v>58</v>
      </c>
      <c r="D1432" t="s">
        <v>1561</v>
      </c>
      <c r="E1432">
        <v>28.3</v>
      </c>
    </row>
    <row r="1433" spans="1:5" x14ac:dyDescent="0.2">
      <c r="A1433" s="269">
        <v>45910.451736111114</v>
      </c>
      <c r="B1433" t="s">
        <v>1431</v>
      </c>
      <c r="C1433" t="s">
        <v>58</v>
      </c>
      <c r="D1433" t="s">
        <v>1558</v>
      </c>
      <c r="E1433">
        <v>588</v>
      </c>
    </row>
    <row r="1434" spans="1:5" x14ac:dyDescent="0.2">
      <c r="A1434" s="269">
        <v>45910.451793981483</v>
      </c>
      <c r="B1434" t="s">
        <v>1431</v>
      </c>
      <c r="C1434" t="s">
        <v>58</v>
      </c>
      <c r="D1434" t="s">
        <v>1559</v>
      </c>
      <c r="E1434">
        <v>34.195999999999998</v>
      </c>
    </row>
    <row r="1435" spans="1:5" x14ac:dyDescent="0.2">
      <c r="A1435" s="269">
        <v>45910.452013888891</v>
      </c>
      <c r="B1435" t="s">
        <v>1431</v>
      </c>
      <c r="C1435" t="s">
        <v>58</v>
      </c>
      <c r="D1435" t="s">
        <v>1556</v>
      </c>
      <c r="E1435">
        <v>34.694000000000003</v>
      </c>
    </row>
    <row r="1436" spans="1:5" x14ac:dyDescent="0.2">
      <c r="A1436" s="269">
        <v>45910.45212962963</v>
      </c>
      <c r="B1436" t="s">
        <v>1431</v>
      </c>
      <c r="C1436" t="s">
        <v>58</v>
      </c>
      <c r="D1436" t="s">
        <v>1557</v>
      </c>
      <c r="E1436">
        <v>422</v>
      </c>
    </row>
    <row r="1437" spans="1:5" x14ac:dyDescent="0.2">
      <c r="A1437" s="269">
        <v>45910.453136574077</v>
      </c>
      <c r="B1437" t="s">
        <v>1431</v>
      </c>
      <c r="C1437" t="s">
        <v>28</v>
      </c>
      <c r="D1437" t="s">
        <v>976</v>
      </c>
      <c r="E1437">
        <v>115</v>
      </c>
    </row>
    <row r="1438" spans="1:5" x14ac:dyDescent="0.2">
      <c r="A1438" s="269">
        <v>45910.453425925924</v>
      </c>
      <c r="B1438" t="s">
        <v>1431</v>
      </c>
      <c r="C1438" t="s">
        <v>28</v>
      </c>
      <c r="D1438" t="s">
        <v>918</v>
      </c>
      <c r="E1438">
        <v>105</v>
      </c>
    </row>
    <row r="1439" spans="1:5" x14ac:dyDescent="0.2">
      <c r="A1439" s="269">
        <v>45910.453634259262</v>
      </c>
      <c r="B1439" t="s">
        <v>1431</v>
      </c>
      <c r="C1439" t="s">
        <v>28</v>
      </c>
      <c r="D1439" t="s">
        <v>976</v>
      </c>
      <c r="E1439">
        <v>230</v>
      </c>
    </row>
    <row r="1440" spans="1:5" x14ac:dyDescent="0.2">
      <c r="A1440" s="269">
        <v>45910.453726851854</v>
      </c>
      <c r="B1440" t="s">
        <v>1431</v>
      </c>
      <c r="C1440" t="s">
        <v>28</v>
      </c>
      <c r="D1440" t="s">
        <v>918</v>
      </c>
      <c r="E1440">
        <v>210</v>
      </c>
    </row>
    <row r="1441" spans="1:5" x14ac:dyDescent="0.2">
      <c r="A1441" s="269">
        <v>45910.45517361111</v>
      </c>
      <c r="B1441" t="s">
        <v>1431</v>
      </c>
      <c r="C1441" t="s">
        <v>28</v>
      </c>
      <c r="D1441" t="s">
        <v>981</v>
      </c>
      <c r="E1441">
        <v>190</v>
      </c>
    </row>
    <row r="1442" spans="1:5" x14ac:dyDescent="0.2">
      <c r="A1442" s="269">
        <v>45910.455428240741</v>
      </c>
      <c r="B1442" t="s">
        <v>1431</v>
      </c>
      <c r="C1442" t="s">
        <v>28</v>
      </c>
      <c r="D1442" t="s">
        <v>1677</v>
      </c>
      <c r="E1442">
        <v>210</v>
      </c>
    </row>
    <row r="1443" spans="1:5" x14ac:dyDescent="0.2">
      <c r="A1443" s="269">
        <v>45910.455601851849</v>
      </c>
      <c r="B1443" t="s">
        <v>1431</v>
      </c>
      <c r="C1443" t="s">
        <v>28</v>
      </c>
      <c r="D1443" t="s">
        <v>1678</v>
      </c>
      <c r="E1443">
        <v>220</v>
      </c>
    </row>
    <row r="1444" spans="1:5" x14ac:dyDescent="0.2">
      <c r="A1444" s="269">
        <v>45910.455775462964</v>
      </c>
      <c r="B1444" t="s">
        <v>1431</v>
      </c>
      <c r="C1444" t="s">
        <v>28</v>
      </c>
      <c r="D1444" t="s">
        <v>1679</v>
      </c>
      <c r="E1444">
        <v>190</v>
      </c>
    </row>
    <row r="1445" spans="1:5" x14ac:dyDescent="0.2">
      <c r="A1445" s="269">
        <v>45910.456423611111</v>
      </c>
      <c r="B1445" t="s">
        <v>1431</v>
      </c>
      <c r="C1445" t="s">
        <v>28</v>
      </c>
      <c r="D1445" t="s">
        <v>1680</v>
      </c>
      <c r="E1445">
        <v>230</v>
      </c>
    </row>
    <row r="1446" spans="1:5" x14ac:dyDescent="0.2">
      <c r="A1446" s="269">
        <v>45910.456782407404</v>
      </c>
      <c r="B1446" t="s">
        <v>1431</v>
      </c>
      <c r="C1446" t="s">
        <v>28</v>
      </c>
      <c r="D1446" t="s">
        <v>1681</v>
      </c>
      <c r="E1446">
        <v>200</v>
      </c>
    </row>
    <row r="1447" spans="1:5" x14ac:dyDescent="0.2">
      <c r="A1447" s="269">
        <v>45910.45689814815</v>
      </c>
      <c r="B1447" t="s">
        <v>1431</v>
      </c>
      <c r="C1447" t="s">
        <v>28</v>
      </c>
      <c r="D1447" t="s">
        <v>1682</v>
      </c>
      <c r="E1447">
        <v>210</v>
      </c>
    </row>
    <row r="1448" spans="1:5" x14ac:dyDescent="0.2">
      <c r="A1448" s="269">
        <v>45910.457060185188</v>
      </c>
      <c r="B1448" t="s">
        <v>1431</v>
      </c>
      <c r="C1448" t="s">
        <v>28</v>
      </c>
      <c r="D1448" t="s">
        <v>1683</v>
      </c>
      <c r="E1448">
        <v>230</v>
      </c>
    </row>
    <row r="1449" spans="1:5" x14ac:dyDescent="0.2">
      <c r="A1449" s="269">
        <v>45910.457175925927</v>
      </c>
      <c r="B1449" t="s">
        <v>1431</v>
      </c>
      <c r="C1449" t="s">
        <v>28</v>
      </c>
      <c r="D1449" t="s">
        <v>1684</v>
      </c>
      <c r="E1449">
        <v>200</v>
      </c>
    </row>
    <row r="1450" spans="1:5" x14ac:dyDescent="0.2">
      <c r="A1450" s="269">
        <v>45910.457430555558</v>
      </c>
      <c r="B1450" t="s">
        <v>1431</v>
      </c>
      <c r="C1450" t="s">
        <v>28</v>
      </c>
      <c r="D1450" t="s">
        <v>1685</v>
      </c>
      <c r="E1450">
        <v>360</v>
      </c>
    </row>
    <row r="1451" spans="1:5" x14ac:dyDescent="0.2">
      <c r="A1451" s="269">
        <v>45910.459733796299</v>
      </c>
      <c r="B1451" t="s">
        <v>1431</v>
      </c>
      <c r="C1451" t="s">
        <v>15</v>
      </c>
      <c r="D1451" t="s">
        <v>972</v>
      </c>
      <c r="E1451">
        <v>0</v>
      </c>
    </row>
    <row r="1452" spans="1:5" x14ac:dyDescent="0.2">
      <c r="A1452" s="269">
        <v>45910.459733796299</v>
      </c>
      <c r="B1452" t="s">
        <v>1431</v>
      </c>
      <c r="C1452" t="s">
        <v>15</v>
      </c>
      <c r="D1452" t="s">
        <v>1466</v>
      </c>
      <c r="E1452">
        <v>0</v>
      </c>
    </row>
    <row r="1453" spans="1:5" x14ac:dyDescent="0.2">
      <c r="A1453" s="269">
        <v>45910.459745370368</v>
      </c>
      <c r="B1453" t="s">
        <v>1431</v>
      </c>
      <c r="C1453" t="s">
        <v>15</v>
      </c>
      <c r="D1453" t="s">
        <v>1016</v>
      </c>
      <c r="E1453">
        <v>0</v>
      </c>
    </row>
    <row r="1454" spans="1:5" x14ac:dyDescent="0.2">
      <c r="A1454" s="269">
        <v>45910.459756944445</v>
      </c>
      <c r="B1454" t="s">
        <v>1431</v>
      </c>
      <c r="C1454" t="s">
        <v>15</v>
      </c>
      <c r="D1454" t="s">
        <v>1471</v>
      </c>
      <c r="E1454">
        <v>0</v>
      </c>
    </row>
    <row r="1455" spans="1:5" x14ac:dyDescent="0.2">
      <c r="A1455" s="269">
        <v>45910.459756944445</v>
      </c>
      <c r="B1455" t="s">
        <v>1431</v>
      </c>
      <c r="C1455" t="s">
        <v>15</v>
      </c>
      <c r="D1455" t="s">
        <v>1686</v>
      </c>
      <c r="E1455">
        <v>0</v>
      </c>
    </row>
    <row r="1456" spans="1:5" x14ac:dyDescent="0.2">
      <c r="A1456" s="269">
        <v>45910.463263888887</v>
      </c>
      <c r="B1456" t="s">
        <v>1431</v>
      </c>
      <c r="C1456" t="s">
        <v>15</v>
      </c>
      <c r="D1456" t="s">
        <v>972</v>
      </c>
      <c r="E1456">
        <v>1</v>
      </c>
    </row>
    <row r="1457" spans="1:5" x14ac:dyDescent="0.2">
      <c r="A1457" s="269">
        <v>45910.463460648149</v>
      </c>
      <c r="B1457" t="s">
        <v>1431</v>
      </c>
      <c r="C1457" t="s">
        <v>15</v>
      </c>
      <c r="D1457" t="s">
        <v>972</v>
      </c>
      <c r="E1457">
        <v>0</v>
      </c>
    </row>
    <row r="1458" spans="1:5" x14ac:dyDescent="0.2">
      <c r="A1458" s="269">
        <v>45910.491342592592</v>
      </c>
      <c r="B1458" t="s">
        <v>1431</v>
      </c>
      <c r="C1458" t="s">
        <v>103</v>
      </c>
      <c r="D1458" t="s">
        <v>1455</v>
      </c>
      <c r="E1458" t="s">
        <v>1687</v>
      </c>
    </row>
    <row r="1459" spans="1:5" x14ac:dyDescent="0.2">
      <c r="A1459" s="269">
        <v>45910.491377314815</v>
      </c>
      <c r="B1459" t="s">
        <v>1431</v>
      </c>
      <c r="C1459" t="s">
        <v>103</v>
      </c>
      <c r="D1459" t="s">
        <v>996</v>
      </c>
      <c r="E1459" t="s">
        <v>1688</v>
      </c>
    </row>
    <row r="1460" spans="1:5" x14ac:dyDescent="0.2">
      <c r="A1460" s="269">
        <v>45910.491469907407</v>
      </c>
      <c r="B1460" t="s">
        <v>1431</v>
      </c>
      <c r="C1460" t="s">
        <v>103</v>
      </c>
      <c r="D1460" t="s">
        <v>1689</v>
      </c>
      <c r="E1460" t="s">
        <v>1538</v>
      </c>
    </row>
    <row r="1461" spans="1:5" x14ac:dyDescent="0.2">
      <c r="A1461" s="269">
        <v>45910.491481481484</v>
      </c>
      <c r="B1461" t="s">
        <v>1431</v>
      </c>
      <c r="C1461" t="s">
        <v>103</v>
      </c>
      <c r="D1461" t="s">
        <v>1689</v>
      </c>
      <c r="E1461" t="s">
        <v>1538</v>
      </c>
    </row>
    <row r="1462" spans="1:5" x14ac:dyDescent="0.2">
      <c r="A1462" s="269">
        <v>45910.49150462963</v>
      </c>
      <c r="B1462" t="s">
        <v>1431</v>
      </c>
      <c r="C1462" t="s">
        <v>103</v>
      </c>
      <c r="D1462" t="s">
        <v>1689</v>
      </c>
      <c r="E1462" t="s">
        <v>1690</v>
      </c>
    </row>
    <row r="1463" spans="1:5" x14ac:dyDescent="0.2">
      <c r="A1463" s="269">
        <v>45910.491539351853</v>
      </c>
      <c r="B1463" t="s">
        <v>1431</v>
      </c>
      <c r="C1463" t="s">
        <v>103</v>
      </c>
      <c r="D1463" t="s">
        <v>1689</v>
      </c>
      <c r="E1463" t="s">
        <v>1538</v>
      </c>
    </row>
    <row r="1464" spans="1:5" x14ac:dyDescent="0.2">
      <c r="A1464" s="269">
        <v>45910.491585648146</v>
      </c>
      <c r="B1464" t="s">
        <v>1431</v>
      </c>
      <c r="C1464" t="s">
        <v>103</v>
      </c>
      <c r="D1464" t="s">
        <v>1539</v>
      </c>
      <c r="E1464" t="s">
        <v>1691</v>
      </c>
    </row>
    <row r="1465" spans="1:5" x14ac:dyDescent="0.2">
      <c r="A1465" s="269">
        <v>45910.491620370369</v>
      </c>
      <c r="B1465" t="s">
        <v>1431</v>
      </c>
      <c r="C1465" t="s">
        <v>103</v>
      </c>
      <c r="D1465" t="s">
        <v>1019</v>
      </c>
      <c r="E1465" t="s">
        <v>1692</v>
      </c>
    </row>
    <row r="1466" spans="1:5" x14ac:dyDescent="0.2">
      <c r="A1466" s="269">
        <v>45910.491689814815</v>
      </c>
      <c r="B1466" t="s">
        <v>1431</v>
      </c>
      <c r="C1466" t="s">
        <v>103</v>
      </c>
      <c r="D1466" t="s">
        <v>1019</v>
      </c>
      <c r="E1466" t="s">
        <v>1693</v>
      </c>
    </row>
    <row r="1467" spans="1:5" x14ac:dyDescent="0.2">
      <c r="A1467" s="269">
        <v>45910.491736111115</v>
      </c>
      <c r="B1467" t="s">
        <v>1431</v>
      </c>
      <c r="C1467" t="s">
        <v>103</v>
      </c>
      <c r="D1467" t="s">
        <v>1019</v>
      </c>
      <c r="E1467" t="s">
        <v>1694</v>
      </c>
    </row>
    <row r="1468" spans="1:5" x14ac:dyDescent="0.2">
      <c r="A1468" s="269">
        <v>45910.491793981484</v>
      </c>
      <c r="B1468" t="s">
        <v>1431</v>
      </c>
      <c r="C1468" t="s">
        <v>103</v>
      </c>
      <c r="D1468" t="s">
        <v>1540</v>
      </c>
      <c r="E1468" t="s">
        <v>1695</v>
      </c>
    </row>
    <row r="1469" spans="1:5" x14ac:dyDescent="0.2">
      <c r="A1469" s="269">
        <v>45910.49181712963</v>
      </c>
      <c r="B1469" t="s">
        <v>1431</v>
      </c>
      <c r="C1469" t="s">
        <v>103</v>
      </c>
      <c r="D1469" t="s">
        <v>1541</v>
      </c>
      <c r="E1469" t="s">
        <v>1696</v>
      </c>
    </row>
    <row r="1470" spans="1:5" x14ac:dyDescent="0.2">
      <c r="A1470" s="269">
        <v>45910.491851851853</v>
      </c>
      <c r="B1470" t="s">
        <v>1431</v>
      </c>
      <c r="C1470" t="s">
        <v>103</v>
      </c>
      <c r="D1470" t="s">
        <v>1542</v>
      </c>
      <c r="E1470" t="s">
        <v>1697</v>
      </c>
    </row>
    <row r="1471" spans="1:5" x14ac:dyDescent="0.2">
      <c r="A1471" s="269">
        <v>45910.491909722223</v>
      </c>
      <c r="B1471" t="s">
        <v>1431</v>
      </c>
      <c r="C1471" t="s">
        <v>103</v>
      </c>
      <c r="D1471" t="s">
        <v>1543</v>
      </c>
      <c r="E1471" t="s">
        <v>1698</v>
      </c>
    </row>
    <row r="1472" spans="1:5" x14ac:dyDescent="0.2">
      <c r="A1472" s="269">
        <v>45910.491967592592</v>
      </c>
      <c r="B1472" t="s">
        <v>1431</v>
      </c>
      <c r="C1472" t="s">
        <v>103</v>
      </c>
      <c r="D1472" t="s">
        <v>1544</v>
      </c>
      <c r="E1472" t="s">
        <v>1699</v>
      </c>
    </row>
    <row r="1473" spans="1:5" x14ac:dyDescent="0.2">
      <c r="A1473" s="269">
        <v>45910.492013888892</v>
      </c>
      <c r="B1473" t="s">
        <v>1431</v>
      </c>
      <c r="C1473" t="s">
        <v>103</v>
      </c>
      <c r="D1473" t="s">
        <v>1545</v>
      </c>
      <c r="E1473" t="s">
        <v>1700</v>
      </c>
    </row>
    <row r="1474" spans="1:5" x14ac:dyDescent="0.2">
      <c r="A1474" s="269">
        <v>45910.492037037038</v>
      </c>
      <c r="B1474" t="s">
        <v>1431</v>
      </c>
      <c r="C1474" t="s">
        <v>103</v>
      </c>
      <c r="D1474" t="s">
        <v>1546</v>
      </c>
      <c r="E1474" t="s">
        <v>1701</v>
      </c>
    </row>
    <row r="1475" spans="1:5" x14ac:dyDescent="0.2">
      <c r="A1475" s="269">
        <v>45910.56758101852</v>
      </c>
      <c r="B1475" t="s">
        <v>1431</v>
      </c>
      <c r="C1475" t="s">
        <v>597</v>
      </c>
      <c r="D1475" t="s">
        <v>1676</v>
      </c>
      <c r="E1475" t="s">
        <v>39</v>
      </c>
    </row>
    <row r="1476" spans="1:5" x14ac:dyDescent="0.2">
      <c r="A1476" s="269">
        <v>45910.581053240741</v>
      </c>
      <c r="B1476" t="s">
        <v>1431</v>
      </c>
      <c r="C1476" t="s">
        <v>15</v>
      </c>
      <c r="D1476" t="s">
        <v>1439</v>
      </c>
      <c r="E1476" t="s">
        <v>1533</v>
      </c>
    </row>
    <row r="1477" spans="1:5" x14ac:dyDescent="0.2">
      <c r="A1477" s="269">
        <v>45910.581111111111</v>
      </c>
      <c r="B1477" t="s">
        <v>1431</v>
      </c>
      <c r="C1477" t="s">
        <v>15</v>
      </c>
      <c r="D1477" t="s">
        <v>1439</v>
      </c>
      <c r="E1477" t="s">
        <v>1702</v>
      </c>
    </row>
    <row r="1478" spans="1:5" x14ac:dyDescent="0.2">
      <c r="A1478" s="269">
        <v>45910.581180555557</v>
      </c>
      <c r="B1478" t="s">
        <v>1431</v>
      </c>
      <c r="C1478" t="s">
        <v>15</v>
      </c>
      <c r="D1478" t="s">
        <v>1439</v>
      </c>
      <c r="E1478" t="s">
        <v>343</v>
      </c>
    </row>
    <row r="1479" spans="1:5" x14ac:dyDescent="0.2">
      <c r="A1479" s="269">
        <v>45910.581342592595</v>
      </c>
      <c r="B1479" t="s">
        <v>1431</v>
      </c>
      <c r="C1479" t="s">
        <v>15</v>
      </c>
      <c r="D1479" t="s">
        <v>1440</v>
      </c>
      <c r="E1479" t="s">
        <v>203</v>
      </c>
    </row>
    <row r="1480" spans="1:5" x14ac:dyDescent="0.2">
      <c r="A1480" s="269">
        <v>45910.58148148148</v>
      </c>
      <c r="B1480" t="s">
        <v>1431</v>
      </c>
      <c r="C1480" t="s">
        <v>15</v>
      </c>
      <c r="D1480" t="s">
        <v>1069</v>
      </c>
      <c r="E1480">
        <v>1</v>
      </c>
    </row>
    <row r="1481" spans="1:5" x14ac:dyDescent="0.2">
      <c r="A1481" s="269">
        <v>45910.581493055557</v>
      </c>
      <c r="B1481" t="s">
        <v>1431</v>
      </c>
      <c r="C1481" t="s">
        <v>15</v>
      </c>
      <c r="D1481" t="s">
        <v>1068</v>
      </c>
      <c r="E1481">
        <v>6</v>
      </c>
    </row>
    <row r="1482" spans="1:5" x14ac:dyDescent="0.2">
      <c r="A1482" s="269">
        <v>45910.581504629627</v>
      </c>
      <c r="B1482" t="s">
        <v>1431</v>
      </c>
      <c r="C1482" t="s">
        <v>15</v>
      </c>
      <c r="D1482" t="s">
        <v>924</v>
      </c>
      <c r="E1482" t="s">
        <v>339</v>
      </c>
    </row>
    <row r="1483" spans="1:5" x14ac:dyDescent="0.2">
      <c r="A1483" s="269">
        <v>45910.58153935185</v>
      </c>
      <c r="B1483" t="s">
        <v>1431</v>
      </c>
      <c r="C1483" t="s">
        <v>15</v>
      </c>
      <c r="D1483" t="s">
        <v>1553</v>
      </c>
      <c r="E1483" t="s">
        <v>86</v>
      </c>
    </row>
    <row r="1484" spans="1:5" x14ac:dyDescent="0.2">
      <c r="A1484" s="269">
        <v>45910.582777777781</v>
      </c>
      <c r="B1484" t="s">
        <v>1431</v>
      </c>
      <c r="C1484" t="s">
        <v>15</v>
      </c>
      <c r="D1484" t="s">
        <v>1704</v>
      </c>
      <c r="E1484" t="s">
        <v>1703</v>
      </c>
    </row>
    <row r="1485" spans="1:5" x14ac:dyDescent="0.2">
      <c r="A1485" s="269">
        <v>45910.58284722222</v>
      </c>
      <c r="B1485" t="s">
        <v>1431</v>
      </c>
      <c r="C1485" t="s">
        <v>15</v>
      </c>
      <c r="D1485" t="s">
        <v>1704</v>
      </c>
      <c r="E1485" t="s">
        <v>1705</v>
      </c>
    </row>
    <row r="1486" spans="1:5" x14ac:dyDescent="0.2">
      <c r="A1486" s="269">
        <v>45910.582905092589</v>
      </c>
      <c r="B1486" t="s">
        <v>1431</v>
      </c>
      <c r="C1486" t="s">
        <v>15</v>
      </c>
      <c r="D1486" t="s">
        <v>1706</v>
      </c>
      <c r="E1486" t="s">
        <v>390</v>
      </c>
    </row>
    <row r="1487" spans="1:5" x14ac:dyDescent="0.2">
      <c r="A1487" s="269">
        <v>45910.583877314813</v>
      </c>
      <c r="B1487" t="s">
        <v>1431</v>
      </c>
      <c r="C1487" t="s">
        <v>15</v>
      </c>
      <c r="D1487" t="s">
        <v>1707</v>
      </c>
      <c r="E1487">
        <v>21</v>
      </c>
    </row>
    <row r="1488" spans="1:5" x14ac:dyDescent="0.2">
      <c r="A1488" s="269">
        <v>45910.58388888889</v>
      </c>
      <c r="B1488" t="s">
        <v>1431</v>
      </c>
      <c r="C1488" t="s">
        <v>15</v>
      </c>
      <c r="D1488" t="s">
        <v>1708</v>
      </c>
      <c r="E1488">
        <v>0</v>
      </c>
    </row>
    <row r="1489" spans="1:5" x14ac:dyDescent="0.2">
      <c r="A1489" s="269">
        <v>45910.585300925923</v>
      </c>
      <c r="B1489" t="s">
        <v>1431</v>
      </c>
      <c r="C1489" t="s">
        <v>15</v>
      </c>
      <c r="D1489" t="s">
        <v>1704</v>
      </c>
      <c r="E1489" t="s">
        <v>1709</v>
      </c>
    </row>
    <row r="1490" spans="1:5" x14ac:dyDescent="0.2">
      <c r="A1490" s="269">
        <v>45910.59574074074</v>
      </c>
      <c r="B1490" t="s">
        <v>1431</v>
      </c>
      <c r="C1490" t="s">
        <v>15</v>
      </c>
      <c r="D1490" t="s">
        <v>1015</v>
      </c>
      <c r="E1490">
        <v>1</v>
      </c>
    </row>
    <row r="1491" spans="1:5" x14ac:dyDescent="0.2">
      <c r="A1491" s="269">
        <v>45910.59578703704</v>
      </c>
      <c r="B1491" t="s">
        <v>1431</v>
      </c>
      <c r="C1491" t="s">
        <v>15</v>
      </c>
      <c r="D1491" t="s">
        <v>1710</v>
      </c>
      <c r="E1491" t="s">
        <v>1527</v>
      </c>
    </row>
    <row r="1492" spans="1:5" x14ac:dyDescent="0.2">
      <c r="A1492" s="269">
        <v>45910.59579861111</v>
      </c>
      <c r="B1492" t="s">
        <v>1431</v>
      </c>
      <c r="C1492" t="s">
        <v>15</v>
      </c>
      <c r="D1492" t="s">
        <v>1710</v>
      </c>
    </row>
    <row r="1493" spans="1:5" x14ac:dyDescent="0.2">
      <c r="A1493" s="269">
        <v>45910.59579861111</v>
      </c>
      <c r="B1493" t="s">
        <v>1431</v>
      </c>
      <c r="C1493" t="s">
        <v>15</v>
      </c>
      <c r="D1493" t="s">
        <v>1711</v>
      </c>
      <c r="E1493" t="s">
        <v>1527</v>
      </c>
    </row>
    <row r="1494" spans="1:5" x14ac:dyDescent="0.2">
      <c r="A1494" s="269">
        <v>45910.595810185187</v>
      </c>
      <c r="B1494" t="s">
        <v>1431</v>
      </c>
      <c r="C1494" t="s">
        <v>15</v>
      </c>
      <c r="D1494" t="s">
        <v>1710</v>
      </c>
      <c r="E1494" t="s">
        <v>1527</v>
      </c>
    </row>
    <row r="1495" spans="1:5" x14ac:dyDescent="0.2">
      <c r="A1495" s="269">
        <v>45910.595810185187</v>
      </c>
      <c r="B1495" t="s">
        <v>1431</v>
      </c>
      <c r="C1495" t="s">
        <v>15</v>
      </c>
      <c r="D1495" t="s">
        <v>1711</v>
      </c>
    </row>
    <row r="1496" spans="1:5" x14ac:dyDescent="0.2">
      <c r="A1496" s="269">
        <v>45910.595810185187</v>
      </c>
      <c r="B1496" t="s">
        <v>1431</v>
      </c>
      <c r="C1496" t="s">
        <v>15</v>
      </c>
      <c r="D1496" t="s">
        <v>1711</v>
      </c>
    </row>
    <row r="1497" spans="1:5" x14ac:dyDescent="0.2">
      <c r="A1497" s="269">
        <v>45910.59584490741</v>
      </c>
      <c r="B1497" t="s">
        <v>1431</v>
      </c>
      <c r="C1497" t="s">
        <v>15</v>
      </c>
      <c r="D1497" t="s">
        <v>1554</v>
      </c>
      <c r="E1497" t="s">
        <v>86</v>
      </c>
    </row>
    <row r="1498" spans="1:5" x14ac:dyDescent="0.2">
      <c r="A1498" s="269">
        <v>45910.595902777779</v>
      </c>
      <c r="B1498" t="s">
        <v>1431</v>
      </c>
      <c r="C1498" t="s">
        <v>15</v>
      </c>
      <c r="D1498" t="s">
        <v>1712</v>
      </c>
      <c r="E1498" t="s">
        <v>338</v>
      </c>
    </row>
    <row r="1499" spans="1:5" x14ac:dyDescent="0.2">
      <c r="A1499" s="269">
        <v>45910.598437499997</v>
      </c>
      <c r="B1499" t="s">
        <v>1431</v>
      </c>
      <c r="C1499" t="s">
        <v>15</v>
      </c>
      <c r="D1499" t="s">
        <v>672</v>
      </c>
      <c r="E1499" t="s">
        <v>1523</v>
      </c>
    </row>
    <row r="1500" spans="1:5" x14ac:dyDescent="0.2">
      <c r="A1500" s="269">
        <v>45910.598483796297</v>
      </c>
      <c r="B1500" t="s">
        <v>1431</v>
      </c>
      <c r="C1500" t="s">
        <v>15</v>
      </c>
      <c r="D1500" t="s">
        <v>1018</v>
      </c>
      <c r="E1500">
        <v>1</v>
      </c>
    </row>
    <row r="1501" spans="1:5" x14ac:dyDescent="0.2">
      <c r="A1501" s="269">
        <v>45910.598495370374</v>
      </c>
      <c r="B1501" t="s">
        <v>1431</v>
      </c>
      <c r="C1501" t="s">
        <v>15</v>
      </c>
      <c r="D1501" t="s">
        <v>1444</v>
      </c>
      <c r="E1501" t="s">
        <v>200</v>
      </c>
    </row>
    <row r="1502" spans="1:5" x14ac:dyDescent="0.2">
      <c r="A1502" s="269">
        <v>45910.59851851852</v>
      </c>
      <c r="B1502" t="s">
        <v>1431</v>
      </c>
      <c r="C1502" t="s">
        <v>15</v>
      </c>
      <c r="D1502" t="s">
        <v>1474</v>
      </c>
      <c r="E1502">
        <v>1</v>
      </c>
    </row>
    <row r="1503" spans="1:5" x14ac:dyDescent="0.2">
      <c r="A1503" s="269">
        <v>45910.598541666666</v>
      </c>
      <c r="B1503" t="s">
        <v>1431</v>
      </c>
      <c r="C1503" t="s">
        <v>15</v>
      </c>
      <c r="D1503" t="s">
        <v>981</v>
      </c>
      <c r="E1503" t="s">
        <v>363</v>
      </c>
    </row>
    <row r="1504" spans="1:5" x14ac:dyDescent="0.2">
      <c r="A1504" s="269">
        <v>45910.598576388889</v>
      </c>
      <c r="B1504" t="s">
        <v>1431</v>
      </c>
      <c r="C1504" t="s">
        <v>15</v>
      </c>
      <c r="D1504" t="s">
        <v>1483</v>
      </c>
      <c r="E1504" t="s">
        <v>86</v>
      </c>
    </row>
    <row r="1505" spans="1:5" x14ac:dyDescent="0.2">
      <c r="A1505" s="269">
        <v>45910.598622685182</v>
      </c>
      <c r="B1505" t="s">
        <v>1431</v>
      </c>
      <c r="C1505" t="s">
        <v>15</v>
      </c>
      <c r="D1505" t="s">
        <v>1079</v>
      </c>
      <c r="E1505" t="s">
        <v>400</v>
      </c>
    </row>
    <row r="1506" spans="1:5" x14ac:dyDescent="0.2">
      <c r="A1506" s="269">
        <v>45910.615868055553</v>
      </c>
      <c r="B1506" t="s">
        <v>1431</v>
      </c>
      <c r="C1506" t="s">
        <v>15</v>
      </c>
      <c r="D1506" t="s">
        <v>1713</v>
      </c>
      <c r="E1506" t="s">
        <v>1527</v>
      </c>
    </row>
    <row r="1507" spans="1:5" x14ac:dyDescent="0.2">
      <c r="A1507" s="269">
        <v>45910.615902777776</v>
      </c>
      <c r="B1507" t="s">
        <v>1431</v>
      </c>
      <c r="C1507" t="s">
        <v>15</v>
      </c>
      <c r="D1507" t="s">
        <v>1475</v>
      </c>
      <c r="E1507">
        <v>1</v>
      </c>
    </row>
    <row r="1508" spans="1:5" x14ac:dyDescent="0.2">
      <c r="A1508" s="269">
        <v>45910.6169212963</v>
      </c>
      <c r="B1508" t="s">
        <v>1431</v>
      </c>
      <c r="C1508" t="s">
        <v>15</v>
      </c>
      <c r="D1508" t="s">
        <v>1446</v>
      </c>
      <c r="E1508" t="s">
        <v>380</v>
      </c>
    </row>
    <row r="1509" spans="1:5" x14ac:dyDescent="0.2">
      <c r="A1509" s="269">
        <v>45910.616944444446</v>
      </c>
      <c r="B1509" t="s">
        <v>1431</v>
      </c>
      <c r="C1509" t="s">
        <v>15</v>
      </c>
      <c r="D1509" t="s">
        <v>1446</v>
      </c>
      <c r="E1509" t="s">
        <v>372</v>
      </c>
    </row>
    <row r="1510" spans="1:5" x14ac:dyDescent="0.2">
      <c r="A1510" s="269">
        <v>45910.616967592592</v>
      </c>
      <c r="B1510" t="s">
        <v>1431</v>
      </c>
      <c r="C1510" t="s">
        <v>15</v>
      </c>
      <c r="D1510" t="s">
        <v>1485</v>
      </c>
      <c r="E1510" t="s">
        <v>188</v>
      </c>
    </row>
    <row r="1511" spans="1:5" x14ac:dyDescent="0.2">
      <c r="A1511" s="269">
        <v>45910.617048611108</v>
      </c>
      <c r="B1511" t="s">
        <v>1431</v>
      </c>
      <c r="C1511" t="s">
        <v>15</v>
      </c>
      <c r="D1511" t="s">
        <v>1544</v>
      </c>
      <c r="E1511" t="s">
        <v>400</v>
      </c>
    </row>
    <row r="1512" spans="1:5" x14ac:dyDescent="0.2">
      <c r="A1512" s="269">
        <v>45910.633900462963</v>
      </c>
      <c r="B1512" t="s">
        <v>1431</v>
      </c>
      <c r="C1512" t="s">
        <v>15</v>
      </c>
      <c r="D1512" t="s">
        <v>1484</v>
      </c>
    </row>
    <row r="1513" spans="1:5" x14ac:dyDescent="0.2">
      <c r="A1513" s="269">
        <v>45910.633900462963</v>
      </c>
      <c r="B1513" t="s">
        <v>1431</v>
      </c>
      <c r="C1513" t="s">
        <v>15</v>
      </c>
      <c r="D1513" t="s">
        <v>1486</v>
      </c>
    </row>
    <row r="1514" spans="1:5" x14ac:dyDescent="0.2">
      <c r="A1514" s="269">
        <v>45910.633912037039</v>
      </c>
      <c r="B1514" t="s">
        <v>1431</v>
      </c>
      <c r="C1514" t="s">
        <v>15</v>
      </c>
      <c r="D1514" t="s">
        <v>1484</v>
      </c>
    </row>
    <row r="1515" spans="1:5" x14ac:dyDescent="0.2">
      <c r="A1515" s="269">
        <v>45910.633912037039</v>
      </c>
      <c r="B1515" t="s">
        <v>1431</v>
      </c>
      <c r="C1515" t="s">
        <v>15</v>
      </c>
      <c r="D1515" t="s">
        <v>1486</v>
      </c>
    </row>
    <row r="1516" spans="1:5" x14ac:dyDescent="0.2">
      <c r="A1516" s="269">
        <v>45910.633912037039</v>
      </c>
      <c r="B1516" t="s">
        <v>1431</v>
      </c>
      <c r="C1516" t="s">
        <v>15</v>
      </c>
      <c r="D1516" t="s">
        <v>1486</v>
      </c>
    </row>
    <row r="1517" spans="1:5" x14ac:dyDescent="0.2">
      <c r="A1517" s="269">
        <v>45910.633923611109</v>
      </c>
      <c r="B1517" t="s">
        <v>1431</v>
      </c>
      <c r="C1517" t="s">
        <v>15</v>
      </c>
      <c r="D1517" t="s">
        <v>1484</v>
      </c>
      <c r="E1517">
        <v>3.4</v>
      </c>
    </row>
    <row r="1518" spans="1:5" x14ac:dyDescent="0.2">
      <c r="A1518" s="269">
        <v>45910.636006944442</v>
      </c>
      <c r="B1518" t="s">
        <v>1431</v>
      </c>
      <c r="C1518" t="s">
        <v>15</v>
      </c>
      <c r="D1518" t="s">
        <v>1443</v>
      </c>
      <c r="E1518" t="s">
        <v>372</v>
      </c>
    </row>
    <row r="1519" spans="1:5" x14ac:dyDescent="0.2">
      <c r="A1519" s="269">
        <v>45910.636157407411</v>
      </c>
      <c r="B1519" t="s">
        <v>1431</v>
      </c>
      <c r="C1519" t="s">
        <v>15</v>
      </c>
      <c r="D1519" t="s">
        <v>1714</v>
      </c>
      <c r="E1519">
        <v>1.05</v>
      </c>
    </row>
    <row r="1520" spans="1:5" x14ac:dyDescent="0.2">
      <c r="A1520" s="269">
        <v>45910.63622685185</v>
      </c>
      <c r="B1520" t="s">
        <v>1431</v>
      </c>
      <c r="C1520" t="s">
        <v>15</v>
      </c>
      <c r="D1520" t="s">
        <v>1715</v>
      </c>
      <c r="E1520">
        <v>0</v>
      </c>
    </row>
    <row r="1521" spans="1:5" x14ac:dyDescent="0.2">
      <c r="A1521" s="269">
        <v>45910.645115740743</v>
      </c>
      <c r="B1521" t="s">
        <v>1431</v>
      </c>
      <c r="C1521" t="s">
        <v>15</v>
      </c>
      <c r="D1521" t="s">
        <v>986</v>
      </c>
      <c r="E1521">
        <v>0.79</v>
      </c>
    </row>
    <row r="1522" spans="1:5" x14ac:dyDescent="0.2">
      <c r="A1522" s="269">
        <v>45910.645127314812</v>
      </c>
      <c r="B1522" t="s">
        <v>1431</v>
      </c>
      <c r="C1522" t="s">
        <v>15</v>
      </c>
      <c r="D1522" t="s">
        <v>1716</v>
      </c>
      <c r="E1522">
        <v>0</v>
      </c>
    </row>
    <row r="1523" spans="1:5" x14ac:dyDescent="0.2">
      <c r="A1523" s="269">
        <v>45910.64534722222</v>
      </c>
      <c r="B1523" t="s">
        <v>1431</v>
      </c>
      <c r="C1523" t="s">
        <v>15</v>
      </c>
      <c r="D1523" t="s">
        <v>1544</v>
      </c>
      <c r="E1523" t="s">
        <v>390</v>
      </c>
    </row>
    <row r="1524" spans="1:5" x14ac:dyDescent="0.2">
      <c r="A1524" s="269">
        <v>45910.645902777775</v>
      </c>
      <c r="B1524" t="s">
        <v>1431</v>
      </c>
      <c r="C1524" t="s">
        <v>15</v>
      </c>
      <c r="D1524" t="s">
        <v>1707</v>
      </c>
      <c r="E1524">
        <v>0.85</v>
      </c>
    </row>
    <row r="1525" spans="1:5" x14ac:dyDescent="0.2">
      <c r="A1525" s="269">
        <v>45910.646851851852</v>
      </c>
      <c r="B1525" t="s">
        <v>1431</v>
      </c>
      <c r="C1525" t="s">
        <v>15</v>
      </c>
      <c r="D1525" t="s">
        <v>1718</v>
      </c>
      <c r="E1525" t="s">
        <v>1717</v>
      </c>
    </row>
    <row r="1526" spans="1:5" x14ac:dyDescent="0.2">
      <c r="A1526" s="269">
        <v>45910.647002314814</v>
      </c>
      <c r="B1526" t="s">
        <v>1431</v>
      </c>
      <c r="C1526" t="s">
        <v>15</v>
      </c>
      <c r="D1526" t="s">
        <v>1719</v>
      </c>
      <c r="E1526" t="s">
        <v>1717</v>
      </c>
    </row>
    <row r="1527" spans="1:5" x14ac:dyDescent="0.2">
      <c r="A1527" s="269">
        <v>45910.647048611114</v>
      </c>
      <c r="B1527" t="s">
        <v>1431</v>
      </c>
      <c r="C1527" t="s">
        <v>15</v>
      </c>
      <c r="D1527" t="s">
        <v>1719</v>
      </c>
      <c r="E1527" t="s">
        <v>1720</v>
      </c>
    </row>
    <row r="1528" spans="1:5" x14ac:dyDescent="0.2">
      <c r="A1528" s="269">
        <v>45910.647430555553</v>
      </c>
      <c r="B1528" t="s">
        <v>1431</v>
      </c>
      <c r="C1528" t="s">
        <v>15</v>
      </c>
      <c r="D1528" t="s">
        <v>1722</v>
      </c>
      <c r="E1528" t="s">
        <v>1721</v>
      </c>
    </row>
    <row r="1529" spans="1:5" x14ac:dyDescent="0.2">
      <c r="A1529" s="269">
        <v>45910.691990740743</v>
      </c>
      <c r="B1529" t="s">
        <v>1431</v>
      </c>
      <c r="C1529" t="s">
        <v>26</v>
      </c>
      <c r="D1529" t="s">
        <v>937</v>
      </c>
      <c r="E1529" t="s">
        <v>1551</v>
      </c>
    </row>
    <row r="1530" spans="1:5" x14ac:dyDescent="0.2">
      <c r="A1530" s="269">
        <v>45910.692210648151</v>
      </c>
      <c r="B1530" t="s">
        <v>1431</v>
      </c>
      <c r="C1530" t="s">
        <v>26</v>
      </c>
      <c r="D1530" t="s">
        <v>926</v>
      </c>
      <c r="E1530" t="s">
        <v>1723</v>
      </c>
    </row>
    <row r="1531" spans="1:5" x14ac:dyDescent="0.2">
      <c r="A1531" s="269">
        <v>45910.69326388889</v>
      </c>
      <c r="B1531" t="s">
        <v>1431</v>
      </c>
      <c r="C1531" t="s">
        <v>26</v>
      </c>
      <c r="D1531" t="s">
        <v>874</v>
      </c>
      <c r="E1531" t="s">
        <v>1724</v>
      </c>
    </row>
    <row r="1532" spans="1:5" x14ac:dyDescent="0.2">
      <c r="A1532" s="269">
        <v>45910.693541666667</v>
      </c>
      <c r="B1532" t="s">
        <v>1431</v>
      </c>
      <c r="C1532" t="s">
        <v>26</v>
      </c>
      <c r="D1532" t="s">
        <v>1467</v>
      </c>
      <c r="E1532" t="s">
        <v>1725</v>
      </c>
    </row>
    <row r="1533" spans="1:5" x14ac:dyDescent="0.2">
      <c r="A1533" s="269">
        <v>45910.693773148145</v>
      </c>
      <c r="B1533" t="s">
        <v>1431</v>
      </c>
      <c r="C1533" t="s">
        <v>26</v>
      </c>
      <c r="D1533" t="s">
        <v>1469</v>
      </c>
      <c r="E1533" t="s">
        <v>1726</v>
      </c>
    </row>
    <row r="1534" spans="1:5" x14ac:dyDescent="0.2">
      <c r="A1534" s="269">
        <v>45910.694062499999</v>
      </c>
      <c r="B1534" t="s">
        <v>1431</v>
      </c>
      <c r="C1534" t="s">
        <v>26</v>
      </c>
      <c r="D1534" t="s">
        <v>1534</v>
      </c>
      <c r="E1534" t="s">
        <v>1727</v>
      </c>
    </row>
    <row r="1535" spans="1:5" x14ac:dyDescent="0.2">
      <c r="A1535" s="269">
        <v>45910.694282407407</v>
      </c>
      <c r="B1535" t="s">
        <v>1431</v>
      </c>
      <c r="C1535" t="s">
        <v>26</v>
      </c>
      <c r="D1535" t="s">
        <v>1553</v>
      </c>
      <c r="E1535" t="s">
        <v>1728</v>
      </c>
    </row>
    <row r="1536" spans="1:5" x14ac:dyDescent="0.2">
      <c r="A1536" s="269">
        <v>45910.694490740738</v>
      </c>
      <c r="B1536" t="s">
        <v>1431</v>
      </c>
      <c r="C1536" t="s">
        <v>26</v>
      </c>
      <c r="D1536" t="s">
        <v>1554</v>
      </c>
      <c r="E1536" t="s">
        <v>1729</v>
      </c>
    </row>
    <row r="1537" spans="1:5" x14ac:dyDescent="0.2">
      <c r="A1537" s="269">
        <v>45910.694733796299</v>
      </c>
      <c r="B1537" t="s">
        <v>1431</v>
      </c>
      <c r="C1537" t="s">
        <v>26</v>
      </c>
      <c r="D1537" t="s">
        <v>1483</v>
      </c>
      <c r="E1537" t="s">
        <v>1730</v>
      </c>
    </row>
    <row r="1538" spans="1:5" x14ac:dyDescent="0.2">
      <c r="A1538" s="269">
        <v>45910.694965277777</v>
      </c>
      <c r="B1538" t="s">
        <v>1431</v>
      </c>
      <c r="C1538" t="s">
        <v>26</v>
      </c>
      <c r="D1538" t="s">
        <v>1485</v>
      </c>
      <c r="E1538" t="s">
        <v>1731</v>
      </c>
    </row>
    <row r="1539" spans="1:5" x14ac:dyDescent="0.2">
      <c r="A1539" s="269">
        <v>45910.695196759261</v>
      </c>
      <c r="B1539" t="s">
        <v>1431</v>
      </c>
      <c r="C1539" t="s">
        <v>26</v>
      </c>
      <c r="D1539" t="s">
        <v>1487</v>
      </c>
      <c r="E1539" t="s">
        <v>1732</v>
      </c>
    </row>
    <row r="1540" spans="1:5" x14ac:dyDescent="0.2">
      <c r="A1540" s="269">
        <v>45910.695405092592</v>
      </c>
      <c r="B1540" t="s">
        <v>1431</v>
      </c>
      <c r="C1540" t="s">
        <v>26</v>
      </c>
      <c r="D1540" t="s">
        <v>1556</v>
      </c>
      <c r="E1540" t="s">
        <v>1733</v>
      </c>
    </row>
    <row r="1541" spans="1:5" x14ac:dyDescent="0.2">
      <c r="A1541" s="269">
        <v>45910.70208333333</v>
      </c>
      <c r="B1541" t="s">
        <v>1431</v>
      </c>
      <c r="C1541" t="s">
        <v>597</v>
      </c>
      <c r="D1541" t="s">
        <v>1676</v>
      </c>
      <c r="E1541" t="s">
        <v>39</v>
      </c>
    </row>
    <row r="1542" spans="1:5" x14ac:dyDescent="0.2">
      <c r="A1542" s="269">
        <v>45910.703865740739</v>
      </c>
      <c r="B1542" t="s">
        <v>1431</v>
      </c>
      <c r="C1542" t="s">
        <v>597</v>
      </c>
      <c r="D1542" t="s">
        <v>1676</v>
      </c>
      <c r="E1542" t="s">
        <v>39</v>
      </c>
    </row>
    <row r="1543" spans="1:5" x14ac:dyDescent="0.2">
      <c r="A1543" s="269">
        <v>45910.706701388888</v>
      </c>
      <c r="B1543" t="s">
        <v>1431</v>
      </c>
      <c r="C1543" t="s">
        <v>597</v>
      </c>
      <c r="D1543" t="s">
        <v>1676</v>
      </c>
      <c r="E1543" t="s">
        <v>39</v>
      </c>
    </row>
    <row r="1544" spans="1:5" x14ac:dyDescent="0.2">
      <c r="A1544" s="269">
        <v>45916.890960648147</v>
      </c>
      <c r="B1544" t="s">
        <v>596</v>
      </c>
      <c r="C1544" t="s">
        <v>597</v>
      </c>
      <c r="D1544" t="s">
        <v>1676</v>
      </c>
      <c r="E1544" t="s">
        <v>39</v>
      </c>
    </row>
    <row r="1545" spans="1:5" x14ac:dyDescent="0.2">
      <c r="A1545" s="269">
        <v>45916.891215277778</v>
      </c>
      <c r="B1545" t="s">
        <v>596</v>
      </c>
      <c r="C1545" t="s">
        <v>27</v>
      </c>
      <c r="D1545" t="s">
        <v>1734</v>
      </c>
      <c r="E1545" t="s">
        <v>53</v>
      </c>
    </row>
    <row r="1546" spans="1:5" x14ac:dyDescent="0.2">
      <c r="A1546" s="269">
        <v>45916.891296296293</v>
      </c>
      <c r="B1546" t="s">
        <v>596</v>
      </c>
      <c r="C1546" t="s">
        <v>27</v>
      </c>
      <c r="D1546" t="s">
        <v>1735</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1231</v>
      </c>
      <c r="B1" s="170"/>
      <c r="C1" s="169" t="s">
        <v>320</v>
      </c>
      <c r="D1" s="169" t="s">
        <v>1232</v>
      </c>
      <c r="E1" s="169" t="s">
        <v>1233</v>
      </c>
      <c r="I1" t="s">
        <v>331</v>
      </c>
      <c r="J1" t="s">
        <v>1232</v>
      </c>
      <c r="L1" s="15" t="s">
        <v>331</v>
      </c>
    </row>
    <row r="2" spans="1:14" ht="20" x14ac:dyDescent="0.2">
      <c r="A2" s="171">
        <v>6</v>
      </c>
      <c r="B2" s="172" t="s">
        <v>344</v>
      </c>
      <c r="C2" s="171" t="s">
        <v>1234</v>
      </c>
      <c r="D2" s="171" t="s">
        <v>1235</v>
      </c>
      <c r="E2" s="171" t="s">
        <v>1236</v>
      </c>
      <c r="F2" s="171" t="s">
        <v>1237</v>
      </c>
      <c r="I2" t="s">
        <v>344</v>
      </c>
      <c r="J2" t="s">
        <v>1235</v>
      </c>
      <c r="L2" s="16" t="s">
        <v>344</v>
      </c>
      <c r="N2" t="str">
        <f t="shared" ref="N2:N65" si="0">IF(I2=L2,"","X")</f>
        <v/>
      </c>
    </row>
    <row r="3" spans="1:14" ht="20" x14ac:dyDescent="0.2">
      <c r="A3" s="171">
        <v>22</v>
      </c>
      <c r="B3" s="169" t="s">
        <v>355</v>
      </c>
      <c r="C3" s="171" t="s">
        <v>1238</v>
      </c>
      <c r="D3" s="171" t="s">
        <v>1239</v>
      </c>
      <c r="E3" s="171" t="s">
        <v>1236</v>
      </c>
      <c r="F3" s="171" t="s">
        <v>1240</v>
      </c>
      <c r="I3" t="s">
        <v>355</v>
      </c>
      <c r="J3" t="s">
        <v>1239</v>
      </c>
      <c r="L3" s="16" t="s">
        <v>355</v>
      </c>
      <c r="N3" t="str">
        <f t="shared" si="0"/>
        <v/>
      </c>
    </row>
    <row r="4" spans="1:14" ht="20" x14ac:dyDescent="0.2">
      <c r="A4" s="171">
        <v>74</v>
      </c>
      <c r="B4" s="169" t="s">
        <v>366</v>
      </c>
      <c r="C4" s="171" t="s">
        <v>1241</v>
      </c>
      <c r="D4" s="171" t="s">
        <v>1242</v>
      </c>
      <c r="E4" s="171" t="s">
        <v>336</v>
      </c>
      <c r="F4" s="171" t="s">
        <v>1243</v>
      </c>
      <c r="I4" t="s">
        <v>366</v>
      </c>
      <c r="J4" t="s">
        <v>1242</v>
      </c>
      <c r="L4" s="16" t="s">
        <v>366</v>
      </c>
      <c r="N4" t="str">
        <f t="shared" si="0"/>
        <v/>
      </c>
    </row>
    <row r="5" spans="1:14" ht="20" x14ac:dyDescent="0.2">
      <c r="A5" s="171">
        <v>62</v>
      </c>
      <c r="B5" s="169" t="s">
        <v>375</v>
      </c>
      <c r="C5" s="171" t="s">
        <v>1244</v>
      </c>
      <c r="D5" s="171" t="s">
        <v>1242</v>
      </c>
      <c r="E5" s="171" t="s">
        <v>1236</v>
      </c>
      <c r="F5" s="171" t="s">
        <v>1245</v>
      </c>
      <c r="I5" t="s">
        <v>375</v>
      </c>
      <c r="J5" t="s">
        <v>1242</v>
      </c>
      <c r="L5" s="16" t="s">
        <v>375</v>
      </c>
      <c r="N5" t="str">
        <f t="shared" si="0"/>
        <v/>
      </c>
    </row>
    <row r="6" spans="1:14" ht="20" x14ac:dyDescent="0.2">
      <c r="A6" s="171">
        <v>136</v>
      </c>
      <c r="B6" s="169" t="s">
        <v>382</v>
      </c>
      <c r="C6" s="171" t="s">
        <v>1246</v>
      </c>
      <c r="D6" s="171" t="s">
        <v>1242</v>
      </c>
      <c r="E6" s="171" t="s">
        <v>360</v>
      </c>
      <c r="F6" s="171" t="s">
        <v>1247</v>
      </c>
      <c r="I6" t="s">
        <v>382</v>
      </c>
      <c r="J6" t="s">
        <v>1242</v>
      </c>
      <c r="L6" s="16" t="s">
        <v>382</v>
      </c>
      <c r="N6" t="str">
        <f t="shared" si="0"/>
        <v/>
      </c>
    </row>
    <row r="7" spans="1:14" ht="20" x14ac:dyDescent="0.2">
      <c r="A7" s="171">
        <v>75</v>
      </c>
      <c r="B7" s="169" t="s">
        <v>388</v>
      </c>
      <c r="C7" s="171" t="s">
        <v>1248</v>
      </c>
      <c r="D7" s="171" t="s">
        <v>1242</v>
      </c>
      <c r="E7" s="171" t="s">
        <v>336</v>
      </c>
      <c r="F7" s="171" t="s">
        <v>1243</v>
      </c>
      <c r="I7" t="s">
        <v>388</v>
      </c>
      <c r="J7" t="s">
        <v>1242</v>
      </c>
      <c r="L7" s="16" t="s">
        <v>388</v>
      </c>
      <c r="N7" t="str">
        <f t="shared" si="0"/>
        <v/>
      </c>
    </row>
    <row r="8" spans="1:14" ht="20" x14ac:dyDescent="0.2">
      <c r="A8" s="171">
        <v>137</v>
      </c>
      <c r="B8" s="169" t="s">
        <v>392</v>
      </c>
      <c r="C8" s="171" t="s">
        <v>1249</v>
      </c>
      <c r="D8" s="171" t="s">
        <v>1242</v>
      </c>
      <c r="E8" s="171" t="s">
        <v>360</v>
      </c>
      <c r="F8" s="171" t="s">
        <v>1247</v>
      </c>
      <c r="I8" t="s">
        <v>392</v>
      </c>
      <c r="J8" t="s">
        <v>1242</v>
      </c>
      <c r="L8" s="16" t="s">
        <v>392</v>
      </c>
      <c r="N8" t="str">
        <f t="shared" si="0"/>
        <v/>
      </c>
    </row>
    <row r="9" spans="1:14" ht="20" x14ac:dyDescent="0.2">
      <c r="A9" s="171">
        <v>29</v>
      </c>
      <c r="B9" s="169" t="s">
        <v>395</v>
      </c>
      <c r="C9" s="171" t="s">
        <v>1250</v>
      </c>
      <c r="D9" s="171" t="s">
        <v>1242</v>
      </c>
      <c r="E9" s="171" t="s">
        <v>1236</v>
      </c>
      <c r="F9" s="171" t="s">
        <v>1240</v>
      </c>
      <c r="I9" t="s">
        <v>395</v>
      </c>
      <c r="J9" t="s">
        <v>1242</v>
      </c>
      <c r="L9" s="16" t="s">
        <v>395</v>
      </c>
      <c r="N9" t="str">
        <f t="shared" si="0"/>
        <v/>
      </c>
    </row>
    <row r="10" spans="1:14" ht="20" x14ac:dyDescent="0.2">
      <c r="A10" s="171">
        <v>96</v>
      </c>
      <c r="B10" s="169" t="s">
        <v>398</v>
      </c>
      <c r="C10" s="171" t="s">
        <v>1251</v>
      </c>
      <c r="D10" s="171" t="s">
        <v>1252</v>
      </c>
      <c r="E10" s="171" t="s">
        <v>336</v>
      </c>
      <c r="F10" s="171" t="s">
        <v>1253</v>
      </c>
      <c r="I10" t="s">
        <v>398</v>
      </c>
      <c r="J10" t="s">
        <v>1252</v>
      </c>
      <c r="L10" s="16" t="s">
        <v>398</v>
      </c>
      <c r="N10" t="str">
        <f t="shared" si="0"/>
        <v/>
      </c>
    </row>
    <row r="11" spans="1:14" ht="20" x14ac:dyDescent="0.2">
      <c r="A11" s="171">
        <v>59</v>
      </c>
      <c r="B11" s="169" t="s">
        <v>1254</v>
      </c>
      <c r="C11" s="171" t="s">
        <v>1255</v>
      </c>
      <c r="D11" s="171" t="s">
        <v>1256</v>
      </c>
      <c r="E11" s="171" t="s">
        <v>1236</v>
      </c>
      <c r="F11" s="171" t="s">
        <v>1257</v>
      </c>
      <c r="I11" t="s">
        <v>1254</v>
      </c>
      <c r="J11" t="s">
        <v>1256</v>
      </c>
      <c r="L11" t="s">
        <v>1254</v>
      </c>
      <c r="N11" t="str">
        <f t="shared" si="0"/>
        <v/>
      </c>
    </row>
    <row r="12" spans="1:14" ht="20" x14ac:dyDescent="0.2">
      <c r="A12" s="171">
        <v>145</v>
      </c>
      <c r="B12" s="169" t="s">
        <v>401</v>
      </c>
      <c r="C12" s="171" t="s">
        <v>1258</v>
      </c>
      <c r="D12" s="171" t="s">
        <v>1252</v>
      </c>
      <c r="E12" s="171" t="s">
        <v>360</v>
      </c>
      <c r="F12" s="171" t="s">
        <v>1259</v>
      </c>
      <c r="I12" t="s">
        <v>401</v>
      </c>
      <c r="J12" t="s">
        <v>1252</v>
      </c>
      <c r="L12" s="16" t="s">
        <v>401</v>
      </c>
      <c r="N12" t="str">
        <f t="shared" si="0"/>
        <v/>
      </c>
    </row>
    <row r="13" spans="1:14" ht="20" x14ac:dyDescent="0.2">
      <c r="A13" s="171">
        <v>21</v>
      </c>
      <c r="B13" s="169" t="s">
        <v>405</v>
      </c>
      <c r="C13" s="171" t="s">
        <v>1260</v>
      </c>
      <c r="D13" s="171" t="s">
        <v>1252</v>
      </c>
      <c r="E13" s="171" t="s">
        <v>1236</v>
      </c>
      <c r="F13" s="171" t="s">
        <v>1261</v>
      </c>
      <c r="I13" t="s">
        <v>405</v>
      </c>
      <c r="J13" t="s">
        <v>1252</v>
      </c>
      <c r="L13" s="16" t="s">
        <v>405</v>
      </c>
      <c r="N13" t="str">
        <f t="shared" si="0"/>
        <v/>
      </c>
    </row>
    <row r="14" spans="1:14" ht="20" x14ac:dyDescent="0.2">
      <c r="A14" s="171">
        <v>45</v>
      </c>
      <c r="B14" s="169" t="s">
        <v>408</v>
      </c>
      <c r="C14" s="171" t="s">
        <v>1262</v>
      </c>
      <c r="D14" s="171" t="s">
        <v>1242</v>
      </c>
      <c r="E14" s="171" t="s">
        <v>1236</v>
      </c>
      <c r="F14" s="171" t="s">
        <v>1263</v>
      </c>
      <c r="I14" t="s">
        <v>408</v>
      </c>
      <c r="J14" t="s">
        <v>1242</v>
      </c>
      <c r="L14" s="16" t="s">
        <v>408</v>
      </c>
      <c r="N14" t="str">
        <f t="shared" si="0"/>
        <v/>
      </c>
    </row>
    <row r="15" spans="1:14" ht="20" x14ac:dyDescent="0.2">
      <c r="A15" s="171">
        <v>46</v>
      </c>
      <c r="B15" s="169" t="s">
        <v>412</v>
      </c>
      <c r="C15" s="171" t="s">
        <v>1264</v>
      </c>
      <c r="D15" s="171" t="s">
        <v>1242</v>
      </c>
      <c r="E15" s="171" t="s">
        <v>1236</v>
      </c>
      <c r="F15" s="171" t="s">
        <v>1263</v>
      </c>
      <c r="I15" t="s">
        <v>412</v>
      </c>
      <c r="J15" t="s">
        <v>1242</v>
      </c>
      <c r="L15" s="16" t="s">
        <v>412</v>
      </c>
      <c r="N15" t="str">
        <f t="shared" si="0"/>
        <v/>
      </c>
    </row>
    <row r="16" spans="1:14" ht="20" x14ac:dyDescent="0.2">
      <c r="A16" s="171">
        <v>2</v>
      </c>
      <c r="B16" s="172" t="s">
        <v>414</v>
      </c>
      <c r="C16" s="171" t="s">
        <v>1265</v>
      </c>
      <c r="D16" s="171" t="s">
        <v>1242</v>
      </c>
      <c r="E16" s="171" t="s">
        <v>1236</v>
      </c>
      <c r="F16" s="171" t="s">
        <v>1237</v>
      </c>
      <c r="I16" t="s">
        <v>414</v>
      </c>
      <c r="J16" t="s">
        <v>1242</v>
      </c>
      <c r="L16" s="16" t="s">
        <v>414</v>
      </c>
      <c r="N16" t="str">
        <f t="shared" si="0"/>
        <v/>
      </c>
    </row>
    <row r="17" spans="1:14" ht="20" x14ac:dyDescent="0.2">
      <c r="A17" s="171">
        <v>84</v>
      </c>
      <c r="B17" s="169" t="s">
        <v>416</v>
      </c>
      <c r="C17" s="171" t="s">
        <v>1266</v>
      </c>
      <c r="D17" s="171" t="s">
        <v>1239</v>
      </c>
      <c r="E17" s="171" t="s">
        <v>336</v>
      </c>
      <c r="F17" s="171" t="s">
        <v>1253</v>
      </c>
      <c r="I17" t="s">
        <v>416</v>
      </c>
      <c r="J17" t="s">
        <v>1239</v>
      </c>
      <c r="L17" s="16" t="s">
        <v>416</v>
      </c>
      <c r="N17" t="str">
        <f t="shared" si="0"/>
        <v/>
      </c>
    </row>
    <row r="18" spans="1:14" ht="20" x14ac:dyDescent="0.2">
      <c r="A18" s="171">
        <v>99</v>
      </c>
      <c r="B18" s="169" t="s">
        <v>418</v>
      </c>
      <c r="C18" s="171" t="s">
        <v>1267</v>
      </c>
      <c r="D18" s="171" t="s">
        <v>1242</v>
      </c>
      <c r="E18" s="171" t="s">
        <v>336</v>
      </c>
      <c r="F18" s="171" t="s">
        <v>1268</v>
      </c>
      <c r="I18" t="s">
        <v>418</v>
      </c>
      <c r="J18" t="s">
        <v>1242</v>
      </c>
      <c r="L18" s="16" t="s">
        <v>418</v>
      </c>
      <c r="N18" t="str">
        <f t="shared" si="0"/>
        <v/>
      </c>
    </row>
    <row r="19" spans="1:14" ht="20" x14ac:dyDescent="0.2">
      <c r="A19" s="171">
        <v>51</v>
      </c>
      <c r="B19" s="169" t="s">
        <v>420</v>
      </c>
      <c r="C19" s="171" t="s">
        <v>1269</v>
      </c>
      <c r="D19" s="171" t="s">
        <v>1252</v>
      </c>
      <c r="E19" s="171" t="s">
        <v>1236</v>
      </c>
      <c r="F19" s="171" t="s">
        <v>1257</v>
      </c>
      <c r="I19" t="s">
        <v>420</v>
      </c>
      <c r="J19" t="s">
        <v>1252</v>
      </c>
      <c r="L19" s="16" t="s">
        <v>420</v>
      </c>
      <c r="N19" t="str">
        <f t="shared" si="0"/>
        <v/>
      </c>
    </row>
    <row r="20" spans="1:14" ht="20" x14ac:dyDescent="0.2">
      <c r="A20" s="171">
        <v>85</v>
      </c>
      <c r="B20" s="169" t="s">
        <v>422</v>
      </c>
      <c r="C20" s="171" t="s">
        <v>1270</v>
      </c>
      <c r="D20" s="171" t="s">
        <v>1239</v>
      </c>
      <c r="E20" s="171" t="s">
        <v>336</v>
      </c>
      <c r="F20" s="171" t="s">
        <v>1253</v>
      </c>
      <c r="I20" t="s">
        <v>422</v>
      </c>
      <c r="J20" t="s">
        <v>1239</v>
      </c>
      <c r="L20" s="16" t="s">
        <v>422</v>
      </c>
      <c r="N20" t="str">
        <f t="shared" si="0"/>
        <v/>
      </c>
    </row>
    <row r="21" spans="1:14" ht="20" x14ac:dyDescent="0.2">
      <c r="A21" s="171">
        <v>89</v>
      </c>
      <c r="B21" s="169" t="s">
        <v>424</v>
      </c>
      <c r="C21" s="171" t="s">
        <v>1271</v>
      </c>
      <c r="D21" s="171" t="s">
        <v>1242</v>
      </c>
      <c r="E21" s="171" t="s">
        <v>336</v>
      </c>
      <c r="F21" s="171" t="s">
        <v>1253</v>
      </c>
      <c r="I21" t="s">
        <v>424</v>
      </c>
      <c r="J21" t="s">
        <v>1242</v>
      </c>
      <c r="L21" s="16" t="s">
        <v>424</v>
      </c>
      <c r="N21" t="str">
        <f t="shared" si="0"/>
        <v/>
      </c>
    </row>
    <row r="22" spans="1:14" ht="20" x14ac:dyDescent="0.2">
      <c r="A22" s="171">
        <v>90</v>
      </c>
      <c r="B22" s="169" t="s">
        <v>426</v>
      </c>
      <c r="C22" s="171" t="s">
        <v>1272</v>
      </c>
      <c r="D22" s="171" t="s">
        <v>1242</v>
      </c>
      <c r="E22" s="171" t="s">
        <v>336</v>
      </c>
      <c r="F22" s="171" t="s">
        <v>1253</v>
      </c>
      <c r="I22" t="s">
        <v>426</v>
      </c>
      <c r="J22" t="s">
        <v>1242</v>
      </c>
      <c r="L22" s="16" t="s">
        <v>426</v>
      </c>
      <c r="N22" t="str">
        <f t="shared" si="0"/>
        <v/>
      </c>
    </row>
    <row r="23" spans="1:14" ht="20" x14ac:dyDescent="0.2">
      <c r="A23" s="171">
        <v>150</v>
      </c>
      <c r="B23" s="169" t="s">
        <v>428</v>
      </c>
      <c r="C23" s="171" t="s">
        <v>1273</v>
      </c>
      <c r="D23" s="171" t="s">
        <v>1256</v>
      </c>
      <c r="E23" s="171" t="s">
        <v>360</v>
      </c>
      <c r="F23" s="171" t="s">
        <v>1259</v>
      </c>
      <c r="I23" t="s">
        <v>428</v>
      </c>
      <c r="J23" t="s">
        <v>1256</v>
      </c>
      <c r="L23" s="16" t="s">
        <v>428</v>
      </c>
      <c r="N23" t="str">
        <f t="shared" si="0"/>
        <v/>
      </c>
    </row>
    <row r="24" spans="1:14" ht="20" x14ac:dyDescent="0.2">
      <c r="A24" s="171">
        <v>118</v>
      </c>
      <c r="B24" s="169" t="s">
        <v>430</v>
      </c>
      <c r="C24" s="171" t="s">
        <v>1274</v>
      </c>
      <c r="D24" s="171" t="s">
        <v>1242</v>
      </c>
      <c r="E24" s="171" t="s">
        <v>360</v>
      </c>
      <c r="F24" s="171" t="s">
        <v>1275</v>
      </c>
      <c r="I24" t="s">
        <v>430</v>
      </c>
      <c r="J24" t="s">
        <v>1242</v>
      </c>
      <c r="L24" s="16" t="s">
        <v>430</v>
      </c>
      <c r="N24" t="str">
        <f t="shared" si="0"/>
        <v/>
      </c>
    </row>
    <row r="25" spans="1:14" ht="20" x14ac:dyDescent="0.2">
      <c r="A25" s="171">
        <v>15</v>
      </c>
      <c r="B25" s="169" t="s">
        <v>432</v>
      </c>
      <c r="C25" s="171" t="s">
        <v>1276</v>
      </c>
      <c r="D25" s="171" t="s">
        <v>1242</v>
      </c>
      <c r="E25" s="171" t="s">
        <v>1236</v>
      </c>
      <c r="F25" s="171" t="s">
        <v>1261</v>
      </c>
      <c r="I25" t="s">
        <v>432</v>
      </c>
      <c r="J25" t="s">
        <v>1242</v>
      </c>
      <c r="L25" s="16" t="s">
        <v>432</v>
      </c>
      <c r="N25" t="str">
        <f t="shared" si="0"/>
        <v/>
      </c>
    </row>
    <row r="26" spans="1:14" ht="20" x14ac:dyDescent="0.2">
      <c r="A26" s="171">
        <v>16</v>
      </c>
      <c r="B26" s="169" t="s">
        <v>434</v>
      </c>
      <c r="C26" s="171" t="s">
        <v>1277</v>
      </c>
      <c r="D26" s="171" t="s">
        <v>1242</v>
      </c>
      <c r="E26" s="171" t="s">
        <v>1236</v>
      </c>
      <c r="F26" s="171" t="s">
        <v>1261</v>
      </c>
      <c r="I26" t="s">
        <v>434</v>
      </c>
      <c r="J26" t="s">
        <v>1242</v>
      </c>
      <c r="L26" s="16" t="s">
        <v>434</v>
      </c>
      <c r="N26" t="str">
        <f t="shared" si="0"/>
        <v/>
      </c>
    </row>
    <row r="27" spans="1:14" ht="20" x14ac:dyDescent="0.2">
      <c r="A27" s="171">
        <v>119</v>
      </c>
      <c r="B27" s="169" t="s">
        <v>436</v>
      </c>
      <c r="C27" s="171" t="s">
        <v>1278</v>
      </c>
      <c r="D27" s="171" t="s">
        <v>1242</v>
      </c>
      <c r="E27" s="171" t="s">
        <v>360</v>
      </c>
      <c r="F27" s="171" t="s">
        <v>1275</v>
      </c>
      <c r="I27" t="s">
        <v>436</v>
      </c>
      <c r="J27" t="s">
        <v>1242</v>
      </c>
      <c r="L27" s="16" t="s">
        <v>436</v>
      </c>
      <c r="N27" t="str">
        <f t="shared" si="0"/>
        <v/>
      </c>
    </row>
    <row r="28" spans="1:14" ht="20" x14ac:dyDescent="0.2">
      <c r="A28" s="171">
        <v>63</v>
      </c>
      <c r="B28" s="169" t="s">
        <v>438</v>
      </c>
      <c r="C28" s="171" t="s">
        <v>1279</v>
      </c>
      <c r="D28" s="171" t="s">
        <v>1242</v>
      </c>
      <c r="E28" s="171" t="s">
        <v>1236</v>
      </c>
      <c r="F28" s="171" t="s">
        <v>1245</v>
      </c>
      <c r="I28" t="s">
        <v>438</v>
      </c>
      <c r="J28" t="s">
        <v>1242</v>
      </c>
      <c r="L28" s="16" t="s">
        <v>438</v>
      </c>
      <c r="N28" t="str">
        <f t="shared" si="0"/>
        <v/>
      </c>
    </row>
    <row r="29" spans="1:14" ht="20" x14ac:dyDescent="0.2">
      <c r="A29" s="171">
        <v>76</v>
      </c>
      <c r="B29" s="169" t="s">
        <v>439</v>
      </c>
      <c r="C29" s="171" t="s">
        <v>1280</v>
      </c>
      <c r="D29" s="171" t="s">
        <v>1242</v>
      </c>
      <c r="E29" s="171" t="s">
        <v>336</v>
      </c>
      <c r="F29" s="171" t="s">
        <v>1243</v>
      </c>
      <c r="I29" t="s">
        <v>439</v>
      </c>
      <c r="J29" t="s">
        <v>1242</v>
      </c>
      <c r="L29" s="16" t="s">
        <v>439</v>
      </c>
      <c r="N29" t="str">
        <f t="shared" si="0"/>
        <v/>
      </c>
    </row>
    <row r="30" spans="1:14" ht="20" x14ac:dyDescent="0.2">
      <c r="A30" s="171">
        <v>146</v>
      </c>
      <c r="B30" s="169" t="s">
        <v>440</v>
      </c>
      <c r="C30" s="171" t="s">
        <v>1281</v>
      </c>
      <c r="D30" s="171" t="s">
        <v>1252</v>
      </c>
      <c r="E30" s="171" t="s">
        <v>360</v>
      </c>
      <c r="F30" s="171" t="s">
        <v>1259</v>
      </c>
      <c r="I30" t="s">
        <v>440</v>
      </c>
      <c r="J30" t="s">
        <v>1252</v>
      </c>
      <c r="L30" s="16" t="s">
        <v>440</v>
      </c>
      <c r="N30" t="str">
        <f t="shared" si="0"/>
        <v/>
      </c>
    </row>
    <row r="31" spans="1:14" ht="20" x14ac:dyDescent="0.2">
      <c r="A31" s="171">
        <v>64</v>
      </c>
      <c r="B31" s="169" t="s">
        <v>441</v>
      </c>
      <c r="C31" s="171" t="s">
        <v>1282</v>
      </c>
      <c r="D31" s="171" t="s">
        <v>1242</v>
      </c>
      <c r="E31" s="171" t="s">
        <v>1236</v>
      </c>
      <c r="F31" s="171" t="s">
        <v>1245</v>
      </c>
      <c r="I31" t="s">
        <v>441</v>
      </c>
      <c r="J31" t="s">
        <v>1242</v>
      </c>
      <c r="L31" s="16" t="s">
        <v>441</v>
      </c>
      <c r="N31" t="str">
        <f t="shared" si="0"/>
        <v/>
      </c>
    </row>
    <row r="32" spans="1:14" ht="20" x14ac:dyDescent="0.2">
      <c r="A32" s="171">
        <v>65</v>
      </c>
      <c r="B32" s="169" t="s">
        <v>442</v>
      </c>
      <c r="C32" s="171" t="s">
        <v>1283</v>
      </c>
      <c r="D32" s="171" t="s">
        <v>1242</v>
      </c>
      <c r="E32" s="171" t="s">
        <v>1236</v>
      </c>
      <c r="F32" s="171" t="s">
        <v>1245</v>
      </c>
      <c r="I32" t="s">
        <v>442</v>
      </c>
      <c r="J32" t="s">
        <v>1242</v>
      </c>
      <c r="L32" s="16" t="s">
        <v>442</v>
      </c>
      <c r="N32" t="str">
        <f t="shared" si="0"/>
        <v/>
      </c>
    </row>
    <row r="33" spans="1:14" ht="20" x14ac:dyDescent="0.2">
      <c r="A33" s="171">
        <v>66</v>
      </c>
      <c r="B33" s="169" t="s">
        <v>443</v>
      </c>
      <c r="C33" s="171" t="s">
        <v>1284</v>
      </c>
      <c r="D33" s="171" t="s">
        <v>1242</v>
      </c>
      <c r="E33" s="171" t="s">
        <v>1236</v>
      </c>
      <c r="F33" s="171" t="s">
        <v>1245</v>
      </c>
      <c r="I33" t="s">
        <v>443</v>
      </c>
      <c r="J33" t="s">
        <v>1242</v>
      </c>
      <c r="L33" s="16" t="s">
        <v>443</v>
      </c>
      <c r="N33" t="str">
        <f t="shared" si="0"/>
        <v/>
      </c>
    </row>
    <row r="34" spans="1:14" ht="20" x14ac:dyDescent="0.2">
      <c r="A34" s="171">
        <v>67</v>
      </c>
      <c r="B34" s="169" t="s">
        <v>444</v>
      </c>
      <c r="C34" s="171" t="s">
        <v>1285</v>
      </c>
      <c r="D34" s="171" t="s">
        <v>1242</v>
      </c>
      <c r="E34" s="171" t="s">
        <v>1236</v>
      </c>
      <c r="F34" s="171" t="s">
        <v>1245</v>
      </c>
      <c r="I34" t="s">
        <v>444</v>
      </c>
      <c r="J34" t="s">
        <v>1242</v>
      </c>
      <c r="L34" s="16" t="s">
        <v>444</v>
      </c>
      <c r="N34" t="str">
        <f t="shared" si="0"/>
        <v/>
      </c>
    </row>
    <row r="35" spans="1:14" ht="20" x14ac:dyDescent="0.2">
      <c r="A35" s="171">
        <v>91</v>
      </c>
      <c r="B35" s="169" t="s">
        <v>445</v>
      </c>
      <c r="C35" s="171" t="s">
        <v>1286</v>
      </c>
      <c r="D35" s="171" t="s">
        <v>1242</v>
      </c>
      <c r="E35" s="171" t="s">
        <v>336</v>
      </c>
      <c r="F35" s="171" t="s">
        <v>1253</v>
      </c>
      <c r="I35" t="s">
        <v>445</v>
      </c>
      <c r="J35" t="s">
        <v>1242</v>
      </c>
      <c r="L35" s="16" t="s">
        <v>445</v>
      </c>
      <c r="N35" t="str">
        <f t="shared" si="0"/>
        <v/>
      </c>
    </row>
    <row r="36" spans="1:14" ht="20" x14ac:dyDescent="0.2">
      <c r="A36" s="171">
        <v>92</v>
      </c>
      <c r="B36" s="169" t="s">
        <v>446</v>
      </c>
      <c r="C36" s="171" t="s">
        <v>1287</v>
      </c>
      <c r="D36" s="171" t="s">
        <v>1242</v>
      </c>
      <c r="E36" s="171" t="s">
        <v>336</v>
      </c>
      <c r="F36" s="171" t="s">
        <v>1253</v>
      </c>
      <c r="I36" t="s">
        <v>446</v>
      </c>
      <c r="J36" t="s">
        <v>1242</v>
      </c>
      <c r="L36" s="16" t="s">
        <v>446</v>
      </c>
      <c r="N36" t="str">
        <f t="shared" si="0"/>
        <v/>
      </c>
    </row>
    <row r="37" spans="1:14" ht="20" x14ac:dyDescent="0.2">
      <c r="A37" s="171">
        <v>93</v>
      </c>
      <c r="B37" s="169" t="s">
        <v>447</v>
      </c>
      <c r="C37" s="171" t="s">
        <v>1288</v>
      </c>
      <c r="D37" s="171" t="s">
        <v>1242</v>
      </c>
      <c r="E37" s="171" t="s">
        <v>336</v>
      </c>
      <c r="F37" s="171" t="s">
        <v>1253</v>
      </c>
      <c r="I37" t="s">
        <v>447</v>
      </c>
      <c r="J37" t="s">
        <v>1242</v>
      </c>
      <c r="L37" s="16" t="s">
        <v>447</v>
      </c>
      <c r="N37" t="str">
        <f t="shared" si="0"/>
        <v/>
      </c>
    </row>
    <row r="38" spans="1:14" ht="20" x14ac:dyDescent="0.2">
      <c r="A38" s="171">
        <v>23</v>
      </c>
      <c r="B38" s="169" t="s">
        <v>448</v>
      </c>
      <c r="C38" s="171" t="s">
        <v>1289</v>
      </c>
      <c r="D38" s="171" t="s">
        <v>1239</v>
      </c>
      <c r="E38" s="171" t="s">
        <v>1236</v>
      </c>
      <c r="F38" s="171" t="s">
        <v>1240</v>
      </c>
      <c r="I38" t="s">
        <v>448</v>
      </c>
      <c r="J38" t="s">
        <v>1239</v>
      </c>
      <c r="L38" s="16" t="s">
        <v>448</v>
      </c>
      <c r="N38" t="str">
        <f t="shared" si="0"/>
        <v/>
      </c>
    </row>
    <row r="39" spans="1:14" ht="20" x14ac:dyDescent="0.2">
      <c r="A39" s="171">
        <v>97</v>
      </c>
      <c r="B39" s="169" t="s">
        <v>449</v>
      </c>
      <c r="C39" s="171" t="s">
        <v>1290</v>
      </c>
      <c r="D39" s="171" t="s">
        <v>1252</v>
      </c>
      <c r="E39" s="171" t="s">
        <v>336</v>
      </c>
      <c r="F39" s="171" t="s">
        <v>1253</v>
      </c>
      <c r="I39" t="s">
        <v>449</v>
      </c>
      <c r="J39" t="s">
        <v>1252</v>
      </c>
      <c r="L39" s="16" t="s">
        <v>449</v>
      </c>
      <c r="N39" t="str">
        <f t="shared" si="0"/>
        <v/>
      </c>
    </row>
    <row r="40" spans="1:14" ht="20" x14ac:dyDescent="0.2">
      <c r="A40" s="171">
        <v>24</v>
      </c>
      <c r="B40" s="169" t="s">
        <v>450</v>
      </c>
      <c r="C40" s="171" t="s">
        <v>1291</v>
      </c>
      <c r="D40" s="171" t="s">
        <v>1239</v>
      </c>
      <c r="E40" s="171" t="s">
        <v>1236</v>
      </c>
      <c r="F40" s="171" t="s">
        <v>1240</v>
      </c>
      <c r="I40" t="s">
        <v>450</v>
      </c>
      <c r="J40" t="s">
        <v>1239</v>
      </c>
      <c r="L40" s="16" t="s">
        <v>450</v>
      </c>
      <c r="N40" t="str">
        <f t="shared" si="0"/>
        <v/>
      </c>
    </row>
    <row r="41" spans="1:14" ht="20" x14ac:dyDescent="0.2">
      <c r="A41" s="171">
        <v>77</v>
      </c>
      <c r="B41" s="169" t="s">
        <v>451</v>
      </c>
      <c r="C41" s="171" t="s">
        <v>1292</v>
      </c>
      <c r="D41" s="171" t="s">
        <v>1242</v>
      </c>
      <c r="E41" s="171" t="s">
        <v>336</v>
      </c>
      <c r="F41" s="171" t="s">
        <v>1243</v>
      </c>
      <c r="I41" t="s">
        <v>451</v>
      </c>
      <c r="J41" t="s">
        <v>1242</v>
      </c>
      <c r="L41" t="s">
        <v>451</v>
      </c>
      <c r="N41" t="str">
        <f t="shared" si="0"/>
        <v/>
      </c>
    </row>
    <row r="42" spans="1:14" ht="20" x14ac:dyDescent="0.2">
      <c r="A42" s="171">
        <v>9</v>
      </c>
      <c r="B42" s="172" t="s">
        <v>452</v>
      </c>
      <c r="C42" s="171" t="s">
        <v>1293</v>
      </c>
      <c r="D42" s="171" t="s">
        <v>1242</v>
      </c>
      <c r="E42" s="171" t="s">
        <v>1236</v>
      </c>
      <c r="F42" s="171" t="s">
        <v>1294</v>
      </c>
      <c r="I42" t="s">
        <v>452</v>
      </c>
      <c r="J42" t="s">
        <v>1242</v>
      </c>
      <c r="L42" s="16" t="s">
        <v>452</v>
      </c>
      <c r="N42" t="str">
        <f t="shared" si="0"/>
        <v/>
      </c>
    </row>
    <row r="43" spans="1:14" ht="20" x14ac:dyDescent="0.2">
      <c r="A43" s="171">
        <v>116</v>
      </c>
      <c r="B43" s="169" t="s">
        <v>453</v>
      </c>
      <c r="C43" s="171" t="s">
        <v>1295</v>
      </c>
      <c r="D43" s="171" t="s">
        <v>1239</v>
      </c>
      <c r="E43" s="171" t="s">
        <v>360</v>
      </c>
      <c r="F43" s="171" t="s">
        <v>1275</v>
      </c>
      <c r="I43" t="s">
        <v>453</v>
      </c>
      <c r="J43" t="s">
        <v>1239</v>
      </c>
      <c r="L43" s="16" t="s">
        <v>453</v>
      </c>
      <c r="N43" t="str">
        <f t="shared" si="0"/>
        <v/>
      </c>
    </row>
    <row r="44" spans="1:14" ht="20" x14ac:dyDescent="0.2">
      <c r="A44" s="171">
        <v>130</v>
      </c>
      <c r="B44" s="169" t="s">
        <v>454</v>
      </c>
      <c r="C44" s="171" t="s">
        <v>1296</v>
      </c>
      <c r="D44" s="171" t="s">
        <v>1239</v>
      </c>
      <c r="E44" s="171" t="s">
        <v>360</v>
      </c>
      <c r="F44" s="171" t="s">
        <v>1297</v>
      </c>
      <c r="I44" t="s">
        <v>454</v>
      </c>
      <c r="J44" t="s">
        <v>1239</v>
      </c>
      <c r="L44" s="16" t="s">
        <v>454</v>
      </c>
      <c r="N44" t="str">
        <f t="shared" si="0"/>
        <v/>
      </c>
    </row>
    <row r="45" spans="1:14" ht="20" x14ac:dyDescent="0.2">
      <c r="A45" s="171">
        <v>60</v>
      </c>
      <c r="B45" s="169" t="s">
        <v>455</v>
      </c>
      <c r="C45" s="171" t="s">
        <v>1298</v>
      </c>
      <c r="D45" s="171" t="s">
        <v>1256</v>
      </c>
      <c r="E45" s="171" t="s">
        <v>1236</v>
      </c>
      <c r="F45" s="171" t="s">
        <v>1257</v>
      </c>
      <c r="I45" t="s">
        <v>455</v>
      </c>
      <c r="J45" t="s">
        <v>1256</v>
      </c>
      <c r="L45" s="16" t="s">
        <v>455</v>
      </c>
      <c r="N45" t="str">
        <f t="shared" si="0"/>
        <v/>
      </c>
    </row>
    <row r="46" spans="1:14" ht="20" x14ac:dyDescent="0.2">
      <c r="A46" s="171">
        <v>61</v>
      </c>
      <c r="B46" s="169" t="s">
        <v>456</v>
      </c>
      <c r="C46" s="171" t="s">
        <v>1299</v>
      </c>
      <c r="D46" s="171" t="s">
        <v>1256</v>
      </c>
      <c r="E46" s="171" t="s">
        <v>1236</v>
      </c>
      <c r="F46" s="171" t="s">
        <v>1257</v>
      </c>
      <c r="I46" t="s">
        <v>456</v>
      </c>
      <c r="J46" t="s">
        <v>1256</v>
      </c>
      <c r="L46" s="16" t="s">
        <v>456</v>
      </c>
      <c r="N46" t="str">
        <f t="shared" si="0"/>
        <v/>
      </c>
    </row>
    <row r="47" spans="1:14" ht="20" x14ac:dyDescent="0.2">
      <c r="A47" s="171">
        <v>131</v>
      </c>
      <c r="B47" s="169" t="s">
        <v>457</v>
      </c>
      <c r="C47" s="171" t="s">
        <v>1300</v>
      </c>
      <c r="D47" s="171" t="s">
        <v>1242</v>
      </c>
      <c r="E47" s="171" t="s">
        <v>360</v>
      </c>
      <c r="F47" s="171" t="s">
        <v>1297</v>
      </c>
      <c r="I47" t="s">
        <v>457</v>
      </c>
      <c r="J47" t="s">
        <v>1242</v>
      </c>
      <c r="L47" s="16" t="s">
        <v>457</v>
      </c>
      <c r="N47" t="str">
        <f t="shared" si="0"/>
        <v/>
      </c>
    </row>
    <row r="48" spans="1:14" ht="20" x14ac:dyDescent="0.2">
      <c r="A48" s="171">
        <v>132</v>
      </c>
      <c r="B48" s="169" t="s">
        <v>458</v>
      </c>
      <c r="C48" s="171" t="s">
        <v>1301</v>
      </c>
      <c r="D48" s="171" t="s">
        <v>1242</v>
      </c>
      <c r="E48" s="171" t="s">
        <v>360</v>
      </c>
      <c r="F48" s="171" t="s">
        <v>1297</v>
      </c>
      <c r="I48" t="s">
        <v>458</v>
      </c>
      <c r="J48" t="s">
        <v>1242</v>
      </c>
      <c r="L48" s="16" t="s">
        <v>458</v>
      </c>
      <c r="N48" t="str">
        <f t="shared" si="0"/>
        <v/>
      </c>
    </row>
    <row r="49" spans="1:14" ht="20" x14ac:dyDescent="0.2">
      <c r="A49" s="171">
        <v>127</v>
      </c>
      <c r="B49" s="169" t="s">
        <v>459</v>
      </c>
      <c r="C49" s="171" t="s">
        <v>1302</v>
      </c>
      <c r="D49" s="171" t="s">
        <v>1242</v>
      </c>
      <c r="E49" s="171" t="s">
        <v>360</v>
      </c>
      <c r="F49" s="171" t="s">
        <v>1303</v>
      </c>
      <c r="I49" t="s">
        <v>459</v>
      </c>
      <c r="J49" t="s">
        <v>1242</v>
      </c>
      <c r="L49" t="s">
        <v>459</v>
      </c>
      <c r="N49" t="str">
        <f t="shared" si="0"/>
        <v/>
      </c>
    </row>
    <row r="50" spans="1:14" ht="20" x14ac:dyDescent="0.2">
      <c r="A50" s="171">
        <v>128</v>
      </c>
      <c r="B50" s="169" t="s">
        <v>460</v>
      </c>
      <c r="C50" s="171" t="s">
        <v>1304</v>
      </c>
      <c r="D50" s="171" t="s">
        <v>1242</v>
      </c>
      <c r="E50" s="171" t="s">
        <v>360</v>
      </c>
      <c r="F50" s="171" t="s">
        <v>1303</v>
      </c>
      <c r="I50" t="s">
        <v>460</v>
      </c>
      <c r="J50" t="s">
        <v>1242</v>
      </c>
      <c r="L50" s="16" t="s">
        <v>460</v>
      </c>
      <c r="N50" t="str">
        <f t="shared" si="0"/>
        <v/>
      </c>
    </row>
    <row r="51" spans="1:14" ht="20" x14ac:dyDescent="0.2">
      <c r="A51" s="171">
        <v>7</v>
      </c>
      <c r="B51" s="172" t="s">
        <v>461</v>
      </c>
      <c r="C51" s="171" t="s">
        <v>1305</v>
      </c>
      <c r="D51" s="171" t="s">
        <v>1239</v>
      </c>
      <c r="E51" s="171" t="s">
        <v>1236</v>
      </c>
      <c r="F51" s="171" t="s">
        <v>1294</v>
      </c>
      <c r="I51" t="s">
        <v>461</v>
      </c>
      <c r="J51" t="s">
        <v>1239</v>
      </c>
      <c r="L51" s="16" t="s">
        <v>461</v>
      </c>
      <c r="N51" t="str">
        <f t="shared" si="0"/>
        <v/>
      </c>
    </row>
    <row r="52" spans="1:14" ht="20" x14ac:dyDescent="0.2">
      <c r="A52" s="171">
        <v>142</v>
      </c>
      <c r="B52" s="169" t="s">
        <v>462</v>
      </c>
      <c r="C52" s="171" t="s">
        <v>1306</v>
      </c>
      <c r="D52" s="171" t="s">
        <v>1252</v>
      </c>
      <c r="E52" s="171" t="s">
        <v>360</v>
      </c>
      <c r="F52" s="171" t="s">
        <v>1247</v>
      </c>
      <c r="I52" t="s">
        <v>462</v>
      </c>
      <c r="J52" t="s">
        <v>1252</v>
      </c>
      <c r="L52" s="16" t="s">
        <v>462</v>
      </c>
      <c r="N52" t="str">
        <f t="shared" si="0"/>
        <v/>
      </c>
    </row>
    <row r="53" spans="1:14" ht="20" x14ac:dyDescent="0.2">
      <c r="A53" s="171">
        <v>126</v>
      </c>
      <c r="B53" s="169" t="s">
        <v>463</v>
      </c>
      <c r="C53" s="171" t="s">
        <v>1307</v>
      </c>
      <c r="D53" s="171" t="s">
        <v>1239</v>
      </c>
      <c r="E53" s="171" t="s">
        <v>360</v>
      </c>
      <c r="F53" s="171" t="s">
        <v>1303</v>
      </c>
      <c r="I53" t="s">
        <v>463</v>
      </c>
      <c r="J53" t="s">
        <v>1239</v>
      </c>
      <c r="L53" s="16" t="s">
        <v>463</v>
      </c>
      <c r="N53" t="str">
        <f t="shared" si="0"/>
        <v/>
      </c>
    </row>
    <row r="54" spans="1:14" ht="20" x14ac:dyDescent="0.2">
      <c r="A54" s="171">
        <v>129</v>
      </c>
      <c r="B54" s="169" t="s">
        <v>464</v>
      </c>
      <c r="C54" s="171" t="s">
        <v>1308</v>
      </c>
      <c r="D54" s="171" t="s">
        <v>1242</v>
      </c>
      <c r="E54" s="171" t="s">
        <v>360</v>
      </c>
      <c r="F54" s="171" t="s">
        <v>1303</v>
      </c>
      <c r="I54" t="s">
        <v>464</v>
      </c>
      <c r="J54" t="s">
        <v>1242</v>
      </c>
      <c r="L54" s="16" t="s">
        <v>464</v>
      </c>
      <c r="N54" t="str">
        <f t="shared" si="0"/>
        <v/>
      </c>
    </row>
    <row r="55" spans="1:14" ht="20" x14ac:dyDescent="0.2">
      <c r="A55" s="171">
        <v>100</v>
      </c>
      <c r="B55" s="169" t="s">
        <v>465</v>
      </c>
      <c r="C55" s="171" t="s">
        <v>1309</v>
      </c>
      <c r="D55" s="171" t="s">
        <v>1242</v>
      </c>
      <c r="E55" s="171" t="s">
        <v>336</v>
      </c>
      <c r="F55" s="171" t="s">
        <v>1268</v>
      </c>
      <c r="I55" t="s">
        <v>465</v>
      </c>
      <c r="J55" t="s">
        <v>1242</v>
      </c>
      <c r="L55" s="16" t="s">
        <v>465</v>
      </c>
      <c r="N55" t="str">
        <f t="shared" si="0"/>
        <v/>
      </c>
    </row>
    <row r="56" spans="1:14" ht="20" x14ac:dyDescent="0.2">
      <c r="A56" s="171">
        <v>101</v>
      </c>
      <c r="B56" s="169" t="s">
        <v>466</v>
      </c>
      <c r="C56" s="171" t="s">
        <v>1310</v>
      </c>
      <c r="D56" s="171" t="s">
        <v>1242</v>
      </c>
      <c r="E56" s="171" t="s">
        <v>336</v>
      </c>
      <c r="F56" s="171" t="s">
        <v>1268</v>
      </c>
      <c r="I56" t="s">
        <v>466</v>
      </c>
      <c r="J56" t="s">
        <v>1242</v>
      </c>
      <c r="L56" s="16" t="s">
        <v>466</v>
      </c>
      <c r="N56" t="str">
        <f t="shared" si="0"/>
        <v/>
      </c>
    </row>
    <row r="57" spans="1:14" ht="20" x14ac:dyDescent="0.2">
      <c r="A57" s="171">
        <v>50</v>
      </c>
      <c r="B57" s="169" t="s">
        <v>467</v>
      </c>
      <c r="C57" s="171" t="s">
        <v>1311</v>
      </c>
      <c r="D57" s="171" t="s">
        <v>1256</v>
      </c>
      <c r="E57" s="171" t="s">
        <v>1236</v>
      </c>
      <c r="F57" s="171" t="s">
        <v>1263</v>
      </c>
      <c r="I57" t="s">
        <v>467</v>
      </c>
      <c r="J57" t="s">
        <v>1256</v>
      </c>
      <c r="L57" s="16" t="s">
        <v>467</v>
      </c>
      <c r="N57" t="str">
        <f t="shared" si="0"/>
        <v/>
      </c>
    </row>
    <row r="58" spans="1:14" ht="20" x14ac:dyDescent="0.2">
      <c r="A58" s="171">
        <v>120</v>
      </c>
      <c r="B58" s="169" t="s">
        <v>468</v>
      </c>
      <c r="C58" s="171" t="s">
        <v>1312</v>
      </c>
      <c r="D58" s="171" t="s">
        <v>1242</v>
      </c>
      <c r="E58" s="171" t="s">
        <v>360</v>
      </c>
      <c r="F58" s="171" t="s">
        <v>1275</v>
      </c>
      <c r="I58" t="s">
        <v>468</v>
      </c>
      <c r="J58" t="s">
        <v>1242</v>
      </c>
      <c r="L58" s="16" t="s">
        <v>468</v>
      </c>
      <c r="N58" t="str">
        <f t="shared" si="0"/>
        <v/>
      </c>
    </row>
    <row r="59" spans="1:14" ht="20" x14ac:dyDescent="0.2">
      <c r="A59" s="171">
        <v>70</v>
      </c>
      <c r="B59" s="169" t="s">
        <v>469</v>
      </c>
      <c r="C59" s="171" t="s">
        <v>1313</v>
      </c>
      <c r="D59" s="171" t="s">
        <v>1252</v>
      </c>
      <c r="E59" s="171" t="s">
        <v>1236</v>
      </c>
      <c r="F59" s="171" t="s">
        <v>1245</v>
      </c>
      <c r="I59" t="s">
        <v>469</v>
      </c>
      <c r="J59" t="s">
        <v>1252</v>
      </c>
      <c r="L59" s="16" t="s">
        <v>469</v>
      </c>
      <c r="N59" t="str">
        <f t="shared" si="0"/>
        <v/>
      </c>
    </row>
    <row r="60" spans="1:14" ht="20" x14ac:dyDescent="0.2">
      <c r="A60" s="171">
        <v>47</v>
      </c>
      <c r="B60" s="169" t="s">
        <v>470</v>
      </c>
      <c r="C60" s="171" t="s">
        <v>1314</v>
      </c>
      <c r="D60" s="171" t="s">
        <v>1242</v>
      </c>
      <c r="E60" s="171" t="s">
        <v>1236</v>
      </c>
      <c r="F60" s="171" t="s">
        <v>1263</v>
      </c>
      <c r="I60" t="s">
        <v>470</v>
      </c>
      <c r="J60" t="s">
        <v>1242</v>
      </c>
      <c r="L60" s="16" t="s">
        <v>470</v>
      </c>
      <c r="N60" t="str">
        <f t="shared" si="0"/>
        <v/>
      </c>
    </row>
    <row r="61" spans="1:14" ht="20" x14ac:dyDescent="0.2">
      <c r="A61" s="171">
        <v>78</v>
      </c>
      <c r="B61" s="169" t="s">
        <v>471</v>
      </c>
      <c r="C61" s="171" t="s">
        <v>1315</v>
      </c>
      <c r="D61" s="171" t="s">
        <v>1242</v>
      </c>
      <c r="E61" s="171" t="s">
        <v>336</v>
      </c>
      <c r="F61" s="171" t="s">
        <v>1243</v>
      </c>
      <c r="I61" t="s">
        <v>471</v>
      </c>
      <c r="J61" t="s">
        <v>1242</v>
      </c>
      <c r="L61" s="16" t="s">
        <v>471</v>
      </c>
      <c r="N61" t="str">
        <f t="shared" si="0"/>
        <v/>
      </c>
    </row>
    <row r="62" spans="1:14" ht="20" x14ac:dyDescent="0.2">
      <c r="A62" s="171">
        <v>110</v>
      </c>
      <c r="B62" s="169" t="s">
        <v>472</v>
      </c>
      <c r="C62" s="171" t="s">
        <v>1316</v>
      </c>
      <c r="D62" s="171" t="s">
        <v>1317</v>
      </c>
      <c r="E62" s="171" t="s">
        <v>336</v>
      </c>
      <c r="F62" s="171" t="s">
        <v>1268</v>
      </c>
      <c r="I62" t="s">
        <v>472</v>
      </c>
      <c r="J62" t="s">
        <v>1317</v>
      </c>
      <c r="L62" s="16" t="s">
        <v>472</v>
      </c>
      <c r="N62" t="str">
        <f t="shared" si="0"/>
        <v/>
      </c>
    </row>
    <row r="63" spans="1:14" ht="20" x14ac:dyDescent="0.2">
      <c r="A63" s="171">
        <v>44</v>
      </c>
      <c r="B63" s="169" t="s">
        <v>1318</v>
      </c>
      <c r="C63" s="171" t="s">
        <v>1319</v>
      </c>
      <c r="D63" s="171" t="s">
        <v>1239</v>
      </c>
      <c r="E63" s="171" t="s">
        <v>1236</v>
      </c>
      <c r="F63" s="171" t="s">
        <v>1263</v>
      </c>
      <c r="I63" t="s">
        <v>473</v>
      </c>
      <c r="J63" t="s">
        <v>1239</v>
      </c>
      <c r="L63" s="16" t="s">
        <v>473</v>
      </c>
      <c r="N63" t="str">
        <f t="shared" si="0"/>
        <v/>
      </c>
    </row>
    <row r="64" spans="1:14" ht="20" x14ac:dyDescent="0.2">
      <c r="A64" s="171">
        <v>3</v>
      </c>
      <c r="B64" s="172" t="s">
        <v>474</v>
      </c>
      <c r="C64" s="171" t="s">
        <v>1320</v>
      </c>
      <c r="D64" s="171" t="s">
        <v>1242</v>
      </c>
      <c r="E64" s="171" t="s">
        <v>1236</v>
      </c>
      <c r="F64" s="171" t="s">
        <v>1237</v>
      </c>
      <c r="I64" t="s">
        <v>474</v>
      </c>
      <c r="J64" t="s">
        <v>1242</v>
      </c>
      <c r="L64" s="16" t="s">
        <v>474</v>
      </c>
      <c r="N64" t="str">
        <f t="shared" si="0"/>
        <v/>
      </c>
    </row>
    <row r="65" spans="1:14" ht="20" x14ac:dyDescent="0.2">
      <c r="A65" s="171">
        <v>79</v>
      </c>
      <c r="B65" s="169" t="s">
        <v>475</v>
      </c>
      <c r="C65" s="171" t="s">
        <v>1321</v>
      </c>
      <c r="D65" s="171" t="s">
        <v>1242</v>
      </c>
      <c r="E65" s="171" t="s">
        <v>336</v>
      </c>
      <c r="F65" s="171" t="s">
        <v>1243</v>
      </c>
      <c r="I65" t="s">
        <v>475</v>
      </c>
      <c r="J65" t="s">
        <v>1242</v>
      </c>
      <c r="L65" s="16" t="s">
        <v>475</v>
      </c>
      <c r="N65" t="str">
        <f t="shared" si="0"/>
        <v/>
      </c>
    </row>
    <row r="66" spans="1:14" ht="20" x14ac:dyDescent="0.2">
      <c r="A66" s="171">
        <v>80</v>
      </c>
      <c r="B66" s="169" t="s">
        <v>476</v>
      </c>
      <c r="C66" s="171" t="s">
        <v>1322</v>
      </c>
      <c r="D66" s="171" t="s">
        <v>1242</v>
      </c>
      <c r="E66" s="171" t="s">
        <v>336</v>
      </c>
      <c r="F66" s="171" t="s">
        <v>1243</v>
      </c>
      <c r="I66" t="s">
        <v>476</v>
      </c>
      <c r="J66" t="s">
        <v>1242</v>
      </c>
      <c r="L66" s="16" t="s">
        <v>476</v>
      </c>
      <c r="N66" t="str">
        <f t="shared" ref="N66:N129" si="1">IF(I66=L66,"","X")</f>
        <v/>
      </c>
    </row>
    <row r="67" spans="1:14" ht="20" x14ac:dyDescent="0.2">
      <c r="A67" s="171">
        <v>81</v>
      </c>
      <c r="B67" s="169" t="s">
        <v>477</v>
      </c>
      <c r="C67" s="171" t="s">
        <v>1323</v>
      </c>
      <c r="D67" s="171" t="s">
        <v>1242</v>
      </c>
      <c r="E67" s="171" t="s">
        <v>336</v>
      </c>
      <c r="F67" s="171" t="s">
        <v>1243</v>
      </c>
      <c r="I67" t="s">
        <v>477</v>
      </c>
      <c r="J67" t="s">
        <v>1242</v>
      </c>
      <c r="L67" s="16" t="s">
        <v>477</v>
      </c>
      <c r="N67" t="str">
        <f t="shared" si="1"/>
        <v/>
      </c>
    </row>
    <row r="68" spans="1:14" ht="20" x14ac:dyDescent="0.2">
      <c r="A68" s="171">
        <v>117</v>
      </c>
      <c r="B68" s="169" t="s">
        <v>478</v>
      </c>
      <c r="C68" s="171" t="s">
        <v>1324</v>
      </c>
      <c r="D68" s="171" t="s">
        <v>1239</v>
      </c>
      <c r="E68" s="171" t="s">
        <v>360</v>
      </c>
      <c r="F68" s="171" t="s">
        <v>1275</v>
      </c>
      <c r="I68" t="s">
        <v>478</v>
      </c>
      <c r="J68" t="s">
        <v>1239</v>
      </c>
      <c r="L68" s="16" t="s">
        <v>478</v>
      </c>
      <c r="N68" t="str">
        <f t="shared" si="1"/>
        <v/>
      </c>
    </row>
    <row r="69" spans="1:14" ht="20" x14ac:dyDescent="0.2">
      <c r="A69" s="171">
        <v>10</v>
      </c>
      <c r="B69" s="172" t="s">
        <v>479</v>
      </c>
      <c r="C69" s="171" t="s">
        <v>1325</v>
      </c>
      <c r="D69" s="171" t="s">
        <v>1242</v>
      </c>
      <c r="E69" s="171" t="s">
        <v>1236</v>
      </c>
      <c r="F69" s="171" t="s">
        <v>1294</v>
      </c>
      <c r="I69" t="s">
        <v>479</v>
      </c>
      <c r="J69" t="s">
        <v>1242</v>
      </c>
      <c r="L69" s="16" t="s">
        <v>479</v>
      </c>
      <c r="N69" t="str">
        <f t="shared" si="1"/>
        <v/>
      </c>
    </row>
    <row r="70" spans="1:14" ht="20" x14ac:dyDescent="0.2">
      <c r="A70" s="171">
        <v>11</v>
      </c>
      <c r="B70" s="169" t="s">
        <v>480</v>
      </c>
      <c r="C70" s="171" t="s">
        <v>1326</v>
      </c>
      <c r="D70" s="171" t="s">
        <v>1242</v>
      </c>
      <c r="E70" s="171" t="s">
        <v>1236</v>
      </c>
      <c r="F70" s="171" t="s">
        <v>1294</v>
      </c>
      <c r="I70" t="s">
        <v>480</v>
      </c>
      <c r="J70" t="s">
        <v>1242</v>
      </c>
      <c r="L70" s="16" t="s">
        <v>480</v>
      </c>
      <c r="N70" t="str">
        <f t="shared" si="1"/>
        <v/>
      </c>
    </row>
    <row r="71" spans="1:14" ht="20" x14ac:dyDescent="0.2">
      <c r="A71" s="171">
        <v>17</v>
      </c>
      <c r="B71" s="169" t="s">
        <v>481</v>
      </c>
      <c r="C71" s="171" t="s">
        <v>1327</v>
      </c>
      <c r="D71" s="171" t="s">
        <v>1242</v>
      </c>
      <c r="E71" s="171" t="s">
        <v>1236</v>
      </c>
      <c r="F71" s="171" t="s">
        <v>1261</v>
      </c>
      <c r="I71" t="s">
        <v>481</v>
      </c>
      <c r="J71" t="s">
        <v>1242</v>
      </c>
      <c r="L71" s="16" t="s">
        <v>481</v>
      </c>
      <c r="N71" t="str">
        <f t="shared" si="1"/>
        <v/>
      </c>
    </row>
    <row r="72" spans="1:14" ht="20" x14ac:dyDescent="0.2">
      <c r="A72" s="171">
        <v>18</v>
      </c>
      <c r="B72" s="169" t="s">
        <v>482</v>
      </c>
      <c r="C72" s="171" t="s">
        <v>1328</v>
      </c>
      <c r="D72" s="171" t="s">
        <v>1235</v>
      </c>
      <c r="E72" s="171" t="s">
        <v>1236</v>
      </c>
      <c r="F72" s="171" t="s">
        <v>1261</v>
      </c>
      <c r="I72" t="s">
        <v>482</v>
      </c>
      <c r="J72" t="s">
        <v>1235</v>
      </c>
      <c r="L72" s="16" t="s">
        <v>482</v>
      </c>
      <c r="N72" t="str">
        <f t="shared" si="1"/>
        <v/>
      </c>
    </row>
    <row r="73" spans="1:14" ht="20" x14ac:dyDescent="0.2">
      <c r="A73" s="171">
        <v>4</v>
      </c>
      <c r="B73" s="172" t="s">
        <v>483</v>
      </c>
      <c r="C73" s="171" t="s">
        <v>1329</v>
      </c>
      <c r="D73" s="171" t="s">
        <v>1242</v>
      </c>
      <c r="E73" s="171" t="s">
        <v>1236</v>
      </c>
      <c r="F73" s="171" t="s">
        <v>1237</v>
      </c>
      <c r="I73" t="s">
        <v>483</v>
      </c>
      <c r="J73" t="s">
        <v>1242</v>
      </c>
      <c r="L73" s="16" t="s">
        <v>483</v>
      </c>
      <c r="N73" t="str">
        <f t="shared" si="1"/>
        <v/>
      </c>
    </row>
    <row r="74" spans="1:14" ht="20" x14ac:dyDescent="0.2">
      <c r="A74" s="171">
        <v>121</v>
      </c>
      <c r="B74" s="169" t="s">
        <v>484</v>
      </c>
      <c r="C74" s="171" t="s">
        <v>1330</v>
      </c>
      <c r="D74" s="171" t="s">
        <v>1242</v>
      </c>
      <c r="E74" s="171" t="s">
        <v>360</v>
      </c>
      <c r="F74" s="171" t="s">
        <v>1275</v>
      </c>
      <c r="I74" t="s">
        <v>484</v>
      </c>
      <c r="J74" t="s">
        <v>1242</v>
      </c>
      <c r="L74" s="16" t="s">
        <v>484</v>
      </c>
      <c r="N74" t="str">
        <f t="shared" si="1"/>
        <v/>
      </c>
    </row>
    <row r="75" spans="1:14" ht="20" x14ac:dyDescent="0.2">
      <c r="A75" s="171">
        <v>143</v>
      </c>
      <c r="B75" s="169" t="s">
        <v>485</v>
      </c>
      <c r="C75" s="171" t="s">
        <v>1331</v>
      </c>
      <c r="D75" s="171" t="s">
        <v>1242</v>
      </c>
      <c r="E75" s="171" t="s">
        <v>360</v>
      </c>
      <c r="F75" s="171" t="s">
        <v>1259</v>
      </c>
      <c r="I75" t="s">
        <v>485</v>
      </c>
      <c r="J75" t="s">
        <v>1242</v>
      </c>
      <c r="L75" s="16" t="s">
        <v>485</v>
      </c>
      <c r="N75" t="str">
        <f t="shared" si="1"/>
        <v/>
      </c>
    </row>
    <row r="76" spans="1:14" ht="20" x14ac:dyDescent="0.2">
      <c r="A76" s="171">
        <v>102</v>
      </c>
      <c r="B76" s="169" t="s">
        <v>486</v>
      </c>
      <c r="C76" s="171" t="s">
        <v>1332</v>
      </c>
      <c r="D76" s="171" t="s">
        <v>1242</v>
      </c>
      <c r="E76" s="171" t="s">
        <v>336</v>
      </c>
      <c r="F76" s="171" t="s">
        <v>1268</v>
      </c>
      <c r="I76" t="s">
        <v>486</v>
      </c>
      <c r="J76" t="s">
        <v>1242</v>
      </c>
      <c r="L76" s="16" t="s">
        <v>486</v>
      </c>
      <c r="N76" t="str">
        <f t="shared" si="1"/>
        <v/>
      </c>
    </row>
    <row r="77" spans="1:14" ht="20" x14ac:dyDescent="0.2">
      <c r="A77" s="171">
        <v>103</v>
      </c>
      <c r="B77" s="169" t="s">
        <v>487</v>
      </c>
      <c r="C77" s="171" t="s">
        <v>1333</v>
      </c>
      <c r="D77" s="171" t="s">
        <v>1242</v>
      </c>
      <c r="E77" s="171" t="s">
        <v>336</v>
      </c>
      <c r="F77" s="171" t="s">
        <v>1268</v>
      </c>
      <c r="I77" t="s">
        <v>487</v>
      </c>
      <c r="J77" t="s">
        <v>1242</v>
      </c>
      <c r="L77" s="16" t="s">
        <v>487</v>
      </c>
      <c r="N77" t="str">
        <f t="shared" si="1"/>
        <v/>
      </c>
    </row>
    <row r="78" spans="1:14" ht="20" x14ac:dyDescent="0.2">
      <c r="A78" s="171">
        <v>104</v>
      </c>
      <c r="B78" s="169" t="s">
        <v>488</v>
      </c>
      <c r="C78" s="171" t="s">
        <v>1334</v>
      </c>
      <c r="D78" s="171" t="s">
        <v>1242</v>
      </c>
      <c r="E78" s="171" t="s">
        <v>336</v>
      </c>
      <c r="F78" s="171" t="s">
        <v>1268</v>
      </c>
      <c r="I78" t="s">
        <v>488</v>
      </c>
      <c r="J78" t="s">
        <v>1242</v>
      </c>
      <c r="L78" s="16" t="s">
        <v>488</v>
      </c>
      <c r="N78" t="str">
        <f t="shared" si="1"/>
        <v/>
      </c>
    </row>
    <row r="79" spans="1:14" ht="20" x14ac:dyDescent="0.2">
      <c r="A79" s="171">
        <v>105</v>
      </c>
      <c r="B79" s="169" t="s">
        <v>489</v>
      </c>
      <c r="C79" s="171" t="s">
        <v>1335</v>
      </c>
      <c r="D79" s="171" t="s">
        <v>1242</v>
      </c>
      <c r="E79" s="171" t="s">
        <v>336</v>
      </c>
      <c r="F79" s="171" t="s">
        <v>1268</v>
      </c>
      <c r="I79" t="s">
        <v>489</v>
      </c>
      <c r="J79" t="s">
        <v>1242</v>
      </c>
      <c r="L79" s="16" t="s">
        <v>489</v>
      </c>
      <c r="N79" t="str">
        <f t="shared" si="1"/>
        <v/>
      </c>
    </row>
    <row r="80" spans="1:14" ht="20" x14ac:dyDescent="0.2">
      <c r="A80" s="171">
        <v>51</v>
      </c>
      <c r="B80" s="169" t="s">
        <v>490</v>
      </c>
      <c r="C80" s="171" t="s">
        <v>1336</v>
      </c>
      <c r="D80" s="171"/>
      <c r="E80" s="171"/>
      <c r="F80" s="171" t="s">
        <v>1337</v>
      </c>
      <c r="I80" t="s">
        <v>490</v>
      </c>
      <c r="L80" s="16" t="s">
        <v>490</v>
      </c>
      <c r="N80" t="str">
        <f t="shared" si="1"/>
        <v/>
      </c>
    </row>
    <row r="81" spans="1:14" ht="20" x14ac:dyDescent="0.2">
      <c r="A81" s="171">
        <v>52</v>
      </c>
      <c r="B81" s="169" t="s">
        <v>491</v>
      </c>
      <c r="C81" s="171" t="s">
        <v>1338</v>
      </c>
      <c r="D81" s="171" t="s">
        <v>1252</v>
      </c>
      <c r="E81" s="171" t="s">
        <v>1236</v>
      </c>
      <c r="F81" s="171" t="s">
        <v>1257</v>
      </c>
      <c r="I81" t="s">
        <v>491</v>
      </c>
      <c r="J81" t="s">
        <v>1252</v>
      </c>
      <c r="L81" s="16" t="s">
        <v>491</v>
      </c>
      <c r="N81" t="str">
        <f t="shared" si="1"/>
        <v/>
      </c>
    </row>
    <row r="82" spans="1:14" ht="20" x14ac:dyDescent="0.2">
      <c r="A82" s="171">
        <v>8</v>
      </c>
      <c r="B82" s="172" t="s">
        <v>492</v>
      </c>
      <c r="C82" s="171" t="s">
        <v>1339</v>
      </c>
      <c r="D82" s="171" t="s">
        <v>1239</v>
      </c>
      <c r="E82" s="171" t="s">
        <v>1236</v>
      </c>
      <c r="F82" s="171" t="s">
        <v>1294</v>
      </c>
      <c r="I82" t="s">
        <v>492</v>
      </c>
      <c r="J82" t="s">
        <v>1239</v>
      </c>
      <c r="L82" s="16" t="s">
        <v>492</v>
      </c>
      <c r="N82" t="str">
        <f t="shared" si="1"/>
        <v/>
      </c>
    </row>
    <row r="83" spans="1:14" ht="20" x14ac:dyDescent="0.2">
      <c r="A83" s="171">
        <v>12</v>
      </c>
      <c r="B83" s="169" t="s">
        <v>493</v>
      </c>
      <c r="C83" s="171" t="s">
        <v>1340</v>
      </c>
      <c r="D83" s="171" t="s">
        <v>1242</v>
      </c>
      <c r="E83" s="171" t="s">
        <v>1236</v>
      </c>
      <c r="F83" s="171" t="s">
        <v>1294</v>
      </c>
      <c r="I83" t="s">
        <v>493</v>
      </c>
      <c r="J83" t="s">
        <v>1242</v>
      </c>
      <c r="L83" s="16" t="s">
        <v>493</v>
      </c>
      <c r="N83" t="str">
        <f t="shared" si="1"/>
        <v/>
      </c>
    </row>
    <row r="84" spans="1:14" ht="20" x14ac:dyDescent="0.2">
      <c r="A84" s="171">
        <v>144</v>
      </c>
      <c r="B84" s="169" t="s">
        <v>494</v>
      </c>
      <c r="C84" s="171" t="s">
        <v>1341</v>
      </c>
      <c r="D84" s="171" t="s">
        <v>1242</v>
      </c>
      <c r="E84" s="171" t="s">
        <v>360</v>
      </c>
      <c r="F84" s="171" t="s">
        <v>1259</v>
      </c>
      <c r="I84" t="s">
        <v>494</v>
      </c>
      <c r="J84" t="s">
        <v>1242</v>
      </c>
      <c r="L84" s="16" t="s">
        <v>494</v>
      </c>
      <c r="N84" t="str">
        <f t="shared" si="1"/>
        <v/>
      </c>
    </row>
    <row r="85" spans="1:14" ht="20" x14ac:dyDescent="0.2">
      <c r="A85" s="171">
        <v>152</v>
      </c>
      <c r="B85" s="169" t="s">
        <v>495</v>
      </c>
      <c r="C85" s="171" t="s">
        <v>495</v>
      </c>
      <c r="D85" s="171"/>
      <c r="E85" s="171"/>
      <c r="F85" s="171" t="s">
        <v>1337</v>
      </c>
      <c r="I85" t="s">
        <v>495</v>
      </c>
      <c r="L85" s="16" t="s">
        <v>495</v>
      </c>
      <c r="N85" t="str">
        <f t="shared" si="1"/>
        <v/>
      </c>
    </row>
    <row r="86" spans="1:14" ht="20" x14ac:dyDescent="0.2">
      <c r="A86" s="171">
        <v>53</v>
      </c>
      <c r="B86" s="169" t="s">
        <v>496</v>
      </c>
      <c r="C86" s="171" t="s">
        <v>1342</v>
      </c>
      <c r="D86" s="171" t="s">
        <v>1252</v>
      </c>
      <c r="E86" s="171" t="s">
        <v>1236</v>
      </c>
      <c r="F86" s="171" t="s">
        <v>1257</v>
      </c>
      <c r="I86" t="s">
        <v>496</v>
      </c>
      <c r="J86" t="s">
        <v>1252</v>
      </c>
      <c r="L86" s="16" t="s">
        <v>496</v>
      </c>
      <c r="N86" t="str">
        <f t="shared" si="1"/>
        <v/>
      </c>
    </row>
    <row r="87" spans="1:14" ht="20" x14ac:dyDescent="0.2">
      <c r="A87" s="171">
        <v>71</v>
      </c>
      <c r="B87" s="169" t="s">
        <v>497</v>
      </c>
      <c r="C87" s="171" t="s">
        <v>1343</v>
      </c>
      <c r="D87" s="171" t="s">
        <v>1252</v>
      </c>
      <c r="E87" s="171" t="s">
        <v>1236</v>
      </c>
      <c r="F87" s="171" t="s">
        <v>1245</v>
      </c>
      <c r="I87" t="s">
        <v>497</v>
      </c>
      <c r="J87" t="s">
        <v>1252</v>
      </c>
      <c r="L87" s="16" t="s">
        <v>497</v>
      </c>
      <c r="N87" t="str">
        <f t="shared" si="1"/>
        <v/>
      </c>
    </row>
    <row r="88" spans="1:14" ht="20" x14ac:dyDescent="0.2">
      <c r="A88" s="171">
        <v>86</v>
      </c>
      <c r="B88" s="169" t="s">
        <v>498</v>
      </c>
      <c r="C88" s="171" t="s">
        <v>1344</v>
      </c>
      <c r="D88" s="171" t="s">
        <v>1239</v>
      </c>
      <c r="E88" s="171" t="s">
        <v>336</v>
      </c>
      <c r="F88" s="171" t="s">
        <v>1253</v>
      </c>
      <c r="I88" t="s">
        <v>498</v>
      </c>
      <c r="J88" t="s">
        <v>1239</v>
      </c>
      <c r="L88" s="16" t="s">
        <v>498</v>
      </c>
      <c r="N88" t="str">
        <f t="shared" si="1"/>
        <v/>
      </c>
    </row>
    <row r="89" spans="1:14" ht="20" x14ac:dyDescent="0.2">
      <c r="A89" s="171">
        <v>73</v>
      </c>
      <c r="B89" s="169" t="s">
        <v>499</v>
      </c>
      <c r="C89" s="171" t="s">
        <v>1345</v>
      </c>
      <c r="D89" s="171" t="s">
        <v>1239</v>
      </c>
      <c r="E89" s="171" t="s">
        <v>336</v>
      </c>
      <c r="F89" s="171" t="s">
        <v>1243</v>
      </c>
      <c r="I89" t="s">
        <v>499</v>
      </c>
      <c r="J89" t="s">
        <v>1239</v>
      </c>
      <c r="L89" s="16" t="s">
        <v>499</v>
      </c>
      <c r="N89" t="str">
        <f t="shared" si="1"/>
        <v/>
      </c>
    </row>
    <row r="90" spans="1:14" ht="20" x14ac:dyDescent="0.2">
      <c r="A90" s="171">
        <v>1</v>
      </c>
      <c r="B90" s="172" t="s">
        <v>112</v>
      </c>
      <c r="C90" s="171" t="s">
        <v>1346</v>
      </c>
      <c r="D90" s="171" t="s">
        <v>1239</v>
      </c>
      <c r="E90" s="171" t="s">
        <v>1236</v>
      </c>
      <c r="F90" s="171" t="s">
        <v>1347</v>
      </c>
      <c r="I90" t="s">
        <v>112</v>
      </c>
      <c r="J90" t="s">
        <v>1239</v>
      </c>
      <c r="L90" s="16" t="s">
        <v>112</v>
      </c>
      <c r="N90" t="str">
        <f t="shared" si="1"/>
        <v/>
      </c>
    </row>
    <row r="91" spans="1:14" ht="20" x14ac:dyDescent="0.2">
      <c r="A91" s="171">
        <v>87</v>
      </c>
      <c r="B91" s="169" t="s">
        <v>500</v>
      </c>
      <c r="C91" s="171" t="s">
        <v>1348</v>
      </c>
      <c r="D91" s="171" t="s">
        <v>1239</v>
      </c>
      <c r="E91" s="171" t="s">
        <v>336</v>
      </c>
      <c r="F91" s="171" t="s">
        <v>1253</v>
      </c>
      <c r="I91" t="s">
        <v>500</v>
      </c>
      <c r="J91" t="s">
        <v>1239</v>
      </c>
      <c r="L91" s="16" t="s">
        <v>500</v>
      </c>
      <c r="N91" t="str">
        <f t="shared" si="1"/>
        <v/>
      </c>
    </row>
    <row r="92" spans="1:14" ht="20" x14ac:dyDescent="0.2">
      <c r="A92" s="171">
        <v>111</v>
      </c>
      <c r="B92" s="169" t="s">
        <v>501</v>
      </c>
      <c r="C92" s="171" t="s">
        <v>1349</v>
      </c>
      <c r="D92" s="171" t="s">
        <v>1317</v>
      </c>
      <c r="E92" s="171" t="s">
        <v>336</v>
      </c>
      <c r="F92" s="171" t="s">
        <v>1268</v>
      </c>
      <c r="I92" t="s">
        <v>501</v>
      </c>
      <c r="J92" t="s">
        <v>1317</v>
      </c>
      <c r="L92" s="16" t="s">
        <v>501</v>
      </c>
      <c r="N92" t="str">
        <f t="shared" si="1"/>
        <v/>
      </c>
    </row>
    <row r="93" spans="1:14" ht="20" x14ac:dyDescent="0.2">
      <c r="A93" s="171">
        <v>122</v>
      </c>
      <c r="B93" s="169" t="s">
        <v>502</v>
      </c>
      <c r="C93" s="171" t="s">
        <v>1350</v>
      </c>
      <c r="D93" s="171" t="s">
        <v>1242</v>
      </c>
      <c r="E93" s="171" t="s">
        <v>360</v>
      </c>
      <c r="F93" s="171" t="s">
        <v>1275</v>
      </c>
      <c r="I93" t="s">
        <v>502</v>
      </c>
      <c r="J93" t="s">
        <v>1242</v>
      </c>
      <c r="L93" s="16" t="s">
        <v>502</v>
      </c>
      <c r="N93" t="str">
        <f t="shared" si="1"/>
        <v/>
      </c>
    </row>
    <row r="94" spans="1:14" ht="20" x14ac:dyDescent="0.2">
      <c r="A94" s="171">
        <v>123</v>
      </c>
      <c r="B94" s="169" t="s">
        <v>503</v>
      </c>
      <c r="C94" s="171" t="s">
        <v>1351</v>
      </c>
      <c r="D94" s="171" t="s">
        <v>1242</v>
      </c>
      <c r="E94" s="171" t="s">
        <v>360</v>
      </c>
      <c r="F94" s="171" t="s">
        <v>1275</v>
      </c>
      <c r="I94" t="s">
        <v>503</v>
      </c>
      <c r="J94" t="s">
        <v>1242</v>
      </c>
      <c r="L94" s="16" t="s">
        <v>503</v>
      </c>
      <c r="N94" t="str">
        <f t="shared" si="1"/>
        <v/>
      </c>
    </row>
    <row r="95" spans="1:14" ht="20" x14ac:dyDescent="0.2">
      <c r="A95" s="171">
        <v>5</v>
      </c>
      <c r="B95" s="172" t="s">
        <v>504</v>
      </c>
      <c r="C95" s="171" t="s">
        <v>1352</v>
      </c>
      <c r="D95" s="171" t="s">
        <v>1242</v>
      </c>
      <c r="E95" s="171" t="s">
        <v>1236</v>
      </c>
      <c r="F95" s="171" t="s">
        <v>1237</v>
      </c>
      <c r="I95" t="s">
        <v>504</v>
      </c>
      <c r="J95" t="s">
        <v>1242</v>
      </c>
      <c r="L95" s="16" t="s">
        <v>504</v>
      </c>
      <c r="N95" t="str">
        <f t="shared" si="1"/>
        <v/>
      </c>
    </row>
    <row r="96" spans="1:14" ht="20" x14ac:dyDescent="0.2">
      <c r="A96" s="171">
        <v>124</v>
      </c>
      <c r="B96" s="169" t="s">
        <v>505</v>
      </c>
      <c r="C96" s="171" t="s">
        <v>1353</v>
      </c>
      <c r="D96" s="171" t="s">
        <v>1242</v>
      </c>
      <c r="E96" s="171" t="s">
        <v>360</v>
      </c>
      <c r="F96" s="171" t="s">
        <v>1275</v>
      </c>
      <c r="I96" t="s">
        <v>505</v>
      </c>
      <c r="J96" t="s">
        <v>1242</v>
      </c>
      <c r="L96" s="16" t="s">
        <v>505</v>
      </c>
      <c r="N96" t="str">
        <f t="shared" si="1"/>
        <v/>
      </c>
    </row>
    <row r="97" spans="1:15" ht="20" x14ac:dyDescent="0.2">
      <c r="A97" s="171">
        <v>125</v>
      </c>
      <c r="B97" s="169" t="s">
        <v>506</v>
      </c>
      <c r="C97" s="171" t="s">
        <v>1354</v>
      </c>
      <c r="D97" s="171" t="s">
        <v>1242</v>
      </c>
      <c r="E97" s="171" t="s">
        <v>360</v>
      </c>
      <c r="F97" s="171" t="s">
        <v>1275</v>
      </c>
      <c r="I97" t="s">
        <v>506</v>
      </c>
      <c r="J97" t="s">
        <v>1242</v>
      </c>
      <c r="L97" s="16" t="s">
        <v>506</v>
      </c>
      <c r="N97" t="str">
        <f t="shared" si="1"/>
        <v/>
      </c>
    </row>
    <row r="98" spans="1:15" ht="20" x14ac:dyDescent="0.2">
      <c r="A98" s="171">
        <v>30</v>
      </c>
      <c r="B98" s="169" t="s">
        <v>507</v>
      </c>
      <c r="C98" s="171" t="s">
        <v>1355</v>
      </c>
      <c r="D98" s="171" t="s">
        <v>1242</v>
      </c>
      <c r="E98" s="171" t="s">
        <v>1236</v>
      </c>
      <c r="F98" s="171" t="s">
        <v>1240</v>
      </c>
      <c r="I98" t="s">
        <v>507</v>
      </c>
      <c r="J98" t="s">
        <v>1242</v>
      </c>
      <c r="L98" s="16" t="s">
        <v>507</v>
      </c>
      <c r="N98" t="str">
        <f t="shared" si="1"/>
        <v/>
      </c>
    </row>
    <row r="99" spans="1:15" ht="20" x14ac:dyDescent="0.2">
      <c r="A99" s="171">
        <v>31</v>
      </c>
      <c r="B99" s="169" t="s">
        <v>508</v>
      </c>
      <c r="C99" s="171" t="s">
        <v>1356</v>
      </c>
      <c r="D99" s="171" t="s">
        <v>1242</v>
      </c>
      <c r="E99" s="171" t="s">
        <v>1236</v>
      </c>
      <c r="F99" s="171" t="s">
        <v>1240</v>
      </c>
      <c r="I99" t="s">
        <v>508</v>
      </c>
      <c r="J99" t="s">
        <v>1242</v>
      </c>
      <c r="L99" t="s">
        <v>508</v>
      </c>
      <c r="N99" t="str">
        <f t="shared" si="1"/>
        <v/>
      </c>
    </row>
    <row r="100" spans="1:15" ht="20" x14ac:dyDescent="0.2">
      <c r="A100" s="171">
        <v>32</v>
      </c>
      <c r="B100" s="169" t="s">
        <v>509</v>
      </c>
      <c r="C100" s="171" t="s">
        <v>1357</v>
      </c>
      <c r="D100" s="171" t="s">
        <v>1242</v>
      </c>
      <c r="E100" s="171" t="s">
        <v>1236</v>
      </c>
      <c r="F100" s="171" t="s">
        <v>1240</v>
      </c>
      <c r="I100" t="s">
        <v>509</v>
      </c>
      <c r="J100" t="s">
        <v>1242</v>
      </c>
      <c r="L100" t="s">
        <v>509</v>
      </c>
      <c r="N100" t="str">
        <f t="shared" si="1"/>
        <v/>
      </c>
    </row>
    <row r="101" spans="1:15" ht="20" x14ac:dyDescent="0.2">
      <c r="A101" s="171">
        <v>83</v>
      </c>
      <c r="B101" s="169" t="s">
        <v>511</v>
      </c>
      <c r="C101" s="171" t="s">
        <v>1358</v>
      </c>
      <c r="D101" s="171" t="s">
        <v>1235</v>
      </c>
      <c r="E101" s="171" t="s">
        <v>336</v>
      </c>
      <c r="F101" s="171" t="s">
        <v>1243</v>
      </c>
      <c r="L101" s="16" t="s">
        <v>510</v>
      </c>
      <c r="N101" t="str">
        <f t="shared" si="1"/>
        <v>X</v>
      </c>
      <c r="O101" s="16" t="s">
        <v>510</v>
      </c>
    </row>
    <row r="102" spans="1:15" ht="20" x14ac:dyDescent="0.2">
      <c r="A102" s="171">
        <v>82</v>
      </c>
      <c r="B102" s="169" t="s">
        <v>513</v>
      </c>
      <c r="C102" s="171" t="s">
        <v>1359</v>
      </c>
      <c r="D102" s="171" t="s">
        <v>1242</v>
      </c>
      <c r="E102" s="171" t="s">
        <v>336</v>
      </c>
      <c r="F102" s="171" t="s">
        <v>1243</v>
      </c>
      <c r="I102" t="s">
        <v>511</v>
      </c>
      <c r="J102" t="s">
        <v>1235</v>
      </c>
      <c r="L102" s="16" t="s">
        <v>511</v>
      </c>
      <c r="N102" t="str">
        <f t="shared" si="1"/>
        <v/>
      </c>
    </row>
    <row r="103" spans="1:15" ht="20" x14ac:dyDescent="0.2">
      <c r="A103" s="171">
        <v>94</v>
      </c>
      <c r="B103" s="169" t="s">
        <v>514</v>
      </c>
      <c r="C103" s="171" t="s">
        <v>1360</v>
      </c>
      <c r="D103" s="171" t="s">
        <v>1242</v>
      </c>
      <c r="E103" s="171" t="s">
        <v>336</v>
      </c>
      <c r="F103" s="171" t="s">
        <v>1253</v>
      </c>
      <c r="L103" s="16" t="s">
        <v>512</v>
      </c>
      <c r="N103" t="str">
        <f t="shared" si="1"/>
        <v>X</v>
      </c>
      <c r="O103" s="16" t="s">
        <v>512</v>
      </c>
    </row>
    <row r="104" spans="1:15" ht="20" x14ac:dyDescent="0.2">
      <c r="A104" s="171">
        <v>95</v>
      </c>
      <c r="B104" s="169" t="s">
        <v>515</v>
      </c>
      <c r="C104" s="171" t="s">
        <v>1361</v>
      </c>
      <c r="D104" s="171" t="s">
        <v>1235</v>
      </c>
      <c r="E104" s="171" t="s">
        <v>336</v>
      </c>
      <c r="F104" s="171" t="s">
        <v>1253</v>
      </c>
      <c r="I104" t="s">
        <v>513</v>
      </c>
      <c r="J104" t="s">
        <v>1242</v>
      </c>
      <c r="L104" s="16" t="s">
        <v>513</v>
      </c>
      <c r="N104" t="str">
        <f t="shared" si="1"/>
        <v/>
      </c>
    </row>
    <row r="105" spans="1:15" ht="20" x14ac:dyDescent="0.2">
      <c r="A105" s="171">
        <v>106</v>
      </c>
      <c r="B105" s="169" t="s">
        <v>516</v>
      </c>
      <c r="C105" s="171" t="s">
        <v>1362</v>
      </c>
      <c r="D105" s="171" t="s">
        <v>1242</v>
      </c>
      <c r="E105" s="171" t="s">
        <v>336</v>
      </c>
      <c r="F105" s="171" t="s">
        <v>1268</v>
      </c>
      <c r="I105" t="s">
        <v>514</v>
      </c>
      <c r="J105" t="s">
        <v>1242</v>
      </c>
      <c r="L105" s="16" t="s">
        <v>514</v>
      </c>
      <c r="N105" t="str">
        <f t="shared" si="1"/>
        <v/>
      </c>
    </row>
    <row r="106" spans="1:15" ht="20" x14ac:dyDescent="0.2">
      <c r="A106" s="171">
        <v>19</v>
      </c>
      <c r="B106" s="169" t="s">
        <v>517</v>
      </c>
      <c r="C106" s="171" t="s">
        <v>1363</v>
      </c>
      <c r="D106" s="171" t="s">
        <v>1235</v>
      </c>
      <c r="E106" s="171" t="s">
        <v>1236</v>
      </c>
      <c r="F106" s="171" t="s">
        <v>1261</v>
      </c>
      <c r="I106" t="s">
        <v>515</v>
      </c>
      <c r="J106" t="s">
        <v>1235</v>
      </c>
      <c r="L106" s="16" t="s">
        <v>515</v>
      </c>
      <c r="N106" t="str">
        <f t="shared" si="1"/>
        <v/>
      </c>
    </row>
    <row r="107" spans="1:15" ht="20" x14ac:dyDescent="0.2">
      <c r="A107" s="171">
        <v>25</v>
      </c>
      <c r="B107" s="169" t="s">
        <v>518</v>
      </c>
      <c r="C107" s="171" t="s">
        <v>1364</v>
      </c>
      <c r="D107" s="171" t="s">
        <v>1239</v>
      </c>
      <c r="E107" s="171" t="s">
        <v>1236</v>
      </c>
      <c r="F107" s="171" t="s">
        <v>1240</v>
      </c>
      <c r="I107" t="s">
        <v>516</v>
      </c>
      <c r="J107" t="s">
        <v>1242</v>
      </c>
      <c r="L107" s="16" t="s">
        <v>516</v>
      </c>
      <c r="N107" t="str">
        <f t="shared" si="1"/>
        <v/>
      </c>
    </row>
    <row r="108" spans="1:15" ht="20" x14ac:dyDescent="0.2">
      <c r="A108" s="171">
        <v>54</v>
      </c>
      <c r="B108" s="169" t="s">
        <v>519</v>
      </c>
      <c r="C108" s="171" t="s">
        <v>1365</v>
      </c>
      <c r="D108" s="171" t="s">
        <v>1252</v>
      </c>
      <c r="E108" s="171" t="s">
        <v>1236</v>
      </c>
      <c r="F108" s="171" t="s">
        <v>1257</v>
      </c>
      <c r="I108" t="s">
        <v>517</v>
      </c>
      <c r="J108" t="s">
        <v>1235</v>
      </c>
      <c r="L108" s="16" t="s">
        <v>517</v>
      </c>
      <c r="N108" t="str">
        <f t="shared" si="1"/>
        <v/>
      </c>
    </row>
    <row r="109" spans="1:15" ht="20" x14ac:dyDescent="0.2">
      <c r="A109" s="171">
        <v>55</v>
      </c>
      <c r="B109" s="169" t="s">
        <v>520</v>
      </c>
      <c r="C109" s="171" t="s">
        <v>1366</v>
      </c>
      <c r="D109" s="171" t="s">
        <v>1252</v>
      </c>
      <c r="E109" s="171" t="s">
        <v>1236</v>
      </c>
      <c r="F109" s="171" t="s">
        <v>1257</v>
      </c>
      <c r="I109" t="s">
        <v>518</v>
      </c>
      <c r="J109" t="s">
        <v>1239</v>
      </c>
      <c r="L109" s="16" t="s">
        <v>518</v>
      </c>
      <c r="N109" t="str">
        <f t="shared" si="1"/>
        <v/>
      </c>
    </row>
    <row r="110" spans="1:15" ht="20" x14ac:dyDescent="0.2">
      <c r="A110" s="171">
        <v>56</v>
      </c>
      <c r="B110" s="169" t="s">
        <v>521</v>
      </c>
      <c r="C110" s="171" t="s">
        <v>1367</v>
      </c>
      <c r="D110" s="171" t="s">
        <v>1368</v>
      </c>
      <c r="E110" s="171" t="s">
        <v>1236</v>
      </c>
      <c r="F110" s="171" t="s">
        <v>1257</v>
      </c>
      <c r="I110" t="s">
        <v>519</v>
      </c>
      <c r="J110" t="s">
        <v>1252</v>
      </c>
      <c r="L110" s="16" t="s">
        <v>519</v>
      </c>
      <c r="N110" t="str">
        <f t="shared" si="1"/>
        <v/>
      </c>
    </row>
    <row r="111" spans="1:15" ht="20" x14ac:dyDescent="0.2">
      <c r="A111" s="171">
        <v>43</v>
      </c>
      <c r="B111" s="169" t="s">
        <v>522</v>
      </c>
      <c r="C111" s="171" t="s">
        <v>1369</v>
      </c>
      <c r="D111" s="171" t="s">
        <v>1256</v>
      </c>
      <c r="E111" s="171" t="s">
        <v>1236</v>
      </c>
      <c r="F111" s="171" t="s">
        <v>1240</v>
      </c>
      <c r="I111" t="s">
        <v>520</v>
      </c>
      <c r="J111" t="s">
        <v>1252</v>
      </c>
      <c r="L111" s="16" t="s">
        <v>520</v>
      </c>
      <c r="N111" t="str">
        <f t="shared" si="1"/>
        <v/>
      </c>
    </row>
    <row r="112" spans="1:15" ht="20" x14ac:dyDescent="0.2">
      <c r="A112" s="171">
        <v>13</v>
      </c>
      <c r="B112" s="169" t="s">
        <v>523</v>
      </c>
      <c r="C112" s="171" t="s">
        <v>1370</v>
      </c>
      <c r="D112" s="171" t="s">
        <v>1235</v>
      </c>
      <c r="E112" s="171" t="s">
        <v>1236</v>
      </c>
      <c r="F112" s="171" t="s">
        <v>1294</v>
      </c>
      <c r="I112" t="s">
        <v>521</v>
      </c>
      <c r="J112" t="s">
        <v>1368</v>
      </c>
      <c r="L112" s="16" t="s">
        <v>521</v>
      </c>
      <c r="N112" t="str">
        <f t="shared" si="1"/>
        <v/>
      </c>
    </row>
    <row r="113" spans="1:14" ht="20" x14ac:dyDescent="0.2">
      <c r="A113" s="171">
        <v>14</v>
      </c>
      <c r="B113" s="169" t="s">
        <v>524</v>
      </c>
      <c r="C113" s="171" t="s">
        <v>1371</v>
      </c>
      <c r="D113" s="171" t="s">
        <v>1235</v>
      </c>
      <c r="E113" s="171" t="s">
        <v>1236</v>
      </c>
      <c r="F113" s="171" t="s">
        <v>1294</v>
      </c>
      <c r="I113" t="s">
        <v>522</v>
      </c>
      <c r="J113" t="s">
        <v>1256</v>
      </c>
      <c r="L113" s="16" t="s">
        <v>522</v>
      </c>
      <c r="N113" t="str">
        <f t="shared" si="1"/>
        <v/>
      </c>
    </row>
    <row r="114" spans="1:14" ht="20" x14ac:dyDescent="0.2">
      <c r="A114" s="171">
        <v>33</v>
      </c>
      <c r="B114" s="169" t="s">
        <v>525</v>
      </c>
      <c r="C114" s="171" t="s">
        <v>1372</v>
      </c>
      <c r="D114" s="171" t="s">
        <v>1242</v>
      </c>
      <c r="E114" s="171" t="s">
        <v>1236</v>
      </c>
      <c r="F114" s="171" t="s">
        <v>1240</v>
      </c>
      <c r="I114" t="s">
        <v>523</v>
      </c>
      <c r="J114" t="s">
        <v>1235</v>
      </c>
      <c r="L114" s="16" t="s">
        <v>523</v>
      </c>
      <c r="N114" t="str">
        <f t="shared" si="1"/>
        <v/>
      </c>
    </row>
    <row r="115" spans="1:14" ht="20" x14ac:dyDescent="0.2">
      <c r="A115" s="171">
        <v>34</v>
      </c>
      <c r="B115" s="169" t="s">
        <v>526</v>
      </c>
      <c r="C115" s="171" t="s">
        <v>1373</v>
      </c>
      <c r="D115" s="171" t="s">
        <v>1242</v>
      </c>
      <c r="E115" s="171" t="s">
        <v>1236</v>
      </c>
      <c r="F115" s="171" t="s">
        <v>1240</v>
      </c>
      <c r="I115" t="s">
        <v>524</v>
      </c>
      <c r="J115" t="s">
        <v>1235</v>
      </c>
      <c r="L115" s="16" t="s">
        <v>524</v>
      </c>
      <c r="N115" t="str">
        <f t="shared" si="1"/>
        <v/>
      </c>
    </row>
    <row r="116" spans="1:14" ht="20" x14ac:dyDescent="0.2">
      <c r="A116" s="171">
        <v>35</v>
      </c>
      <c r="B116" s="169" t="s">
        <v>527</v>
      </c>
      <c r="C116" s="171" t="s">
        <v>1374</v>
      </c>
      <c r="D116" s="171" t="s">
        <v>1242</v>
      </c>
      <c r="E116" s="171" t="s">
        <v>1236</v>
      </c>
      <c r="F116" s="171" t="s">
        <v>1240</v>
      </c>
      <c r="I116" t="s">
        <v>525</v>
      </c>
      <c r="J116" t="s">
        <v>1242</v>
      </c>
      <c r="L116" s="16" t="s">
        <v>525</v>
      </c>
      <c r="N116" t="str">
        <f t="shared" si="1"/>
        <v/>
      </c>
    </row>
    <row r="117" spans="1:14" ht="20" x14ac:dyDescent="0.2">
      <c r="A117" s="171">
        <v>36</v>
      </c>
      <c r="B117" s="169" t="s">
        <v>528</v>
      </c>
      <c r="C117" s="171" t="s">
        <v>1375</v>
      </c>
      <c r="D117" s="171" t="s">
        <v>1242</v>
      </c>
      <c r="E117" s="171" t="s">
        <v>1236</v>
      </c>
      <c r="F117" s="171" t="s">
        <v>1240</v>
      </c>
      <c r="I117" t="s">
        <v>526</v>
      </c>
      <c r="J117" t="s">
        <v>1242</v>
      </c>
      <c r="L117" s="16" t="s">
        <v>526</v>
      </c>
      <c r="N117" t="str">
        <f t="shared" si="1"/>
        <v/>
      </c>
    </row>
    <row r="118" spans="1:14" ht="20" x14ac:dyDescent="0.2">
      <c r="A118" s="171">
        <v>37</v>
      </c>
      <c r="B118" s="169" t="s">
        <v>529</v>
      </c>
      <c r="C118" s="171" t="s">
        <v>1376</v>
      </c>
      <c r="D118" s="171" t="s">
        <v>1242</v>
      </c>
      <c r="E118" s="171" t="s">
        <v>1236</v>
      </c>
      <c r="F118" s="171" t="s">
        <v>1240</v>
      </c>
      <c r="I118" t="s">
        <v>527</v>
      </c>
      <c r="J118" t="s">
        <v>1242</v>
      </c>
      <c r="L118" s="16" t="s">
        <v>527</v>
      </c>
      <c r="N118" t="str">
        <f t="shared" si="1"/>
        <v/>
      </c>
    </row>
    <row r="119" spans="1:14" ht="20" x14ac:dyDescent="0.2">
      <c r="A119" s="171">
        <v>98</v>
      </c>
      <c r="B119" s="169" t="s">
        <v>530</v>
      </c>
      <c r="C119" s="171" t="s">
        <v>1377</v>
      </c>
      <c r="D119" s="171" t="s">
        <v>1252</v>
      </c>
      <c r="E119" s="171" t="s">
        <v>336</v>
      </c>
      <c r="F119" s="171" t="s">
        <v>1253</v>
      </c>
      <c r="I119" t="s">
        <v>528</v>
      </c>
      <c r="J119" t="s">
        <v>1242</v>
      </c>
      <c r="L119" s="16" t="s">
        <v>528</v>
      </c>
      <c r="N119" t="str">
        <f t="shared" si="1"/>
        <v/>
      </c>
    </row>
    <row r="120" spans="1:14" ht="20" x14ac:dyDescent="0.2">
      <c r="A120" s="171">
        <v>48</v>
      </c>
      <c r="B120" s="169" t="s">
        <v>531</v>
      </c>
      <c r="C120" s="171" t="s">
        <v>1378</v>
      </c>
      <c r="D120" s="171" t="s">
        <v>1242</v>
      </c>
      <c r="E120" s="171" t="s">
        <v>1236</v>
      </c>
      <c r="F120" s="171" t="s">
        <v>1263</v>
      </c>
      <c r="I120" t="s">
        <v>529</v>
      </c>
      <c r="J120" t="s">
        <v>1242</v>
      </c>
      <c r="L120" s="16" t="s">
        <v>529</v>
      </c>
      <c r="N120" t="str">
        <f t="shared" si="1"/>
        <v/>
      </c>
    </row>
    <row r="121" spans="1:14" ht="20" x14ac:dyDescent="0.2">
      <c r="A121" s="171">
        <v>49</v>
      </c>
      <c r="B121" s="169" t="s">
        <v>532</v>
      </c>
      <c r="C121" s="171" t="s">
        <v>1379</v>
      </c>
      <c r="D121" s="171" t="s">
        <v>1242</v>
      </c>
      <c r="E121" s="171" t="s">
        <v>1236</v>
      </c>
      <c r="F121" s="171" t="s">
        <v>1263</v>
      </c>
      <c r="I121" t="s">
        <v>530</v>
      </c>
      <c r="J121" t="s">
        <v>1252</v>
      </c>
      <c r="L121" s="16" t="s">
        <v>530</v>
      </c>
      <c r="N121" t="str">
        <f t="shared" si="1"/>
        <v/>
      </c>
    </row>
    <row r="122" spans="1:14" ht="20" x14ac:dyDescent="0.2">
      <c r="A122" s="171">
        <v>20</v>
      </c>
      <c r="B122" s="169" t="s">
        <v>533</v>
      </c>
      <c r="C122" s="171" t="s">
        <v>1380</v>
      </c>
      <c r="D122" s="171" t="s">
        <v>1235</v>
      </c>
      <c r="E122" s="171" t="s">
        <v>1236</v>
      </c>
      <c r="F122" s="171" t="s">
        <v>1261</v>
      </c>
      <c r="I122" t="s">
        <v>531</v>
      </c>
      <c r="J122" t="s">
        <v>1242</v>
      </c>
      <c r="L122" s="16" t="s">
        <v>531</v>
      </c>
      <c r="N122" t="str">
        <f t="shared" si="1"/>
        <v/>
      </c>
    </row>
    <row r="123" spans="1:14" ht="20" x14ac:dyDescent="0.2">
      <c r="A123" s="171">
        <v>57</v>
      </c>
      <c r="B123" s="169" t="s">
        <v>534</v>
      </c>
      <c r="C123" s="171" t="s">
        <v>1381</v>
      </c>
      <c r="D123" s="171" t="s">
        <v>1252</v>
      </c>
      <c r="E123" s="171" t="s">
        <v>1236</v>
      </c>
      <c r="F123" s="171" t="s">
        <v>1257</v>
      </c>
      <c r="I123" t="s">
        <v>532</v>
      </c>
      <c r="J123" t="s">
        <v>1242</v>
      </c>
      <c r="L123" s="16" t="s">
        <v>532</v>
      </c>
      <c r="N123" t="str">
        <f t="shared" si="1"/>
        <v/>
      </c>
    </row>
    <row r="124" spans="1:14" ht="20" x14ac:dyDescent="0.2">
      <c r="A124" s="171">
        <v>38</v>
      </c>
      <c r="B124" s="169" t="s">
        <v>535</v>
      </c>
      <c r="C124" s="171" t="s">
        <v>1382</v>
      </c>
      <c r="D124" s="171" t="s">
        <v>1242</v>
      </c>
      <c r="E124" s="171" t="s">
        <v>1236</v>
      </c>
      <c r="F124" s="171" t="s">
        <v>1240</v>
      </c>
      <c r="I124" t="s">
        <v>533</v>
      </c>
      <c r="J124" t="s">
        <v>1235</v>
      </c>
      <c r="L124" s="16" t="s">
        <v>533</v>
      </c>
      <c r="N124" t="str">
        <f t="shared" si="1"/>
        <v/>
      </c>
    </row>
    <row r="125" spans="1:14" ht="20" x14ac:dyDescent="0.2">
      <c r="A125" s="171">
        <v>107</v>
      </c>
      <c r="B125" s="169" t="s">
        <v>536</v>
      </c>
      <c r="C125" s="171" t="s">
        <v>1383</v>
      </c>
      <c r="D125" s="171" t="s">
        <v>1242</v>
      </c>
      <c r="E125" s="171" t="s">
        <v>336</v>
      </c>
      <c r="F125" s="171" t="s">
        <v>1268</v>
      </c>
      <c r="I125" t="s">
        <v>534</v>
      </c>
      <c r="J125" t="s">
        <v>1252</v>
      </c>
      <c r="L125" s="16" t="s">
        <v>534</v>
      </c>
      <c r="N125" t="str">
        <f t="shared" si="1"/>
        <v/>
      </c>
    </row>
    <row r="126" spans="1:14" ht="20" x14ac:dyDescent="0.2">
      <c r="A126" s="171">
        <v>108</v>
      </c>
      <c r="B126" s="169" t="s">
        <v>537</v>
      </c>
      <c r="C126" s="171" t="s">
        <v>1384</v>
      </c>
      <c r="D126" s="171" t="s">
        <v>1242</v>
      </c>
      <c r="E126" s="171" t="s">
        <v>336</v>
      </c>
      <c r="F126" s="171" t="s">
        <v>1268</v>
      </c>
      <c r="I126" t="s">
        <v>535</v>
      </c>
      <c r="J126" t="s">
        <v>1242</v>
      </c>
      <c r="L126" s="16" t="s">
        <v>535</v>
      </c>
      <c r="N126" t="str">
        <f t="shared" si="1"/>
        <v/>
      </c>
    </row>
    <row r="127" spans="1:14" ht="20" x14ac:dyDescent="0.2">
      <c r="A127" s="171">
        <v>26</v>
      </c>
      <c r="B127" s="169" t="s">
        <v>538</v>
      </c>
      <c r="C127" s="171" t="s">
        <v>1385</v>
      </c>
      <c r="D127" s="171" t="s">
        <v>1239</v>
      </c>
      <c r="E127" s="171" t="s">
        <v>1236</v>
      </c>
      <c r="F127" s="171" t="s">
        <v>1240</v>
      </c>
      <c r="I127" t="s">
        <v>536</v>
      </c>
      <c r="J127" t="s">
        <v>1242</v>
      </c>
      <c r="L127" s="16" t="s">
        <v>536</v>
      </c>
      <c r="N127" t="str">
        <f t="shared" si="1"/>
        <v/>
      </c>
    </row>
    <row r="128" spans="1:14" ht="20" x14ac:dyDescent="0.2">
      <c r="A128" s="171">
        <v>27</v>
      </c>
      <c r="B128" s="169" t="s">
        <v>539</v>
      </c>
      <c r="C128" s="171" t="s">
        <v>1386</v>
      </c>
      <c r="D128" s="171" t="s">
        <v>1239</v>
      </c>
      <c r="E128" s="171" t="s">
        <v>1236</v>
      </c>
      <c r="F128" s="171" t="s">
        <v>1240</v>
      </c>
      <c r="I128" t="s">
        <v>537</v>
      </c>
      <c r="J128" t="s">
        <v>1242</v>
      </c>
      <c r="L128" s="16" t="s">
        <v>537</v>
      </c>
      <c r="N128" t="str">
        <f t="shared" si="1"/>
        <v/>
      </c>
    </row>
    <row r="129" spans="1:14" ht="20" x14ac:dyDescent="0.2">
      <c r="A129" s="171">
        <v>138</v>
      </c>
      <c r="B129" s="169" t="s">
        <v>540</v>
      </c>
      <c r="C129" s="171" t="s">
        <v>1387</v>
      </c>
      <c r="D129" s="171" t="s">
        <v>1242</v>
      </c>
      <c r="E129" s="171" t="s">
        <v>360</v>
      </c>
      <c r="F129" s="171" t="s">
        <v>1247</v>
      </c>
      <c r="I129" t="s">
        <v>538</v>
      </c>
      <c r="J129" t="s">
        <v>1239</v>
      </c>
      <c r="L129" s="16" t="s">
        <v>538</v>
      </c>
      <c r="N129" t="str">
        <f t="shared" si="1"/>
        <v/>
      </c>
    </row>
    <row r="130" spans="1:14" ht="20" x14ac:dyDescent="0.2">
      <c r="A130" s="171">
        <v>147</v>
      </c>
      <c r="B130" s="169" t="s">
        <v>541</v>
      </c>
      <c r="C130" s="171" t="s">
        <v>1388</v>
      </c>
      <c r="D130" s="171" t="s">
        <v>1252</v>
      </c>
      <c r="E130" s="171" t="s">
        <v>360</v>
      </c>
      <c r="F130" s="171" t="s">
        <v>1259</v>
      </c>
      <c r="I130" t="s">
        <v>539</v>
      </c>
      <c r="J130" t="s">
        <v>1239</v>
      </c>
      <c r="L130" s="16" t="s">
        <v>539</v>
      </c>
      <c r="N130" t="str">
        <f t="shared" ref="N130:N156" si="2">IF(I130=L130,"","X")</f>
        <v/>
      </c>
    </row>
    <row r="131" spans="1:14" ht="20" x14ac:dyDescent="0.2">
      <c r="A131" s="171">
        <v>133</v>
      </c>
      <c r="B131" s="169" t="s">
        <v>542</v>
      </c>
      <c r="C131" s="171" t="s">
        <v>1389</v>
      </c>
      <c r="D131" s="171" t="s">
        <v>1242</v>
      </c>
      <c r="E131" s="171" t="s">
        <v>360</v>
      </c>
      <c r="F131" s="171" t="s">
        <v>1297</v>
      </c>
      <c r="I131" t="s">
        <v>540</v>
      </c>
      <c r="J131" t="s">
        <v>1242</v>
      </c>
      <c r="L131" s="16" t="s">
        <v>540</v>
      </c>
      <c r="N131" t="str">
        <f t="shared" si="2"/>
        <v/>
      </c>
    </row>
    <row r="132" spans="1:14" ht="20" x14ac:dyDescent="0.2">
      <c r="A132" s="171">
        <v>134</v>
      </c>
      <c r="B132" s="169" t="s">
        <v>543</v>
      </c>
      <c r="C132" s="171" t="s">
        <v>1390</v>
      </c>
      <c r="D132" s="171" t="s">
        <v>1242</v>
      </c>
      <c r="E132" s="171" t="s">
        <v>360</v>
      </c>
      <c r="F132" s="171" t="s">
        <v>1297</v>
      </c>
      <c r="I132" t="s">
        <v>541</v>
      </c>
      <c r="J132" t="s">
        <v>1252</v>
      </c>
      <c r="L132" s="16" t="s">
        <v>541</v>
      </c>
      <c r="N132" t="str">
        <f t="shared" si="2"/>
        <v/>
      </c>
    </row>
    <row r="133" spans="1:14" ht="20" x14ac:dyDescent="0.2">
      <c r="A133" s="171">
        <v>109</v>
      </c>
      <c r="B133" s="169" t="s">
        <v>544</v>
      </c>
      <c r="C133" s="171" t="s">
        <v>1391</v>
      </c>
      <c r="D133" s="171" t="s">
        <v>1242</v>
      </c>
      <c r="E133" s="171" t="s">
        <v>336</v>
      </c>
      <c r="F133" s="171" t="s">
        <v>1268</v>
      </c>
      <c r="I133" t="s">
        <v>542</v>
      </c>
      <c r="J133" t="s">
        <v>1242</v>
      </c>
      <c r="L133" s="16" t="s">
        <v>542</v>
      </c>
      <c r="N133" t="str">
        <f t="shared" si="2"/>
        <v/>
      </c>
    </row>
    <row r="134" spans="1:14" ht="20" x14ac:dyDescent="0.2">
      <c r="A134" s="171">
        <v>68</v>
      </c>
      <c r="B134" s="169" t="s">
        <v>545</v>
      </c>
      <c r="C134" s="171" t="s">
        <v>1392</v>
      </c>
      <c r="D134" s="171" t="s">
        <v>1242</v>
      </c>
      <c r="E134" s="171" t="s">
        <v>1236</v>
      </c>
      <c r="F134" s="171" t="s">
        <v>1245</v>
      </c>
      <c r="I134" t="s">
        <v>543</v>
      </c>
      <c r="J134" t="s">
        <v>1242</v>
      </c>
      <c r="L134" s="16" t="s">
        <v>543</v>
      </c>
      <c r="N134" t="str">
        <f t="shared" si="2"/>
        <v/>
      </c>
    </row>
    <row r="135" spans="1:14" ht="20" x14ac:dyDescent="0.2">
      <c r="A135" s="171">
        <v>69</v>
      </c>
      <c r="B135" s="169" t="s">
        <v>546</v>
      </c>
      <c r="C135" s="171" t="s">
        <v>1393</v>
      </c>
      <c r="D135" s="171" t="s">
        <v>1235</v>
      </c>
      <c r="E135" s="171" t="s">
        <v>1236</v>
      </c>
      <c r="F135" s="171" t="s">
        <v>1245</v>
      </c>
      <c r="I135" t="s">
        <v>544</v>
      </c>
      <c r="J135" t="s">
        <v>1242</v>
      </c>
      <c r="L135" s="16" t="s">
        <v>544</v>
      </c>
      <c r="N135" t="str">
        <f t="shared" si="2"/>
        <v/>
      </c>
    </row>
    <row r="136" spans="1:14" ht="20" x14ac:dyDescent="0.2">
      <c r="A136" s="171">
        <v>135</v>
      </c>
      <c r="B136" s="169" t="s">
        <v>547</v>
      </c>
      <c r="C136" s="171" t="s">
        <v>1394</v>
      </c>
      <c r="D136" s="171" t="s">
        <v>1242</v>
      </c>
      <c r="E136" s="171" t="s">
        <v>360</v>
      </c>
      <c r="F136" s="171" t="s">
        <v>1297</v>
      </c>
      <c r="I136" t="s">
        <v>545</v>
      </c>
      <c r="J136" t="s">
        <v>1242</v>
      </c>
      <c r="L136" s="16" t="s">
        <v>545</v>
      </c>
      <c r="N136" t="str">
        <f t="shared" si="2"/>
        <v/>
      </c>
    </row>
    <row r="137" spans="1:14" ht="20" x14ac:dyDescent="0.2">
      <c r="A137" s="171">
        <v>148</v>
      </c>
      <c r="B137" s="169" t="s">
        <v>548</v>
      </c>
      <c r="C137" s="171" t="s">
        <v>1395</v>
      </c>
      <c r="D137" s="171" t="s">
        <v>1252</v>
      </c>
      <c r="E137" s="171" t="s">
        <v>360</v>
      </c>
      <c r="F137" s="171" t="s">
        <v>1259</v>
      </c>
      <c r="I137" t="s">
        <v>546</v>
      </c>
      <c r="J137" t="s">
        <v>1235</v>
      </c>
      <c r="L137" s="16" t="s">
        <v>546</v>
      </c>
      <c r="N137" t="str">
        <f t="shared" si="2"/>
        <v/>
      </c>
    </row>
    <row r="138" spans="1:14" ht="20" x14ac:dyDescent="0.2">
      <c r="A138" s="171">
        <v>139</v>
      </c>
      <c r="B138" s="169" t="s">
        <v>549</v>
      </c>
      <c r="C138" s="171" t="s">
        <v>1396</v>
      </c>
      <c r="D138" s="171" t="s">
        <v>1242</v>
      </c>
      <c r="E138" s="171" t="s">
        <v>360</v>
      </c>
      <c r="F138" s="171" t="s">
        <v>1247</v>
      </c>
      <c r="I138" t="s">
        <v>547</v>
      </c>
      <c r="J138" t="s">
        <v>1242</v>
      </c>
      <c r="L138" s="16" t="s">
        <v>547</v>
      </c>
      <c r="N138" t="str">
        <f t="shared" si="2"/>
        <v/>
      </c>
    </row>
    <row r="139" spans="1:14" ht="20" x14ac:dyDescent="0.2">
      <c r="A139" s="171">
        <v>140</v>
      </c>
      <c r="B139" s="169" t="s">
        <v>550</v>
      </c>
      <c r="C139" s="171" t="s">
        <v>1397</v>
      </c>
      <c r="D139" s="171" t="s">
        <v>1242</v>
      </c>
      <c r="E139" s="171" t="s">
        <v>360</v>
      </c>
      <c r="F139" s="171" t="s">
        <v>1247</v>
      </c>
      <c r="I139" t="s">
        <v>548</v>
      </c>
      <c r="J139" t="s">
        <v>1252</v>
      </c>
      <c r="L139" s="16" t="s">
        <v>548</v>
      </c>
      <c r="N139" t="str">
        <f t="shared" si="2"/>
        <v/>
      </c>
    </row>
    <row r="140" spans="1:14" ht="20" x14ac:dyDescent="0.2">
      <c r="A140" s="171">
        <v>41</v>
      </c>
      <c r="B140" s="169" t="s">
        <v>551</v>
      </c>
      <c r="C140" s="171" t="s">
        <v>1398</v>
      </c>
      <c r="D140" s="171" t="s">
        <v>1242</v>
      </c>
      <c r="E140" s="171" t="s">
        <v>360</v>
      </c>
      <c r="F140" s="171" t="s">
        <v>1247</v>
      </c>
      <c r="I140" t="s">
        <v>549</v>
      </c>
      <c r="J140" t="s">
        <v>1242</v>
      </c>
      <c r="L140" s="16" t="s">
        <v>549</v>
      </c>
      <c r="N140" t="str">
        <f t="shared" si="2"/>
        <v/>
      </c>
    </row>
    <row r="141" spans="1:14" ht="20" x14ac:dyDescent="0.2">
      <c r="A141" s="171">
        <v>39</v>
      </c>
      <c r="B141" s="169" t="s">
        <v>552</v>
      </c>
      <c r="C141" s="171" t="s">
        <v>1399</v>
      </c>
      <c r="D141" s="171" t="s">
        <v>1242</v>
      </c>
      <c r="E141" s="171" t="s">
        <v>1236</v>
      </c>
      <c r="F141" s="171" t="s">
        <v>1240</v>
      </c>
      <c r="I141" t="s">
        <v>550</v>
      </c>
      <c r="J141" t="s">
        <v>1242</v>
      </c>
      <c r="L141" s="16" t="s">
        <v>550</v>
      </c>
      <c r="N141" t="str">
        <f t="shared" si="2"/>
        <v/>
      </c>
    </row>
    <row r="142" spans="1:14" ht="20" x14ac:dyDescent="0.2">
      <c r="A142" s="171">
        <v>40</v>
      </c>
      <c r="B142" s="169" t="s">
        <v>553</v>
      </c>
      <c r="C142" s="171" t="s">
        <v>1400</v>
      </c>
      <c r="D142" s="171" t="s">
        <v>1242</v>
      </c>
      <c r="E142" s="171" t="s">
        <v>1236</v>
      </c>
      <c r="F142" s="171" t="s">
        <v>1240</v>
      </c>
      <c r="I142" t="s">
        <v>551</v>
      </c>
      <c r="J142" t="s">
        <v>1242</v>
      </c>
      <c r="L142" s="16" t="s">
        <v>551</v>
      </c>
      <c r="N142" t="str">
        <f t="shared" si="2"/>
        <v/>
      </c>
    </row>
    <row r="143" spans="1:14" ht="20" x14ac:dyDescent="0.2">
      <c r="A143" s="171">
        <v>149</v>
      </c>
      <c r="B143" s="169" t="s">
        <v>554</v>
      </c>
      <c r="C143" s="171" t="s">
        <v>1401</v>
      </c>
      <c r="D143" s="171" t="s">
        <v>1252</v>
      </c>
      <c r="E143" s="171" t="s">
        <v>360</v>
      </c>
      <c r="F143" s="171" t="s">
        <v>1259</v>
      </c>
      <c r="I143" t="s">
        <v>552</v>
      </c>
      <c r="J143" t="s">
        <v>1242</v>
      </c>
      <c r="L143" s="16" t="s">
        <v>552</v>
      </c>
      <c r="N143" t="str">
        <f t="shared" si="2"/>
        <v/>
      </c>
    </row>
    <row r="144" spans="1:14" ht="20" x14ac:dyDescent="0.2">
      <c r="A144" s="171">
        <v>28</v>
      </c>
      <c r="B144" s="169" t="s">
        <v>555</v>
      </c>
      <c r="C144" s="171" t="s">
        <v>1402</v>
      </c>
      <c r="D144" s="171" t="s">
        <v>1239</v>
      </c>
      <c r="E144" s="171" t="s">
        <v>1236</v>
      </c>
      <c r="F144" s="171" t="s">
        <v>1240</v>
      </c>
      <c r="I144" t="s">
        <v>553</v>
      </c>
      <c r="J144" t="s">
        <v>1242</v>
      </c>
      <c r="L144" s="16" t="s">
        <v>553</v>
      </c>
      <c r="N144" t="str">
        <f t="shared" si="2"/>
        <v/>
      </c>
    </row>
    <row r="145" spans="1:14" ht="20" x14ac:dyDescent="0.2">
      <c r="A145" s="171">
        <v>58</v>
      </c>
      <c r="B145" s="169" t="s">
        <v>556</v>
      </c>
      <c r="C145" s="171" t="s">
        <v>1403</v>
      </c>
      <c r="D145" s="171" t="s">
        <v>1252</v>
      </c>
      <c r="E145" s="171" t="s">
        <v>1236</v>
      </c>
      <c r="F145" s="171" t="s">
        <v>1257</v>
      </c>
      <c r="I145" t="s">
        <v>554</v>
      </c>
      <c r="J145" t="s">
        <v>1252</v>
      </c>
      <c r="L145" s="16" t="s">
        <v>554</v>
      </c>
      <c r="N145" t="str">
        <f t="shared" si="2"/>
        <v/>
      </c>
    </row>
    <row r="146" spans="1:14" ht="20" x14ac:dyDescent="0.2">
      <c r="A146" s="171">
        <v>72</v>
      </c>
      <c r="B146" s="169" t="s">
        <v>557</v>
      </c>
      <c r="C146" s="171" t="s">
        <v>1404</v>
      </c>
      <c r="D146" s="171" t="s">
        <v>1252</v>
      </c>
      <c r="E146" s="171" t="s">
        <v>1236</v>
      </c>
      <c r="F146" s="171" t="s">
        <v>1245</v>
      </c>
      <c r="I146" t="s">
        <v>555</v>
      </c>
      <c r="J146" t="s">
        <v>1239</v>
      </c>
      <c r="L146" s="16" t="s">
        <v>555</v>
      </c>
      <c r="N146" t="str">
        <f t="shared" si="2"/>
        <v/>
      </c>
    </row>
    <row r="147" spans="1:14" ht="20" x14ac:dyDescent="0.2">
      <c r="A147" s="171">
        <v>88</v>
      </c>
      <c r="B147" s="169" t="s">
        <v>558</v>
      </c>
      <c r="C147" s="171" t="s">
        <v>1405</v>
      </c>
      <c r="D147" s="171" t="s">
        <v>1239</v>
      </c>
      <c r="E147" s="171" t="s">
        <v>336</v>
      </c>
      <c r="F147" s="171" t="s">
        <v>1253</v>
      </c>
      <c r="I147" t="s">
        <v>556</v>
      </c>
      <c r="J147" t="s">
        <v>1252</v>
      </c>
      <c r="L147" s="16" t="s">
        <v>556</v>
      </c>
      <c r="N147" t="str">
        <f t="shared" si="2"/>
        <v/>
      </c>
    </row>
    <row r="148" spans="1:14" ht="20" x14ac:dyDescent="0.2">
      <c r="A148" s="171">
        <v>112</v>
      </c>
      <c r="B148" s="169" t="s">
        <v>559</v>
      </c>
      <c r="C148" s="171" t="s">
        <v>1406</v>
      </c>
      <c r="D148" s="171" t="s">
        <v>1242</v>
      </c>
      <c r="E148" s="171" t="s">
        <v>360</v>
      </c>
      <c r="F148" s="171" t="s">
        <v>1407</v>
      </c>
      <c r="I148" t="s">
        <v>557</v>
      </c>
      <c r="J148" t="s">
        <v>1252</v>
      </c>
      <c r="L148" s="16" t="s">
        <v>557</v>
      </c>
      <c r="N148" t="str">
        <f t="shared" si="2"/>
        <v/>
      </c>
    </row>
    <row r="149" spans="1:14" ht="20" x14ac:dyDescent="0.2">
      <c r="A149" s="171">
        <v>41</v>
      </c>
      <c r="B149" s="169" t="s">
        <v>560</v>
      </c>
      <c r="C149" s="171" t="s">
        <v>1408</v>
      </c>
      <c r="D149" s="171" t="s">
        <v>1242</v>
      </c>
      <c r="E149" s="171" t="s">
        <v>1236</v>
      </c>
      <c r="F149" s="171" t="s">
        <v>1240</v>
      </c>
      <c r="I149" t="s">
        <v>558</v>
      </c>
      <c r="J149" t="s">
        <v>1239</v>
      </c>
      <c r="L149" s="16" t="s">
        <v>558</v>
      </c>
      <c r="N149" t="str">
        <f t="shared" si="2"/>
        <v/>
      </c>
    </row>
    <row r="150" spans="1:14" ht="20" x14ac:dyDescent="0.2">
      <c r="A150" s="171">
        <v>42</v>
      </c>
      <c r="B150" s="169" t="s">
        <v>561</v>
      </c>
      <c r="C150" s="171" t="s">
        <v>1409</v>
      </c>
      <c r="D150" s="171" t="s">
        <v>1242</v>
      </c>
      <c r="E150" s="171" t="s">
        <v>1236</v>
      </c>
      <c r="F150" s="171" t="s">
        <v>1240</v>
      </c>
      <c r="I150" t="s">
        <v>559</v>
      </c>
      <c r="J150" t="s">
        <v>1242</v>
      </c>
      <c r="L150" s="16" t="s">
        <v>559</v>
      </c>
      <c r="N150" t="str">
        <f t="shared" si="2"/>
        <v/>
      </c>
    </row>
    <row r="151" spans="1:14" ht="20" x14ac:dyDescent="0.2">
      <c r="A151" s="171">
        <v>113</v>
      </c>
      <c r="B151" s="169" t="s">
        <v>562</v>
      </c>
      <c r="C151" s="171" t="s">
        <v>1410</v>
      </c>
      <c r="D151" s="171" t="s">
        <v>1242</v>
      </c>
      <c r="E151" s="171" t="s">
        <v>360</v>
      </c>
      <c r="F151" s="171" t="s">
        <v>1407</v>
      </c>
      <c r="I151" t="s">
        <v>560</v>
      </c>
      <c r="J151" t="s">
        <v>1242</v>
      </c>
      <c r="L151" s="16" t="s">
        <v>560</v>
      </c>
      <c r="N151" t="str">
        <f t="shared" si="2"/>
        <v/>
      </c>
    </row>
    <row r="152" spans="1:14" ht="20" x14ac:dyDescent="0.2">
      <c r="A152" s="171">
        <v>114</v>
      </c>
      <c r="B152" s="169" t="s">
        <v>563</v>
      </c>
      <c r="C152" s="171" t="s">
        <v>1411</v>
      </c>
      <c r="D152" s="171" t="s">
        <v>1242</v>
      </c>
      <c r="E152" s="171" t="s">
        <v>360</v>
      </c>
      <c r="F152" s="171" t="s">
        <v>1407</v>
      </c>
      <c r="I152" t="s">
        <v>561</v>
      </c>
      <c r="J152" t="s">
        <v>1242</v>
      </c>
      <c r="L152" s="16" t="s">
        <v>561</v>
      </c>
      <c r="N152" t="str">
        <f t="shared" si="2"/>
        <v/>
      </c>
    </row>
    <row r="153" spans="1:14" ht="20" x14ac:dyDescent="0.2">
      <c r="A153" s="171">
        <v>115</v>
      </c>
      <c r="B153" s="169" t="s">
        <v>564</v>
      </c>
      <c r="C153" s="171" t="s">
        <v>1412</v>
      </c>
      <c r="D153" s="171" t="s">
        <v>1242</v>
      </c>
      <c r="E153" s="171" t="s">
        <v>360</v>
      </c>
      <c r="F153" s="171" t="s">
        <v>1407</v>
      </c>
      <c r="I153" t="s">
        <v>562</v>
      </c>
      <c r="J153" t="s">
        <v>1242</v>
      </c>
      <c r="L153" s="16" t="s">
        <v>562</v>
      </c>
      <c r="N153" t="str">
        <f t="shared" si="2"/>
        <v/>
      </c>
    </row>
    <row r="154" spans="1:14" x14ac:dyDescent="0.2">
      <c r="I154" t="s">
        <v>563</v>
      </c>
      <c r="J154" t="s">
        <v>1242</v>
      </c>
      <c r="L154" s="16" t="s">
        <v>563</v>
      </c>
      <c r="N154" t="str">
        <f t="shared" si="2"/>
        <v/>
      </c>
    </row>
    <row r="155" spans="1:14" x14ac:dyDescent="0.2">
      <c r="I155" t="s">
        <v>564</v>
      </c>
      <c r="J155" t="s">
        <v>1242</v>
      </c>
      <c r="L155" s="16" t="s">
        <v>564</v>
      </c>
      <c r="N155" t="str">
        <f t="shared" si="2"/>
        <v/>
      </c>
    </row>
    <row r="156" spans="1:14" x14ac:dyDescent="0.2">
      <c r="L156" s="16" t="s">
        <v>364</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1413</v>
      </c>
      <c r="C1" s="1" t="s">
        <v>1414</v>
      </c>
      <c r="D1" s="7" t="s">
        <v>1415</v>
      </c>
    </row>
    <row r="2" spans="1:5" ht="304" x14ac:dyDescent="0.2">
      <c r="A2" s="4" t="s">
        <v>1416</v>
      </c>
      <c r="B2" s="4" t="s">
        <v>1417</v>
      </c>
      <c r="C2" t="s">
        <v>1418</v>
      </c>
      <c r="D2" s="6" t="s">
        <v>1419</v>
      </c>
      <c r="E2" s="4" t="s">
        <v>1420</v>
      </c>
    </row>
    <row r="3" spans="1:5" ht="144" x14ac:dyDescent="0.2">
      <c r="A3" s="4" t="s">
        <v>155</v>
      </c>
      <c r="B3" s="4" t="s">
        <v>1421</v>
      </c>
      <c r="C3" s="8" t="s">
        <v>1422</v>
      </c>
      <c r="D3" s="6" t="s">
        <v>1423</v>
      </c>
    </row>
    <row r="4" spans="1:5" ht="272" x14ac:dyDescent="0.2">
      <c r="A4" s="4" t="s">
        <v>157</v>
      </c>
      <c r="B4" s="4" t="s">
        <v>1424</v>
      </c>
      <c r="C4" t="s">
        <v>1425</v>
      </c>
      <c r="D4" s="7" t="s">
        <v>1426</v>
      </c>
    </row>
    <row r="5" spans="1:5" ht="208" x14ac:dyDescent="0.2">
      <c r="A5" s="4" t="s">
        <v>158</v>
      </c>
      <c r="B5" s="4" t="s">
        <v>1427</v>
      </c>
      <c r="D5" s="6"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F405B6CE256D64EA402F5B4EE781B61" ma:contentTypeVersion="16" ma:contentTypeDescription="Create a new document." ma:contentTypeScope="" ma:versionID="30c0f1a722e3bec14dd5c95de9cbe32c">
  <xsd:schema xmlns:xsd="http://www.w3.org/2001/XMLSchema" xmlns:xs="http://www.w3.org/2001/XMLSchema" xmlns:p="http://schemas.microsoft.com/office/2006/metadata/properties" xmlns:ns3="f1c0628e-15ce-4970-b5c7-b532969d4061" xmlns:ns4="0c4d9f1a-3c22-4fc5-a418-b3467d1ce377" targetNamespace="http://schemas.microsoft.com/office/2006/metadata/properties" ma:root="true" ma:fieldsID="eebac90c34831fbe31a7bcf3283f2a53" ns3:_="" ns4:_="">
    <xsd:import namespace="f1c0628e-15ce-4970-b5c7-b532969d4061"/>
    <xsd:import namespace="0c4d9f1a-3c22-4fc5-a418-b3467d1ce377"/>
    <xsd:element name="properties">
      <xsd:complexType>
        <xsd:sequence>
          <xsd:element name="documentManagement">
            <xsd:complexType>
              <xsd:all>
                <xsd:element ref="ns3:MediaServiceMetadata" minOccurs="0"/>
                <xsd:element ref="ns3:MediaServiceFastMetadata" minOccurs="0"/>
                <xsd:element ref="ns3:MediaServiceObjectDetectorVersions" minOccurs="0"/>
                <xsd:element ref="ns3:MediaServiceDateTaken" minOccurs="0"/>
                <xsd:element ref="ns3:MediaServiceAutoTags" minOccurs="0"/>
                <xsd:element ref="ns3:MediaServiceGenerationTime" minOccurs="0"/>
                <xsd:element ref="ns3:MediaServiceEventHashCode" minOccurs="0"/>
                <xsd:element ref="ns3:_activity" minOccurs="0"/>
                <xsd:element ref="ns4:SharedWithUsers" minOccurs="0"/>
                <xsd:element ref="ns4:SharedWithDetails" minOccurs="0"/>
                <xsd:element ref="ns4:SharingHintHash" minOccurs="0"/>
                <xsd:element ref="ns3:MediaServiceOCR" minOccurs="0"/>
                <xsd:element ref="ns3:MediaLengthInSeconds" minOccurs="0"/>
                <xsd:element ref="ns3:MediaServiceSystemTags" minOccurs="0"/>
                <xsd:element ref="ns3:MediaServiceLocation"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1c0628e-15ce-4970-b5c7-b532969d406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_activity" ma:index="15" nillable="true" ma:displayName="_activity" ma:hidden="true" ma:internalName="_activity">
      <xsd:simpleType>
        <xsd:restriction base="dms:Note"/>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MediaLengthInSeconds" ma:hidden="true" ma:internalName="MediaLengthInSeconds" ma:readOnly="true">
      <xsd:simpleType>
        <xsd:restriction base="dms:Unknown"/>
      </xsd:simpleType>
    </xsd:element>
    <xsd:element name="MediaServiceSystemTags" ma:index="21" nillable="true" ma:displayName="MediaServiceSystemTags" ma:hidden="true" ma:internalName="MediaServiceSystemTags" ma:readOnly="true">
      <xsd:simpleType>
        <xsd:restriction base="dms:Note"/>
      </xsd:simpleType>
    </xsd:element>
    <xsd:element name="MediaServiceLocation" ma:index="22" nillable="true" ma:displayName="Location" ma:indexed="true" ma:internalName="MediaServiceLocation"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c4d9f1a-3c22-4fc5-a418-b3467d1ce37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SharingHintHash" ma:index="18"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f1c0628e-15ce-4970-b5c7-b532969d4061" xsi:nil="true"/>
  </documentManagement>
</p:properties>
</file>

<file path=customXml/itemProps1.xml><?xml version="1.0" encoding="utf-8"?>
<ds:datastoreItem xmlns:ds="http://schemas.openxmlformats.org/officeDocument/2006/customXml" ds:itemID="{0756A5F6-337B-4F38-9CC3-52B5B4AEFA6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1c0628e-15ce-4970-b5c7-b532969d4061"/>
    <ds:schemaRef ds:uri="0c4d9f1a-3c22-4fc5-a418-b3467d1ce3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BFF0D39-3661-481E-B3B6-00FDA404A818}">
  <ds:schemaRefs>
    <ds:schemaRef ds:uri="http://schemas.microsoft.com/sharepoint/v3/contenttype/forms"/>
  </ds:schemaRefs>
</ds:datastoreItem>
</file>

<file path=customXml/itemProps3.xml><?xml version="1.0" encoding="utf-8"?>
<ds:datastoreItem xmlns:ds="http://schemas.openxmlformats.org/officeDocument/2006/customXml" ds:itemID="{9B267B6D-EF5A-4ADB-8EFB-A61F770FA06B}">
  <ds:schemaRefs>
    <ds:schemaRef ds:uri="http://schemas.microsoft.com/office/2006/documentManagement/types"/>
    <ds:schemaRef ds:uri="http://purl.org/dc/terms/"/>
    <ds:schemaRef ds:uri="0c4d9f1a-3c22-4fc5-a418-b3467d1ce377"/>
    <ds:schemaRef ds:uri="http://schemas.microsoft.com/office/infopath/2007/PartnerControls"/>
    <ds:schemaRef ds:uri="http://purl.org/dc/elements/1.1/"/>
    <ds:schemaRef ds:uri="http://schemas.microsoft.com/office/2006/metadata/properties"/>
    <ds:schemaRef ds:uri="http://purl.org/dc/dcmitype/"/>
    <ds:schemaRef ds:uri="http://schemas.openxmlformats.org/package/2006/metadata/core-properties"/>
    <ds:schemaRef ds:uri="f1c0628e-15ce-4970-b5c7-b532969d4061"/>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2025-09-16T13:23:30Z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0x010100CF405B6CE256D64EA402F5B4EE781B61</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