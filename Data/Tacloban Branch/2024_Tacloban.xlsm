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Tacloban Branch/"/>
    </mc:Choice>
  </mc:AlternateContent>
  <xr:revisionPtr revIDLastSave="0" documentId="13_ncr:1_{076091D2-2917-ED46-84D1-F27A177EF8E2}" xr6:coauthVersionLast="47" xr6:coauthVersionMax="47" xr10:uidLastSave="{00000000-0000-0000-0000-000000000000}"/>
  <bookViews>
    <workbookView xWindow="0" yWindow="740" windowWidth="29400" windowHeight="1710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962" r:id="rId19"/>
    <pivotCache cacheId="963" r:id="rId20"/>
    <pivotCache cacheId="964" r:id="rId21"/>
    <pivotCache cacheId="965" r:id="rId22"/>
    <pivotCache cacheId="966" r:id="rId23"/>
    <pivotCache cacheId="974"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N10" i="34"/>
  <c r="E49" i="37"/>
  <c r="E48" i="37"/>
  <c r="I104" i="40" l="1"/>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43" i="40"/>
  <c r="I42" i="40"/>
  <c r="I41" i="40"/>
  <c r="I40" i="40"/>
  <c r="I39" i="40"/>
  <c r="I38" i="40"/>
  <c r="I37" i="40"/>
  <c r="I36" i="40"/>
  <c r="I35" i="40"/>
  <c r="I34" i="40"/>
  <c r="I33" i="40"/>
  <c r="I32" i="40"/>
  <c r="I31" i="40"/>
  <c r="I30" i="40"/>
  <c r="I29" i="40"/>
  <c r="I28" i="40"/>
  <c r="I27" i="40"/>
  <c r="I26" i="40"/>
  <c r="I25" i="40"/>
  <c r="I24" i="40"/>
  <c r="I23" i="40"/>
  <c r="I22" i="40"/>
  <c r="I21" i="40"/>
  <c r="I20" i="40"/>
  <c r="I18" i="40"/>
  <c r="I17" i="40"/>
  <c r="I16" i="40"/>
  <c r="I15" i="40"/>
  <c r="I14" i="40"/>
  <c r="I13" i="40"/>
  <c r="I12" i="40"/>
  <c r="I11" i="40"/>
  <c r="I10" i="40"/>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I8" i="44"/>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G12" i="38"/>
  <c r="G11" i="38"/>
  <c r="F13" i="38"/>
  <c r="F12" i="38"/>
  <c r="F11" i="38"/>
  <c r="E13" i="38"/>
  <c r="E12" i="38"/>
  <c r="E11" i="38"/>
  <c r="D13" i="38"/>
  <c r="D12"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L13" i="34"/>
  <c r="L14" i="34"/>
  <c r="L15" i="34"/>
  <c r="L16" i="34"/>
  <c r="L17" i="34"/>
  <c r="L18" i="34"/>
  <c r="L19" i="34"/>
  <c r="L20" i="34"/>
  <c r="L21" i="34"/>
  <c r="L22" i="34"/>
  <c r="L23" i="34"/>
  <c r="L24" i="34"/>
  <c r="L25" i="34"/>
  <c r="L26" i="34"/>
  <c r="L27" i="34"/>
  <c r="L28" i="34"/>
  <c r="L29" i="34"/>
  <c r="L30"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s="1"/>
  <c r="P14" i="41"/>
  <c r="P15" i="41"/>
  <c r="P16" i="41"/>
  <c r="P17" i="41" s="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8" i="41"/>
  <c r="I10" i="41"/>
  <c r="I11" i="41"/>
  <c r="I12" i="41" s="1"/>
  <c r="I13" i="41" s="1"/>
  <c r="I14" i="41" s="1"/>
  <c r="I15" i="41" s="1"/>
  <c r="I16" i="41" s="1"/>
  <c r="I17" i="41" s="1"/>
  <c r="I18" i="41" s="1"/>
  <c r="I19" i="41" s="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s="1"/>
  <c r="I12" i="34" s="1"/>
  <c r="I13" i="34" s="1"/>
  <c r="I14" i="34" s="1"/>
  <c r="I15" i="34" s="1"/>
  <c r="I16" i="34" s="1"/>
  <c r="I17" i="34" s="1"/>
  <c r="I18" i="34" s="1"/>
  <c r="I19" i="34"/>
  <c r="I20" i="34"/>
  <c r="I21" i="34"/>
  <c r="I22" i="34" s="1"/>
  <c r="I23" i="34" s="1"/>
  <c r="I24" i="34" s="1"/>
  <c r="I25" i="34" s="1"/>
  <c r="I26" i="34" s="1"/>
  <c r="I27" i="34" s="1"/>
  <c r="I28" i="34" s="1"/>
  <c r="I29" i="34" s="1"/>
  <c r="I30" i="34" s="1"/>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D12" i="39" l="1"/>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5" i="34" l="1"/>
  <c r="N16" i="34"/>
  <c r="N17" i="34"/>
  <c r="N18" i="34"/>
  <c r="N19" i="34"/>
  <c r="N20" i="34"/>
  <c r="N21" i="34"/>
  <c r="N22" i="34"/>
  <c r="N23" i="34"/>
  <c r="N24" i="34"/>
  <c r="N25" i="34"/>
  <c r="N26" i="34"/>
  <c r="N27" i="34"/>
  <c r="N28" i="34"/>
  <c r="N29" i="34"/>
  <c r="N30" i="34"/>
  <c r="N13" i="34"/>
  <c r="N12" i="34"/>
  <c r="N11"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D13" i="37" l="1"/>
  <c r="E13" i="37"/>
  <c r="F13" i="37"/>
  <c r="G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N14" i="34"/>
  <c r="O9" i="44"/>
  <c r="I7" i="44"/>
  <c r="I9" i="44" s="1"/>
  <c r="I10" i="44" s="1"/>
  <c r="L30" i="48" l="1"/>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D14" i="34" l="1"/>
  <c r="G14" i="34"/>
  <c r="E14" i="34"/>
  <c r="F14" i="34"/>
  <c r="F13" i="34"/>
  <c r="D13" i="34"/>
  <c r="G13" i="34"/>
  <c r="E13" i="34"/>
  <c r="E12" i="34"/>
  <c r="F12" i="34"/>
  <c r="D12" i="34"/>
  <c r="G12" i="34"/>
  <c r="F11" i="34"/>
  <c r="G11" i="34"/>
  <c r="E11" i="34"/>
  <c r="D11" i="34"/>
  <c r="D15" i="34"/>
  <c r="F15" i="34"/>
  <c r="G15" i="34"/>
  <c r="E15" i="34"/>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<sst xmlns="http://schemas.openxmlformats.org/spreadsheetml/2006/main" count="6449" uniqueCount="1507">
  <si>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</si>
  <si>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</si>
  <si>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</si>
  <si>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</si>
  <si>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</si>
  <si>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</si>
  <si>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</si>
  <si>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</si>
  <si>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</si>
  <si>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</si>
  <si>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</si>
  <si>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</si>
  <si>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</si>
  <si>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</si>
  <si>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</si>
  <si>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</si>
  <si>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</si>
  <si>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</si>
  <si>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</si>
  <si>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</si>
  <si>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</si>
  <si>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</si>
  <si>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</si>
  <si>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</si>
  <si>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</si>
  <si>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</si>
  <si>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</si>
  <si>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</si>
  <si>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</si>
  <si>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</si>
  <si>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</si>
  <si>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</si>
  <si>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</si>
  <si>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</si>
  <si>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</si>
  <si>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</si>
  <si>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</si>
  <si>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</si>
  <si>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</si>
  <si>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</si>
  <si>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</si>
  <si>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</si>
  <si>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</si>
  <si>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</si>
  <si>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</si>
  <si>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</si>
  <si>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</si>
  <si>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</si>
  <si>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</si>
  <si>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</si>
  <si>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</si>
  <si>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</si>
  <si>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</si>
  <si>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</si>
  <si>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</si>
  <si>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</si>
  <si>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</si>
  <si>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</si>
  <si>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</si>
  <si>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</si>
  <si>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</si>
  <si>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</si>
  <si>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</si>
  <si>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</si>
  <si>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</si>
  <si>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</si>
  <si>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</si>
  <si>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</si>
  <si>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</si>
  <si>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</si>
  <si>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</si>
  <si>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</si>
  <si>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</si>
  <si>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</si>
  <si>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</si>
  <si>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</si>
  <si>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</si>
  <si>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</si>
  <si>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</si>
  <si>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</si>
  <si>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</si>
  <si>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</si>
  <si>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</si>
  <si>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</si>
  <si>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</si>
  <si>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</si>
  <si>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</si>
  <si>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</si>
  <si>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</si>
  <si>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</si>
  <si>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</si>
  <si>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</si>
  <si>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</si>
  <si>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</si>
  <si>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</si>
  <si>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</si>
  <si>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</si>
  <si>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</si>
  <si>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</si>
  <si>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</si>
  <si>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</si>
  <si>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</si>
  <si>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</si>
  <si>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</si>
  <si>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</si>
  <si>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</si>
  <si>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</si>
  <si>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</si>
  <si>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</si>
  <si>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</si>
  <si>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</si>
  <si>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</si>
  <si>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</si>
  <si>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</si>
  <si>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</si>
  <si>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</si>
  <si>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</si>
  <si>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</si>
  <si>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</si>
  <si>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</si>
  <si>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</si>
  <si>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</si>
  <si>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</si>
  <si>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</si>
  <si>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</si>
  <si>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</si>
  <si>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</si>
  <si>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</si>
  <si>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</si>
  <si>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</si>
  <si>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</si>
  <si>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</si>
  <si>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</si>
  <si>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</si>
  <si>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</si>
  <si>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</si>
  <si>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</si>
  <si>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</si>
  <si>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</si>
  <si>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</si>
  <si>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</si>
  <si>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</si>
  <si>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</si>
  <si>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</si>
  <si>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</si>
  <si>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</si>
  <si>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</si>
  <si>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</si>
  <si>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</si>
  <si>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</si>
  <si>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</si>
  <si>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</si>
  <si>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</si>
  <si>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</si>
  <si>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</si>
  <si>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</si>
  <si>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</si>
  <si>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</si>
  <si>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</si>
  <si>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</si>
  <si>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</si>
  <si>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</si>
  <si>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</si>
  <si>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</si>
  <si>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</si>
  <si>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</si>
  <si>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</si>
  <si>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</si>
  <si>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</si>
  <si>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</si>
  <si>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</si>
  <si>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</si>
  <si>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</si>
  <si>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</si>
  <si>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</si>
  <si>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</si>
  <si>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</si>
  <si>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</si>
  <si>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</si>
  <si>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</si>
  <si>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</si>
  <si>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</si>
  <si>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</si>
  <si>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</si>
  <si>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</si>
  <si>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</si>
  <si>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</si>
  <si>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</si>
  <si>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</si>
  <si>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</si>
  <si>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</si>
  <si>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</si>
  <si>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</si>
  <si>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</si>
  <si>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</si>
  <si>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</si>
  <si>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</si>
  <si>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</si>
  <si>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</si>
  <si>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</si>
  <si>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</si>
  <si>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</si>
  <si>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</si>
  <si>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</si>
  <si>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</si>
  <si>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</si>
  <si>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</si>
  <si>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</si>
  <si>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</si>
  <si>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</si>
  <si>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</si>
  <si>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</si>
  <si>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</si>
  <si>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</si>
  <si>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</si>
  <si>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</si>
  <si>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</si>
  <si>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</si>
  <si>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</si>
  <si>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</si>
  <si>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</si>
  <si>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</si>
  <si>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</si>
  <si>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</si>
  <si>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</si>
  <si>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</si>
  <si>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</si>
  <si>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</si>
  <si>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</si>
  <si>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</si>
  <si>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</si>
  <si>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</si>
  <si>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</si>
  <si>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</si>
  <si>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</si>
  <si>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</si>
  <si>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</si>
  <si>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</si>
  <si>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</si>
  <si>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</si>
  <si>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</si>
  <si>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</si>
  <si>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</si>
  <si>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</si>
  <si>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</si>
  <si>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</si>
  <si>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</si>
  <si>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</si>
  <si>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</si>
  <si>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</si>
  <si>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</si>
  <si>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</si>
  <si>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</si>
  <si>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</si>
  <si>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</si>
  <si>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</si>
  <si>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</si>
  <si>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</si>
  <si>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</si>
  <si>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</si>
  <si>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</si>
  <si>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</si>
  <si>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</si>
  <si>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</si>
  <si>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</si>
  <si>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</si>
  <si>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</si>
  <si>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</si>
  <si>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</si>
  <si>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</si>
  <si>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</si>
  <si>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</si>
  <si>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</si>
  <si>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</si>
  <si>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</si>
  <si>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</si>
  <si>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</si>
  <si>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</si>
  <si>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</si>
  <si>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</si>
  <si>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</si>
  <si>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</si>
  <si>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</si>
  <si>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</si>
  <si>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</si>
  <si>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</si>
  <si>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</si>
  <si>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</si>
  <si>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</si>
  <si>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</si>
  <si>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</si>
  <si>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</si>
  <si>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</si>
  <si>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</si>
  <si>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</si>
  <si>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</si>
  <si>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</si>
  <si>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</si>
  <si>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</si>
  <si>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</si>
  <si>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</si>
  <si>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</si>
  <si>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</si>
  <si>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</si>
  <si>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</si>
  <si>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</si>
  <si>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</si>
  <si>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</si>
  <si>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</si>
  <si>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</si>
  <si>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</si>
  <si>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</si>
  <si>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</si>
  <si>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</si>
  <si>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</si>
  <si>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</si>
  <si>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</si>
  <si>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</si>
  <si>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</si>
  <si>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</si>
  <si>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</si>
  <si>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</si>
  <si>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</si>
  <si>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</si>
  <si>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</si>
  <si>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</si>
  <si>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</si>
  <si>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</si>
  <si>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</si>
  <si>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</si>
  <si>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</si>
  <si>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</si>
  <si>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</si>
  <si>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</si>
  <si>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</si>
  <si>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</si>
  <si>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</si>
  <si>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</si>
  <si>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</si>
  <si>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</si>
  <si>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</si>
  <si>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</si>
  <si>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</si>
  <si>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</si>
  <si>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</si>
  <si>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</si>
  <si>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</si>
  <si>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</si>
  <si>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</si>
  <si>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</si>
  <si>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</si>
  <si>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</si>
  <si>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</si>
  <si>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</si>
  <si>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</si>
  <si>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</si>
  <si>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</si>
  <si>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</si>
  <si>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</si>
  <si>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</si>
  <si>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</si>
  <si>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</si>
  <si>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</si>
  <si>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</si>
  <si>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</si>
  <si>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</si>
  <si>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</si>
  <si>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</si>
  <si>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</si>
  <si>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</si>
  <si>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</si>
  <si>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</si>
  <si>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</si>
  <si>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</si>
  <si>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</si>
  <si>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</si>
  <si>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</si>
  <si>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</si>
  <si>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</si>
  <si>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</si>
  <si>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</si>
  <si>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</si>
  <si>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</si>
  <si>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</si>
  <si>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</si>
  <si>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</si>
  <si>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</si>
  <si>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</si>
  <si>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</si>
  <si>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</si>
  <si>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</si>
  <si>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</si>
  <si>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</si>
  <si>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</si>
  <si>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</si>
  <si>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</si>
  <si>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</si>
  <si>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</si>
  <si>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</si>
  <si>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</si>
  <si>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</si>
  <si>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</si>
  <si>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</si>
  <si>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</si>
  <si>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</si>
  <si>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</si>
  <si>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</si>
  <si>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</si>
  <si>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</si>
  <si>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</si>
  <si>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</si>
  <si>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</si>
  <si>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</si>
  <si>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</si>
  <si>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</si>
  <si>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</si>
  <si>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</si>
  <si>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</si>
  <si>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</si>
  <si>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</si>
  <si>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</si>
  <si>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</si>
  <si>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</si>
  <si>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</si>
  <si>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</si>
  <si>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</si>
  <si>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</si>
  <si>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</si>
  <si>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</si>
  <si>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</si>
  <si>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</si>
  <si>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</si>
  <si>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</si>
  <si>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</si>
  <si>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</si>
  <si>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</si>
  <si>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</si>
  <si>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</si>
  <si>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</si>
  <si>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</si>
  <si>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</si>
  <si>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</si>
  <si>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</si>
  <si>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</si>
  <si>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</si>
  <si>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</si>
  <si>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</si>
  <si>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</si>
  <si>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</si>
  <si>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</si>
  <si>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</si>
  <si>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</si>
  <si>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</si>
  <si>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</si>
  <si>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</si>
  <si>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</si>
  <si>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</si>
  <si>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</si>
  <si>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</si>
  <si>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</si>
  <si>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</si>
  <si>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</si>
  <si>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</si>
  <si>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</si>
  <si>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</si>
  <si>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</si>
  <si>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</si>
  <si>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</si>
  <si>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</si>
  <si>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</si>
  <si>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</si>
  <si>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</si>
  <si>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</si>
  <si>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</si>
  <si>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</si>
  <si>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</si>
  <si>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</si>
  <si>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</si>
  <si>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</si>
  <si>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</si>
  <si>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</si>
  <si>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</si>
  <si>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</si>
  <si>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</si>
  <si>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</si>
  <si>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</si>
  <si>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</si>
  <si>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</si>
  <si>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</si>
  <si>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</si>
  <si>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</si>
  <si>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</si>
  <si>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</si>
  <si>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</si>
  <si>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</si>
  <si>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</si>
  <si>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</si>
  <si>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</si>
  <si>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</si>
  <si>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</si>
  <si>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</si>
  <si>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</si>
  <si>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</si>
  <si>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</si>
  <si>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</si>
  <si>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</si>
  <si>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</si>
  <si>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</si>
  <si>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</si>
  <si>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</si>
  <si>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</si>
  <si>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</si>
  <si>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</si>
  <si>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</si>
  <si>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</si>
  <si>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</si>
  <si>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</si>
  <si>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</si>
  <si>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</si>
  <si>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</si>
  <si>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</si>
  <si>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</si>
  <si>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</si>
  <si>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</si>
  <si>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</si>
  <si>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</si>
  <si>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</si>
  <si>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</si>
  <si>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</si>
  <si>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</si>
  <si>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</si>
  <si>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</si>
  <si>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</si>
  <si>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</si>
  <si>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</si>
  <si>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</si>
  <si>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</si>
  <si>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</si>
  <si>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</si>
  <si>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</si>
  <si>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</si>
  <si>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</si>
  <si>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</si>
  <si>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</si>
  <si>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</si>
  <si>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</si>
  <si>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</si>
  <si>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</si>
  <si>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</si>
  <si>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</si>
  <si>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</si>
  <si>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</si>
  <si>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</si>
  <si>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</si>
  <si>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</si>
  <si>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</si>
  <si>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</si>
  <si>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</si>
  <si>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</si>
  <si>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</si>
  <si>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</si>
  <si>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</si>
  <si>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</si>
  <si>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</si>
  <si>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</si>
  <si>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</si>
  <si>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</si>
  <si>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</si>
  <si>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</si>
  <si>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</si>
  <si>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</si>
  <si>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</si>
  <si>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</si>
  <si>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</si>
  <si>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</si>
  <si>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</si>
  <si>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</si>
  <si>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</si>
  <si>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</si>
  <si>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</si>
  <si>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</si>
  <si>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</si>
  <si>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</si>
  <si>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</si>
  <si>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</si>
  <si>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</si>
  <si>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</si>
  <si>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</si>
  <si>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</si>
  <si>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</si>
  <si>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</si>
  <si>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</si>
  <si>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</si>
  <si>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</si>
  <si>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</si>
  <si>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</si>
  <si>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</si>
  <si>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</si>
  <si>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</si>
  <si>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</si>
  <si>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</si>
  <si>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</si>
  <si>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</si>
  <si>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</si>
  <si>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</si>
  <si>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</si>
  <si>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</si>
  <si>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</si>
  <si>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</si>
  <si>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</si>
  <si>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</si>
  <si>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</si>
  <si>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</si>
  <si>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</si>
  <si>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</si>
  <si>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</si>
  <si>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</si>
  <si>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</si>
  <si>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</si>
  <si>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</si>
  <si>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</si>
  <si>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</si>
  <si>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</si>
  <si>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</si>
  <si>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</si>
  <si>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</si>
  <si>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</si>
  <si>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</si>
  <si>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</si>
  <si>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</si>
  <si>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</si>
  <si>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</si>
  <si>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</si>
  <si>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</si>
  <si>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</si>
  <si>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</si>
  <si>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</si>
  <si>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</si>
  <si>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</si>
  <si>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</si>
  <si>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</si>
  <si>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</si>
  <si>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</si>
  <si>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</si>
  <si>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</si>
  <si>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</si>
  <si>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</si>
  <si>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</si>
  <si>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</si>
  <si>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</si>
  <si>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</si>
  <si>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</si>
  <si>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</si>
  <si>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</si>
  <si>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</si>
  <si>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</si>
  <si>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</si>
  <si>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</si>
  <si>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</si>
  <si>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</si>
  <si>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</si>
  <si>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</si>
  <si>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</si>
  <si>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</si>
  <si>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</si>
  <si>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</si>
  <si>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</si>
  <si>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</si>
  <si>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</si>
  <si>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</si>
  <si>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</si>
  <si>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</si>
  <si>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</si>
  <si>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</si>
  <si>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</si>
  <si>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</si>
  <si>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</si>
  <si>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</si>
  <si>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</si>
  <si>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</si>
  <si>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</si>
  <si>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</si>
  <si>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</si>
  <si>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</si>
  <si>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</si>
  <si>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</si>
  <si>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</si>
  <si>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</si>
  <si>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</si>
  <si>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</si>
  <si>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</si>
  <si>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</si>
  <si>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</si>
  <si>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</si>
  <si>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</si>
  <si>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</si>
  <si>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</si>
  <si>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</si>
  <si>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</si>
  <si>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</si>
  <si>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</si>
  <si>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</si>
  <si>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</si>
  <si>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</si>
  <si>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</si>
  <si>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</si>
  <si>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</si>
  <si>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</si>
  <si>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</si>
  <si>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</si>
  <si>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</si>
  <si>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</si>
  <si>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</si>
  <si>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</si>
  <si>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</si>
  <si>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</si>
  <si>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</si>
  <si>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</si>
  <si>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</si>
  <si>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</si>
  <si>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</si>
  <si>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</si>
  <si>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</si>
  <si>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</si>
  <si>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</si>
  <si>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</si>
  <si>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</si>
  <si>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</si>
  <si>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</si>
  <si>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</si>
  <si>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</si>
  <si>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</si>
  <si>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</si>
  <si>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</si>
  <si>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</si>
  <si>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</si>
  <si>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</si>
  <si>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</si>
  <si>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</si>
  <si>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</si>
  <si>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</si>
  <si>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</si>
  <si>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</si>
  <si>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</si>
  <si>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</si>
  <si>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</si>
  <si>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</si>
  <si>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</si>
  <si>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</si>
  <si>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</si>
  <si>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</si>
  <si>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</si>
  <si>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</si>
  <si>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</si>
  <si>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</si>
  <si>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</si>
  <si>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</si>
  <si>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</si>
  <si>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</si>
  <si>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</si>
  <si>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</si>
  <si>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</si>
  <si>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</si>
  <si>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</si>
  <si>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</si>
  <si>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</si>
  <si>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</si>
  <si>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</si>
  <si>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</si>
  <si>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</si>
  <si>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</si>
  <si>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</si>
  <si>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</si>
  <si>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</si>
  <si>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</si>
  <si>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</si>
  <si>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</si>
  <si>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</si>
  <si>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</si>
  <si>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</si>
  <si>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</si>
  <si>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</si>
  <si>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</si>
  <si>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</si>
  <si>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</si>
  <si>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</si>
  <si>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</si>
  <si>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</si>
  <si>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</si>
  <si>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</si>
  <si>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</si>
  <si>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</si>
  <si>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</si>
  <si>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</si>
  <si>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</si>
  <si>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</si>
  <si>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</si>
  <si>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</si>
  <si>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</si>
  <si>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</si>
  <si>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</si>
  <si>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</si>
  <si>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</si>
  <si>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</si>
  <si>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</si>
  <si>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</si>
  <si>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</si>
  <si>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</si>
  <si>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</si>
  <si>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</si>
  <si>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</si>
  <si>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</si>
  <si>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</si>
  <si>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</si>
  <si>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</si>
  <si>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</si>
  <si>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</si>
  <si>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</si>
  <si>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</si>
  <si>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</si>
  <si>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</si>
  <si>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</si>
  <si>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</si>
  <si>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</si>
  <si>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</si>
  <si>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</si>
  <si>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</si>
  <si>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</si>
  <si>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</si>
  <si>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</si>
  <si>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</si>
  <si>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</si>
  <si>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</si>
  <si>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</si>
  <si>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</si>
  <si>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</si>
  <si>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</si>
  <si>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</si>
  <si>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</si>
  <si>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</si>
  <si>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</si>
  <si>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</si>
  <si>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</si>
  <si>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</si>
  <si>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</si>
  <si>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</si>
  <si>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</si>
  <si>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</si>
  <si>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</si>
  <si>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</si>
  <si>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</si>
  <si>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</si>
  <si>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</si>
  <si>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</si>
  <si>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</si>
  <si>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</si>
  <si>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</si>
  <si>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</si>
  <si>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</si>
  <si>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</si>
  <si>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</si>
  <si>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</si>
  <si>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</si>
  <si>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</si>
  <si>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</si>
  <si>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</si>
  <si>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</si>
  <si>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</si>
  <si>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</si>
  <si>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</si>
  <si>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</si>
  <si>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</si>
  <si>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</si>
  <si>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</si>
  <si>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</si>
  <si>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</si>
  <si>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</si>
  <si>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</si>
  <si>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</si>
  <si>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</si>
  <si>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</si>
  <si>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</si>
  <si>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</si>
  <si>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</si>
  <si>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</si>
  <si>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</si>
  <si>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</si>
  <si>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</si>
  <si>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</si>
  <si>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</si>
  <si>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</si>
  <si>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</si>
  <si>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</si>
  <si>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</si>
  <si>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</si>
  <si>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</si>
  <si>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</si>
  <si>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</si>
  <si>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</si>
  <si>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</si>
  <si>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</si>
  <si>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</si>
  <si>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</si>
  <si>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</si>
  <si>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</si>
  <si>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</si>
  <si>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</si>
  <si>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</si>
  <si>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</si>
  <si>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</si>
  <si>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</si>
  <si>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</si>
  <si>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</si>
  <si>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</si>
  <si>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</si>
  <si>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</si>
  <si>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</si>
  <si>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</si>
  <si>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</si>
  <si>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</si>
  <si>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</si>
  <si>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</si>
  <si>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</si>
  <si>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</si>
  <si>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</si>
  <si>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</si>
  <si>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</si>
  <si>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</si>
  <si>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</si>
  <si>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</si>
  <si>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</si>
  <si>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</si>
  <si>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</si>
  <si>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</si>
  <si>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</si>
  <si>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</si>
  <si>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</si>
  <si>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</si>
  <si>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</si>
  <si>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</si>
  <si>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</si>
  <si>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</si>
  <si>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</si>
  <si>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</si>
  <si>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</si>
  <si>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</si>
  <si>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</si>
  <si>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</si>
  <si>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</si>
  <si>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</si>
  <si>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</si>
  <si>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</si>
  <si>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</si>
  <si>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</si>
  <si>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</si>
  <si>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</si>
  <si>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</si>
  <si>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</si>
  <si>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</si>
  <si>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</si>
  <si>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</si>
  <si>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</si>
  <si>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</si>
  <si>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</si>
  <si>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</si>
  <si>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</si>
  <si>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</si>
  <si>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</si>
  <si>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</si>
  <si>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</si>
  <si>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</si>
  <si>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</si>
  <si>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</si>
  <si>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</si>
  <si>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</si>
  <si>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</si>
  <si>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</si>
  <si>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</si>
  <si>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</si>
  <si>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</si>
  <si>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</si>
  <si>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</si>
  <si>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</si>
  <si>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</si>
  <si>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</si>
  <si>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</si>
  <si>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</si>
  <si>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</si>
  <si>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</si>
  <si>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</si>
  <si>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</si>
  <si>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</si>
  <si>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</si>
  <si>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</si>
  <si>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</si>
  <si>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</si>
  <si>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</si>
  <si>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</si>
  <si>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</si>
  <si>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</si>
  <si>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</si>
  <si>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</si>
  <si>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</si>
  <si>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</si>
  <si>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</si>
  <si>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</si>
  <si>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</si>
  <si>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</si>
  <si>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</si>
  <si>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</si>
  <si>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</si>
  <si>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</si>
  <si>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</si>
  <si>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</si>
  <si>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</si>
  <si>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</si>
  <si>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</si>
  <si>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</si>
  <si>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</si>
  <si>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</si>
  <si>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</si>
  <si>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</si>
  <si>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</si>
  <si>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</si>
  <si>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</si>
  <si>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</si>
  <si>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</si>
  <si>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</si>
  <si>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</si>
  <si>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</si>
  <si>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</si>
  <si>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</si>
  <si>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</si>
  <si>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</si>
  <si>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</si>
  <si>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</si>
  <si>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</si>
  <si>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</si>
  <si>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</si>
  <si>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</si>
  <si>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</si>
  <si>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</si>
  <si>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</si>
  <si>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</si>
  <si>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</si>
  <si>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</si>
  <si>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</si>
  <si>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</si>
  <si>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</si>
  <si>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</si>
  <si>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</si>
  <si>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</si>
  <si>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</si>
  <si>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</si>
  <si>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</si>
  <si>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</si>
  <si>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</si>
  <si>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</si>
  <si>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</si>
  <si>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</si>
  <si>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</si>
  <si>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</si>
  <si>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</si>
  <si>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</si>
  <si>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</si>
  <si>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</si>
  <si>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</si>
  <si>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</si>
  <si>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</si>
  <si>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</si>
  <si>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</si>
  <si>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</si>
  <si>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</si>
  <si>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</si>
  <si>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</si>
  <si>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</si>
  <si>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</si>
  <si>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</si>
  <si>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</si>
  <si>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</si>
  <si>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</si>
  <si>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</si>
  <si>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</si>
  <si>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</si>
  <si>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</si>
  <si>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</si>
  <si>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</si>
  <si>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</si>
  <si>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</si>
  <si>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</si>
  <si>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</si>
  <si>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</si>
  <si>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</si>
  <si>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</si>
  <si>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</si>
  <si>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</si>
  <si>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</si>
  <si>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</si>
  <si>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</si>
  <si>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</si>
  <si>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</si>
  <si>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</si>
  <si>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</si>
  <si>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</si>
  <si>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</si>
  <si>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</si>
  <si>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</si>
  <si>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</si>
  <si>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</si>
  <si>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</si>
  <si>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</si>
  <si>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</si>
  <si>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</si>
  <si>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</si>
  <si>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</si>
  <si>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</si>
  <si>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</si>
  <si>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</si>
  <si>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</si>
  <si>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</si>
  <si>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</si>
  <si>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</si>
  <si>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</si>
  <si>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</si>
  <si>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</si>
  <si>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</si>
  <si>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</si>
  <si>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</si>
  <si>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</si>
  <si>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</si>
  <si>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</si>
  <si>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</si>
  <si>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</si>
  <si>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</si>
  <si>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</si>
  <si>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</si>
  <si>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</si>
  <si>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</si>
  <si>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</si>
  <si>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</si>
  <si>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</si>
  <si>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</si>
  <si>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</si>
  <si>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</si>
  <si>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</si>
  <si>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</si>
  <si>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</si>
  <si>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</si>
  <si>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</si>
  <si>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</si>
  <si>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</si>
  <si>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</si>
  <si>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</si>
  <si>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</si>
  <si>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</si>
  <si>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</si>
  <si>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</si>
  <si>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</si>
  <si>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</si>
  <si>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</si>
  <si>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</si>
  <si>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</si>
  <si>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</si>
  <si>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</si>
  <si>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</si>
  <si>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</si>
  <si>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</si>
  <si>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</si>
  <si>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</si>
  <si>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</si>
  <si>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</si>
  <si>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</si>
  <si>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</si>
  <si>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</si>
  <si>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</si>
  <si>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</si>
  <si>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</si>
  <si>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</si>
  <si>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</si>
  <si>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</si>
  <si>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</si>
  <si>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</si>
  <si>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</si>
  <si>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</si>
  <si>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</si>
  <si>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</si>
  <si>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</si>
  <si>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</si>
  <si>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</si>
  <si>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</si>
  <si>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</si>
  <si>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</si>
  <si>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</si>
  <si>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</si>
  <si>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</si>
  <si>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</si>
  <si>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</si>
  <si>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</si>
  <si>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</si>
  <si>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</si>
  <si>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</si>
  <si>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</si>
  <si>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</si>
  <si>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</si>
  <si>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</si>
  <si>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</si>
  <si>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</si>
  <si>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</si>
  <si>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</si>
  <si>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</si>
  <si>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</si>
  <si>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</si>
  <si>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</si>
  <si>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</si>
  <si>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</si>
  <si>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</si>
  <si>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</si>
  <si>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</si>
  <si>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</si>
  <si>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</si>
  <si>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</si>
  <si>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</si>
  <si>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</si>
  <si>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</si>
  <si>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</si>
  <si>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</si>
  <si>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</si>
  <si>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</si>
  <si>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</si>
  <si>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</si>
  <si>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</si>
  <si>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</si>
  <si>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</si>
  <si>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</si>
  <si>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</si>
  <si>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</si>
  <si>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</si>
  <si>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</si>
  <si>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</si>
  <si>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</si>
  <si>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</si>
  <si>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</si>
  <si>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</si>
  <si>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</si>
  <si>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</si>
  <si>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</si>
  <si>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</si>
  <si>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</si>
  <si>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</si>
  <si>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</si>
  <si>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</si>
  <si>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</si>
  <si>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</si>
  <si>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</si>
  <si>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</si>
  <si>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</si>
  <si>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</si>
  <si>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</si>
  <si>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</si>
  <si>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</si>
  <si>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</si>
  <si>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</si>
  <si>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</si>
  <si>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</si>
  <si>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</si>
  <si>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</si>
  <si>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</si>
  <si>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</si>
  <si>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</si>
  <si>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</si>
  <si>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</si>
  <si>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</si>
  <si>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</si>
  <si>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</si>
  <si>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</si>
  <si>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</si>
  <si>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</si>
  <si>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</si>
  <si>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</si>
  <si>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</si>
  <si>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</si>
  <si>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</si>
  <si>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</si>
  <si>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</si>
  <si>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</si>
  <si>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</si>
  <si>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</si>
  <si>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</si>
  <si>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</si>
  <si>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</si>
  <si>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</si>
  <si>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</si>
  <si>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</si>
  <si>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</si>
  <si>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</si>
  <si>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</si>
  <si>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</si>
  <si>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</si>
  <si>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</si>
  <si>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</si>
  <si>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</si>
  <si>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</si>
  <si>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</si>
  <si>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</si>
  <si>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</si>
  <si>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</si>
  <si>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</si>
  <si>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</si>
  <si>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</si>
  <si>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</si>
  <si>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</si>
  <si>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</si>
  <si>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</si>
  <si>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</si>
  <si>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</si>
  <si>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</si>
  <si>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</si>
  <si>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</si>
  <si>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</si>
  <si>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</si>
  <si>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</si>
  <si>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</si>
  <si>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</si>
  <si>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</si>
  <si>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</si>
  <si>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</si>
  <si>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</si>
  <si>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</si>
  <si>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</si>
  <si>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</si>
  <si>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</si>
  <si>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</si>
  <si>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</si>
  <si>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</si>
  <si>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</si>
  <si>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</si>
  <si>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</si>
  <si>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</si>
  <si>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</si>
  <si>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</si>
  <si>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</si>
  <si>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</si>
  <si>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</si>
  <si>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</si>
  <si>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</si>
  <si>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</si>
  <si>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</si>
  <si>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</si>
  <si>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</si>
  <si>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</si>
  <si>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</si>
  <si>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</si>
  <si>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</si>
  <si>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</si>
  <si>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</si>
  <si>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</si>
  <si>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</si>
  <si>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</si>
  <si>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</si>
  <si>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</si>
  <si>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</si>
  <si>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</si>
  <si>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</si>
  <si>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</si>
  <si>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</si>
  <si>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</si>
  <si>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</si>
  <si>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</si>
  <si>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</si>
  <si>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</si>
  <si>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</si>
  <si>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</si>
  <si>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</si>
  <si>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</si>
  <si>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</si>
  <si>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</si>
  <si>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</si>
  <si>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</si>
  <si>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</si>
  <si>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</si>
  <si>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</si>
  <si>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</si>
  <si>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</si>
  <si>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</si>
  <si>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</si>
  <si>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</si>
  <si>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</si>
  <si>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</si>
  <si>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</si>
  <si>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</si>
  <si>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</si>
  <si>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</si>
  <si>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</si>
  <si>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</si>
  <si>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</si>
  <si>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</si>
  <si>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</si>
  <si>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</si>
  <si>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</si>
  <si>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</si>
  <si>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</si>
  <si>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</si>
  <si>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</si>
  <si>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</si>
  <si>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</si>
  <si>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</si>
  <si>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</si>
  <si>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</si>
  <si>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</si>
  <si>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</si>
  <si>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</si>
  <si>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</si>
  <si>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</si>
  <si>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</si>
  <si>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</si>
  <si>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</si>
  <si>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</si>
  <si>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</si>
  <si>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</si>
  <si>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</si>
  <si>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</si>
  <si>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</si>
  <si>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</si>
  <si>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</si>
  <si>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</si>
  <si>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</si>
  <si>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</si>
  <si>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</si>
  <si>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</si>
  <si>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</si>
  <si>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</si>
  <si>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Non-BSP Jean Andrea M. Sumayod</t>
  </si>
  <si>
    <t>$G$6</t>
  </si>
  <si>
    <t>$K$15</t>
  </si>
  <si>
    <t>$J$8</t>
  </si>
  <si>
    <t>$K$8</t>
  </si>
  <si>
    <t>$M$8</t>
  </si>
  <si>
    <t>$J$13</t>
  </si>
  <si>
    <t>$J$14</t>
  </si>
  <si>
    <t>$J$15</t>
  </si>
  <si>
    <t>$L$15</t>
  </si>
  <si>
    <t>$M$15</t>
  </si>
  <si>
    <t>$L$16</t>
  </si>
  <si>
    <t>$L$17</t>
  </si>
  <si>
    <t>$M$17</t>
  </si>
  <si>
    <t>$L$18</t>
  </si>
  <si>
    <t>$M$18</t>
  </si>
  <si>
    <t>$L$19</t>
  </si>
  <si>
    <t>$M$19</t>
  </si>
  <si>
    <t>$N$11</t>
  </si>
  <si>
    <t>$N$12</t>
  </si>
  <si>
    <t>$N$13</t>
  </si>
  <si>
    <t>$N$14</t>
  </si>
  <si>
    <t>$N$15</t>
  </si>
  <si>
    <t>$N$16</t>
  </si>
  <si>
    <t>$N$17</t>
  </si>
  <si>
    <t>$N$18</t>
  </si>
  <si>
    <t>$N$19</t>
  </si>
  <si>
    <t>$D$2</t>
  </si>
  <si>
    <t>$D$3</t>
  </si>
  <si>
    <t>$C$6</t>
  </si>
  <si>
    <t xml:space="preserve">Billing Period </t>
  </si>
  <si>
    <t>Billing Period: Dec 28, 24-Jan 25, 25</t>
  </si>
  <si>
    <t>Billing Period: Dec 28, 24-Jan 25, 26</t>
  </si>
  <si>
    <t>$O$9:$O$19</t>
  </si>
  <si>
    <t>Billing Period: Jan 26-Feb 26</t>
  </si>
  <si>
    <t>$O$9</t>
  </si>
  <si>
    <t>Billing Period: Jan 26-Feb 27</t>
  </si>
  <si>
    <t>$O$10:$O$19</t>
  </si>
  <si>
    <t>Billing Period: Feb 27-Mar 25</t>
  </si>
  <si>
    <t>Billing Period: Mar 26-Apr 25</t>
  </si>
  <si>
    <t>$O$11</t>
  </si>
  <si>
    <t>Billing Period: Apr 26-May 24</t>
  </si>
  <si>
    <t>Billing Period: May 25-Jun 25</t>
  </si>
  <si>
    <t>$O$13</t>
  </si>
  <si>
    <t>Billing Period: Jun 26-Jul25</t>
  </si>
  <si>
    <t>$O$14</t>
  </si>
  <si>
    <t>Billing Period: Jul 26-Aug 27</t>
  </si>
  <si>
    <t>$O$15</t>
  </si>
  <si>
    <t>Billing Period: Aug 28-Sept 27</t>
  </si>
  <si>
    <t>$O$16</t>
  </si>
  <si>
    <t>Billing Period: Sept 28-Oct 28</t>
  </si>
  <si>
    <t>$O$17</t>
  </si>
  <si>
    <t>Billing Period: Oct 29-Nov 27</t>
  </si>
  <si>
    <t>$O$18</t>
  </si>
  <si>
    <t>Billing Period: Nov28-Dev=c 27</t>
  </si>
  <si>
    <t>$O$19</t>
  </si>
  <si>
    <t>Billing Period: Nov28-Dev-c 27</t>
  </si>
  <si>
    <t>Billing Period: Nov28-Dec 27</t>
  </si>
  <si>
    <t>Billing Period: Dec 28, 23-Jan 25, 24</t>
  </si>
  <si>
    <t>Billing Period: Jan 12-Jan 28</t>
  </si>
  <si>
    <t>Billing Period: feb 4-Feb 20</t>
  </si>
  <si>
    <t>Billing Period: Mar 20</t>
  </si>
  <si>
    <t>Billing Period: Mar 27- Apr 18</t>
  </si>
  <si>
    <t>Billing period: Apr 24-May 24</t>
  </si>
  <si>
    <t>Billing Period: May 24-Jun 24</t>
  </si>
  <si>
    <t>Billing Period: Jul 30-Aug 27</t>
  </si>
  <si>
    <t>Billing Period: Aug 30- Sept 28</t>
  </si>
  <si>
    <t>Billing Period: Oct 1-Oct 26</t>
  </si>
  <si>
    <t>Billing Period: Oct 31-Nov 23</t>
  </si>
  <si>
    <t>Billing Period: Dec 3-Dec 21</t>
  </si>
  <si>
    <t>Cummins Gen. 6CTA8.3-G2 Generator Set 1</t>
  </si>
  <si>
    <t>POWER PLUS Y490D Generator Set 2</t>
  </si>
  <si>
    <t>JAMES P. BARGAYO</t>
  </si>
  <si>
    <t>$A$27:$G$39</t>
  </si>
  <si>
    <t>$N$7:$N$10</t>
  </si>
  <si>
    <t>$I$31:$O$106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</si>
</sst>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4">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15" fontId="8" fillId="3" borderId="4" xfId="0" applyNumberFormat="1"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7.577701041664"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36"/>
    </cacheField>
    <cacheField name="Vehicle Type" numFmtId="0">
      <sharedItems containsBlank="1" count="11">
        <s v="Armored Vehicle"/>
        <s v="Van  "/>
        <s v="Multi-Purpose Vehicle"/>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Mar"/>
        <s v="Apr"/>
        <s v="May"/>
        <s v="Jun"/>
        <s v="Jul"/>
        <s v="Aug"/>
        <s v="Sep"/>
        <s v="Oct"/>
        <s v="Nov"/>
        <s v="Dec"/>
        <m/>
      </sharedItems>
    </cacheField>
    <cacheField name="Quarter" numFmtId="0">
      <sharedItems containsBlank="1" count="6">
        <s v="Q1"/>
        <s v="Q2"/>
        <s v="Q3"/>
        <s v="Q4"/>
        <s v=""/>
        <m u="1"/>
      </sharedItems>
    </cacheField>
    <cacheField name="Consumption" numFmtId="4">
      <sharedItems containsString="0" containsBlank="1" containsNumber="1" minValue="7" maxValue="155.5"/>
    </cacheField>
    <cacheField name="Unit" numFmtId="0">
      <sharedItems containsBlank="1"/>
    </cacheField>
    <cacheField name="Total kilometers travelled (all vehicles)" numFmtId="4">
      <sharedItems containsString="0" containsBlank="1" containsNumber="1" minValue="14" maxValue="1708"/>
    </cacheField>
    <cacheField name="Unit2"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46.45"/>
    <s v="Liters"/>
    <n v="71.3"/>
    <s v="Kilometers"/>
    <m/>
  </r>
  <r>
    <n v="2"/>
    <x v="0"/>
    <x v="0"/>
    <x v="1"/>
    <x v="0"/>
    <n v="7"/>
    <m/>
    <n v="14"/>
    <s v="Kilometers"/>
    <m/>
  </r>
  <r>
    <n v="3"/>
    <x v="0"/>
    <x v="0"/>
    <x v="2"/>
    <x v="0"/>
    <n v="18.100000000000001"/>
    <s v="Liters"/>
    <n v="36.200000000000003"/>
    <s v="Kilometers"/>
    <m/>
  </r>
  <r>
    <n v="4"/>
    <x v="0"/>
    <x v="0"/>
    <x v="3"/>
    <x v="1"/>
    <n v="48.46"/>
    <s v="Liters"/>
    <n v="108.7"/>
    <s v="Kilometers"/>
    <m/>
  </r>
  <r>
    <n v="5"/>
    <x v="0"/>
    <x v="0"/>
    <x v="4"/>
    <x v="1"/>
    <n v="138.93"/>
    <s v="Liters"/>
    <n v="156.69999999999999"/>
    <s v="Kilometers"/>
    <m/>
  </r>
  <r>
    <n v="6"/>
    <x v="0"/>
    <x v="0"/>
    <x v="5"/>
    <x v="1"/>
    <n v="43.14"/>
    <s v="Liters"/>
    <n v="73"/>
    <s v="Kilometers"/>
    <m/>
  </r>
  <r>
    <n v="7"/>
    <x v="0"/>
    <x v="0"/>
    <x v="6"/>
    <x v="2"/>
    <n v="61.57"/>
    <s v="Liters"/>
    <n v="108"/>
    <s v="Kilometers"/>
    <m/>
  </r>
  <r>
    <n v="8"/>
    <x v="0"/>
    <x v="0"/>
    <x v="7"/>
    <x v="2"/>
    <n v="41.1"/>
    <s v="Liters"/>
    <n v="47.1"/>
    <s v="Kilometers"/>
    <m/>
  </r>
  <r>
    <n v="9"/>
    <x v="0"/>
    <x v="0"/>
    <x v="8"/>
    <x v="2"/>
    <n v="62.13"/>
    <s v="Liters"/>
    <n v="78"/>
    <s v="Kilometers"/>
    <m/>
  </r>
  <r>
    <n v="10"/>
    <x v="0"/>
    <x v="0"/>
    <x v="9"/>
    <x v="3"/>
    <n v="68.7"/>
    <s v="Liters"/>
    <n v="130.69999999999999"/>
    <s v="Kilometers"/>
    <m/>
  </r>
  <r>
    <n v="11"/>
    <x v="0"/>
    <x v="0"/>
    <x v="10"/>
    <x v="3"/>
    <n v="34"/>
    <s v="Liters"/>
    <n v="61.3"/>
    <s v="Kilometers"/>
    <m/>
  </r>
  <r>
    <n v="12"/>
    <x v="0"/>
    <x v="0"/>
    <x v="11"/>
    <x v="3"/>
    <n v="50.13"/>
    <s v="Liters"/>
    <n v="92.9"/>
    <s v="Kilometers"/>
    <m/>
  </r>
  <r>
    <n v="13"/>
    <x v="1"/>
    <x v="0"/>
    <x v="0"/>
    <x v="0"/>
    <n v="16.86"/>
    <s v="Liters"/>
    <n v="118"/>
    <s v="Kilometers"/>
    <m/>
  </r>
  <r>
    <n v="14"/>
    <x v="1"/>
    <x v="0"/>
    <x v="1"/>
    <x v="0"/>
    <n v="58.75"/>
    <s v="Liters"/>
    <n v="470"/>
    <s v="Kilometers"/>
    <m/>
  </r>
  <r>
    <n v="15"/>
    <x v="1"/>
    <x v="0"/>
    <x v="2"/>
    <x v="0"/>
    <n v="128.47"/>
    <s v="Liters"/>
    <n v="1079"/>
    <s v="Kilometers"/>
    <m/>
  </r>
  <r>
    <n v="16"/>
    <x v="1"/>
    <x v="0"/>
    <x v="3"/>
    <x v="1"/>
    <n v="140.93"/>
    <s v="Liters"/>
    <n v="1384"/>
    <s v="Kilometers"/>
    <m/>
  </r>
  <r>
    <n v="17"/>
    <x v="1"/>
    <x v="0"/>
    <x v="4"/>
    <x v="1"/>
    <n v="127.46"/>
    <s v="Liters"/>
    <n v="962"/>
    <s v="Kilometers"/>
    <m/>
  </r>
  <r>
    <n v="18"/>
    <x v="1"/>
    <x v="0"/>
    <x v="5"/>
    <x v="1"/>
    <n v="51.22"/>
    <s v="Liters"/>
    <n v="461"/>
    <s v="Kilometers"/>
    <m/>
  </r>
  <r>
    <n v="19"/>
    <x v="1"/>
    <x v="0"/>
    <x v="6"/>
    <x v="2"/>
    <n v="141.33000000000001"/>
    <s v="Liters"/>
    <n v="1293"/>
    <s v="Kilometers"/>
    <m/>
  </r>
  <r>
    <n v="20"/>
    <x v="1"/>
    <x v="0"/>
    <x v="7"/>
    <x v="2"/>
    <n v="51.57"/>
    <s v="Liters"/>
    <n v="500"/>
    <s v="Kilometers"/>
    <m/>
  </r>
  <r>
    <n v="21"/>
    <x v="1"/>
    <x v="0"/>
    <x v="8"/>
    <x v="2"/>
    <n v="68.97"/>
    <s v="Liters"/>
    <n v="625"/>
    <s v="Kilometers"/>
    <m/>
  </r>
  <r>
    <n v="22"/>
    <x v="1"/>
    <x v="0"/>
    <x v="9"/>
    <x v="3"/>
    <n v="88.02"/>
    <s v="Liters"/>
    <n v="632"/>
    <s v="Kilometers"/>
    <m/>
  </r>
  <r>
    <n v="23"/>
    <x v="1"/>
    <x v="0"/>
    <x v="10"/>
    <x v="3"/>
    <n v="93.61"/>
    <s v="Liters"/>
    <n v="1071"/>
    <s v="Kilometers"/>
    <m/>
  </r>
  <r>
    <n v="24"/>
    <x v="1"/>
    <x v="0"/>
    <x v="11"/>
    <x v="3"/>
    <n v="38.11"/>
    <s v="Liters"/>
    <n v="343"/>
    <s v="Kilometers"/>
    <m/>
  </r>
  <r>
    <n v="25"/>
    <x v="2"/>
    <x v="0"/>
    <x v="0"/>
    <x v="0"/>
    <n v="115.18"/>
    <s v="Liters"/>
    <n v="1324"/>
    <s v="Kilometers"/>
    <m/>
  </r>
  <r>
    <n v="26"/>
    <x v="2"/>
    <x v="0"/>
    <x v="1"/>
    <x v="0"/>
    <n v="132.85"/>
    <s v="Liters"/>
    <n v="1679"/>
    <s v="Kilometers"/>
    <m/>
  </r>
  <r>
    <n v="27"/>
    <x v="2"/>
    <x v="0"/>
    <x v="2"/>
    <x v="0"/>
    <n v="89.39"/>
    <s v="Liters"/>
    <n v="1004"/>
    <s v="Kilometers"/>
    <m/>
  </r>
  <r>
    <n v="28"/>
    <x v="2"/>
    <x v="0"/>
    <x v="3"/>
    <x v="1"/>
    <n v="127.97"/>
    <s v="Liters"/>
    <n v="1535"/>
    <s v="Kilometers"/>
    <m/>
  </r>
  <r>
    <n v="29"/>
    <x v="2"/>
    <x v="0"/>
    <x v="4"/>
    <x v="1"/>
    <n v="104.36"/>
    <s v="Liters"/>
    <n v="1046"/>
    <s v="Kilometers"/>
    <m/>
  </r>
  <r>
    <n v="30"/>
    <x v="2"/>
    <x v="0"/>
    <x v="5"/>
    <x v="1"/>
    <n v="102.21"/>
    <s v="Liters"/>
    <n v="1049"/>
    <s v="Kilometers"/>
    <m/>
  </r>
  <r>
    <n v="31"/>
    <x v="2"/>
    <x v="0"/>
    <x v="6"/>
    <x v="2"/>
    <n v="143.58000000000001"/>
    <s v="Liters"/>
    <n v="1505"/>
    <s v="Kilometers"/>
    <m/>
  </r>
  <r>
    <n v="32"/>
    <x v="2"/>
    <x v="0"/>
    <x v="7"/>
    <x v="2"/>
    <n v="81.44"/>
    <s v="Liters"/>
    <n v="726"/>
    <s v="Kilometers"/>
    <m/>
  </r>
  <r>
    <n v="33"/>
    <x v="2"/>
    <x v="0"/>
    <x v="8"/>
    <x v="2"/>
    <n v="93.29"/>
    <s v="Liters"/>
    <n v="915"/>
    <s v="Kilometers"/>
    <m/>
  </r>
  <r>
    <n v="34"/>
    <x v="2"/>
    <x v="0"/>
    <x v="9"/>
    <x v="3"/>
    <n v="111.98"/>
    <s v="Liters"/>
    <n v="1026"/>
    <s v="Kilometers"/>
    <m/>
  </r>
  <r>
    <n v="35"/>
    <x v="2"/>
    <x v="0"/>
    <x v="10"/>
    <x v="3"/>
    <n v="155.5"/>
    <s v="Liters"/>
    <n v="1708"/>
    <s v="Kilometers"/>
    <m/>
  </r>
  <r>
    <n v="36"/>
    <x v="2"/>
    <x v="0"/>
    <x v="11"/>
    <x v="3"/>
    <n v="48.17"/>
    <s v="Liters"/>
    <n v="578"/>
    <s v="Kilometers"/>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96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96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96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96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96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97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G39" firstHeaderRow="1" firstDataRow="2" firstDataCol="1" rowPageCount="1" colPageCount="1"/>
  <pivotFields count="10">
    <pivotField showAll="0"/>
    <pivotField axis="axisRow" showAll="0">
      <items count="12">
        <item m="1" x="10"/>
        <item m="1" x="9"/>
        <item x="3"/>
        <item m="1" x="4"/>
        <item m="1" x="8"/>
        <item m="1" x="5"/>
        <item m="1" x="6"/>
        <item m="1" x="7"/>
        <item x="0"/>
        <item x="1"/>
        <item x="2"/>
        <item t="default"/>
      </items>
    </pivotField>
    <pivotField axis="axisRow" showAll="0">
      <items count="5">
        <item x="0"/>
        <item m="1" x="2"/>
        <item x="1"/>
        <item m="1" x="3"/>
        <item t="default"/>
      </items>
    </pivotField>
    <pivotField axis="axisPage" showAll="0">
      <items count="14">
        <item x="0"/>
        <item x="1"/>
        <item x="9"/>
        <item x="12"/>
        <item x="4"/>
        <item x="8"/>
        <item x="2"/>
        <item x="3"/>
        <item x="5"/>
        <item x="6"/>
        <item x="7"/>
        <item x="10"/>
        <item x="11"/>
        <item t="default"/>
      </items>
    </pivotField>
    <pivotField axis="axisCol" showAll="0">
      <items count="7">
        <item x="4"/>
        <item x="0"/>
        <item x="3"/>
        <item x="1"/>
        <item x="2"/>
        <item m="1" x="5"/>
        <item t="default"/>
      </items>
    </pivotField>
    <pivotField dataField="1" showAll="0"/>
    <pivotField showAll="0"/>
    <pivotField showAll="0"/>
    <pivotField showAll="0"/>
    <pivotField showAll="0"/>
  </pivotFields>
  <rowFields count="2">
    <field x="1"/>
    <field x="2"/>
  </rowFields>
  <rowItems count="9">
    <i>
      <x v="2"/>
    </i>
    <i r="1">
      <x v="2"/>
    </i>
    <i>
      <x v="8"/>
    </i>
    <i r="1">
      <x/>
    </i>
    <i>
      <x v="9"/>
    </i>
    <i r="1">
      <x/>
    </i>
    <i>
      <x v="10"/>
    </i>
    <i r="1">
      <x/>
    </i>
    <i t="grand">
      <x/>
    </i>
  </rowItems>
  <colFields count="1">
    <field x="4"/>
  </colFields>
  <colItems count="6">
    <i>
      <x/>
    </i>
    <i>
      <x v="1"/>
    </i>
    <i>
      <x v="2"/>
    </i>
    <i>
      <x v="3"/>
    </i>
    <i>
      <x v="4"/>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96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0" s="1"/>
        <i x="2" s="1"/>
        <i x="1" s="1"/>
        <i x="10" s="1" nd="1"/>
        <i x="5" s="1" nd="1"/>
        <i x="6" s="1" nd="1"/>
        <i x="7" s="1" nd="1"/>
        <i x="4" s="1" nd="1"/>
        <i x="9" s="1" nd="1"/>
        <i x="8"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6" s="1"/>
        <i x="7" s="1"/>
        <i x="8" s="1"/>
        <i x="9" s="1"/>
        <i x="10" s="1"/>
        <i x="11"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30" totalsRowShown="0" headerRowDxfId="109" dataDxfId="107" headerRowBorderDxfId="108" tableBorderDxfId="106">
  <autoFilter ref="I6:O30"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8" dataDxfId="96" headerRowBorderDxfId="97" tableBorderDxfId="95" totalsRowBorderDxfId="94">
  <autoFilter ref="I6:R106" xr:uid="{A85D45EB-1572-A543-812E-815536D59C14}"/>
  <tableColumns count="10">
    <tableColumn id="1" xr3:uid="{CA340CBE-9D85-6C42-9CA1-DDAD368521C3}" name="No." dataDxfId="93">
      <calculatedColumnFormula>IF($J7="","",$I6+1)</calculatedColumnFormula>
    </tableColumn>
    <tableColumn id="2" xr3:uid="{CFAD3D96-F137-044A-AE4C-49E5188E1144}" name="Vehicle Type" dataDxfId="92"/>
    <tableColumn id="3" xr3:uid="{5A421D87-7A43-B14E-BA71-EABB4924A663}" name="Fuel Type" dataDxfId="91"/>
    <tableColumn id="4" xr3:uid="{9C4094CC-7613-9147-BAF8-A31087280A9A}" name="Month" dataDxfId="90"/>
    <tableColumn id="10" xr3:uid="{5211A67F-348D-494D-AD2E-AD4A362BCD78}" name="Quarter" dataDxfId="89">
      <calculatedColumnFormula>IF(Fuel_Veh[[#This Row],[Month]]&lt;&gt;"",VLOOKUP(Fuel_Veh[[#This Row],[Month]], dropdown!$S$4:$T$15, 2, FALSE),"")</calculatedColumnFormula>
    </tableColumn>
    <tableColumn id="5" xr3:uid="{6EDA12F9-55D0-694A-BAB9-B15BDE58CA76}" name="Consumption" dataDxfId="88"/>
    <tableColumn id="7" xr3:uid="{E7761959-51F4-954F-B8FB-F46DCC54C53F}" name="Unit" dataDxfId="87">
      <calculatedColumnFormula>IF($K7="","",VLOOKUP($K7,dropdown!$P$14:$Q$18,2,FALSE))</calculatedColumnFormula>
    </tableColumn>
    <tableColumn id="8" xr3:uid="{AD5D0247-3B56-D146-B22E-45D44E44A249}" name="Total kilometers travelled (all vehicles)" dataDxfId="86"/>
    <tableColumn id="6" xr3:uid="{7D9E5DFA-64C2-4B06-A40F-0BC8CB602574}" name="Unit2" dataDxfId="85">
      <calculatedColumnFormula>IF($P7="","","Kilometers")</calculatedColumnFormula>
    </tableColumn>
    <tableColumn id="9" xr3:uid="{3C24034E-2544-5447-B927-0F565A869F60}" name="Remarks"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3" dataDxfId="82">
  <autoFilter ref="I8:W107"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031" totalsRowShown="0" headerRowDxfId="8">
  <autoFilter ref="A1:E1031"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B15" zoomScaleNormal="130" workbookViewId="0">
      <selection activeCell="H22" sqref="H22"/>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topLeftCell="A11" zoomScale="88" zoomScaleNormal="60" workbookViewId="0">
      <selection activeCell="E17" sqref="E17"/>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3" t="s">
        <v>431</v>
      </c>
      <c r="E2" s="444"/>
      <c r="F2" s="444"/>
      <c r="G2" s="445"/>
    </row>
    <row r="3" spans="3:7" x14ac:dyDescent="0.2">
      <c r="C3" s="117" t="s">
        <v>12</v>
      </c>
      <c r="D3" s="443">
        <v>2024</v>
      </c>
      <c r="E3" s="444"/>
      <c r="F3" s="444"/>
      <c r="G3" s="445"/>
    </row>
    <row r="5" spans="3:7" ht="19" customHeight="1" x14ac:dyDescent="0.2">
      <c r="C5" s="442" t="s">
        <v>148</v>
      </c>
      <c r="D5" s="442"/>
      <c r="E5" s="442"/>
      <c r="F5" s="442"/>
      <c r="G5" s="442"/>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x</v>
      </c>
      <c r="G8" s="181" t="str" cm="1">
        <f t="array" ref="G8">IF(SUMPRODUCT(--('2.1a Fuel - Buildings'!G11:G15&gt;0))&gt;0, "x", "")</f>
        <v>x</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x</v>
      </c>
      <c r="G9" s="183" t="str" cm="1">
        <f t="array" ref="G9">IF(SUMPRODUCT(--('2.1b Fuel - Vehicles'!G11:G12&gt;0))&gt;0, "x", "")</f>
        <v>x</v>
      </c>
    </row>
    <row r="10" spans="3:7" x14ac:dyDescent="0.2">
      <c r="C10" s="182" t="s">
        <v>154</v>
      </c>
      <c r="D10" s="183" t="str" cm="1">
        <f t="array" ref="D10">IF(SUMPRODUCT(--('2.2 Refrigerants'!D11:D13&gt;0))&gt;0, "x", "")</f>
        <v/>
      </c>
      <c r="E10" s="183" t="str" cm="1">
        <f t="array" ref="E10">IF(SUMPRODUCT(--('2.2 Refrigerants'!E11:E13&gt;0))&gt;0, "x", "")</f>
        <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x</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x</v>
      </c>
      <c r="G13" s="183" t="str">
        <f>IF(SUM('2.4 Water'!G11:G12)&lt;&gt;0,"x","")</f>
        <v>x</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x</v>
      </c>
      <c r="G14" s="183" t="str" cm="1">
        <f t="array" ref="G14">IF(SUMPRODUCT(--('2.5 Waste'!G11:G16&gt;0))&gt;0, "x", "")</f>
        <v>x</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1683.3400000000001</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2930.9300000000003</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316800</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945</v>
      </c>
    </row>
    <row r="40" spans="3:5" x14ac:dyDescent="0.2">
      <c r="C40" s="189" t="str">
        <f>'2.4 Water'!B12</f>
        <v>Water Discharge</v>
      </c>
      <c r="D40" s="189" t="str">
        <f>'2.4 Water'!C12</f>
        <v>Cubic meters</v>
      </c>
      <c r="E40" s="190">
        <f>SUM('2.4 Water'!$D$12:$G$12)</f>
        <v>521.5200000000001</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0</v>
      </c>
    </row>
    <row r="45" spans="3:5" x14ac:dyDescent="0.2">
      <c r="C45" s="189" t="str">
        <f>'2.5 Waste'!B12</f>
        <v>Recyclable</v>
      </c>
      <c r="D45" s="189" t="str">
        <f>'2.5 Waste'!C12</f>
        <v>Kilograms</v>
      </c>
      <c r="E45" s="191">
        <f>SUM('2.5 Waste'!$D$12:$G$12)</f>
        <v>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Waste'!$D$15:$G$15)</f>
        <v>0</v>
      </c>
    </row>
    <row r="49" spans="3:5" x14ac:dyDescent="0.2">
      <c r="C49" s="189" t="str">
        <f>'2.5 Waste'!B16</f>
        <v>Residual/Landfill</v>
      </c>
      <c r="D49" s="189" t="str">
        <f>'2.5 Waste'!C16</f>
        <v>Kilograms</v>
      </c>
      <c r="E49" s="191">
        <f>SUM('2.5 Waste'!$D$16:$G$16)</f>
        <v>96172</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I11" sqref="I11"/>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Tacloban Branch</v>
      </c>
      <c r="C4" s="37"/>
      <c r="D4" s="38">
        <f>IF('1. Data Info and Summary'!$D$3=0,"-",'1. Data Info and Summary'!$D$3)</f>
        <v>2024</v>
      </c>
      <c r="E4" s="37"/>
      <c r="F4" s="37" t="s">
        <v>171</v>
      </c>
      <c r="G4" s="39"/>
      <c r="I4" s="338"/>
      <c r="J4" s="276"/>
      <c r="K4" s="276"/>
      <c r="L4" s="276"/>
      <c r="M4" s="277"/>
      <c r="N4" s="277"/>
      <c r="O4" s="414"/>
      <c r="P4" s="213"/>
    </row>
    <row r="5" spans="2:16" x14ac:dyDescent="0.2">
      <c r="I5" s="20"/>
      <c r="J5" s="272"/>
    </row>
    <row r="6" spans="2:16" x14ac:dyDescent="0.2">
      <c r="B6" s="278" t="s">
        <v>172</v>
      </c>
      <c r="C6" s="446" t="s">
        <v>1503</v>
      </c>
      <c r="D6" s="447"/>
      <c r="E6" s="447"/>
      <c r="F6" s="447"/>
      <c r="G6" s="448"/>
      <c r="I6" s="209" t="s">
        <v>173</v>
      </c>
      <c r="J6" s="209" t="s">
        <v>35</v>
      </c>
      <c r="K6" s="209" t="s">
        <v>39</v>
      </c>
      <c r="L6" s="209" t="s">
        <v>43</v>
      </c>
      <c r="M6" s="209" t="s">
        <v>47</v>
      </c>
      <c r="N6" s="209" t="s">
        <v>51</v>
      </c>
      <c r="O6" s="209" t="s">
        <v>54</v>
      </c>
      <c r="P6" s="20"/>
    </row>
    <row r="7" spans="2:16" x14ac:dyDescent="0.2">
      <c r="B7" s="278" t="s">
        <v>174</v>
      </c>
      <c r="C7" s="449">
        <v>45911</v>
      </c>
      <c r="D7" s="447"/>
      <c r="E7" s="447"/>
      <c r="F7" s="447"/>
      <c r="G7" s="448"/>
      <c r="I7" s="194">
        <f>IF($M7="","",1)</f>
        <v>1</v>
      </c>
      <c r="J7" s="57" t="s">
        <v>37</v>
      </c>
      <c r="K7" s="58" t="s">
        <v>338</v>
      </c>
      <c r="L7" s="18" t="str">
        <f>IF(Fuel_Blg[[#This Row],[Month]]&lt;&gt;"",VLOOKUP(Fuel_Blg[[#This Row],[Month]], dropdown!$S$4:$T$15, 2, FALSE),"")</f>
        <v>Q1</v>
      </c>
      <c r="M7" s="29">
        <v>163</v>
      </c>
      <c r="N7" s="17" t="str">
        <f>IF($J7="","",VLOOKUP($J7,dropdown!$P$3:$Q$8,2,FALSE))</f>
        <v>Liters</v>
      </c>
      <c r="O7" s="195" t="s">
        <v>1501</v>
      </c>
      <c r="P7" s="20"/>
    </row>
    <row r="8" spans="2:16" x14ac:dyDescent="0.2">
      <c r="I8" s="194"/>
      <c r="J8" s="57" t="s">
        <v>37</v>
      </c>
      <c r="K8" s="58" t="s">
        <v>338</v>
      </c>
      <c r="L8" s="18" t="str">
        <f>IF(Fuel_Blg[[#This Row],[Month]]&lt;&gt;"",VLOOKUP(Fuel_Blg[[#This Row],[Month]], dropdown!$S$4:$T$15, 2, FALSE),"")</f>
        <v>Q1</v>
      </c>
      <c r="M8" s="29">
        <v>4.07</v>
      </c>
      <c r="N8" s="17" t="str">
        <f>IF($J8="","",VLOOKUP($J8,dropdown!$P$3:$Q$8,2,FALSE))</f>
        <v>Liters</v>
      </c>
      <c r="O8" s="195" t="s">
        <v>1502</v>
      </c>
      <c r="P8" s="20"/>
    </row>
    <row r="9" spans="2:16" x14ac:dyDescent="0.2">
      <c r="B9" s="14" t="s">
        <v>33</v>
      </c>
      <c r="C9" s="14"/>
      <c r="D9" s="14"/>
      <c r="E9" s="14"/>
      <c r="F9" s="14"/>
      <c r="G9" s="14"/>
      <c r="I9" s="194"/>
      <c r="J9" s="57" t="s">
        <v>37</v>
      </c>
      <c r="K9" s="58" t="s">
        <v>89</v>
      </c>
      <c r="L9" s="18" t="str">
        <f>IF(Fuel_Blg[[#This Row],[Month]]&lt;&gt;"",VLOOKUP(Fuel_Blg[[#This Row],[Month]], dropdown!$S$4:$T$15, 2, FALSE),"")</f>
        <v>Q1</v>
      </c>
      <c r="M9" s="29">
        <v>31</v>
      </c>
      <c r="N9" s="17" t="str">
        <f>IF($J9="","",VLOOKUP($J9,dropdown!$P$3:$Q$8,2,FALSE))</f>
        <v>Liters</v>
      </c>
      <c r="O9" s="195" t="s">
        <v>1501</v>
      </c>
      <c r="P9" s="20"/>
    </row>
    <row r="10" spans="2:16" x14ac:dyDescent="0.2">
      <c r="B10" s="13" t="s">
        <v>35</v>
      </c>
      <c r="C10" s="13" t="s">
        <v>51</v>
      </c>
      <c r="D10" s="40" t="s">
        <v>45</v>
      </c>
      <c r="E10" s="40" t="s">
        <v>149</v>
      </c>
      <c r="F10" s="40" t="s">
        <v>150</v>
      </c>
      <c r="G10" s="40" t="s">
        <v>151</v>
      </c>
      <c r="I10" s="194">
        <f t="shared" ref="I10:I30" si="0">IF($M10="","",$I9+1)</f>
        <v>1</v>
      </c>
      <c r="J10" s="57" t="s">
        <v>37</v>
      </c>
      <c r="K10" s="58" t="s">
        <v>89</v>
      </c>
      <c r="L10" s="18" t="str">
        <f>IF(Fuel_Blg[[#This Row],[Month]]&lt;&gt;"",VLOOKUP(Fuel_Blg[[#This Row],[Month]], dropdown!$S$4:$T$15, 2, FALSE),"")</f>
        <v>Q1</v>
      </c>
      <c r="M10" s="29">
        <v>6.67</v>
      </c>
      <c r="N10" s="17" t="str">
        <f>IF($J10="","",VLOOKUP($J10,dropdown!$P$3:$Q$8,2,FALSE))</f>
        <v>Liters</v>
      </c>
      <c r="O10" s="195" t="s">
        <v>1502</v>
      </c>
      <c r="P10" s="20"/>
    </row>
    <row r="11" spans="2:16" x14ac:dyDescent="0.2">
      <c r="B11" s="17" t="str">
        <f>dropdown!$P4</f>
        <v>Diesel - Standby generator sets</v>
      </c>
      <c r="C11" s="17" t="str">
        <f>dropdown!$Q4</f>
        <v>Liters</v>
      </c>
      <c r="D11" s="41">
        <f>SUMIFS(Fuel_Blg[Consumption],Fuel_Blg[Quarter],D$10,Fuel_Blg[Fuel Type],$B$11)</f>
        <v>257.43</v>
      </c>
      <c r="E11" s="41">
        <f>SUMIFS(Fuel_Blg[Consumption],Fuel_Blg[Quarter],E$10,Fuel_Blg[Fuel Type],$B$11)</f>
        <v>548.28</v>
      </c>
      <c r="F11" s="41">
        <f>SUMIFS(Fuel_Blg[Consumption],Fuel_Blg[Quarter],F$10,Fuel_Blg[Fuel Type],$B$11)</f>
        <v>567.76</v>
      </c>
      <c r="G11" s="41">
        <f>SUMIFS(Fuel_Blg[Consumption],Fuel_Blg[Quarter],G$10,Fuel_Blg[Fuel Type],$B$11)</f>
        <v>309.87</v>
      </c>
      <c r="I11" s="194">
        <f t="shared" si="0"/>
        <v>2</v>
      </c>
      <c r="J11" s="57" t="s">
        <v>37</v>
      </c>
      <c r="K11" s="58" t="s">
        <v>362</v>
      </c>
      <c r="L11" s="18" t="str">
        <f>IF(Fuel_Blg[[#This Row],[Month]]&lt;&gt;"",VLOOKUP(Fuel_Blg[[#This Row],[Month]], dropdown!$S$4:$T$15, 2, FALSE),"")</f>
        <v>Q1</v>
      </c>
      <c r="M11" s="29">
        <v>45.5</v>
      </c>
      <c r="N11" s="17" t="str">
        <f>IF($J11="","",VLOOKUP($J11,dropdown!$P$3:$Q$8,2,FALSE))</f>
        <v>Liters</v>
      </c>
      <c r="O11" s="195" t="s">
        <v>1501</v>
      </c>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362</v>
      </c>
      <c r="L12" s="18" t="str">
        <f>IF(Fuel_Blg[[#This Row],[Month]]&lt;&gt;"",VLOOKUP(Fuel_Blg[[#This Row],[Month]], dropdown!$S$4:$T$15, 2, FALSE),"")</f>
        <v>Q1</v>
      </c>
      <c r="M12" s="29">
        <v>7.19</v>
      </c>
      <c r="N12" s="17" t="str">
        <f>IF($J12="","",VLOOKUP($J12,dropdown!$P$3:$Q$8,2,FALSE))</f>
        <v>Liters</v>
      </c>
      <c r="O12" s="195" t="s">
        <v>1502</v>
      </c>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0"/>
        <v>4</v>
      </c>
      <c r="J13" s="57" t="s">
        <v>37</v>
      </c>
      <c r="K13" s="58" t="s">
        <v>371</v>
      </c>
      <c r="L13" s="18" t="str">
        <f>IF(Fuel_Blg[[#This Row],[Month]]&lt;&gt;"",VLOOKUP(Fuel_Blg[[#This Row],[Month]], dropdown!$S$4:$T$15, 2, FALSE),"")</f>
        <v>Q2</v>
      </c>
      <c r="M13" s="29">
        <v>263</v>
      </c>
      <c r="N13" s="17" t="str">
        <f>IF($J13="","",VLOOKUP($J13,dropdown!$P$3:$Q$8,2,FALSE))</f>
        <v>Liters</v>
      </c>
      <c r="O13" s="195" t="s">
        <v>1501</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194">
        <f t="shared" si="0"/>
        <v>5</v>
      </c>
      <c r="J14" s="57" t="s">
        <v>37</v>
      </c>
      <c r="K14" s="58" t="s">
        <v>371</v>
      </c>
      <c r="L14" s="18" t="str">
        <f>IF(Fuel_Blg[[#This Row],[Month]]&lt;&gt;"",VLOOKUP(Fuel_Blg[[#This Row],[Month]], dropdown!$S$4:$T$15, 2, FALSE),"")</f>
        <v>Q2</v>
      </c>
      <c r="M14" s="29">
        <v>5.52</v>
      </c>
      <c r="N14" s="17" t="str">
        <f>IF($J14="","",VLOOKUP($J14,dropdown!$P$3:$Q$8,2,FALSE))</f>
        <v>Liters</v>
      </c>
      <c r="O14" s="195" t="s">
        <v>1502</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194">
        <f t="shared" si="0"/>
        <v>6</v>
      </c>
      <c r="J15" s="57" t="s">
        <v>37</v>
      </c>
      <c r="K15" s="58" t="s">
        <v>379</v>
      </c>
      <c r="L15" s="18" t="str">
        <f>IF(Fuel_Blg[[#This Row],[Month]]&lt;&gt;"",VLOOKUP(Fuel_Blg[[#This Row],[Month]], dropdown!$S$4:$T$15, 2, FALSE),"")</f>
        <v>Q2</v>
      </c>
      <c r="M15" s="29">
        <v>232</v>
      </c>
      <c r="N15" s="17" t="str">
        <f>IF($J15="","",VLOOKUP($J15,dropdown!$P$3:$Q$8,2,FALSE))</f>
        <v>Liters</v>
      </c>
      <c r="O15" s="195" t="s">
        <v>1501</v>
      </c>
      <c r="P15" s="20"/>
    </row>
    <row r="16" spans="2:16" x14ac:dyDescent="0.2">
      <c r="I16" s="194">
        <f t="shared" si="0"/>
        <v>7</v>
      </c>
      <c r="J16" s="57" t="s">
        <v>37</v>
      </c>
      <c r="K16" s="58" t="s">
        <v>379</v>
      </c>
      <c r="L16" s="18" t="str">
        <f>IF(Fuel_Blg[[#This Row],[Month]]&lt;&gt;"",VLOOKUP(Fuel_Blg[[#This Row],[Month]], dropdown!$S$4:$T$15, 2, FALSE),"")</f>
        <v>Q2</v>
      </c>
      <c r="M16" s="29">
        <v>7.8</v>
      </c>
      <c r="N16" s="17" t="str">
        <f>IF($J16="","",VLOOKUP($J16,dropdown!$P$3:$Q$8,2,FALSE))</f>
        <v>Liters</v>
      </c>
      <c r="O16" s="195" t="s">
        <v>1502</v>
      </c>
      <c r="P16" s="20"/>
    </row>
    <row r="17" spans="2:16" x14ac:dyDescent="0.2">
      <c r="B17" s="267" t="s">
        <v>38</v>
      </c>
      <c r="I17" s="194">
        <f t="shared" si="0"/>
        <v>8</v>
      </c>
      <c r="J17" s="57" t="s">
        <v>37</v>
      </c>
      <c r="K17" s="58" t="s">
        <v>386</v>
      </c>
      <c r="L17" s="18" t="str">
        <f>IF(Fuel_Blg[[#This Row],[Month]]&lt;&gt;"",VLOOKUP(Fuel_Blg[[#This Row],[Month]], dropdown!$S$4:$T$15, 2, FALSE),"")</f>
        <v>Q2</v>
      </c>
      <c r="M17" s="29">
        <v>32</v>
      </c>
      <c r="N17" s="17" t="str">
        <f>IF($J17="","",VLOOKUP($J17,dropdown!$P$3:$Q$8,2,FALSE))</f>
        <v>Liters</v>
      </c>
      <c r="O17" s="195" t="s">
        <v>1501</v>
      </c>
      <c r="P17" s="20"/>
    </row>
    <row r="18" spans="2:16" x14ac:dyDescent="0.2">
      <c r="B18" s="268" t="s">
        <v>175</v>
      </c>
      <c r="I18" s="194">
        <f t="shared" si="0"/>
        <v>9</v>
      </c>
      <c r="J18" s="57" t="s">
        <v>37</v>
      </c>
      <c r="K18" s="58" t="s">
        <v>386</v>
      </c>
      <c r="L18" s="18" t="str">
        <f>IF(Fuel_Blg[[#This Row],[Month]]&lt;&gt;"",VLOOKUP(Fuel_Blg[[#This Row],[Month]], dropdown!$S$4:$T$15, 2, FALSE),"")</f>
        <v>Q2</v>
      </c>
      <c r="M18" s="29">
        <v>7.96</v>
      </c>
      <c r="N18" s="17" t="str">
        <f>IF($J18="","",VLOOKUP($J18,dropdown!$P$3:$Q$8,2,FALSE))</f>
        <v>Liters</v>
      </c>
      <c r="O18" s="195" t="s">
        <v>1502</v>
      </c>
      <c r="P18" s="20"/>
    </row>
    <row r="19" spans="2:16" x14ac:dyDescent="0.2">
      <c r="B19" s="266" t="s">
        <v>176</v>
      </c>
      <c r="I19" s="194">
        <f t="shared" si="0"/>
        <v>10</v>
      </c>
      <c r="J19" s="57" t="s">
        <v>37</v>
      </c>
      <c r="K19" s="58" t="s">
        <v>390</v>
      </c>
      <c r="L19" s="18" t="str">
        <f>IF(Fuel_Blg[[#This Row],[Month]]&lt;&gt;"",VLOOKUP(Fuel_Blg[[#This Row],[Month]], dropdown!$S$4:$T$15, 2, FALSE),"")</f>
        <v>Q3</v>
      </c>
      <c r="M19" s="29">
        <v>217</v>
      </c>
      <c r="N19" s="17" t="str">
        <f>IF($J19="","",VLOOKUP($J19,dropdown!$P$3:$Q$8,2,FALSE))</f>
        <v>Liters</v>
      </c>
      <c r="O19" s="195" t="s">
        <v>1501</v>
      </c>
      <c r="P19" s="20"/>
    </row>
    <row r="20" spans="2:16" x14ac:dyDescent="0.2">
      <c r="B20" s="17" t="s">
        <v>177</v>
      </c>
      <c r="I20" s="194">
        <f t="shared" si="0"/>
        <v>11</v>
      </c>
      <c r="J20" s="57" t="s">
        <v>37</v>
      </c>
      <c r="K20" s="58" t="s">
        <v>390</v>
      </c>
      <c r="L20" s="18" t="str">
        <f>IF(Fuel_Blg[[#This Row],[Month]]&lt;&gt;"",VLOOKUP(Fuel_Blg[[#This Row],[Month]], dropdown!$S$4:$T$15, 2, FALSE),"")</f>
        <v>Q3</v>
      </c>
      <c r="M20" s="29">
        <v>7.11</v>
      </c>
      <c r="N20" s="17" t="str">
        <f>IF($J20="","",VLOOKUP($J20,dropdown!$P$3:$Q$8,2,FALSE))</f>
        <v>Liters</v>
      </c>
      <c r="O20" s="195" t="s">
        <v>1502</v>
      </c>
      <c r="P20" s="20"/>
    </row>
    <row r="21" spans="2:16" x14ac:dyDescent="0.2">
      <c r="I21" s="194">
        <f t="shared" si="0"/>
        <v>12</v>
      </c>
      <c r="J21" s="57" t="s">
        <v>37</v>
      </c>
      <c r="K21" s="58" t="s">
        <v>41</v>
      </c>
      <c r="L21" s="18" t="str">
        <f>IF(Fuel_Blg[[#This Row],[Month]]&lt;&gt;"",VLOOKUP(Fuel_Blg[[#This Row],[Month]], dropdown!$S$4:$T$15, 2, FALSE),"")</f>
        <v>Q3</v>
      </c>
      <c r="M21" s="29">
        <v>316</v>
      </c>
      <c r="N21" s="17" t="str">
        <f>IF($J21="","",VLOOKUP($J21,dropdown!$P$3:$Q$8,2,FALSE))</f>
        <v>Liters</v>
      </c>
      <c r="O21" s="195" t="s">
        <v>1501</v>
      </c>
      <c r="P21" s="20"/>
    </row>
    <row r="22" spans="2:16" x14ac:dyDescent="0.2">
      <c r="I22" s="194">
        <f t="shared" si="0"/>
        <v>13</v>
      </c>
      <c r="J22" s="57" t="s">
        <v>37</v>
      </c>
      <c r="K22" s="58" t="s">
        <v>41</v>
      </c>
      <c r="L22" s="18" t="str">
        <f>IF(Fuel_Blg[[#This Row],[Month]]&lt;&gt;"",VLOOKUP(Fuel_Blg[[#This Row],[Month]], dropdown!$S$4:$T$15, 2, FALSE),"")</f>
        <v>Q3</v>
      </c>
      <c r="M22" s="29">
        <v>7.89</v>
      </c>
      <c r="N22" s="17" t="str">
        <f>IF($J22="","",VLOOKUP($J22,dropdown!$P$3:$Q$8,2,FALSE))</f>
        <v>Liters</v>
      </c>
      <c r="O22" s="195" t="s">
        <v>1502</v>
      </c>
      <c r="P22" s="20"/>
    </row>
    <row r="23" spans="2:16" x14ac:dyDescent="0.2">
      <c r="I23" s="194">
        <f t="shared" si="0"/>
        <v>14</v>
      </c>
      <c r="J23" s="57" t="s">
        <v>37</v>
      </c>
      <c r="K23" s="58" t="s">
        <v>397</v>
      </c>
      <c r="L23" s="18" t="str">
        <f>IF(Fuel_Blg[[#This Row],[Month]]&lt;&gt;"",VLOOKUP(Fuel_Blg[[#This Row],[Month]], dropdown!$S$4:$T$15, 2, FALSE),"")</f>
        <v>Q3</v>
      </c>
      <c r="M23" s="29">
        <v>13</v>
      </c>
      <c r="N23" s="17" t="str">
        <f>IF($J23="","",VLOOKUP($J23,dropdown!$P$3:$Q$8,2,FALSE))</f>
        <v>Liters</v>
      </c>
      <c r="O23" s="195" t="s">
        <v>1501</v>
      </c>
      <c r="P23" s="20"/>
    </row>
    <row r="24" spans="2:16" x14ac:dyDescent="0.2">
      <c r="I24" s="194">
        <f t="shared" si="0"/>
        <v>15</v>
      </c>
      <c r="J24" s="57" t="s">
        <v>37</v>
      </c>
      <c r="K24" s="58" t="s">
        <v>397</v>
      </c>
      <c r="L24" s="18" t="str">
        <f>IF(Fuel_Blg[[#This Row],[Month]]&lt;&gt;"",VLOOKUP(Fuel_Blg[[#This Row],[Month]], dropdown!$S$4:$T$15, 2, FALSE),"")</f>
        <v>Q3</v>
      </c>
      <c r="M24" s="29">
        <v>6.76</v>
      </c>
      <c r="N24" s="17" t="str">
        <f>IF($J24="","",VLOOKUP($J24,dropdown!$P$3:$Q$8,2,FALSE))</f>
        <v>Liters</v>
      </c>
      <c r="O24" s="195" t="s">
        <v>1502</v>
      </c>
      <c r="P24" s="20"/>
    </row>
    <row r="25" spans="2:16" x14ac:dyDescent="0.2">
      <c r="I25" s="194">
        <f t="shared" si="0"/>
        <v>16</v>
      </c>
      <c r="J25" s="57" t="s">
        <v>37</v>
      </c>
      <c r="K25" s="58" t="s">
        <v>400</v>
      </c>
      <c r="L25" s="18" t="str">
        <f>IF(Fuel_Blg[[#This Row],[Month]]&lt;&gt;"",VLOOKUP(Fuel_Blg[[#This Row],[Month]], dropdown!$S$4:$T$15, 2, FALSE),"")</f>
        <v>Q4</v>
      </c>
      <c r="M25" s="29">
        <v>85</v>
      </c>
      <c r="N25" s="17" t="str">
        <f>IF($J25="","",VLOOKUP($J25,dropdown!$P$3:$Q$8,2,FALSE))</f>
        <v>Liters</v>
      </c>
      <c r="O25" s="195" t="s">
        <v>1501</v>
      </c>
      <c r="P25" s="20"/>
    </row>
    <row r="26" spans="2:16" x14ac:dyDescent="0.2">
      <c r="I26" s="194">
        <f t="shared" si="0"/>
        <v>17</v>
      </c>
      <c r="J26" s="57" t="s">
        <v>37</v>
      </c>
      <c r="K26" s="58" t="s">
        <v>400</v>
      </c>
      <c r="L26" s="18" t="str">
        <f>IF(Fuel_Blg[[#This Row],[Month]]&lt;&gt;"",VLOOKUP(Fuel_Blg[[#This Row],[Month]], dropdown!$S$4:$T$15, 2, FALSE),"")</f>
        <v>Q4</v>
      </c>
      <c r="M26" s="29">
        <v>5.63</v>
      </c>
      <c r="N26" s="17" t="str">
        <f>IF($J26="","",VLOOKUP($J26,dropdown!$P$3:$Q$8,2,FALSE))</f>
        <v>Liters</v>
      </c>
      <c r="O26" s="195" t="s">
        <v>1502</v>
      </c>
      <c r="P26" s="20"/>
    </row>
    <row r="27" spans="2:16" x14ac:dyDescent="0.2">
      <c r="I27" s="194">
        <f t="shared" si="0"/>
        <v>18</v>
      </c>
      <c r="J27" s="57" t="s">
        <v>37</v>
      </c>
      <c r="K27" s="58" t="s">
        <v>404</v>
      </c>
      <c r="L27" s="18" t="str">
        <f>IF(Fuel_Blg[[#This Row],[Month]]&lt;&gt;"",VLOOKUP(Fuel_Blg[[#This Row],[Month]], dropdown!$S$4:$T$15, 2, FALSE),"")</f>
        <v>Q4</v>
      </c>
      <c r="M27" s="29">
        <v>42</v>
      </c>
      <c r="N27" s="17" t="str">
        <f>IF($J27="","",VLOOKUP($J27,dropdown!$P$3:$Q$8,2,FALSE))</f>
        <v>Liters</v>
      </c>
      <c r="O27" s="195" t="s">
        <v>1501</v>
      </c>
      <c r="P27" s="20"/>
    </row>
    <row r="28" spans="2:16" x14ac:dyDescent="0.2">
      <c r="I28" s="194">
        <f t="shared" si="0"/>
        <v>19</v>
      </c>
      <c r="J28" s="57" t="s">
        <v>37</v>
      </c>
      <c r="K28" s="58" t="s">
        <v>404</v>
      </c>
      <c r="L28" s="18" t="str">
        <f>IF(Fuel_Blg[[#This Row],[Month]]&lt;&gt;"",VLOOKUP(Fuel_Blg[[#This Row],[Month]], dropdown!$S$4:$T$15, 2, FALSE),"")</f>
        <v>Q4</v>
      </c>
      <c r="M28" s="29">
        <v>6.44</v>
      </c>
      <c r="N28" s="17" t="str">
        <f>IF($J28="","",VLOOKUP($J28,dropdown!$P$3:$Q$8,2,FALSE))</f>
        <v>Liters</v>
      </c>
      <c r="O28" s="195" t="s">
        <v>1502</v>
      </c>
      <c r="P28" s="20"/>
    </row>
    <row r="29" spans="2:16" x14ac:dyDescent="0.2">
      <c r="I29" s="194">
        <f t="shared" si="0"/>
        <v>20</v>
      </c>
      <c r="J29" s="57" t="s">
        <v>37</v>
      </c>
      <c r="K29" s="58" t="s">
        <v>407</v>
      </c>
      <c r="L29" s="18" t="str">
        <f>IF(Fuel_Blg[[#This Row],[Month]]&lt;&gt;"",VLOOKUP(Fuel_Blg[[#This Row],[Month]], dropdown!$S$4:$T$15, 2, FALSE),"")</f>
        <v>Q4</v>
      </c>
      <c r="M29" s="29">
        <v>164</v>
      </c>
      <c r="N29" s="17" t="str">
        <f>IF($J29="","",VLOOKUP($J29,dropdown!$P$3:$Q$8,2,FALSE))</f>
        <v>Liters</v>
      </c>
      <c r="O29" s="195" t="s">
        <v>1501</v>
      </c>
      <c r="P29" s="20"/>
    </row>
    <row r="30" spans="2:16" x14ac:dyDescent="0.2">
      <c r="I30" s="194">
        <f t="shared" si="0"/>
        <v>21</v>
      </c>
      <c r="J30" s="57" t="s">
        <v>37</v>
      </c>
      <c r="K30" s="58" t="s">
        <v>407</v>
      </c>
      <c r="L30" s="18" t="str">
        <f>IF(Fuel_Blg[[#This Row],[Month]]&lt;&gt;"",VLOOKUP(Fuel_Blg[[#This Row],[Month]], dropdown!$S$4:$T$15, 2, FALSE),"")</f>
        <v>Q4</v>
      </c>
      <c r="M30" s="29">
        <v>6.8</v>
      </c>
      <c r="N30" s="17" t="str">
        <f>IF($J30="","",VLOOKUP($J30,dropdown!$P$3:$Q$8,2,FALSE))</f>
        <v>Liters</v>
      </c>
      <c r="O30" s="195" t="s">
        <v>1502</v>
      </c>
      <c r="P30" s="20"/>
    </row>
    <row r="31" spans="2:16" x14ac:dyDescent="0.2">
      <c r="P31" s="20"/>
    </row>
    <row r="32" spans="2:16" x14ac:dyDescent="0.2">
      <c r="I32" s="322" t="s">
        <v>178</v>
      </c>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30 O6:O30 J6:K30"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J7:J30</xm:sqref>
        </x14:dataValidation>
        <x14:dataValidation type="list" allowBlank="1" showInputMessage="1" showErrorMessage="1" xr:uid="{3A41C1D1-FB7A-9447-9EAB-0BFDEC48FE4C}">
          <x14:formula1>
            <xm:f>dropdown!$S$4:$S$15</xm:f>
          </x14:formula1>
          <xm:sqref>K7:K30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zoomScaleNormal="100" workbookViewId="0">
      <selection activeCell="C7" sqref="C7:G7"/>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Tacloban Branch</v>
      </c>
      <c r="C4" s="201"/>
      <c r="D4" s="38">
        <f>IF('1. Data Info and Summary'!$D$3=0,"-",'1. Data Info and Summary'!$D$3)</f>
        <v>2024</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6" t="s">
        <v>1503</v>
      </c>
      <c r="D6" s="447"/>
      <c r="E6" s="447"/>
      <c r="F6" s="447"/>
      <c r="G6" s="448"/>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49">
        <v>45911</v>
      </c>
      <c r="D7" s="447"/>
      <c r="E7" s="447"/>
      <c r="F7" s="447"/>
      <c r="G7" s="448"/>
      <c r="I7" s="194">
        <f>IF($J7="","",1)</f>
        <v>1</v>
      </c>
      <c r="J7" s="57" t="s">
        <v>343</v>
      </c>
      <c r="K7" s="57" t="s">
        <v>63</v>
      </c>
      <c r="L7" s="58" t="s">
        <v>338</v>
      </c>
      <c r="M7" s="18" t="str">
        <f>IF(Fuel_Veh[[#This Row],[Month]]&lt;&gt;"",VLOOKUP(Fuel_Veh[[#This Row],[Month]], dropdown!$S$4:$T$15, 2, FALSE),"")</f>
        <v>Q1</v>
      </c>
      <c r="N7" s="29">
        <v>46.45</v>
      </c>
      <c r="O7" s="17" t="str">
        <f>IF($K7="","",VLOOKUP($K7,dropdown!$P$14:$Q$18,2,FALSE))</f>
        <v>Liters</v>
      </c>
      <c r="P7" s="29">
        <v>71.3</v>
      </c>
      <c r="Q7" s="17" t="str">
        <f t="shared" ref="Q7:Q70" si="0">IF($P7="","","Kilometers")</f>
        <v>Kilometers</v>
      </c>
      <c r="R7" s="195"/>
    </row>
    <row r="8" spans="2:18" x14ac:dyDescent="0.2">
      <c r="I8" s="194">
        <f>IF($J8="","",$I7+1)</f>
        <v>2</v>
      </c>
      <c r="J8" s="57" t="s">
        <v>343</v>
      </c>
      <c r="K8" s="57" t="s">
        <v>63</v>
      </c>
      <c r="L8" s="58" t="s">
        <v>89</v>
      </c>
      <c r="M8" s="18" t="str">
        <f>IF(Fuel_Veh[[#This Row],[Month]]&lt;&gt;"",VLOOKUP(Fuel_Veh[[#This Row],[Month]], dropdown!$S$4:$T$15, 2, FALSE),"")</f>
        <v>Q1</v>
      </c>
      <c r="N8" s="29">
        <v>7</v>
      </c>
      <c r="O8" s="17"/>
      <c r="P8" s="29">
        <v>14</v>
      </c>
      <c r="Q8" s="17" t="str">
        <f t="shared" si="0"/>
        <v>Kilometers</v>
      </c>
      <c r="R8" s="195"/>
    </row>
    <row r="9" spans="2:18" x14ac:dyDescent="0.2">
      <c r="B9" s="14" t="s">
        <v>33</v>
      </c>
      <c r="C9" s="14"/>
      <c r="D9" s="14"/>
      <c r="E9" s="14"/>
      <c r="F9" s="14"/>
      <c r="G9" s="14"/>
      <c r="I9" s="194">
        <f>IF($J9="","",$I8+1)</f>
        <v>3</v>
      </c>
      <c r="J9" s="57" t="s">
        <v>343</v>
      </c>
      <c r="K9" s="57" t="s">
        <v>63</v>
      </c>
      <c r="L9" s="58" t="s">
        <v>362</v>
      </c>
      <c r="M9" s="18" t="str">
        <f>IF(Fuel_Veh[[#This Row],[Month]]&lt;&gt;"",VLOOKUP(Fuel_Veh[[#This Row],[Month]], dropdown!$S$4:$T$15, 2, FALSE),"")</f>
        <v>Q1</v>
      </c>
      <c r="N9" s="29">
        <v>18.100000000000001</v>
      </c>
      <c r="O9" s="17" t="str">
        <f>IF($K9="","",VLOOKUP($K9,dropdown!$P$14:$Q$18,2,FALSE))</f>
        <v>Liters</v>
      </c>
      <c r="P9" s="29">
        <v>36.200000000000003</v>
      </c>
      <c r="Q9" s="17" t="str">
        <f t="shared" si="0"/>
        <v>Kilometers</v>
      </c>
      <c r="R9" s="195"/>
    </row>
    <row r="10" spans="2:18" x14ac:dyDescent="0.2">
      <c r="B10" s="13" t="s">
        <v>35</v>
      </c>
      <c r="C10" s="13" t="s">
        <v>51</v>
      </c>
      <c r="D10" s="40" t="s">
        <v>45</v>
      </c>
      <c r="E10" s="40" t="s">
        <v>149</v>
      </c>
      <c r="F10" s="40" t="s">
        <v>150</v>
      </c>
      <c r="G10" s="40" t="s">
        <v>151</v>
      </c>
      <c r="I10" s="194">
        <f>IF($J10="","",$I9+1)</f>
        <v>4</v>
      </c>
      <c r="J10" s="57" t="s">
        <v>343</v>
      </c>
      <c r="K10" s="57" t="s">
        <v>63</v>
      </c>
      <c r="L10" s="58" t="s">
        <v>371</v>
      </c>
      <c r="M10" s="18" t="str">
        <f>IF(Fuel_Veh[[#This Row],[Month]]&lt;&gt;"",VLOOKUP(Fuel_Veh[[#This Row],[Month]], dropdown!$S$4:$T$15, 2, FALSE),"")</f>
        <v>Q2</v>
      </c>
      <c r="N10" s="29">
        <v>48.46</v>
      </c>
      <c r="O10" s="17" t="str">
        <f>IF($K10="","",VLOOKUP($K10,dropdown!$P$14:$Q$18,2,FALSE))</f>
        <v>Liters</v>
      </c>
      <c r="P10" s="29">
        <v>108.7</v>
      </c>
      <c r="Q10" s="17" t="str">
        <f t="shared" si="0"/>
        <v>Kilometers</v>
      </c>
      <c r="R10" s="195"/>
    </row>
    <row r="11" spans="2:18" x14ac:dyDescent="0.2">
      <c r="B11" s="17" t="str">
        <f>dropdown!$P15</f>
        <v>Diesel - Transport vehicles</v>
      </c>
      <c r="C11" s="17" t="str">
        <f>dropdown!$Q15</f>
        <v>Liters</v>
      </c>
      <c r="D11" s="41">
        <f>SUMIFS(Fuel_Veh[Consumption],Fuel_Veh[Quarter],D$10,Fuel_Veh[Fuel Type],$B$11)</f>
        <v>613.04999999999995</v>
      </c>
      <c r="E11" s="41">
        <f>SUMIFS(Fuel_Veh[Consumption],Fuel_Veh[Quarter],E$10,Fuel_Veh[Fuel Type],$B$11)</f>
        <v>884.68000000000006</v>
      </c>
      <c r="F11" s="41">
        <f>SUMIFS(Fuel_Veh[Consumption],Fuel_Veh[Quarter],F$10,Fuel_Veh[Fuel Type],$B$11)</f>
        <v>744.98</v>
      </c>
      <c r="G11" s="41">
        <f>SUMIFS(Fuel_Veh[Consumption],Fuel_Veh[Quarter],G$10,Fuel_Veh[Fuel Type],$B$11)</f>
        <v>688.22</v>
      </c>
      <c r="I11" s="194">
        <f>IF($J11="","",$I10+1)</f>
        <v>5</v>
      </c>
      <c r="J11" s="57" t="s">
        <v>343</v>
      </c>
      <c r="K11" s="57" t="s">
        <v>63</v>
      </c>
      <c r="L11" s="58" t="s">
        <v>379</v>
      </c>
      <c r="M11" s="18" t="str">
        <f>IF(Fuel_Veh[[#This Row],[Month]]&lt;&gt;"",VLOOKUP(Fuel_Veh[[#This Row],[Month]], dropdown!$S$4:$T$15, 2, FALSE),"")</f>
        <v>Q2</v>
      </c>
      <c r="N11" s="29">
        <v>138.93</v>
      </c>
      <c r="O11" s="17" t="str">
        <f>IF($K11="","",VLOOKUP($K11,dropdown!$P$14:$Q$18,2,FALSE))</f>
        <v>Liters</v>
      </c>
      <c r="P11" s="29">
        <v>156.69999999999999</v>
      </c>
      <c r="Q11" s="17" t="str">
        <f t="shared" si="0"/>
        <v>Kilometers</v>
      </c>
      <c r="R11" s="195"/>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343</v>
      </c>
      <c r="K12" s="57" t="s">
        <v>63</v>
      </c>
      <c r="L12" s="58" t="s">
        <v>386</v>
      </c>
      <c r="M12" s="18" t="str">
        <f>IF(Fuel_Veh[[#This Row],[Month]]&lt;&gt;"",VLOOKUP(Fuel_Veh[[#This Row],[Month]], dropdown!$S$4:$T$15, 2, FALSE),"")</f>
        <v>Q2</v>
      </c>
      <c r="N12" s="29">
        <v>43.14</v>
      </c>
      <c r="O12" s="17" t="str">
        <f>IF($K12="","",VLOOKUP($K12,dropdown!$P$14:$Q$18,2,FALSE))</f>
        <v>Liters</v>
      </c>
      <c r="P12" s="29">
        <v>73</v>
      </c>
      <c r="Q12" s="17" t="str">
        <f t="shared" si="0"/>
        <v>Kilometers</v>
      </c>
      <c r="R12" s="195"/>
    </row>
    <row r="13" spans="2:18" ht="14" customHeight="1" x14ac:dyDescent="0.2">
      <c r="I13" s="194">
        <f t="shared" si="1"/>
        <v>7</v>
      </c>
      <c r="J13" s="57" t="s">
        <v>343</v>
      </c>
      <c r="K13" s="57" t="s">
        <v>63</v>
      </c>
      <c r="L13" s="58" t="s">
        <v>390</v>
      </c>
      <c r="M13" s="18" t="str">
        <f>IF(Fuel_Veh[[#This Row],[Month]]&lt;&gt;"",VLOOKUP(Fuel_Veh[[#This Row],[Month]], dropdown!$S$4:$T$15, 2, FALSE),"")</f>
        <v>Q3</v>
      </c>
      <c r="N13" s="29">
        <v>61.57</v>
      </c>
      <c r="O13" s="17" t="str">
        <f>IF($K13="","",VLOOKUP($K13,dropdown!$P$14:$Q$18,2,FALSE))</f>
        <v>Liters</v>
      </c>
      <c r="P13" s="29">
        <v>108</v>
      </c>
      <c r="Q13" s="17" t="str">
        <f t="shared" si="0"/>
        <v>Kilometers</v>
      </c>
      <c r="R13" s="195"/>
    </row>
    <row r="14" spans="2:18" x14ac:dyDescent="0.2">
      <c r="B14" s="267" t="s">
        <v>38</v>
      </c>
      <c r="I14" s="194">
        <f t="shared" si="1"/>
        <v>8</v>
      </c>
      <c r="J14" s="57" t="s">
        <v>343</v>
      </c>
      <c r="K14" s="57" t="s">
        <v>63</v>
      </c>
      <c r="L14" s="58" t="s">
        <v>41</v>
      </c>
      <c r="M14" s="18" t="str">
        <f>IF(Fuel_Veh[[#This Row],[Month]]&lt;&gt;"",VLOOKUP(Fuel_Veh[[#This Row],[Month]], dropdown!$S$4:$T$15, 2, FALSE),"")</f>
        <v>Q3</v>
      </c>
      <c r="N14" s="29">
        <v>41.1</v>
      </c>
      <c r="O14" s="17" t="str">
        <f>IF($K14="","",VLOOKUP($K14,dropdown!$P$14:$Q$18,2,FALSE))</f>
        <v>Liters</v>
      </c>
      <c r="P14" s="29">
        <v>47.1</v>
      </c>
      <c r="Q14" s="17" t="str">
        <f t="shared" si="0"/>
        <v>Kilometers</v>
      </c>
      <c r="R14" s="195"/>
    </row>
    <row r="15" spans="2:18" x14ac:dyDescent="0.2">
      <c r="B15" s="268" t="s">
        <v>175</v>
      </c>
      <c r="I15" s="194">
        <f t="shared" si="1"/>
        <v>9</v>
      </c>
      <c r="J15" s="57" t="s">
        <v>343</v>
      </c>
      <c r="K15" s="57" t="s">
        <v>63</v>
      </c>
      <c r="L15" s="58" t="s">
        <v>397</v>
      </c>
      <c r="M15" s="18" t="str">
        <f>IF(Fuel_Veh[[#This Row],[Month]]&lt;&gt;"",VLOOKUP(Fuel_Veh[[#This Row],[Month]], dropdown!$S$4:$T$15, 2, FALSE),"")</f>
        <v>Q3</v>
      </c>
      <c r="N15" s="29">
        <v>62.13</v>
      </c>
      <c r="O15" s="17" t="str">
        <f>IF($K15="","",VLOOKUP($K15,dropdown!$P$14:$Q$18,2,FALSE))</f>
        <v>Liters</v>
      </c>
      <c r="P15" s="29">
        <v>78</v>
      </c>
      <c r="Q15" s="17" t="str">
        <f t="shared" si="0"/>
        <v>Kilometers</v>
      </c>
      <c r="R15" s="195"/>
    </row>
    <row r="16" spans="2:18" x14ac:dyDescent="0.2">
      <c r="B16" s="266" t="s">
        <v>176</v>
      </c>
      <c r="I16" s="194">
        <f t="shared" si="1"/>
        <v>10</v>
      </c>
      <c r="J16" s="57" t="s">
        <v>343</v>
      </c>
      <c r="K16" s="57" t="s">
        <v>63</v>
      </c>
      <c r="L16" s="58" t="s">
        <v>400</v>
      </c>
      <c r="M16" s="18" t="str">
        <f>IF(Fuel_Veh[[#This Row],[Month]]&lt;&gt;"",VLOOKUP(Fuel_Veh[[#This Row],[Month]], dropdown!$S$4:$T$15, 2, FALSE),"")</f>
        <v>Q4</v>
      </c>
      <c r="N16" s="29">
        <v>68.7</v>
      </c>
      <c r="O16" s="17" t="str">
        <f>IF($K16="","",VLOOKUP($K16,dropdown!$P$14:$Q$18,2,FALSE))</f>
        <v>Liters</v>
      </c>
      <c r="P16" s="29">
        <v>130.69999999999999</v>
      </c>
      <c r="Q16" s="17" t="str">
        <f t="shared" si="0"/>
        <v>Kilometers</v>
      </c>
      <c r="R16" s="195"/>
    </row>
    <row r="17" spans="2:18" x14ac:dyDescent="0.2">
      <c r="B17" s="17" t="s">
        <v>177</v>
      </c>
      <c r="I17" s="194">
        <f t="shared" si="1"/>
        <v>11</v>
      </c>
      <c r="J17" s="57" t="s">
        <v>343</v>
      </c>
      <c r="K17" s="57" t="s">
        <v>63</v>
      </c>
      <c r="L17" s="58" t="s">
        <v>404</v>
      </c>
      <c r="M17" s="18" t="str">
        <f>IF(Fuel_Veh[[#This Row],[Month]]&lt;&gt;"",VLOOKUP(Fuel_Veh[[#This Row],[Month]], dropdown!$S$4:$T$15, 2, FALSE),"")</f>
        <v>Q4</v>
      </c>
      <c r="N17" s="29">
        <v>34</v>
      </c>
      <c r="O17" s="17" t="str">
        <f>IF($K17="","",VLOOKUP($K17,dropdown!$P$14:$Q$18,2,FALSE))</f>
        <v>Liters</v>
      </c>
      <c r="P17" s="29">
        <v>61.3</v>
      </c>
      <c r="Q17" s="17" t="str">
        <f t="shared" si="0"/>
        <v>Kilometers</v>
      </c>
      <c r="R17" s="195"/>
    </row>
    <row r="18" spans="2:18" x14ac:dyDescent="0.2">
      <c r="I18" s="194">
        <f t="shared" si="1"/>
        <v>12</v>
      </c>
      <c r="J18" s="57" t="s">
        <v>343</v>
      </c>
      <c r="K18" s="57" t="s">
        <v>63</v>
      </c>
      <c r="L18" s="58" t="s">
        <v>407</v>
      </c>
      <c r="M18" s="18" t="str">
        <f>IF(Fuel_Veh[[#This Row],[Month]]&lt;&gt;"",VLOOKUP(Fuel_Veh[[#This Row],[Month]], dropdown!$S$4:$T$15, 2, FALSE),"")</f>
        <v>Q4</v>
      </c>
      <c r="N18" s="29">
        <v>50.13</v>
      </c>
      <c r="O18" s="17" t="str">
        <f>IF($K18="","",VLOOKUP($K18,dropdown!$P$14:$Q$18,2,FALSE))</f>
        <v>Liters</v>
      </c>
      <c r="P18" s="29">
        <v>92.9</v>
      </c>
      <c r="Q18" s="17" t="str">
        <f t="shared" si="0"/>
        <v>Kilometers</v>
      </c>
      <c r="R18" s="195"/>
    </row>
    <row r="19" spans="2:18" x14ac:dyDescent="0.2">
      <c r="I19" s="194">
        <f t="shared" si="1"/>
        <v>13</v>
      </c>
      <c r="J19" s="57" t="s">
        <v>381</v>
      </c>
      <c r="K19" s="57" t="s">
        <v>63</v>
      </c>
      <c r="L19" s="58" t="s">
        <v>338</v>
      </c>
      <c r="M19" s="18" t="str">
        <f>IF(Fuel_Veh[[#This Row],[Month]]&lt;&gt;"",VLOOKUP(Fuel_Veh[[#This Row],[Month]], dropdown!$S$4:$T$15, 2, FALSE),"")</f>
        <v>Q1</v>
      </c>
      <c r="N19" s="29">
        <v>16.86</v>
      </c>
      <c r="O19" s="17" t="str">
        <f>IF($K19="","",VLOOKUP($K19,dropdown!$P$14:$Q$18,2,FALSE))</f>
        <v>Liters</v>
      </c>
      <c r="P19" s="29">
        <v>118</v>
      </c>
      <c r="Q19" s="17" t="str">
        <f t="shared" si="0"/>
        <v>Kilometers</v>
      </c>
      <c r="R19" s="195"/>
    </row>
    <row r="20" spans="2:18" x14ac:dyDescent="0.2">
      <c r="I20" s="194">
        <f t="shared" si="1"/>
        <v>14</v>
      </c>
      <c r="J20" s="57" t="s">
        <v>381</v>
      </c>
      <c r="K20" s="57" t="s">
        <v>63</v>
      </c>
      <c r="L20" s="58" t="s">
        <v>89</v>
      </c>
      <c r="M20" s="18" t="str">
        <f>IF(Fuel_Veh[[#This Row],[Month]]&lt;&gt;"",VLOOKUP(Fuel_Veh[[#This Row],[Month]], dropdown!$S$4:$T$15, 2, FALSE),"")</f>
        <v>Q1</v>
      </c>
      <c r="N20" s="29">
        <v>58.75</v>
      </c>
      <c r="O20" s="17" t="str">
        <f>IF($K20="","",VLOOKUP($K20,dropdown!$P$14:$Q$18,2,FALSE))</f>
        <v>Liters</v>
      </c>
      <c r="P20" s="29">
        <v>470</v>
      </c>
      <c r="Q20" s="17" t="str">
        <f t="shared" si="0"/>
        <v>Kilometers</v>
      </c>
      <c r="R20" s="195"/>
    </row>
    <row r="21" spans="2:18" x14ac:dyDescent="0.2">
      <c r="I21" s="194">
        <f t="shared" si="1"/>
        <v>15</v>
      </c>
      <c r="J21" s="57" t="s">
        <v>381</v>
      </c>
      <c r="K21" s="57" t="s">
        <v>63</v>
      </c>
      <c r="L21" s="58" t="s">
        <v>362</v>
      </c>
      <c r="M21" s="18" t="str">
        <f>IF(Fuel_Veh[[#This Row],[Month]]&lt;&gt;"",VLOOKUP(Fuel_Veh[[#This Row],[Month]], dropdown!$S$4:$T$15, 2, FALSE),"")</f>
        <v>Q1</v>
      </c>
      <c r="N21" s="29">
        <v>128.47</v>
      </c>
      <c r="O21" s="17" t="str">
        <f>IF($K21="","",VLOOKUP($K21,dropdown!$P$14:$Q$18,2,FALSE))</f>
        <v>Liters</v>
      </c>
      <c r="P21" s="29">
        <v>1079</v>
      </c>
      <c r="Q21" s="17" t="str">
        <f t="shared" si="0"/>
        <v>Kilometers</v>
      </c>
      <c r="R21" s="195"/>
    </row>
    <row r="22" spans="2:18" x14ac:dyDescent="0.2">
      <c r="I22" s="194">
        <f t="shared" si="1"/>
        <v>16</v>
      </c>
      <c r="J22" s="57" t="s">
        <v>381</v>
      </c>
      <c r="K22" s="57" t="s">
        <v>63</v>
      </c>
      <c r="L22" s="58" t="s">
        <v>371</v>
      </c>
      <c r="M22" s="18" t="str">
        <f>IF(Fuel_Veh[[#This Row],[Month]]&lt;&gt;"",VLOOKUP(Fuel_Veh[[#This Row],[Month]], dropdown!$S$4:$T$15, 2, FALSE),"")</f>
        <v>Q2</v>
      </c>
      <c r="N22" s="29">
        <v>140.93</v>
      </c>
      <c r="O22" s="17" t="str">
        <f>IF($K22="","",VLOOKUP($K22,dropdown!$P$14:$Q$18,2,FALSE))</f>
        <v>Liters</v>
      </c>
      <c r="P22" s="29">
        <v>1384</v>
      </c>
      <c r="Q22" s="17" t="str">
        <f t="shared" si="0"/>
        <v>Kilometers</v>
      </c>
      <c r="R22" s="195"/>
    </row>
    <row r="23" spans="2:18" x14ac:dyDescent="0.2">
      <c r="I23" s="194">
        <f t="shared" si="1"/>
        <v>17</v>
      </c>
      <c r="J23" s="57" t="s">
        <v>381</v>
      </c>
      <c r="K23" s="57" t="s">
        <v>63</v>
      </c>
      <c r="L23" s="58" t="s">
        <v>379</v>
      </c>
      <c r="M23" s="18" t="str">
        <f>IF(Fuel_Veh[[#This Row],[Month]]&lt;&gt;"",VLOOKUP(Fuel_Veh[[#This Row],[Month]], dropdown!$S$4:$T$15, 2, FALSE),"")</f>
        <v>Q2</v>
      </c>
      <c r="N23" s="29">
        <v>127.46</v>
      </c>
      <c r="O23" s="17" t="str">
        <f>IF($K23="","",VLOOKUP($K23,dropdown!$P$14:$Q$18,2,FALSE))</f>
        <v>Liters</v>
      </c>
      <c r="P23" s="29">
        <v>962</v>
      </c>
      <c r="Q23" s="17" t="str">
        <f t="shared" si="0"/>
        <v>Kilometers</v>
      </c>
      <c r="R23" s="195"/>
    </row>
    <row r="24" spans="2:18" x14ac:dyDescent="0.2">
      <c r="I24" s="194">
        <f t="shared" si="1"/>
        <v>18</v>
      </c>
      <c r="J24" s="57" t="s">
        <v>381</v>
      </c>
      <c r="K24" s="57" t="s">
        <v>63</v>
      </c>
      <c r="L24" s="58" t="s">
        <v>386</v>
      </c>
      <c r="M24" s="18" t="str">
        <f>IF(Fuel_Veh[[#This Row],[Month]]&lt;&gt;"",VLOOKUP(Fuel_Veh[[#This Row],[Month]], dropdown!$S$4:$T$15, 2, FALSE),"")</f>
        <v>Q2</v>
      </c>
      <c r="N24" s="29">
        <v>51.22</v>
      </c>
      <c r="O24" s="17" t="str">
        <f>IF($K24="","",VLOOKUP($K24,dropdown!$P$14:$Q$18,2,FALSE))</f>
        <v>Liters</v>
      </c>
      <c r="P24" s="29">
        <v>461</v>
      </c>
      <c r="Q24" s="17" t="str">
        <f t="shared" si="0"/>
        <v>Kilometers</v>
      </c>
      <c r="R24" s="195"/>
    </row>
    <row r="25" spans="2:18" x14ac:dyDescent="0.2">
      <c r="I25" s="194">
        <f t="shared" si="1"/>
        <v>19</v>
      </c>
      <c r="J25" s="57" t="s">
        <v>381</v>
      </c>
      <c r="K25" s="57" t="s">
        <v>63</v>
      </c>
      <c r="L25" s="58" t="s">
        <v>390</v>
      </c>
      <c r="M25" s="18" t="str">
        <f>IF(Fuel_Veh[[#This Row],[Month]]&lt;&gt;"",VLOOKUP(Fuel_Veh[[#This Row],[Month]], dropdown!$S$4:$T$15, 2, FALSE),"")</f>
        <v>Q3</v>
      </c>
      <c r="N25" s="29">
        <v>141.33000000000001</v>
      </c>
      <c r="O25" s="17" t="str">
        <f>IF($K25="","",VLOOKUP($K25,dropdown!$P$14:$Q$18,2,FALSE))</f>
        <v>Liters</v>
      </c>
      <c r="P25" s="29">
        <v>1293</v>
      </c>
      <c r="Q25" s="17" t="str">
        <f t="shared" si="0"/>
        <v>Kilometers</v>
      </c>
      <c r="R25" s="195"/>
    </row>
    <row r="26" spans="2:18" x14ac:dyDescent="0.2">
      <c r="I26" s="194">
        <f t="shared" si="1"/>
        <v>20</v>
      </c>
      <c r="J26" s="57" t="s">
        <v>381</v>
      </c>
      <c r="K26" s="57" t="s">
        <v>63</v>
      </c>
      <c r="L26" s="196" t="s">
        <v>41</v>
      </c>
      <c r="M26" s="18" t="str">
        <f>IF(Fuel_Veh[[#This Row],[Month]]&lt;&gt;"",VLOOKUP(Fuel_Veh[[#This Row],[Month]], dropdown!$S$4:$T$15, 2, FALSE),"")</f>
        <v>Q3</v>
      </c>
      <c r="N26" s="197">
        <v>51.57</v>
      </c>
      <c r="O26" s="198" t="str">
        <f>IF($K26="","",VLOOKUP($K26,dropdown!$P$14:$Q$18,2,FALSE))</f>
        <v>Liters</v>
      </c>
      <c r="P26" s="197">
        <v>500</v>
      </c>
      <c r="Q26" s="17" t="str">
        <f t="shared" si="0"/>
        <v>Kilometers</v>
      </c>
      <c r="R26" s="199"/>
    </row>
    <row r="27" spans="2:18" x14ac:dyDescent="0.2">
      <c r="I27" s="194">
        <f t="shared" si="1"/>
        <v>21</v>
      </c>
      <c r="J27" s="57" t="s">
        <v>381</v>
      </c>
      <c r="K27" s="57" t="s">
        <v>63</v>
      </c>
      <c r="L27" s="58" t="s">
        <v>397</v>
      </c>
      <c r="M27" s="18" t="str">
        <f>IF(Fuel_Veh[[#This Row],[Month]]&lt;&gt;"",VLOOKUP(Fuel_Veh[[#This Row],[Month]], dropdown!$S$4:$T$15, 2, FALSE),"")</f>
        <v>Q3</v>
      </c>
      <c r="N27" s="29">
        <v>68.97</v>
      </c>
      <c r="O27" s="17" t="str">
        <f>IF($K27="","",VLOOKUP($K27,dropdown!$P$14:$Q$18,2,FALSE))</f>
        <v>Liters</v>
      </c>
      <c r="P27" s="29">
        <v>625</v>
      </c>
      <c r="Q27" s="17" t="str">
        <f t="shared" si="0"/>
        <v>Kilometers</v>
      </c>
      <c r="R27" s="195"/>
    </row>
    <row r="28" spans="2:18" x14ac:dyDescent="0.2">
      <c r="I28" s="194">
        <f t="shared" si="1"/>
        <v>22</v>
      </c>
      <c r="J28" s="57" t="s">
        <v>381</v>
      </c>
      <c r="K28" s="57" t="s">
        <v>63</v>
      </c>
      <c r="L28" s="58" t="s">
        <v>400</v>
      </c>
      <c r="M28" s="18" t="str">
        <f>IF(Fuel_Veh[[#This Row],[Month]]&lt;&gt;"",VLOOKUP(Fuel_Veh[[#This Row],[Month]], dropdown!$S$4:$T$15, 2, FALSE),"")</f>
        <v>Q4</v>
      </c>
      <c r="N28" s="29">
        <v>88.02</v>
      </c>
      <c r="O28" s="17" t="str">
        <f>IF($K28="","",VLOOKUP($K28,dropdown!$P$14:$Q$18,2,FALSE))</f>
        <v>Liters</v>
      </c>
      <c r="P28" s="29">
        <v>632</v>
      </c>
      <c r="Q28" s="17" t="str">
        <f t="shared" si="0"/>
        <v>Kilometers</v>
      </c>
      <c r="R28" s="195"/>
    </row>
    <row r="29" spans="2:18" x14ac:dyDescent="0.2">
      <c r="I29" s="194">
        <f t="shared" si="1"/>
        <v>23</v>
      </c>
      <c r="J29" s="57" t="s">
        <v>381</v>
      </c>
      <c r="K29" s="57" t="s">
        <v>63</v>
      </c>
      <c r="L29" s="58" t="s">
        <v>404</v>
      </c>
      <c r="M29" s="18" t="str">
        <f>IF(Fuel_Veh[[#This Row],[Month]]&lt;&gt;"",VLOOKUP(Fuel_Veh[[#This Row],[Month]], dropdown!$S$4:$T$15, 2, FALSE),"")</f>
        <v>Q4</v>
      </c>
      <c r="N29" s="29">
        <v>93.61</v>
      </c>
      <c r="O29" s="17" t="str">
        <f>IF($K29="","",VLOOKUP($K29,dropdown!$P$14:$Q$18,2,FALSE))</f>
        <v>Liters</v>
      </c>
      <c r="P29" s="29">
        <v>1071</v>
      </c>
      <c r="Q29" s="17" t="str">
        <f t="shared" si="0"/>
        <v>Kilometers</v>
      </c>
      <c r="R29" s="195"/>
    </row>
    <row r="30" spans="2:18" x14ac:dyDescent="0.2">
      <c r="I30" s="194">
        <f t="shared" si="1"/>
        <v>24</v>
      </c>
      <c r="J30" s="57" t="s">
        <v>381</v>
      </c>
      <c r="K30" s="345" t="s">
        <v>63</v>
      </c>
      <c r="L30" s="196" t="s">
        <v>407</v>
      </c>
      <c r="M30" s="18" t="str">
        <f>IF(Fuel_Veh[[#This Row],[Month]]&lt;&gt;"",VLOOKUP(Fuel_Veh[[#This Row],[Month]], dropdown!$S$4:$T$15, 2, FALSE),"")</f>
        <v>Q4</v>
      </c>
      <c r="N30" s="197">
        <v>38.11</v>
      </c>
      <c r="O30" s="198" t="str">
        <f>IF($K30="","",VLOOKUP($K30,dropdown!$P$14:$Q$18,2,FALSE))</f>
        <v>Liters</v>
      </c>
      <c r="P30" s="197">
        <v>343</v>
      </c>
      <c r="Q30" s="17" t="str">
        <f t="shared" si="0"/>
        <v>Kilometers</v>
      </c>
      <c r="R30" s="199"/>
    </row>
    <row r="31" spans="2:18" x14ac:dyDescent="0.2">
      <c r="I31" s="194">
        <f t="shared" si="1"/>
        <v>25</v>
      </c>
      <c r="J31" s="57" t="s">
        <v>365</v>
      </c>
      <c r="K31" s="57" t="s">
        <v>63</v>
      </c>
      <c r="L31" s="58" t="s">
        <v>338</v>
      </c>
      <c r="M31" s="18" t="str">
        <f>IF(Fuel_Veh[[#This Row],[Month]]&lt;&gt;"",VLOOKUP(Fuel_Veh[[#This Row],[Month]], dropdown!$S$4:$T$15, 2, FALSE),"")</f>
        <v>Q1</v>
      </c>
      <c r="N31" s="29">
        <v>115.18</v>
      </c>
      <c r="O31" s="17" t="str">
        <f>IF($K31="","",VLOOKUP($K31,dropdown!$P$14:$Q$18,2,FALSE))</f>
        <v>Liters</v>
      </c>
      <c r="P31" s="29">
        <v>1324</v>
      </c>
      <c r="Q31" s="17" t="str">
        <f t="shared" si="0"/>
        <v>Kilometers</v>
      </c>
      <c r="R31" s="199"/>
    </row>
    <row r="32" spans="2:18" x14ac:dyDescent="0.2">
      <c r="I32" s="194">
        <f t="shared" si="1"/>
        <v>26</v>
      </c>
      <c r="J32" s="57" t="s">
        <v>365</v>
      </c>
      <c r="K32" s="57" t="s">
        <v>63</v>
      </c>
      <c r="L32" s="58" t="s">
        <v>89</v>
      </c>
      <c r="M32" s="18" t="str">
        <f>IF(Fuel_Veh[[#This Row],[Month]]&lt;&gt;"",VLOOKUP(Fuel_Veh[[#This Row],[Month]], dropdown!$S$4:$T$15, 2, FALSE),"")</f>
        <v>Q1</v>
      </c>
      <c r="N32" s="29">
        <v>132.85</v>
      </c>
      <c r="O32" s="17" t="str">
        <f>IF($K32="","",VLOOKUP($K32,dropdown!$P$14:$Q$18,2,FALSE))</f>
        <v>Liters</v>
      </c>
      <c r="P32" s="29">
        <v>1679</v>
      </c>
      <c r="Q32" s="17" t="str">
        <f t="shared" si="0"/>
        <v>Kilometers</v>
      </c>
      <c r="R32" s="199"/>
    </row>
    <row r="33" spans="9:18" x14ac:dyDescent="0.2">
      <c r="I33" s="194">
        <f t="shared" si="1"/>
        <v>27</v>
      </c>
      <c r="J33" s="57" t="s">
        <v>365</v>
      </c>
      <c r="K33" s="57" t="s">
        <v>63</v>
      </c>
      <c r="L33" s="58" t="s">
        <v>362</v>
      </c>
      <c r="M33" s="18" t="str">
        <f>IF(Fuel_Veh[[#This Row],[Month]]&lt;&gt;"",VLOOKUP(Fuel_Veh[[#This Row],[Month]], dropdown!$S$4:$T$15, 2, FALSE),"")</f>
        <v>Q1</v>
      </c>
      <c r="N33" s="29">
        <v>89.39</v>
      </c>
      <c r="O33" s="17" t="str">
        <f>IF($K33="","",VLOOKUP($K33,dropdown!$P$14:$Q$18,2,FALSE))</f>
        <v>Liters</v>
      </c>
      <c r="P33" s="29">
        <v>1004</v>
      </c>
      <c r="Q33" s="17" t="str">
        <f t="shared" si="0"/>
        <v>Kilometers</v>
      </c>
      <c r="R33" s="199"/>
    </row>
    <row r="34" spans="9:18" x14ac:dyDescent="0.2">
      <c r="I34" s="194">
        <f t="shared" si="1"/>
        <v>28</v>
      </c>
      <c r="J34" s="57" t="s">
        <v>365</v>
      </c>
      <c r="K34" s="57" t="s">
        <v>63</v>
      </c>
      <c r="L34" s="58" t="s">
        <v>371</v>
      </c>
      <c r="M34" s="18" t="str">
        <f>IF(Fuel_Veh[[#This Row],[Month]]&lt;&gt;"",VLOOKUP(Fuel_Veh[[#This Row],[Month]], dropdown!$S$4:$T$15, 2, FALSE),"")</f>
        <v>Q2</v>
      </c>
      <c r="N34" s="29">
        <v>127.97</v>
      </c>
      <c r="O34" s="17" t="str">
        <f>IF($K34="","",VLOOKUP($K34,dropdown!$P$14:$Q$18,2,FALSE))</f>
        <v>Liters</v>
      </c>
      <c r="P34" s="29">
        <v>1535</v>
      </c>
      <c r="Q34" s="17" t="str">
        <f t="shared" si="0"/>
        <v>Kilometers</v>
      </c>
      <c r="R34" s="199"/>
    </row>
    <row r="35" spans="9:18" x14ac:dyDescent="0.2">
      <c r="I35" s="194">
        <f t="shared" si="1"/>
        <v>29</v>
      </c>
      <c r="J35" s="57" t="s">
        <v>365</v>
      </c>
      <c r="K35" s="57" t="s">
        <v>63</v>
      </c>
      <c r="L35" s="58" t="s">
        <v>379</v>
      </c>
      <c r="M35" s="18" t="str">
        <f>IF(Fuel_Veh[[#This Row],[Month]]&lt;&gt;"",VLOOKUP(Fuel_Veh[[#This Row],[Month]], dropdown!$S$4:$T$15, 2, FALSE),"")</f>
        <v>Q2</v>
      </c>
      <c r="N35" s="29">
        <v>104.36</v>
      </c>
      <c r="O35" s="17" t="str">
        <f>IF($K35="","",VLOOKUP($K35,dropdown!$P$14:$Q$18,2,FALSE))</f>
        <v>Liters</v>
      </c>
      <c r="P35" s="29">
        <v>1046</v>
      </c>
      <c r="Q35" s="17" t="str">
        <f t="shared" si="0"/>
        <v>Kilometers</v>
      </c>
      <c r="R35" s="199"/>
    </row>
    <row r="36" spans="9:18" x14ac:dyDescent="0.2">
      <c r="I36" s="194">
        <f t="shared" si="1"/>
        <v>30</v>
      </c>
      <c r="J36" s="57" t="s">
        <v>365</v>
      </c>
      <c r="K36" s="57" t="s">
        <v>63</v>
      </c>
      <c r="L36" s="58" t="s">
        <v>386</v>
      </c>
      <c r="M36" s="18" t="str">
        <f>IF(Fuel_Veh[[#This Row],[Month]]&lt;&gt;"",VLOOKUP(Fuel_Veh[[#This Row],[Month]], dropdown!$S$4:$T$15, 2, FALSE),"")</f>
        <v>Q2</v>
      </c>
      <c r="N36" s="29">
        <v>102.21</v>
      </c>
      <c r="O36" s="17" t="str">
        <f>IF($K36="","",VLOOKUP($K36,dropdown!$P$14:$Q$18,2,FALSE))</f>
        <v>Liters</v>
      </c>
      <c r="P36" s="29">
        <v>1049</v>
      </c>
      <c r="Q36" s="17" t="str">
        <f t="shared" si="0"/>
        <v>Kilometers</v>
      </c>
      <c r="R36" s="199"/>
    </row>
    <row r="37" spans="9:18" x14ac:dyDescent="0.2">
      <c r="I37" s="194">
        <f t="shared" si="1"/>
        <v>31</v>
      </c>
      <c r="J37" s="57" t="s">
        <v>365</v>
      </c>
      <c r="K37" s="57" t="s">
        <v>63</v>
      </c>
      <c r="L37" s="58" t="s">
        <v>390</v>
      </c>
      <c r="M37" s="18" t="str">
        <f>IF(Fuel_Veh[[#This Row],[Month]]&lt;&gt;"",VLOOKUP(Fuel_Veh[[#This Row],[Month]], dropdown!$S$4:$T$15, 2, FALSE),"")</f>
        <v>Q3</v>
      </c>
      <c r="N37" s="29">
        <v>143.58000000000001</v>
      </c>
      <c r="O37" s="17" t="str">
        <f>IF($K37="","",VLOOKUP($K37,dropdown!$P$14:$Q$18,2,FALSE))</f>
        <v>Liters</v>
      </c>
      <c r="P37" s="29">
        <v>1505</v>
      </c>
      <c r="Q37" s="17" t="str">
        <f t="shared" si="0"/>
        <v>Kilometers</v>
      </c>
      <c r="R37" s="199"/>
    </row>
    <row r="38" spans="9:18" x14ac:dyDescent="0.2">
      <c r="I38" s="194">
        <f t="shared" si="1"/>
        <v>32</v>
      </c>
      <c r="J38" s="57" t="s">
        <v>365</v>
      </c>
      <c r="K38" s="57" t="s">
        <v>63</v>
      </c>
      <c r="L38" s="58" t="s">
        <v>41</v>
      </c>
      <c r="M38" s="18" t="str">
        <f>IF(Fuel_Veh[[#This Row],[Month]]&lt;&gt;"",VLOOKUP(Fuel_Veh[[#This Row],[Month]], dropdown!$S$4:$T$15, 2, FALSE),"")</f>
        <v>Q3</v>
      </c>
      <c r="N38" s="29">
        <v>81.44</v>
      </c>
      <c r="O38" s="17" t="str">
        <f>IF($K38="","",VLOOKUP($K38,dropdown!$P$14:$Q$18,2,FALSE))</f>
        <v>Liters</v>
      </c>
      <c r="P38" s="29">
        <v>726</v>
      </c>
      <c r="Q38" s="17" t="str">
        <f t="shared" si="0"/>
        <v>Kilometers</v>
      </c>
      <c r="R38" s="199"/>
    </row>
    <row r="39" spans="9:18" x14ac:dyDescent="0.2">
      <c r="I39" s="194">
        <f t="shared" si="1"/>
        <v>33</v>
      </c>
      <c r="J39" s="57" t="s">
        <v>365</v>
      </c>
      <c r="K39" s="57" t="s">
        <v>63</v>
      </c>
      <c r="L39" s="58" t="s">
        <v>397</v>
      </c>
      <c r="M39" s="18" t="str">
        <f>IF(Fuel_Veh[[#This Row],[Month]]&lt;&gt;"",VLOOKUP(Fuel_Veh[[#This Row],[Month]], dropdown!$S$4:$T$15, 2, FALSE),"")</f>
        <v>Q3</v>
      </c>
      <c r="N39" s="29">
        <v>93.29</v>
      </c>
      <c r="O39" s="17" t="str">
        <f>IF($K39="","",VLOOKUP($K39,dropdown!$P$14:$Q$18,2,FALSE))</f>
        <v>Liters</v>
      </c>
      <c r="P39" s="29">
        <v>915</v>
      </c>
      <c r="Q39" s="17" t="str">
        <f t="shared" si="0"/>
        <v>Kilometers</v>
      </c>
      <c r="R39" s="199"/>
    </row>
    <row r="40" spans="9:18" x14ac:dyDescent="0.2">
      <c r="I40" s="194">
        <f t="shared" si="1"/>
        <v>34</v>
      </c>
      <c r="J40" s="57" t="s">
        <v>365</v>
      </c>
      <c r="K40" s="57" t="s">
        <v>63</v>
      </c>
      <c r="L40" s="58" t="s">
        <v>400</v>
      </c>
      <c r="M40" s="18" t="str">
        <f>IF(Fuel_Veh[[#This Row],[Month]]&lt;&gt;"",VLOOKUP(Fuel_Veh[[#This Row],[Month]], dropdown!$S$4:$T$15, 2, FALSE),"")</f>
        <v>Q4</v>
      </c>
      <c r="N40" s="29">
        <v>111.98</v>
      </c>
      <c r="O40" s="17" t="str">
        <f>IF($K40="","",VLOOKUP($K40,dropdown!$P$14:$Q$18,2,FALSE))</f>
        <v>Liters</v>
      </c>
      <c r="P40" s="29">
        <v>1026</v>
      </c>
      <c r="Q40" s="17" t="str">
        <f t="shared" si="0"/>
        <v>Kilometers</v>
      </c>
      <c r="R40" s="199"/>
    </row>
    <row r="41" spans="9:18" x14ac:dyDescent="0.2">
      <c r="I41" s="194">
        <f t="shared" si="1"/>
        <v>35</v>
      </c>
      <c r="J41" s="57" t="s">
        <v>365</v>
      </c>
      <c r="K41" s="57" t="s">
        <v>63</v>
      </c>
      <c r="L41" s="58" t="s">
        <v>404</v>
      </c>
      <c r="M41" s="18" t="str">
        <f>IF(Fuel_Veh[[#This Row],[Month]]&lt;&gt;"",VLOOKUP(Fuel_Veh[[#This Row],[Month]], dropdown!$S$4:$T$15, 2, FALSE),"")</f>
        <v>Q4</v>
      </c>
      <c r="N41" s="29">
        <v>155.5</v>
      </c>
      <c r="O41" s="17" t="str">
        <f>IF($K41="","",VLOOKUP($K41,dropdown!$P$14:$Q$18,2,FALSE))</f>
        <v>Liters</v>
      </c>
      <c r="P41" s="29">
        <v>1708</v>
      </c>
      <c r="Q41" s="17" t="str">
        <f t="shared" si="0"/>
        <v>Kilometers</v>
      </c>
      <c r="R41" s="199"/>
    </row>
    <row r="42" spans="9:18" x14ac:dyDescent="0.2">
      <c r="I42" s="194">
        <f t="shared" si="1"/>
        <v>36</v>
      </c>
      <c r="J42" s="57" t="s">
        <v>365</v>
      </c>
      <c r="K42" s="57" t="s">
        <v>63</v>
      </c>
      <c r="L42" s="58" t="s">
        <v>407</v>
      </c>
      <c r="M42" s="18" t="str">
        <f>IF(Fuel_Veh[[#This Row],[Month]]&lt;&gt;"",VLOOKUP(Fuel_Veh[[#This Row],[Month]], dropdown!$S$4:$T$15, 2, FALSE),"")</f>
        <v>Q4</v>
      </c>
      <c r="N42" s="29">
        <v>48.17</v>
      </c>
      <c r="O42" s="17" t="str">
        <f>IF($K42="","",VLOOKUP($K42,dropdown!$P$14:$Q$18,2,FALSE))</f>
        <v>Liters</v>
      </c>
      <c r="P42" s="29">
        <v>578</v>
      </c>
      <c r="Q42" s="17" t="str">
        <f t="shared" si="0"/>
        <v>Kilometers</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zoomScale="94" zoomScaleNormal="120" workbookViewId="0">
      <selection activeCell="L19" sqref="L19"/>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Tacloban Branch</v>
      </c>
      <c r="C4" s="37"/>
      <c r="D4" s="38">
        <f>IF('1. Data Info and Summary'!$D$3=0,"-",'1. Data Info and Summary'!$D$3)</f>
        <v>2024</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6"/>
      <c r="D6" s="447"/>
      <c r="E6" s="447"/>
      <c r="F6" s="447"/>
      <c r="G6" s="448"/>
      <c r="I6" s="298"/>
      <c r="J6" s="298"/>
      <c r="K6" s="298"/>
      <c r="L6" s="298"/>
      <c r="M6" s="298"/>
      <c r="N6" s="298"/>
      <c r="O6" s="298"/>
      <c r="P6" s="298"/>
      <c r="Q6" s="298"/>
      <c r="R6" s="298"/>
      <c r="S6" s="298"/>
      <c r="T6" s="298"/>
      <c r="U6" s="298"/>
      <c r="V6" s="298"/>
    </row>
    <row r="7" spans="2:31" ht="15" customHeight="1" x14ac:dyDescent="0.2">
      <c r="B7" s="278" t="s">
        <v>174</v>
      </c>
      <c r="C7" s="446"/>
      <c r="D7" s="447"/>
      <c r="E7" s="447"/>
      <c r="F7" s="447"/>
      <c r="G7" s="448"/>
      <c r="I7" s="418" t="s">
        <v>154</v>
      </c>
      <c r="J7" s="417"/>
      <c r="K7" s="415"/>
      <c r="L7" s="415"/>
      <c r="M7" s="415"/>
      <c r="N7" s="415"/>
      <c r="O7" s="450" t="s">
        <v>183</v>
      </c>
      <c r="P7" s="450"/>
      <c r="Q7" s="451" t="s">
        <v>184</v>
      </c>
      <c r="R7" s="452"/>
      <c r="S7" s="453" t="s">
        <v>86</v>
      </c>
      <c r="T7" s="454"/>
      <c r="U7" s="454"/>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t="str">
        <f>IF($K9="","",1)</f>
        <v/>
      </c>
      <c r="J9" s="434"/>
      <c r="K9" s="391"/>
      <c r="L9" s="392"/>
      <c r="M9" s="393"/>
      <c r="N9" s="419"/>
      <c r="O9" s="397"/>
      <c r="P9" s="398"/>
      <c r="Q9" s="397"/>
      <c r="R9" s="399"/>
      <c r="S9" s="397"/>
      <c r="T9" s="399"/>
      <c r="U9" s="399"/>
      <c r="V9" s="430" t="str">
        <f>IFERROR(VLOOKUP($O9, dropdown!$S$4:$T$15, 2, FALSE),
 IFERROR(VLOOKUP($Q9, dropdown!$S$4:$T$15, 2, FALSE),
 IFERROR(VLOOKUP($S9, dropdown!$S$4:$T$15, 2, FALSE),
 "")))</f>
        <v/>
      </c>
      <c r="W9" s="392"/>
      <c r="X9" s="56"/>
      <c r="AB9" s="11"/>
      <c r="AE9" s="11"/>
    </row>
    <row r="10" spans="2:31" ht="14" x14ac:dyDescent="0.2">
      <c r="B10" s="175" t="str">
        <f>$Q$7</f>
        <v>In Operation</v>
      </c>
      <c r="C10" s="13" t="s">
        <v>51</v>
      </c>
      <c r="D10" s="40" t="s">
        <v>45</v>
      </c>
      <c r="E10" s="40" t="s">
        <v>149</v>
      </c>
      <c r="F10" s="40" t="s">
        <v>150</v>
      </c>
      <c r="G10" s="40" t="s">
        <v>151</v>
      </c>
      <c r="I10" s="18" t="str">
        <f t="shared" ref="I10:I41" si="0">IF($K10="","",$I9+1)</f>
        <v/>
      </c>
      <c r="J10" s="435"/>
      <c r="K10" s="57"/>
      <c r="L10" s="28"/>
      <c r="M10" s="264"/>
      <c r="N10" s="401"/>
      <c r="O10" s="397"/>
      <c r="P10" s="398"/>
      <c r="Q10" s="397"/>
      <c r="R10" s="399"/>
      <c r="S10" s="397"/>
      <c r="T10" s="399"/>
      <c r="U10" s="399"/>
      <c r="V10" s="430" t="str">
        <f>IFERROR(VLOOKUP($O10, dropdown!$S$4:$T$15, 2, FALSE),
 IFERROR(VLOOKUP($Q10, dropdown!$S$4:$T$15, 2, FALSE),
 IFERROR(VLOOKUP($S10, dropdown!$S$4:$T$15, 2, FALSE),
 "")))</f>
        <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t="str">
        <f t="shared" si="0"/>
        <v/>
      </c>
      <c r="J11" s="435"/>
      <c r="K11" s="57"/>
      <c r="L11" s="28"/>
      <c r="M11" s="264"/>
      <c r="N11" s="401"/>
      <c r="O11" s="397"/>
      <c r="P11" s="398"/>
      <c r="Q11" s="397"/>
      <c r="R11" s="399"/>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184</v>
      </c>
      <c r="C12" s="17" t="s">
        <v>189</v>
      </c>
      <c r="D12" s="176">
        <f>SUMIFS($L$9:$L$107,$N$9:$N$107,$B12,$V$9:$V$107,$D$10)</f>
        <v>0</v>
      </c>
      <c r="E12" s="176">
        <f>SUMIFS($L$9:$L$107,$N$9:$N$107,$B12,$V$9:$V$107,$E$10)</f>
        <v>0</v>
      </c>
      <c r="F12" s="176">
        <f>SUMIFS($L$9:$L$107,$N$9:$N$107,$B12,$V$9:$V$107,$F$10)</f>
        <v>0</v>
      </c>
      <c r="G12" s="176">
        <f>SUMIFS($L$9:$L$107,$N$9:$N$107,$B12,$V$9:$V$107,$G$10)</f>
        <v>0</v>
      </c>
      <c r="I12" s="18" t="str">
        <f t="shared" si="0"/>
        <v/>
      </c>
      <c r="J12" s="435"/>
      <c r="K12" s="57"/>
      <c r="L12" s="28"/>
      <c r="M12" s="264"/>
      <c r="N12" s="401"/>
      <c r="O12" s="397"/>
      <c r="P12" s="398"/>
      <c r="Q12" s="397"/>
      <c r="R12" s="399"/>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t="str">
        <f t="shared" si="0"/>
        <v/>
      </c>
      <c r="J13" s="435"/>
      <c r="K13" s="57"/>
      <c r="L13" s="28"/>
      <c r="M13" s="264"/>
      <c r="N13" s="401"/>
      <c r="O13" s="397"/>
      <c r="P13" s="398"/>
      <c r="Q13" s="397"/>
      <c r="R13" s="399"/>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
      </c>
      <c r="F14" s="177" t="str">
        <f t="shared" si="1"/>
        <v/>
      </c>
      <c r="G14" s="177" t="str">
        <f t="shared" si="1"/>
        <v/>
      </c>
      <c r="I14" s="18" t="str">
        <f t="shared" si="0"/>
        <v/>
      </c>
      <c r="J14" s="435"/>
      <c r="K14" s="57"/>
      <c r="L14" s="28"/>
      <c r="M14" s="264"/>
      <c r="N14" s="401"/>
      <c r="O14" s="397"/>
      <c r="P14" s="398"/>
      <c r="Q14" s="397"/>
      <c r="R14" s="399"/>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38</v>
      </c>
      <c r="I15" s="18" t="str">
        <f t="shared" si="0"/>
        <v/>
      </c>
      <c r="J15" s="435"/>
      <c r="K15" s="57"/>
      <c r="L15" s="28"/>
      <c r="M15" s="264"/>
      <c r="N15" s="401"/>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176</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177</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56" t="s">
        <v>192</v>
      </c>
      <c r="C22" s="458" t="s">
        <v>5</v>
      </c>
      <c r="D22" s="459"/>
      <c r="E22" s="458" t="s">
        <v>193</v>
      </c>
      <c r="F22" s="460"/>
      <c r="G22" s="460"/>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57"/>
      <c r="C23" s="458"/>
      <c r="D23" s="459"/>
      <c r="E23" s="458"/>
      <c r="F23" s="460"/>
      <c r="G23" s="460"/>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5" t="s">
        <v>194</v>
      </c>
      <c r="C24" s="455" t="s">
        <v>195</v>
      </c>
      <c r="D24" s="455"/>
      <c r="E24" s="455" t="s">
        <v>196</v>
      </c>
      <c r="F24" s="455"/>
      <c r="G24" s="455"/>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5"/>
      <c r="C25" s="455"/>
      <c r="D25" s="455"/>
      <c r="E25" s="455"/>
      <c r="F25" s="455"/>
      <c r="G25" s="455"/>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5" t="s">
        <v>197</v>
      </c>
      <c r="C26" s="455" t="s">
        <v>198</v>
      </c>
      <c r="D26" s="455"/>
      <c r="E26" s="455" t="s">
        <v>199</v>
      </c>
      <c r="F26" s="455"/>
      <c r="G26" s="455"/>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5"/>
      <c r="C27" s="455"/>
      <c r="D27" s="455"/>
      <c r="E27" s="455"/>
      <c r="F27" s="455"/>
      <c r="G27" s="455"/>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5" t="s">
        <v>200</v>
      </c>
      <c r="C28" s="455" t="s">
        <v>201</v>
      </c>
      <c r="D28" s="455"/>
      <c r="E28" s="455" t="s">
        <v>202</v>
      </c>
      <c r="F28" s="455"/>
      <c r="G28" s="455"/>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5"/>
      <c r="C29" s="455"/>
      <c r="D29" s="455"/>
      <c r="E29" s="455"/>
      <c r="F29" s="455"/>
      <c r="G29" s="455"/>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5" t="s">
        <v>203</v>
      </c>
      <c r="C30" s="455" t="s">
        <v>204</v>
      </c>
      <c r="D30" s="455"/>
      <c r="E30" s="455" t="s">
        <v>205</v>
      </c>
      <c r="F30" s="455"/>
      <c r="G30" s="455"/>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5"/>
      <c r="C31" s="455"/>
      <c r="D31" s="455"/>
      <c r="E31" s="455"/>
      <c r="F31" s="455"/>
      <c r="G31" s="455"/>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topLeftCell="B1" zoomScaleNormal="100" workbookViewId="0">
      <selection activeCell="C7" sqref="C7:G7"/>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Tacloban Branch</v>
      </c>
      <c r="C4" s="37"/>
      <c r="D4" s="38">
        <f>IF('1. Data Info and Summary'!$D$3=0,"-",'1. Data Info and Summary'!$D$3)</f>
        <v>2024</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6" t="s">
        <v>1503</v>
      </c>
      <c r="D6" s="447"/>
      <c r="E6" s="447"/>
      <c r="F6" s="447"/>
      <c r="G6" s="448"/>
    </row>
    <row r="7" spans="2:17" ht="12.75" customHeight="1" x14ac:dyDescent="0.2">
      <c r="B7" s="278" t="s">
        <v>174</v>
      </c>
      <c r="C7" s="449">
        <v>45911</v>
      </c>
      <c r="D7" s="447"/>
      <c r="E7" s="447"/>
      <c r="F7" s="447"/>
      <c r="G7" s="448"/>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24150</v>
      </c>
      <c r="M8" s="47">
        <v>249408.65</v>
      </c>
      <c r="N8" s="165" t="s">
        <v>486</v>
      </c>
      <c r="O8" s="195" t="s">
        <v>1489</v>
      </c>
      <c r="P8" s="48"/>
      <c r="Q8" s="20"/>
    </row>
    <row r="9" spans="2:17" x14ac:dyDescent="0.2">
      <c r="I9" s="194"/>
      <c r="J9" s="58" t="s">
        <v>89</v>
      </c>
      <c r="K9" s="426" t="str">
        <f>IF(Electricity[[#This Row],[Month]]&lt;&gt;"",VLOOKUP(Electricity[[#This Row],[Month]], dropdown!$S$4:$T$15, 2, FALSE),"")</f>
        <v>Q1</v>
      </c>
      <c r="L9" s="29">
        <v>25550</v>
      </c>
      <c r="M9" s="47">
        <v>237233.63</v>
      </c>
      <c r="N9" s="165" t="s">
        <v>486</v>
      </c>
      <c r="O9" s="195" t="s">
        <v>1465</v>
      </c>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23800</v>
      </c>
      <c r="M10" s="47">
        <v>235031.95</v>
      </c>
      <c r="N10" s="165" t="s">
        <v>486</v>
      </c>
      <c r="O10" s="195" t="s">
        <v>1469</v>
      </c>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25900</v>
      </c>
      <c r="M11" s="47">
        <v>255131.72</v>
      </c>
      <c r="N11" s="165" t="s">
        <v>486</v>
      </c>
      <c r="O11" s="195" t="s">
        <v>1470</v>
      </c>
      <c r="P11" s="48"/>
      <c r="Q11" s="20"/>
    </row>
    <row r="12" spans="2:17" x14ac:dyDescent="0.2">
      <c r="B12" s="17" t="s">
        <v>207</v>
      </c>
      <c r="C12" s="17" t="s">
        <v>208</v>
      </c>
      <c r="D12" s="41">
        <f>SUMIFS(Electricity[Consumption (kWh)],Electricity[Quarter],D$11)</f>
        <v>73500</v>
      </c>
      <c r="E12" s="41">
        <f>SUMIFS(Electricity[Consumption (kWh)],Electricity[Quarter],E$11)</f>
        <v>79500</v>
      </c>
      <c r="F12" s="41">
        <f>SUMIFS(Electricity[Consumption (kWh)],Electricity[Quarter],F$11)</f>
        <v>81200</v>
      </c>
      <c r="G12" s="41">
        <f>SUMIFS(Electricity[Consumption (kWh)],Electricity[Quarter],G$11)</f>
        <v>82600</v>
      </c>
      <c r="I12" s="194"/>
      <c r="J12" s="58" t="s">
        <v>379</v>
      </c>
      <c r="K12" s="426" t="str">
        <f>IF(Electricity[[#This Row],[Month]]&lt;&gt;"",VLOOKUP(Electricity[[#This Row],[Month]], dropdown!$S$4:$T$15, 2, FALSE),"")</f>
        <v>Q2</v>
      </c>
      <c r="L12" s="29">
        <v>25250</v>
      </c>
      <c r="M12" s="47">
        <v>270822.73</v>
      </c>
      <c r="N12" s="165" t="s">
        <v>486</v>
      </c>
      <c r="O12" s="195" t="s">
        <v>1472</v>
      </c>
      <c r="P12" s="48"/>
      <c r="Q12" s="20"/>
    </row>
    <row r="13" spans="2:17" x14ac:dyDescent="0.2">
      <c r="D13" s="167" t="str">
        <f>IF(SUM(D$12:D$12)&gt;0,"x","")</f>
        <v>x</v>
      </c>
      <c r="E13" s="167" t="str">
        <f>IF(SUM(E$12:E$12)&gt;0,"x","")</f>
        <v>x</v>
      </c>
      <c r="F13" s="167" t="str">
        <f>IF(SUM(F$12:F$12)&gt;0,"x","")</f>
        <v>x</v>
      </c>
      <c r="G13" s="167" t="str">
        <f>IF(SUM(G$12:G$12)&gt;0,"x","")</f>
        <v>x</v>
      </c>
      <c r="I13" s="194"/>
      <c r="J13" s="58" t="s">
        <v>386</v>
      </c>
      <c r="K13" s="426" t="str">
        <f>IF(Electricity[[#This Row],[Month]]&lt;&gt;"",VLOOKUP(Electricity[[#This Row],[Month]], dropdown!$S$4:$T$15, 2, FALSE),"")</f>
        <v>Q2</v>
      </c>
      <c r="L13" s="29">
        <v>28350</v>
      </c>
      <c r="M13" s="47">
        <v>341161.87</v>
      </c>
      <c r="N13" s="165" t="s">
        <v>486</v>
      </c>
      <c r="O13" s="195" t="s">
        <v>1473</v>
      </c>
      <c r="P13" s="48"/>
      <c r="Q13" s="20"/>
    </row>
    <row r="14" spans="2:17" x14ac:dyDescent="0.2">
      <c r="B14" s="119" t="s">
        <v>38</v>
      </c>
      <c r="D14" s="168"/>
      <c r="I14" s="194"/>
      <c r="J14" s="58" t="s">
        <v>390</v>
      </c>
      <c r="K14" s="426" t="str">
        <f>IF(Electricity[[#This Row],[Month]]&lt;&gt;"",VLOOKUP(Electricity[[#This Row],[Month]], dropdown!$S$4:$T$15, 2, FALSE),"")</f>
        <v>Q3</v>
      </c>
      <c r="L14" s="29">
        <v>25900</v>
      </c>
      <c r="M14" s="47">
        <v>283157.65000000002</v>
      </c>
      <c r="N14" s="165" t="s">
        <v>486</v>
      </c>
      <c r="O14" s="195" t="s">
        <v>1475</v>
      </c>
      <c r="P14" s="48"/>
      <c r="Q14" s="20"/>
    </row>
    <row r="15" spans="2:17" x14ac:dyDescent="0.2">
      <c r="B15" s="120" t="s">
        <v>175</v>
      </c>
      <c r="D15" s="168"/>
      <c r="I15" s="194"/>
      <c r="J15" s="58" t="s">
        <v>41</v>
      </c>
      <c r="K15" s="426" t="str">
        <f>IF(Electricity[[#This Row],[Month]]&lt;&gt;"",VLOOKUP(Electricity[[#This Row],[Month]], dropdown!$S$4:$T$15, 2, FALSE),"")</f>
        <v>Q3</v>
      </c>
      <c r="L15" s="29">
        <v>27650</v>
      </c>
      <c r="M15" s="47">
        <v>282032.71999999997</v>
      </c>
      <c r="N15" s="165" t="s">
        <v>486</v>
      </c>
      <c r="O15" s="195" t="s">
        <v>1477</v>
      </c>
      <c r="P15" s="48"/>
      <c r="Q15" s="20"/>
    </row>
    <row r="16" spans="2:17" x14ac:dyDescent="0.2">
      <c r="B16" s="121" t="s">
        <v>176</v>
      </c>
      <c r="I16" s="194"/>
      <c r="J16" s="58" t="s">
        <v>397</v>
      </c>
      <c r="K16" s="426" t="str">
        <f>IF(Electricity[[#This Row],[Month]]&lt;&gt;"",VLOOKUP(Electricity[[#This Row],[Month]], dropdown!$S$4:$T$15, 2, FALSE),"")</f>
        <v>Q3</v>
      </c>
      <c r="L16" s="29">
        <v>27650</v>
      </c>
      <c r="M16" s="47">
        <v>335674.35</v>
      </c>
      <c r="N16" s="165" t="s">
        <v>486</v>
      </c>
      <c r="O16" s="195" t="s">
        <v>1479</v>
      </c>
      <c r="P16" s="48"/>
      <c r="Q16" s="20"/>
    </row>
    <row r="17" spans="2:17" x14ac:dyDescent="0.2">
      <c r="B17" s="122" t="s">
        <v>177</v>
      </c>
      <c r="I17" s="194"/>
      <c r="J17" s="58" t="s">
        <v>400</v>
      </c>
      <c r="K17" s="426" t="str">
        <f>IF(Electricity[[#This Row],[Month]]&lt;&gt;"",VLOOKUP(Electricity[[#This Row],[Month]], dropdown!$S$4:$T$15, 2, FALSE),"")</f>
        <v>Q4</v>
      </c>
      <c r="L17" s="29">
        <v>27650</v>
      </c>
      <c r="M17" s="47">
        <v>301111.48</v>
      </c>
      <c r="N17" s="165" t="s">
        <v>486</v>
      </c>
      <c r="O17" s="195" t="s">
        <v>1481</v>
      </c>
      <c r="P17" s="48"/>
      <c r="Q17" s="20"/>
    </row>
    <row r="18" spans="2:17" x14ac:dyDescent="0.2">
      <c r="I18" s="194">
        <f t="shared" ref="I18:I49" si="0">IF($L18="","",$I17+1)</f>
        <v>1</v>
      </c>
      <c r="J18" s="58" t="s">
        <v>404</v>
      </c>
      <c r="K18" s="426" t="str">
        <f>IF(Electricity[[#This Row],[Month]]&lt;&gt;"",VLOOKUP(Electricity[[#This Row],[Month]], dropdown!$S$4:$T$15, 2, FALSE),"")</f>
        <v>Q4</v>
      </c>
      <c r="L18" s="29">
        <v>28000</v>
      </c>
      <c r="M18" s="47">
        <v>353099.66</v>
      </c>
      <c r="N18" s="165" t="s">
        <v>486</v>
      </c>
      <c r="O18" s="195" t="s">
        <v>1483</v>
      </c>
      <c r="P18" s="48"/>
      <c r="Q18" s="20"/>
    </row>
    <row r="19" spans="2:17" x14ac:dyDescent="0.2">
      <c r="I19" s="194">
        <f t="shared" si="0"/>
        <v>2</v>
      </c>
      <c r="J19" s="58" t="s">
        <v>407</v>
      </c>
      <c r="K19" s="426" t="str">
        <f>IF(Electricity[[#This Row],[Month]]&lt;&gt;"",VLOOKUP(Electricity[[#This Row],[Month]], dropdown!$S$4:$T$15, 2, FALSE),"")</f>
        <v>Q4</v>
      </c>
      <c r="L19" s="29">
        <v>26950</v>
      </c>
      <c r="M19" s="47">
        <v>322189.03000000003</v>
      </c>
      <c r="N19" s="165" t="s">
        <v>486</v>
      </c>
      <c r="O19" s="195" t="s">
        <v>1488</v>
      </c>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Q4</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Q4</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Q4</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N8" sqref="N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Tacloban Branch</v>
      </c>
      <c r="C4" s="37"/>
      <c r="D4" s="38">
        <f>IF('1. Data Info and Summary'!$D$3=0,"-",'1. Data Info and Summary'!$D$3)</f>
        <v>2024</v>
      </c>
      <c r="E4" s="37"/>
      <c r="F4" s="37" t="s">
        <v>211</v>
      </c>
      <c r="G4" s="39"/>
      <c r="I4" s="429"/>
      <c r="J4" s="293"/>
      <c r="K4" s="293"/>
      <c r="L4" s="293"/>
      <c r="M4" s="293"/>
      <c r="N4" s="297"/>
    </row>
    <row r="5" spans="2:16" x14ac:dyDescent="0.2">
      <c r="B5" s="271"/>
      <c r="D5" s="271"/>
    </row>
    <row r="6" spans="2:16" ht="30" x14ac:dyDescent="0.2">
      <c r="B6" s="278" t="s">
        <v>172</v>
      </c>
      <c r="C6" s="446"/>
      <c r="D6" s="447"/>
      <c r="E6" s="447"/>
      <c r="F6" s="447"/>
      <c r="G6" s="448"/>
      <c r="I6" s="248" t="s">
        <v>173</v>
      </c>
      <c r="J6" s="249" t="s">
        <v>39</v>
      </c>
      <c r="K6" s="249" t="s">
        <v>43</v>
      </c>
      <c r="L6" s="250" t="s">
        <v>115</v>
      </c>
      <c r="M6" s="352" t="s">
        <v>212</v>
      </c>
      <c r="N6" s="253" t="s">
        <v>54</v>
      </c>
      <c r="O6" s="349"/>
    </row>
    <row r="7" spans="2:16" x14ac:dyDescent="0.2">
      <c r="B7" s="278" t="s">
        <v>174</v>
      </c>
      <c r="C7" s="446"/>
      <c r="D7" s="447"/>
      <c r="E7" s="447"/>
      <c r="F7" s="447"/>
      <c r="G7" s="448"/>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topLeftCell="B1" zoomScaleNormal="100" workbookViewId="0">
      <selection activeCell="C7" sqref="C7:G7"/>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Tacloban Branch</v>
      </c>
      <c r="C4" s="37"/>
      <c r="D4" s="38">
        <f>IF('1. Data Info and Summary'!$D$3=0,"-",'1. Data Info and Summary'!$D$3)</f>
        <v>2024</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6" t="s">
        <v>1503</v>
      </c>
      <c r="D6" s="447"/>
      <c r="E6" s="447"/>
      <c r="F6" s="447"/>
      <c r="G6" s="448"/>
      <c r="I6" s="134" t="s">
        <v>120</v>
      </c>
      <c r="J6" s="65"/>
      <c r="K6" s="65"/>
      <c r="L6" s="65"/>
      <c r="M6" s="65"/>
      <c r="N6" s="66"/>
      <c r="P6" s="134" t="s">
        <v>128</v>
      </c>
      <c r="Q6" s="65"/>
      <c r="R6" s="65"/>
      <c r="S6" s="65"/>
      <c r="T6" s="66"/>
      <c r="U6" s="66"/>
      <c r="W6" s="20"/>
    </row>
    <row r="7" spans="2:23" ht="12.75" customHeight="1" x14ac:dyDescent="0.2">
      <c r="B7" s="278" t="s">
        <v>174</v>
      </c>
      <c r="C7" s="449">
        <v>45911</v>
      </c>
      <c r="D7" s="447"/>
      <c r="E7" s="447"/>
      <c r="F7" s="447"/>
      <c r="G7" s="448"/>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81</v>
      </c>
      <c r="N8" s="195" t="s">
        <v>1490</v>
      </c>
      <c r="O8" s="44"/>
      <c r="P8" s="194">
        <f>IF($T8="","",1)</f>
        <v>1</v>
      </c>
      <c r="Q8" s="58" t="s">
        <v>338</v>
      </c>
      <c r="R8" s="18" t="str">
        <f>IF(water_out[[#This Row],[Month]]&lt;&gt;"",VLOOKUP(water_out[[#This Row],[Month]], dropdown!$S$4:$T$15, 2, FALSE),"")</f>
        <v>Q1</v>
      </c>
      <c r="S8" s="60" t="s">
        <v>133</v>
      </c>
      <c r="T8" s="29">
        <v>44.17</v>
      </c>
      <c r="U8" s="195"/>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72</v>
      </c>
      <c r="N9" s="195" t="s">
        <v>1491</v>
      </c>
      <c r="O9" s="44"/>
      <c r="P9" s="194">
        <f>IF($T9="","",$P8+1)</f>
        <v>2</v>
      </c>
      <c r="Q9" s="58" t="s">
        <v>89</v>
      </c>
      <c r="R9" s="18" t="str">
        <f>IF(water_out[[#This Row],[Month]]&lt;&gt;"",VLOOKUP(water_out[[#This Row],[Month]], dropdown!$S$4:$T$15, 2, FALSE),"")</f>
        <v>Q1</v>
      </c>
      <c r="S9" s="60" t="s">
        <v>133</v>
      </c>
      <c r="T9" s="29">
        <v>41.33</v>
      </c>
      <c r="U9" s="195"/>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18</v>
      </c>
      <c r="N10" s="195" t="s">
        <v>1492</v>
      </c>
      <c r="O10" s="44"/>
      <c r="P10" s="194">
        <f t="shared" ref="P10:P73" si="1">IF($T10="","",$P9+1)</f>
        <v>3</v>
      </c>
      <c r="Q10" s="58" t="s">
        <v>362</v>
      </c>
      <c r="R10" s="18" t="str">
        <f>IF(water_out[[#This Row],[Month]]&lt;&gt;"",VLOOKUP(water_out[[#This Row],[Month]], dropdown!$S$4:$T$15, 2, FALSE),"")</f>
        <v>Q1</v>
      </c>
      <c r="S10" s="60" t="s">
        <v>133</v>
      </c>
      <c r="T10" s="29">
        <v>44.17</v>
      </c>
      <c r="U10" s="195"/>
      <c r="W10" s="20"/>
    </row>
    <row r="11" spans="2:23" ht="14" x14ac:dyDescent="0.2">
      <c r="B11" s="17" t="s">
        <v>120</v>
      </c>
      <c r="C11" s="17" t="s">
        <v>220</v>
      </c>
      <c r="D11" s="41">
        <f>SUMIFS(water_in[Volume (m3)],water_in[Quarter],D$10)</f>
        <v>171</v>
      </c>
      <c r="E11" s="41">
        <f>SUMIFS(water_in[Volume (m3)],water_in[Quarter],E$10)</f>
        <v>306</v>
      </c>
      <c r="F11" s="41">
        <f>SUMIFS(water_in[Volume (m3)],water_in[Quarter],F$10)</f>
        <v>234</v>
      </c>
      <c r="G11" s="41">
        <f>SUMIFS(water_in[Volume (m3)],water_in[Quarter],G$10)</f>
        <v>234</v>
      </c>
      <c r="I11" s="194">
        <f t="shared" si="0"/>
        <v>4</v>
      </c>
      <c r="J11" s="58" t="s">
        <v>371</v>
      </c>
      <c r="K11" s="426" t="str">
        <f>IF(water_in[[#This Row],[Month]]&lt;&gt;"",VLOOKUP(water_in[[#This Row],[Month]], dropdown!$S$4:$T$15, 2, FALSE),"")</f>
        <v>Q2</v>
      </c>
      <c r="L11" s="58" t="s">
        <v>124</v>
      </c>
      <c r="M11" s="29">
        <v>72</v>
      </c>
      <c r="N11" s="195" t="s">
        <v>1493</v>
      </c>
      <c r="O11" s="44"/>
      <c r="P11" s="194">
        <f t="shared" si="1"/>
        <v>4</v>
      </c>
      <c r="Q11" s="58" t="s">
        <v>371</v>
      </c>
      <c r="R11" s="18" t="str">
        <f>IF(water_out[[#This Row],[Month]]&lt;&gt;"",VLOOKUP(water_out[[#This Row],[Month]], dropdown!$S$4:$T$15, 2, FALSE),"")</f>
        <v>Q2</v>
      </c>
      <c r="S11" s="60" t="s">
        <v>133</v>
      </c>
      <c r="T11" s="29">
        <v>42.75</v>
      </c>
      <c r="U11" s="195"/>
      <c r="W11" s="20"/>
    </row>
    <row r="12" spans="2:23" ht="14" x14ac:dyDescent="0.2">
      <c r="B12" s="17" t="s">
        <v>128</v>
      </c>
      <c r="C12" s="17" t="s">
        <v>220</v>
      </c>
      <c r="D12" s="41">
        <f>SUMIFS(water_out[Volume2 (m3)],water_out[Quarter],D$10)</f>
        <v>129.67000000000002</v>
      </c>
      <c r="E12" s="41">
        <f>SUMIFS(water_out[Volume2 (m3)],water_out[Quarter],E$10)</f>
        <v>129.67000000000002</v>
      </c>
      <c r="F12" s="41">
        <f>SUMIFS(water_out[Volume2 (m3)],water_out[Quarter],F$10)</f>
        <v>131.09</v>
      </c>
      <c r="G12" s="41">
        <f>SUMIFS(water_out[Volume2 (m3)],water_out[Quarter],G$10)</f>
        <v>131.09</v>
      </c>
      <c r="I12" s="194">
        <f t="shared" si="0"/>
        <v>5</v>
      </c>
      <c r="J12" s="58" t="s">
        <v>379</v>
      </c>
      <c r="K12" s="426" t="str">
        <f>IF(water_in[[#This Row],[Month]]&lt;&gt;"",VLOOKUP(water_in[[#This Row],[Month]], dropdown!$S$4:$T$15, 2, FALSE),"")</f>
        <v>Q2</v>
      </c>
      <c r="L12" s="58" t="s">
        <v>124</v>
      </c>
      <c r="M12" s="29">
        <v>126</v>
      </c>
      <c r="N12" s="195" t="s">
        <v>1494</v>
      </c>
      <c r="O12" s="44" t="str">
        <f>IF(J12="","",VLOOKUP($J12,dropdown!$S$3:$T$15,2,FALSE))</f>
        <v>Q2</v>
      </c>
      <c r="P12" s="194">
        <f t="shared" si="1"/>
        <v>5</v>
      </c>
      <c r="Q12" s="58" t="s">
        <v>379</v>
      </c>
      <c r="R12" s="18" t="str">
        <f>IF(water_out[[#This Row],[Month]]&lt;&gt;"",VLOOKUP(water_out[[#This Row],[Month]], dropdown!$S$4:$T$15, 2, FALSE),"")</f>
        <v>Q2</v>
      </c>
      <c r="S12" s="60" t="s">
        <v>133</v>
      </c>
      <c r="T12" s="29">
        <v>44.17</v>
      </c>
      <c r="U12" s="195"/>
      <c r="W12" s="20"/>
    </row>
    <row r="13" spans="2:23" ht="14" x14ac:dyDescent="0.2">
      <c r="D13" s="167" t="str">
        <f>IF(SUM(D$11:D$12)&gt;0,"x","")</f>
        <v>x</v>
      </c>
      <c r="E13" s="167" t="str">
        <f>IF(SUM(E$11:E$12)&gt;0,"x","")</f>
        <v>x</v>
      </c>
      <c r="F13" s="167" t="str">
        <f>IF(SUM(F$11:F$12)&gt;0,"x","")</f>
        <v>x</v>
      </c>
      <c r="G13" s="167" t="str">
        <f>IF(SUM(G$11:G$12)&gt;0,"x","")</f>
        <v>x</v>
      </c>
      <c r="I13" s="194">
        <f t="shared" si="0"/>
        <v>6</v>
      </c>
      <c r="J13" s="58" t="s">
        <v>386</v>
      </c>
      <c r="K13" s="426" t="str">
        <f>IF(water_in[[#This Row],[Month]]&lt;&gt;"",VLOOKUP(water_in[[#This Row],[Month]], dropdown!$S$4:$T$15, 2, FALSE),"")</f>
        <v>Q2</v>
      </c>
      <c r="L13" s="58" t="s">
        <v>124</v>
      </c>
      <c r="M13" s="29">
        <v>108</v>
      </c>
      <c r="N13" s="195" t="s">
        <v>1495</v>
      </c>
      <c r="O13" s="44" t="str">
        <f>IF(J13="","",VLOOKUP($J13,dropdown!$S$3:$T$15,2,FALSE))</f>
        <v>Q2</v>
      </c>
      <c r="P13" s="194">
        <f t="shared" si="1"/>
        <v>6</v>
      </c>
      <c r="Q13" s="58" t="s">
        <v>386</v>
      </c>
      <c r="R13" s="18" t="str">
        <f>IF(water_out[[#This Row],[Month]]&lt;&gt;"",VLOOKUP(water_out[[#This Row],[Month]], dropdown!$S$4:$T$15, 2, FALSE),"")</f>
        <v>Q2</v>
      </c>
      <c r="S13" s="60" t="s">
        <v>133</v>
      </c>
      <c r="T13" s="29">
        <v>42.75</v>
      </c>
      <c r="U13" s="195"/>
      <c r="W13" s="20"/>
    </row>
    <row r="14" spans="2:23" ht="14" x14ac:dyDescent="0.2">
      <c r="B14" s="119" t="s">
        <v>38</v>
      </c>
      <c r="I14" s="194">
        <f t="shared" si="0"/>
        <v>7</v>
      </c>
      <c r="J14" s="58" t="s">
        <v>390</v>
      </c>
      <c r="K14" s="426" t="str">
        <f>IF(water_in[[#This Row],[Month]]&lt;&gt;"",VLOOKUP(water_in[[#This Row],[Month]], dropdown!$S$4:$T$15, 2, FALSE),"")</f>
        <v>Q3</v>
      </c>
      <c r="L14" s="58" t="s">
        <v>124</v>
      </c>
      <c r="M14" s="29">
        <v>0</v>
      </c>
      <c r="N14" s="350"/>
      <c r="O14" s="44" t="str">
        <f>IF(J14="","",VLOOKUP($J14,dropdown!$S$3:$T$15,2,FALSE))</f>
        <v>Q3</v>
      </c>
      <c r="P14" s="194">
        <f t="shared" si="1"/>
        <v>7</v>
      </c>
      <c r="Q14" s="58" t="s">
        <v>390</v>
      </c>
      <c r="R14" s="18" t="str">
        <f>IF(water_out[[#This Row],[Month]]&lt;&gt;"",VLOOKUP(water_out[[#This Row],[Month]], dropdown!$S$4:$T$15, 2, FALSE),"")</f>
        <v>Q3</v>
      </c>
      <c r="S14" s="60" t="s">
        <v>133</v>
      </c>
      <c r="T14" s="29">
        <v>44.17</v>
      </c>
      <c r="U14" s="195"/>
      <c r="W14" s="20"/>
    </row>
    <row r="15" spans="2:23" ht="11" customHeight="1" x14ac:dyDescent="0.2">
      <c r="B15" s="120" t="s">
        <v>175</v>
      </c>
      <c r="I15" s="194">
        <f t="shared" si="0"/>
        <v>8</v>
      </c>
      <c r="J15" s="58" t="s">
        <v>41</v>
      </c>
      <c r="K15" s="426" t="str">
        <f>IF(water_in[[#This Row],[Month]]&lt;&gt;"",VLOOKUP(water_in[[#This Row],[Month]], dropdown!$S$4:$T$15, 2, FALSE),"")</f>
        <v>Q3</v>
      </c>
      <c r="L15" s="58" t="s">
        <v>124</v>
      </c>
      <c r="M15" s="29">
        <v>117</v>
      </c>
      <c r="N15" s="195" t="s">
        <v>1496</v>
      </c>
      <c r="O15" s="44" t="str">
        <f>IF(J15="","",VLOOKUP($J15,dropdown!$S$3:$T$15,2,FALSE))</f>
        <v>Q3</v>
      </c>
      <c r="P15" s="194">
        <f t="shared" si="1"/>
        <v>8</v>
      </c>
      <c r="Q15" s="58" t="s">
        <v>41</v>
      </c>
      <c r="R15" s="18" t="str">
        <f>IF(water_out[[#This Row],[Month]]&lt;&gt;"",VLOOKUP(water_out[[#This Row],[Month]], dropdown!$S$4:$T$15, 2, FALSE),"")</f>
        <v>Q3</v>
      </c>
      <c r="S15" s="60" t="s">
        <v>133</v>
      </c>
      <c r="T15" s="29">
        <v>44.17</v>
      </c>
      <c r="U15" s="195"/>
      <c r="W15" s="20"/>
    </row>
    <row r="16" spans="2:23" ht="14" x14ac:dyDescent="0.2">
      <c r="B16" s="121" t="s">
        <v>176</v>
      </c>
      <c r="I16" s="194">
        <f t="shared" si="0"/>
        <v>9</v>
      </c>
      <c r="J16" s="58" t="s">
        <v>397</v>
      </c>
      <c r="K16" s="426" t="str">
        <f>IF(water_in[[#This Row],[Month]]&lt;&gt;"",VLOOKUP(water_in[[#This Row],[Month]], dropdown!$S$4:$T$15, 2, FALSE),"")</f>
        <v>Q3</v>
      </c>
      <c r="L16" s="58" t="s">
        <v>124</v>
      </c>
      <c r="M16" s="29">
        <v>117</v>
      </c>
      <c r="N16" s="195" t="s">
        <v>1497</v>
      </c>
      <c r="O16" s="44" t="str">
        <f>IF(J16="","",VLOOKUP($J16,dropdown!$S$3:$T$15,2,FALSE))</f>
        <v>Q3</v>
      </c>
      <c r="P16" s="194">
        <f t="shared" si="1"/>
        <v>9</v>
      </c>
      <c r="Q16" s="58" t="s">
        <v>397</v>
      </c>
      <c r="R16" s="18" t="str">
        <f>IF(water_out[[#This Row],[Month]]&lt;&gt;"",VLOOKUP(water_out[[#This Row],[Month]], dropdown!$S$4:$T$15, 2, FALSE),"")</f>
        <v>Q3</v>
      </c>
      <c r="S16" s="60" t="s">
        <v>133</v>
      </c>
      <c r="T16" s="29">
        <v>42.75</v>
      </c>
      <c r="U16" s="195"/>
      <c r="W16" s="20"/>
    </row>
    <row r="17" spans="2:23" ht="14" x14ac:dyDescent="0.2">
      <c r="B17" s="122" t="s">
        <v>177</v>
      </c>
      <c r="I17" s="194">
        <f t="shared" si="0"/>
        <v>10</v>
      </c>
      <c r="J17" s="58" t="s">
        <v>400</v>
      </c>
      <c r="K17" s="426" t="str">
        <f>IF(water_in[[#This Row],[Month]]&lt;&gt;"",VLOOKUP(water_in[[#This Row],[Month]], dropdown!$S$4:$T$15, 2, FALSE),"")</f>
        <v>Q4</v>
      </c>
      <c r="L17" s="58" t="s">
        <v>124</v>
      </c>
      <c r="M17" s="29">
        <v>81</v>
      </c>
      <c r="N17" s="195" t="s">
        <v>1498</v>
      </c>
      <c r="O17" s="44" t="str">
        <f>IF(J17="","",VLOOKUP($J17,dropdown!$S$3:$T$15,2,FALSE))</f>
        <v>Q4</v>
      </c>
      <c r="P17" s="194">
        <f t="shared" si="1"/>
        <v>10</v>
      </c>
      <c r="Q17" s="58" t="s">
        <v>400</v>
      </c>
      <c r="R17" s="18" t="str">
        <f>IF(water_out[[#This Row],[Month]]&lt;&gt;"",VLOOKUP(water_out[[#This Row],[Month]], dropdown!$S$4:$T$15, 2, FALSE),"")</f>
        <v>Q4</v>
      </c>
      <c r="S17" s="60" t="s">
        <v>133</v>
      </c>
      <c r="T17" s="29">
        <v>44.17</v>
      </c>
      <c r="U17" s="195"/>
      <c r="V17" s="44" t="s">
        <v>43</v>
      </c>
      <c r="W17" s="20"/>
    </row>
    <row r="18" spans="2:23" ht="14" x14ac:dyDescent="0.2">
      <c r="I18" s="194">
        <f t="shared" si="0"/>
        <v>11</v>
      </c>
      <c r="J18" s="58" t="s">
        <v>404</v>
      </c>
      <c r="K18" s="426" t="str">
        <f>IF(water_in[[#This Row],[Month]]&lt;&gt;"",VLOOKUP(water_in[[#This Row],[Month]], dropdown!$S$4:$T$15, 2, FALSE),"")</f>
        <v>Q4</v>
      </c>
      <c r="L18" s="58" t="s">
        <v>124</v>
      </c>
      <c r="M18" s="29">
        <v>81</v>
      </c>
      <c r="N18" s="350" t="s">
        <v>1499</v>
      </c>
      <c r="O18" s="44" t="str">
        <f>IF(J18="","",VLOOKUP($J18,dropdown!$S$3:$T$15,2,FALSE))</f>
        <v>Q4</v>
      </c>
      <c r="P18" s="194">
        <f t="shared" si="1"/>
        <v>11</v>
      </c>
      <c r="Q18" s="58" t="s">
        <v>404</v>
      </c>
      <c r="R18" s="18" t="str">
        <f>IF(water_out[[#This Row],[Month]]&lt;&gt;"",VLOOKUP(water_out[[#This Row],[Month]], dropdown!$S$4:$T$15, 2, FALSE),"")</f>
        <v>Q4</v>
      </c>
      <c r="S18" s="60" t="s">
        <v>133</v>
      </c>
      <c r="T18" s="29">
        <v>42.75</v>
      </c>
      <c r="U18" s="195"/>
      <c r="V18" s="44" t="str">
        <f>IF(Q8="","",VLOOKUP($Q8,dropdown!$S$3:$T$15,2,FALSE))</f>
        <v>Q1</v>
      </c>
      <c r="W18" s="20"/>
    </row>
    <row r="19" spans="2:23" ht="14" x14ac:dyDescent="0.2">
      <c r="I19" s="194">
        <f t="shared" si="0"/>
        <v>12</v>
      </c>
      <c r="J19" s="58" t="s">
        <v>407</v>
      </c>
      <c r="K19" s="426" t="str">
        <f>IF(water_in[[#This Row],[Month]]&lt;&gt;"",VLOOKUP(water_in[[#This Row],[Month]], dropdown!$S$4:$T$15, 2, FALSE),"")</f>
        <v>Q4</v>
      </c>
      <c r="L19" s="58" t="s">
        <v>124</v>
      </c>
      <c r="M19" s="29">
        <v>72</v>
      </c>
      <c r="N19" s="195" t="s">
        <v>1500</v>
      </c>
      <c r="O19" s="44" t="str">
        <f>IF(J19="","",VLOOKUP($J19,dropdown!$S$3:$T$15,2,FALSE))</f>
        <v>Q4</v>
      </c>
      <c r="P19" s="194">
        <f t="shared" si="1"/>
        <v>12</v>
      </c>
      <c r="Q19" s="58" t="s">
        <v>407</v>
      </c>
      <c r="R19" s="18" t="str">
        <f>IF(water_out[[#This Row],[Month]]&lt;&gt;"",VLOOKUP(water_out[[#This Row],[Month]], dropdown!$S$4:$T$15, 2, FALSE),"")</f>
        <v>Q4</v>
      </c>
      <c r="S19" s="60" t="s">
        <v>133</v>
      </c>
      <c r="T19" s="29">
        <v>44.17</v>
      </c>
      <c r="U19" s="195"/>
      <c r="V19" s="44" t="str">
        <f>IF(Q9="","",VLOOKUP($Q9,dropdown!$S$3:$T$15,2,FALSE))</f>
        <v>Q1</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Q3</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Q3</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Q3</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Q4</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Q4</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Q4</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M107 Q7:Q107 S7:U107 N7:N13 N15:N17 N19:N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Tacloban Branch</v>
      </c>
      <c r="C4" s="37"/>
      <c r="D4" s="38">
        <f>'1. Data Info and Summary'!$D$3</f>
        <v>2024</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A5" zoomScaleNormal="100" workbookViewId="0">
      <selection activeCell="N19" sqref="N19"/>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Tacloban Branch</v>
      </c>
      <c r="C4" s="37"/>
      <c r="D4" s="38">
        <f>IF('1. Data Info and Summary'!$D$3=0,"-",'1. Data Info and Summary'!$D$3)</f>
        <v>2024</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6" t="s">
        <v>1503</v>
      </c>
      <c r="D6" s="447"/>
      <c r="E6" s="447"/>
      <c r="F6" s="447"/>
      <c r="G6" s="448"/>
      <c r="I6" s="409" t="s">
        <v>282</v>
      </c>
      <c r="J6" s="407"/>
      <c r="K6" s="407"/>
      <c r="L6" s="407"/>
      <c r="M6" s="408"/>
      <c r="N6" s="407"/>
      <c r="O6" s="407"/>
      <c r="Q6" s="44"/>
    </row>
    <row r="7" spans="2:17" ht="25.5" customHeight="1" x14ac:dyDescent="0.2">
      <c r="B7" s="278" t="s">
        <v>174</v>
      </c>
      <c r="C7" s="449">
        <v>45911</v>
      </c>
      <c r="D7" s="447"/>
      <c r="E7" s="447"/>
      <c r="F7" s="447"/>
      <c r="G7" s="448"/>
      <c r="I7" s="248" t="s">
        <v>173</v>
      </c>
      <c r="J7" s="249" t="s">
        <v>39</v>
      </c>
      <c r="K7" s="249" t="s">
        <v>43</v>
      </c>
      <c r="L7" s="249" t="s">
        <v>137</v>
      </c>
      <c r="M7" s="254" t="s">
        <v>140</v>
      </c>
      <c r="N7" s="255" t="s">
        <v>142</v>
      </c>
      <c r="O7" s="253" t="s">
        <v>54</v>
      </c>
      <c r="Q7" s="44"/>
    </row>
    <row r="8" spans="2:17" x14ac:dyDescent="0.2">
      <c r="I8" s="194">
        <f>IF($J8="","",1)</f>
        <v>1</v>
      </c>
      <c r="J8" s="58" t="s">
        <v>338</v>
      </c>
      <c r="K8" s="194" t="str">
        <f>IF(Waste[[#This Row],[Month]]&lt;&gt;"",VLOOKUP(Waste[[#This Row],[Month]], dropdown!$S$4:$T$15, 2, FALSE),"")</f>
        <v>Q1</v>
      </c>
      <c r="L8" s="57" t="s">
        <v>383</v>
      </c>
      <c r="M8" s="29">
        <v>334</v>
      </c>
      <c r="N8" s="57" t="s">
        <v>313</v>
      </c>
      <c r="O8" s="195"/>
      <c r="Q8" s="44"/>
    </row>
    <row r="9" spans="2:17" x14ac:dyDescent="0.2">
      <c r="B9" s="14" t="s">
        <v>134</v>
      </c>
      <c r="C9" s="14"/>
      <c r="D9" s="14"/>
      <c r="E9" s="14"/>
      <c r="F9" s="14"/>
      <c r="G9" s="14"/>
      <c r="I9" s="194">
        <f t="shared" ref="I9:I72" si="0">IF($J9="","",$I8+1)</f>
        <v>2</v>
      </c>
      <c r="J9" s="58" t="s">
        <v>89</v>
      </c>
      <c r="K9" s="194" t="str">
        <f>IF(Waste[[#This Row],[Month]]&lt;&gt;"",VLOOKUP(Waste[[#This Row],[Month]], dropdown!$S$4:$T$15, 2, FALSE),"")</f>
        <v>Q1</v>
      </c>
      <c r="L9" s="57" t="s">
        <v>383</v>
      </c>
      <c r="M9" s="29">
        <v>21934</v>
      </c>
      <c r="N9" s="57" t="s">
        <v>313</v>
      </c>
      <c r="O9" s="195"/>
      <c r="Q9" s="44"/>
    </row>
    <row r="10" spans="2:17" x14ac:dyDescent="0.2">
      <c r="B10" s="13" t="s">
        <v>137</v>
      </c>
      <c r="C10" s="13" t="s">
        <v>51</v>
      </c>
      <c r="D10" s="40" t="s">
        <v>45</v>
      </c>
      <c r="E10" s="40" t="s">
        <v>149</v>
      </c>
      <c r="F10" s="40" t="s">
        <v>150</v>
      </c>
      <c r="G10" s="40" t="s">
        <v>151</v>
      </c>
      <c r="I10" s="194">
        <f t="shared" si="0"/>
        <v>3</v>
      </c>
      <c r="J10" s="58" t="s">
        <v>362</v>
      </c>
      <c r="K10" s="194" t="str">
        <f>IF(Waste[[#This Row],[Month]]&lt;&gt;"",VLOOKUP(Waste[[#This Row],[Month]], dropdown!$S$4:$T$15, 2, FALSE),"")</f>
        <v>Q1</v>
      </c>
      <c r="L10" s="57" t="s">
        <v>383</v>
      </c>
      <c r="M10" s="29">
        <v>7534</v>
      </c>
      <c r="N10" s="57" t="s">
        <v>313</v>
      </c>
      <c r="O10" s="195"/>
      <c r="Q10" s="44"/>
    </row>
    <row r="11" spans="2:17" x14ac:dyDescent="0.2">
      <c r="B11" s="17" t="str">
        <f>dropdown!$B4</f>
        <v>Compostable</v>
      </c>
      <c r="C11" s="17" t="s">
        <v>283</v>
      </c>
      <c r="D11" s="41">
        <f>SUMIFS(Waste[Weight (kg)],Waste[Quarter],D$10,Waste[Waste Composition],$B$11)</f>
        <v>0</v>
      </c>
      <c r="E11" s="41">
        <f>SUMIFS(Waste[Weight (kg)],Waste[Quarter],E$10,Waste[Waste Composition],$B11)</f>
        <v>0</v>
      </c>
      <c r="F11" s="41">
        <f>SUMIFS(Waste[Weight (kg)],Waste[Quarter],F$10,Waste[Waste Composition],$B11)</f>
        <v>0</v>
      </c>
      <c r="G11" s="41">
        <f>SUMIFS(Waste[Weight (kg)],Waste[Quarter],G$10,Waste[Waste Composition],$B11)</f>
        <v>0</v>
      </c>
      <c r="I11" s="194">
        <f t="shared" si="0"/>
        <v>4</v>
      </c>
      <c r="J11" s="58" t="s">
        <v>371</v>
      </c>
      <c r="K11" s="194" t="str">
        <f>IF(Waste[[#This Row],[Month]]&lt;&gt;"",VLOOKUP(Waste[[#This Row],[Month]], dropdown!$S$4:$T$15, 2, FALSE),"")</f>
        <v>Q2</v>
      </c>
      <c r="L11" s="57" t="s">
        <v>383</v>
      </c>
      <c r="M11" s="29">
        <v>11700</v>
      </c>
      <c r="N11" s="57" t="s">
        <v>313</v>
      </c>
      <c r="O11" s="195"/>
      <c r="Q11" s="44"/>
    </row>
    <row r="12" spans="2:17" x14ac:dyDescent="0.2">
      <c r="B12" s="17" t="str">
        <f>dropdown!$B5</f>
        <v>Recyclable</v>
      </c>
      <c r="C12" s="17" t="s">
        <v>283</v>
      </c>
      <c r="D12" s="41">
        <f>SUMIFS(Waste[Weight (kg)],Waste[Quarter],D$10,Waste[Waste Composition],$B12)</f>
        <v>0</v>
      </c>
      <c r="E12" s="41">
        <f>SUMIFS(Waste[Weight (kg)],Waste[Quarter],E$10,Waste[Waste Composition],$B12)</f>
        <v>0</v>
      </c>
      <c r="F12" s="41">
        <f>SUMIFS(Waste[Weight (kg)],Waste[Quarter],F$10,Waste[Waste Composition],$B12)</f>
        <v>0</v>
      </c>
      <c r="G12" s="41">
        <f>SUMIFS(Waste[Weight (kg)],Waste[Quarter],G$10,Waste[Waste Composition],$B12)</f>
        <v>0</v>
      </c>
      <c r="I12" s="194">
        <f t="shared" si="0"/>
        <v>5</v>
      </c>
      <c r="J12" s="58" t="s">
        <v>379</v>
      </c>
      <c r="K12" s="194" t="str">
        <f>IF(Waste[[#This Row],[Month]]&lt;&gt;"",VLOOKUP(Waste[[#This Row],[Month]], dropdown!$S$4:$T$15, 2, FALSE),"")</f>
        <v>Q2</v>
      </c>
      <c r="L12" s="57" t="s">
        <v>383</v>
      </c>
      <c r="M12" s="29">
        <v>3600</v>
      </c>
      <c r="N12" s="57" t="s">
        <v>313</v>
      </c>
      <c r="O12" s="195"/>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386</v>
      </c>
      <c r="K13" s="194" t="str">
        <f>IF(Waste[[#This Row],[Month]]&lt;&gt;"",VLOOKUP(Waste[[#This Row],[Month]], dropdown!$S$4:$T$15, 2, FALSE),"")</f>
        <v>Q2</v>
      </c>
      <c r="L13" s="57" t="s">
        <v>383</v>
      </c>
      <c r="M13" s="29">
        <v>8100</v>
      </c>
      <c r="N13" s="57" t="s">
        <v>313</v>
      </c>
      <c r="O13" s="195"/>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390</v>
      </c>
      <c r="K14" s="194" t="str">
        <f>IF(Waste[[#This Row],[Month]]&lt;&gt;"",VLOOKUP(Waste[[#This Row],[Month]], dropdown!$S$4:$T$15, 2, FALSE),"")</f>
        <v>Q3</v>
      </c>
      <c r="L14" s="57" t="s">
        <v>383</v>
      </c>
      <c r="M14" s="29">
        <v>6714</v>
      </c>
      <c r="N14" s="57" t="s">
        <v>313</v>
      </c>
      <c r="O14" s="195"/>
      <c r="Q14" s="44"/>
    </row>
    <row r="15" spans="2:17" ht="15" customHeight="1" x14ac:dyDescent="0.2">
      <c r="B15" s="17" t="str">
        <f>dropdown!$B8</f>
        <v>Hazardous</v>
      </c>
      <c r="C15" s="17" t="s">
        <v>283</v>
      </c>
      <c r="D15" s="41">
        <f>SUMIFS(Waste[Weight (kg)],Waste[Quarter],D$10,Waste[Waste Composition],$B15)</f>
        <v>0</v>
      </c>
      <c r="E15" s="41">
        <f>SUMIFS(Waste[Weight (kg)],Waste[Quarter],E$10,Waste[Waste Composition],$B15)</f>
        <v>0</v>
      </c>
      <c r="F15" s="41">
        <f>SUMIFS(Waste[Weight (kg)],Waste[Quarter],F$10,Waste[Waste Composition],$B15)</f>
        <v>0</v>
      </c>
      <c r="G15" s="41">
        <f>SUMIFS(Waste[Weight (kg)],Waste[Quarter],G$10,Waste[Waste Composition],$B15)</f>
        <v>0</v>
      </c>
      <c r="I15" s="194">
        <f t="shared" si="0"/>
        <v>8</v>
      </c>
      <c r="J15" s="58" t="s">
        <v>41</v>
      </c>
      <c r="K15" s="194" t="str">
        <f>IF(Waste[[#This Row],[Month]]&lt;&gt;"",VLOOKUP(Waste[[#This Row],[Month]], dropdown!$S$4:$T$15, 2, FALSE),"")</f>
        <v>Q3</v>
      </c>
      <c r="L15" s="57" t="s">
        <v>383</v>
      </c>
      <c r="M15" s="29">
        <v>9997</v>
      </c>
      <c r="N15" s="57" t="s">
        <v>313</v>
      </c>
      <c r="O15" s="195"/>
    </row>
    <row r="16" spans="2:17" x14ac:dyDescent="0.2">
      <c r="B16" s="17" t="str">
        <f>dropdown!$B9</f>
        <v>Residual/Landfill</v>
      </c>
      <c r="C16" s="17" t="s">
        <v>283</v>
      </c>
      <c r="D16" s="41">
        <f>SUMIFS(Waste[Weight (kg)],Waste[Quarter],D$10,Waste[Waste Composition],$B16)</f>
        <v>29802</v>
      </c>
      <c r="E16" s="41">
        <f>SUMIFS(Waste[Weight (kg)],Waste[Quarter],E$10,Waste[Waste Composition],$B16)</f>
        <v>23400</v>
      </c>
      <c r="F16" s="41">
        <f>SUMIFS(Waste[Weight (kg)],Waste[Quarter],F$10,Waste[Waste Composition],$B16)</f>
        <v>20170</v>
      </c>
      <c r="G16" s="41">
        <f>SUMIFS(Waste[Weight (kg)],Waste[Quarter],G$10,Waste[Waste Composition],$B16)</f>
        <v>22800</v>
      </c>
      <c r="I16" s="194">
        <f t="shared" si="0"/>
        <v>9</v>
      </c>
      <c r="J16" s="58" t="s">
        <v>397</v>
      </c>
      <c r="K16" s="194" t="str">
        <f>IF(Waste[[#This Row],[Month]]&lt;&gt;"",VLOOKUP(Waste[[#This Row],[Month]], dropdown!$S$4:$T$15, 2, FALSE),"")</f>
        <v>Q3</v>
      </c>
      <c r="L16" s="57" t="s">
        <v>383</v>
      </c>
      <c r="M16" s="29">
        <v>3459</v>
      </c>
      <c r="N16" s="57" t="s">
        <v>313</v>
      </c>
      <c r="O16" s="195"/>
    </row>
    <row r="17" spans="2:15" x14ac:dyDescent="0.2">
      <c r="I17" s="194">
        <f t="shared" si="0"/>
        <v>10</v>
      </c>
      <c r="J17" s="58" t="s">
        <v>400</v>
      </c>
      <c r="K17" s="194" t="str">
        <f>IF(Waste[[#This Row],[Month]]&lt;&gt;"",VLOOKUP(Waste[[#This Row],[Month]], dropdown!$S$4:$T$15, 2, FALSE),"")</f>
        <v>Q4</v>
      </c>
      <c r="L17" s="57" t="s">
        <v>383</v>
      </c>
      <c r="M17" s="29">
        <v>9798</v>
      </c>
      <c r="N17" s="57" t="s">
        <v>313</v>
      </c>
      <c r="O17" s="195"/>
    </row>
    <row r="18" spans="2:15" x14ac:dyDescent="0.2">
      <c r="B18" s="267" t="s">
        <v>38</v>
      </c>
      <c r="I18" s="194">
        <f t="shared" si="0"/>
        <v>11</v>
      </c>
      <c r="J18" s="58" t="s">
        <v>404</v>
      </c>
      <c r="K18" s="194" t="str">
        <f>IF(Waste[[#This Row],[Month]]&lt;&gt;"",VLOOKUP(Waste[[#This Row],[Month]], dropdown!$S$4:$T$15, 2, FALSE),"")</f>
        <v>Q4</v>
      </c>
      <c r="L18" s="57" t="s">
        <v>383</v>
      </c>
      <c r="M18" s="29">
        <v>3266</v>
      </c>
      <c r="N18" s="57" t="s">
        <v>313</v>
      </c>
      <c r="O18" s="195"/>
    </row>
    <row r="19" spans="2:15" x14ac:dyDescent="0.2">
      <c r="B19" s="268" t="s">
        <v>175</v>
      </c>
      <c r="I19" s="194">
        <f t="shared" ref="I19" si="1">IF($J19="","",$I18+1)</f>
        <v>12</v>
      </c>
      <c r="J19" s="58" t="s">
        <v>407</v>
      </c>
      <c r="K19" s="194" t="str">
        <f>IF(Waste[[#This Row],[Month]]&lt;&gt;"",VLOOKUP(Waste[[#This Row],[Month]], dropdown!$S$4:$T$15, 2, FALSE),"")</f>
        <v>Q4</v>
      </c>
      <c r="L19" s="57" t="s">
        <v>383</v>
      </c>
      <c r="M19" s="29">
        <v>9736</v>
      </c>
      <c r="N19" s="57" t="s">
        <v>313</v>
      </c>
      <c r="O19" s="195"/>
    </row>
    <row r="20" spans="2:15" x14ac:dyDescent="0.2">
      <c r="B20" s="266" t="s">
        <v>176</v>
      </c>
      <c r="I20" s="194" t="str">
        <f t="shared" si="0"/>
        <v/>
      </c>
      <c r="J20" s="58"/>
      <c r="K20" s="194" t="str">
        <f>IF(Waste[[#This Row],[Month]]&lt;&gt;"",VLOOKUP(Waste[[#This Row],[Month]], dropdown!$S$4:$T$15, 2, FALSE),"")</f>
        <v/>
      </c>
      <c r="L20" s="57"/>
      <c r="M20" s="29"/>
      <c r="N20" s="57"/>
      <c r="O20" s="195"/>
    </row>
    <row r="21" spans="2:15" x14ac:dyDescent="0.2">
      <c r="B21" s="17" t="s">
        <v>177</v>
      </c>
      <c r="I21" s="194" t="str">
        <f t="shared" si="0"/>
        <v/>
      </c>
      <c r="J21" s="58"/>
      <c r="K21" s="194" t="str">
        <f>IF(Waste[[#This Row],[Month]]&lt;&gt;"",VLOOKUP(Waste[[#This Row],[Month]], dropdown!$S$4:$T$15, 2, FALSE),"")</f>
        <v/>
      </c>
      <c r="L21" s="57"/>
      <c r="M21" s="29"/>
      <c r="N21" s="57"/>
      <c r="O21" s="195"/>
    </row>
    <row r="22" spans="2:15" x14ac:dyDescent="0.2">
      <c r="I22" s="194" t="str">
        <f t="shared" si="0"/>
        <v/>
      </c>
      <c r="J22" s="58"/>
      <c r="K22" s="194" t="str">
        <f>IF(Waste[[#This Row],[Month]]&lt;&gt;"",VLOOKUP(Waste[[#This Row],[Month]], dropdown!$S$4:$T$15, 2, FALSE),"")</f>
        <v/>
      </c>
      <c r="L22" s="57"/>
      <c r="M22" s="29"/>
      <c r="N22" s="57"/>
      <c r="O22" s="195"/>
    </row>
    <row r="23" spans="2:15" x14ac:dyDescent="0.2">
      <c r="I23" s="194" t="str">
        <f t="shared" si="0"/>
        <v/>
      </c>
      <c r="J23" s="58"/>
      <c r="K23" s="194" t="str">
        <f>IF(Waste[[#This Row],[Month]]&lt;&gt;"",VLOOKUP(Waste[[#This Row],[Month]], dropdown!$S$4:$T$15, 2, FALSE),"")</f>
        <v/>
      </c>
      <c r="L23" s="57"/>
      <c r="M23" s="29"/>
      <c r="N23" s="57"/>
      <c r="O23" s="195"/>
    </row>
    <row r="24" spans="2:15" x14ac:dyDescent="0.2">
      <c r="I24" s="194" t="str">
        <f t="shared" si="0"/>
        <v/>
      </c>
      <c r="J24" s="58"/>
      <c r="K24" s="194" t="str">
        <f>IF(Waste[[#This Row],[Month]]&lt;&gt;"",VLOOKUP(Waste[[#This Row],[Month]], dropdown!$S$4:$T$15, 2, FALSE),"")</f>
        <v/>
      </c>
      <c r="L24" s="57"/>
      <c r="M24" s="29"/>
      <c r="N24" s="57"/>
      <c r="O24" s="195"/>
    </row>
    <row r="25" spans="2:15" x14ac:dyDescent="0.2">
      <c r="I25" s="194" t="str">
        <f t="shared" si="0"/>
        <v/>
      </c>
      <c r="J25" s="58"/>
      <c r="K25" s="194" t="str">
        <f>IF(Waste[[#This Row],[Month]]&lt;&gt;"",VLOOKUP(Waste[[#This Row],[Month]], dropdown!$S$4:$T$15, 2, FALSE),"")</f>
        <v/>
      </c>
      <c r="L25" s="57"/>
      <c r="M25" s="29"/>
      <c r="N25" s="57"/>
      <c r="O25" s="195"/>
    </row>
    <row r="26" spans="2:15" x14ac:dyDescent="0.2">
      <c r="I26" s="194" t="str">
        <f t="shared" si="0"/>
        <v/>
      </c>
      <c r="J26" s="58"/>
      <c r="K26" s="194" t="str">
        <f>IF(Waste[[#This Row],[Month]]&lt;&gt;"",VLOOKUP(Waste[[#This Row],[Month]], dropdown!$S$4:$T$15, 2, FALSE),"")</f>
        <v/>
      </c>
      <c r="L26" s="57"/>
      <c r="M26" s="29"/>
      <c r="N26" s="57"/>
      <c r="O26" s="195"/>
    </row>
    <row r="27" spans="2:15" x14ac:dyDescent="0.2">
      <c r="I27" s="194" t="str">
        <f t="shared" si="0"/>
        <v/>
      </c>
      <c r="J27" s="58"/>
      <c r="K27" s="194" t="str">
        <f>IF(Waste[[#This Row],[Month]]&lt;&gt;"",VLOOKUP(Waste[[#This Row],[Month]], dropdown!$S$4:$T$15, 2, FALSE),"")</f>
        <v/>
      </c>
      <c r="L27" s="57"/>
      <c r="M27" s="29"/>
      <c r="N27" s="57"/>
      <c r="O27" s="195"/>
    </row>
    <row r="28" spans="2:15" x14ac:dyDescent="0.2">
      <c r="I28" s="194" t="str">
        <f t="shared" si="0"/>
        <v/>
      </c>
      <c r="J28" s="58"/>
      <c r="K28" s="194" t="str">
        <f>IF(Waste[[#This Row],[Month]]&lt;&gt;"",VLOOKUP(Waste[[#This Row],[Month]], dropdown!$S$4:$T$15, 2, FALSE),"")</f>
        <v/>
      </c>
      <c r="L28" s="57"/>
      <c r="M28" s="29"/>
      <c r="N28" s="57"/>
      <c r="O28" s="195"/>
    </row>
    <row r="29" spans="2:15" x14ac:dyDescent="0.2">
      <c r="I29" s="194" t="str">
        <f t="shared" si="0"/>
        <v/>
      </c>
      <c r="J29" s="58"/>
      <c r="K29" s="194" t="str">
        <f>IF(Waste[[#This Row],[Month]]&lt;&gt;"",VLOOKUP(Waste[[#This Row],[Month]], dropdown!$S$4:$T$15, 2, FALSE),"")</f>
        <v/>
      </c>
      <c r="L29" s="57"/>
      <c r="M29" s="29"/>
      <c r="N29" s="57"/>
      <c r="O29" s="195"/>
    </row>
    <row r="30" spans="2:15" x14ac:dyDescent="0.2">
      <c r="I30" s="194" t="str">
        <f t="shared" si="0"/>
        <v/>
      </c>
      <c r="J30" s="58"/>
      <c r="K30" s="194" t="str">
        <f>IF(Waste[[#This Row],[Month]]&lt;&gt;"",VLOOKUP(Waste[[#This Row],[Month]], dropdown!$S$4:$T$15, 2, FALSE),"")</f>
        <v/>
      </c>
      <c r="L30" s="57"/>
      <c r="M30" s="29"/>
      <c r="N30" s="57"/>
      <c r="O30" s="195"/>
    </row>
    <row r="31" spans="2:15" x14ac:dyDescent="0.2">
      <c r="I31" s="194" t="str">
        <f t="shared" si="0"/>
        <v/>
      </c>
      <c r="J31" s="58"/>
      <c r="K31" s="194" t="str">
        <f>IF(Waste[[#This Row],[Month]]&lt;&gt;"",VLOOKUP(Waste[[#This Row],[Month]], dropdown!$S$4:$T$15, 2, FALSE),"")</f>
        <v/>
      </c>
      <c r="L31" s="57"/>
      <c r="M31" s="29"/>
      <c r="N31" s="57"/>
      <c r="O31" s="195"/>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Tacloban Branch</v>
      </c>
      <c r="E6" s="461" t="s">
        <v>284</v>
      </c>
      <c r="F6" s="461"/>
      <c r="G6" s="461"/>
      <c r="H6" s="461"/>
      <c r="I6" s="461"/>
      <c r="J6" s="461"/>
      <c r="K6" s="461"/>
      <c r="L6" s="461"/>
      <c r="M6" s="461"/>
      <c r="N6" s="461"/>
      <c r="O6" s="461"/>
      <c r="P6" s="461"/>
      <c r="Q6" s="461"/>
    </row>
    <row r="7" spans="2:17" ht="20" customHeight="1" x14ac:dyDescent="0.2">
      <c r="B7" s="70" t="s">
        <v>12</v>
      </c>
      <c r="C7" s="59">
        <f>'1. Data Info and Summary'!$D$3</f>
        <v>2024</v>
      </c>
      <c r="E7" s="461"/>
      <c r="F7" s="461"/>
      <c r="G7" s="461"/>
      <c r="H7" s="461"/>
      <c r="I7" s="461"/>
      <c r="J7" s="461"/>
      <c r="K7" s="461"/>
      <c r="L7" s="461"/>
      <c r="M7" s="461"/>
      <c r="N7" s="461"/>
      <c r="O7" s="461"/>
      <c r="P7" s="461"/>
      <c r="Q7" s="461"/>
    </row>
    <row r="8" spans="2:17" ht="20" customHeight="1" x14ac:dyDescent="0.2">
      <c r="B8" s="71"/>
    </row>
    <row r="9" spans="2:17" x14ac:dyDescent="0.2">
      <c r="C9" s="53"/>
      <c r="E9" s="463" t="s">
        <v>285</v>
      </c>
      <c r="F9" s="463"/>
      <c r="G9" s="463"/>
      <c r="H9" s="463"/>
      <c r="I9" s="463"/>
      <c r="J9" s="463"/>
      <c r="L9" s="463" t="s">
        <v>286</v>
      </c>
      <c r="M9" s="463"/>
      <c r="N9" s="463"/>
      <c r="O9" s="463"/>
      <c r="P9" s="463"/>
      <c r="Q9" s="463"/>
    </row>
    <row r="10" spans="2:17" ht="8" customHeight="1" x14ac:dyDescent="0.2">
      <c r="B10" s="71"/>
    </row>
    <row r="11" spans="2:17" x14ac:dyDescent="0.2">
      <c r="E11" s="462" t="s">
        <v>287</v>
      </c>
      <c r="F11" s="462"/>
      <c r="G11" s="462"/>
      <c r="H11" s="462"/>
      <c r="I11" s="462"/>
      <c r="J11" s="462"/>
      <c r="L11" s="462" t="s">
        <v>288</v>
      </c>
      <c r="M11" s="462"/>
      <c r="N11" s="462"/>
      <c r="O11" s="462"/>
      <c r="P11" s="462"/>
      <c r="Q11" s="462"/>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1683.3400000000001</v>
      </c>
      <c r="G13" s="73" t="str">
        <f>'1. Data Info and Summary'!$D18</f>
        <v>Liters</v>
      </c>
      <c r="I13" s="76">
        <f>VLOOKUP($E13,Emission_Factors!$A$1:$G$20,5,FALSE)</f>
        <v>2.68</v>
      </c>
      <c r="J13" s="141">
        <f>F13*I13</f>
        <v>4511.351200000001</v>
      </c>
      <c r="L13" s="73" t="s">
        <v>155</v>
      </c>
      <c r="M13" s="78">
        <f>SUM('2.3a Electricity'!$D$12:$G$12)</f>
        <v>316800</v>
      </c>
      <c r="N13" s="73" t="str">
        <f>'2.3a Electricity'!$C$12</f>
        <v>Kilowatt-hour</v>
      </c>
      <c r="P13" s="76">
        <f>VLOOKUP($L13,Emission_Factors!$A$1:$G$20,5,FALSE)</f>
        <v>0.56000000000000005</v>
      </c>
      <c r="Q13" s="141">
        <f>M13*P13</f>
        <v>177408.00000000003</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4511.351200000001</v>
      </c>
    </row>
    <row r="20" spans="5:10" x14ac:dyDescent="0.2">
      <c r="E20" s="462" t="s">
        <v>293</v>
      </c>
      <c r="F20" s="462"/>
      <c r="G20" s="462"/>
      <c r="H20" s="462"/>
      <c r="I20" s="462"/>
      <c r="J20" s="462"/>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2930.9300000000003</v>
      </c>
      <c r="G22" s="73" t="str">
        <f>'1. Data Info and Summary'!$D26</f>
        <v>Liters</v>
      </c>
      <c r="I22" s="76">
        <f>VLOOKUP($E22,Emission_Factors!$A$1:$G$20,5,FALSE)</f>
        <v>2.68</v>
      </c>
      <c r="J22" s="141">
        <f>F22*I22</f>
        <v>7854.8924000000015</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7854.8924000000015</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6" width="6.6640625" bestFit="1" customWidth="1"/>
    <col min="7" max="7" width="10"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151</v>
      </c>
      <c r="E30" t="s">
        <v>149</v>
      </c>
      <c r="F30" t="s">
        <v>150</v>
      </c>
      <c r="G30" t="s">
        <v>297</v>
      </c>
      <c r="I30" s="20"/>
      <c r="J30" s="20"/>
      <c r="K30" s="21"/>
      <c r="L30" s="21"/>
      <c r="M30" s="22"/>
      <c r="N30" s="22"/>
      <c r="O30" s="11"/>
      <c r="P30" s="22"/>
      <c r="Q30" s="20"/>
      <c r="R30" s="20"/>
      <c r="S30" s="44"/>
    </row>
    <row r="31" spans="1:19" outlineLevel="1" x14ac:dyDescent="0.2">
      <c r="A31" s="19" t="s">
        <v>300</v>
      </c>
      <c r="B31" s="337"/>
      <c r="C31" s="337"/>
      <c r="D31" s="337"/>
      <c r="E31" s="337"/>
      <c r="F31" s="337"/>
      <c r="G31" s="337"/>
      <c r="I31" s="20"/>
      <c r="J31" s="20"/>
      <c r="K31" s="21"/>
      <c r="L31" s="21"/>
      <c r="M31" s="22"/>
      <c r="N31" s="22"/>
      <c r="O31" s="11"/>
      <c r="P31" s="22"/>
      <c r="Q31" s="20"/>
      <c r="R31" s="20"/>
      <c r="S31" s="44"/>
    </row>
    <row r="32" spans="1:19" outlineLevel="1" x14ac:dyDescent="0.2">
      <c r="A32" s="203" t="s">
        <v>300</v>
      </c>
      <c r="B32" s="337"/>
      <c r="C32" s="337"/>
      <c r="D32" s="337"/>
      <c r="E32" s="337"/>
      <c r="F32" s="337"/>
      <c r="G32" s="337"/>
      <c r="I32" s="20"/>
      <c r="J32" s="20"/>
      <c r="K32" s="21"/>
      <c r="L32" s="21"/>
      <c r="M32" s="22"/>
      <c r="N32" s="22"/>
      <c r="O32" s="11"/>
      <c r="P32" s="22"/>
      <c r="Q32" s="20"/>
      <c r="R32" s="20"/>
      <c r="S32" s="44"/>
    </row>
    <row r="33" spans="1:19" outlineLevel="1" x14ac:dyDescent="0.2">
      <c r="A33" s="19" t="s">
        <v>343</v>
      </c>
      <c r="B33" s="337"/>
      <c r="C33" s="337">
        <v>71.550000000000011</v>
      </c>
      <c r="D33" s="337">
        <v>152.83000000000001</v>
      </c>
      <c r="E33" s="337">
        <v>230.53000000000003</v>
      </c>
      <c r="F33" s="337">
        <v>164.8</v>
      </c>
      <c r="G33" s="337">
        <v>619.71</v>
      </c>
      <c r="I33" s="20"/>
      <c r="J33" s="20"/>
      <c r="K33" s="21"/>
      <c r="L33" s="21"/>
      <c r="M33" s="22"/>
      <c r="N33" s="22"/>
      <c r="O33" s="11"/>
      <c r="P33" s="22"/>
      <c r="Q33" s="20"/>
      <c r="R33" s="20"/>
      <c r="S33" s="44"/>
    </row>
    <row r="34" spans="1:19" outlineLevel="1" x14ac:dyDescent="0.2">
      <c r="A34" s="203" t="s">
        <v>63</v>
      </c>
      <c r="B34" s="337"/>
      <c r="C34" s="337">
        <v>71.550000000000011</v>
      </c>
      <c r="D34" s="337">
        <v>152.83000000000001</v>
      </c>
      <c r="E34" s="337">
        <v>230.53000000000003</v>
      </c>
      <c r="F34" s="337">
        <v>164.8</v>
      </c>
      <c r="G34" s="337">
        <v>619.71</v>
      </c>
      <c r="I34" s="20"/>
      <c r="J34" s="20"/>
      <c r="K34" s="21"/>
      <c r="L34" s="21"/>
      <c r="M34" s="22"/>
      <c r="N34" s="22"/>
      <c r="O34" s="11"/>
      <c r="P34" s="22"/>
      <c r="Q34" s="20"/>
      <c r="R34" s="20"/>
      <c r="S34" s="44"/>
    </row>
    <row r="35" spans="1:19" outlineLevel="1" x14ac:dyDescent="0.2">
      <c r="A35" s="19" t="s">
        <v>381</v>
      </c>
      <c r="B35" s="337"/>
      <c r="C35" s="337">
        <v>204.07999999999998</v>
      </c>
      <c r="D35" s="337">
        <v>219.74</v>
      </c>
      <c r="E35" s="337">
        <v>319.61</v>
      </c>
      <c r="F35" s="337">
        <v>261.87</v>
      </c>
      <c r="G35" s="337">
        <v>1005.3000000000001</v>
      </c>
      <c r="I35" s="20"/>
      <c r="J35" s="20"/>
      <c r="K35" s="21"/>
      <c r="L35" s="21"/>
      <c r="M35" s="22"/>
      <c r="N35" s="22"/>
      <c r="O35" s="11"/>
      <c r="P35" s="22"/>
      <c r="Q35" s="20"/>
      <c r="R35" s="20"/>
      <c r="S35" s="44"/>
    </row>
    <row r="36" spans="1:19" outlineLevel="1" x14ac:dyDescent="0.2">
      <c r="A36" s="203" t="s">
        <v>63</v>
      </c>
      <c r="B36" s="337"/>
      <c r="C36" s="337">
        <v>204.07999999999998</v>
      </c>
      <c r="D36" s="337">
        <v>219.74</v>
      </c>
      <c r="E36" s="337">
        <v>319.61</v>
      </c>
      <c r="F36" s="337">
        <v>261.87</v>
      </c>
      <c r="G36" s="337">
        <v>1005.3000000000001</v>
      </c>
      <c r="H36" s="12"/>
      <c r="I36" s="20"/>
      <c r="J36" s="20"/>
      <c r="K36" s="21"/>
      <c r="L36" s="21"/>
      <c r="M36" s="22"/>
      <c r="N36" s="22"/>
      <c r="O36" s="11"/>
      <c r="P36" s="22"/>
      <c r="Q36" s="20"/>
      <c r="R36" s="20"/>
      <c r="S36" s="44"/>
    </row>
    <row r="37" spans="1:19" outlineLevel="1" x14ac:dyDescent="0.2">
      <c r="A37" s="19" t="s">
        <v>365</v>
      </c>
      <c r="B37" s="337"/>
      <c r="C37" s="337">
        <v>337.42</v>
      </c>
      <c r="D37" s="337">
        <v>315.65000000000003</v>
      </c>
      <c r="E37" s="337">
        <v>334.53999999999996</v>
      </c>
      <c r="F37" s="337">
        <v>318.31</v>
      </c>
      <c r="G37" s="337">
        <v>1305.92</v>
      </c>
      <c r="H37" s="12"/>
      <c r="I37" s="20"/>
      <c r="J37" s="20"/>
      <c r="K37" s="21"/>
      <c r="L37" s="21"/>
      <c r="M37" s="22"/>
      <c r="N37" s="22"/>
      <c r="O37" s="11"/>
      <c r="P37" s="22"/>
      <c r="Q37" s="20"/>
      <c r="R37" s="20"/>
      <c r="S37" s="44"/>
    </row>
    <row r="38" spans="1:19" outlineLevel="1" x14ac:dyDescent="0.2">
      <c r="A38" s="203" t="s">
        <v>63</v>
      </c>
      <c r="B38" s="337"/>
      <c r="C38" s="337">
        <v>337.42</v>
      </c>
      <c r="D38" s="337">
        <v>315.65000000000003</v>
      </c>
      <c r="E38" s="337">
        <v>334.53999999999996</v>
      </c>
      <c r="F38" s="337">
        <v>318.31</v>
      </c>
      <c r="G38" s="337">
        <v>1305.92</v>
      </c>
      <c r="H38" s="12"/>
      <c r="I38" s="20"/>
      <c r="J38" s="20"/>
      <c r="K38" s="21"/>
      <c r="L38" s="21"/>
      <c r="M38" s="22"/>
      <c r="N38" s="22"/>
      <c r="O38" s="11"/>
      <c r="P38" s="22"/>
      <c r="Q38" s="20"/>
      <c r="R38" s="20"/>
      <c r="S38" s="44"/>
    </row>
    <row r="39" spans="1:19" outlineLevel="1" x14ac:dyDescent="0.2">
      <c r="A39" s="19" t="s">
        <v>297</v>
      </c>
      <c r="B39" s="337"/>
      <c r="C39" s="337">
        <v>613.04999999999995</v>
      </c>
      <c r="D39" s="337">
        <v>688.22</v>
      </c>
      <c r="E39" s="337">
        <v>884.68000000000006</v>
      </c>
      <c r="F39" s="337">
        <v>744.98</v>
      </c>
      <c r="G39" s="337">
        <v>2930.9300000000003</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031"/>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45910.357465277775</v>
      </c>
      <c r="B927" t="s">
        <v>1431</v>
      </c>
      <c r="C927" t="s">
        <v>28</v>
      </c>
      <c r="D927" t="s">
        <v>1068</v>
      </c>
    </row>
    <row r="928" spans="1:5" x14ac:dyDescent="0.2">
      <c r="A928" s="269">
        <v>45910.357476851852</v>
      </c>
      <c r="B928" t="s">
        <v>1431</v>
      </c>
      <c r="C928" t="s">
        <v>28</v>
      </c>
      <c r="D928" t="s">
        <v>1068</v>
      </c>
    </row>
    <row r="929" spans="1:5" x14ac:dyDescent="0.2">
      <c r="A929" s="269">
        <v>45910.357858796298</v>
      </c>
      <c r="B929" t="s">
        <v>1431</v>
      </c>
      <c r="C929" t="s">
        <v>611</v>
      </c>
      <c r="D929" t="s">
        <v>1432</v>
      </c>
      <c r="E929" t="s">
        <v>10</v>
      </c>
    </row>
    <row r="930" spans="1:5" x14ac:dyDescent="0.2">
      <c r="A930" s="269">
        <v>45910.359444444446</v>
      </c>
      <c r="B930" t="s">
        <v>1431</v>
      </c>
      <c r="C930" t="s">
        <v>27</v>
      </c>
      <c r="D930" t="s">
        <v>1433</v>
      </c>
    </row>
    <row r="931" spans="1:5" x14ac:dyDescent="0.2">
      <c r="A931" s="269">
        <v>45910.359525462962</v>
      </c>
      <c r="B931" t="s">
        <v>1431</v>
      </c>
      <c r="C931" t="s">
        <v>27</v>
      </c>
      <c r="D931" t="s">
        <v>950</v>
      </c>
      <c r="E931" t="s">
        <v>89</v>
      </c>
    </row>
    <row r="932" spans="1:5" x14ac:dyDescent="0.2">
      <c r="A932" s="269">
        <v>45910.359560185185</v>
      </c>
      <c r="B932" t="s">
        <v>1431</v>
      </c>
      <c r="C932" t="s">
        <v>27</v>
      </c>
      <c r="D932" t="s">
        <v>950</v>
      </c>
    </row>
    <row r="933" spans="1:5" x14ac:dyDescent="0.2">
      <c r="A933" s="269">
        <v>45910.3596875</v>
      </c>
      <c r="B933" t="s">
        <v>1431</v>
      </c>
      <c r="C933" t="s">
        <v>27</v>
      </c>
      <c r="D933" t="s">
        <v>1434</v>
      </c>
      <c r="E933" t="s">
        <v>298</v>
      </c>
    </row>
    <row r="934" spans="1:5" x14ac:dyDescent="0.2">
      <c r="A934" s="269">
        <v>45910.35974537037</v>
      </c>
      <c r="B934" t="s">
        <v>1431</v>
      </c>
      <c r="C934" t="s">
        <v>27</v>
      </c>
      <c r="D934" t="s">
        <v>1435</v>
      </c>
      <c r="E934" t="s">
        <v>89</v>
      </c>
    </row>
    <row r="935" spans="1:5" x14ac:dyDescent="0.2">
      <c r="A935" s="269">
        <v>45910.359780092593</v>
      </c>
      <c r="B935" t="s">
        <v>1431</v>
      </c>
      <c r="C935" t="s">
        <v>27</v>
      </c>
      <c r="D935" t="s">
        <v>1010</v>
      </c>
    </row>
    <row r="936" spans="1:5" x14ac:dyDescent="0.2">
      <c r="A936" s="269">
        <v>45910.359861111108</v>
      </c>
      <c r="B936" t="s">
        <v>1431</v>
      </c>
      <c r="C936" t="s">
        <v>27</v>
      </c>
      <c r="D936" t="s">
        <v>658</v>
      </c>
    </row>
    <row r="937" spans="1:5" x14ac:dyDescent="0.2">
      <c r="A937" s="269">
        <v>45910.360555555555</v>
      </c>
      <c r="B937" t="s">
        <v>1431</v>
      </c>
      <c r="C937" t="s">
        <v>27</v>
      </c>
      <c r="D937" t="s">
        <v>1434</v>
      </c>
    </row>
    <row r="938" spans="1:5" x14ac:dyDescent="0.2">
      <c r="A938" s="269">
        <v>45910.360578703701</v>
      </c>
      <c r="B938" t="s">
        <v>1431</v>
      </c>
      <c r="C938" t="s">
        <v>27</v>
      </c>
      <c r="D938" t="s">
        <v>1435</v>
      </c>
    </row>
    <row r="939" spans="1:5" x14ac:dyDescent="0.2">
      <c r="A939" s="269">
        <v>45910.385277777779</v>
      </c>
      <c r="B939" t="s">
        <v>1431</v>
      </c>
      <c r="C939" t="s">
        <v>103</v>
      </c>
      <c r="D939" t="s">
        <v>1434</v>
      </c>
      <c r="E939" t="s">
        <v>338</v>
      </c>
    </row>
    <row r="940" spans="1:5" x14ac:dyDescent="0.2">
      <c r="A940" s="269">
        <v>45910.385497685187</v>
      </c>
      <c r="B940" t="s">
        <v>1431</v>
      </c>
      <c r="C940" t="s">
        <v>103</v>
      </c>
      <c r="D940" t="s">
        <v>983</v>
      </c>
      <c r="E940">
        <v>24150</v>
      </c>
    </row>
    <row r="941" spans="1:5" x14ac:dyDescent="0.2">
      <c r="A941" s="269">
        <v>45910.385636574072</v>
      </c>
      <c r="B941" t="s">
        <v>1431</v>
      </c>
      <c r="C941" t="s">
        <v>103</v>
      </c>
      <c r="D941" t="s">
        <v>1436</v>
      </c>
      <c r="E941">
        <v>2494087.65</v>
      </c>
    </row>
    <row r="942" spans="1:5" x14ac:dyDescent="0.2">
      <c r="A942" s="269">
        <v>45910.385879629626</v>
      </c>
      <c r="B942" t="s">
        <v>1431</v>
      </c>
      <c r="C942" t="s">
        <v>103</v>
      </c>
      <c r="D942" t="s">
        <v>1436</v>
      </c>
      <c r="E942">
        <v>249408.75</v>
      </c>
    </row>
    <row r="943" spans="1:5" x14ac:dyDescent="0.2">
      <c r="A943" s="269">
        <v>45910.386018518519</v>
      </c>
      <c r="B943" t="s">
        <v>1431</v>
      </c>
      <c r="C943" t="s">
        <v>103</v>
      </c>
      <c r="D943" t="s">
        <v>1436</v>
      </c>
      <c r="E943">
        <v>249408.65</v>
      </c>
    </row>
    <row r="944" spans="1:5" x14ac:dyDescent="0.2">
      <c r="A944" s="269">
        <v>45910.386203703703</v>
      </c>
      <c r="B944" t="s">
        <v>1431</v>
      </c>
      <c r="C944" t="s">
        <v>103</v>
      </c>
      <c r="D944" t="s">
        <v>1191</v>
      </c>
      <c r="E944" t="s">
        <v>89</v>
      </c>
    </row>
    <row r="945" spans="1:5" x14ac:dyDescent="0.2">
      <c r="A945" s="269">
        <v>45910.386377314811</v>
      </c>
      <c r="B945" t="s">
        <v>1431</v>
      </c>
      <c r="C945" t="s">
        <v>103</v>
      </c>
      <c r="D945" t="s">
        <v>1066</v>
      </c>
      <c r="E945">
        <v>25550</v>
      </c>
    </row>
    <row r="946" spans="1:5" x14ac:dyDescent="0.2">
      <c r="A946" s="269">
        <v>45910.38652777778</v>
      </c>
      <c r="B946" t="s">
        <v>1431</v>
      </c>
      <c r="C946" t="s">
        <v>103</v>
      </c>
      <c r="D946" t="s">
        <v>973</v>
      </c>
      <c r="E946">
        <v>237233.63</v>
      </c>
    </row>
    <row r="947" spans="1:5" x14ac:dyDescent="0.2">
      <c r="A947" s="269">
        <v>45910.386712962965</v>
      </c>
      <c r="B947" t="s">
        <v>1431</v>
      </c>
      <c r="C947" t="s">
        <v>103</v>
      </c>
      <c r="D947" t="s">
        <v>795</v>
      </c>
      <c r="E947" t="s">
        <v>362</v>
      </c>
    </row>
    <row r="948" spans="1:5" x14ac:dyDescent="0.2">
      <c r="A948" s="269">
        <v>45910.386805555558</v>
      </c>
      <c r="B948" t="s">
        <v>1431</v>
      </c>
      <c r="C948" t="s">
        <v>103</v>
      </c>
      <c r="D948" t="s">
        <v>994</v>
      </c>
      <c r="E948">
        <v>23800</v>
      </c>
    </row>
    <row r="949" spans="1:5" x14ac:dyDescent="0.2">
      <c r="A949" s="269">
        <v>45910.386932870373</v>
      </c>
      <c r="B949" t="s">
        <v>1431</v>
      </c>
      <c r="C949" t="s">
        <v>103</v>
      </c>
      <c r="D949" t="s">
        <v>976</v>
      </c>
      <c r="E949">
        <v>235031.95</v>
      </c>
    </row>
    <row r="950" spans="1:5" x14ac:dyDescent="0.2">
      <c r="A950" s="269">
        <v>45910.387291666666</v>
      </c>
      <c r="B950" t="s">
        <v>1431</v>
      </c>
      <c r="C950" t="s">
        <v>103</v>
      </c>
      <c r="D950" t="s">
        <v>1013</v>
      </c>
      <c r="E950" t="s">
        <v>371</v>
      </c>
    </row>
    <row r="951" spans="1:5" x14ac:dyDescent="0.2">
      <c r="A951" s="269">
        <v>45910.387384259258</v>
      </c>
      <c r="B951" t="s">
        <v>1431</v>
      </c>
      <c r="C951" t="s">
        <v>103</v>
      </c>
      <c r="D951" t="s">
        <v>1015</v>
      </c>
      <c r="E951">
        <v>25900</v>
      </c>
    </row>
    <row r="952" spans="1:5" x14ac:dyDescent="0.2">
      <c r="A952" s="269">
        <v>45910.387499999997</v>
      </c>
      <c r="B952" t="s">
        <v>1431</v>
      </c>
      <c r="C952" t="s">
        <v>103</v>
      </c>
      <c r="D952" t="s">
        <v>977</v>
      </c>
      <c r="E952">
        <v>255131.72</v>
      </c>
    </row>
    <row r="953" spans="1:5" x14ac:dyDescent="0.2">
      <c r="A953" s="269">
        <v>45910.387557870374</v>
      </c>
      <c r="B953" t="s">
        <v>1431</v>
      </c>
      <c r="C953" t="s">
        <v>103</v>
      </c>
      <c r="D953" t="s">
        <v>747</v>
      </c>
      <c r="E953" t="s">
        <v>379</v>
      </c>
    </row>
    <row r="954" spans="1:5" x14ac:dyDescent="0.2">
      <c r="A954" s="269">
        <v>45910.387719907405</v>
      </c>
      <c r="B954" t="s">
        <v>1431</v>
      </c>
      <c r="C954" t="s">
        <v>103</v>
      </c>
      <c r="D954" t="s">
        <v>1018</v>
      </c>
      <c r="E954">
        <v>25250</v>
      </c>
    </row>
    <row r="955" spans="1:5" x14ac:dyDescent="0.2">
      <c r="A955" s="269">
        <v>45910.387835648151</v>
      </c>
      <c r="B955" t="s">
        <v>1431</v>
      </c>
      <c r="C955" t="s">
        <v>103</v>
      </c>
      <c r="D955" t="s">
        <v>923</v>
      </c>
      <c r="E955">
        <v>270822.73</v>
      </c>
    </row>
    <row r="956" spans="1:5" x14ac:dyDescent="0.2">
      <c r="A956" s="269">
        <v>45910.38790509259</v>
      </c>
      <c r="B956" t="s">
        <v>1431</v>
      </c>
      <c r="C956" t="s">
        <v>103</v>
      </c>
      <c r="D956" t="s">
        <v>1437</v>
      </c>
      <c r="E956" t="s">
        <v>386</v>
      </c>
    </row>
    <row r="957" spans="1:5" x14ac:dyDescent="0.2">
      <c r="A957" s="269">
        <v>45910.388067129628</v>
      </c>
      <c r="B957" t="s">
        <v>1431</v>
      </c>
      <c r="C957" t="s">
        <v>103</v>
      </c>
      <c r="D957" t="s">
        <v>1068</v>
      </c>
      <c r="E957">
        <v>28350</v>
      </c>
    </row>
    <row r="958" spans="1:5" x14ac:dyDescent="0.2">
      <c r="A958" s="269">
        <v>45910.388275462959</v>
      </c>
      <c r="B958" t="s">
        <v>1431</v>
      </c>
      <c r="C958" t="s">
        <v>103</v>
      </c>
      <c r="D958" t="s">
        <v>918</v>
      </c>
      <c r="E958">
        <v>341161.87</v>
      </c>
    </row>
    <row r="959" spans="1:5" x14ac:dyDescent="0.2">
      <c r="A959" s="269">
        <v>45910.388437499998</v>
      </c>
      <c r="B959" t="s">
        <v>1431</v>
      </c>
      <c r="C959" t="s">
        <v>103</v>
      </c>
      <c r="D959" t="s">
        <v>1438</v>
      </c>
      <c r="E959" t="s">
        <v>390</v>
      </c>
    </row>
    <row r="960" spans="1:5" x14ac:dyDescent="0.2">
      <c r="A960" s="269">
        <v>45910.388506944444</v>
      </c>
      <c r="B960" t="s">
        <v>1431</v>
      </c>
      <c r="C960" t="s">
        <v>103</v>
      </c>
      <c r="D960" t="s">
        <v>1069</v>
      </c>
      <c r="E960">
        <v>25900</v>
      </c>
    </row>
    <row r="961" spans="1:5" x14ac:dyDescent="0.2">
      <c r="A961" s="269">
        <v>45910.388622685183</v>
      </c>
      <c r="B961" t="s">
        <v>1431</v>
      </c>
      <c r="C961" t="s">
        <v>103</v>
      </c>
      <c r="D961" t="s">
        <v>924</v>
      </c>
      <c r="E961">
        <v>283157.65000000002</v>
      </c>
    </row>
    <row r="962" spans="1:5" x14ac:dyDescent="0.2">
      <c r="A962" s="269">
        <v>45910.388668981483</v>
      </c>
      <c r="B962" t="s">
        <v>1431</v>
      </c>
      <c r="C962" t="s">
        <v>103</v>
      </c>
      <c r="D962" t="s">
        <v>1439</v>
      </c>
      <c r="E962" t="s">
        <v>41</v>
      </c>
    </row>
    <row r="963" spans="1:5" x14ac:dyDescent="0.2">
      <c r="A963" s="269">
        <v>45910.388819444444</v>
      </c>
      <c r="B963" t="s">
        <v>1431</v>
      </c>
      <c r="C963" t="s">
        <v>103</v>
      </c>
      <c r="D963" t="s">
        <v>1439</v>
      </c>
      <c r="E963" t="s">
        <v>41</v>
      </c>
    </row>
    <row r="964" spans="1:5" x14ac:dyDescent="0.2">
      <c r="A964" s="269">
        <v>45910.388819444444</v>
      </c>
      <c r="B964" t="s">
        <v>1431</v>
      </c>
      <c r="C964" t="s">
        <v>103</v>
      </c>
      <c r="D964" t="s">
        <v>1439</v>
      </c>
      <c r="E964" t="s">
        <v>41</v>
      </c>
    </row>
    <row r="965" spans="1:5" x14ac:dyDescent="0.2">
      <c r="A965" s="269">
        <v>45910.388877314814</v>
      </c>
      <c r="B965" t="s">
        <v>1431</v>
      </c>
      <c r="C965" t="s">
        <v>103</v>
      </c>
      <c r="D965" t="s">
        <v>1440</v>
      </c>
      <c r="E965">
        <v>27650</v>
      </c>
    </row>
    <row r="966" spans="1:5" x14ac:dyDescent="0.2">
      <c r="A966" s="269">
        <v>45910.388993055552</v>
      </c>
      <c r="B966" t="s">
        <v>1431</v>
      </c>
      <c r="C966" t="s">
        <v>103</v>
      </c>
      <c r="D966" t="s">
        <v>1441</v>
      </c>
      <c r="E966">
        <v>282032.71999999997</v>
      </c>
    </row>
    <row r="967" spans="1:5" x14ac:dyDescent="0.2">
      <c r="A967" s="269">
        <v>45910.389039351852</v>
      </c>
      <c r="B967" t="s">
        <v>1431</v>
      </c>
      <c r="C967" t="s">
        <v>103</v>
      </c>
      <c r="D967" t="s">
        <v>672</v>
      </c>
      <c r="E967" t="s">
        <v>397</v>
      </c>
    </row>
    <row r="968" spans="1:5" x14ac:dyDescent="0.2">
      <c r="A968" s="269">
        <v>45910.389178240737</v>
      </c>
      <c r="B968" t="s">
        <v>1431</v>
      </c>
      <c r="C968" t="s">
        <v>103</v>
      </c>
      <c r="D968" t="s">
        <v>1442</v>
      </c>
      <c r="E968">
        <v>27650</v>
      </c>
    </row>
    <row r="969" spans="1:5" x14ac:dyDescent="0.2">
      <c r="A969" s="269">
        <v>45910.389305555553</v>
      </c>
      <c r="B969" t="s">
        <v>1431</v>
      </c>
      <c r="C969" t="s">
        <v>103</v>
      </c>
      <c r="D969" t="s">
        <v>981</v>
      </c>
      <c r="E969">
        <v>335674.35</v>
      </c>
    </row>
    <row r="970" spans="1:5" x14ac:dyDescent="0.2">
      <c r="A970" s="269">
        <v>45910.389374999999</v>
      </c>
      <c r="B970" t="s">
        <v>1431</v>
      </c>
      <c r="C970" t="s">
        <v>103</v>
      </c>
      <c r="D970" t="s">
        <v>674</v>
      </c>
      <c r="E970" t="s">
        <v>400</v>
      </c>
    </row>
    <row r="971" spans="1:5" x14ac:dyDescent="0.2">
      <c r="A971" s="269">
        <v>45910.389513888891</v>
      </c>
      <c r="B971" t="s">
        <v>1431</v>
      </c>
      <c r="C971" t="s">
        <v>103</v>
      </c>
      <c r="D971" t="s">
        <v>1443</v>
      </c>
      <c r="E971">
        <v>27650</v>
      </c>
    </row>
    <row r="972" spans="1:5" x14ac:dyDescent="0.2">
      <c r="A972" s="269">
        <v>45910.389606481483</v>
      </c>
      <c r="B972" t="s">
        <v>1431</v>
      </c>
      <c r="C972" t="s">
        <v>103</v>
      </c>
      <c r="D972" t="s">
        <v>1444</v>
      </c>
      <c r="E972">
        <v>301111.48</v>
      </c>
    </row>
    <row r="973" spans="1:5" x14ac:dyDescent="0.2">
      <c r="A973" s="269">
        <v>45910.389768518522</v>
      </c>
      <c r="B973" t="s">
        <v>1431</v>
      </c>
      <c r="C973" t="s">
        <v>103</v>
      </c>
      <c r="D973" t="s">
        <v>675</v>
      </c>
      <c r="E973" t="s">
        <v>404</v>
      </c>
    </row>
    <row r="974" spans="1:5" x14ac:dyDescent="0.2">
      <c r="A974" s="269">
        <v>45910.390023148146</v>
      </c>
      <c r="B974" t="s">
        <v>1431</v>
      </c>
      <c r="C974" t="s">
        <v>103</v>
      </c>
      <c r="D974" t="s">
        <v>1445</v>
      </c>
      <c r="E974">
        <v>28000</v>
      </c>
    </row>
    <row r="975" spans="1:5" x14ac:dyDescent="0.2">
      <c r="A975" s="269">
        <v>45910.390115740738</v>
      </c>
      <c r="B975" t="s">
        <v>1431</v>
      </c>
      <c r="C975" t="s">
        <v>103</v>
      </c>
      <c r="D975" t="s">
        <v>1446</v>
      </c>
      <c r="E975">
        <v>353099.66</v>
      </c>
    </row>
    <row r="976" spans="1:5" x14ac:dyDescent="0.2">
      <c r="A976" s="269">
        <v>45910.390173611115</v>
      </c>
      <c r="B976" t="s">
        <v>1431</v>
      </c>
      <c r="C976" t="s">
        <v>103</v>
      </c>
      <c r="D976" t="s">
        <v>676</v>
      </c>
      <c r="E976" t="s">
        <v>407</v>
      </c>
    </row>
    <row r="977" spans="1:5" x14ac:dyDescent="0.2">
      <c r="A977" s="269">
        <v>45910.390405092592</v>
      </c>
      <c r="B977" t="s">
        <v>1431</v>
      </c>
      <c r="C977" t="s">
        <v>103</v>
      </c>
      <c r="D977" t="s">
        <v>1447</v>
      </c>
      <c r="E977">
        <v>26950</v>
      </c>
    </row>
    <row r="978" spans="1:5" x14ac:dyDescent="0.2">
      <c r="A978" s="269">
        <v>45910.3905787037</v>
      </c>
      <c r="B978" t="s">
        <v>1431</v>
      </c>
      <c r="C978" t="s">
        <v>103</v>
      </c>
      <c r="D978" t="s">
        <v>1448</v>
      </c>
      <c r="E978">
        <v>322189.03000000003</v>
      </c>
    </row>
    <row r="979" spans="1:5" x14ac:dyDescent="0.2">
      <c r="A979" s="269">
        <v>45910.390821759262</v>
      </c>
      <c r="B979" t="s">
        <v>1431</v>
      </c>
      <c r="C979" t="s">
        <v>103</v>
      </c>
      <c r="D979" t="s">
        <v>937</v>
      </c>
      <c r="E979" t="s">
        <v>486</v>
      </c>
    </row>
    <row r="980" spans="1:5" x14ac:dyDescent="0.2">
      <c r="A980" s="269">
        <v>45910.390914351854</v>
      </c>
      <c r="B980" t="s">
        <v>1431</v>
      </c>
      <c r="C980" t="s">
        <v>103</v>
      </c>
      <c r="D980" t="s">
        <v>926</v>
      </c>
      <c r="E980" t="s">
        <v>486</v>
      </c>
    </row>
    <row r="981" spans="1:5" x14ac:dyDescent="0.2">
      <c r="A981" s="269">
        <v>45910.391041666669</v>
      </c>
      <c r="B981" t="s">
        <v>1431</v>
      </c>
      <c r="C981" t="s">
        <v>103</v>
      </c>
      <c r="D981" t="s">
        <v>874</v>
      </c>
      <c r="E981" t="s">
        <v>486</v>
      </c>
    </row>
    <row r="982" spans="1:5" x14ac:dyDescent="0.2">
      <c r="A982" s="269">
        <v>45910.391122685185</v>
      </c>
      <c r="B982" t="s">
        <v>1431</v>
      </c>
      <c r="C982" t="s">
        <v>103</v>
      </c>
      <c r="D982" t="s">
        <v>1449</v>
      </c>
      <c r="E982" t="s">
        <v>486</v>
      </c>
    </row>
    <row r="983" spans="1:5" x14ac:dyDescent="0.2">
      <c r="A983" s="269">
        <v>45910.391215277778</v>
      </c>
      <c r="B983" t="s">
        <v>1431</v>
      </c>
      <c r="C983" t="s">
        <v>103</v>
      </c>
      <c r="D983" t="s">
        <v>1450</v>
      </c>
      <c r="E983" t="s">
        <v>486</v>
      </c>
    </row>
    <row r="984" spans="1:5" x14ac:dyDescent="0.2">
      <c r="A984" s="269">
        <v>45910.391296296293</v>
      </c>
      <c r="B984" t="s">
        <v>1431</v>
      </c>
      <c r="C984" t="s">
        <v>103</v>
      </c>
      <c r="D984" t="s">
        <v>1451</v>
      </c>
      <c r="E984" t="s">
        <v>486</v>
      </c>
    </row>
    <row r="985" spans="1:5" x14ac:dyDescent="0.2">
      <c r="A985" s="269">
        <v>45910.391365740739</v>
      </c>
      <c r="B985" t="s">
        <v>1431</v>
      </c>
      <c r="C985" t="s">
        <v>103</v>
      </c>
      <c r="D985" t="s">
        <v>1452</v>
      </c>
      <c r="E985" t="s">
        <v>486</v>
      </c>
    </row>
    <row r="986" spans="1:5" x14ac:dyDescent="0.2">
      <c r="A986" s="269">
        <v>45910.391469907408</v>
      </c>
      <c r="B986" t="s">
        <v>1431</v>
      </c>
      <c r="C986" t="s">
        <v>103</v>
      </c>
      <c r="D986" t="s">
        <v>1453</v>
      </c>
      <c r="E986" t="s">
        <v>486</v>
      </c>
    </row>
    <row r="987" spans="1:5" x14ac:dyDescent="0.2">
      <c r="A987" s="269">
        <v>45910.391562500001</v>
      </c>
      <c r="B987" t="s">
        <v>1431</v>
      </c>
      <c r="C987" t="s">
        <v>103</v>
      </c>
      <c r="D987" t="s">
        <v>1454</v>
      </c>
      <c r="E987" t="s">
        <v>486</v>
      </c>
    </row>
    <row r="988" spans="1:5" x14ac:dyDescent="0.2">
      <c r="A988" s="269">
        <v>45910.391655092593</v>
      </c>
      <c r="B988" t="s">
        <v>1431</v>
      </c>
      <c r="C988" t="s">
        <v>103</v>
      </c>
      <c r="D988" t="s">
        <v>1455</v>
      </c>
      <c r="E988" t="s">
        <v>486</v>
      </c>
    </row>
    <row r="989" spans="1:5" x14ac:dyDescent="0.2">
      <c r="A989" s="269">
        <v>45910.391770833332</v>
      </c>
      <c r="B989" t="s">
        <v>1431</v>
      </c>
      <c r="C989" t="s">
        <v>103</v>
      </c>
      <c r="D989" t="s">
        <v>1456</v>
      </c>
      <c r="E989" t="s">
        <v>486</v>
      </c>
    </row>
    <row r="990" spans="1:5" x14ac:dyDescent="0.2">
      <c r="A990" s="269">
        <v>45910.391863425924</v>
      </c>
      <c r="B990" t="s">
        <v>1431</v>
      </c>
      <c r="C990" t="s">
        <v>103</v>
      </c>
      <c r="D990" t="s">
        <v>1457</v>
      </c>
      <c r="E990" t="s">
        <v>486</v>
      </c>
    </row>
    <row r="991" spans="1:5" x14ac:dyDescent="0.2">
      <c r="A991" s="269">
        <v>45910.391909722224</v>
      </c>
      <c r="B991" t="s">
        <v>1431</v>
      </c>
      <c r="C991" t="s">
        <v>103</v>
      </c>
      <c r="D991" t="s">
        <v>658</v>
      </c>
    </row>
    <row r="992" spans="1:5" x14ac:dyDescent="0.2">
      <c r="A992" s="269">
        <v>45910.392523148148</v>
      </c>
      <c r="B992" t="s">
        <v>1431</v>
      </c>
      <c r="C992" t="s">
        <v>103</v>
      </c>
      <c r="D992" t="s">
        <v>658</v>
      </c>
    </row>
    <row r="993" spans="1:4" x14ac:dyDescent="0.2">
      <c r="A993" s="269">
        <v>45910.392557870371</v>
      </c>
      <c r="B993" t="s">
        <v>1431</v>
      </c>
      <c r="C993" t="s">
        <v>103</v>
      </c>
      <c r="D993" t="s">
        <v>658</v>
      </c>
    </row>
    <row r="994" spans="1:4" x14ac:dyDescent="0.2">
      <c r="A994" s="269">
        <v>45910.392581018517</v>
      </c>
      <c r="B994" t="s">
        <v>1431</v>
      </c>
      <c r="C994" t="s">
        <v>103</v>
      </c>
      <c r="D994" t="s">
        <v>658</v>
      </c>
    </row>
    <row r="995" spans="1:4" x14ac:dyDescent="0.2">
      <c r="A995" s="269">
        <v>45910.392592592594</v>
      </c>
      <c r="B995" t="s">
        <v>1431</v>
      </c>
      <c r="C995" t="s">
        <v>103</v>
      </c>
      <c r="D995" t="s">
        <v>658</v>
      </c>
    </row>
    <row r="996" spans="1:4" x14ac:dyDescent="0.2">
      <c r="A996" s="269">
        <v>45910.392604166664</v>
      </c>
      <c r="B996" t="s">
        <v>1431</v>
      </c>
      <c r="C996" t="s">
        <v>103</v>
      </c>
      <c r="D996" t="s">
        <v>658</v>
      </c>
    </row>
    <row r="997" spans="1:4" x14ac:dyDescent="0.2">
      <c r="A997" s="269">
        <v>45910.39261574074</v>
      </c>
      <c r="B997" t="s">
        <v>1431</v>
      </c>
      <c r="C997" t="s">
        <v>103</v>
      </c>
      <c r="D997" t="s">
        <v>658</v>
      </c>
    </row>
    <row r="998" spans="1:4" x14ac:dyDescent="0.2">
      <c r="A998" s="269">
        <v>45910.392627314817</v>
      </c>
      <c r="B998" t="s">
        <v>1431</v>
      </c>
      <c r="C998" t="s">
        <v>103</v>
      </c>
      <c r="D998" t="s">
        <v>658</v>
      </c>
    </row>
    <row r="999" spans="1:4" x14ac:dyDescent="0.2">
      <c r="A999" s="269">
        <v>45910.392638888887</v>
      </c>
      <c r="B999" t="s">
        <v>1431</v>
      </c>
      <c r="C999" t="s">
        <v>103</v>
      </c>
      <c r="D999" t="s">
        <v>658</v>
      </c>
    </row>
    <row r="1000" spans="1:4" x14ac:dyDescent="0.2">
      <c r="A1000" s="269">
        <v>45910.392650462964</v>
      </c>
      <c r="B1000" t="s">
        <v>1431</v>
      </c>
      <c r="C1000" t="s">
        <v>103</v>
      </c>
      <c r="D1000" t="s">
        <v>658</v>
      </c>
    </row>
    <row r="1001" spans="1:4" x14ac:dyDescent="0.2">
      <c r="A1001" s="269">
        <v>45910.392685185187</v>
      </c>
      <c r="B1001" t="s">
        <v>1431</v>
      </c>
      <c r="C1001" t="s">
        <v>103</v>
      </c>
      <c r="D1001" t="s">
        <v>658</v>
      </c>
    </row>
    <row r="1002" spans="1:4" x14ac:dyDescent="0.2">
      <c r="A1002" s="269">
        <v>45910.392881944441</v>
      </c>
      <c r="B1002" t="s">
        <v>1431</v>
      </c>
      <c r="C1002" t="s">
        <v>2</v>
      </c>
      <c r="D1002" t="s">
        <v>1458</v>
      </c>
    </row>
    <row r="1003" spans="1:4" x14ac:dyDescent="0.2">
      <c r="A1003" s="269">
        <v>45910.393449074072</v>
      </c>
      <c r="B1003" t="s">
        <v>1431</v>
      </c>
      <c r="C1003" t="s">
        <v>2</v>
      </c>
      <c r="D1003" t="s">
        <v>1458</v>
      </c>
    </row>
    <row r="1004" spans="1:4" x14ac:dyDescent="0.2">
      <c r="A1004" s="269">
        <v>45910.393449074072</v>
      </c>
      <c r="B1004" t="s">
        <v>1431</v>
      </c>
      <c r="C1004" t="s">
        <v>2</v>
      </c>
      <c r="D1004" t="s">
        <v>1458</v>
      </c>
    </row>
    <row r="1005" spans="1:4" x14ac:dyDescent="0.2">
      <c r="A1005" s="269">
        <v>45910.393449074072</v>
      </c>
      <c r="B1005" t="s">
        <v>1431</v>
      </c>
      <c r="C1005" t="s">
        <v>2</v>
      </c>
      <c r="D1005" t="s">
        <v>1458</v>
      </c>
    </row>
    <row r="1006" spans="1:4" x14ac:dyDescent="0.2">
      <c r="A1006" s="269">
        <v>45910.393449074072</v>
      </c>
      <c r="B1006" t="s">
        <v>1431</v>
      </c>
      <c r="C1006" t="s">
        <v>2</v>
      </c>
      <c r="D1006" t="s">
        <v>1458</v>
      </c>
    </row>
    <row r="1007" spans="1:4" x14ac:dyDescent="0.2">
      <c r="A1007" s="269">
        <v>45910.393449074072</v>
      </c>
      <c r="B1007" t="s">
        <v>1431</v>
      </c>
      <c r="C1007" t="s">
        <v>2</v>
      </c>
      <c r="D1007" t="s">
        <v>1458</v>
      </c>
    </row>
    <row r="1008" spans="1:4" x14ac:dyDescent="0.2">
      <c r="A1008" s="269">
        <v>45910.393449074072</v>
      </c>
      <c r="B1008" t="s">
        <v>1431</v>
      </c>
      <c r="C1008" t="s">
        <v>2</v>
      </c>
      <c r="D1008" t="s">
        <v>1458</v>
      </c>
    </row>
    <row r="1009" spans="1:5" x14ac:dyDescent="0.2">
      <c r="A1009" s="269">
        <v>45910.393541666665</v>
      </c>
      <c r="B1009" t="s">
        <v>1431</v>
      </c>
      <c r="C1009" t="s">
        <v>2</v>
      </c>
      <c r="D1009" t="s">
        <v>1458</v>
      </c>
      <c r="E1009" t="s">
        <v>431</v>
      </c>
    </row>
    <row r="1010" spans="1:5" x14ac:dyDescent="0.2">
      <c r="A1010" s="269">
        <v>45910.393611111111</v>
      </c>
      <c r="B1010" t="s">
        <v>1431</v>
      </c>
      <c r="C1010" t="s">
        <v>2</v>
      </c>
      <c r="D1010" t="s">
        <v>1459</v>
      </c>
      <c r="E1010">
        <v>2024</v>
      </c>
    </row>
    <row r="1011" spans="1:5" x14ac:dyDescent="0.2">
      <c r="A1011" s="269">
        <v>45910.394085648149</v>
      </c>
      <c r="B1011" t="s">
        <v>1431</v>
      </c>
      <c r="C1011" t="s">
        <v>103</v>
      </c>
      <c r="D1011" t="s">
        <v>1460</v>
      </c>
    </row>
    <row r="1012" spans="1:5" x14ac:dyDescent="0.2">
      <c r="A1012" s="269">
        <v>45910.395057870373</v>
      </c>
      <c r="B1012" t="s">
        <v>1431</v>
      </c>
      <c r="C1012" t="s">
        <v>103</v>
      </c>
      <c r="D1012" t="s">
        <v>658</v>
      </c>
      <c r="E1012" t="s">
        <v>1461</v>
      </c>
    </row>
    <row r="1013" spans="1:5" x14ac:dyDescent="0.2">
      <c r="A1013" s="269">
        <v>45910.395844907405</v>
      </c>
      <c r="B1013" t="s">
        <v>1431</v>
      </c>
      <c r="C1013" t="s">
        <v>103</v>
      </c>
      <c r="D1013" t="s">
        <v>658</v>
      </c>
      <c r="E1013" t="s">
        <v>1462</v>
      </c>
    </row>
    <row r="1014" spans="1:5" x14ac:dyDescent="0.2">
      <c r="A1014" s="269">
        <v>45910.395949074074</v>
      </c>
      <c r="B1014" t="s">
        <v>1431</v>
      </c>
      <c r="C1014" t="s">
        <v>103</v>
      </c>
      <c r="D1014" t="s">
        <v>1464</v>
      </c>
      <c r="E1014" t="s">
        <v>1463</v>
      </c>
    </row>
    <row r="1015" spans="1:5" x14ac:dyDescent="0.2">
      <c r="A1015" s="269">
        <v>45910.396354166667</v>
      </c>
      <c r="B1015" t="s">
        <v>1431</v>
      </c>
      <c r="C1015" t="s">
        <v>103</v>
      </c>
      <c r="D1015" t="s">
        <v>1466</v>
      </c>
      <c r="E1015" t="s">
        <v>1465</v>
      </c>
    </row>
    <row r="1016" spans="1:5" x14ac:dyDescent="0.2">
      <c r="A1016" s="269">
        <v>45910.39640046296</v>
      </c>
      <c r="B1016" t="s">
        <v>1431</v>
      </c>
      <c r="C1016" t="s">
        <v>103</v>
      </c>
      <c r="D1016" t="s">
        <v>1468</v>
      </c>
      <c r="E1016" t="s">
        <v>1467</v>
      </c>
    </row>
    <row r="1017" spans="1:5" x14ac:dyDescent="0.2">
      <c r="A1017" s="269">
        <v>45910.396817129629</v>
      </c>
      <c r="B1017" t="s">
        <v>1431</v>
      </c>
      <c r="C1017" t="s">
        <v>103</v>
      </c>
      <c r="D1017" t="s">
        <v>996</v>
      </c>
      <c r="E1017" t="s">
        <v>1469</v>
      </c>
    </row>
    <row r="1018" spans="1:5" x14ac:dyDescent="0.2">
      <c r="A1018" s="269">
        <v>45910.397141203706</v>
      </c>
      <c r="B1018" t="s">
        <v>1431</v>
      </c>
      <c r="C1018" t="s">
        <v>103</v>
      </c>
      <c r="D1018" t="s">
        <v>1471</v>
      </c>
      <c r="E1018" t="s">
        <v>1470</v>
      </c>
    </row>
    <row r="1019" spans="1:5" x14ac:dyDescent="0.2">
      <c r="A1019" s="269">
        <v>45910.397430555553</v>
      </c>
      <c r="B1019" t="s">
        <v>1431</v>
      </c>
      <c r="C1019" t="s">
        <v>103</v>
      </c>
      <c r="D1019" t="s">
        <v>1019</v>
      </c>
      <c r="E1019" t="s">
        <v>1472</v>
      </c>
    </row>
    <row r="1020" spans="1:5" x14ac:dyDescent="0.2">
      <c r="A1020" s="269">
        <v>45910.397731481484</v>
      </c>
      <c r="B1020" t="s">
        <v>1431</v>
      </c>
      <c r="C1020" t="s">
        <v>103</v>
      </c>
      <c r="D1020" t="s">
        <v>1474</v>
      </c>
      <c r="E1020" t="s">
        <v>1473</v>
      </c>
    </row>
    <row r="1021" spans="1:5" x14ac:dyDescent="0.2">
      <c r="A1021" s="269">
        <v>45910.397974537038</v>
      </c>
      <c r="B1021" t="s">
        <v>1431</v>
      </c>
      <c r="C1021" t="s">
        <v>103</v>
      </c>
      <c r="D1021" t="s">
        <v>1476</v>
      </c>
      <c r="E1021" t="s">
        <v>1475</v>
      </c>
    </row>
    <row r="1022" spans="1:5" x14ac:dyDescent="0.2">
      <c r="A1022" s="269">
        <v>45910.398206018515</v>
      </c>
      <c r="B1022" t="s">
        <v>1431</v>
      </c>
      <c r="C1022" t="s">
        <v>103</v>
      </c>
      <c r="D1022" t="s">
        <v>1478</v>
      </c>
      <c r="E1022" t="s">
        <v>1477</v>
      </c>
    </row>
    <row r="1023" spans="1:5" x14ac:dyDescent="0.2">
      <c r="A1023" s="269">
        <v>45910.398449074077</v>
      </c>
      <c r="B1023" t="s">
        <v>1431</v>
      </c>
      <c r="C1023" t="s">
        <v>103</v>
      </c>
      <c r="D1023" t="s">
        <v>1480</v>
      </c>
      <c r="E1023" t="s">
        <v>1479</v>
      </c>
    </row>
    <row r="1024" spans="1:5" x14ac:dyDescent="0.2">
      <c r="A1024" s="269">
        <v>45910.398738425924</v>
      </c>
      <c r="B1024" t="s">
        <v>1431</v>
      </c>
      <c r="C1024" t="s">
        <v>103</v>
      </c>
      <c r="D1024" t="s">
        <v>1482</v>
      </c>
      <c r="E1024" t="s">
        <v>1481</v>
      </c>
    </row>
    <row r="1025" spans="1:5" x14ac:dyDescent="0.2">
      <c r="A1025" s="269">
        <v>45910.398969907408</v>
      </c>
      <c r="B1025" t="s">
        <v>1431</v>
      </c>
      <c r="C1025" t="s">
        <v>103</v>
      </c>
      <c r="D1025" t="s">
        <v>1484</v>
      </c>
      <c r="E1025" t="s">
        <v>1483</v>
      </c>
    </row>
    <row r="1026" spans="1:5" x14ac:dyDescent="0.2">
      <c r="A1026" s="269">
        <v>45910.399328703701</v>
      </c>
      <c r="B1026" t="s">
        <v>1431</v>
      </c>
      <c r="C1026" t="s">
        <v>103</v>
      </c>
      <c r="D1026" t="s">
        <v>1486</v>
      </c>
      <c r="E1026" t="s">
        <v>1485</v>
      </c>
    </row>
    <row r="1027" spans="1:5" x14ac:dyDescent="0.2">
      <c r="A1027" s="269">
        <v>45910.399386574078</v>
      </c>
      <c r="B1027" t="s">
        <v>1431</v>
      </c>
      <c r="C1027" t="s">
        <v>103</v>
      </c>
      <c r="D1027" t="s">
        <v>1486</v>
      </c>
      <c r="E1027" t="s">
        <v>1487</v>
      </c>
    </row>
    <row r="1028" spans="1:5" x14ac:dyDescent="0.2">
      <c r="A1028" s="269">
        <v>45910.399699074071</v>
      </c>
      <c r="B1028" t="s">
        <v>1431</v>
      </c>
      <c r="C1028" t="s">
        <v>103</v>
      </c>
      <c r="D1028" t="s">
        <v>1486</v>
      </c>
      <c r="E1028" t="s">
        <v>1488</v>
      </c>
    </row>
    <row r="1029" spans="1:5" x14ac:dyDescent="0.2">
      <c r="A1029" s="269">
        <v>45917.577696759261</v>
      </c>
      <c r="B1029" t="s">
        <v>596</v>
      </c>
      <c r="C1029" t="s">
        <v>597</v>
      </c>
      <c r="D1029" t="s">
        <v>1504</v>
      </c>
      <c r="E1029" t="s">
        <v>39</v>
      </c>
    </row>
    <row r="1030" spans="1:5" x14ac:dyDescent="0.2">
      <c r="A1030" s="269">
        <v>45917.5778587963</v>
      </c>
      <c r="B1030" t="s">
        <v>596</v>
      </c>
      <c r="C1030" t="s">
        <v>27</v>
      </c>
      <c r="D1030" t="s">
        <v>1505</v>
      </c>
      <c r="E1030" t="s">
        <v>53</v>
      </c>
    </row>
    <row r="1031" spans="1:5" x14ac:dyDescent="0.2">
      <c r="A1031" s="269">
        <v>45917.577962962961</v>
      </c>
      <c r="B1031" t="s">
        <v>596</v>
      </c>
      <c r="C1031" t="s">
        <v>27</v>
      </c>
      <c r="D1031" t="s">
        <v>1506</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2.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BFF0D39-3661-481E-B3B6-00FDA404A81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2025-09-17T05:52:22Z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