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Cotabato Branch/"/>
    </mc:Choice>
  </mc:AlternateContent>
  <xr:revisionPtr revIDLastSave="0" documentId="13_ncr:1_{D2DD1E67-CA2F-974F-8457-225CF96CEF35}"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46" r:id="rId19"/>
    <pivotCache cacheId="547" r:id="rId20"/>
    <pivotCache cacheId="548" r:id="rId21"/>
    <pivotCache cacheId="549" r:id="rId22"/>
    <pivotCache cacheId="550" r:id="rId23"/>
    <pivotCache cacheId="558"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N7"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I20" i="41" s="1"/>
  <c r="I21" i="41" s="1"/>
  <c r="I22" i="41" s="1"/>
  <c r="I23" i="41" s="1"/>
  <c r="I24" i="41" s="1"/>
  <c r="I25"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3" i="34" l="1"/>
  <c r="D13" i="34"/>
  <c r="G13" i="34"/>
  <c r="E13" i="34"/>
  <c r="F12" i="34"/>
  <c r="D12" i="34"/>
  <c r="G12" i="34"/>
  <c r="E12" i="34"/>
  <c r="D14" i="34"/>
  <c r="G14" i="34"/>
  <c r="E14" i="34"/>
  <c r="F14" i="34"/>
  <c r="F11" i="34"/>
  <c r="G11" i="34"/>
  <c r="E11" i="34"/>
  <c r="D11" i="34"/>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<sst xmlns="http://schemas.openxmlformats.org/spreadsheetml/2006/main" count="6445" uniqueCount="1490">
  <si>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</si>
  <si>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</si>
  <si>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</si>
  <si>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</si>
  <si>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</si>
  <si>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</si>
  <si>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</si>
  <si>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</si>
  <si>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</si>
  <si>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</si>
  <si>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</si>
  <si>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</si>
  <si>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</si>
  <si>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</si>
  <si>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</si>
  <si>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</si>
  <si>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</si>
  <si>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</si>
  <si>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</si>
  <si>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</si>
  <si>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</si>
  <si>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</si>
  <si>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</si>
  <si>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</si>
  <si>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</si>
  <si>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</si>
  <si>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</si>
  <si>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</si>
  <si>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</si>
  <si>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</si>
  <si>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</si>
  <si>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</si>
  <si>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</si>
  <si>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</si>
  <si>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</si>
  <si>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</si>
  <si>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</si>
  <si>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</si>
  <si>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</si>
  <si>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</si>
  <si>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</si>
  <si>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</si>
  <si>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</si>
  <si>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</si>
  <si>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</si>
  <si>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</si>
  <si>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</si>
  <si>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</si>
  <si>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</si>
  <si>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</si>
  <si>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</si>
  <si>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</si>
  <si>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</si>
  <si>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</si>
  <si>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</si>
  <si>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</si>
  <si>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</si>
  <si>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</si>
  <si>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</si>
  <si>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</si>
  <si>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</si>
  <si>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</si>
  <si>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</si>
  <si>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</si>
  <si>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</si>
  <si>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</si>
  <si>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</si>
  <si>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</si>
  <si>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</si>
  <si>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</si>
  <si>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</si>
  <si>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</si>
  <si>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</si>
  <si>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</si>
  <si>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</si>
  <si>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</si>
  <si>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</si>
  <si>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</si>
  <si>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</si>
  <si>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</si>
  <si>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</si>
  <si>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</si>
  <si>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</si>
  <si>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</si>
  <si>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</si>
  <si>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</si>
  <si>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</si>
  <si>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</si>
  <si>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</si>
  <si>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</si>
  <si>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</si>
  <si>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</si>
  <si>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</si>
  <si>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</si>
  <si>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</si>
  <si>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</si>
  <si>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</si>
  <si>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</si>
  <si>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</si>
  <si>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</si>
  <si>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</si>
  <si>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</si>
  <si>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</si>
  <si>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</si>
  <si>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</si>
  <si>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</si>
  <si>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</si>
  <si>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</si>
  <si>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</si>
  <si>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</si>
  <si>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</si>
  <si>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</si>
  <si>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</si>
  <si>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</si>
  <si>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</si>
  <si>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</si>
  <si>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</si>
  <si>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</si>
  <si>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</si>
  <si>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</si>
  <si>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</si>
  <si>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</si>
  <si>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</si>
  <si>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</si>
  <si>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</si>
  <si>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</si>
  <si>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</si>
  <si>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</si>
  <si>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</si>
  <si>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</si>
  <si>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</si>
  <si>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</si>
  <si>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</si>
  <si>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</si>
  <si>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</si>
  <si>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</si>
  <si>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</si>
  <si>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</si>
  <si>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</si>
  <si>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</si>
  <si>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</si>
  <si>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</si>
  <si>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</si>
  <si>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</si>
  <si>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</si>
  <si>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</si>
  <si>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</si>
  <si>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</si>
  <si>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</si>
  <si>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</si>
  <si>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</si>
  <si>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</si>
  <si>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</si>
  <si>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</si>
  <si>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</si>
  <si>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</si>
  <si>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</si>
  <si>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</si>
  <si>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</si>
  <si>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</si>
  <si>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</si>
  <si>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</si>
  <si>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</si>
  <si>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</si>
  <si>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</si>
  <si>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</si>
  <si>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</si>
  <si>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</si>
  <si>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</si>
  <si>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</si>
  <si>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</si>
  <si>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</si>
  <si>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</si>
  <si>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</si>
  <si>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</si>
  <si>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</si>
  <si>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</si>
  <si>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</si>
  <si>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</si>
  <si>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</si>
  <si>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</si>
  <si>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</si>
  <si>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</si>
  <si>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</si>
  <si>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</si>
  <si>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</si>
  <si>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</si>
  <si>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</si>
  <si>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</si>
  <si>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</si>
  <si>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</si>
  <si>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</si>
  <si>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</si>
  <si>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</si>
  <si>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</si>
  <si>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</si>
  <si>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</si>
  <si>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</si>
  <si>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</si>
  <si>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</si>
  <si>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</si>
  <si>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</si>
  <si>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</si>
  <si>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</si>
  <si>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</si>
  <si>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</si>
  <si>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</si>
  <si>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</si>
  <si>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</si>
  <si>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</si>
  <si>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</si>
  <si>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</si>
  <si>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</si>
  <si>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</si>
  <si>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</si>
  <si>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</si>
  <si>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</si>
  <si>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</si>
  <si>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</si>
  <si>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</si>
  <si>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</si>
  <si>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</si>
  <si>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</si>
  <si>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</si>
  <si>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</si>
  <si>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</si>
  <si>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</si>
  <si>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</si>
  <si>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</si>
  <si>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</si>
  <si>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</si>
  <si>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</si>
  <si>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</si>
  <si>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</si>
  <si>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</si>
  <si>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</si>
  <si>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</si>
  <si>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</si>
  <si>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</si>
  <si>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</si>
  <si>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</si>
  <si>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</si>
  <si>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</si>
  <si>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</si>
  <si>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</si>
  <si>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</si>
  <si>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</si>
  <si>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</si>
  <si>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</si>
  <si>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</si>
  <si>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</si>
  <si>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</si>
  <si>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</si>
  <si>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</si>
  <si>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</si>
  <si>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</si>
  <si>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</si>
  <si>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</si>
  <si>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</si>
  <si>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</si>
  <si>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</si>
  <si>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</si>
  <si>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</si>
  <si>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</si>
  <si>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</si>
  <si>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</si>
  <si>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</si>
  <si>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</si>
  <si>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</si>
  <si>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</si>
  <si>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</si>
  <si>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</si>
  <si>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</si>
  <si>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</si>
  <si>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</si>
  <si>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</si>
  <si>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</si>
  <si>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</si>
  <si>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</si>
  <si>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</si>
  <si>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</si>
  <si>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</si>
  <si>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</si>
  <si>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</si>
  <si>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</si>
  <si>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</si>
  <si>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</si>
  <si>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</si>
  <si>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</si>
  <si>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</si>
  <si>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</si>
  <si>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</si>
  <si>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</si>
  <si>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</si>
  <si>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</si>
  <si>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</si>
  <si>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</si>
  <si>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</si>
  <si>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</si>
  <si>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</si>
  <si>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</si>
  <si>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</si>
  <si>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</si>
  <si>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</si>
  <si>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</si>
  <si>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</si>
  <si>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</si>
  <si>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</si>
  <si>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</si>
  <si>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</si>
  <si>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</si>
  <si>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</si>
  <si>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</si>
  <si>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</si>
  <si>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</si>
  <si>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</si>
  <si>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</si>
  <si>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</si>
  <si>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</si>
  <si>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</si>
  <si>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</si>
  <si>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</si>
  <si>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</si>
  <si>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</si>
  <si>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</si>
  <si>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</si>
  <si>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</si>
  <si>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</si>
  <si>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</si>
  <si>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</si>
  <si>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</si>
  <si>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</si>
  <si>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</si>
  <si>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</si>
  <si>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</si>
  <si>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</si>
  <si>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</si>
  <si>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</si>
  <si>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</si>
  <si>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</si>
  <si>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</si>
  <si>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</si>
  <si>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</si>
  <si>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</si>
  <si>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</si>
  <si>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</si>
  <si>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</si>
  <si>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</si>
  <si>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</si>
  <si>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</si>
  <si>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</si>
  <si>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</si>
  <si>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</si>
  <si>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</si>
  <si>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</si>
  <si>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</si>
  <si>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</si>
  <si>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</si>
  <si>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</si>
  <si>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</si>
  <si>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</si>
  <si>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</si>
  <si>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</si>
  <si>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</si>
  <si>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</si>
  <si>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</si>
  <si>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</si>
  <si>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</si>
  <si>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</si>
  <si>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</si>
  <si>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</si>
  <si>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</si>
  <si>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</si>
  <si>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</si>
  <si>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</si>
  <si>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</si>
  <si>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</si>
  <si>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</si>
  <si>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</si>
  <si>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</si>
  <si>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</si>
  <si>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</si>
  <si>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</si>
  <si>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</si>
  <si>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</si>
  <si>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</si>
  <si>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</si>
  <si>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</si>
  <si>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</si>
  <si>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</si>
  <si>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</si>
  <si>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</si>
  <si>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</si>
  <si>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</si>
  <si>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</si>
  <si>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</si>
  <si>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</si>
  <si>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</si>
  <si>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</si>
  <si>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</si>
  <si>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</si>
  <si>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</si>
  <si>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</si>
  <si>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</si>
  <si>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</si>
  <si>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</si>
  <si>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</si>
  <si>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</si>
  <si>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</si>
  <si>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</si>
  <si>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</si>
  <si>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</si>
  <si>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</si>
  <si>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</si>
  <si>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</si>
  <si>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</si>
  <si>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</si>
  <si>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</si>
  <si>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</si>
  <si>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</si>
  <si>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</si>
  <si>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</si>
  <si>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</si>
  <si>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</si>
  <si>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</si>
  <si>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</si>
  <si>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</si>
  <si>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</si>
  <si>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</si>
  <si>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</si>
  <si>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</si>
  <si>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</si>
  <si>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</si>
  <si>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</si>
  <si>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</si>
  <si>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</si>
  <si>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</si>
  <si>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</si>
  <si>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</si>
  <si>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</si>
  <si>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</si>
  <si>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</si>
  <si>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</si>
  <si>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</si>
  <si>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</si>
  <si>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</si>
  <si>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</si>
  <si>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</si>
  <si>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</si>
  <si>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</si>
  <si>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</si>
  <si>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</si>
  <si>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</si>
  <si>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</si>
  <si>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</si>
  <si>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</si>
  <si>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</si>
  <si>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</si>
  <si>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</si>
  <si>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</si>
  <si>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</si>
  <si>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</si>
  <si>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</si>
  <si>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</si>
  <si>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</si>
  <si>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</si>
  <si>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</si>
  <si>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</si>
  <si>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</si>
  <si>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</si>
  <si>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</si>
  <si>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</si>
  <si>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</si>
  <si>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</si>
  <si>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</si>
  <si>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</si>
  <si>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</si>
  <si>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</si>
  <si>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</si>
  <si>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</si>
  <si>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</si>
  <si>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</si>
  <si>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</si>
  <si>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</si>
  <si>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</si>
  <si>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</si>
  <si>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</si>
  <si>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</si>
  <si>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</si>
  <si>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</si>
  <si>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</si>
  <si>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</si>
  <si>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</si>
  <si>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</si>
  <si>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</si>
  <si>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</si>
  <si>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</si>
  <si>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</si>
  <si>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</si>
  <si>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</si>
  <si>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</si>
  <si>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</si>
  <si>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</si>
  <si>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</si>
  <si>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</si>
  <si>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</si>
  <si>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</si>
  <si>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</si>
  <si>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</si>
  <si>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</si>
  <si>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</si>
  <si>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</si>
  <si>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</si>
  <si>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</si>
  <si>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</si>
  <si>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</si>
  <si>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</si>
  <si>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</si>
  <si>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</si>
  <si>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</si>
  <si>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</si>
  <si>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</si>
  <si>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</si>
  <si>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</si>
  <si>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</si>
  <si>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</si>
  <si>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</si>
  <si>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</si>
  <si>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</si>
  <si>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</si>
  <si>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</si>
  <si>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</si>
  <si>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</si>
  <si>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</si>
  <si>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</si>
  <si>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</si>
  <si>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</si>
  <si>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</si>
  <si>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</si>
  <si>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</si>
  <si>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</si>
  <si>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</si>
  <si>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</si>
  <si>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</si>
  <si>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</si>
  <si>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</si>
  <si>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</si>
  <si>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</si>
  <si>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</si>
  <si>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</si>
  <si>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</si>
  <si>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</si>
  <si>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</si>
  <si>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</si>
  <si>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</si>
  <si>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</si>
  <si>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</si>
  <si>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</si>
  <si>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</si>
  <si>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</si>
  <si>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</si>
  <si>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</si>
  <si>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</si>
  <si>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</si>
  <si>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</si>
  <si>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</si>
  <si>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</si>
  <si>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</si>
  <si>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</si>
  <si>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</si>
  <si>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</si>
  <si>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</si>
  <si>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</si>
  <si>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</si>
  <si>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</si>
  <si>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</si>
  <si>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</si>
  <si>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</si>
  <si>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</si>
  <si>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</si>
  <si>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</si>
  <si>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</si>
  <si>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</si>
  <si>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</si>
  <si>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</si>
  <si>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</si>
  <si>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</si>
  <si>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</si>
  <si>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</si>
  <si>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</si>
  <si>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</si>
  <si>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</si>
  <si>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</si>
  <si>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</si>
  <si>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</si>
  <si>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</si>
  <si>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</si>
  <si>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</si>
  <si>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</si>
  <si>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</si>
  <si>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</si>
  <si>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</si>
  <si>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</si>
  <si>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</si>
  <si>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</si>
  <si>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</si>
  <si>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</si>
  <si>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</si>
  <si>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</si>
  <si>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</si>
  <si>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</si>
  <si>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</si>
  <si>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</si>
  <si>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</si>
  <si>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</si>
  <si>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</si>
  <si>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</si>
  <si>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</si>
  <si>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</si>
  <si>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</si>
  <si>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</si>
  <si>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</si>
  <si>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</si>
  <si>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</si>
  <si>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</si>
  <si>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</si>
  <si>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</si>
  <si>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</si>
  <si>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</si>
  <si>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</si>
  <si>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</si>
  <si>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</si>
  <si>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</si>
  <si>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</si>
  <si>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</si>
  <si>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</si>
  <si>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</si>
  <si>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</si>
  <si>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</si>
  <si>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</si>
  <si>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</si>
  <si>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</si>
  <si>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</si>
  <si>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</si>
  <si>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</si>
  <si>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</si>
  <si>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</si>
  <si>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</si>
  <si>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</si>
  <si>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</si>
  <si>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</si>
  <si>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</si>
  <si>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</si>
  <si>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</si>
  <si>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</si>
  <si>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</si>
  <si>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</si>
  <si>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</si>
  <si>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</si>
  <si>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</si>
  <si>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</si>
  <si>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</si>
  <si>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</si>
  <si>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</si>
  <si>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</si>
  <si>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</si>
  <si>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</si>
  <si>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</si>
  <si>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</si>
  <si>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</si>
  <si>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</si>
  <si>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</si>
  <si>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</si>
  <si>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</si>
  <si>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</si>
  <si>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</si>
  <si>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</si>
  <si>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</si>
  <si>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</si>
  <si>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</si>
  <si>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</si>
  <si>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</si>
  <si>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</si>
  <si>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</si>
  <si>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</si>
  <si>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</si>
  <si>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</si>
  <si>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</si>
  <si>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</si>
  <si>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</si>
  <si>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</si>
  <si>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</si>
  <si>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</si>
  <si>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</si>
  <si>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</si>
  <si>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</si>
  <si>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</si>
  <si>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</si>
  <si>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</si>
  <si>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</si>
  <si>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</si>
  <si>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</si>
  <si>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</si>
  <si>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</si>
  <si>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</si>
  <si>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</si>
  <si>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</si>
  <si>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</si>
  <si>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</si>
  <si>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</si>
  <si>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</si>
  <si>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</si>
  <si>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</si>
  <si>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</si>
  <si>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</si>
  <si>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</si>
  <si>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</si>
  <si>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</si>
  <si>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</si>
  <si>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</si>
  <si>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</si>
  <si>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</si>
  <si>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</si>
  <si>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</si>
  <si>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</si>
  <si>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</si>
  <si>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</si>
  <si>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</si>
  <si>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</si>
  <si>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</si>
  <si>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</si>
  <si>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</si>
  <si>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</si>
  <si>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</si>
  <si>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</si>
  <si>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</si>
  <si>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</si>
  <si>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</si>
  <si>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</si>
  <si>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</si>
  <si>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</si>
  <si>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</si>
  <si>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</si>
  <si>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</si>
  <si>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</si>
  <si>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</si>
  <si>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</si>
  <si>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</si>
  <si>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</si>
  <si>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</si>
  <si>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</si>
  <si>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</si>
  <si>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</si>
  <si>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</si>
  <si>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</si>
  <si>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</si>
  <si>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</si>
  <si>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</si>
  <si>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</si>
  <si>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</si>
  <si>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</si>
  <si>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</si>
  <si>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</si>
  <si>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</si>
  <si>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</si>
  <si>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</si>
  <si>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</si>
  <si>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</si>
  <si>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</si>
  <si>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</si>
  <si>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</si>
  <si>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</si>
  <si>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</si>
  <si>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</si>
  <si>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</si>
  <si>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</si>
  <si>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</si>
  <si>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</si>
  <si>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</si>
  <si>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</si>
  <si>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</si>
  <si>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</si>
  <si>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</si>
  <si>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</si>
  <si>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</si>
  <si>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</si>
  <si>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</si>
  <si>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</si>
  <si>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</si>
  <si>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</si>
  <si>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</si>
  <si>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</si>
  <si>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</si>
  <si>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</si>
  <si>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</si>
  <si>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</si>
  <si>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</si>
  <si>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</si>
  <si>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</si>
  <si>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</si>
  <si>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</si>
  <si>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</si>
  <si>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</si>
  <si>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</si>
  <si>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</si>
  <si>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</si>
  <si>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</si>
  <si>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</si>
  <si>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</si>
  <si>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</si>
  <si>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</si>
  <si>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</si>
  <si>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</si>
  <si>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</si>
  <si>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</si>
  <si>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</si>
  <si>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</si>
  <si>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</si>
  <si>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</si>
  <si>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</si>
  <si>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</si>
  <si>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</si>
  <si>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</si>
  <si>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</si>
  <si>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</si>
  <si>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</si>
  <si>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</si>
  <si>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</si>
  <si>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</si>
  <si>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</si>
  <si>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</si>
  <si>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</si>
  <si>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</si>
  <si>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</si>
  <si>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</si>
  <si>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</si>
  <si>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</si>
  <si>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</si>
  <si>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</si>
  <si>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</si>
  <si>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</si>
  <si>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</si>
  <si>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</si>
  <si>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</si>
  <si>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</si>
  <si>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</si>
  <si>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</si>
  <si>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</si>
  <si>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</si>
  <si>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</si>
  <si>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</si>
  <si>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</si>
  <si>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</si>
  <si>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</si>
  <si>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</si>
  <si>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</si>
  <si>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</si>
  <si>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</si>
  <si>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</si>
  <si>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</si>
  <si>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</si>
  <si>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</si>
  <si>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</si>
  <si>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</si>
  <si>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</si>
  <si>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</si>
  <si>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</si>
  <si>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</si>
  <si>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</si>
  <si>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</si>
  <si>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</si>
  <si>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</si>
  <si>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</si>
  <si>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</si>
  <si>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</si>
  <si>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</si>
  <si>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</si>
  <si>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</si>
  <si>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</si>
  <si>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</si>
  <si>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</si>
  <si>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</si>
  <si>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</si>
  <si>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</si>
  <si>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</si>
  <si>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</si>
  <si>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</si>
  <si>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</si>
  <si>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</si>
  <si>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</si>
  <si>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</si>
  <si>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</si>
  <si>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</si>
  <si>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</si>
  <si>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</si>
  <si>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</si>
  <si>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</si>
  <si>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</si>
  <si>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</si>
  <si>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</si>
  <si>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</si>
  <si>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</si>
  <si>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</si>
  <si>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</si>
  <si>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</si>
  <si>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</si>
  <si>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</si>
  <si>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</si>
  <si>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</si>
  <si>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</si>
  <si>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</si>
  <si>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</si>
  <si>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</si>
  <si>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</si>
  <si>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</si>
  <si>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</si>
  <si>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</si>
  <si>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</si>
  <si>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</si>
  <si>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</si>
  <si>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</si>
  <si>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</si>
  <si>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</si>
  <si>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</si>
  <si>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</si>
  <si>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</si>
  <si>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</si>
  <si>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</si>
  <si>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</si>
  <si>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</si>
  <si>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</si>
  <si>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</si>
  <si>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</si>
  <si>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</si>
  <si>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</si>
  <si>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</si>
  <si>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</si>
  <si>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</si>
  <si>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</si>
  <si>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</si>
  <si>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</si>
  <si>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</si>
  <si>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</si>
  <si>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</si>
  <si>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</si>
  <si>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</si>
  <si>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</si>
  <si>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</si>
  <si>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</si>
  <si>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</si>
  <si>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</si>
  <si>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</si>
  <si>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</si>
  <si>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</si>
  <si>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</si>
  <si>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</si>
  <si>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</si>
  <si>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</si>
  <si>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</si>
  <si>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</si>
  <si>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</si>
  <si>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</si>
  <si>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</si>
  <si>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</si>
  <si>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</si>
  <si>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</si>
  <si>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</si>
  <si>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</si>
  <si>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</si>
  <si>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</si>
  <si>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</si>
  <si>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</si>
  <si>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</si>
  <si>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</si>
  <si>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</si>
  <si>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</si>
  <si>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</si>
  <si>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</si>
  <si>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</si>
  <si>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</si>
  <si>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</si>
  <si>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</si>
  <si>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</si>
  <si>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</si>
  <si>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</si>
  <si>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</si>
  <si>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</si>
  <si>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</si>
  <si>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</si>
  <si>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</si>
  <si>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</si>
  <si>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</si>
  <si>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</si>
  <si>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</si>
  <si>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</si>
  <si>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</si>
  <si>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</si>
  <si>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</si>
  <si>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</si>
  <si>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</si>
  <si>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</si>
  <si>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</si>
  <si>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</si>
  <si>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</si>
  <si>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</si>
  <si>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</si>
  <si>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</si>
  <si>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</si>
  <si>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</si>
  <si>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</si>
  <si>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</si>
  <si>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</si>
  <si>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</si>
  <si>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</si>
  <si>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</si>
  <si>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</si>
  <si>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</si>
  <si>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</si>
  <si>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</si>
  <si>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</si>
  <si>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</si>
  <si>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</si>
  <si>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</si>
  <si>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</si>
  <si>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</si>
  <si>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</si>
  <si>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</si>
  <si>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</si>
  <si>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</si>
  <si>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</si>
  <si>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</si>
  <si>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</si>
  <si>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</si>
  <si>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</si>
  <si>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</si>
  <si>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</si>
  <si>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</si>
  <si>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</si>
  <si>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</si>
  <si>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</si>
  <si>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</si>
  <si>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</si>
  <si>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</si>
  <si>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</si>
  <si>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</si>
  <si>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</si>
  <si>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</si>
  <si>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</si>
  <si>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</si>
  <si>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</si>
  <si>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</si>
  <si>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</si>
  <si>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</si>
  <si>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</si>
  <si>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</si>
  <si>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</si>
  <si>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</si>
  <si>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</si>
  <si>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</si>
  <si>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</si>
  <si>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</si>
  <si>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</si>
  <si>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</si>
  <si>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</si>
  <si>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</si>
  <si>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</si>
  <si>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</si>
  <si>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</si>
  <si>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</si>
  <si>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</si>
  <si>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</si>
  <si>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</si>
  <si>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</si>
  <si>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</si>
  <si>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</si>
  <si>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</si>
  <si>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</si>
  <si>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</si>
  <si>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</si>
  <si>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</si>
  <si>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</si>
  <si>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</si>
  <si>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</si>
  <si>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</si>
  <si>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</si>
  <si>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</si>
  <si>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</si>
  <si>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</si>
  <si>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</si>
  <si>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</si>
  <si>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</si>
  <si>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</si>
  <si>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</si>
  <si>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</si>
  <si>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</si>
  <si>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</si>
  <si>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</si>
  <si>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</si>
  <si>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</si>
  <si>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</si>
  <si>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</si>
  <si>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</si>
  <si>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</si>
  <si>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</si>
  <si>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</si>
  <si>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</si>
  <si>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</si>
  <si>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</si>
  <si>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</si>
  <si>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</si>
  <si>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</si>
  <si>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</si>
  <si>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</si>
  <si>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</si>
  <si>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</si>
  <si>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</si>
  <si>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</si>
  <si>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</si>
  <si>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</si>
  <si>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</si>
  <si>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</si>
  <si>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</si>
  <si>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</si>
  <si>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</si>
  <si>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</si>
  <si>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</si>
  <si>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</si>
  <si>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</si>
  <si>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</si>
  <si>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</si>
  <si>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</si>
  <si>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</si>
  <si>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</si>
  <si>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</si>
  <si>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</si>
  <si>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</si>
  <si>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</si>
  <si>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</si>
  <si>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</si>
  <si>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</si>
  <si>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</si>
  <si>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</si>
  <si>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</si>
  <si>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</si>
  <si>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</si>
  <si>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</si>
  <si>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</si>
  <si>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</si>
  <si>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</si>
  <si>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</si>
  <si>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</si>
  <si>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</si>
  <si>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</si>
  <si>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</si>
  <si>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</si>
  <si>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</si>
  <si>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</si>
  <si>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</si>
  <si>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</si>
  <si>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</si>
  <si>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</si>
  <si>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</si>
  <si>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</si>
  <si>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</si>
  <si>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</si>
  <si>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</si>
  <si>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</si>
  <si>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</si>
  <si>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</si>
  <si>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</si>
  <si>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</si>
  <si>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</si>
  <si>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</si>
  <si>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</si>
  <si>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</si>
  <si>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</si>
  <si>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</si>
  <si>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</si>
  <si>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</si>
  <si>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</si>
  <si>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</si>
  <si>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</si>
  <si>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</si>
  <si>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</si>
  <si>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</si>
  <si>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</si>
  <si>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</si>
  <si>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</si>
  <si>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</si>
  <si>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</si>
  <si>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</si>
  <si>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</si>
  <si>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</si>
  <si>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</si>
  <si>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</si>
  <si>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</si>
  <si>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</si>
  <si>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</si>
  <si>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</si>
  <si>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</si>
  <si>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</si>
  <si>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</si>
  <si>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</si>
  <si>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</si>
  <si>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</si>
  <si>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</si>
  <si>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</si>
  <si>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</si>
  <si>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</si>
  <si>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</si>
  <si>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</si>
  <si>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</si>
  <si>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</si>
  <si>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</si>
  <si>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</si>
  <si>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</si>
  <si>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</si>
  <si>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</si>
  <si>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</si>
  <si>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</si>
  <si>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</si>
  <si>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</si>
  <si>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</si>
  <si>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</si>
  <si>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</si>
  <si>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</si>
  <si>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</si>
  <si>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</si>
  <si>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</si>
  <si>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</si>
  <si>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</si>
  <si>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</si>
  <si>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</si>
  <si>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</si>
  <si>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</si>
  <si>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</si>
  <si>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</si>
  <si>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</si>
  <si>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</si>
  <si>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</si>
  <si>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</si>
  <si>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</si>
  <si>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</si>
  <si>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</si>
  <si>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</si>
  <si>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</si>
  <si>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</si>
  <si>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</si>
  <si>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</si>
  <si>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</si>
  <si>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</si>
  <si>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</si>
  <si>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</si>
  <si>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</si>
  <si>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</si>
  <si>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</si>
  <si>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</si>
  <si>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</si>
  <si>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</si>
  <si>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</si>
  <si>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</si>
  <si>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</si>
  <si>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</si>
  <si>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</si>
  <si>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</si>
  <si>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</si>
  <si>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</si>
  <si>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</si>
  <si>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</si>
  <si>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</si>
  <si>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</si>
  <si>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</si>
  <si>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</si>
  <si>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</si>
  <si>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</si>
  <si>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</si>
  <si>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</si>
  <si>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</si>
  <si>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</si>
  <si>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</si>
  <si>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</si>
  <si>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</si>
  <si>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</si>
  <si>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</si>
  <si>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</si>
  <si>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</si>
  <si>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</si>
  <si>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</si>
  <si>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</si>
  <si>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</si>
  <si>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</si>
  <si>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</si>
  <si>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</si>
  <si>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</si>
  <si>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</si>
  <si>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</si>
  <si>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</si>
  <si>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</si>
  <si>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</si>
  <si>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</si>
  <si>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</si>
  <si>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</si>
  <si>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</si>
  <si>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</si>
  <si>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</si>
  <si>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</si>
  <si>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</si>
  <si>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</si>
  <si>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</si>
  <si>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</si>
  <si>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</si>
  <si>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</si>
  <si>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</si>
  <si>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</si>
  <si>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</si>
  <si>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</si>
  <si>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</si>
  <si>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</si>
  <si>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</si>
  <si>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</si>
  <si>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</si>
  <si>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</si>
  <si>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</si>
  <si>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</si>
  <si>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</si>
  <si>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</si>
  <si>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</si>
  <si>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</si>
  <si>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</si>
  <si>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</si>
  <si>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</si>
  <si>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</si>
  <si>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</si>
  <si>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</si>
  <si>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</si>
  <si>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</si>
  <si>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</si>
  <si>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</si>
  <si>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</si>
  <si>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</si>
  <si>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</si>
  <si>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</si>
  <si>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</si>
  <si>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</si>
  <si>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</si>
  <si>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</si>
  <si>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</si>
  <si>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</si>
  <si>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</si>
  <si>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</si>
  <si>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</si>
  <si>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</si>
  <si>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</si>
  <si>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</si>
  <si>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</si>
  <si>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</si>
  <si>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</si>
  <si>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</si>
  <si>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</si>
  <si>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</si>
  <si>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</si>
  <si>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</si>
  <si>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</si>
  <si>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</si>
  <si>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</si>
  <si>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</si>
  <si>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</si>
  <si>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</si>
  <si>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</si>
  <si>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</si>
  <si>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</si>
  <si>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</si>
  <si>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</si>
  <si>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</si>
  <si>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</si>
  <si>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</si>
  <si>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</si>
  <si>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</si>
  <si>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</si>
  <si>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</si>
  <si>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</si>
  <si>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</si>
  <si>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</si>
  <si>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</si>
  <si>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</si>
  <si>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</si>
  <si>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</si>
  <si>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</si>
  <si>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</si>
  <si>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</si>
  <si>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</si>
  <si>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</si>
  <si>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</si>
  <si>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</si>
  <si>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</si>
  <si>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</si>
  <si>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</si>
  <si>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</si>
  <si>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</si>
  <si>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</si>
  <si>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</si>
  <si>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</si>
  <si>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</si>
  <si>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</si>
  <si>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</si>
  <si>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</si>
  <si>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</si>
  <si>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</si>
  <si>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</si>
  <si>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</si>
  <si>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</si>
  <si>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</si>
  <si>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</si>
  <si>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</si>
  <si>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</si>
  <si>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</si>
  <si>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</si>
  <si>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</si>
  <si>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</si>
  <si>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</si>
  <si>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</si>
  <si>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</si>
  <si>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</si>
  <si>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</si>
  <si>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</si>
  <si>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</si>
  <si>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</si>
  <si>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</si>
  <si>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</si>
  <si>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</si>
  <si>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</si>
  <si>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Adolf N. Garde</t>
  </si>
  <si>
    <t>$J$8</t>
  </si>
  <si>
    <t>$K$8</t>
  </si>
  <si>
    <t>$K$13</t>
  </si>
  <si>
    <t>$K$14</t>
  </si>
  <si>
    <t>$K$15</t>
  </si>
  <si>
    <t>$K$16</t>
  </si>
  <si>
    <t>$K$17</t>
  </si>
  <si>
    <t>$K$18</t>
  </si>
  <si>
    <t>$K$19</t>
  </si>
  <si>
    <t>$K$20</t>
  </si>
  <si>
    <t>$K$21</t>
  </si>
  <si>
    <t>$K$22</t>
  </si>
  <si>
    <t>$K$23</t>
  </si>
  <si>
    <t>$K$24</t>
  </si>
  <si>
    <t>$J$13</t>
  </si>
  <si>
    <t>$J$14</t>
  </si>
  <si>
    <t>$J$15</t>
  </si>
  <si>
    <t>$J$23</t>
  </si>
  <si>
    <t>$J$24</t>
  </si>
  <si>
    <t>$J$22</t>
  </si>
  <si>
    <t>$M$15</t>
  </si>
  <si>
    <t>$M$17</t>
  </si>
  <si>
    <t>$M$18</t>
  </si>
  <si>
    <t>$M$19</t>
  </si>
  <si>
    <t>$M$20</t>
  </si>
  <si>
    <t>$M$21</t>
  </si>
  <si>
    <t>$M$22</t>
  </si>
  <si>
    <t>$M$23</t>
  </si>
  <si>
    <t>$M$24</t>
  </si>
  <si>
    <t>$M$8</t>
  </si>
  <si>
    <t>$J$25</t>
  </si>
  <si>
    <t>$N$11</t>
  </si>
  <si>
    <t>$N$12</t>
  </si>
  <si>
    <t>$N$13</t>
  </si>
  <si>
    <t>$N$15</t>
  </si>
  <si>
    <t>$N$18</t>
  </si>
  <si>
    <t>$N$19:$N$25</t>
  </si>
  <si>
    <t>$N$16:$N$17</t>
  </si>
  <si>
    <t>$N$14</t>
  </si>
  <si>
    <t>329.037.48</t>
  </si>
  <si>
    <t>$L$15</t>
  </si>
  <si>
    <t>$L$16</t>
  </si>
  <si>
    <t>$L$17</t>
  </si>
  <si>
    <t>$L$18</t>
  </si>
  <si>
    <t>$L$19</t>
  </si>
  <si>
    <t>$L$20</t>
  </si>
  <si>
    <t>$L$21</t>
  </si>
  <si>
    <t>$L$22</t>
  </si>
  <si>
    <t>$L$23</t>
  </si>
  <si>
    <t>$L$24</t>
  </si>
  <si>
    <t>$L$25</t>
  </si>
  <si>
    <t>$M$25</t>
  </si>
  <si>
    <t>$L$11:$L$25</t>
  </si>
  <si>
    <t>None</t>
  </si>
  <si>
    <t>$A$27:$E$37</t>
  </si>
  <si>
    <t>$I$13:$O$106</t>
  </si>
  <si>
    <t>$N$7</t>
  </si>
  <si>
    <t>$N$7:$N$11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</si>
</sst>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8419178241"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2"/>
    </cacheField>
    <cacheField name="Vehicle Type" numFmtId="0">
      <sharedItems containsBlank="1" count="10">
        <s v="Armored Vehicle"/>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containsInteger="1" minValue="68" maxValue="238"/>
    </cacheField>
    <cacheField name="Unit" numFmtId="0">
      <sharedItems containsBlank="1"/>
    </cacheField>
    <cacheField name="Total kilometers travelled (all vehicles)" numFmtId="4">
      <sharedItems containsString="0" containsBlank="1" containsNumber="1" containsInteger="1" minValue="272" maxValue="952"/>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217"/>
    <s v="Liters"/>
    <n v="868"/>
    <s v="Kilometers"/>
    <m/>
  </r>
  <r>
    <n v="2"/>
    <x v="0"/>
    <x v="0"/>
    <x v="1"/>
    <x v="0"/>
    <n v="202"/>
    <m/>
    <n v="808"/>
    <s v="Kilometers"/>
    <m/>
  </r>
  <r>
    <n v="3"/>
    <x v="0"/>
    <x v="0"/>
    <x v="2"/>
    <x v="0"/>
    <n v="218"/>
    <s v="Liters"/>
    <n v="872"/>
    <s v="Kilometers"/>
    <m/>
  </r>
  <r>
    <n v="4"/>
    <x v="0"/>
    <x v="0"/>
    <x v="3"/>
    <x v="1"/>
    <n v="211"/>
    <s v="Liters"/>
    <n v="844"/>
    <s v="Kilometers"/>
    <m/>
  </r>
  <r>
    <n v="5"/>
    <x v="0"/>
    <x v="0"/>
    <x v="4"/>
    <x v="1"/>
    <n v="214"/>
    <s v="Liters"/>
    <n v="856"/>
    <s v="Kilometers"/>
    <m/>
  </r>
  <r>
    <n v="6"/>
    <x v="0"/>
    <x v="0"/>
    <x v="5"/>
    <x v="1"/>
    <n v="238"/>
    <s v="Liters"/>
    <n v="952"/>
    <s v="Kilometers"/>
    <m/>
  </r>
  <r>
    <n v="7"/>
    <x v="1"/>
    <x v="0"/>
    <x v="0"/>
    <x v="0"/>
    <n v="98"/>
    <s v="Liters"/>
    <n v="392"/>
    <s v="Kilometers"/>
    <m/>
  </r>
  <r>
    <n v="8"/>
    <x v="1"/>
    <x v="0"/>
    <x v="1"/>
    <x v="0"/>
    <n v="118"/>
    <s v="Liters"/>
    <n v="472"/>
    <s v="Kilometers"/>
    <m/>
  </r>
  <r>
    <n v="9"/>
    <x v="1"/>
    <x v="0"/>
    <x v="2"/>
    <x v="0"/>
    <n v="84"/>
    <s v="Liters"/>
    <n v="336"/>
    <s v="Kilometers"/>
    <m/>
  </r>
  <r>
    <n v="10"/>
    <x v="1"/>
    <x v="0"/>
    <x v="3"/>
    <x v="1"/>
    <n v="111"/>
    <s v="Liters"/>
    <n v="444"/>
    <s v="Kilometers"/>
    <m/>
  </r>
  <r>
    <n v="11"/>
    <x v="1"/>
    <x v="0"/>
    <x v="4"/>
    <x v="1"/>
    <n v="68"/>
    <s v="Liters"/>
    <n v="272"/>
    <s v="Kilometers"/>
    <m/>
  </r>
  <r>
    <n v="12"/>
    <x v="1"/>
    <x v="0"/>
    <x v="5"/>
    <x v="1"/>
    <n v="78"/>
    <s v="Liters"/>
    <n v="312"/>
    <s v="Kilometers"/>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5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7" firstHeaderRow="1" firstDataRow="2" firstDataCol="1" rowPageCount="1" colPageCount="1"/>
  <pivotFields count="10">
    <pivotField showAll="0"/>
    <pivotField axis="axisRow" showAll="0">
      <items count="11">
        <item m="1" x="9"/>
        <item m="1" x="8"/>
        <item x="2"/>
        <item m="1" x="3"/>
        <item m="1" x="7"/>
        <item m="1" x="4"/>
        <item m="1" x="5"/>
        <item m="1" x="6"/>
        <item x="0"/>
        <item x="1"/>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7">
    <i>
      <x v="2"/>
    </i>
    <i r="1">
      <x v="2"/>
    </i>
    <i>
      <x v="8"/>
    </i>
    <i r="1">
      <x/>
    </i>
    <i>
      <x v="9"/>
    </i>
    <i r="1">
      <x/>
    </i>
    <i t="grand">
      <x/>
    </i>
  </rowItems>
  <colFields count="1">
    <field x="4"/>
  </colFields>
  <colItems count="4">
    <i>
      <x/>
    </i>
    <i>
      <x v="1"/>
    </i>
    <i>
      <x v="3"/>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5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5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5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0">
        <i x="0" s="1"/>
        <i x="1" s="1"/>
        <i x="9" s="1" nd="1"/>
        <i x="4" s="1" nd="1"/>
        <i x="5" s="1" nd="1"/>
        <i x="6" s="1" nd="1"/>
        <i x="3" s="1" nd="1"/>
        <i x="8" s="1" nd="1"/>
        <i x="7"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95" totalsRowShown="0" headerRowDxfId="8">
  <autoFilter ref="A1:E1095"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0" zoomScale="88" zoomScaleNormal="60" workbookViewId="0">
      <selection activeCell="D3" sqref="D3:G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385</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
      </c>
      <c r="E14" s="183" t="str" cm="1">
        <f t="array" ref="E14">IF(SUMPRODUCT(--('2.5 Waste'!E11:E16&gt;0))&gt;0, "x", "")</f>
        <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336.31999999999994</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1857</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154344.4</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369</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K23" sqref="K23"/>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Cotabato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1431</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45911</v>
      </c>
      <c r="D7" s="448"/>
      <c r="E7" s="448"/>
      <c r="F7" s="448"/>
      <c r="G7" s="449"/>
      <c r="I7" s="194">
        <f>IF($M7="","",1)</f>
        <v>1</v>
      </c>
      <c r="J7" s="57" t="s">
        <v>37</v>
      </c>
      <c r="K7" s="58" t="s">
        <v>338</v>
      </c>
      <c r="L7" s="18" t="str">
        <f>IF(Fuel_Blg[[#This Row],[Month]]&lt;&gt;"",VLOOKUP(Fuel_Blg[[#This Row],[Month]], dropdown!$S$4:$T$15, 2, FALSE),"")</f>
        <v>Q1</v>
      </c>
      <c r="M7" s="29">
        <v>7.63</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196.38</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14.7</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65.38</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218.70999999999998</v>
      </c>
      <c r="E11" s="41">
        <f>SUMIFS(Fuel_Blg[Consumption],Fuel_Blg[Quarter],E$10,Fuel_Blg[Fuel Type],$B$11)</f>
        <v>117.60999999999999</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16.5</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35.729999999999997</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1" zoomScaleNormal="100" workbookViewId="0">
      <selection activeCell="C6" sqref="C6:G6"/>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Cotabato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1431</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45911</v>
      </c>
      <c r="D7" s="448"/>
      <c r="E7" s="448"/>
      <c r="F7" s="448"/>
      <c r="G7" s="449"/>
      <c r="I7" s="194">
        <f>IF($J7="","",1)</f>
        <v>1</v>
      </c>
      <c r="J7" s="57" t="s">
        <v>343</v>
      </c>
      <c r="K7" s="57" t="s">
        <v>63</v>
      </c>
      <c r="L7" s="58" t="s">
        <v>338</v>
      </c>
      <c r="M7" s="18" t="str">
        <f>IF(Fuel_Veh[[#This Row],[Month]]&lt;&gt;"",VLOOKUP(Fuel_Veh[[#This Row],[Month]], dropdown!$S$4:$T$15, 2, FALSE),"")</f>
        <v>Q1</v>
      </c>
      <c r="N7" s="29">
        <v>217</v>
      </c>
      <c r="O7" s="17" t="str">
        <f>IF($K7="","",VLOOKUP($K7,dropdown!$P$14:$Q$18,2,FALSE))</f>
        <v>Liters</v>
      </c>
      <c r="P7" s="29">
        <v>868</v>
      </c>
      <c r="Q7" s="17" t="str">
        <f t="shared" ref="Q7:Q70" si="0">IF($P7="","","Kilometers")</f>
        <v>Kilometers</v>
      </c>
      <c r="R7" s="195"/>
    </row>
    <row r="8" spans="2:18" x14ac:dyDescent="0.2">
      <c r="I8" s="194">
        <f>IF($J8="","",$I7+1)</f>
        <v>2</v>
      </c>
      <c r="J8" s="57" t="s">
        <v>343</v>
      </c>
      <c r="K8" s="57" t="s">
        <v>63</v>
      </c>
      <c r="L8" s="58" t="s">
        <v>89</v>
      </c>
      <c r="M8" s="18" t="str">
        <f>IF(Fuel_Veh[[#This Row],[Month]]&lt;&gt;"",VLOOKUP(Fuel_Veh[[#This Row],[Month]], dropdown!$S$4:$T$15, 2, FALSE),"")</f>
        <v>Q1</v>
      </c>
      <c r="N8" s="29">
        <v>202</v>
      </c>
      <c r="O8" s="17"/>
      <c r="P8" s="29">
        <v>808</v>
      </c>
      <c r="Q8" s="17" t="str">
        <f t="shared" si="0"/>
        <v>Kilometers</v>
      </c>
      <c r="R8" s="195"/>
    </row>
    <row r="9" spans="2:18" x14ac:dyDescent="0.2">
      <c r="B9" s="14" t="s">
        <v>33</v>
      </c>
      <c r="C9" s="14"/>
      <c r="D9" s="14"/>
      <c r="E9" s="14"/>
      <c r="F9" s="14"/>
      <c r="G9" s="14"/>
      <c r="I9" s="194">
        <f>IF($J9="","",$I8+1)</f>
        <v>3</v>
      </c>
      <c r="J9" s="57" t="s">
        <v>343</v>
      </c>
      <c r="K9" s="57" t="s">
        <v>63</v>
      </c>
      <c r="L9" s="58" t="s">
        <v>362</v>
      </c>
      <c r="M9" s="18" t="str">
        <f>IF(Fuel_Veh[[#This Row],[Month]]&lt;&gt;"",VLOOKUP(Fuel_Veh[[#This Row],[Month]], dropdown!$S$4:$T$15, 2, FALSE),"")</f>
        <v>Q1</v>
      </c>
      <c r="N9" s="29">
        <v>218</v>
      </c>
      <c r="O9" s="17" t="str">
        <f>IF($K9="","",VLOOKUP($K9,dropdown!$P$14:$Q$18,2,FALSE))</f>
        <v>Liters</v>
      </c>
      <c r="P9" s="29">
        <v>872</v>
      </c>
      <c r="Q9" s="17" t="str">
        <f t="shared" si="0"/>
        <v>Kilometers</v>
      </c>
      <c r="R9" s="195"/>
    </row>
    <row r="10" spans="2:18" x14ac:dyDescent="0.2">
      <c r="B10" s="13" t="s">
        <v>35</v>
      </c>
      <c r="C10" s="13" t="s">
        <v>51</v>
      </c>
      <c r="D10" s="40" t="s">
        <v>45</v>
      </c>
      <c r="E10" s="40" t="s">
        <v>149</v>
      </c>
      <c r="F10" s="40" t="s">
        <v>150</v>
      </c>
      <c r="G10" s="40" t="s">
        <v>151</v>
      </c>
      <c r="I10" s="194">
        <f>IF($J10="","",$I9+1)</f>
        <v>4</v>
      </c>
      <c r="J10" s="57" t="s">
        <v>343</v>
      </c>
      <c r="K10" s="57" t="s">
        <v>63</v>
      </c>
      <c r="L10" s="58" t="s">
        <v>371</v>
      </c>
      <c r="M10" s="18" t="str">
        <f>IF(Fuel_Veh[[#This Row],[Month]]&lt;&gt;"",VLOOKUP(Fuel_Veh[[#This Row],[Month]], dropdown!$S$4:$T$15, 2, FALSE),"")</f>
        <v>Q2</v>
      </c>
      <c r="N10" s="29">
        <v>211</v>
      </c>
      <c r="O10" s="17" t="str">
        <f>IF($K10="","",VLOOKUP($K10,dropdown!$P$14:$Q$18,2,FALSE))</f>
        <v>Liters</v>
      </c>
      <c r="P10" s="29">
        <v>844</v>
      </c>
      <c r="Q10" s="17" t="str">
        <f t="shared" si="0"/>
        <v>Kilometers</v>
      </c>
      <c r="R10" s="195"/>
    </row>
    <row r="11" spans="2:18" x14ac:dyDescent="0.2">
      <c r="B11" s="17" t="str">
        <f>dropdown!$P15</f>
        <v>Diesel - Transport vehicles</v>
      </c>
      <c r="C11" s="17" t="str">
        <f>dropdown!$Q15</f>
        <v>Liters</v>
      </c>
      <c r="D11" s="41">
        <f>SUMIFS(Fuel_Veh[Consumption],Fuel_Veh[Quarter],D$10,Fuel_Veh[Fuel Type],$B$11)</f>
        <v>937</v>
      </c>
      <c r="E11" s="41">
        <f>SUMIFS(Fuel_Veh[Consumption],Fuel_Veh[Quarter],E$10,Fuel_Veh[Fuel Type],$B$11)</f>
        <v>920</v>
      </c>
      <c r="F11" s="41">
        <f>SUMIFS(Fuel_Veh[Consumption],Fuel_Veh[Quarter],F$10,Fuel_Veh[Fuel Type],$B$11)</f>
        <v>0</v>
      </c>
      <c r="G11" s="41">
        <f>SUMIFS(Fuel_Veh[Consumption],Fuel_Veh[Quarter],G$10,Fuel_Veh[Fuel Type],$B$11)</f>
        <v>0</v>
      </c>
      <c r="I11" s="194">
        <f>IF($J11="","",$I10+1)</f>
        <v>5</v>
      </c>
      <c r="J11" s="57" t="s">
        <v>343</v>
      </c>
      <c r="K11" s="57" t="s">
        <v>63</v>
      </c>
      <c r="L11" s="58" t="s">
        <v>379</v>
      </c>
      <c r="M11" s="18" t="str">
        <f>IF(Fuel_Veh[[#This Row],[Month]]&lt;&gt;"",VLOOKUP(Fuel_Veh[[#This Row],[Month]], dropdown!$S$4:$T$15, 2, FALSE),"")</f>
        <v>Q2</v>
      </c>
      <c r="N11" s="29">
        <v>214</v>
      </c>
      <c r="O11" s="17" t="str">
        <f>IF($K11="","",VLOOKUP($K11,dropdown!$P$14:$Q$18,2,FALSE))</f>
        <v>Liters</v>
      </c>
      <c r="P11" s="29">
        <v>856</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386</v>
      </c>
      <c r="M12" s="18" t="str">
        <f>IF(Fuel_Veh[[#This Row],[Month]]&lt;&gt;"",VLOOKUP(Fuel_Veh[[#This Row],[Month]], dropdown!$S$4:$T$15, 2, FALSE),"")</f>
        <v>Q2</v>
      </c>
      <c r="N12" s="29">
        <v>238</v>
      </c>
      <c r="O12" s="17" t="str">
        <f>IF($K12="","",VLOOKUP($K12,dropdown!$P$14:$Q$18,2,FALSE))</f>
        <v>Liters</v>
      </c>
      <c r="P12" s="29">
        <v>952</v>
      </c>
      <c r="Q12" s="17" t="str">
        <f t="shared" si="0"/>
        <v>Kilometers</v>
      </c>
      <c r="R12" s="195"/>
    </row>
    <row r="13" spans="2:18" ht="14" customHeight="1" x14ac:dyDescent="0.2">
      <c r="I13" s="194">
        <f t="shared" si="1"/>
        <v>7</v>
      </c>
      <c r="J13" s="57" t="s">
        <v>365</v>
      </c>
      <c r="K13" s="57" t="s">
        <v>63</v>
      </c>
      <c r="L13" s="58" t="s">
        <v>338</v>
      </c>
      <c r="M13" s="18" t="str">
        <f>IF(Fuel_Veh[[#This Row],[Month]]&lt;&gt;"",VLOOKUP(Fuel_Veh[[#This Row],[Month]], dropdown!$S$4:$T$15, 2, FALSE),"")</f>
        <v>Q1</v>
      </c>
      <c r="N13" s="29">
        <v>98</v>
      </c>
      <c r="O13" s="17" t="str">
        <f>IF($K13="","",VLOOKUP($K13,dropdown!$P$14:$Q$18,2,FALSE))</f>
        <v>Liters</v>
      </c>
      <c r="P13" s="29">
        <v>392</v>
      </c>
      <c r="Q13" s="17" t="str">
        <f t="shared" si="0"/>
        <v>Kilometers</v>
      </c>
      <c r="R13" s="195"/>
    </row>
    <row r="14" spans="2:18" x14ac:dyDescent="0.2">
      <c r="B14" s="267" t="s">
        <v>38</v>
      </c>
      <c r="I14" s="194">
        <f t="shared" si="1"/>
        <v>8</v>
      </c>
      <c r="J14" s="57" t="s">
        <v>365</v>
      </c>
      <c r="K14" s="57" t="s">
        <v>63</v>
      </c>
      <c r="L14" s="58" t="s">
        <v>89</v>
      </c>
      <c r="M14" s="18" t="str">
        <f>IF(Fuel_Veh[[#This Row],[Month]]&lt;&gt;"",VLOOKUP(Fuel_Veh[[#This Row],[Month]], dropdown!$S$4:$T$15, 2, FALSE),"")</f>
        <v>Q1</v>
      </c>
      <c r="N14" s="29">
        <v>118</v>
      </c>
      <c r="O14" s="17" t="str">
        <f>IF($K14="","",VLOOKUP($K14,dropdown!$P$14:$Q$18,2,FALSE))</f>
        <v>Liters</v>
      </c>
      <c r="P14" s="29">
        <v>472</v>
      </c>
      <c r="Q14" s="17" t="str">
        <f t="shared" si="0"/>
        <v>Kilometers</v>
      </c>
      <c r="R14" s="195"/>
    </row>
    <row r="15" spans="2:18" x14ac:dyDescent="0.2">
      <c r="B15" s="268" t="s">
        <v>175</v>
      </c>
      <c r="I15" s="194">
        <f t="shared" si="1"/>
        <v>9</v>
      </c>
      <c r="J15" s="57" t="s">
        <v>365</v>
      </c>
      <c r="K15" s="57" t="s">
        <v>63</v>
      </c>
      <c r="L15" s="58" t="s">
        <v>362</v>
      </c>
      <c r="M15" s="18" t="str">
        <f>IF(Fuel_Veh[[#This Row],[Month]]&lt;&gt;"",VLOOKUP(Fuel_Veh[[#This Row],[Month]], dropdown!$S$4:$T$15, 2, FALSE),"")</f>
        <v>Q1</v>
      </c>
      <c r="N15" s="29">
        <v>84</v>
      </c>
      <c r="O15" s="17" t="str">
        <f>IF($K15="","",VLOOKUP($K15,dropdown!$P$14:$Q$18,2,FALSE))</f>
        <v>Liters</v>
      </c>
      <c r="P15" s="29">
        <v>336</v>
      </c>
      <c r="Q15" s="17" t="str">
        <f t="shared" si="0"/>
        <v>Kilometers</v>
      </c>
      <c r="R15" s="195"/>
    </row>
    <row r="16" spans="2:18" x14ac:dyDescent="0.2">
      <c r="B16" s="266" t="s">
        <v>176</v>
      </c>
      <c r="I16" s="194">
        <f t="shared" si="1"/>
        <v>10</v>
      </c>
      <c r="J16" s="57" t="s">
        <v>365</v>
      </c>
      <c r="K16" s="57" t="s">
        <v>63</v>
      </c>
      <c r="L16" s="58" t="s">
        <v>371</v>
      </c>
      <c r="M16" s="18" t="str">
        <f>IF(Fuel_Veh[[#This Row],[Month]]&lt;&gt;"",VLOOKUP(Fuel_Veh[[#This Row],[Month]], dropdown!$S$4:$T$15, 2, FALSE),"")</f>
        <v>Q2</v>
      </c>
      <c r="N16" s="29">
        <v>111</v>
      </c>
      <c r="O16" s="17" t="str">
        <f>IF($K16="","",VLOOKUP($K16,dropdown!$P$14:$Q$18,2,FALSE))</f>
        <v>Liters</v>
      </c>
      <c r="P16" s="29">
        <v>444</v>
      </c>
      <c r="Q16" s="17" t="str">
        <f t="shared" si="0"/>
        <v>Kilometers</v>
      </c>
      <c r="R16" s="195"/>
    </row>
    <row r="17" spans="2:18" x14ac:dyDescent="0.2">
      <c r="B17" s="17" t="s">
        <v>177</v>
      </c>
      <c r="I17" s="194">
        <f t="shared" si="1"/>
        <v>11</v>
      </c>
      <c r="J17" s="57" t="s">
        <v>365</v>
      </c>
      <c r="K17" s="57" t="s">
        <v>63</v>
      </c>
      <c r="L17" s="58" t="s">
        <v>379</v>
      </c>
      <c r="M17" s="18" t="str">
        <f>IF(Fuel_Veh[[#This Row],[Month]]&lt;&gt;"",VLOOKUP(Fuel_Veh[[#This Row],[Month]], dropdown!$S$4:$T$15, 2, FALSE),"")</f>
        <v>Q2</v>
      </c>
      <c r="N17" s="29">
        <v>68</v>
      </c>
      <c r="O17" s="17" t="str">
        <f>IF($K17="","",VLOOKUP($K17,dropdown!$P$14:$Q$18,2,FALSE))</f>
        <v>Liters</v>
      </c>
      <c r="P17" s="29">
        <v>272</v>
      </c>
      <c r="Q17" s="17" t="str">
        <f t="shared" si="0"/>
        <v>Kilometers</v>
      </c>
      <c r="R17" s="195"/>
    </row>
    <row r="18" spans="2:18" x14ac:dyDescent="0.2">
      <c r="I18" s="194">
        <f t="shared" si="1"/>
        <v>12</v>
      </c>
      <c r="J18" s="57" t="s">
        <v>365</v>
      </c>
      <c r="K18" s="57" t="s">
        <v>63</v>
      </c>
      <c r="L18" s="58" t="s">
        <v>386</v>
      </c>
      <c r="M18" s="18" t="str">
        <f>IF(Fuel_Veh[[#This Row],[Month]]&lt;&gt;"",VLOOKUP(Fuel_Veh[[#This Row],[Month]], dropdown!$S$4:$T$15, 2, FALSE),"")</f>
        <v>Q2</v>
      </c>
      <c r="N18" s="29">
        <v>78</v>
      </c>
      <c r="O18" s="17" t="str">
        <f>IF($K18="","",VLOOKUP($K18,dropdown!$P$14:$Q$18,2,FALSE))</f>
        <v>Liters</v>
      </c>
      <c r="P18" s="29">
        <v>312</v>
      </c>
      <c r="Q18" s="17" t="str">
        <f t="shared" si="0"/>
        <v>Kilometers</v>
      </c>
      <c r="R18" s="195"/>
    </row>
    <row r="19" spans="2:18" x14ac:dyDescent="0.2">
      <c r="I19" s="194" t="str">
        <f t="shared" si="1"/>
        <v/>
      </c>
      <c r="J19" s="57"/>
      <c r="K19" s="57"/>
      <c r="L19" s="58"/>
      <c r="M19" s="18" t="str">
        <f>IF(Fuel_Veh[[#This Row],[Month]]&lt;&gt;"",VLOOKUP(Fuel_Veh[[#This Row],[Month]], dropdown!$S$4:$T$15, 2, FALSE),"")</f>
        <v/>
      </c>
      <c r="N19" s="29"/>
      <c r="O19" s="17" t="str">
        <f>IF($K19="","",VLOOKUP($K19,dropdown!$P$14:$Q$18,2,FALSE))</f>
        <v/>
      </c>
      <c r="P19" s="29"/>
      <c r="Q19" s="17" t="str">
        <f t="shared" si="0"/>
        <v/>
      </c>
      <c r="R19" s="195"/>
    </row>
    <row r="20" spans="2:18" x14ac:dyDescent="0.2">
      <c r="I20" s="194" t="str">
        <f t="shared" si="1"/>
        <v/>
      </c>
      <c r="J20" s="57"/>
      <c r="K20" s="57"/>
      <c r="L20" s="58"/>
      <c r="M20" s="18" t="str">
        <f>IF(Fuel_Veh[[#This Row],[Month]]&lt;&gt;"",VLOOKUP(Fuel_Veh[[#This Row],[Month]], dropdown!$S$4:$T$15, 2, FALSE),"")</f>
        <v/>
      </c>
      <c r="N20" s="29"/>
      <c r="O20" s="17" t="str">
        <f>IF($K20="","",VLOOKUP($K20,dropdown!$P$14:$Q$18,2,FALSE))</f>
        <v/>
      </c>
      <c r="P20" s="29"/>
      <c r="Q20" s="17" t="str">
        <f t="shared" si="0"/>
        <v/>
      </c>
      <c r="R20" s="195"/>
    </row>
    <row r="21" spans="2:18" x14ac:dyDescent="0.2">
      <c r="I21" s="194" t="str">
        <f t="shared" si="1"/>
        <v/>
      </c>
      <c r="J21" s="57"/>
      <c r="K21" s="57"/>
      <c r="L21" s="58"/>
      <c r="M21" s="18" t="str">
        <f>IF(Fuel_Veh[[#This Row],[Month]]&lt;&gt;"",VLOOKUP(Fuel_Veh[[#This Row],[Month]], dropdown!$S$4:$T$15, 2, FALSE),"")</f>
        <v/>
      </c>
      <c r="N21" s="29"/>
      <c r="O21" s="17" t="str">
        <f>IF($K21="","",VLOOKUP($K21,dropdown!$P$14:$Q$18,2,FALSE))</f>
        <v/>
      </c>
      <c r="P21" s="29"/>
      <c r="Q21" s="17" t="str">
        <f t="shared" si="0"/>
        <v/>
      </c>
      <c r="R21" s="195"/>
    </row>
    <row r="22" spans="2:18" x14ac:dyDescent="0.2">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x14ac:dyDescent="0.2">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C6" sqref="C6:G6"/>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Cotabato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1431</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45911</v>
      </c>
      <c r="D7" s="448"/>
      <c r="E7" s="448"/>
      <c r="F7" s="448"/>
      <c r="G7" s="449"/>
      <c r="I7" s="418" t="s">
        <v>154</v>
      </c>
      <c r="J7" s="417"/>
      <c r="K7" s="415"/>
      <c r="L7" s="415"/>
      <c r="M7" s="415"/>
      <c r="N7" s="415"/>
      <c r="O7" s="455" t="s">
        <v>183</v>
      </c>
      <c r="P7" s="455"/>
      <c r="Q7" s="456" t="s">
        <v>184</v>
      </c>
      <c r="R7" s="457"/>
      <c r="S7" s="458" t="s">
        <v>86</v>
      </c>
      <c r="T7" s="459"/>
      <c r="U7" s="459"/>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t="s">
        <v>1485</v>
      </c>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0" t="s">
        <v>192</v>
      </c>
      <c r="C22" s="451" t="s">
        <v>5</v>
      </c>
      <c r="D22" s="452"/>
      <c r="E22" s="451" t="s">
        <v>193</v>
      </c>
      <c r="F22" s="453"/>
      <c r="G22" s="453"/>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1"/>
      <c r="C23" s="451"/>
      <c r="D23" s="452"/>
      <c r="E23" s="451"/>
      <c r="F23" s="453"/>
      <c r="G23" s="453"/>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H2" sqref="H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Cotabato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1431</v>
      </c>
      <c r="D6" s="448"/>
      <c r="E6" s="448"/>
      <c r="F6" s="448"/>
      <c r="G6" s="449"/>
    </row>
    <row r="7" spans="2:17" ht="12.75" customHeight="1" x14ac:dyDescent="0.2">
      <c r="B7" s="278" t="s">
        <v>174</v>
      </c>
      <c r="C7" s="450">
        <v>45911</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25401.599999999999</v>
      </c>
      <c r="M8" s="47">
        <v>228301.42</v>
      </c>
      <c r="N8" s="165" t="s">
        <v>454</v>
      </c>
      <c r="O8" s="195"/>
      <c r="P8" s="48"/>
      <c r="Q8" s="20"/>
    </row>
    <row r="9" spans="2:17" x14ac:dyDescent="0.2">
      <c r="I9" s="194"/>
      <c r="J9" s="58" t="s">
        <v>89</v>
      </c>
      <c r="K9" s="426" t="str">
        <f>IF(Electricity[[#This Row],[Month]]&lt;&gt;"",VLOOKUP(Electricity[[#This Row],[Month]], dropdown!$S$4:$T$15, 2, FALSE),"")</f>
        <v>Q1</v>
      </c>
      <c r="L9" s="29">
        <v>25848.2</v>
      </c>
      <c r="M9" s="47">
        <v>216330.54</v>
      </c>
      <c r="N9" s="165" t="s">
        <v>454</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23840.6</v>
      </c>
      <c r="M10" s="47">
        <v>207314.82</v>
      </c>
      <c r="N10" s="165" t="s">
        <v>454</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26406.799999999999</v>
      </c>
      <c r="M11" s="47">
        <v>253862.62</v>
      </c>
      <c r="N11" s="165" t="s">
        <v>454</v>
      </c>
      <c r="O11" s="195"/>
      <c r="P11" s="48"/>
      <c r="Q11" s="20"/>
    </row>
    <row r="12" spans="2:17" x14ac:dyDescent="0.2">
      <c r="B12" s="17" t="s">
        <v>207</v>
      </c>
      <c r="C12" s="17" t="s">
        <v>208</v>
      </c>
      <c r="D12" s="41">
        <f>SUMIFS(Electricity[Consumption (kWh)],Electricity[Quarter],D$11)</f>
        <v>75090.399999999994</v>
      </c>
      <c r="E12" s="41">
        <f>SUMIFS(Electricity[Consumption (kWh)],Electricity[Quarter],E$11)</f>
        <v>79254</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25373.599999999999</v>
      </c>
      <c r="M12" s="47">
        <v>223673.92</v>
      </c>
      <c r="N12" s="165" t="s">
        <v>454</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27473.599999999999</v>
      </c>
      <c r="M13" s="47">
        <v>229661.61</v>
      </c>
      <c r="N13" s="165" t="s">
        <v>454</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L8" sqref="L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Cotabato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t="s">
        <v>1431</v>
      </c>
      <c r="D6" s="448"/>
      <c r="E6" s="448"/>
      <c r="F6" s="448"/>
      <c r="G6" s="449"/>
      <c r="I6" s="248" t="s">
        <v>173</v>
      </c>
      <c r="J6" s="249" t="s">
        <v>39</v>
      </c>
      <c r="K6" s="249" t="s">
        <v>43</v>
      </c>
      <c r="L6" s="250" t="s">
        <v>115</v>
      </c>
      <c r="M6" s="352" t="s">
        <v>212</v>
      </c>
      <c r="N6" s="253" t="s">
        <v>54</v>
      </c>
      <c r="O6" s="349"/>
    </row>
    <row r="7" spans="2:16" x14ac:dyDescent="0.2">
      <c r="B7" s="278" t="s">
        <v>174</v>
      </c>
      <c r="C7" s="450">
        <v>45911</v>
      </c>
      <c r="D7" s="448"/>
      <c r="E7" s="448"/>
      <c r="F7" s="448"/>
      <c r="G7" s="449"/>
      <c r="I7" s="194" t="str">
        <f>IF(Electricity6[[#This Row],[Month]]="","",1)</f>
        <v/>
      </c>
      <c r="J7" s="58"/>
      <c r="K7" s="18" t="str">
        <f>IF(Electricity6[[#This Row],[Month]]&lt;&gt;"",VLOOKUP(Electricity6[[#This Row],[Month]], dropdown!$S$4:$T$15, 2, FALSE),"")</f>
        <v/>
      </c>
      <c r="L7" s="29" t="s">
        <v>1485</v>
      </c>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G8" sqref="G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Cotabato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45911</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53</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58</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68</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179</v>
      </c>
      <c r="E11" s="41">
        <f>SUMIFS(water_in[Volume (m3)],water_in[Quarter],E$10)</f>
        <v>190</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61</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59</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70</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Cotabato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M9" sqref="M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Cotabato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50">
        <v>45911</v>
      </c>
      <c r="D7" s="448"/>
      <c r="E7" s="448"/>
      <c r="F7" s="448"/>
      <c r="G7" s="449"/>
      <c r="I7" s="248" t="s">
        <v>173</v>
      </c>
      <c r="J7" s="249" t="s">
        <v>39</v>
      </c>
      <c r="K7" s="249" t="s">
        <v>43</v>
      </c>
      <c r="L7" s="249" t="s">
        <v>137</v>
      </c>
      <c r="M7" s="254" t="s">
        <v>140</v>
      </c>
      <c r="N7" s="255" t="s">
        <v>142</v>
      </c>
      <c r="O7" s="253" t="s">
        <v>54</v>
      </c>
      <c r="Q7" s="44"/>
    </row>
    <row r="8" spans="2:17" x14ac:dyDescent="0.2">
      <c r="I8" s="194" t="str">
        <f>IF($J8="","",1)</f>
        <v/>
      </c>
      <c r="J8" s="58"/>
      <c r="K8" s="194" t="str">
        <f>IF(Waste[[#This Row],[Month]]&lt;&gt;"",VLOOKUP(Waste[[#This Row],[Month]], dropdown!$S$4:$T$15, 2, FALSE),"")</f>
        <v/>
      </c>
      <c r="L8" s="57"/>
      <c r="M8" s="29" t="s">
        <v>1485</v>
      </c>
      <c r="N8" s="57"/>
      <c r="O8" s="195"/>
      <c r="Q8" s="44"/>
    </row>
    <row r="9" spans="2:17" x14ac:dyDescent="0.2">
      <c r="B9" s="14" t="s">
        <v>134</v>
      </c>
      <c r="C9" s="14"/>
      <c r="D9" s="14"/>
      <c r="E9" s="14"/>
      <c r="F9" s="14"/>
      <c r="G9" s="14"/>
      <c r="I9" s="194" t="str">
        <f t="shared" ref="I9:I72" si="0">IF($J9="","",$I8+1)</f>
        <v/>
      </c>
      <c r="J9" s="58"/>
      <c r="K9" s="194" t="str">
        <f>IF(Waste[[#This Row],[Month]]&lt;&gt;"",VLOOKUP(Waste[[#This Row],[Month]], dropdown!$S$4:$T$15, 2, FALSE),"")</f>
        <v/>
      </c>
      <c r="L9" s="57"/>
      <c r="M9" s="29"/>
      <c r="N9" s="57"/>
      <c r="O9" s="195"/>
      <c r="Q9" s="44"/>
    </row>
    <row r="10" spans="2:17" x14ac:dyDescent="0.2">
      <c r="B10" s="13" t="s">
        <v>137</v>
      </c>
      <c r="C10" s="13" t="s">
        <v>51</v>
      </c>
      <c r="D10" s="40" t="s">
        <v>45</v>
      </c>
      <c r="E10" s="40" t="s">
        <v>149</v>
      </c>
      <c r="F10" s="40" t="s">
        <v>150</v>
      </c>
      <c r="G10" s="40" t="s">
        <v>151</v>
      </c>
      <c r="I10" s="194" t="str">
        <f t="shared" si="0"/>
        <v/>
      </c>
      <c r="J10" s="58"/>
      <c r="K10" s="194" t="str">
        <f>IF(Waste[[#This Row],[Month]]&lt;&gt;"",VLOOKUP(Waste[[#This Row],[Month]], dropdown!$S$4:$T$15, 2, FALSE),"")</f>
        <v/>
      </c>
      <c r="L10" s="57"/>
      <c r="M10" s="29"/>
      <c r="N10" s="57"/>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t="str">
        <f t="shared" si="0"/>
        <v/>
      </c>
      <c r="J11" s="58"/>
      <c r="K11" s="194" t="str">
        <f>IF(Waste[[#This Row],[Month]]&lt;&gt;"",VLOOKUP(Waste[[#This Row],[Month]], dropdown!$S$4:$T$15, 2, FALSE),"")</f>
        <v/>
      </c>
      <c r="L11" s="57"/>
      <c r="M11" s="29"/>
      <c r="N11" s="57"/>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t="str">
        <f t="shared" si="0"/>
        <v/>
      </c>
      <c r="J12" s="58"/>
      <c r="K12" s="194" t="str">
        <f>IF(Waste[[#This Row],[Month]]&lt;&gt;"",VLOOKUP(Waste[[#This Row],[Month]], dropdown!$S$4:$T$15, 2, FALSE),"")</f>
        <v/>
      </c>
      <c r="L12" s="57"/>
      <c r="M12" s="29"/>
      <c r="N12" s="57"/>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t="str">
        <f t="shared" si="0"/>
        <v/>
      </c>
      <c r="J13" s="58"/>
      <c r="K13" s="194" t="str">
        <f>IF(Waste[[#This Row],[Month]]&lt;&gt;"",VLOOKUP(Waste[[#This Row],[Month]], dropdown!$S$4:$T$15, 2, FALSE),"")</f>
        <v/>
      </c>
      <c r="L13" s="57"/>
      <c r="M13" s="29"/>
      <c r="N13" s="57"/>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str">
        <f t="shared" si="0"/>
        <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Cotabato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336.31999999999994</v>
      </c>
      <c r="G13" s="73" t="str">
        <f>'1. Data Info and Summary'!$D18</f>
        <v>Liters</v>
      </c>
      <c r="I13" s="76">
        <f>VLOOKUP($E13,Emission_Factors!$A$1:$G$20,5,FALSE)</f>
        <v>2.68</v>
      </c>
      <c r="J13" s="141">
        <f>F13*I13</f>
        <v>901.33759999999984</v>
      </c>
      <c r="L13" s="73" t="s">
        <v>155</v>
      </c>
      <c r="M13" s="78">
        <f>SUM('2.3a Electricity'!$D$12:$G$12)</f>
        <v>154344.4</v>
      </c>
      <c r="N13" s="73" t="str">
        <f>'2.3a Electricity'!$C$12</f>
        <v>Kilowatt-hour</v>
      </c>
      <c r="P13" s="76">
        <f>VLOOKUP($L13,Emission_Factors!$A$1:$G$20,5,FALSE)</f>
        <v>0.56000000000000005</v>
      </c>
      <c r="Q13" s="141">
        <f>M13*P13</f>
        <v>86432.864000000001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901.33759999999984</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1857</v>
      </c>
      <c r="G22" s="73" t="str">
        <f>'1. Data Info and Summary'!$D26</f>
        <v>Liters</v>
      </c>
      <c r="I22" s="76">
        <f>VLOOKUP($E22,Emission_Factors!$A$1:$G$20,5,FALSE)</f>
        <v>2.68</v>
      </c>
      <c r="J22" s="141">
        <f>F22*I22</f>
        <v>4976.76</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4976.76</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637</v>
      </c>
      <c r="D33" s="337">
        <v>663</v>
      </c>
      <c r="E33" s="337">
        <v>1300</v>
      </c>
      <c r="I33" s="20"/>
      <c r="J33" s="20"/>
      <c r="K33" s="21"/>
      <c r="L33" s="21"/>
      <c r="M33" s="22"/>
      <c r="N33" s="22"/>
      <c r="O33" s="11"/>
      <c r="P33" s="22"/>
      <c r="Q33" s="20"/>
      <c r="R33" s="20"/>
      <c r="S33" s="44"/>
    </row>
    <row r="34" spans="1:19" outlineLevel="1" x14ac:dyDescent="0.2">
      <c r="A34" s="203" t="s">
        <v>63</v>
      </c>
      <c r="B34" s="337"/>
      <c r="C34" s="337">
        <v>637</v>
      </c>
      <c r="D34" s="337">
        <v>663</v>
      </c>
      <c r="E34" s="337">
        <v>1300</v>
      </c>
      <c r="I34" s="20"/>
      <c r="J34" s="20"/>
      <c r="K34" s="21"/>
      <c r="L34" s="21"/>
      <c r="M34" s="22"/>
      <c r="N34" s="22"/>
      <c r="O34" s="11"/>
      <c r="P34" s="22"/>
      <c r="Q34" s="20"/>
      <c r="R34" s="20"/>
      <c r="S34" s="44"/>
    </row>
    <row r="35" spans="1:19" outlineLevel="1" x14ac:dyDescent="0.2">
      <c r="A35" s="19" t="s">
        <v>365</v>
      </c>
      <c r="B35" s="337"/>
      <c r="C35" s="337">
        <v>300</v>
      </c>
      <c r="D35" s="337">
        <v>257</v>
      </c>
      <c r="E35" s="337">
        <v>557</v>
      </c>
      <c r="I35" s="20"/>
      <c r="J35" s="20"/>
      <c r="K35" s="21"/>
      <c r="L35" s="21"/>
      <c r="M35" s="22"/>
      <c r="N35" s="22"/>
      <c r="O35" s="11"/>
      <c r="P35" s="22"/>
      <c r="Q35" s="20"/>
      <c r="R35" s="20"/>
      <c r="S35" s="44"/>
    </row>
    <row r="36" spans="1:19" outlineLevel="1" x14ac:dyDescent="0.2">
      <c r="A36" s="203" t="s">
        <v>63</v>
      </c>
      <c r="B36" s="337"/>
      <c r="C36" s="337">
        <v>300</v>
      </c>
      <c r="D36" s="337">
        <v>257</v>
      </c>
      <c r="E36" s="337">
        <v>557</v>
      </c>
      <c r="H36" s="12"/>
      <c r="I36" s="20"/>
      <c r="J36" s="20"/>
      <c r="K36" s="21"/>
      <c r="L36" s="21"/>
      <c r="M36" s="22"/>
      <c r="N36" s="22"/>
      <c r="O36" s="11"/>
      <c r="P36" s="22"/>
      <c r="Q36" s="20"/>
      <c r="R36" s="20"/>
      <c r="S36" s="44"/>
    </row>
    <row r="37" spans="1:19" outlineLevel="1" x14ac:dyDescent="0.2">
      <c r="A37" s="19" t="s">
        <v>297</v>
      </c>
      <c r="B37" s="337"/>
      <c r="C37" s="337">
        <v>937</v>
      </c>
      <c r="D37" s="337">
        <v>920</v>
      </c>
      <c r="E37" s="337">
        <v>1857</v>
      </c>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95"/>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45909.398229166669</v>
      </c>
      <c r="B927" t="s">
        <v>1431</v>
      </c>
      <c r="C927" t="s">
        <v>597</v>
      </c>
      <c r="D927" t="s">
        <v>1230</v>
      </c>
      <c r="E927" t="s">
        <v>39</v>
      </c>
    </row>
    <row r="928" spans="1:5" x14ac:dyDescent="0.2">
      <c r="A928" s="269">
        <v>45909.398506944446</v>
      </c>
      <c r="B928" t="s">
        <v>1431</v>
      </c>
      <c r="C928" t="s">
        <v>27</v>
      </c>
      <c r="D928" t="s">
        <v>946</v>
      </c>
      <c r="E928" t="s">
        <v>37</v>
      </c>
    </row>
    <row r="929" spans="1:5" x14ac:dyDescent="0.2">
      <c r="A929" s="269">
        <v>45909.40960648148</v>
      </c>
      <c r="B929" t="s">
        <v>1431</v>
      </c>
      <c r="C929" t="s">
        <v>27</v>
      </c>
      <c r="D929" t="s">
        <v>1432</v>
      </c>
      <c r="E929" t="s">
        <v>37</v>
      </c>
    </row>
    <row r="930" spans="1:5" x14ac:dyDescent="0.2">
      <c r="A930" s="269">
        <v>45909.409641203703</v>
      </c>
      <c r="B930" t="s">
        <v>1431</v>
      </c>
      <c r="C930" t="s">
        <v>27</v>
      </c>
      <c r="D930" t="s">
        <v>1191</v>
      </c>
      <c r="E930" t="s">
        <v>37</v>
      </c>
    </row>
    <row r="931" spans="1:5" x14ac:dyDescent="0.2">
      <c r="A931" s="269">
        <v>45909.40965277778</v>
      </c>
      <c r="B931" t="s">
        <v>1431</v>
      </c>
      <c r="C931" t="s">
        <v>27</v>
      </c>
      <c r="D931" t="s">
        <v>795</v>
      </c>
      <c r="E931" t="s">
        <v>37</v>
      </c>
    </row>
    <row r="932" spans="1:5" x14ac:dyDescent="0.2">
      <c r="A932" s="269">
        <v>45909.409687500003</v>
      </c>
      <c r="B932" t="s">
        <v>1431</v>
      </c>
      <c r="C932" t="s">
        <v>27</v>
      </c>
      <c r="D932" t="s">
        <v>950</v>
      </c>
      <c r="E932" t="s">
        <v>338</v>
      </c>
    </row>
    <row r="933" spans="1:5" x14ac:dyDescent="0.2">
      <c r="A933" s="269">
        <v>45909.409733796296</v>
      </c>
      <c r="B933" t="s">
        <v>1431</v>
      </c>
      <c r="C933" t="s">
        <v>27</v>
      </c>
      <c r="D933" t="s">
        <v>1433</v>
      </c>
      <c r="E933" t="s">
        <v>89</v>
      </c>
    </row>
    <row r="934" spans="1:5" x14ac:dyDescent="0.2">
      <c r="A934" s="269">
        <v>45909.409756944442</v>
      </c>
      <c r="B934" t="s">
        <v>1431</v>
      </c>
      <c r="C934" t="s">
        <v>27</v>
      </c>
      <c r="D934" t="s">
        <v>1010</v>
      </c>
      <c r="E934" t="s">
        <v>362</v>
      </c>
    </row>
    <row r="935" spans="1:5" x14ac:dyDescent="0.2">
      <c r="A935" s="269">
        <v>45909.409780092596</v>
      </c>
      <c r="B935" t="s">
        <v>1431</v>
      </c>
      <c r="C935" t="s">
        <v>27</v>
      </c>
      <c r="D935" t="s">
        <v>995</v>
      </c>
      <c r="E935" t="s">
        <v>371</v>
      </c>
    </row>
    <row r="936" spans="1:5" x14ac:dyDescent="0.2">
      <c r="A936" s="269">
        <v>45909.409803240742</v>
      </c>
      <c r="B936" t="s">
        <v>1431</v>
      </c>
      <c r="C936" t="s">
        <v>27</v>
      </c>
      <c r="D936" t="s">
        <v>1014</v>
      </c>
      <c r="E936" t="s">
        <v>379</v>
      </c>
    </row>
    <row r="937" spans="1:5" x14ac:dyDescent="0.2">
      <c r="A937" s="269">
        <v>45909.409837962965</v>
      </c>
      <c r="B937" t="s">
        <v>1431</v>
      </c>
      <c r="C937" t="s">
        <v>27</v>
      </c>
      <c r="D937" t="s">
        <v>1017</v>
      </c>
      <c r="E937" t="s">
        <v>386</v>
      </c>
    </row>
    <row r="938" spans="1:5" x14ac:dyDescent="0.2">
      <c r="A938" s="269">
        <v>45909.409861111111</v>
      </c>
      <c r="B938" t="s">
        <v>1431</v>
      </c>
      <c r="C938" t="s">
        <v>27</v>
      </c>
      <c r="D938" t="s">
        <v>1434</v>
      </c>
      <c r="E938" t="s">
        <v>390</v>
      </c>
    </row>
    <row r="939" spans="1:5" x14ac:dyDescent="0.2">
      <c r="A939" s="269">
        <v>45909.409895833334</v>
      </c>
      <c r="B939" t="s">
        <v>1431</v>
      </c>
      <c r="C939" t="s">
        <v>27</v>
      </c>
      <c r="D939" t="s">
        <v>1435</v>
      </c>
      <c r="E939" t="s">
        <v>41</v>
      </c>
    </row>
    <row r="940" spans="1:5" x14ac:dyDescent="0.2">
      <c r="A940" s="269">
        <v>45909.409930555557</v>
      </c>
      <c r="B940" t="s">
        <v>1431</v>
      </c>
      <c r="C940" t="s">
        <v>27</v>
      </c>
      <c r="D940" t="s">
        <v>1436</v>
      </c>
      <c r="E940" t="s">
        <v>397</v>
      </c>
    </row>
    <row r="941" spans="1:5" x14ac:dyDescent="0.2">
      <c r="A941" s="269">
        <v>45909.409953703704</v>
      </c>
      <c r="B941" t="s">
        <v>1431</v>
      </c>
      <c r="C941" t="s">
        <v>27</v>
      </c>
      <c r="D941" t="s">
        <v>1437</v>
      </c>
      <c r="E941" t="s">
        <v>400</v>
      </c>
    </row>
    <row r="942" spans="1:5" x14ac:dyDescent="0.2">
      <c r="A942" s="269">
        <v>45909.409988425927</v>
      </c>
      <c r="B942" t="s">
        <v>1431</v>
      </c>
      <c r="C942" t="s">
        <v>27</v>
      </c>
      <c r="D942" t="s">
        <v>1438</v>
      </c>
      <c r="E942" t="s">
        <v>404</v>
      </c>
    </row>
    <row r="943" spans="1:5" x14ac:dyDescent="0.2">
      <c r="A943" s="269">
        <v>45909.410011574073</v>
      </c>
      <c r="B943" t="s">
        <v>1431</v>
      </c>
      <c r="C943" t="s">
        <v>27</v>
      </c>
      <c r="D943" t="s">
        <v>1439</v>
      </c>
      <c r="E943" t="s">
        <v>407</v>
      </c>
    </row>
    <row r="944" spans="1:5" x14ac:dyDescent="0.2">
      <c r="A944" s="269">
        <v>45909.410462962966</v>
      </c>
      <c r="B944" t="s">
        <v>1431</v>
      </c>
      <c r="C944" t="s">
        <v>27</v>
      </c>
      <c r="D944" t="s">
        <v>1440</v>
      </c>
      <c r="E944" t="s">
        <v>338</v>
      </c>
    </row>
    <row r="945" spans="1:5" x14ac:dyDescent="0.2">
      <c r="A945" s="269">
        <v>45909.410497685189</v>
      </c>
      <c r="B945" t="s">
        <v>1431</v>
      </c>
      <c r="C945" t="s">
        <v>27</v>
      </c>
      <c r="D945" t="s">
        <v>1441</v>
      </c>
      <c r="E945" t="s">
        <v>89</v>
      </c>
    </row>
    <row r="946" spans="1:5" x14ac:dyDescent="0.2">
      <c r="A946" s="269">
        <v>45909.410520833335</v>
      </c>
      <c r="B946" t="s">
        <v>1431</v>
      </c>
      <c r="C946" t="s">
        <v>27</v>
      </c>
      <c r="D946" t="s">
        <v>1442</v>
      </c>
      <c r="E946" t="s">
        <v>362</v>
      </c>
    </row>
    <row r="947" spans="1:5" x14ac:dyDescent="0.2">
      <c r="A947" s="269">
        <v>45909.410543981481</v>
      </c>
      <c r="B947" t="s">
        <v>1431</v>
      </c>
      <c r="C947" t="s">
        <v>27</v>
      </c>
      <c r="D947" t="s">
        <v>1443</v>
      </c>
      <c r="E947" t="s">
        <v>371</v>
      </c>
    </row>
    <row r="948" spans="1:5" x14ac:dyDescent="0.2">
      <c r="A948" s="269">
        <v>45909.410578703704</v>
      </c>
      <c r="B948" t="s">
        <v>1431</v>
      </c>
      <c r="C948" t="s">
        <v>27</v>
      </c>
      <c r="D948" t="s">
        <v>1444</v>
      </c>
      <c r="E948" t="s">
        <v>379</v>
      </c>
    </row>
    <row r="949" spans="1:5" x14ac:dyDescent="0.2">
      <c r="A949" s="269">
        <v>45909.410613425927</v>
      </c>
      <c r="B949" t="s">
        <v>1431</v>
      </c>
      <c r="C949" t="s">
        <v>27</v>
      </c>
      <c r="D949" t="s">
        <v>1445</v>
      </c>
      <c r="E949" t="s">
        <v>386</v>
      </c>
    </row>
    <row r="950" spans="1:5" x14ac:dyDescent="0.2">
      <c r="A950" s="269">
        <v>45909.410682870373</v>
      </c>
      <c r="B950" t="s">
        <v>1431</v>
      </c>
      <c r="C950" t="s">
        <v>27</v>
      </c>
      <c r="D950" t="s">
        <v>1013</v>
      </c>
      <c r="E950" t="s">
        <v>37</v>
      </c>
    </row>
    <row r="951" spans="1:5" x14ac:dyDescent="0.2">
      <c r="A951" s="269">
        <v>45909.410694444443</v>
      </c>
      <c r="B951" t="s">
        <v>1431</v>
      </c>
      <c r="C951" t="s">
        <v>27</v>
      </c>
      <c r="D951" t="s">
        <v>747</v>
      </c>
      <c r="E951" t="s">
        <v>37</v>
      </c>
    </row>
    <row r="952" spans="1:5" x14ac:dyDescent="0.2">
      <c r="A952" s="269">
        <v>45909.410717592589</v>
      </c>
      <c r="B952" t="s">
        <v>1431</v>
      </c>
      <c r="C952" t="s">
        <v>27</v>
      </c>
      <c r="D952" t="s">
        <v>1446</v>
      </c>
      <c r="E952" t="s">
        <v>37</v>
      </c>
    </row>
    <row r="953" spans="1:5" x14ac:dyDescent="0.2">
      <c r="A953" s="269">
        <v>45909.410740740743</v>
      </c>
      <c r="B953" t="s">
        <v>1431</v>
      </c>
      <c r="C953" t="s">
        <v>27</v>
      </c>
      <c r="D953" t="s">
        <v>1447</v>
      </c>
      <c r="E953" t="s">
        <v>37</v>
      </c>
    </row>
    <row r="954" spans="1:5" x14ac:dyDescent="0.2">
      <c r="A954" s="269">
        <v>45909.410752314812</v>
      </c>
      <c r="B954" t="s">
        <v>1431</v>
      </c>
      <c r="C954" t="s">
        <v>27</v>
      </c>
      <c r="D954" t="s">
        <v>675</v>
      </c>
      <c r="E954" t="s">
        <v>37</v>
      </c>
    </row>
    <row r="955" spans="1:5" x14ac:dyDescent="0.2">
      <c r="A955" s="269">
        <v>45909.410763888889</v>
      </c>
      <c r="B955" t="s">
        <v>1431</v>
      </c>
      <c r="C955" t="s">
        <v>27</v>
      </c>
      <c r="D955" t="s">
        <v>1448</v>
      </c>
      <c r="E955" t="s">
        <v>37</v>
      </c>
    </row>
    <row r="956" spans="1:5" x14ac:dyDescent="0.2">
      <c r="A956" s="269">
        <v>45909.410798611112</v>
      </c>
      <c r="B956" t="s">
        <v>1431</v>
      </c>
      <c r="C956" t="s">
        <v>27</v>
      </c>
      <c r="D956" t="s">
        <v>1449</v>
      </c>
      <c r="E956" t="s">
        <v>37</v>
      </c>
    </row>
    <row r="957" spans="1:5" x14ac:dyDescent="0.2">
      <c r="A957" s="269">
        <v>45909.410810185182</v>
      </c>
      <c r="B957" t="s">
        <v>1431</v>
      </c>
      <c r="C957" t="s">
        <v>27</v>
      </c>
      <c r="D957" t="s">
        <v>1450</v>
      </c>
      <c r="E957" t="s">
        <v>37</v>
      </c>
    </row>
    <row r="958" spans="1:5" x14ac:dyDescent="0.2">
      <c r="A958" s="269">
        <v>45909.410833333335</v>
      </c>
      <c r="B958" t="s">
        <v>1431</v>
      </c>
      <c r="C958" t="s">
        <v>27</v>
      </c>
      <c r="D958" t="s">
        <v>677</v>
      </c>
      <c r="E958" t="s">
        <v>37</v>
      </c>
    </row>
    <row r="959" spans="1:5" x14ac:dyDescent="0.2">
      <c r="A959" s="269">
        <v>45909.410844907405</v>
      </c>
      <c r="B959" t="s">
        <v>1431</v>
      </c>
      <c r="C959" t="s">
        <v>27</v>
      </c>
      <c r="D959" t="s">
        <v>674</v>
      </c>
      <c r="E959" t="s">
        <v>37</v>
      </c>
    </row>
    <row r="960" spans="1:5" x14ac:dyDescent="0.2">
      <c r="A960" s="269">
        <v>45909.410868055558</v>
      </c>
      <c r="B960" t="s">
        <v>1431</v>
      </c>
      <c r="C960" t="s">
        <v>27</v>
      </c>
      <c r="D960" t="s">
        <v>672</v>
      </c>
      <c r="E960" t="s">
        <v>37</v>
      </c>
    </row>
    <row r="961" spans="1:5" x14ac:dyDescent="0.2">
      <c r="A961" s="269">
        <v>45909.410891203705</v>
      </c>
      <c r="B961" t="s">
        <v>1431</v>
      </c>
      <c r="C961" t="s">
        <v>27</v>
      </c>
      <c r="D961" t="s">
        <v>678</v>
      </c>
      <c r="E961" t="s">
        <v>37</v>
      </c>
    </row>
    <row r="962" spans="1:5" x14ac:dyDescent="0.2">
      <c r="A962" s="269">
        <v>45909.410914351851</v>
      </c>
      <c r="B962" t="s">
        <v>1431</v>
      </c>
      <c r="C962" t="s">
        <v>27</v>
      </c>
      <c r="D962" t="s">
        <v>676</v>
      </c>
      <c r="E962" t="s">
        <v>37</v>
      </c>
    </row>
    <row r="963" spans="1:5" x14ac:dyDescent="0.2">
      <c r="A963" s="269">
        <v>45909.410949074074</v>
      </c>
      <c r="B963" t="s">
        <v>1431</v>
      </c>
      <c r="C963" t="s">
        <v>27</v>
      </c>
      <c r="D963" t="s">
        <v>1451</v>
      </c>
      <c r="E963" t="s">
        <v>37</v>
      </c>
    </row>
    <row r="964" spans="1:5" x14ac:dyDescent="0.2">
      <c r="A964" s="269">
        <v>45909.411979166667</v>
      </c>
      <c r="B964" t="s">
        <v>1431</v>
      </c>
      <c r="C964" t="s">
        <v>27</v>
      </c>
      <c r="D964" t="s">
        <v>777</v>
      </c>
      <c r="E964">
        <v>5</v>
      </c>
    </row>
    <row r="965" spans="1:5" x14ac:dyDescent="0.2">
      <c r="A965" s="269">
        <v>45909.412037037036</v>
      </c>
      <c r="B965" t="s">
        <v>1431</v>
      </c>
      <c r="C965" t="s">
        <v>27</v>
      </c>
      <c r="D965" t="s">
        <v>777</v>
      </c>
    </row>
    <row r="966" spans="1:5" x14ac:dyDescent="0.2">
      <c r="A966" s="269">
        <v>45909.412048611113</v>
      </c>
      <c r="B966" t="s">
        <v>1431</v>
      </c>
      <c r="C966" t="s">
        <v>27</v>
      </c>
      <c r="D966" t="s">
        <v>977</v>
      </c>
      <c r="E966">
        <v>5</v>
      </c>
    </row>
    <row r="967" spans="1:5" x14ac:dyDescent="0.2">
      <c r="A967" s="269">
        <v>45909.412268518521</v>
      </c>
      <c r="B967" t="s">
        <v>1431</v>
      </c>
      <c r="C967" t="s">
        <v>27</v>
      </c>
      <c r="D967" t="s">
        <v>923</v>
      </c>
      <c r="E967">
        <v>27.83</v>
      </c>
    </row>
    <row r="968" spans="1:5" x14ac:dyDescent="0.2">
      <c r="A968" s="269">
        <v>45909.412418981483</v>
      </c>
      <c r="B968" t="s">
        <v>1431</v>
      </c>
      <c r="C968" t="s">
        <v>27</v>
      </c>
      <c r="D968" t="s">
        <v>918</v>
      </c>
      <c r="E968">
        <v>8.4499999999999993</v>
      </c>
    </row>
    <row r="969" spans="1:5" x14ac:dyDescent="0.2">
      <c r="A969" s="269">
        <v>45909.412569444445</v>
      </c>
      <c r="B969" t="s">
        <v>1431</v>
      </c>
      <c r="C969" t="s">
        <v>27</v>
      </c>
      <c r="D969" t="s">
        <v>924</v>
      </c>
      <c r="E969">
        <v>62.18</v>
      </c>
    </row>
    <row r="970" spans="1:5" x14ac:dyDescent="0.2">
      <c r="A970" s="269">
        <v>45909.412789351853</v>
      </c>
      <c r="B970" t="s">
        <v>1431</v>
      </c>
      <c r="C970" t="s">
        <v>27</v>
      </c>
      <c r="D970" t="s">
        <v>1452</v>
      </c>
      <c r="E970">
        <v>24.78</v>
      </c>
    </row>
    <row r="971" spans="1:5" x14ac:dyDescent="0.2">
      <c r="A971" s="269">
        <v>45909.412928240738</v>
      </c>
      <c r="B971" t="s">
        <v>1431</v>
      </c>
      <c r="C971" t="s">
        <v>27</v>
      </c>
      <c r="D971" t="s">
        <v>981</v>
      </c>
      <c r="E971">
        <v>11.95</v>
      </c>
    </row>
    <row r="972" spans="1:5" x14ac:dyDescent="0.2">
      <c r="A972" s="269">
        <v>45909.413078703707</v>
      </c>
      <c r="B972" t="s">
        <v>1431</v>
      </c>
      <c r="C972" t="s">
        <v>27</v>
      </c>
      <c r="D972" t="s">
        <v>1453</v>
      </c>
      <c r="E972">
        <v>174.3</v>
      </c>
    </row>
    <row r="973" spans="1:5" x14ac:dyDescent="0.2">
      <c r="A973" s="269">
        <v>45909.413229166668</v>
      </c>
      <c r="B973" t="s">
        <v>1431</v>
      </c>
      <c r="C973" t="s">
        <v>27</v>
      </c>
      <c r="D973" t="s">
        <v>1454</v>
      </c>
      <c r="E973">
        <v>359.55</v>
      </c>
    </row>
    <row r="974" spans="1:5" x14ac:dyDescent="0.2">
      <c r="A974" s="269">
        <v>45909.41337962963</v>
      </c>
      <c r="B974" t="s">
        <v>1431</v>
      </c>
      <c r="C974" t="s">
        <v>27</v>
      </c>
      <c r="D974" t="s">
        <v>1455</v>
      </c>
      <c r="E974">
        <v>7.63</v>
      </c>
    </row>
    <row r="975" spans="1:5" x14ac:dyDescent="0.2">
      <c r="A975" s="269">
        <v>45909.413541666669</v>
      </c>
      <c r="B975" t="s">
        <v>1431</v>
      </c>
      <c r="C975" t="s">
        <v>27</v>
      </c>
      <c r="D975" t="s">
        <v>1456</v>
      </c>
      <c r="E975">
        <v>196.38</v>
      </c>
    </row>
    <row r="976" spans="1:5" x14ac:dyDescent="0.2">
      <c r="A976" s="269">
        <v>45909.413726851853</v>
      </c>
      <c r="B976" t="s">
        <v>1431</v>
      </c>
      <c r="C976" t="s">
        <v>27</v>
      </c>
      <c r="D976" t="s">
        <v>1457</v>
      </c>
      <c r="E976">
        <v>14.7</v>
      </c>
    </row>
    <row r="977" spans="1:5" x14ac:dyDescent="0.2">
      <c r="A977" s="269">
        <v>45909.413888888892</v>
      </c>
      <c r="B977" t="s">
        <v>1431</v>
      </c>
      <c r="C977" t="s">
        <v>27</v>
      </c>
      <c r="D977" t="s">
        <v>1458</v>
      </c>
      <c r="E977">
        <v>65.38</v>
      </c>
    </row>
    <row r="978" spans="1:5" x14ac:dyDescent="0.2">
      <c r="A978" s="269">
        <v>45909.414097222223</v>
      </c>
      <c r="B978" t="s">
        <v>1431</v>
      </c>
      <c r="C978" t="s">
        <v>27</v>
      </c>
      <c r="D978" t="s">
        <v>1459</v>
      </c>
      <c r="E978">
        <v>16.5</v>
      </c>
    </row>
    <row r="979" spans="1:5" x14ac:dyDescent="0.2">
      <c r="A979" s="269">
        <v>45909.414398148147</v>
      </c>
      <c r="B979" t="s">
        <v>1431</v>
      </c>
      <c r="C979" t="s">
        <v>27</v>
      </c>
      <c r="D979" t="s">
        <v>1460</v>
      </c>
      <c r="E979">
        <v>35.729999999999997</v>
      </c>
    </row>
    <row r="980" spans="1:5" x14ac:dyDescent="0.2">
      <c r="A980" s="269">
        <v>45909.414513888885</v>
      </c>
      <c r="B980" t="s">
        <v>1431</v>
      </c>
      <c r="C980" t="s">
        <v>27</v>
      </c>
      <c r="D980" t="s">
        <v>976</v>
      </c>
      <c r="E980">
        <v>0</v>
      </c>
    </row>
    <row r="981" spans="1:5" x14ac:dyDescent="0.2">
      <c r="A981" s="269">
        <v>45909.414525462962</v>
      </c>
      <c r="B981" t="s">
        <v>1431</v>
      </c>
      <c r="C981" t="s">
        <v>27</v>
      </c>
      <c r="D981" t="s">
        <v>973</v>
      </c>
      <c r="E981">
        <v>0</v>
      </c>
    </row>
    <row r="982" spans="1:5" x14ac:dyDescent="0.2">
      <c r="A982" s="269">
        <v>45909.414537037039</v>
      </c>
      <c r="B982" t="s">
        <v>1431</v>
      </c>
      <c r="C982" t="s">
        <v>27</v>
      </c>
      <c r="D982" t="s">
        <v>1461</v>
      </c>
      <c r="E982">
        <v>0</v>
      </c>
    </row>
    <row r="983" spans="1:5" x14ac:dyDescent="0.2">
      <c r="A983" s="269">
        <v>45909.414548611108</v>
      </c>
      <c r="B983" t="s">
        <v>1431</v>
      </c>
      <c r="C983" t="s">
        <v>27</v>
      </c>
      <c r="D983" t="s">
        <v>777</v>
      </c>
      <c r="E983">
        <v>0</v>
      </c>
    </row>
    <row r="984" spans="1:5" x14ac:dyDescent="0.2">
      <c r="A984" s="269">
        <v>45909.415879629632</v>
      </c>
      <c r="B984" t="s">
        <v>1431</v>
      </c>
      <c r="C984" t="s">
        <v>103</v>
      </c>
      <c r="D984" t="s">
        <v>1432</v>
      </c>
      <c r="E984" t="s">
        <v>89</v>
      </c>
    </row>
    <row r="985" spans="1:5" x14ac:dyDescent="0.2">
      <c r="A985" s="269">
        <v>45909.415902777779</v>
      </c>
      <c r="B985" t="s">
        <v>1431</v>
      </c>
      <c r="C985" t="s">
        <v>103</v>
      </c>
      <c r="D985" t="s">
        <v>1432</v>
      </c>
      <c r="E985" t="s">
        <v>338</v>
      </c>
    </row>
    <row r="986" spans="1:5" x14ac:dyDescent="0.2">
      <c r="A986" s="269">
        <v>45909.415925925925</v>
      </c>
      <c r="B986" t="s">
        <v>1431</v>
      </c>
      <c r="C986" t="s">
        <v>103</v>
      </c>
      <c r="D986" t="s">
        <v>1191</v>
      </c>
      <c r="E986" t="s">
        <v>89</v>
      </c>
    </row>
    <row r="987" spans="1:5" x14ac:dyDescent="0.2">
      <c r="A987" s="269">
        <v>45909.415949074071</v>
      </c>
      <c r="B987" t="s">
        <v>1431</v>
      </c>
      <c r="C987" t="s">
        <v>103</v>
      </c>
      <c r="D987" t="s">
        <v>795</v>
      </c>
      <c r="E987" t="s">
        <v>362</v>
      </c>
    </row>
    <row r="988" spans="1:5" x14ac:dyDescent="0.2">
      <c r="A988" s="269">
        <v>45909.415960648148</v>
      </c>
      <c r="B988" t="s">
        <v>1431</v>
      </c>
      <c r="C988" t="s">
        <v>103</v>
      </c>
      <c r="D988" t="s">
        <v>1013</v>
      </c>
      <c r="E988" t="s">
        <v>371</v>
      </c>
    </row>
    <row r="989" spans="1:5" x14ac:dyDescent="0.2">
      <c r="A989" s="269">
        <v>45909.415983796294</v>
      </c>
      <c r="B989" t="s">
        <v>1431</v>
      </c>
      <c r="C989" t="s">
        <v>103</v>
      </c>
      <c r="D989" t="s">
        <v>747</v>
      </c>
      <c r="E989" t="s">
        <v>371</v>
      </c>
    </row>
    <row r="990" spans="1:5" x14ac:dyDescent="0.2">
      <c r="A990" s="269">
        <v>45909.416006944448</v>
      </c>
      <c r="B990" t="s">
        <v>1431</v>
      </c>
      <c r="C990" t="s">
        <v>103</v>
      </c>
      <c r="D990" t="s">
        <v>747</v>
      </c>
      <c r="E990" t="s">
        <v>379</v>
      </c>
    </row>
    <row r="991" spans="1:5" x14ac:dyDescent="0.2">
      <c r="A991" s="269">
        <v>45909.416030092594</v>
      </c>
      <c r="B991" t="s">
        <v>1431</v>
      </c>
      <c r="C991" t="s">
        <v>103</v>
      </c>
      <c r="D991" t="s">
        <v>1446</v>
      </c>
      <c r="E991" t="s">
        <v>386</v>
      </c>
    </row>
    <row r="992" spans="1:5" x14ac:dyDescent="0.2">
      <c r="A992" s="269">
        <v>45909.416076388887</v>
      </c>
      <c r="B992" t="s">
        <v>1431</v>
      </c>
      <c r="C992" t="s">
        <v>103</v>
      </c>
      <c r="D992" t="s">
        <v>1447</v>
      </c>
      <c r="E992" t="s">
        <v>390</v>
      </c>
    </row>
    <row r="993" spans="1:5" x14ac:dyDescent="0.2">
      <c r="A993" s="269">
        <v>45909.41609953704</v>
      </c>
      <c r="B993" t="s">
        <v>1431</v>
      </c>
      <c r="C993" t="s">
        <v>103</v>
      </c>
      <c r="D993" t="s">
        <v>1448</v>
      </c>
      <c r="E993" t="s">
        <v>41</v>
      </c>
    </row>
    <row r="994" spans="1:5" x14ac:dyDescent="0.2">
      <c r="A994" s="269">
        <v>45909.416122685187</v>
      </c>
      <c r="B994" t="s">
        <v>1431</v>
      </c>
      <c r="C994" t="s">
        <v>103</v>
      </c>
      <c r="D994" t="s">
        <v>672</v>
      </c>
      <c r="E994" t="s">
        <v>397</v>
      </c>
    </row>
    <row r="995" spans="1:5" x14ac:dyDescent="0.2">
      <c r="A995" s="269">
        <v>45909.41615740741</v>
      </c>
      <c r="B995" t="s">
        <v>1431</v>
      </c>
      <c r="C995" t="s">
        <v>103</v>
      </c>
      <c r="D995" t="s">
        <v>674</v>
      </c>
      <c r="E995" t="s">
        <v>400</v>
      </c>
    </row>
    <row r="996" spans="1:5" x14ac:dyDescent="0.2">
      <c r="A996" s="269">
        <v>45909.416180555556</v>
      </c>
      <c r="B996" t="s">
        <v>1431</v>
      </c>
      <c r="C996" t="s">
        <v>103</v>
      </c>
      <c r="D996" t="s">
        <v>675</v>
      </c>
      <c r="E996" t="s">
        <v>404</v>
      </c>
    </row>
    <row r="997" spans="1:5" x14ac:dyDescent="0.2">
      <c r="A997" s="269">
        <v>45909.416203703702</v>
      </c>
      <c r="B997" t="s">
        <v>1431</v>
      </c>
      <c r="C997" t="s">
        <v>103</v>
      </c>
      <c r="D997" t="s">
        <v>676</v>
      </c>
      <c r="E997" t="s">
        <v>407</v>
      </c>
    </row>
    <row r="998" spans="1:5" x14ac:dyDescent="0.2">
      <c r="A998" s="269">
        <v>45909.416238425925</v>
      </c>
      <c r="B998" t="s">
        <v>1431</v>
      </c>
      <c r="C998" t="s">
        <v>103</v>
      </c>
      <c r="D998" t="s">
        <v>677</v>
      </c>
      <c r="E998" t="s">
        <v>338</v>
      </c>
    </row>
    <row r="999" spans="1:5" x14ac:dyDescent="0.2">
      <c r="A999" s="269">
        <v>45909.416261574072</v>
      </c>
      <c r="B999" t="s">
        <v>1431</v>
      </c>
      <c r="C999" t="s">
        <v>103</v>
      </c>
      <c r="D999" t="s">
        <v>678</v>
      </c>
      <c r="E999" t="s">
        <v>89</v>
      </c>
    </row>
    <row r="1000" spans="1:5" x14ac:dyDescent="0.2">
      <c r="A1000" s="269">
        <v>45909.416284722225</v>
      </c>
      <c r="B1000" t="s">
        <v>1431</v>
      </c>
      <c r="C1000" t="s">
        <v>103</v>
      </c>
      <c r="D1000" t="s">
        <v>1451</v>
      </c>
      <c r="E1000" t="s">
        <v>362</v>
      </c>
    </row>
    <row r="1001" spans="1:5" x14ac:dyDescent="0.2">
      <c r="A1001" s="269">
        <v>45909.416319444441</v>
      </c>
      <c r="B1001" t="s">
        <v>1431</v>
      </c>
      <c r="C1001" t="s">
        <v>103</v>
      </c>
      <c r="D1001" t="s">
        <v>1449</v>
      </c>
      <c r="E1001" t="s">
        <v>371</v>
      </c>
    </row>
    <row r="1002" spans="1:5" x14ac:dyDescent="0.2">
      <c r="A1002" s="269">
        <v>45909.416342592594</v>
      </c>
      <c r="B1002" t="s">
        <v>1431</v>
      </c>
      <c r="C1002" t="s">
        <v>103</v>
      </c>
      <c r="D1002" t="s">
        <v>1450</v>
      </c>
      <c r="E1002" t="s">
        <v>379</v>
      </c>
    </row>
    <row r="1003" spans="1:5" x14ac:dyDescent="0.2">
      <c r="A1003" s="269">
        <v>45909.416365740741</v>
      </c>
      <c r="B1003" t="s">
        <v>1431</v>
      </c>
      <c r="C1003" t="s">
        <v>103</v>
      </c>
      <c r="D1003" t="s">
        <v>1462</v>
      </c>
      <c r="E1003" t="s">
        <v>386</v>
      </c>
    </row>
    <row r="1004" spans="1:5" x14ac:dyDescent="0.2">
      <c r="A1004" s="269">
        <v>45909.416493055556</v>
      </c>
      <c r="B1004" t="s">
        <v>1431</v>
      </c>
      <c r="C1004" t="s">
        <v>103</v>
      </c>
      <c r="D1004" t="s">
        <v>1015</v>
      </c>
      <c r="E1004">
        <v>18045</v>
      </c>
    </row>
    <row r="1005" spans="1:5" x14ac:dyDescent="0.2">
      <c r="A1005" s="269">
        <v>45909.416724537034</v>
      </c>
      <c r="B1005" t="s">
        <v>1431</v>
      </c>
      <c r="C1005" t="s">
        <v>103</v>
      </c>
      <c r="D1005" t="s">
        <v>977</v>
      </c>
      <c r="E1005" s="442">
        <v>398636.91</v>
      </c>
    </row>
    <row r="1006" spans="1:5" x14ac:dyDescent="0.2">
      <c r="A1006" s="269">
        <v>45909.416828703703</v>
      </c>
      <c r="B1006" t="s">
        <v>1431</v>
      </c>
      <c r="C1006" t="s">
        <v>103</v>
      </c>
      <c r="D1006" t="s">
        <v>1463</v>
      </c>
      <c r="E1006" t="s">
        <v>454</v>
      </c>
    </row>
    <row r="1007" spans="1:5" x14ac:dyDescent="0.2">
      <c r="A1007" s="269">
        <v>45909.416967592595</v>
      </c>
      <c r="B1007" t="s">
        <v>1431</v>
      </c>
      <c r="C1007" t="s">
        <v>103</v>
      </c>
      <c r="D1007" t="s">
        <v>1464</v>
      </c>
      <c r="E1007" t="s">
        <v>454</v>
      </c>
    </row>
    <row r="1008" spans="1:5" x14ac:dyDescent="0.2">
      <c r="A1008" s="269">
        <v>45909.416967592595</v>
      </c>
      <c r="B1008" t="s">
        <v>1431</v>
      </c>
      <c r="C1008" t="s">
        <v>103</v>
      </c>
      <c r="D1008" t="s">
        <v>1465</v>
      </c>
      <c r="E1008" t="s">
        <v>454</v>
      </c>
    </row>
    <row r="1009" spans="1:5" x14ac:dyDescent="0.2">
      <c r="A1009" s="269">
        <v>45909.416979166665</v>
      </c>
      <c r="B1009" t="s">
        <v>1431</v>
      </c>
      <c r="C1009" t="s">
        <v>103</v>
      </c>
      <c r="D1009" t="s">
        <v>1466</v>
      </c>
      <c r="E1009" t="s">
        <v>454</v>
      </c>
    </row>
    <row r="1010" spans="1:5" x14ac:dyDescent="0.2">
      <c r="A1010" s="269">
        <v>45909.416990740741</v>
      </c>
      <c r="B1010" t="s">
        <v>1431</v>
      </c>
      <c r="C1010" t="s">
        <v>103</v>
      </c>
      <c r="D1010" t="s">
        <v>1467</v>
      </c>
      <c r="E1010" t="s">
        <v>454</v>
      </c>
    </row>
    <row r="1011" spans="1:5" x14ac:dyDescent="0.2">
      <c r="A1011" s="269">
        <v>45909.417002314818</v>
      </c>
      <c r="B1011" t="s">
        <v>1431</v>
      </c>
      <c r="C1011" t="s">
        <v>103</v>
      </c>
      <c r="D1011" t="s">
        <v>1468</v>
      </c>
      <c r="E1011" t="s">
        <v>454</v>
      </c>
    </row>
    <row r="1012" spans="1:5" x14ac:dyDescent="0.2">
      <c r="A1012" s="269">
        <v>45909.417025462964</v>
      </c>
      <c r="B1012" t="s">
        <v>1431</v>
      </c>
      <c r="C1012" t="s">
        <v>103</v>
      </c>
      <c r="D1012" t="s">
        <v>1469</v>
      </c>
      <c r="E1012" t="s">
        <v>454</v>
      </c>
    </row>
    <row r="1013" spans="1:5" x14ac:dyDescent="0.2">
      <c r="A1013" s="269">
        <v>45909.417037037034</v>
      </c>
      <c r="B1013" t="s">
        <v>1431</v>
      </c>
      <c r="C1013" t="s">
        <v>103</v>
      </c>
      <c r="D1013" t="s">
        <v>1470</v>
      </c>
      <c r="E1013" t="s">
        <v>454</v>
      </c>
    </row>
    <row r="1014" spans="1:5" x14ac:dyDescent="0.2">
      <c r="A1014" s="269">
        <v>45909.417129629626</v>
      </c>
      <c r="B1014" t="s">
        <v>1431</v>
      </c>
      <c r="C1014" t="s">
        <v>103</v>
      </c>
      <c r="D1014" t="s">
        <v>1018</v>
      </c>
      <c r="E1014">
        <v>29254</v>
      </c>
    </row>
    <row r="1015" spans="1:5" x14ac:dyDescent="0.2">
      <c r="A1015" s="269">
        <v>45909.417268518519</v>
      </c>
      <c r="B1015" t="s">
        <v>1431</v>
      </c>
      <c r="C1015" t="s">
        <v>103</v>
      </c>
      <c r="D1015" t="s">
        <v>923</v>
      </c>
      <c r="E1015" t="s">
        <v>1471</v>
      </c>
    </row>
    <row r="1016" spans="1:5" x14ac:dyDescent="0.2">
      <c r="A1016" s="269">
        <v>45909.417337962965</v>
      </c>
      <c r="B1016" t="s">
        <v>1431</v>
      </c>
      <c r="C1016" t="s">
        <v>103</v>
      </c>
      <c r="D1016" t="s">
        <v>923</v>
      </c>
      <c r="E1016" s="442">
        <v>329037.48</v>
      </c>
    </row>
    <row r="1017" spans="1:5" x14ac:dyDescent="0.2">
      <c r="A1017" s="269">
        <v>45909.417500000003</v>
      </c>
      <c r="B1017" t="s">
        <v>1431</v>
      </c>
      <c r="C1017" t="s">
        <v>103</v>
      </c>
      <c r="D1017" t="s">
        <v>1068</v>
      </c>
      <c r="E1017">
        <v>27225.78</v>
      </c>
    </row>
    <row r="1018" spans="1:5" x14ac:dyDescent="0.2">
      <c r="A1018" s="269">
        <v>45909.417604166665</v>
      </c>
      <c r="B1018" t="s">
        <v>1431</v>
      </c>
      <c r="C1018" t="s">
        <v>103</v>
      </c>
      <c r="D1018" t="s">
        <v>1068</v>
      </c>
      <c r="E1018">
        <v>27225.8</v>
      </c>
    </row>
    <row r="1019" spans="1:5" x14ac:dyDescent="0.2">
      <c r="A1019" s="269">
        <v>45909.417719907404</v>
      </c>
      <c r="B1019" t="s">
        <v>1431</v>
      </c>
      <c r="C1019" t="s">
        <v>103</v>
      </c>
      <c r="D1019" t="s">
        <v>918</v>
      </c>
      <c r="E1019" s="442">
        <v>228751.34</v>
      </c>
    </row>
    <row r="1020" spans="1:5" x14ac:dyDescent="0.2">
      <c r="A1020" s="269">
        <v>45909.417881944442</v>
      </c>
      <c r="B1020" t="s">
        <v>1431</v>
      </c>
      <c r="C1020" t="s">
        <v>103</v>
      </c>
      <c r="D1020" t="s">
        <v>1069</v>
      </c>
      <c r="E1020">
        <v>23672.6</v>
      </c>
    </row>
    <row r="1021" spans="1:5" x14ac:dyDescent="0.2">
      <c r="A1021" s="269">
        <v>45909.417986111112</v>
      </c>
      <c r="B1021" t="s">
        <v>1431</v>
      </c>
      <c r="C1021" t="s">
        <v>103</v>
      </c>
      <c r="D1021" t="s">
        <v>924</v>
      </c>
      <c r="E1021" s="442">
        <v>247554.97</v>
      </c>
    </row>
    <row r="1022" spans="1:5" x14ac:dyDescent="0.2">
      <c r="A1022" s="269">
        <v>45909.418124999997</v>
      </c>
      <c r="B1022" t="s">
        <v>1431</v>
      </c>
      <c r="C1022" t="s">
        <v>103</v>
      </c>
      <c r="D1022" t="s">
        <v>1472</v>
      </c>
      <c r="E1022">
        <v>25099.200000000001</v>
      </c>
    </row>
    <row r="1023" spans="1:5" x14ac:dyDescent="0.2">
      <c r="A1023" s="269">
        <v>45909.418287037035</v>
      </c>
      <c r="B1023" t="s">
        <v>1431</v>
      </c>
      <c r="C1023" t="s">
        <v>103</v>
      </c>
      <c r="D1023" t="s">
        <v>1452</v>
      </c>
      <c r="E1023" s="442">
        <v>263859.62</v>
      </c>
    </row>
    <row r="1024" spans="1:5" x14ac:dyDescent="0.2">
      <c r="A1024" s="269">
        <v>45909.419120370374</v>
      </c>
      <c r="B1024" t="s">
        <v>1431</v>
      </c>
      <c r="C1024" t="s">
        <v>103</v>
      </c>
      <c r="D1024" t="s">
        <v>1473</v>
      </c>
      <c r="E1024">
        <v>24225.599999999999</v>
      </c>
    </row>
    <row r="1025" spans="1:5" x14ac:dyDescent="0.2">
      <c r="A1025" s="269">
        <v>45909.419224537036</v>
      </c>
      <c r="B1025" t="s">
        <v>1431</v>
      </c>
      <c r="C1025" t="s">
        <v>103</v>
      </c>
      <c r="D1025" t="s">
        <v>981</v>
      </c>
      <c r="E1025" s="442">
        <v>219513.42</v>
      </c>
    </row>
    <row r="1026" spans="1:5" x14ac:dyDescent="0.2">
      <c r="A1026" s="269">
        <v>45909.419328703705</v>
      </c>
      <c r="B1026" t="s">
        <v>1431</v>
      </c>
      <c r="C1026" t="s">
        <v>103</v>
      </c>
      <c r="D1026" t="s">
        <v>1474</v>
      </c>
      <c r="E1026">
        <v>24661</v>
      </c>
    </row>
    <row r="1027" spans="1:5" x14ac:dyDescent="0.2">
      <c r="A1027" s="269">
        <v>45909.419490740744</v>
      </c>
      <c r="B1027" t="s">
        <v>1431</v>
      </c>
      <c r="C1027" t="s">
        <v>103</v>
      </c>
      <c r="D1027" t="s">
        <v>1453</v>
      </c>
      <c r="E1027" s="442">
        <v>203562.63</v>
      </c>
    </row>
    <row r="1028" spans="1:5" x14ac:dyDescent="0.2">
      <c r="A1028" s="269">
        <v>45909.419618055559</v>
      </c>
      <c r="B1028" t="s">
        <v>1431</v>
      </c>
      <c r="C1028" t="s">
        <v>103</v>
      </c>
      <c r="D1028" t="s">
        <v>1475</v>
      </c>
      <c r="E1028">
        <v>25181.8</v>
      </c>
    </row>
    <row r="1029" spans="1:5" x14ac:dyDescent="0.2">
      <c r="A1029" s="269">
        <v>45909.419814814813</v>
      </c>
      <c r="B1029" t="s">
        <v>1431</v>
      </c>
      <c r="C1029" t="s">
        <v>103</v>
      </c>
      <c r="D1029" t="s">
        <v>1454</v>
      </c>
      <c r="E1029" s="442">
        <v>238177.86</v>
      </c>
    </row>
    <row r="1030" spans="1:5" x14ac:dyDescent="0.2">
      <c r="A1030" s="269">
        <v>45909.419965277775</v>
      </c>
      <c r="B1030" t="s">
        <v>1431</v>
      </c>
      <c r="C1030" t="s">
        <v>103</v>
      </c>
      <c r="D1030" t="s">
        <v>1476</v>
      </c>
      <c r="E1030">
        <v>24845.8</v>
      </c>
    </row>
    <row r="1031" spans="1:5" x14ac:dyDescent="0.2">
      <c r="A1031" s="269">
        <v>45909.420092592591</v>
      </c>
      <c r="B1031" t="s">
        <v>1431</v>
      </c>
      <c r="C1031" t="s">
        <v>103</v>
      </c>
      <c r="D1031" t="s">
        <v>1455</v>
      </c>
      <c r="E1031" s="442">
        <v>238623.12</v>
      </c>
    </row>
    <row r="1032" spans="1:5" x14ac:dyDescent="0.2">
      <c r="A1032" s="269">
        <v>45909.420532407406</v>
      </c>
      <c r="B1032" t="s">
        <v>1431</v>
      </c>
      <c r="C1032" t="s">
        <v>103</v>
      </c>
      <c r="D1032" t="s">
        <v>1477</v>
      </c>
      <c r="E1032">
        <v>25401.599999999999</v>
      </c>
    </row>
    <row r="1033" spans="1:5" x14ac:dyDescent="0.2">
      <c r="A1033" s="269">
        <v>45909.420624999999</v>
      </c>
      <c r="B1033" t="s">
        <v>1431</v>
      </c>
      <c r="C1033" t="s">
        <v>103</v>
      </c>
      <c r="D1033" t="s">
        <v>1456</v>
      </c>
      <c r="E1033" s="442">
        <v>228301.42</v>
      </c>
    </row>
    <row r="1034" spans="1:5" x14ac:dyDescent="0.2">
      <c r="A1034" s="269">
        <v>45909.420729166668</v>
      </c>
      <c r="B1034" t="s">
        <v>1431</v>
      </c>
      <c r="C1034" t="s">
        <v>103</v>
      </c>
      <c r="D1034" t="s">
        <v>1478</v>
      </c>
      <c r="E1034">
        <v>25848.2</v>
      </c>
    </row>
    <row r="1035" spans="1:5" x14ac:dyDescent="0.2">
      <c r="A1035" s="269">
        <v>45909.42082175926</v>
      </c>
      <c r="B1035" t="s">
        <v>1431</v>
      </c>
      <c r="C1035" t="s">
        <v>103</v>
      </c>
      <c r="D1035" t="s">
        <v>1457</v>
      </c>
      <c r="E1035" s="442">
        <v>216330.54</v>
      </c>
    </row>
    <row r="1036" spans="1:5" x14ac:dyDescent="0.2">
      <c r="A1036" s="269">
        <v>45909.420960648145</v>
      </c>
      <c r="B1036" t="s">
        <v>1431</v>
      </c>
      <c r="C1036" t="s">
        <v>103</v>
      </c>
      <c r="D1036" t="s">
        <v>1479</v>
      </c>
      <c r="E1036">
        <v>23840.6</v>
      </c>
    </row>
    <row r="1037" spans="1:5" x14ac:dyDescent="0.2">
      <c r="A1037" s="269">
        <v>45909.421064814815</v>
      </c>
      <c r="B1037" t="s">
        <v>1431</v>
      </c>
      <c r="C1037" t="s">
        <v>103</v>
      </c>
      <c r="D1037" t="s">
        <v>1458</v>
      </c>
      <c r="E1037" s="442">
        <v>207314.82</v>
      </c>
    </row>
    <row r="1038" spans="1:5" x14ac:dyDescent="0.2">
      <c r="A1038" s="269">
        <v>45909.421215277776</v>
      </c>
      <c r="B1038" t="s">
        <v>1431</v>
      </c>
      <c r="C1038" t="s">
        <v>103</v>
      </c>
      <c r="D1038" t="s">
        <v>1480</v>
      </c>
      <c r="E1038">
        <v>26406.799999999999</v>
      </c>
    </row>
    <row r="1039" spans="1:5" x14ac:dyDescent="0.2">
      <c r="A1039" s="269">
        <v>45909.421365740738</v>
      </c>
      <c r="B1039" t="s">
        <v>1431</v>
      </c>
      <c r="C1039" t="s">
        <v>103</v>
      </c>
      <c r="D1039" t="s">
        <v>1459</v>
      </c>
      <c r="E1039" s="442">
        <v>253862.62</v>
      </c>
    </row>
    <row r="1040" spans="1:5" x14ac:dyDescent="0.2">
      <c r="A1040" s="269">
        <v>45909.421550925923</v>
      </c>
      <c r="B1040" t="s">
        <v>1431</v>
      </c>
      <c r="C1040" t="s">
        <v>103</v>
      </c>
      <c r="D1040" t="s">
        <v>1481</v>
      </c>
      <c r="E1040">
        <v>25373.599999999999</v>
      </c>
    </row>
    <row r="1041" spans="1:5" x14ac:dyDescent="0.2">
      <c r="A1041" s="269">
        <v>45909.421655092592</v>
      </c>
      <c r="B1041" t="s">
        <v>1431</v>
      </c>
      <c r="C1041" t="s">
        <v>103</v>
      </c>
      <c r="D1041" t="s">
        <v>1460</v>
      </c>
      <c r="E1041" s="442">
        <v>223673.92</v>
      </c>
    </row>
    <row r="1042" spans="1:5" x14ac:dyDescent="0.2">
      <c r="A1042" s="269">
        <v>45909.421793981484</v>
      </c>
      <c r="B1042" t="s">
        <v>1431</v>
      </c>
      <c r="C1042" t="s">
        <v>103</v>
      </c>
      <c r="D1042" t="s">
        <v>1482</v>
      </c>
      <c r="E1042">
        <v>27473.599999999999</v>
      </c>
    </row>
    <row r="1043" spans="1:5" x14ac:dyDescent="0.2">
      <c r="A1043" s="269">
        <v>45909.421898148146</v>
      </c>
      <c r="B1043" t="s">
        <v>1431</v>
      </c>
      <c r="C1043" t="s">
        <v>103</v>
      </c>
      <c r="D1043" t="s">
        <v>1483</v>
      </c>
      <c r="E1043" s="442">
        <v>229661.61</v>
      </c>
    </row>
    <row r="1044" spans="1:5" x14ac:dyDescent="0.2">
      <c r="A1044" s="269">
        <v>45909.422037037039</v>
      </c>
      <c r="B1044" t="s">
        <v>1431</v>
      </c>
      <c r="C1044" t="s">
        <v>103</v>
      </c>
      <c r="D1044" t="s">
        <v>983</v>
      </c>
      <c r="E1044">
        <v>0</v>
      </c>
    </row>
    <row r="1045" spans="1:5" x14ac:dyDescent="0.2">
      <c r="A1045" s="269">
        <v>45909.422037037039</v>
      </c>
      <c r="B1045" t="s">
        <v>1431</v>
      </c>
      <c r="C1045" t="s">
        <v>103</v>
      </c>
      <c r="D1045" t="s">
        <v>1461</v>
      </c>
      <c r="E1045" s="442">
        <v>0</v>
      </c>
    </row>
    <row r="1046" spans="1:5" x14ac:dyDescent="0.2">
      <c r="A1046" s="269">
        <v>45909.422048611108</v>
      </c>
      <c r="B1046" t="s">
        <v>1431</v>
      </c>
      <c r="C1046" t="s">
        <v>103</v>
      </c>
      <c r="D1046" t="s">
        <v>1066</v>
      </c>
      <c r="E1046">
        <v>0</v>
      </c>
    </row>
    <row r="1047" spans="1:5" x14ac:dyDescent="0.2">
      <c r="A1047" s="269">
        <v>45909.422060185185</v>
      </c>
      <c r="B1047" t="s">
        <v>1431</v>
      </c>
      <c r="C1047" t="s">
        <v>103</v>
      </c>
      <c r="D1047" t="s">
        <v>973</v>
      </c>
      <c r="E1047" s="442">
        <v>0</v>
      </c>
    </row>
    <row r="1048" spans="1:5" x14ac:dyDescent="0.2">
      <c r="A1048" s="269">
        <v>45909.422071759262</v>
      </c>
      <c r="B1048" t="s">
        <v>1431</v>
      </c>
      <c r="C1048" t="s">
        <v>103</v>
      </c>
      <c r="D1048" t="s">
        <v>994</v>
      </c>
      <c r="E1048">
        <v>0</v>
      </c>
    </row>
    <row r="1049" spans="1:5" x14ac:dyDescent="0.2">
      <c r="A1049" s="269">
        <v>45909.422071759262</v>
      </c>
      <c r="B1049" t="s">
        <v>1431</v>
      </c>
      <c r="C1049" t="s">
        <v>103</v>
      </c>
      <c r="D1049" t="s">
        <v>976</v>
      </c>
      <c r="E1049" s="442">
        <v>0</v>
      </c>
    </row>
    <row r="1050" spans="1:5" x14ac:dyDescent="0.2">
      <c r="A1050" s="269">
        <v>45909.422685185185</v>
      </c>
      <c r="B1050" t="s">
        <v>1431</v>
      </c>
      <c r="C1050" t="s">
        <v>26</v>
      </c>
      <c r="D1050" t="s">
        <v>1432</v>
      </c>
      <c r="E1050" t="s">
        <v>338</v>
      </c>
    </row>
    <row r="1051" spans="1:5" x14ac:dyDescent="0.2">
      <c r="A1051" s="269">
        <v>45909.422708333332</v>
      </c>
      <c r="B1051" t="s">
        <v>1431</v>
      </c>
      <c r="C1051" t="s">
        <v>26</v>
      </c>
      <c r="D1051" t="s">
        <v>1191</v>
      </c>
      <c r="E1051" t="s">
        <v>89</v>
      </c>
    </row>
    <row r="1052" spans="1:5" x14ac:dyDescent="0.2">
      <c r="A1052" s="269">
        <v>45909.422731481478</v>
      </c>
      <c r="B1052" t="s">
        <v>1431</v>
      </c>
      <c r="C1052" t="s">
        <v>26</v>
      </c>
      <c r="D1052" t="s">
        <v>795</v>
      </c>
      <c r="E1052" t="s">
        <v>362</v>
      </c>
    </row>
    <row r="1053" spans="1:5" x14ac:dyDescent="0.2">
      <c r="A1053" s="269">
        <v>45909.422754629632</v>
      </c>
      <c r="B1053" t="s">
        <v>1431</v>
      </c>
      <c r="C1053" t="s">
        <v>26</v>
      </c>
      <c r="D1053" t="s">
        <v>1013</v>
      </c>
      <c r="E1053" t="s">
        <v>371</v>
      </c>
    </row>
    <row r="1054" spans="1:5" x14ac:dyDescent="0.2">
      <c r="A1054" s="269">
        <v>45909.422777777778</v>
      </c>
      <c r="B1054" t="s">
        <v>1431</v>
      </c>
      <c r="C1054" t="s">
        <v>26</v>
      </c>
      <c r="D1054" t="s">
        <v>747</v>
      </c>
      <c r="E1054" t="s">
        <v>379</v>
      </c>
    </row>
    <row r="1055" spans="1:5" x14ac:dyDescent="0.2">
      <c r="A1055" s="269">
        <v>45909.422812500001</v>
      </c>
      <c r="B1055" t="s">
        <v>1431</v>
      </c>
      <c r="C1055" t="s">
        <v>26</v>
      </c>
      <c r="D1055" t="s">
        <v>1446</v>
      </c>
      <c r="E1055" t="s">
        <v>386</v>
      </c>
    </row>
    <row r="1056" spans="1:5" x14ac:dyDescent="0.2">
      <c r="A1056" s="269">
        <v>45909.422835648147</v>
      </c>
      <c r="B1056" t="s">
        <v>1431</v>
      </c>
      <c r="C1056" t="s">
        <v>26</v>
      </c>
      <c r="D1056" t="s">
        <v>1447</v>
      </c>
      <c r="E1056" t="s">
        <v>390</v>
      </c>
    </row>
    <row r="1057" spans="1:5" x14ac:dyDescent="0.2">
      <c r="A1057" s="269">
        <v>45909.42287037037</v>
      </c>
      <c r="B1057" t="s">
        <v>1431</v>
      </c>
      <c r="C1057" t="s">
        <v>26</v>
      </c>
      <c r="D1057" t="s">
        <v>1448</v>
      </c>
      <c r="E1057" t="s">
        <v>41</v>
      </c>
    </row>
    <row r="1058" spans="1:5" x14ac:dyDescent="0.2">
      <c r="A1058" s="269">
        <v>45909.422893518517</v>
      </c>
      <c r="B1058" t="s">
        <v>1431</v>
      </c>
      <c r="C1058" t="s">
        <v>26</v>
      </c>
      <c r="D1058" t="s">
        <v>672</v>
      </c>
      <c r="E1058" t="s">
        <v>397</v>
      </c>
    </row>
    <row r="1059" spans="1:5" x14ac:dyDescent="0.2">
      <c r="A1059" s="269">
        <v>45909.42291666667</v>
      </c>
      <c r="B1059" t="s">
        <v>1431</v>
      </c>
      <c r="C1059" t="s">
        <v>26</v>
      </c>
      <c r="D1059" t="s">
        <v>674</v>
      </c>
      <c r="E1059" t="s">
        <v>400</v>
      </c>
    </row>
    <row r="1060" spans="1:5" x14ac:dyDescent="0.2">
      <c r="A1060" s="269">
        <v>45909.422939814816</v>
      </c>
      <c r="B1060" t="s">
        <v>1431</v>
      </c>
      <c r="C1060" t="s">
        <v>26</v>
      </c>
      <c r="D1060" t="s">
        <v>675</v>
      </c>
      <c r="E1060" t="s">
        <v>404</v>
      </c>
    </row>
    <row r="1061" spans="1:5" x14ac:dyDescent="0.2">
      <c r="A1061" s="269">
        <v>45909.422974537039</v>
      </c>
      <c r="B1061" t="s">
        <v>1431</v>
      </c>
      <c r="C1061" t="s">
        <v>26</v>
      </c>
      <c r="D1061" t="s">
        <v>676</v>
      </c>
      <c r="E1061" t="s">
        <v>407</v>
      </c>
    </row>
    <row r="1062" spans="1:5" x14ac:dyDescent="0.2">
      <c r="A1062" s="269">
        <v>45909.423356481479</v>
      </c>
      <c r="B1062" t="s">
        <v>1431</v>
      </c>
      <c r="C1062" t="s">
        <v>26</v>
      </c>
      <c r="D1062" t="s">
        <v>677</v>
      </c>
      <c r="E1062" t="s">
        <v>338</v>
      </c>
    </row>
    <row r="1063" spans="1:5" x14ac:dyDescent="0.2">
      <c r="A1063" s="269">
        <v>45909.423379629632</v>
      </c>
      <c r="B1063" t="s">
        <v>1431</v>
      </c>
      <c r="C1063" t="s">
        <v>26</v>
      </c>
      <c r="D1063" t="s">
        <v>678</v>
      </c>
      <c r="E1063" t="s">
        <v>89</v>
      </c>
    </row>
    <row r="1064" spans="1:5" x14ac:dyDescent="0.2">
      <c r="A1064" s="269">
        <v>45909.423402777778</v>
      </c>
      <c r="B1064" t="s">
        <v>1431</v>
      </c>
      <c r="C1064" t="s">
        <v>26</v>
      </c>
      <c r="D1064" t="s">
        <v>1451</v>
      </c>
      <c r="E1064" t="s">
        <v>362</v>
      </c>
    </row>
    <row r="1065" spans="1:5" x14ac:dyDescent="0.2">
      <c r="A1065" s="269">
        <v>45909.423425925925</v>
      </c>
      <c r="B1065" t="s">
        <v>1431</v>
      </c>
      <c r="C1065" t="s">
        <v>26</v>
      </c>
      <c r="D1065" t="s">
        <v>1449</v>
      </c>
      <c r="E1065" t="s">
        <v>371</v>
      </c>
    </row>
    <row r="1066" spans="1:5" x14ac:dyDescent="0.2">
      <c r="A1066" s="269">
        <v>45909.423460648148</v>
      </c>
      <c r="B1066" t="s">
        <v>1431</v>
      </c>
      <c r="C1066" t="s">
        <v>26</v>
      </c>
      <c r="D1066" t="s">
        <v>1450</v>
      </c>
      <c r="E1066" t="s">
        <v>379</v>
      </c>
    </row>
    <row r="1067" spans="1:5" x14ac:dyDescent="0.2">
      <c r="A1067" s="269">
        <v>45909.423495370371</v>
      </c>
      <c r="B1067" t="s">
        <v>1431</v>
      </c>
      <c r="C1067" t="s">
        <v>26</v>
      </c>
      <c r="D1067" t="s">
        <v>1462</v>
      </c>
      <c r="E1067" t="s">
        <v>386</v>
      </c>
    </row>
    <row r="1068" spans="1:5" x14ac:dyDescent="0.2">
      <c r="A1068" s="269">
        <v>45909.423784722225</v>
      </c>
      <c r="B1068" t="s">
        <v>1431</v>
      </c>
      <c r="C1068" t="s">
        <v>26</v>
      </c>
      <c r="D1068" t="s">
        <v>977</v>
      </c>
      <c r="E1068">
        <v>0</v>
      </c>
    </row>
    <row r="1069" spans="1:5" x14ac:dyDescent="0.2">
      <c r="A1069" s="269">
        <v>45909.423784722225</v>
      </c>
      <c r="B1069" t="s">
        <v>1431</v>
      </c>
      <c r="C1069" t="s">
        <v>26</v>
      </c>
      <c r="D1069" t="s">
        <v>976</v>
      </c>
      <c r="E1069">
        <v>0</v>
      </c>
    </row>
    <row r="1070" spans="1:5" x14ac:dyDescent="0.2">
      <c r="A1070" s="269">
        <v>45909.423796296294</v>
      </c>
      <c r="B1070" t="s">
        <v>1431</v>
      </c>
      <c r="C1070" t="s">
        <v>26</v>
      </c>
      <c r="D1070" t="s">
        <v>973</v>
      </c>
      <c r="E1070">
        <v>0</v>
      </c>
    </row>
    <row r="1071" spans="1:5" x14ac:dyDescent="0.2">
      <c r="A1071" s="269">
        <v>45909.423796296294</v>
      </c>
      <c r="B1071" t="s">
        <v>1431</v>
      </c>
      <c r="C1071" t="s">
        <v>26</v>
      </c>
      <c r="D1071" t="s">
        <v>1461</v>
      </c>
      <c r="E1071">
        <v>0</v>
      </c>
    </row>
    <row r="1072" spans="1:5" x14ac:dyDescent="0.2">
      <c r="A1072" s="269">
        <v>45909.424004629633</v>
      </c>
      <c r="B1072" t="s">
        <v>1431</v>
      </c>
      <c r="C1072" t="s">
        <v>26</v>
      </c>
      <c r="D1072" t="s">
        <v>923</v>
      </c>
      <c r="E1072">
        <v>0</v>
      </c>
    </row>
    <row r="1073" spans="1:5" x14ac:dyDescent="0.2">
      <c r="A1073" s="269">
        <v>45909.424097222225</v>
      </c>
      <c r="B1073" t="s">
        <v>1431</v>
      </c>
      <c r="C1073" t="s">
        <v>26</v>
      </c>
      <c r="D1073" t="s">
        <v>918</v>
      </c>
      <c r="E1073">
        <v>0</v>
      </c>
    </row>
    <row r="1074" spans="1:5" x14ac:dyDescent="0.2">
      <c r="A1074" s="269">
        <v>45909.424189814818</v>
      </c>
      <c r="B1074" t="s">
        <v>1431</v>
      </c>
      <c r="C1074" t="s">
        <v>26</v>
      </c>
      <c r="D1074" t="s">
        <v>924</v>
      </c>
      <c r="E1074">
        <v>0</v>
      </c>
    </row>
    <row r="1075" spans="1:5" x14ac:dyDescent="0.2">
      <c r="A1075" s="269">
        <v>45909.424270833333</v>
      </c>
      <c r="B1075" t="s">
        <v>1431</v>
      </c>
      <c r="C1075" t="s">
        <v>26</v>
      </c>
      <c r="D1075" t="s">
        <v>1452</v>
      </c>
      <c r="E1075">
        <v>0</v>
      </c>
    </row>
    <row r="1076" spans="1:5" x14ac:dyDescent="0.2">
      <c r="A1076" s="269">
        <v>45909.424432870372</v>
      </c>
      <c r="B1076" t="s">
        <v>1431</v>
      </c>
      <c r="C1076" t="s">
        <v>26</v>
      </c>
      <c r="D1076" t="s">
        <v>981</v>
      </c>
      <c r="E1076">
        <v>40</v>
      </c>
    </row>
    <row r="1077" spans="1:5" x14ac:dyDescent="0.2">
      <c r="A1077" s="269">
        <v>45909.424745370372</v>
      </c>
      <c r="B1077" t="s">
        <v>1431</v>
      </c>
      <c r="C1077" t="s">
        <v>26</v>
      </c>
      <c r="D1077" t="s">
        <v>1453</v>
      </c>
      <c r="E1077">
        <v>74</v>
      </c>
    </row>
    <row r="1078" spans="1:5" x14ac:dyDescent="0.2">
      <c r="A1078" s="269">
        <v>45909.424756944441</v>
      </c>
      <c r="B1078" t="s">
        <v>1431</v>
      </c>
      <c r="C1078" t="s">
        <v>26</v>
      </c>
      <c r="D1078" t="s">
        <v>1454</v>
      </c>
      <c r="E1078">
        <v>61</v>
      </c>
    </row>
    <row r="1079" spans="1:5" x14ac:dyDescent="0.2">
      <c r="A1079" s="269">
        <v>45909.424803240741</v>
      </c>
      <c r="B1079" t="s">
        <v>1431</v>
      </c>
      <c r="C1079" t="s">
        <v>26</v>
      </c>
      <c r="D1079" t="s">
        <v>1455</v>
      </c>
      <c r="E1079">
        <v>73</v>
      </c>
    </row>
    <row r="1080" spans="1:5" x14ac:dyDescent="0.2">
      <c r="A1080" s="269">
        <v>45909.425000000003</v>
      </c>
      <c r="B1080" t="s">
        <v>1431</v>
      </c>
      <c r="C1080" t="s">
        <v>26</v>
      </c>
      <c r="D1080" t="s">
        <v>1456</v>
      </c>
      <c r="E1080">
        <v>53</v>
      </c>
    </row>
    <row r="1081" spans="1:5" x14ac:dyDescent="0.2">
      <c r="A1081" s="269">
        <v>45909.425023148149</v>
      </c>
      <c r="B1081" t="s">
        <v>1431</v>
      </c>
      <c r="C1081" t="s">
        <v>26</v>
      </c>
      <c r="D1081" t="s">
        <v>1457</v>
      </c>
      <c r="E1081">
        <v>58</v>
      </c>
    </row>
    <row r="1082" spans="1:5" x14ac:dyDescent="0.2">
      <c r="A1082" s="269">
        <v>45909.425034722219</v>
      </c>
      <c r="B1082" t="s">
        <v>1431</v>
      </c>
      <c r="C1082" t="s">
        <v>26</v>
      </c>
      <c r="D1082" t="s">
        <v>1458</v>
      </c>
      <c r="E1082">
        <v>68</v>
      </c>
    </row>
    <row r="1083" spans="1:5" x14ac:dyDescent="0.2">
      <c r="A1083" s="269">
        <v>45909.425092592595</v>
      </c>
      <c r="B1083" t="s">
        <v>1431</v>
      </c>
      <c r="C1083" t="s">
        <v>26</v>
      </c>
      <c r="D1083" t="s">
        <v>1459</v>
      </c>
      <c r="E1083">
        <v>61</v>
      </c>
    </row>
    <row r="1084" spans="1:5" x14ac:dyDescent="0.2">
      <c r="A1084" s="269">
        <v>45909.425104166665</v>
      </c>
      <c r="B1084" t="s">
        <v>1431</v>
      </c>
      <c r="C1084" t="s">
        <v>26</v>
      </c>
      <c r="D1084" t="s">
        <v>1460</v>
      </c>
      <c r="E1084">
        <v>59</v>
      </c>
    </row>
    <row r="1085" spans="1:5" x14ac:dyDescent="0.2">
      <c r="A1085" s="269">
        <v>45909.425138888888</v>
      </c>
      <c r="B1085" t="s">
        <v>1431</v>
      </c>
      <c r="C1085" t="s">
        <v>26</v>
      </c>
      <c r="D1085" t="s">
        <v>1483</v>
      </c>
      <c r="E1085">
        <v>70</v>
      </c>
    </row>
    <row r="1086" spans="1:5" x14ac:dyDescent="0.2">
      <c r="A1086" s="269">
        <v>45909.440810185188</v>
      </c>
      <c r="B1086" t="s">
        <v>1431</v>
      </c>
      <c r="C1086" t="s">
        <v>26</v>
      </c>
      <c r="D1086" t="s">
        <v>994</v>
      </c>
      <c r="E1086" t="s">
        <v>124</v>
      </c>
    </row>
    <row r="1087" spans="1:5" x14ac:dyDescent="0.2">
      <c r="A1087" s="269">
        <v>45909.440833333334</v>
      </c>
      <c r="B1087" t="s">
        <v>1431</v>
      </c>
      <c r="C1087" t="s">
        <v>26</v>
      </c>
      <c r="D1087" t="s">
        <v>983</v>
      </c>
      <c r="E1087" t="s">
        <v>124</v>
      </c>
    </row>
    <row r="1088" spans="1:5" x14ac:dyDescent="0.2">
      <c r="A1088" s="269">
        <v>45909.44085648148</v>
      </c>
      <c r="B1088" t="s">
        <v>1431</v>
      </c>
      <c r="C1088" t="s">
        <v>26</v>
      </c>
      <c r="D1088" t="s">
        <v>1066</v>
      </c>
      <c r="E1088" t="s">
        <v>124</v>
      </c>
    </row>
    <row r="1089" spans="1:5" x14ac:dyDescent="0.2">
      <c r="A1089" s="269">
        <v>45909.44091435185</v>
      </c>
      <c r="B1089" t="s">
        <v>1431</v>
      </c>
      <c r="C1089" t="s">
        <v>26</v>
      </c>
      <c r="D1089" t="s">
        <v>1484</v>
      </c>
      <c r="E1089" t="s">
        <v>124</v>
      </c>
    </row>
    <row r="1090" spans="1:5" x14ac:dyDescent="0.2">
      <c r="A1090" s="269">
        <v>45909.679907407408</v>
      </c>
      <c r="B1090" t="s">
        <v>1431</v>
      </c>
      <c r="C1090" t="s">
        <v>597</v>
      </c>
      <c r="D1090" t="s">
        <v>1230</v>
      </c>
      <c r="E1090" t="s">
        <v>39</v>
      </c>
    </row>
    <row r="1091" spans="1:5" x14ac:dyDescent="0.2">
      <c r="A1091" s="269">
        <v>45916.884189814817</v>
      </c>
      <c r="B1091" t="s">
        <v>596</v>
      </c>
      <c r="C1091" t="s">
        <v>597</v>
      </c>
      <c r="D1091" t="s">
        <v>1486</v>
      </c>
      <c r="E1091" t="s">
        <v>39</v>
      </c>
    </row>
    <row r="1092" spans="1:5" x14ac:dyDescent="0.2">
      <c r="A1092" s="269">
        <v>45916.884560185186</v>
      </c>
      <c r="B1092" t="s">
        <v>596</v>
      </c>
      <c r="C1092" t="s">
        <v>27</v>
      </c>
      <c r="D1092" t="s">
        <v>1487</v>
      </c>
    </row>
    <row r="1093" spans="1:5" x14ac:dyDescent="0.2">
      <c r="A1093" s="269">
        <v>45916.884652777779</v>
      </c>
      <c r="B1093" t="s">
        <v>596</v>
      </c>
      <c r="C1093" t="s">
        <v>27</v>
      </c>
      <c r="D1093" t="s">
        <v>1488</v>
      </c>
    </row>
    <row r="1094" spans="1:5" x14ac:dyDescent="0.2">
      <c r="A1094" s="269">
        <v>45916.884664351855</v>
      </c>
      <c r="B1094" t="s">
        <v>596</v>
      </c>
      <c r="C1094" t="s">
        <v>27</v>
      </c>
      <c r="D1094" t="s">
        <v>1488</v>
      </c>
      <c r="E1094" t="s">
        <v>53</v>
      </c>
    </row>
    <row r="1095" spans="1:5" x14ac:dyDescent="0.2">
      <c r="A1095" s="269">
        <v>45916.884687500002</v>
      </c>
      <c r="B1095" t="s">
        <v>596</v>
      </c>
      <c r="C1095" t="s">
        <v>27</v>
      </c>
      <c r="D1095" t="s">
        <v>1489</v>
      </c>
      <c r="E1095"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2025-09-16T13:13:59Z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