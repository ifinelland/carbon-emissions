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SLRO/"/>
    </mc:Choice>
  </mc:AlternateContent>
  <xr:revisionPtr revIDLastSave="0" documentId="13_ncr:1_{8106983D-3A6A-7441-B60A-14C16B2675BF}" xr6:coauthVersionLast="47" xr6:coauthVersionMax="47" xr10:uidLastSave="{00000000-0000-0000-0000-000000000000}"/>
  <bookViews>
    <workbookView xWindow="0" yWindow="740" windowWidth="29400" windowHeight="17100" tabRatio="781" firstSheet="2" activeTab="3" xr2:uid="{886A8D89-6609-4846-8644-18317714B220}"/>
  </bookViews>
  <sheets>
    <sheet name="Instructions" sheetId="1" r:id="rId1"/>
    <sheet name="1. Data Info and Summary" sheetId="37" r:id="rId2"/>
    <sheet name="2.1b Fuel - Vehicles" sheetId="44" r:id="rId3"/>
    <sheet name="2.1a Fuel - Buildings" sheetId="3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234" r:id="rId19"/>
    <pivotCache cacheId="235" r:id="rId20"/>
    <pivotCache cacheId="236" r:id="rId21"/>
    <pivotCache cacheId="237" r:id="rId22"/>
    <pivotCache cacheId="238" r:id="rId23"/>
    <pivotCache cacheId="246"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I10" i="34"/>
  <c r="I11" i="34" s="1"/>
  <c r="I12" i="34" s="1"/>
  <c r="I13" i="34" s="1"/>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6" i="40"/>
  <c r="I17" i="40" s="1"/>
  <c r="I18" i="40" s="1"/>
  <c r="I15" i="40"/>
  <c r="I14" i="40"/>
  <c r="I10" i="40"/>
  <c r="I11" i="40" s="1"/>
  <c r="I12" i="40" s="1"/>
  <c r="I13" i="40" s="1"/>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2" i="38" s="1"/>
  <c r="G13" i="38"/>
  <c r="G11" i="38"/>
  <c r="F13"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10" i="41" s="1"/>
  <c r="P11" i="41" s="1"/>
  <c r="P12" i="41" s="1"/>
  <c r="P13" i="41" s="1"/>
  <c r="P8" i="41"/>
  <c r="I10" i="41"/>
  <c r="I11" i="41"/>
  <c r="I12" i="41"/>
  <c r="I13" i="41" s="1"/>
  <c r="I14" i="41" s="1"/>
  <c r="I15" i="41" s="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F12" i="38" l="1"/>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3" i="34" l="1"/>
  <c r="N12" i="34"/>
  <c r="N11" i="34"/>
  <c r="N10"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F13" i="37" l="1"/>
  <c r="D13" i="37"/>
  <c r="E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4" i="34" l="1"/>
  <c r="D14" i="34"/>
  <c r="G14" i="34"/>
  <c r="E14" i="34"/>
  <c r="F13" i="34"/>
  <c r="D13" i="34"/>
  <c r="G13" i="34"/>
  <c r="E13" i="34"/>
  <c r="F12" i="34"/>
  <c r="D12" i="34"/>
  <c r="G12" i="34"/>
  <c r="E12" i="34"/>
  <c r="E11" i="34"/>
  <c r="F11" i="34"/>
  <c r="G11" i="34"/>
  <c r="D11" i="34"/>
  <c r="D15" i="34"/>
  <c r="G15" i="34"/>
  <c r="E15" i="34"/>
  <c r="F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<sst xmlns="http://schemas.openxmlformats.org/spreadsheetml/2006/main" count="6688" uniqueCount="1513">
  <si>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</si>
  <si>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</si>
  <si>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</si>
  <si>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</si>
  <si>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</si>
  <si>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</si>
  <si>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</si>
  <si>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</si>
  <si>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</si>
  <si>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</si>
  <si>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</si>
  <si>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</si>
  <si>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</si>
  <si>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</si>
  <si>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</si>
  <si>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</si>
  <si>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</si>
  <si>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</si>
  <si>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</si>
  <si>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</si>
  <si>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</si>
  <si>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</si>
  <si>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</si>
  <si>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</si>
  <si>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</si>
  <si>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</si>
  <si>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</si>
  <si>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</si>
  <si>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</si>
  <si>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</si>
  <si>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</si>
  <si>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</si>
  <si>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</si>
  <si>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</si>
  <si>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</si>
  <si>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</si>
  <si>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</si>
  <si>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</si>
  <si>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</si>
  <si>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</si>
  <si>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</si>
  <si>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</si>
  <si>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</si>
  <si>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</si>
  <si>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</si>
  <si>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</si>
  <si>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</si>
  <si>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</si>
  <si>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</si>
  <si>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</si>
  <si>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</si>
  <si>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</si>
  <si>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</si>
  <si>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</si>
  <si>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</si>
  <si>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</si>
  <si>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</si>
  <si>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</si>
  <si>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</si>
  <si>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</si>
  <si>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</si>
  <si>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</si>
  <si>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</si>
  <si>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</si>
  <si>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</si>
  <si>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</si>
  <si>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</si>
  <si>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</si>
  <si>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</si>
  <si>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</si>
  <si>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</si>
  <si>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</si>
  <si>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</si>
  <si>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</si>
  <si>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</si>
  <si>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</si>
  <si>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</si>
  <si>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</si>
  <si>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</si>
  <si>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</si>
  <si>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</si>
  <si>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</si>
  <si>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</si>
  <si>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</si>
  <si>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</si>
  <si>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</si>
  <si>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</si>
  <si>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</si>
  <si>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</si>
  <si>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</si>
  <si>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</si>
  <si>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</si>
  <si>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</si>
  <si>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</si>
  <si>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</si>
  <si>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</si>
  <si>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</si>
  <si>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</si>
  <si>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</si>
  <si>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</si>
  <si>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</si>
  <si>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</si>
  <si>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</si>
  <si>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</si>
  <si>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</si>
  <si>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</si>
  <si>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</si>
  <si>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</si>
  <si>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</si>
  <si>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</si>
  <si>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</si>
  <si>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</si>
  <si>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</si>
  <si>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</si>
  <si>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</si>
  <si>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</si>
  <si>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</si>
  <si>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</si>
  <si>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</si>
  <si>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</si>
  <si>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</si>
  <si>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</si>
  <si>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</si>
  <si>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</si>
  <si>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</si>
  <si>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</si>
  <si>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</si>
  <si>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</si>
  <si>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</si>
  <si>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</si>
  <si>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</si>
  <si>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</si>
  <si>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</si>
  <si>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</si>
  <si>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</si>
  <si>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</si>
  <si>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</si>
  <si>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</si>
  <si>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</si>
  <si>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</si>
  <si>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</si>
  <si>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</si>
  <si>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</si>
  <si>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</si>
  <si>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</si>
  <si>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</si>
  <si>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</si>
  <si>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</si>
  <si>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</si>
  <si>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</si>
  <si>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</si>
  <si>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</si>
  <si>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</si>
  <si>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</si>
  <si>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</si>
  <si>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</si>
  <si>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</si>
  <si>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</si>
  <si>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</si>
  <si>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</si>
  <si>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</si>
  <si>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</si>
  <si>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</si>
  <si>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</si>
  <si>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</si>
  <si>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</si>
  <si>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</si>
  <si>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</si>
  <si>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</si>
  <si>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</si>
  <si>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</si>
  <si>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</si>
  <si>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</si>
  <si>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</si>
  <si>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</si>
  <si>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</si>
  <si>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</si>
  <si>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</si>
  <si>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</si>
  <si>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</si>
  <si>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</si>
  <si>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</si>
  <si>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</si>
  <si>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</si>
  <si>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</si>
  <si>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</si>
  <si>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</si>
  <si>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</si>
  <si>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</si>
  <si>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</si>
  <si>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</si>
  <si>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</si>
  <si>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</si>
  <si>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</si>
  <si>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</si>
  <si>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</si>
  <si>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</si>
  <si>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</si>
  <si>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</si>
  <si>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</si>
  <si>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</si>
  <si>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</si>
  <si>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</si>
  <si>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</si>
  <si>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</si>
  <si>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</si>
  <si>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</si>
  <si>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</si>
  <si>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</si>
  <si>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</si>
  <si>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</si>
  <si>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</si>
  <si>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</si>
  <si>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</si>
  <si>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</si>
  <si>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</si>
  <si>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</si>
  <si>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</si>
  <si>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</si>
  <si>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</si>
  <si>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</si>
  <si>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</si>
  <si>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</si>
  <si>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</si>
  <si>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</si>
  <si>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</si>
  <si>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</si>
  <si>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</si>
  <si>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</si>
  <si>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</si>
  <si>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</si>
  <si>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</si>
  <si>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</si>
  <si>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</si>
  <si>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</si>
  <si>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</si>
  <si>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</si>
  <si>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</si>
  <si>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</si>
  <si>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</si>
  <si>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</si>
  <si>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</si>
  <si>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</si>
  <si>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</si>
  <si>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</si>
  <si>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</si>
  <si>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</si>
  <si>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</si>
  <si>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</si>
  <si>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</si>
  <si>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</si>
  <si>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</si>
  <si>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</si>
  <si>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</si>
  <si>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</si>
  <si>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</si>
  <si>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</si>
  <si>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</si>
  <si>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</si>
  <si>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</si>
  <si>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</si>
  <si>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</si>
  <si>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</si>
  <si>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</si>
  <si>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</si>
  <si>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</si>
  <si>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</si>
  <si>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</si>
  <si>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</si>
  <si>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</si>
  <si>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</si>
  <si>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</si>
  <si>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</si>
  <si>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</si>
  <si>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</si>
  <si>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</si>
  <si>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</si>
  <si>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</si>
  <si>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</si>
  <si>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</si>
  <si>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</si>
  <si>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</si>
  <si>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</si>
  <si>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</si>
  <si>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</si>
  <si>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</si>
  <si>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</si>
  <si>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</si>
  <si>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</si>
  <si>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</si>
  <si>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</si>
  <si>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</si>
  <si>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</si>
  <si>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</si>
  <si>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</si>
  <si>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</si>
  <si>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</si>
  <si>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</si>
  <si>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</si>
  <si>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</si>
  <si>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</si>
  <si>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</si>
  <si>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</si>
  <si>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</si>
  <si>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</si>
  <si>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</si>
  <si>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</si>
  <si>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</si>
  <si>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</si>
  <si>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</si>
  <si>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</si>
  <si>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</si>
  <si>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</si>
  <si>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</si>
  <si>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</si>
  <si>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</si>
  <si>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</si>
  <si>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</si>
  <si>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</si>
  <si>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</si>
  <si>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</si>
  <si>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</si>
  <si>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</si>
  <si>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</si>
  <si>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</si>
  <si>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</si>
  <si>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</si>
  <si>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</si>
  <si>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</si>
  <si>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</si>
  <si>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</si>
  <si>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</si>
  <si>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</si>
  <si>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</si>
  <si>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</si>
  <si>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</si>
  <si>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</si>
  <si>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</si>
  <si>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</si>
  <si>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</si>
  <si>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</si>
  <si>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</si>
  <si>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</si>
  <si>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</si>
  <si>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</si>
  <si>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</si>
  <si>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</si>
  <si>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</si>
  <si>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</si>
  <si>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</si>
  <si>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</si>
  <si>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</si>
  <si>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</si>
  <si>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</si>
  <si>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</si>
  <si>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</si>
  <si>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</si>
  <si>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</si>
  <si>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</si>
  <si>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</si>
  <si>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</si>
  <si>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</si>
  <si>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</si>
  <si>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</si>
  <si>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</si>
  <si>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</si>
  <si>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</si>
  <si>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</si>
  <si>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</si>
  <si>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</si>
  <si>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</si>
  <si>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</si>
  <si>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</si>
  <si>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</si>
  <si>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</si>
  <si>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</si>
  <si>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</si>
  <si>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</si>
  <si>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</si>
  <si>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</si>
  <si>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</si>
  <si>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</si>
  <si>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</si>
  <si>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</si>
  <si>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</si>
  <si>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</si>
  <si>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</si>
  <si>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</si>
  <si>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</si>
  <si>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</si>
  <si>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</si>
  <si>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</si>
  <si>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</si>
  <si>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</si>
  <si>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</si>
  <si>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</si>
  <si>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</si>
  <si>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</si>
  <si>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</si>
  <si>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</si>
  <si>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</si>
  <si>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</si>
  <si>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</si>
  <si>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</si>
  <si>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</si>
  <si>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</si>
  <si>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</si>
  <si>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</si>
  <si>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</si>
  <si>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</si>
  <si>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</si>
  <si>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</si>
  <si>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</si>
  <si>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</si>
  <si>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</si>
  <si>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</si>
  <si>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</si>
  <si>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</si>
  <si>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</si>
  <si>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</si>
  <si>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</si>
  <si>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</si>
  <si>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</si>
  <si>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</si>
  <si>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</si>
  <si>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</si>
  <si>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</si>
  <si>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</si>
  <si>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</si>
  <si>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</si>
  <si>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</si>
  <si>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</si>
  <si>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</si>
  <si>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</si>
  <si>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</si>
  <si>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</si>
  <si>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</si>
  <si>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</si>
  <si>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</si>
  <si>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</si>
  <si>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</si>
  <si>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</si>
  <si>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</si>
  <si>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</si>
  <si>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</si>
  <si>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</si>
  <si>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</si>
  <si>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</si>
  <si>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</si>
  <si>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</si>
  <si>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</si>
  <si>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</si>
  <si>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</si>
  <si>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</si>
  <si>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</si>
  <si>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</si>
  <si>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</si>
  <si>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</si>
  <si>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</si>
  <si>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</si>
  <si>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</si>
  <si>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</si>
  <si>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</si>
  <si>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</si>
  <si>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</si>
  <si>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</si>
  <si>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</si>
  <si>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</si>
  <si>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</si>
  <si>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</si>
  <si>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</si>
  <si>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</si>
  <si>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</si>
  <si>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</si>
  <si>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</si>
  <si>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</si>
  <si>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</si>
  <si>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</si>
  <si>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</si>
  <si>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</si>
  <si>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</si>
  <si>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</si>
  <si>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</si>
  <si>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</si>
  <si>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</si>
  <si>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</si>
  <si>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</si>
  <si>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</si>
  <si>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</si>
  <si>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</si>
  <si>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</si>
  <si>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</si>
  <si>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</si>
  <si>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</si>
  <si>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</si>
  <si>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</si>
  <si>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</si>
  <si>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</si>
  <si>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</si>
  <si>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</si>
  <si>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</si>
  <si>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</si>
  <si>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</si>
  <si>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</si>
  <si>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</si>
  <si>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</si>
  <si>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</si>
  <si>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</si>
  <si>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</si>
  <si>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</si>
  <si>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</si>
  <si>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</si>
  <si>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</si>
  <si>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</si>
  <si>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</si>
  <si>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</si>
  <si>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</si>
  <si>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</si>
  <si>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</si>
  <si>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</si>
  <si>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</si>
  <si>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</si>
  <si>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</si>
  <si>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</si>
  <si>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</si>
  <si>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</si>
  <si>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</si>
  <si>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</si>
  <si>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</si>
  <si>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</si>
  <si>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</si>
  <si>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</si>
  <si>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</si>
  <si>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</si>
  <si>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</si>
  <si>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</si>
  <si>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</si>
  <si>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</si>
  <si>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</si>
  <si>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</si>
  <si>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</si>
  <si>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</si>
  <si>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</si>
  <si>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</si>
  <si>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</si>
  <si>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</si>
  <si>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</si>
  <si>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</si>
  <si>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</si>
  <si>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</si>
  <si>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</si>
  <si>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</si>
  <si>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</si>
  <si>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</si>
  <si>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</si>
  <si>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</si>
  <si>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</si>
  <si>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</si>
  <si>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</si>
  <si>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</si>
  <si>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</si>
  <si>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</si>
  <si>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</si>
  <si>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</si>
  <si>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</si>
  <si>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</si>
  <si>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</si>
  <si>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</si>
  <si>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</si>
  <si>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</si>
  <si>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</si>
  <si>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</si>
  <si>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</si>
  <si>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</si>
  <si>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</si>
  <si>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</si>
  <si>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</si>
  <si>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</si>
  <si>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</si>
  <si>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</si>
  <si>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</si>
  <si>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</si>
  <si>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</si>
  <si>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</si>
  <si>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</si>
  <si>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</si>
  <si>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</si>
  <si>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</si>
  <si>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</si>
  <si>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</si>
  <si>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</si>
  <si>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</si>
  <si>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</si>
  <si>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</si>
  <si>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</si>
  <si>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</si>
  <si>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</si>
  <si>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</si>
  <si>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</si>
  <si>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</si>
  <si>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</si>
  <si>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</si>
  <si>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</si>
  <si>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</si>
  <si>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</si>
  <si>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</si>
  <si>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</si>
  <si>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</si>
  <si>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</si>
  <si>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</si>
  <si>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</si>
  <si>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</si>
  <si>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</si>
  <si>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</si>
  <si>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</si>
  <si>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</si>
  <si>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</si>
  <si>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</si>
  <si>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</si>
  <si>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</si>
  <si>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</si>
  <si>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</si>
  <si>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</si>
  <si>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</si>
  <si>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</si>
  <si>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</si>
  <si>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</si>
  <si>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</si>
  <si>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</si>
  <si>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</si>
  <si>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</si>
  <si>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</si>
  <si>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</si>
  <si>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</si>
  <si>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</si>
  <si>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</si>
  <si>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</si>
  <si>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</si>
  <si>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</si>
  <si>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</si>
  <si>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</si>
  <si>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</si>
  <si>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</si>
  <si>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</si>
  <si>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</si>
  <si>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</si>
  <si>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</si>
  <si>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</si>
  <si>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</si>
  <si>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</si>
  <si>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</si>
  <si>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</si>
  <si>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</si>
  <si>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</si>
  <si>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</si>
  <si>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</si>
  <si>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</si>
  <si>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</si>
  <si>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</si>
  <si>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</si>
  <si>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</si>
  <si>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</si>
  <si>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</si>
  <si>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</si>
  <si>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</si>
  <si>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</si>
  <si>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</si>
  <si>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</si>
  <si>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</si>
  <si>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</si>
  <si>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</si>
  <si>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</si>
  <si>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</si>
  <si>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</si>
  <si>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</si>
  <si>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</si>
  <si>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</si>
  <si>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</si>
  <si>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</si>
  <si>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</si>
  <si>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</si>
  <si>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</si>
  <si>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</si>
  <si>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</si>
  <si>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</si>
  <si>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</si>
  <si>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</si>
  <si>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</si>
  <si>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</si>
  <si>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</si>
  <si>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</si>
  <si>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</si>
  <si>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</si>
  <si>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</si>
  <si>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</si>
  <si>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</si>
  <si>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</si>
  <si>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</si>
  <si>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</si>
  <si>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</si>
  <si>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</si>
  <si>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</si>
  <si>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</si>
  <si>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</si>
  <si>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</si>
  <si>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</si>
  <si>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</si>
  <si>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</si>
  <si>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</si>
  <si>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</si>
  <si>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</si>
  <si>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</si>
  <si>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</si>
  <si>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</si>
  <si>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</si>
  <si>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</si>
  <si>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</si>
  <si>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</si>
  <si>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</si>
  <si>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</si>
  <si>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</si>
  <si>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</si>
  <si>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</si>
  <si>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</si>
  <si>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</si>
  <si>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</si>
  <si>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</si>
  <si>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</si>
  <si>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</si>
  <si>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</si>
  <si>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</si>
  <si>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</si>
  <si>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</si>
  <si>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</si>
  <si>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</si>
  <si>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</si>
  <si>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</si>
  <si>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</si>
  <si>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</si>
  <si>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</si>
  <si>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</si>
  <si>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</si>
  <si>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</si>
  <si>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</si>
  <si>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</si>
  <si>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</si>
  <si>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</si>
  <si>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</si>
  <si>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</si>
  <si>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</si>
  <si>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</si>
  <si>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</si>
  <si>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</si>
  <si>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</si>
  <si>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</si>
  <si>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</si>
  <si>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</si>
  <si>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</si>
  <si>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</si>
  <si>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</si>
  <si>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</si>
  <si>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</si>
  <si>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</si>
  <si>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</si>
  <si>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</si>
  <si>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</si>
  <si>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</si>
  <si>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</si>
  <si>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</si>
  <si>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</si>
  <si>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</si>
  <si>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</si>
  <si>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</si>
  <si>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</si>
  <si>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</si>
  <si>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</si>
  <si>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</si>
  <si>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</si>
  <si>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</si>
  <si>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</si>
  <si>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</si>
  <si>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</si>
  <si>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</si>
  <si>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</si>
  <si>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</si>
  <si>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</si>
  <si>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</si>
  <si>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</si>
  <si>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</si>
  <si>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</si>
  <si>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</si>
  <si>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</si>
  <si>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</si>
  <si>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</si>
  <si>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</si>
  <si>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</si>
  <si>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</si>
  <si>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</si>
  <si>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</si>
  <si>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</si>
  <si>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</si>
  <si>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</si>
  <si>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</si>
  <si>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</si>
  <si>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</si>
  <si>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</si>
  <si>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</si>
  <si>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</si>
  <si>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</si>
  <si>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</si>
  <si>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</si>
  <si>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</si>
  <si>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</si>
  <si>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</si>
  <si>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</si>
  <si>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</si>
  <si>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</si>
  <si>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</si>
  <si>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</si>
  <si>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</si>
  <si>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</si>
  <si>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</si>
  <si>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</si>
  <si>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</si>
  <si>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</si>
  <si>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</si>
  <si>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</si>
  <si>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</si>
  <si>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</si>
  <si>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</si>
  <si>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</si>
  <si>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</si>
  <si>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</si>
  <si>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</si>
  <si>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</si>
  <si>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</si>
  <si>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</si>
  <si>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</si>
  <si>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</si>
  <si>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</si>
  <si>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</si>
  <si>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</si>
  <si>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</si>
  <si>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</si>
  <si>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</si>
  <si>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</si>
  <si>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</si>
  <si>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</si>
  <si>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</si>
  <si>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</si>
  <si>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</si>
  <si>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</si>
  <si>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</si>
  <si>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</si>
  <si>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</si>
  <si>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</si>
  <si>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</si>
  <si>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</si>
  <si>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</si>
  <si>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</si>
  <si>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</si>
  <si>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</si>
  <si>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</si>
  <si>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</si>
  <si>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</si>
  <si>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</si>
  <si>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</si>
  <si>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</si>
  <si>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</si>
  <si>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</si>
  <si>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</si>
  <si>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</si>
  <si>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</si>
  <si>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</si>
  <si>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</si>
  <si>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</si>
  <si>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</si>
  <si>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</si>
  <si>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</si>
  <si>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</si>
  <si>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</si>
  <si>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</si>
  <si>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</si>
  <si>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</si>
  <si>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</si>
  <si>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</si>
  <si>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</si>
  <si>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</si>
  <si>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</si>
  <si>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</si>
  <si>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</si>
  <si>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</si>
  <si>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</si>
  <si>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</si>
  <si>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</si>
  <si>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</si>
  <si>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</si>
  <si>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</si>
  <si>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</si>
  <si>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</si>
  <si>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</si>
  <si>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</si>
  <si>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</si>
  <si>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</si>
  <si>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</si>
  <si>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</si>
  <si>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</si>
  <si>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</si>
  <si>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</si>
  <si>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</si>
  <si>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</si>
  <si>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</si>
  <si>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</si>
  <si>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</si>
  <si>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</si>
  <si>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</si>
  <si>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</si>
  <si>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</si>
  <si>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</si>
  <si>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</si>
  <si>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</si>
  <si>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</si>
  <si>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</si>
  <si>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</si>
  <si>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</si>
  <si>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</si>
  <si>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</si>
  <si>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</si>
  <si>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</si>
  <si>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</si>
  <si>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</si>
  <si>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</si>
  <si>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</si>
  <si>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</si>
  <si>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</si>
  <si>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</si>
  <si>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</si>
  <si>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</si>
  <si>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</si>
  <si>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</si>
  <si>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</si>
  <si>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</si>
  <si>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</si>
  <si>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</si>
  <si>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</si>
  <si>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</si>
  <si>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</si>
  <si>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</si>
  <si>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</si>
  <si>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</si>
  <si>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</si>
  <si>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</si>
  <si>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</si>
  <si>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</si>
  <si>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</si>
  <si>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</si>
  <si>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</si>
  <si>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</si>
  <si>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</si>
  <si>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</si>
  <si>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</si>
  <si>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</si>
  <si>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</si>
  <si>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</si>
  <si>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</si>
  <si>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</si>
  <si>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</si>
  <si>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</si>
  <si>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</si>
  <si>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</si>
  <si>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</si>
  <si>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</si>
  <si>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</si>
  <si>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</si>
  <si>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</si>
  <si>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</si>
  <si>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</si>
  <si>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</si>
  <si>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</si>
  <si>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</si>
  <si>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</si>
  <si>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</si>
  <si>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</si>
  <si>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</si>
  <si>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</si>
  <si>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</si>
  <si>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</si>
  <si>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</si>
  <si>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</si>
  <si>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</si>
  <si>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</si>
  <si>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</si>
  <si>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</si>
  <si>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</si>
  <si>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</si>
  <si>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</si>
  <si>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</si>
  <si>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</si>
  <si>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</si>
  <si>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</si>
  <si>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</si>
  <si>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</si>
  <si>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</si>
  <si>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</si>
  <si>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</si>
  <si>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</si>
  <si>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</si>
  <si>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</si>
  <si>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</si>
  <si>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</si>
  <si>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</si>
  <si>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</si>
  <si>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</si>
  <si>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</si>
  <si>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</si>
  <si>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</si>
  <si>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</si>
  <si>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</si>
  <si>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</si>
  <si>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</si>
  <si>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</si>
  <si>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</si>
  <si>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</si>
  <si>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</si>
  <si>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</si>
  <si>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</si>
  <si>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</si>
  <si>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</si>
  <si>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</si>
  <si>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</si>
  <si>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</si>
  <si>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</si>
  <si>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</si>
  <si>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</si>
  <si>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</si>
  <si>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</si>
  <si>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</si>
  <si>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</si>
  <si>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</si>
  <si>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</si>
  <si>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</si>
  <si>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</si>
  <si>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</si>
  <si>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</si>
  <si>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</si>
  <si>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</si>
  <si>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</si>
  <si>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</si>
  <si>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</si>
  <si>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</si>
  <si>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</si>
  <si>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</si>
  <si>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</si>
  <si>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</si>
  <si>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</si>
  <si>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</si>
  <si>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</si>
  <si>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</si>
  <si>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</si>
  <si>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</si>
  <si>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</si>
  <si>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</si>
  <si>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</si>
  <si>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</si>
  <si>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</si>
  <si>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</si>
  <si>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</si>
  <si>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</si>
  <si>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</si>
  <si>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</si>
  <si>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</si>
  <si>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</si>
  <si>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</si>
  <si>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</si>
  <si>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</si>
  <si>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</si>
  <si>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</si>
  <si>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</si>
  <si>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</si>
  <si>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</si>
  <si>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</si>
  <si>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</si>
  <si>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</si>
  <si>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</si>
  <si>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</si>
  <si>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</si>
  <si>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</si>
  <si>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</si>
  <si>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</si>
  <si>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</si>
  <si>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</si>
  <si>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</si>
  <si>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</si>
  <si>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</si>
  <si>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</si>
  <si>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</si>
  <si>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</si>
  <si>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</si>
  <si>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</si>
  <si>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</si>
  <si>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</si>
  <si>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</si>
  <si>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</si>
  <si>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</si>
  <si>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</si>
  <si>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</si>
  <si>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</si>
  <si>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</si>
  <si>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</si>
  <si>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</si>
  <si>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</si>
  <si>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</si>
  <si>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</si>
  <si>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</si>
  <si>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</si>
  <si>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</si>
  <si>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</si>
  <si>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</si>
  <si>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</si>
  <si>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</si>
  <si>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</si>
  <si>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</si>
  <si>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</si>
  <si>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</si>
  <si>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</si>
  <si>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</si>
  <si>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</si>
  <si>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</si>
  <si>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</si>
  <si>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</si>
  <si>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</si>
  <si>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</si>
  <si>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</si>
  <si>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</si>
  <si>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</si>
  <si>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</si>
  <si>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</si>
  <si>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</si>
  <si>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</si>
  <si>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</si>
  <si>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</si>
  <si>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</si>
  <si>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</si>
  <si>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</si>
  <si>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</si>
  <si>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</si>
  <si>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</si>
  <si>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</si>
  <si>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</si>
  <si>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</si>
  <si>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</si>
  <si>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</si>
  <si>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</si>
  <si>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</si>
  <si>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</si>
  <si>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</si>
  <si>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</si>
  <si>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</si>
  <si>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</si>
  <si>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</si>
  <si>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</si>
  <si>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</si>
  <si>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</si>
  <si>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</si>
  <si>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</si>
  <si>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</si>
  <si>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</si>
  <si>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</si>
  <si>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</si>
  <si>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</si>
  <si>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</si>
  <si>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</si>
  <si>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</si>
  <si>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</si>
  <si>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</si>
  <si>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</si>
  <si>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</si>
  <si>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</si>
  <si>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</si>
  <si>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</si>
  <si>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</si>
  <si>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</si>
  <si>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</si>
  <si>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</si>
  <si>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</si>
  <si>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</si>
  <si>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</si>
  <si>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</si>
  <si>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</si>
  <si>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</si>
  <si>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</si>
  <si>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</si>
  <si>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</si>
  <si>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</si>
  <si>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</si>
  <si>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</si>
  <si>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</si>
  <si>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</si>
  <si>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</si>
  <si>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</si>
  <si>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</si>
  <si>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</si>
  <si>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</si>
  <si>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</si>
  <si>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</si>
  <si>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</si>
  <si>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</si>
  <si>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</si>
  <si>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</si>
  <si>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</si>
  <si>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</si>
  <si>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</si>
  <si>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</si>
  <si>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</si>
  <si>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</si>
  <si>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</si>
  <si>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</si>
  <si>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</si>
  <si>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</si>
  <si>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</si>
  <si>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</si>
  <si>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</si>
  <si>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</si>
  <si>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</si>
  <si>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</si>
  <si>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</si>
  <si>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</si>
  <si>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</si>
  <si>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</si>
  <si>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</si>
  <si>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</si>
  <si>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</si>
  <si>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</si>
  <si>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</si>
  <si>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</si>
  <si>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</si>
  <si>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</si>
  <si>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</si>
  <si>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</si>
  <si>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</si>
  <si>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</si>
  <si>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</si>
  <si>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</si>
  <si>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</si>
  <si>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</si>
  <si>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</si>
  <si>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</si>
  <si>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</si>
  <si>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</si>
  <si>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</si>
  <si>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</si>
  <si>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</si>
  <si>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</si>
  <si>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</si>
  <si>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</si>
  <si>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</si>
  <si>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</si>
  <si>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</si>
  <si>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</si>
  <si>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</si>
  <si>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</si>
  <si>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</si>
  <si>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</si>
  <si>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</si>
  <si>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</si>
  <si>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</si>
  <si>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</si>
  <si>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</si>
  <si>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</si>
  <si>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</si>
  <si>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</si>
  <si>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</si>
  <si>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</si>
  <si>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</si>
  <si>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</si>
  <si>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</si>
  <si>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</si>
  <si>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</si>
  <si>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</si>
  <si>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</si>
  <si>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</si>
  <si>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</si>
  <si>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</si>
  <si>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</si>
  <si>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</si>
  <si>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</si>
  <si>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</si>
  <si>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</si>
  <si>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</si>
  <si>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</si>
  <si>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</si>
  <si>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</si>
  <si>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</si>
  <si>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</si>
  <si>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</si>
  <si>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</si>
  <si>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</si>
  <si>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</si>
  <si>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</si>
  <si>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</si>
  <si>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</si>
  <si>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</si>
  <si>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</si>
  <si>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</si>
  <si>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</si>
  <si>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</si>
  <si>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</si>
  <si>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</si>
  <si>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</si>
  <si>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</si>
  <si>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</si>
  <si>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</si>
  <si>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</si>
  <si>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</si>
  <si>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</si>
  <si>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</si>
  <si>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</si>
  <si>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</si>
  <si>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</si>
  <si>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</si>
  <si>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</si>
  <si>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</si>
  <si>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</si>
  <si>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</si>
  <si>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</si>
  <si>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</si>
  <si>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</si>
  <si>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</si>
  <si>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</si>
  <si>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</si>
  <si>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</si>
  <si>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</si>
  <si>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</si>
  <si>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</si>
  <si>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</si>
  <si>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</si>
  <si>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</si>
  <si>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</si>
  <si>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</si>
  <si>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</si>
  <si>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</si>
  <si>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</si>
  <si>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</si>
  <si>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</si>
  <si>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</si>
  <si>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</si>
  <si>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</si>
  <si>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</si>
  <si>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</si>
  <si>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</si>
  <si>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</si>
  <si>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</si>
  <si>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</si>
  <si>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</si>
  <si>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</si>
  <si>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</si>
  <si>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</si>
  <si>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</si>
  <si>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</si>
  <si>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</si>
  <si>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</si>
  <si>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</si>
  <si>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</si>
  <si>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</si>
  <si>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</si>
  <si>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</si>
  <si>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</si>
  <si>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</si>
  <si>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</si>
  <si>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</si>
  <si>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</si>
  <si>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</si>
  <si>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</si>
  <si>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</si>
  <si>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</si>
  <si>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</si>
  <si>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</si>
  <si>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</si>
  <si>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</si>
  <si>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</si>
  <si>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</si>
  <si>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</si>
  <si>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</si>
  <si>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</si>
  <si>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</si>
  <si>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</si>
  <si>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</si>
  <si>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</si>
  <si>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</si>
  <si>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</si>
  <si>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</si>
  <si>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</si>
  <si>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</si>
  <si>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</si>
  <si>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</si>
  <si>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</si>
  <si>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</si>
  <si>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</si>
  <si>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</si>
  <si>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</si>
  <si>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</si>
  <si>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</si>
  <si>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</si>
  <si>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</si>
  <si>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</si>
  <si>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</si>
  <si>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</si>
  <si>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</si>
  <si>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</si>
  <si>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</si>
  <si>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</si>
  <si>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</si>
  <si>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</si>
  <si>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</si>
  <si>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</si>
  <si>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</si>
  <si>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</si>
  <si>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</si>
  <si>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</si>
  <si>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</si>
  <si>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</si>
  <si>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</si>
  <si>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</si>
  <si>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</si>
  <si>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</si>
  <si>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</si>
  <si>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</si>
  <si>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</si>
  <si>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</si>
  <si>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</si>
  <si>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</si>
  <si>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Non-BSP Alvin S. Aguilar</t>
  </si>
  <si>
    <t>$D$2</t>
  </si>
  <si>
    <t>$D$3</t>
  </si>
  <si>
    <t>$J$8</t>
  </si>
  <si>
    <t>$K$8</t>
  </si>
  <si>
    <t>$M$8</t>
  </si>
  <si>
    <t>$J$13</t>
  </si>
  <si>
    <t>$K$13</t>
  </si>
  <si>
    <t>$N$7</t>
  </si>
  <si>
    <t>$P$8</t>
  </si>
  <si>
    <t>$N$11</t>
  </si>
  <si>
    <t>$P$11</t>
  </si>
  <si>
    <t>$N$12</t>
  </si>
  <si>
    <t>$P$12</t>
  </si>
  <si>
    <t>$N$13</t>
  </si>
  <si>
    <t>$J$14</t>
  </si>
  <si>
    <t>$K$14</t>
  </si>
  <si>
    <t>$J$15:$K$20</t>
  </si>
  <si>
    <t>$L$15</t>
  </si>
  <si>
    <t>$L$16:$L$20</t>
  </si>
  <si>
    <t>$N$14:$N$20</t>
  </si>
  <si>
    <t>$P$14:$P$20</t>
  </si>
  <si>
    <t>$K$21</t>
  </si>
  <si>
    <t>$J$22:$K$25</t>
  </si>
  <si>
    <t>$J$26:$K$26</t>
  </si>
  <si>
    <t>$J$27:$K$27</t>
  </si>
  <si>
    <t>$L$21</t>
  </si>
  <si>
    <t>$L$22</t>
  </si>
  <si>
    <t>$L$23:$L$27</t>
  </si>
  <si>
    <t>$N$21:$N$27</t>
  </si>
  <si>
    <t>$P$21:$P$27</t>
  </si>
  <si>
    <t>$J$10:$J$15</t>
  </si>
  <si>
    <t>$N$10:$N$15</t>
  </si>
  <si>
    <t>$L$8:$M$15</t>
  </si>
  <si>
    <t>$J$10:$J$18</t>
  </si>
  <si>
    <t>$J$11:$J$15</t>
  </si>
  <si>
    <t>$L$12:$L$15</t>
  </si>
  <si>
    <t>$M$15</t>
  </si>
  <si>
    <t>$Q$9</t>
  </si>
  <si>
    <t>$S$9</t>
  </si>
  <si>
    <t>$S$10:$S$16</t>
  </si>
  <si>
    <t>$Q$10:$Q$13</t>
  </si>
  <si>
    <t>$S$14:$S$16</t>
  </si>
  <si>
    <t>$T$9:$T$10</t>
  </si>
  <si>
    <t>$T$11:$T$13</t>
  </si>
  <si>
    <t>$J$10:$J$13</t>
  </si>
  <si>
    <t>$L$10:$L$13</t>
  </si>
  <si>
    <t>$J$15</t>
  </si>
  <si>
    <t>$J$16:$J$19</t>
  </si>
  <si>
    <t>$L$15:$L$19</t>
  </si>
  <si>
    <t>$M$17</t>
  </si>
  <si>
    <t>$M$18</t>
  </si>
  <si>
    <t>$M$19</t>
  </si>
  <si>
    <t>$A$27:$F$39</t>
  </si>
  <si>
    <t>$N$14</t>
  </si>
  <si>
    <t>$N$15</t>
  </si>
  <si>
    <t>$L$20</t>
  </si>
  <si>
    <t>$K$20</t>
  </si>
  <si>
    <t>$N$20</t>
  </si>
  <si>
    <t>$P$20</t>
  </si>
  <si>
    <t>$J$27</t>
  </si>
  <si>
    <t>$K$27</t>
  </si>
  <si>
    <t>$L$27</t>
  </si>
  <si>
    <t>$N$27</t>
  </si>
  <si>
    <t>$P$27</t>
  </si>
  <si>
    <t>$J$13:$K$18</t>
  </si>
  <si>
    <t>$L$13:$L$18</t>
  </si>
  <si>
    <t>$N$13:$N$18</t>
  </si>
  <si>
    <t>$P$13:$P$18</t>
  </si>
  <si>
    <t>$J$19:$L$24</t>
  </si>
  <si>
    <t>$N$19:$N$24</t>
  </si>
  <si>
    <t>$P$19:$P$24</t>
  </si>
  <si>
    <t>$P$25:$P$27</t>
  </si>
  <si>
    <t>$N$25:$N$26</t>
  </si>
  <si>
    <t>$J$25:$L$26</t>
  </si>
  <si>
    <t>$A$27:$E$39</t>
  </si>
  <si>
    <t>Guard House</t>
  </si>
  <si>
    <t>$T$8:$T$13</t>
  </si>
  <si>
    <t>$I$14:$O$106</t>
  </si>
  <si>
    <t>$I$7:$I$13</t>
  </si>
  <si>
    <t>$I$8:$I$13</t>
  </si>
  <si>
    <t>$N$7:$N$9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</si>
</sst>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5.75869629629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8"/>
    </cacheField>
    <cacheField name="Vehicle Type" numFmtId="0">
      <sharedItems containsBlank="1" count="11">
        <s v="Van  "/>
        <s v="Sport Utility Vehicle  (SUV)"/>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0">
        <s v="Jan"/>
        <s v="Feb"/>
        <s v="Mar"/>
        <s v="Apr"/>
        <s v="May"/>
        <s v="Jun"/>
        <m/>
        <s v="Jul" u="1"/>
        <s v="Oct" u="1"/>
        <s v="Sep" u="1"/>
      </sharedItems>
    </cacheField>
    <cacheField name="Quarter" numFmtId="0">
      <sharedItems containsBlank="1" count="6">
        <s v="Q1"/>
        <s v="Q2"/>
        <s v=""/>
        <s v="Q3" u="1"/>
        <m u="1"/>
        <s v="Q4" u="1"/>
      </sharedItems>
    </cacheField>
    <cacheField name="Consumption" numFmtId="4">
      <sharedItems containsString="0" containsBlank="1" containsNumber="1" minValue="0" maxValue="474.78"/>
    </cacheField>
    <cacheField name="Unit" numFmtId="0">
      <sharedItems containsBlank="1"/>
    </cacheField>
    <cacheField name="Total kilometers travelled (all vehicles)" numFmtId="4">
      <sharedItems containsString="0" containsBlank="1" containsNumber="1" minValue="0" maxValue="4252"/>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76.81"/>
    <s v="Liters"/>
    <n v="524"/>
    <s v="Kilometers"/>
    <m/>
  </r>
  <r>
    <n v="2"/>
    <x v="0"/>
    <x v="0"/>
    <x v="1"/>
    <x v="0"/>
    <n v="226.83"/>
    <m/>
    <n v="1650"/>
    <s v="Kilometers"/>
    <m/>
  </r>
  <r>
    <n v="3"/>
    <x v="0"/>
    <x v="0"/>
    <x v="2"/>
    <x v="0"/>
    <n v="474.78"/>
    <s v="Liters"/>
    <n v="4252"/>
    <s v="Kilometers"/>
    <m/>
  </r>
  <r>
    <n v="4"/>
    <x v="0"/>
    <x v="0"/>
    <x v="3"/>
    <x v="1"/>
    <n v="205.02"/>
    <s v="Liters"/>
    <n v="1583"/>
    <s v="Kilometers"/>
    <m/>
  </r>
  <r>
    <n v="5"/>
    <x v="0"/>
    <x v="0"/>
    <x v="4"/>
    <x v="1"/>
    <n v="425.49"/>
    <s v="Liters"/>
    <n v="3429"/>
    <s v="Kilometers"/>
    <m/>
  </r>
  <r>
    <n v="6"/>
    <x v="0"/>
    <x v="0"/>
    <x v="5"/>
    <x v="1"/>
    <n v="111.46"/>
    <s v="Liters"/>
    <n v="892"/>
    <s v="Kilometers"/>
    <m/>
  </r>
  <r>
    <n v="7"/>
    <x v="1"/>
    <x v="0"/>
    <x v="0"/>
    <x v="0"/>
    <n v="193.19"/>
    <s v="Liters"/>
    <n v="1845"/>
    <s v="Kilometers"/>
    <m/>
  </r>
  <r>
    <n v="8"/>
    <x v="1"/>
    <x v="0"/>
    <x v="1"/>
    <x v="0"/>
    <n v="163.58000000000001"/>
    <s v="Liters"/>
    <n v="1339"/>
    <s v="Kilometers"/>
    <m/>
  </r>
  <r>
    <n v="9"/>
    <x v="1"/>
    <x v="0"/>
    <x v="2"/>
    <x v="0"/>
    <n v="249.42"/>
    <s v="Liters"/>
    <n v="2041"/>
    <s v="Kilometers"/>
    <m/>
  </r>
  <r>
    <n v="10"/>
    <x v="1"/>
    <x v="0"/>
    <x v="3"/>
    <x v="1"/>
    <n v="129.9"/>
    <s v="Liters"/>
    <n v="1299"/>
    <s v="Kilometers"/>
    <m/>
  </r>
  <r>
    <n v="11"/>
    <x v="1"/>
    <x v="0"/>
    <x v="4"/>
    <x v="1"/>
    <n v="162.5"/>
    <s v="Liters"/>
    <n v="1625"/>
    <s v="Kilometers"/>
    <m/>
  </r>
  <r>
    <n v="12"/>
    <x v="1"/>
    <x v="0"/>
    <x v="5"/>
    <x v="1"/>
    <n v="259.16000000000003"/>
    <s v="Liters"/>
    <n v="2726"/>
    <s v="Kilometers"/>
    <m/>
  </r>
  <r>
    <n v="13"/>
    <x v="2"/>
    <x v="0"/>
    <x v="0"/>
    <x v="0"/>
    <n v="102.56"/>
    <s v="Liters"/>
    <n v="186.4"/>
    <s v="Kilometers"/>
    <m/>
  </r>
  <r>
    <n v="14"/>
    <x v="2"/>
    <x v="0"/>
    <x v="1"/>
    <x v="0"/>
    <n v="78.53"/>
    <s v="Liters"/>
    <n v="142.80000000000001"/>
    <s v="Kilometers"/>
    <m/>
  </r>
  <r>
    <n v="15"/>
    <x v="2"/>
    <x v="0"/>
    <x v="2"/>
    <x v="0"/>
    <n v="0"/>
    <s v="Liters"/>
    <n v="0"/>
    <s v="Kilometers"/>
    <m/>
  </r>
  <r>
    <n v="16"/>
    <x v="2"/>
    <x v="0"/>
    <x v="3"/>
    <x v="1"/>
    <n v="278.10000000000002"/>
    <s v="Liters"/>
    <n v="503.7"/>
    <s v="Kilometers"/>
    <m/>
  </r>
  <r>
    <n v="17"/>
    <x v="2"/>
    <x v="0"/>
    <x v="4"/>
    <x v="1"/>
    <n v="15.25"/>
    <s v="Liters"/>
    <n v="30.5"/>
    <s v="Kilometers"/>
    <m/>
  </r>
  <r>
    <n v="18"/>
    <x v="2"/>
    <x v="0"/>
    <x v="5"/>
    <x v="1"/>
    <n v="56.9"/>
    <s v="Liters"/>
    <n v="113.8"/>
    <s v="Kilometers"/>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2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2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m="1" x="2"/>
        <item x="1"/>
        <item m="1" x="3"/>
        <item t="default"/>
      </items>
    </pivotField>
    <pivotField axis="axisPage" showAll="0">
      <items count="11">
        <item x="0"/>
        <item x="1"/>
        <item m="1" x="8"/>
        <item x="6"/>
        <item x="4"/>
        <item m="1" x="9"/>
        <item x="2"/>
        <item x="3"/>
        <item x="5"/>
        <item m="1" x="7"/>
        <item t="default"/>
      </items>
    </pivotField>
    <pivotField axis="axisCol" showAll="0">
      <items count="7">
        <item x="2"/>
        <item x="0"/>
        <item m="1" x="5"/>
        <item x="1"/>
        <item m="1" x="3"/>
        <item m="1" x="4"/>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2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2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2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2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2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1" s="1"/>
        <i x="0"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0">
        <i x="0" s="1"/>
        <i x="1" s="1"/>
        <i x="2" s="1"/>
        <i x="3" s="1"/>
        <i x="4" s="1"/>
        <i x="5" s="1"/>
        <i x="7" s="1" nd="1"/>
        <i x="9" s="1" nd="1"/>
        <i x="8"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3" s="1" nd="1"/>
        <i x="5" s="1" nd="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109" dataDxfId="107" headerRowBorderDxfId="108" tableBorderDxfId="106" totalsRowBorderDxfId="105">
  <autoFilter ref="I6:R106" xr:uid="{A85D45EB-1572-A543-812E-815536D59C14}"/>
  <tableColumns count="10">
    <tableColumn id="1" xr3:uid="{CA340CBE-9D85-6C42-9CA1-DDAD368521C3}" name="No." dataDxfId="104">
      <calculatedColumnFormula>IF($J7="","",$I6+1)</calculatedColumnFormula>
    </tableColumn>
    <tableColumn id="2" xr3:uid="{CFAD3D96-F137-044A-AE4C-49E5188E1144}" name="Vehicle Type" dataDxfId="103"/>
    <tableColumn id="3" xr3:uid="{5A421D87-7A43-B14E-BA71-EABB4924A663}" name="Fuel Type" dataDxfId="102"/>
    <tableColumn id="4" xr3:uid="{9C4094CC-7613-9147-BAF8-A31087280A9A}" name="Month" dataDxfId="101"/>
    <tableColumn id="10" xr3:uid="{5211A67F-348D-494D-AD2E-AD4A362BCD78}" name="Quarter" dataDxfId="100">
      <calculatedColumnFormula>IF(Fuel_Veh[[#This Row],[Month]]&lt;&gt;"",VLOOKUP(Fuel_Veh[[#This Row],[Month]], dropdown!$S$4:$T$15, 2, FALSE),"")</calculatedColumnFormula>
    </tableColumn>
    <tableColumn id="5" xr3:uid="{6EDA12F9-55D0-694A-BAB9-B15BDE58CA76}" name="Consumption" dataDxfId="99"/>
    <tableColumn id="7" xr3:uid="{E7761959-51F4-954F-B8FB-F46DCC54C53F}" name="Unit" dataDxfId="98">
      <calculatedColumnFormula>IF($K7="","",VLOOKUP($K7,dropdown!$P$14:$Q$18,2,FALSE))</calculatedColumnFormula>
    </tableColumn>
    <tableColumn id="8" xr3:uid="{AD5D0247-3B56-D146-B22E-45D44E44A249}" name="Total kilometers travelled (all vehicles)" dataDxfId="97"/>
    <tableColumn id="6" xr3:uid="{7D9E5DFA-64C2-4B06-A40F-0BC8CB602574}" name="Unit2" dataDxfId="96">
      <calculatedColumnFormula>IF($P7="","","Kilometers")</calculatedColumnFormula>
    </tableColumn>
    <tableColumn id="9" xr3:uid="{3C24034E-2544-5447-B927-0F565A869F60}" name="Remarks" dataDxfId="9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3" totalsRowShown="0" headerRowDxfId="94" dataDxfId="92" headerRowBorderDxfId="93" tableBorderDxfId="91">
  <autoFilter ref="I6:O13" xr:uid="{5D54EA1C-BF56-1C41-A397-8FB104BB2C69}"/>
  <tableColumns count="7">
    <tableColumn id="1" xr3:uid="{0736B116-FD52-4F4F-884D-77C731445CFF}" name="No." dataDxfId="90">
      <calculatedColumnFormula>IF(#REF!="","",$I7+1)</calculatedColumnFormula>
    </tableColumn>
    <tableColumn id="5" xr3:uid="{C603CCC2-2764-574B-B616-B1F220EFF63F}" name="Fuel Type" dataDxfId="89"/>
    <tableColumn id="6" xr3:uid="{29E6127A-1BBD-4D42-8A5A-1FA1E160EC19}" name="Month" dataDxfId="88"/>
    <tableColumn id="7" xr3:uid="{AAB63BD1-C28A-2145-9671-756792E786E6}" name="Quarter" dataDxfId="87">
      <calculatedColumnFormula>IF(Fuel_Blg[[#This Row],[Month]]&lt;&gt;"",VLOOKUP(Fuel_Blg[[#This Row],[Month]], dropdown!$S$4:$T$15, 2, FALSE),"")</calculatedColumnFormula>
    </tableColumn>
    <tableColumn id="8" xr3:uid="{2659C633-FEE7-7446-91C8-0ACAADD03760}" name="Consumption" dataDxfId="86"/>
    <tableColumn id="9" xr3:uid="{83261790-77E9-A84F-890F-8F209571520F}" name="Unit" dataDxfId="85">
      <calculatedColumnFormula>IF($J7="","",VLOOKUP($J7,dropdown!$P$3:$Q$8,2,FALSE))</calculatedColumnFormula>
    </tableColumn>
    <tableColumn id="10" xr3:uid="{ADF20B56-6D74-6149-B0C0-FB9AA3F5AC8E}"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151" totalsRowShown="0" headerRowDxfId="8">
  <autoFilter ref="A1:E1151"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B32" zoomScaleNormal="130" workbookViewId="0">
      <selection activeCell="G51" sqref="G51"/>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G18" sqref="G18"/>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t="s">
        <v>429</v>
      </c>
      <c r="E2" s="444"/>
      <c r="F2" s="444"/>
      <c r="G2" s="445"/>
    </row>
    <row r="3" spans="3:7" x14ac:dyDescent="0.2">
      <c r="C3" s="117" t="s">
        <v>12</v>
      </c>
      <c r="D3" s="443">
        <v>2025</v>
      </c>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x</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1203.93</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3209.48</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79450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459</v>
      </c>
    </row>
    <row r="40" spans="3:5" x14ac:dyDescent="0.2">
      <c r="C40" s="189" t="str">
        <f>'2.4 Water'!B12</f>
        <v>Water Discharge</v>
      </c>
      <c r="D40" s="189" t="str">
        <f>'2.4 Water'!C12</f>
        <v>Cubic meters</v>
      </c>
      <c r="E40" s="190">
        <f>SUM('2.4 Water'!$D$12:$G$12)</f>
        <v>459</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6000</v>
      </c>
    </row>
    <row r="45" spans="3:5" x14ac:dyDescent="0.2">
      <c r="C45" s="189" t="str">
        <f>'2.5 Waste'!B12</f>
        <v>Recyclable</v>
      </c>
      <c r="D45" s="189" t="str">
        <f>'2.5 Waste'!C12</f>
        <v>Kilograms</v>
      </c>
      <c r="E45" s="191">
        <f>SUM('2.5 Waste'!$D$12:$G$12)</f>
        <v>6000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A6" zoomScaleNormal="100" workbookViewId="0">
      <selection activeCell="J8" sqref="J8"/>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South Luzon Regional Office</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381</v>
      </c>
      <c r="K7" s="57" t="s">
        <v>63</v>
      </c>
      <c r="L7" s="58" t="s">
        <v>338</v>
      </c>
      <c r="M7" s="18" t="str">
        <f>IF(Fuel_Veh[[#This Row],[Month]]&lt;&gt;"",VLOOKUP(Fuel_Veh[[#This Row],[Month]], dropdown!$S$4:$T$15, 2, FALSE),"")</f>
        <v>Q1</v>
      </c>
      <c r="N7" s="29">
        <v>76.81</v>
      </c>
      <c r="O7" s="17" t="str">
        <f>IF($K7="","",VLOOKUP($K7,dropdown!$P$14:$Q$18,2,FALSE))</f>
        <v>Liters</v>
      </c>
      <c r="P7" s="29">
        <v>524</v>
      </c>
      <c r="Q7" s="17" t="str">
        <f t="shared" ref="Q7:Q70" si="0">IF($P7="","","Kilometers")</f>
        <v>Kilometers</v>
      </c>
      <c r="R7" s="195"/>
    </row>
    <row r="8" spans="2:18" x14ac:dyDescent="0.2">
      <c r="I8" s="194">
        <f>IF($J8="","",$I7+1)</f>
        <v>2</v>
      </c>
      <c r="J8" s="57" t="s">
        <v>381</v>
      </c>
      <c r="K8" s="57" t="s">
        <v>63</v>
      </c>
      <c r="L8" s="58" t="s">
        <v>89</v>
      </c>
      <c r="M8" s="18" t="str">
        <f>IF(Fuel_Veh[[#This Row],[Month]]&lt;&gt;"",VLOOKUP(Fuel_Veh[[#This Row],[Month]], dropdown!$S$4:$T$15, 2, FALSE),"")</f>
        <v>Q1</v>
      </c>
      <c r="N8" s="29">
        <v>226.83</v>
      </c>
      <c r="O8" s="17"/>
      <c r="P8" s="29">
        <v>1650</v>
      </c>
      <c r="Q8" s="17" t="str">
        <f t="shared" si="0"/>
        <v>Kilometers</v>
      </c>
      <c r="R8" s="195"/>
    </row>
    <row r="9" spans="2:18" x14ac:dyDescent="0.2">
      <c r="B9" s="14" t="s">
        <v>33</v>
      </c>
      <c r="C9" s="14"/>
      <c r="D9" s="14"/>
      <c r="E9" s="14"/>
      <c r="F9" s="14"/>
      <c r="G9" s="14"/>
      <c r="I9" s="194">
        <f>IF($J9="","",$I8+1)</f>
        <v>3</v>
      </c>
      <c r="J9" s="57" t="s">
        <v>381</v>
      </c>
      <c r="K9" s="57" t="s">
        <v>63</v>
      </c>
      <c r="L9" s="58" t="s">
        <v>362</v>
      </c>
      <c r="M9" s="18" t="str">
        <f>IF(Fuel_Veh[[#This Row],[Month]]&lt;&gt;"",VLOOKUP(Fuel_Veh[[#This Row],[Month]], dropdown!$S$4:$T$15, 2, FALSE),"")</f>
        <v>Q1</v>
      </c>
      <c r="N9" s="29">
        <v>474.78</v>
      </c>
      <c r="O9" s="17" t="str">
        <f>IF($K9="","",VLOOKUP($K9,dropdown!$P$14:$Q$18,2,FALSE))</f>
        <v>Liters</v>
      </c>
      <c r="P9" s="29">
        <v>4252</v>
      </c>
      <c r="Q9" s="17" t="str">
        <f t="shared" si="0"/>
        <v>Kilometers</v>
      </c>
      <c r="R9" s="195"/>
    </row>
    <row r="10" spans="2:18" x14ac:dyDescent="0.2">
      <c r="B10" s="13" t="s">
        <v>35</v>
      </c>
      <c r="C10" s="13" t="s">
        <v>51</v>
      </c>
      <c r="D10" s="40" t="s">
        <v>45</v>
      </c>
      <c r="E10" s="40" t="s">
        <v>149</v>
      </c>
      <c r="F10" s="40" t="s">
        <v>150</v>
      </c>
      <c r="G10" s="40" t="s">
        <v>151</v>
      </c>
      <c r="I10" s="194">
        <f>IF($J10="","",$I9+1)</f>
        <v>4</v>
      </c>
      <c r="J10" s="57" t="s">
        <v>381</v>
      </c>
      <c r="K10" s="57" t="s">
        <v>63</v>
      </c>
      <c r="L10" s="58" t="s">
        <v>371</v>
      </c>
      <c r="M10" s="18" t="str">
        <f>IF(Fuel_Veh[[#This Row],[Month]]&lt;&gt;"",VLOOKUP(Fuel_Veh[[#This Row],[Month]], dropdown!$S$4:$T$15, 2, FALSE),"")</f>
        <v>Q2</v>
      </c>
      <c r="N10" s="29">
        <v>205.02</v>
      </c>
      <c r="O10" s="17" t="str">
        <f>IF($K10="","",VLOOKUP($K10,dropdown!$P$14:$Q$18,2,FALSE))</f>
        <v>Liters</v>
      </c>
      <c r="P10" s="29">
        <v>1583</v>
      </c>
      <c r="Q10" s="17" t="str">
        <f t="shared" si="0"/>
        <v>Kilometers</v>
      </c>
      <c r="R10" s="195"/>
    </row>
    <row r="11" spans="2:18" x14ac:dyDescent="0.2">
      <c r="B11" s="17" t="str">
        <f>dropdown!$P15</f>
        <v>Diesel - Transport vehicles</v>
      </c>
      <c r="C11" s="17" t="str">
        <f>dropdown!$Q15</f>
        <v>Liters</v>
      </c>
      <c r="D11" s="41">
        <f>SUMIFS(Fuel_Veh[Consumption],Fuel_Veh[Quarter],D$10,Fuel_Veh[Fuel Type],$B$11)</f>
        <v>1565.6999999999998</v>
      </c>
      <c r="E11" s="41">
        <f>SUMIFS(Fuel_Veh[Consumption],Fuel_Veh[Quarter],E$10,Fuel_Veh[Fuel Type],$B$11)</f>
        <v>1643.7800000000002</v>
      </c>
      <c r="F11" s="41">
        <f>SUMIFS(Fuel_Veh[Consumption],Fuel_Veh[Quarter],F$10,Fuel_Veh[Fuel Type],$B$11)</f>
        <v>0</v>
      </c>
      <c r="G11" s="41">
        <f>SUMIFS(Fuel_Veh[Consumption],Fuel_Veh[Quarter],G$10,Fuel_Veh[Fuel Type],$B$11)</f>
        <v>0</v>
      </c>
      <c r="I11" s="194">
        <f>IF($J11="","",$I10+1)</f>
        <v>5</v>
      </c>
      <c r="J11" s="57" t="s">
        <v>381</v>
      </c>
      <c r="K11" s="57" t="s">
        <v>63</v>
      </c>
      <c r="L11" s="58" t="s">
        <v>379</v>
      </c>
      <c r="M11" s="18" t="str">
        <f>IF(Fuel_Veh[[#This Row],[Month]]&lt;&gt;"",VLOOKUP(Fuel_Veh[[#This Row],[Month]], dropdown!$S$4:$T$15, 2, FALSE),"")</f>
        <v>Q2</v>
      </c>
      <c r="N11" s="29">
        <v>425.49</v>
      </c>
      <c r="O11" s="17" t="str">
        <f>IF($K11="","",VLOOKUP($K11,dropdown!$P$14:$Q$18,2,FALSE))</f>
        <v>Liters</v>
      </c>
      <c r="P11" s="29">
        <v>3429</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381</v>
      </c>
      <c r="K12" s="57" t="s">
        <v>63</v>
      </c>
      <c r="L12" s="58" t="s">
        <v>386</v>
      </c>
      <c r="M12" s="18" t="str">
        <f>IF(Fuel_Veh[[#This Row],[Month]]&lt;&gt;"",VLOOKUP(Fuel_Veh[[#This Row],[Month]], dropdown!$S$4:$T$15, 2, FALSE),"")</f>
        <v>Q2</v>
      </c>
      <c r="N12" s="29">
        <v>111.46</v>
      </c>
      <c r="O12" s="17" t="str">
        <f>IF($K12="","",VLOOKUP($K12,dropdown!$P$14:$Q$18,2,FALSE))</f>
        <v>Liters</v>
      </c>
      <c r="P12" s="29">
        <v>892</v>
      </c>
      <c r="Q12" s="17" t="str">
        <f t="shared" si="0"/>
        <v>Kilometers</v>
      </c>
      <c r="R12" s="195"/>
    </row>
    <row r="13" spans="2:18" ht="14" customHeight="1" x14ac:dyDescent="0.2">
      <c r="I13" s="194">
        <f t="shared" si="1"/>
        <v>7</v>
      </c>
      <c r="J13" s="57" t="s">
        <v>374</v>
      </c>
      <c r="K13" s="57" t="s">
        <v>63</v>
      </c>
      <c r="L13" s="58" t="s">
        <v>338</v>
      </c>
      <c r="M13" s="18" t="str">
        <f>IF(Fuel_Veh[[#This Row],[Month]]&lt;&gt;"",VLOOKUP(Fuel_Veh[[#This Row],[Month]], dropdown!$S$4:$T$15, 2, FALSE),"")</f>
        <v>Q1</v>
      </c>
      <c r="N13" s="29">
        <v>193.19</v>
      </c>
      <c r="O13" s="17" t="str">
        <f>IF($K13="","",VLOOKUP($K13,dropdown!$P$14:$Q$18,2,FALSE))</f>
        <v>Liters</v>
      </c>
      <c r="P13" s="29">
        <v>1845</v>
      </c>
      <c r="Q13" s="17" t="str">
        <f t="shared" si="0"/>
        <v>Kilometers</v>
      </c>
      <c r="R13" s="195"/>
    </row>
    <row r="14" spans="2:18" x14ac:dyDescent="0.2">
      <c r="B14" s="267" t="s">
        <v>38</v>
      </c>
      <c r="I14" s="194">
        <f t="shared" si="1"/>
        <v>8</v>
      </c>
      <c r="J14" s="57" t="s">
        <v>374</v>
      </c>
      <c r="K14" s="57" t="s">
        <v>63</v>
      </c>
      <c r="L14" s="58" t="s">
        <v>89</v>
      </c>
      <c r="M14" s="18" t="str">
        <f>IF(Fuel_Veh[[#This Row],[Month]]&lt;&gt;"",VLOOKUP(Fuel_Veh[[#This Row],[Month]], dropdown!$S$4:$T$15, 2, FALSE),"")</f>
        <v>Q1</v>
      </c>
      <c r="N14" s="29">
        <v>163.58000000000001</v>
      </c>
      <c r="O14" s="17" t="str">
        <f>IF($K14="","",VLOOKUP($K14,dropdown!$P$14:$Q$18,2,FALSE))</f>
        <v>Liters</v>
      </c>
      <c r="P14" s="29">
        <v>1339</v>
      </c>
      <c r="Q14" s="17" t="str">
        <f t="shared" si="0"/>
        <v>Kilometers</v>
      </c>
      <c r="R14" s="195"/>
    </row>
    <row r="15" spans="2:18" x14ac:dyDescent="0.2">
      <c r="B15" s="268" t="s">
        <v>175</v>
      </c>
      <c r="I15" s="194">
        <f t="shared" si="1"/>
        <v>9</v>
      </c>
      <c r="J15" s="57" t="s">
        <v>374</v>
      </c>
      <c r="K15" s="57" t="s">
        <v>63</v>
      </c>
      <c r="L15" s="58" t="s">
        <v>362</v>
      </c>
      <c r="M15" s="18" t="str">
        <f>IF(Fuel_Veh[[#This Row],[Month]]&lt;&gt;"",VLOOKUP(Fuel_Veh[[#This Row],[Month]], dropdown!$S$4:$T$15, 2, FALSE),"")</f>
        <v>Q1</v>
      </c>
      <c r="N15" s="29">
        <v>249.42</v>
      </c>
      <c r="O15" s="17" t="str">
        <f>IF($K15="","",VLOOKUP($K15,dropdown!$P$14:$Q$18,2,FALSE))</f>
        <v>Liters</v>
      </c>
      <c r="P15" s="29">
        <v>2041</v>
      </c>
      <c r="Q15" s="17" t="str">
        <f t="shared" si="0"/>
        <v>Kilometers</v>
      </c>
      <c r="R15" s="195"/>
    </row>
    <row r="16" spans="2:18" x14ac:dyDescent="0.2">
      <c r="B16" s="266" t="s">
        <v>176</v>
      </c>
      <c r="I16" s="194">
        <f t="shared" si="1"/>
        <v>10</v>
      </c>
      <c r="J16" s="57" t="s">
        <v>374</v>
      </c>
      <c r="K16" s="57" t="s">
        <v>63</v>
      </c>
      <c r="L16" s="58" t="s">
        <v>371</v>
      </c>
      <c r="M16" s="18" t="str">
        <f>IF(Fuel_Veh[[#This Row],[Month]]&lt;&gt;"",VLOOKUP(Fuel_Veh[[#This Row],[Month]], dropdown!$S$4:$T$15, 2, FALSE),"")</f>
        <v>Q2</v>
      </c>
      <c r="N16" s="29">
        <v>129.9</v>
      </c>
      <c r="O16" s="17" t="str">
        <f>IF($K16="","",VLOOKUP($K16,dropdown!$P$14:$Q$18,2,FALSE))</f>
        <v>Liters</v>
      </c>
      <c r="P16" s="29">
        <v>1299</v>
      </c>
      <c r="Q16" s="17" t="str">
        <f t="shared" si="0"/>
        <v>Kilometers</v>
      </c>
      <c r="R16" s="195"/>
    </row>
    <row r="17" spans="2:18" x14ac:dyDescent="0.2">
      <c r="B17" s="17" t="s">
        <v>177</v>
      </c>
      <c r="I17" s="194">
        <f t="shared" si="1"/>
        <v>11</v>
      </c>
      <c r="J17" s="57" t="s">
        <v>374</v>
      </c>
      <c r="K17" s="57" t="s">
        <v>63</v>
      </c>
      <c r="L17" s="58" t="s">
        <v>379</v>
      </c>
      <c r="M17" s="18" t="str">
        <f>IF(Fuel_Veh[[#This Row],[Month]]&lt;&gt;"",VLOOKUP(Fuel_Veh[[#This Row],[Month]], dropdown!$S$4:$T$15, 2, FALSE),"")</f>
        <v>Q2</v>
      </c>
      <c r="N17" s="29">
        <v>162.5</v>
      </c>
      <c r="O17" s="17" t="str">
        <f>IF($K17="","",VLOOKUP($K17,dropdown!$P$14:$Q$18,2,FALSE))</f>
        <v>Liters</v>
      </c>
      <c r="P17" s="29">
        <v>1625</v>
      </c>
      <c r="Q17" s="17" t="str">
        <f t="shared" si="0"/>
        <v>Kilometers</v>
      </c>
      <c r="R17" s="195"/>
    </row>
    <row r="18" spans="2:18" x14ac:dyDescent="0.2">
      <c r="I18" s="194">
        <f t="shared" si="1"/>
        <v>12</v>
      </c>
      <c r="J18" s="57" t="s">
        <v>374</v>
      </c>
      <c r="K18" s="57" t="s">
        <v>63</v>
      </c>
      <c r="L18" s="58" t="s">
        <v>386</v>
      </c>
      <c r="M18" s="18" t="str">
        <f>IF(Fuel_Veh[[#This Row],[Month]]&lt;&gt;"",VLOOKUP(Fuel_Veh[[#This Row],[Month]], dropdown!$S$4:$T$15, 2, FALSE),"")</f>
        <v>Q2</v>
      </c>
      <c r="N18" s="29">
        <v>259.16000000000003</v>
      </c>
      <c r="O18" s="17" t="str">
        <f>IF($K18="","",VLOOKUP($K18,dropdown!$P$14:$Q$18,2,FALSE))</f>
        <v>Liters</v>
      </c>
      <c r="P18" s="29">
        <v>2726</v>
      </c>
      <c r="Q18" s="17" t="str">
        <f t="shared" si="0"/>
        <v>Kilometers</v>
      </c>
      <c r="R18" s="195"/>
    </row>
    <row r="19" spans="2:18" x14ac:dyDescent="0.2">
      <c r="I19" s="194">
        <f t="shared" si="1"/>
        <v>13</v>
      </c>
      <c r="J19" s="57" t="s">
        <v>343</v>
      </c>
      <c r="K19" s="57" t="s">
        <v>63</v>
      </c>
      <c r="L19" s="58" t="s">
        <v>338</v>
      </c>
      <c r="M19" s="18" t="str">
        <f>IF(Fuel_Veh[[#This Row],[Month]]&lt;&gt;"",VLOOKUP(Fuel_Veh[[#This Row],[Month]], dropdown!$S$4:$T$15, 2, FALSE),"")</f>
        <v>Q1</v>
      </c>
      <c r="N19" s="29">
        <v>102.56</v>
      </c>
      <c r="O19" s="17" t="str">
        <f>IF($K19="","",VLOOKUP($K19,dropdown!$P$14:$Q$18,2,FALSE))</f>
        <v>Liters</v>
      </c>
      <c r="P19" s="29">
        <v>186.4</v>
      </c>
      <c r="Q19" s="17" t="str">
        <f t="shared" si="0"/>
        <v>Kilometers</v>
      </c>
      <c r="R19" s="195"/>
    </row>
    <row r="20" spans="2:18" x14ac:dyDescent="0.2">
      <c r="I20" s="194">
        <f t="shared" si="1"/>
        <v>14</v>
      </c>
      <c r="J20" s="57" t="s">
        <v>343</v>
      </c>
      <c r="K20" s="57" t="s">
        <v>63</v>
      </c>
      <c r="L20" s="58" t="s">
        <v>89</v>
      </c>
      <c r="M20" s="18" t="str">
        <f>IF(Fuel_Veh[[#This Row],[Month]]&lt;&gt;"",VLOOKUP(Fuel_Veh[[#This Row],[Month]], dropdown!$S$4:$T$15, 2, FALSE),"")</f>
        <v>Q1</v>
      </c>
      <c r="N20" s="29">
        <v>78.53</v>
      </c>
      <c r="O20" s="17" t="str">
        <f>IF($K20="","",VLOOKUP($K20,dropdown!$P$14:$Q$18,2,FALSE))</f>
        <v>Liters</v>
      </c>
      <c r="P20" s="29">
        <v>142.80000000000001</v>
      </c>
      <c r="Q20" s="17" t="str">
        <f t="shared" si="0"/>
        <v>Kilometers</v>
      </c>
      <c r="R20" s="195"/>
    </row>
    <row r="21" spans="2:18" x14ac:dyDescent="0.2">
      <c r="I21" s="194">
        <f t="shared" si="1"/>
        <v>15</v>
      </c>
      <c r="J21" s="57" t="s">
        <v>343</v>
      </c>
      <c r="K21" s="57" t="s">
        <v>63</v>
      </c>
      <c r="L21" s="58" t="s">
        <v>362</v>
      </c>
      <c r="M21" s="18" t="str">
        <f>IF(Fuel_Veh[[#This Row],[Month]]&lt;&gt;"",VLOOKUP(Fuel_Veh[[#This Row],[Month]], dropdown!$S$4:$T$15, 2, FALSE),"")</f>
        <v>Q1</v>
      </c>
      <c r="N21" s="29">
        <v>0</v>
      </c>
      <c r="O21" s="17" t="str">
        <f>IF($K21="","",VLOOKUP($K21,dropdown!$P$14:$Q$18,2,FALSE))</f>
        <v>Liters</v>
      </c>
      <c r="P21" s="29">
        <v>0</v>
      </c>
      <c r="Q21" s="17" t="str">
        <f t="shared" si="0"/>
        <v>Kilometers</v>
      </c>
      <c r="R21" s="195"/>
    </row>
    <row r="22" spans="2:18" x14ac:dyDescent="0.2">
      <c r="I22" s="194">
        <f t="shared" si="1"/>
        <v>16</v>
      </c>
      <c r="J22" s="57" t="s">
        <v>343</v>
      </c>
      <c r="K22" s="57" t="s">
        <v>63</v>
      </c>
      <c r="L22" s="58" t="s">
        <v>371</v>
      </c>
      <c r="M22" s="18" t="str">
        <f>IF(Fuel_Veh[[#This Row],[Month]]&lt;&gt;"",VLOOKUP(Fuel_Veh[[#This Row],[Month]], dropdown!$S$4:$T$15, 2, FALSE),"")</f>
        <v>Q2</v>
      </c>
      <c r="N22" s="29">
        <v>278.10000000000002</v>
      </c>
      <c r="O22" s="17" t="str">
        <f>IF($K22="","",VLOOKUP($K22,dropdown!$P$14:$Q$18,2,FALSE))</f>
        <v>Liters</v>
      </c>
      <c r="P22" s="29">
        <v>503.7</v>
      </c>
      <c r="Q22" s="17" t="str">
        <f t="shared" si="0"/>
        <v>Kilometers</v>
      </c>
      <c r="R22" s="195"/>
    </row>
    <row r="23" spans="2:18" x14ac:dyDescent="0.2">
      <c r="I23" s="194">
        <f t="shared" si="1"/>
        <v>17</v>
      </c>
      <c r="J23" s="57" t="s">
        <v>343</v>
      </c>
      <c r="K23" s="57" t="s">
        <v>63</v>
      </c>
      <c r="L23" s="58" t="s">
        <v>379</v>
      </c>
      <c r="M23" s="18" t="str">
        <f>IF(Fuel_Veh[[#This Row],[Month]]&lt;&gt;"",VLOOKUP(Fuel_Veh[[#This Row],[Month]], dropdown!$S$4:$T$15, 2, FALSE),"")</f>
        <v>Q2</v>
      </c>
      <c r="N23" s="29">
        <v>15.25</v>
      </c>
      <c r="O23" s="17" t="str">
        <f>IF($K23="","",VLOOKUP($K23,dropdown!$P$14:$Q$18,2,FALSE))</f>
        <v>Liters</v>
      </c>
      <c r="P23" s="29">
        <v>30.5</v>
      </c>
      <c r="Q23" s="17" t="str">
        <f t="shared" si="0"/>
        <v>Kilometers</v>
      </c>
      <c r="R23" s="195"/>
    </row>
    <row r="24" spans="2:18" x14ac:dyDescent="0.2">
      <c r="I24" s="194">
        <f t="shared" si="1"/>
        <v>18</v>
      </c>
      <c r="J24" s="57" t="s">
        <v>343</v>
      </c>
      <c r="K24" s="57" t="s">
        <v>63</v>
      </c>
      <c r="L24" s="58" t="s">
        <v>386</v>
      </c>
      <c r="M24" s="18" t="str">
        <f>IF(Fuel_Veh[[#This Row],[Month]]&lt;&gt;"",VLOOKUP(Fuel_Veh[[#This Row],[Month]], dropdown!$S$4:$T$15, 2, FALSE),"")</f>
        <v>Q2</v>
      </c>
      <c r="N24" s="29">
        <v>56.9</v>
      </c>
      <c r="O24" s="17" t="str">
        <f>IF($K24="","",VLOOKUP($K24,dropdown!$P$14:$Q$18,2,FALSE))</f>
        <v>Liters</v>
      </c>
      <c r="P24" s="29">
        <v>113.8</v>
      </c>
      <c r="Q24" s="17" t="str">
        <f t="shared" si="0"/>
        <v>Kilometers</v>
      </c>
      <c r="R24" s="195"/>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phoneticPr fontId="40" type="noConversion"/>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J22" sqref="J22"/>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South Luzon Regional Office</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f>IF($M7="","",1)</f>
        <v>1</v>
      </c>
      <c r="J7" s="57" t="s">
        <v>37</v>
      </c>
      <c r="K7" s="58" t="s">
        <v>338</v>
      </c>
      <c r="L7" s="18" t="str">
        <f>IF(Fuel_Blg[[#This Row],[Month]]&lt;&gt;"",VLOOKUP(Fuel_Blg[[#This Row],[Month]], dropdown!$S$4:$T$15, 2, FALSE),"")</f>
        <v>Q1</v>
      </c>
      <c r="M7" s="29">
        <v>127.76</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258.82</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111.75</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3" si="0">IF($M10="","",$I9+1)</f>
        <v>1</v>
      </c>
      <c r="J10" s="57" t="s">
        <v>37</v>
      </c>
      <c r="K10" s="58" t="s">
        <v>371</v>
      </c>
      <c r="L10" s="18" t="str">
        <f>IF(Fuel_Blg[[#This Row],[Month]]&lt;&gt;"",VLOOKUP(Fuel_Blg[[#This Row],[Month]], dropdown!$S$4:$T$15, 2, FALSE),"")</f>
        <v>Q2</v>
      </c>
      <c r="M10" s="29">
        <v>46.94</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498.33</v>
      </c>
      <c r="E11" s="41">
        <f>SUMIFS(Fuel_Blg[Consumption],Fuel_Blg[Quarter],E$10,Fuel_Blg[Fuel Type],$B$11)</f>
        <v>393.67999999999995</v>
      </c>
      <c r="F11" s="41">
        <f>SUMIFS(Fuel_Blg[Consumption],Fuel_Blg[Quarter],F$10,Fuel_Blg[Fuel Type],$B$11)</f>
        <v>311.92</v>
      </c>
      <c r="G11" s="41">
        <f>SUMIFS(Fuel_Blg[Consumption],Fuel_Blg[Quarter],G$10,Fuel_Blg[Fuel Type],$B$11)</f>
        <v>0</v>
      </c>
      <c r="I11" s="194">
        <f t="shared" si="0"/>
        <v>2</v>
      </c>
      <c r="J11" s="57" t="s">
        <v>37</v>
      </c>
      <c r="K11" s="58" t="s">
        <v>379</v>
      </c>
      <c r="L11" s="18" t="str">
        <f>IF(Fuel_Blg[[#This Row],[Month]]&lt;&gt;"",VLOOKUP(Fuel_Blg[[#This Row],[Month]], dropdown!$S$4:$T$15, 2, FALSE),"")</f>
        <v>Q2</v>
      </c>
      <c r="M11" s="29">
        <v>242.64</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104.1</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311.92</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322" t="s">
        <v>178</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3 O6:O13 J6:K13"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J7:J13</xm:sqref>
        </x14:dataValidation>
        <x14:dataValidation type="list" allowBlank="1" showInputMessage="1" showErrorMessage="1" xr:uid="{3A41C1D1-FB7A-9447-9EAB-0BFDEC48FE4C}">
          <x14:formula1>
            <xm:f>dropdown!$S$4:$S$15</xm:f>
          </x14:formula1>
          <xm:sqref>K7:K13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R10" sqref="R10"/>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South Luzon Regional Office</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49" t="s">
        <v>183</v>
      </c>
      <c r="P7" s="449"/>
      <c r="Q7" s="450" t="s">
        <v>184</v>
      </c>
      <c r="R7" s="451"/>
      <c r="S7" s="452" t="s">
        <v>86</v>
      </c>
      <c r="T7" s="453"/>
      <c r="U7" s="453"/>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1507</v>
      </c>
      <c r="K9" s="391" t="s">
        <v>194</v>
      </c>
      <c r="L9" s="392">
        <v>2</v>
      </c>
      <c r="M9" s="393" t="s">
        <v>380</v>
      </c>
      <c r="N9" s="419" t="s">
        <v>352</v>
      </c>
      <c r="O9" s="397"/>
      <c r="P9" s="398"/>
      <c r="Q9" s="397" t="s">
        <v>371</v>
      </c>
      <c r="R9" s="399">
        <v>2.8</v>
      </c>
      <c r="S9" s="397"/>
      <c r="T9" s="399"/>
      <c r="U9" s="399"/>
      <c r="V9" s="430" t="str">
        <f>IFERROR(VLOOKUP($O9, dropdown!$S$4:$T$15, 2, FALSE),
 IFERROR(VLOOKUP($Q9, dropdown!$S$4:$T$15, 2, FALSE),
 IFERROR(VLOOKUP($S9, dropdown!$S$4:$T$15, 2, FALSE),
 "")))</f>
        <v>Q2</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2</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x</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5" t="s">
        <v>192</v>
      </c>
      <c r="C22" s="457" t="s">
        <v>5</v>
      </c>
      <c r="D22" s="458"/>
      <c r="E22" s="457" t="s">
        <v>193</v>
      </c>
      <c r="F22" s="459"/>
      <c r="G22" s="459"/>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6"/>
      <c r="C23" s="457"/>
      <c r="D23" s="458"/>
      <c r="E23" s="457"/>
      <c r="F23" s="459"/>
      <c r="G23" s="459"/>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194</v>
      </c>
      <c r="C24" s="454" t="s">
        <v>195</v>
      </c>
      <c r="D24" s="454"/>
      <c r="E24" s="454" t="s">
        <v>196</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M20" sqref="M20"/>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South Luzon Regional Office</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12250</v>
      </c>
      <c r="M8" s="47">
        <v>90664.07</v>
      </c>
      <c r="N8" s="165" t="s">
        <v>442</v>
      </c>
      <c r="O8" s="195"/>
      <c r="P8" s="48"/>
      <c r="Q8" s="20"/>
    </row>
    <row r="9" spans="2:17" x14ac:dyDescent="0.2">
      <c r="I9" s="194"/>
      <c r="J9" s="58" t="s">
        <v>89</v>
      </c>
      <c r="K9" s="426" t="str">
        <f>IF(Electricity[[#This Row],[Month]]&lt;&gt;"",VLOOKUP(Electricity[[#This Row],[Month]], dropdown!$S$4:$T$15, 2, FALSE),"")</f>
        <v>Q1</v>
      </c>
      <c r="L9" s="29">
        <v>12950</v>
      </c>
      <c r="M9" s="47">
        <v>70867.649999999994</v>
      </c>
      <c r="N9" s="165" t="s">
        <v>442</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11900</v>
      </c>
      <c r="M10" s="47">
        <v>93197.77</v>
      </c>
      <c r="N10" s="165" t="s">
        <v>442</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14000</v>
      </c>
      <c r="M11" s="47">
        <v>140674.92000000001</v>
      </c>
      <c r="N11" s="165" t="s">
        <v>442</v>
      </c>
      <c r="O11" s="195"/>
      <c r="P11" s="48"/>
      <c r="Q11" s="20"/>
    </row>
    <row r="12" spans="2:17" x14ac:dyDescent="0.2">
      <c r="B12" s="17" t="s">
        <v>207</v>
      </c>
      <c r="C12" s="17" t="s">
        <v>208</v>
      </c>
      <c r="D12" s="41">
        <f>SUMIFS(Electricity[Consumption (kWh)],Electricity[Quarter],D$11)</f>
        <v>37100</v>
      </c>
      <c r="E12" s="41">
        <f>SUMIFS(Electricity[Consumption (kWh)],Electricity[Quarter],E$11)</f>
        <v>42350</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13650</v>
      </c>
      <c r="M12" s="47">
        <v>138932.29</v>
      </c>
      <c r="N12" s="165" t="s">
        <v>442</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14700</v>
      </c>
      <c r="M13" s="47">
        <v>118635.7</v>
      </c>
      <c r="N13" s="165" t="s">
        <v>442</v>
      </c>
      <c r="O13" s="195"/>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L7" sqref="L7"/>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South Luzon Regional Office</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B1" zoomScaleNormal="100" workbookViewId="0">
      <selection activeCell="T16" sqref="T16"/>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South Luzon Regional Office</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52</v>
      </c>
      <c r="N8" s="195"/>
      <c r="O8" s="44"/>
      <c r="P8" s="194">
        <f>IF($T8="","",1)</f>
        <v>1</v>
      </c>
      <c r="Q8" s="58" t="s">
        <v>338</v>
      </c>
      <c r="R8" s="18" t="str">
        <f>IF(water_out[[#This Row],[Month]]&lt;&gt;"",VLOOKUP(water_out[[#This Row],[Month]], dropdown!$S$4:$T$15, 2, FALSE),"")</f>
        <v>Q1</v>
      </c>
      <c r="S8" s="60" t="s">
        <v>364</v>
      </c>
      <c r="T8" s="29">
        <v>52</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83</v>
      </c>
      <c r="N9" s="195"/>
      <c r="O9" s="44"/>
      <c r="P9" s="194">
        <f>IF($T9="","",$P8+1)</f>
        <v>2</v>
      </c>
      <c r="Q9" s="58" t="s">
        <v>89</v>
      </c>
      <c r="R9" s="18" t="str">
        <f>IF(water_out[[#This Row],[Month]]&lt;&gt;"",VLOOKUP(water_out[[#This Row],[Month]], dropdown!$S$4:$T$15, 2, FALSE),"")</f>
        <v>Q1</v>
      </c>
      <c r="S9" s="60" t="s">
        <v>364</v>
      </c>
      <c r="T9" s="29">
        <v>83</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76</v>
      </c>
      <c r="N10" s="195"/>
      <c r="O10" s="44"/>
      <c r="P10" s="194">
        <f t="shared" ref="P10:P73" si="1">IF($T10="","",$P9+1)</f>
        <v>3</v>
      </c>
      <c r="Q10" s="58" t="s">
        <v>362</v>
      </c>
      <c r="R10" s="18" t="str">
        <f>IF(water_out[[#This Row],[Month]]&lt;&gt;"",VLOOKUP(water_out[[#This Row],[Month]], dropdown!$S$4:$T$15, 2, FALSE),"")</f>
        <v>Q1</v>
      </c>
      <c r="S10" s="60" t="s">
        <v>364</v>
      </c>
      <c r="T10" s="29">
        <v>76</v>
      </c>
      <c r="U10" s="195"/>
      <c r="W10" s="20"/>
    </row>
    <row r="11" spans="2:23" ht="14" x14ac:dyDescent="0.2">
      <c r="B11" s="17" t="s">
        <v>120</v>
      </c>
      <c r="C11" s="17" t="s">
        <v>220</v>
      </c>
      <c r="D11" s="41">
        <f>SUMIFS(water_in[Volume (m3)],water_in[Quarter],D$10)</f>
        <v>211</v>
      </c>
      <c r="E11" s="41">
        <f>SUMIFS(water_in[Volume (m3)],water_in[Quarter],E$10)</f>
        <v>248</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78</v>
      </c>
      <c r="N11" s="195"/>
      <c r="O11" s="44"/>
      <c r="P11" s="194">
        <f t="shared" si="1"/>
        <v>4</v>
      </c>
      <c r="Q11" s="58" t="s">
        <v>371</v>
      </c>
      <c r="R11" s="18" t="str">
        <f>IF(water_out[[#This Row],[Month]]&lt;&gt;"",VLOOKUP(water_out[[#This Row],[Month]], dropdown!$S$4:$T$15, 2, FALSE),"")</f>
        <v>Q2</v>
      </c>
      <c r="S11" s="60" t="s">
        <v>364</v>
      </c>
      <c r="T11" s="29">
        <v>78</v>
      </c>
      <c r="U11" s="195"/>
      <c r="W11" s="20"/>
    </row>
    <row r="12" spans="2:23" ht="14" x14ac:dyDescent="0.2">
      <c r="B12" s="17" t="s">
        <v>128</v>
      </c>
      <c r="C12" s="17" t="s">
        <v>220</v>
      </c>
      <c r="D12" s="41">
        <f>SUMIFS(water_out[Volume2 (m3)],water_out[Quarter],D$10)</f>
        <v>211</v>
      </c>
      <c r="E12" s="41">
        <f>SUMIFS(water_out[Volume2 (m3)],water_out[Quarter],E$10)</f>
        <v>248</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91</v>
      </c>
      <c r="N12" s="195"/>
      <c r="O12" s="44" t="str">
        <f>IF(J12="","",VLOOKUP($J12,dropdown!$S$3:$T$15,2,FALSE))</f>
        <v>Q2</v>
      </c>
      <c r="P12" s="194">
        <f t="shared" si="1"/>
        <v>5</v>
      </c>
      <c r="Q12" s="58" t="s">
        <v>379</v>
      </c>
      <c r="R12" s="18" t="str">
        <f>IF(water_out[[#This Row],[Month]]&lt;&gt;"",VLOOKUP(water_out[[#This Row],[Month]], dropdown!$S$4:$T$15, 2, FALSE),"")</f>
        <v>Q2</v>
      </c>
      <c r="S12" s="60" t="s">
        <v>364</v>
      </c>
      <c r="T12" s="29">
        <v>91</v>
      </c>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79</v>
      </c>
      <c r="N13" s="195"/>
      <c r="O13" s="44" t="str">
        <f>IF(J13="","",VLOOKUP($J13,dropdown!$S$3:$T$15,2,FALSE))</f>
        <v>Q2</v>
      </c>
      <c r="P13" s="194">
        <f t="shared" si="1"/>
        <v>6</v>
      </c>
      <c r="Q13" s="58" t="s">
        <v>386</v>
      </c>
      <c r="R13" s="18" t="str">
        <f>IF(water_out[[#This Row],[Month]]&lt;&gt;"",VLOOKUP(water_out[[#This Row],[Month]], dropdown!$S$4:$T$15, 2, FALSE),"")</f>
        <v>Q2</v>
      </c>
      <c r="S13" s="60" t="s">
        <v>364</v>
      </c>
      <c r="T13" s="29">
        <v>79</v>
      </c>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honeticPr fontId="40" type="noConversion"/>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South Luzon Regional Office</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6" zoomScaleNormal="100" workbookViewId="0">
      <selection activeCell="M23" sqref="M23"/>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South Luzon Regional Office</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c r="D6" s="447"/>
      <c r="E6" s="447"/>
      <c r="F6" s="447"/>
      <c r="G6" s="448"/>
      <c r="I6" s="409" t="s">
        <v>282</v>
      </c>
      <c r="J6" s="407"/>
      <c r="K6" s="407"/>
      <c r="L6" s="407"/>
      <c r="M6" s="408"/>
      <c r="N6" s="407"/>
      <c r="O6" s="407"/>
      <c r="Q6" s="44"/>
    </row>
    <row r="7" spans="2:17" ht="25.5" customHeight="1" x14ac:dyDescent="0.2">
      <c r="B7" s="278" t="s">
        <v>174</v>
      </c>
      <c r="C7" s="446"/>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318</v>
      </c>
      <c r="M8" s="29">
        <v>1000</v>
      </c>
      <c r="N8" s="57"/>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318</v>
      </c>
      <c r="M9" s="29">
        <v>1000</v>
      </c>
      <c r="N9" s="57"/>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318</v>
      </c>
      <c r="M10" s="29">
        <v>1000</v>
      </c>
      <c r="N10" s="57"/>
      <c r="O10" s="195"/>
      <c r="Q10" s="44"/>
    </row>
    <row r="11" spans="2:17" x14ac:dyDescent="0.2">
      <c r="B11" s="17" t="str">
        <f>dropdown!$B4</f>
        <v>Compostable</v>
      </c>
      <c r="C11" s="17" t="s">
        <v>283</v>
      </c>
      <c r="D11" s="41">
        <f>SUMIFS(Waste[Weight (kg)],Waste[Quarter],D$10,Waste[Waste Composition],$B$11)</f>
        <v>3000</v>
      </c>
      <c r="E11" s="41">
        <f>SUMIFS(Waste[Weight (kg)],Waste[Quarter],E$10,Waste[Waste Composition],$B11)</f>
        <v>3000</v>
      </c>
      <c r="F11" s="41">
        <f>SUMIFS(Waste[Weight (kg)],Waste[Quarter],F$10,Waste[Waste Composition],$B11)</f>
        <v>0</v>
      </c>
      <c r="G11" s="41">
        <f>SUMIFS(Waste[Weight (kg)],Waste[Quarter],G$10,Waste[Waste Composition],$B11)</f>
        <v>0</v>
      </c>
      <c r="I11" s="194">
        <f t="shared" si="0"/>
        <v>4</v>
      </c>
      <c r="J11" s="58" t="s">
        <v>371</v>
      </c>
      <c r="K11" s="194" t="str">
        <f>IF(Waste[[#This Row],[Month]]&lt;&gt;"",VLOOKUP(Waste[[#This Row],[Month]], dropdown!$S$4:$T$15, 2, FALSE),"")</f>
        <v>Q2</v>
      </c>
      <c r="L11" s="57" t="s">
        <v>318</v>
      </c>
      <c r="M11" s="29">
        <v>1000</v>
      </c>
      <c r="N11" s="57"/>
      <c r="O11" s="195"/>
      <c r="Q11" s="44"/>
    </row>
    <row r="12" spans="2:17" x14ac:dyDescent="0.2">
      <c r="B12" s="17" t="str">
        <f>dropdown!$B5</f>
        <v>Recyclable</v>
      </c>
      <c r="C12" s="17" t="s">
        <v>283</v>
      </c>
      <c r="D12" s="41">
        <f>SUMIFS(Waste[Weight (kg)],Waste[Quarter],D$10,Waste[Waste Composition],$B12)</f>
        <v>3000</v>
      </c>
      <c r="E12" s="41">
        <f>SUMIFS(Waste[Weight (kg)],Waste[Quarter],E$10,Waste[Waste Composition],$B12)</f>
        <v>3000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318</v>
      </c>
      <c r="M12" s="29">
        <v>1000</v>
      </c>
      <c r="N12" s="57"/>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318</v>
      </c>
      <c r="M13" s="29">
        <v>1000</v>
      </c>
      <c r="N13" s="57"/>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338</v>
      </c>
      <c r="K14" s="194" t="str">
        <f>IF(Waste[[#This Row],[Month]]&lt;&gt;"",VLOOKUP(Waste[[#This Row],[Month]], dropdown!$S$4:$T$15, 2, FALSE),"")</f>
        <v>Q1</v>
      </c>
      <c r="L14" s="57" t="s">
        <v>139</v>
      </c>
      <c r="M14" s="29">
        <v>1000</v>
      </c>
      <c r="N14" s="57"/>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89</v>
      </c>
      <c r="K15" s="194" t="str">
        <f>IF(Waste[[#This Row],[Month]]&lt;&gt;"",VLOOKUP(Waste[[#This Row],[Month]], dropdown!$S$4:$T$15, 2, FALSE),"")</f>
        <v>Q1</v>
      </c>
      <c r="L15" s="57" t="s">
        <v>139</v>
      </c>
      <c r="M15" s="29">
        <v>1000</v>
      </c>
      <c r="N15" s="57"/>
      <c r="O15" s="195"/>
    </row>
    <row r="16" spans="2:17" x14ac:dyDescent="0.2">
      <c r="B16" s="17" t="str">
        <f>dropdown!$B9</f>
        <v>Residual/Landfill</v>
      </c>
      <c r="C16" s="17" t="s">
        <v>283</v>
      </c>
      <c r="D16" s="41">
        <f>SUMIFS(Waste[Weight (kg)],Waste[Quarter],D$10,Waste[Waste Composition],$B16)</f>
        <v>0</v>
      </c>
      <c r="E16" s="41">
        <f>SUMIFS(Waste[Weight (kg)],Waste[Quarter],E$10,Waste[Waste Composition],$B16)</f>
        <v>0</v>
      </c>
      <c r="F16" s="41">
        <f>SUMIFS(Waste[Weight (kg)],Waste[Quarter],F$10,Waste[Waste Composition],$B16)</f>
        <v>0</v>
      </c>
      <c r="G16" s="41">
        <f>SUMIFS(Waste[Weight (kg)],Waste[Quarter],G$10,Waste[Waste Composition],$B16)</f>
        <v>0</v>
      </c>
      <c r="I16" s="194">
        <f t="shared" si="0"/>
        <v>9</v>
      </c>
      <c r="J16" s="58" t="s">
        <v>362</v>
      </c>
      <c r="K16" s="194" t="str">
        <f>IF(Waste[[#This Row],[Month]]&lt;&gt;"",VLOOKUP(Waste[[#This Row],[Month]], dropdown!$S$4:$T$15, 2, FALSE),"")</f>
        <v>Q1</v>
      </c>
      <c r="L16" s="57" t="s">
        <v>139</v>
      </c>
      <c r="M16" s="29">
        <v>1000</v>
      </c>
      <c r="N16" s="57"/>
      <c r="O16" s="195"/>
    </row>
    <row r="17" spans="2:15" x14ac:dyDescent="0.2">
      <c r="I17" s="194">
        <f t="shared" si="0"/>
        <v>10</v>
      </c>
      <c r="J17" s="58" t="s">
        <v>371</v>
      </c>
      <c r="K17" s="194" t="str">
        <f>IF(Waste[[#This Row],[Month]]&lt;&gt;"",VLOOKUP(Waste[[#This Row],[Month]], dropdown!$S$4:$T$15, 2, FALSE),"")</f>
        <v>Q2</v>
      </c>
      <c r="L17" s="57" t="s">
        <v>139</v>
      </c>
      <c r="M17" s="29">
        <v>1000</v>
      </c>
      <c r="N17" s="57"/>
      <c r="O17" s="195"/>
    </row>
    <row r="18" spans="2:15" x14ac:dyDescent="0.2">
      <c r="B18" s="267" t="s">
        <v>38</v>
      </c>
      <c r="I18" s="194">
        <f t="shared" si="0"/>
        <v>11</v>
      </c>
      <c r="J18" s="58" t="s">
        <v>379</v>
      </c>
      <c r="K18" s="194" t="str">
        <f>IF(Waste[[#This Row],[Month]]&lt;&gt;"",VLOOKUP(Waste[[#This Row],[Month]], dropdown!$S$4:$T$15, 2, FALSE),"")</f>
        <v>Q2</v>
      </c>
      <c r="L18" s="57" t="s">
        <v>139</v>
      </c>
      <c r="M18" s="29">
        <v>1000</v>
      </c>
      <c r="N18" s="57"/>
      <c r="O18" s="195"/>
    </row>
    <row r="19" spans="2:15" x14ac:dyDescent="0.2">
      <c r="B19" s="268" t="s">
        <v>175</v>
      </c>
      <c r="I19" s="194">
        <f t="shared" ref="I19" si="1">IF($J19="","",$I18+1)</f>
        <v>12</v>
      </c>
      <c r="J19" s="58" t="s">
        <v>386</v>
      </c>
      <c r="K19" s="194" t="str">
        <f>IF(Waste[[#This Row],[Month]]&lt;&gt;"",VLOOKUP(Waste[[#This Row],[Month]], dropdown!$S$4:$T$15, 2, FALSE),"")</f>
        <v>Q2</v>
      </c>
      <c r="L19" s="57" t="s">
        <v>139</v>
      </c>
      <c r="M19" s="29">
        <v>1000</v>
      </c>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South Luzon Regional Office</v>
      </c>
      <c r="E6" s="460" t="s">
        <v>284</v>
      </c>
      <c r="F6" s="460"/>
      <c r="G6" s="460"/>
      <c r="H6" s="460"/>
      <c r="I6" s="460"/>
      <c r="J6" s="460"/>
      <c r="K6" s="460"/>
      <c r="L6" s="460"/>
      <c r="M6" s="460"/>
      <c r="N6" s="460"/>
      <c r="O6" s="460"/>
      <c r="P6" s="460"/>
      <c r="Q6" s="460"/>
    </row>
    <row r="7" spans="2:17" ht="20" customHeight="1" x14ac:dyDescent="0.2">
      <c r="B7" s="70" t="s">
        <v>12</v>
      </c>
      <c r="C7" s="59">
        <f>'1. Data Info and Summary'!$D$3</f>
        <v>2025</v>
      </c>
      <c r="E7" s="460"/>
      <c r="F7" s="460"/>
      <c r="G7" s="460"/>
      <c r="H7" s="460"/>
      <c r="I7" s="460"/>
      <c r="J7" s="460"/>
      <c r="K7" s="460"/>
      <c r="L7" s="460"/>
      <c r="M7" s="460"/>
      <c r="N7" s="460"/>
      <c r="O7" s="460"/>
      <c r="P7" s="460"/>
      <c r="Q7" s="460"/>
    </row>
    <row r="8" spans="2:17" ht="20" customHeight="1" x14ac:dyDescent="0.2">
      <c r="B8" s="71"/>
    </row>
    <row r="9" spans="2:17" x14ac:dyDescent="0.2">
      <c r="C9" s="53"/>
      <c r="E9" s="462" t="s">
        <v>285</v>
      </c>
      <c r="F9" s="462"/>
      <c r="G9" s="462"/>
      <c r="H9" s="462"/>
      <c r="I9" s="462"/>
      <c r="J9" s="462"/>
      <c r="L9" s="462" t="s">
        <v>286</v>
      </c>
      <c r="M9" s="462"/>
      <c r="N9" s="462"/>
      <c r="O9" s="462"/>
      <c r="P9" s="462"/>
      <c r="Q9" s="462"/>
    </row>
    <row r="10" spans="2:17" ht="8" customHeight="1" x14ac:dyDescent="0.2">
      <c r="B10" s="71"/>
    </row>
    <row r="11" spans="2:17" x14ac:dyDescent="0.2">
      <c r="E11" s="461" t="s">
        <v>287</v>
      </c>
      <c r="F11" s="461"/>
      <c r="G11" s="461"/>
      <c r="H11" s="461"/>
      <c r="I11" s="461"/>
      <c r="J11" s="461"/>
      <c r="L11" s="461" t="s">
        <v>288</v>
      </c>
      <c r="M11" s="461"/>
      <c r="N11" s="461"/>
      <c r="O11" s="461"/>
      <c r="P11" s="461"/>
      <c r="Q11" s="461"/>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1203.93</v>
      </c>
      <c r="G13" s="73" t="str">
        <f>'1. Data Info and Summary'!$D18</f>
        <v>Liters</v>
      </c>
      <c r="I13" s="76">
        <f>VLOOKUP($E13,Emission_Factors!$A$1:$G$20,5,FALSE)</f>
        <v>2.68</v>
      </c>
      <c r="J13" s="141">
        <f>F13*I13</f>
        <v>3226.5324000000005</v>
      </c>
      <c r="L13" s="73" t="s">
        <v>155</v>
      </c>
      <c r="M13" s="78">
        <f>SUM('2.3a Electricity'!$D$12:$G$12)</f>
        <v>79450</v>
      </c>
      <c r="N13" s="73" t="str">
        <f>'2.3a Electricity'!$C$12</f>
        <v>Kilowatt-hour</v>
      </c>
      <c r="P13" s="76">
        <f>VLOOKUP($L13,Emission_Factors!$A$1:$G$20,5,FALSE)</f>
        <v>0.56000000000000005</v>
      </c>
      <c r="Q13" s="141">
        <f>M13*P13</f>
        <v>44492.000000000007</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3226.5324000000005</v>
      </c>
    </row>
    <row r="20" spans="5:10" x14ac:dyDescent="0.2">
      <c r="E20" s="461" t="s">
        <v>293</v>
      </c>
      <c r="F20" s="461"/>
      <c r="G20" s="461"/>
      <c r="H20" s="461"/>
      <c r="I20" s="461"/>
      <c r="J20" s="461"/>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3209.48</v>
      </c>
      <c r="G22" s="73" t="str">
        <f>'1. Data Info and Summary'!$D26</f>
        <v>Liters</v>
      </c>
      <c r="I22" s="76">
        <f>VLOOKUP($E22,Emission_Factors!$A$1:$G$20,5,FALSE)</f>
        <v>2.68</v>
      </c>
      <c r="J22" s="141">
        <f>F22*I22</f>
        <v>8601.4063999999998</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8601.4063999999998</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7.6640625" bestFit="1" customWidth="1"/>
    <col min="5" max="5" width="10" bestFit="1" customWidth="1"/>
    <col min="6" max="6" width="11.3320312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181.09</v>
      </c>
      <c r="D33" s="337">
        <v>350.25</v>
      </c>
      <c r="E33" s="337">
        <v>531.34</v>
      </c>
      <c r="I33" s="20"/>
      <c r="J33" s="20"/>
      <c r="K33" s="21"/>
      <c r="L33" s="21"/>
      <c r="M33" s="22"/>
      <c r="N33" s="22"/>
      <c r="O33" s="11"/>
      <c r="P33" s="22"/>
      <c r="Q33" s="20"/>
      <c r="R33" s="20"/>
      <c r="S33" s="44"/>
    </row>
    <row r="34" spans="1:19" outlineLevel="1" x14ac:dyDescent="0.2">
      <c r="A34" s="203" t="s">
        <v>63</v>
      </c>
      <c r="B34" s="337"/>
      <c r="C34" s="337">
        <v>181.09</v>
      </c>
      <c r="D34" s="337">
        <v>350.25</v>
      </c>
      <c r="E34" s="337">
        <v>531.34</v>
      </c>
      <c r="I34" s="20"/>
      <c r="J34" s="20"/>
      <c r="K34" s="21"/>
      <c r="L34" s="21"/>
      <c r="M34" s="22"/>
      <c r="N34" s="22"/>
      <c r="O34" s="11"/>
      <c r="P34" s="22"/>
      <c r="Q34" s="20"/>
      <c r="R34" s="20"/>
      <c r="S34" s="44"/>
    </row>
    <row r="35" spans="1:19" outlineLevel="1" x14ac:dyDescent="0.2">
      <c r="A35" s="19" t="s">
        <v>381</v>
      </c>
      <c r="B35" s="337"/>
      <c r="C35" s="337">
        <v>778.42</v>
      </c>
      <c r="D35" s="337">
        <v>741.97</v>
      </c>
      <c r="E35" s="337">
        <v>1520.3899999999999</v>
      </c>
      <c r="I35" s="20"/>
      <c r="J35" s="20"/>
      <c r="K35" s="21"/>
      <c r="L35" s="21"/>
      <c r="M35" s="22"/>
      <c r="N35" s="22"/>
      <c r="O35" s="11"/>
      <c r="P35" s="22"/>
      <c r="Q35" s="20"/>
      <c r="R35" s="20"/>
      <c r="S35" s="44"/>
    </row>
    <row r="36" spans="1:19" outlineLevel="1" x14ac:dyDescent="0.2">
      <c r="A36" s="203" t="s">
        <v>63</v>
      </c>
      <c r="B36" s="337"/>
      <c r="C36" s="337">
        <v>778.42</v>
      </c>
      <c r="D36" s="337">
        <v>741.97</v>
      </c>
      <c r="E36" s="337">
        <v>1520.3899999999999</v>
      </c>
      <c r="H36" s="12"/>
      <c r="I36" s="20"/>
      <c r="J36" s="20"/>
      <c r="K36" s="21"/>
      <c r="L36" s="21"/>
      <c r="M36" s="22"/>
      <c r="N36" s="22"/>
      <c r="O36" s="11"/>
      <c r="P36" s="22"/>
      <c r="Q36" s="20"/>
      <c r="R36" s="20"/>
      <c r="S36" s="44"/>
    </row>
    <row r="37" spans="1:19" outlineLevel="1" x14ac:dyDescent="0.2">
      <c r="A37" s="19" t="s">
        <v>374</v>
      </c>
      <c r="B37" s="337"/>
      <c r="C37" s="337">
        <v>606.18999999999994</v>
      </c>
      <c r="D37" s="337">
        <v>551.55999999999995</v>
      </c>
      <c r="E37" s="337">
        <v>1157.75</v>
      </c>
      <c r="H37" s="12"/>
      <c r="I37" s="20"/>
      <c r="J37" s="20"/>
      <c r="K37" s="21"/>
      <c r="L37" s="21"/>
      <c r="M37" s="22"/>
      <c r="N37" s="22"/>
      <c r="O37" s="11"/>
      <c r="P37" s="22"/>
      <c r="Q37" s="20"/>
      <c r="R37" s="20"/>
      <c r="S37" s="44"/>
    </row>
    <row r="38" spans="1:19" outlineLevel="1" x14ac:dyDescent="0.2">
      <c r="A38" s="203" t="s">
        <v>63</v>
      </c>
      <c r="B38" s="337"/>
      <c r="C38" s="337">
        <v>606.18999999999994</v>
      </c>
      <c r="D38" s="337">
        <v>551.55999999999995</v>
      </c>
      <c r="E38" s="337">
        <v>1157.75</v>
      </c>
      <c r="H38" s="12"/>
      <c r="I38" s="20"/>
      <c r="J38" s="20"/>
      <c r="K38" s="21"/>
      <c r="L38" s="21"/>
      <c r="M38" s="22"/>
      <c r="N38" s="22"/>
      <c r="O38" s="11"/>
      <c r="P38" s="22"/>
      <c r="Q38" s="20"/>
      <c r="R38" s="20"/>
      <c r="S38" s="44"/>
    </row>
    <row r="39" spans="1:19" outlineLevel="1" x14ac:dyDescent="0.2">
      <c r="A39" s="19" t="s">
        <v>297</v>
      </c>
      <c r="B39" s="337"/>
      <c r="C39" s="337">
        <v>1565.6999999999998</v>
      </c>
      <c r="D39" s="337">
        <v>1643.78</v>
      </c>
      <c r="E39" s="337">
        <v>3209.48</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151"/>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45910.744629629633</v>
      </c>
      <c r="B927" t="s">
        <v>1431</v>
      </c>
      <c r="C927" t="s">
        <v>597</v>
      </c>
      <c r="D927" t="s">
        <v>1230</v>
      </c>
      <c r="E927" t="s">
        <v>39</v>
      </c>
    </row>
    <row r="928" spans="1:5" x14ac:dyDescent="0.2">
      <c r="A928" s="269">
        <v>45910.745532407411</v>
      </c>
      <c r="B928" t="s">
        <v>1431</v>
      </c>
      <c r="C928" t="s">
        <v>2</v>
      </c>
      <c r="D928" t="s">
        <v>1432</v>
      </c>
      <c r="E928" t="s">
        <v>429</v>
      </c>
    </row>
    <row r="929" spans="1:5" x14ac:dyDescent="0.2">
      <c r="A929" s="269">
        <v>45910.745567129627</v>
      </c>
      <c r="B929" t="s">
        <v>1431</v>
      </c>
      <c r="C929" t="s">
        <v>2</v>
      </c>
      <c r="D929" t="s">
        <v>1433</v>
      </c>
      <c r="E929">
        <v>2025</v>
      </c>
    </row>
    <row r="930" spans="1:5" x14ac:dyDescent="0.2">
      <c r="A930" s="269">
        <v>45910.745682870373</v>
      </c>
      <c r="B930" t="s">
        <v>1431</v>
      </c>
      <c r="C930" t="s">
        <v>27</v>
      </c>
      <c r="D930" t="s">
        <v>946</v>
      </c>
      <c r="E930" t="s">
        <v>37</v>
      </c>
    </row>
    <row r="931" spans="1:5" x14ac:dyDescent="0.2">
      <c r="A931" s="269">
        <v>45910.745717592596</v>
      </c>
      <c r="B931" t="s">
        <v>1431</v>
      </c>
      <c r="C931" t="s">
        <v>27</v>
      </c>
      <c r="D931" t="s">
        <v>950</v>
      </c>
      <c r="E931" t="s">
        <v>338</v>
      </c>
    </row>
    <row r="932" spans="1:5" x14ac:dyDescent="0.2">
      <c r="A932" s="269">
        <v>45910.745810185188</v>
      </c>
      <c r="B932" t="s">
        <v>1431</v>
      </c>
      <c r="C932" t="s">
        <v>27</v>
      </c>
      <c r="D932" t="s">
        <v>777</v>
      </c>
      <c r="E932">
        <v>127.76</v>
      </c>
    </row>
    <row r="933" spans="1:5" x14ac:dyDescent="0.2">
      <c r="A933" s="269">
        <v>45910.745844907404</v>
      </c>
      <c r="B933" t="s">
        <v>1431</v>
      </c>
      <c r="C933" t="s">
        <v>27</v>
      </c>
      <c r="D933" t="s">
        <v>1434</v>
      </c>
      <c r="E933" t="s">
        <v>37</v>
      </c>
    </row>
    <row r="934" spans="1:5" x14ac:dyDescent="0.2">
      <c r="A934" s="269">
        <v>45910.745868055557</v>
      </c>
      <c r="B934" t="s">
        <v>1431</v>
      </c>
      <c r="C934" t="s">
        <v>27</v>
      </c>
      <c r="D934" t="s">
        <v>1435</v>
      </c>
      <c r="E934" t="s">
        <v>89</v>
      </c>
    </row>
    <row r="935" spans="1:5" x14ac:dyDescent="0.2">
      <c r="A935" s="269">
        <v>45910.746018518519</v>
      </c>
      <c r="B935" t="s">
        <v>1431</v>
      </c>
      <c r="C935" t="s">
        <v>27</v>
      </c>
      <c r="D935" t="s">
        <v>1436</v>
      </c>
      <c r="E935">
        <v>258.82</v>
      </c>
    </row>
    <row r="936" spans="1:5" x14ac:dyDescent="0.2">
      <c r="A936" s="269">
        <v>45910.746249999997</v>
      </c>
      <c r="B936" t="s">
        <v>1431</v>
      </c>
      <c r="C936" t="s">
        <v>27</v>
      </c>
      <c r="D936" t="s">
        <v>1435</v>
      </c>
      <c r="E936" t="s">
        <v>362</v>
      </c>
    </row>
    <row r="937" spans="1:5" x14ac:dyDescent="0.2">
      <c r="A937" s="269">
        <v>45910.74627314815</v>
      </c>
      <c r="B937" t="s">
        <v>1431</v>
      </c>
      <c r="C937" t="s">
        <v>27</v>
      </c>
      <c r="D937" t="s">
        <v>1435</v>
      </c>
      <c r="E937" t="s">
        <v>379</v>
      </c>
    </row>
    <row r="938" spans="1:5" x14ac:dyDescent="0.2">
      <c r="A938" s="269">
        <v>45910.746296296296</v>
      </c>
      <c r="B938" t="s">
        <v>1431</v>
      </c>
      <c r="C938" t="s">
        <v>27</v>
      </c>
      <c r="D938" t="s">
        <v>1435</v>
      </c>
      <c r="E938" t="s">
        <v>390</v>
      </c>
    </row>
    <row r="939" spans="1:5" x14ac:dyDescent="0.2">
      <c r="A939" s="269">
        <v>45910.746319444443</v>
      </c>
      <c r="B939" t="s">
        <v>1431</v>
      </c>
      <c r="C939" t="s">
        <v>27</v>
      </c>
      <c r="D939" t="s">
        <v>1435</v>
      </c>
      <c r="E939" t="s">
        <v>89</v>
      </c>
    </row>
    <row r="940" spans="1:5" x14ac:dyDescent="0.2">
      <c r="A940" s="269">
        <v>45910.746342592596</v>
      </c>
      <c r="B940" t="s">
        <v>1431</v>
      </c>
      <c r="C940" t="s">
        <v>27</v>
      </c>
      <c r="D940" t="s">
        <v>1435</v>
      </c>
      <c r="E940" t="s">
        <v>89</v>
      </c>
    </row>
    <row r="941" spans="1:5" x14ac:dyDescent="0.2">
      <c r="A941" s="269">
        <v>45910.746354166666</v>
      </c>
      <c r="B941" t="s">
        <v>1431</v>
      </c>
      <c r="C941" t="s">
        <v>27</v>
      </c>
      <c r="D941" t="s">
        <v>1435</v>
      </c>
      <c r="E941" t="s">
        <v>338</v>
      </c>
    </row>
    <row r="942" spans="1:5" x14ac:dyDescent="0.2">
      <c r="A942" s="269">
        <v>45910.746377314812</v>
      </c>
      <c r="B942" t="s">
        <v>1431</v>
      </c>
      <c r="C942" t="s">
        <v>27</v>
      </c>
      <c r="D942" t="s">
        <v>1435</v>
      </c>
      <c r="E942" t="s">
        <v>89</v>
      </c>
    </row>
    <row r="943" spans="1:5" x14ac:dyDescent="0.2">
      <c r="A943" s="269">
        <v>45910.746412037035</v>
      </c>
      <c r="B943" t="s">
        <v>1431</v>
      </c>
      <c r="C943" t="s">
        <v>27</v>
      </c>
      <c r="D943" t="s">
        <v>1435</v>
      </c>
      <c r="E943" t="s">
        <v>362</v>
      </c>
    </row>
    <row r="944" spans="1:5" x14ac:dyDescent="0.2">
      <c r="A944" s="269">
        <v>45910.746446759258</v>
      </c>
      <c r="B944" t="s">
        <v>1431</v>
      </c>
      <c r="C944" t="s">
        <v>27</v>
      </c>
      <c r="D944" t="s">
        <v>1434</v>
      </c>
      <c r="E944" t="s">
        <v>298</v>
      </c>
    </row>
    <row r="945" spans="1:5" x14ac:dyDescent="0.2">
      <c r="A945" s="269">
        <v>45910.746469907404</v>
      </c>
      <c r="B945" t="s">
        <v>1431</v>
      </c>
      <c r="C945" t="s">
        <v>27</v>
      </c>
      <c r="D945" t="s">
        <v>1434</v>
      </c>
      <c r="E945" t="s">
        <v>37</v>
      </c>
    </row>
    <row r="946" spans="1:5" x14ac:dyDescent="0.2">
      <c r="A946" s="269">
        <v>45910.746516203704</v>
      </c>
      <c r="B946" t="s">
        <v>1431</v>
      </c>
      <c r="C946" t="s">
        <v>27</v>
      </c>
      <c r="D946" t="s">
        <v>1435</v>
      </c>
      <c r="E946" t="s">
        <v>89</v>
      </c>
    </row>
    <row r="947" spans="1:5" x14ac:dyDescent="0.2">
      <c r="A947" s="269">
        <v>45910.747048611112</v>
      </c>
      <c r="B947" t="s">
        <v>1431</v>
      </c>
      <c r="C947" t="s">
        <v>27</v>
      </c>
      <c r="D947" t="s">
        <v>1191</v>
      </c>
      <c r="E947" t="s">
        <v>37</v>
      </c>
    </row>
    <row r="948" spans="1:5" x14ac:dyDescent="0.2">
      <c r="A948" s="269">
        <v>45910.747083333335</v>
      </c>
      <c r="B948" t="s">
        <v>1431</v>
      </c>
      <c r="C948" t="s">
        <v>27</v>
      </c>
      <c r="D948" t="s">
        <v>1010</v>
      </c>
      <c r="E948" t="s">
        <v>362</v>
      </c>
    </row>
    <row r="949" spans="1:5" x14ac:dyDescent="0.2">
      <c r="A949" s="269">
        <v>45910.747164351851</v>
      </c>
      <c r="B949" t="s">
        <v>1431</v>
      </c>
      <c r="C949" t="s">
        <v>27</v>
      </c>
      <c r="D949" t="s">
        <v>973</v>
      </c>
      <c r="E949">
        <v>111.75</v>
      </c>
    </row>
    <row r="950" spans="1:5" x14ac:dyDescent="0.2">
      <c r="A950" s="269">
        <v>45910.74722222222</v>
      </c>
      <c r="B950" t="s">
        <v>1431</v>
      </c>
      <c r="C950" t="s">
        <v>27</v>
      </c>
      <c r="D950" t="s">
        <v>795</v>
      </c>
      <c r="E950" t="s">
        <v>37</v>
      </c>
    </row>
    <row r="951" spans="1:5" x14ac:dyDescent="0.2">
      <c r="A951" s="269">
        <v>45910.74726851852</v>
      </c>
      <c r="B951" t="s">
        <v>1431</v>
      </c>
      <c r="C951" t="s">
        <v>27</v>
      </c>
      <c r="D951" t="s">
        <v>995</v>
      </c>
      <c r="E951" t="s">
        <v>371</v>
      </c>
    </row>
    <row r="952" spans="1:5" x14ac:dyDescent="0.2">
      <c r="A952" s="269">
        <v>45910.747372685182</v>
      </c>
      <c r="B952" t="s">
        <v>1431</v>
      </c>
      <c r="C952" t="s">
        <v>27</v>
      </c>
      <c r="D952" t="s">
        <v>1191</v>
      </c>
      <c r="E952" t="s">
        <v>37</v>
      </c>
    </row>
    <row r="953" spans="1:5" x14ac:dyDescent="0.2">
      <c r="A953" s="269">
        <v>45910.747418981482</v>
      </c>
      <c r="B953" t="s">
        <v>1431</v>
      </c>
      <c r="C953" t="s">
        <v>27</v>
      </c>
      <c r="D953" t="s">
        <v>976</v>
      </c>
      <c r="E953">
        <v>46.94</v>
      </c>
    </row>
    <row r="954" spans="1:5" x14ac:dyDescent="0.2">
      <c r="A954" s="269">
        <v>45910.747453703705</v>
      </c>
      <c r="B954" t="s">
        <v>1431</v>
      </c>
      <c r="C954" t="s">
        <v>27</v>
      </c>
      <c r="D954" t="s">
        <v>1013</v>
      </c>
      <c r="E954" t="s">
        <v>37</v>
      </c>
    </row>
    <row r="955" spans="1:5" x14ac:dyDescent="0.2">
      <c r="A955" s="269">
        <v>45910.747488425928</v>
      </c>
      <c r="B955" t="s">
        <v>1431</v>
      </c>
      <c r="C955" t="s">
        <v>27</v>
      </c>
      <c r="D955" t="s">
        <v>1014</v>
      </c>
      <c r="E955" t="s">
        <v>379</v>
      </c>
    </row>
    <row r="956" spans="1:5" x14ac:dyDescent="0.2">
      <c r="A956" s="269">
        <v>45910.747557870367</v>
      </c>
      <c r="B956" t="s">
        <v>1431</v>
      </c>
      <c r="C956" t="s">
        <v>27</v>
      </c>
      <c r="D956" t="s">
        <v>977</v>
      </c>
      <c r="E956">
        <v>242.64</v>
      </c>
    </row>
    <row r="957" spans="1:5" x14ac:dyDescent="0.2">
      <c r="A957" s="269">
        <v>45910.747604166667</v>
      </c>
      <c r="B957" t="s">
        <v>1431</v>
      </c>
      <c r="C957" t="s">
        <v>27</v>
      </c>
      <c r="D957" t="s">
        <v>1017</v>
      </c>
      <c r="E957" t="s">
        <v>386</v>
      </c>
    </row>
    <row r="958" spans="1:5" x14ac:dyDescent="0.2">
      <c r="A958" s="269">
        <v>45910.74763888889</v>
      </c>
      <c r="B958" t="s">
        <v>1431</v>
      </c>
      <c r="C958" t="s">
        <v>27</v>
      </c>
      <c r="D958" t="s">
        <v>747</v>
      </c>
      <c r="E958" t="s">
        <v>37</v>
      </c>
    </row>
    <row r="959" spans="1:5" x14ac:dyDescent="0.2">
      <c r="A959" s="269">
        <v>45910.747685185182</v>
      </c>
      <c r="B959" t="s">
        <v>1431</v>
      </c>
      <c r="C959" t="s">
        <v>27</v>
      </c>
      <c r="D959" t="s">
        <v>923</v>
      </c>
      <c r="E959">
        <v>104.1</v>
      </c>
    </row>
    <row r="960" spans="1:5" x14ac:dyDescent="0.2">
      <c r="A960" s="269">
        <v>45911.473530092589</v>
      </c>
      <c r="B960" t="s">
        <v>1431</v>
      </c>
      <c r="C960" t="s">
        <v>597</v>
      </c>
      <c r="D960" t="s">
        <v>1230</v>
      </c>
      <c r="E960" t="s">
        <v>39</v>
      </c>
    </row>
    <row r="961" spans="1:5" x14ac:dyDescent="0.2">
      <c r="A961" s="269">
        <v>45911.47388888889</v>
      </c>
      <c r="B961" t="s">
        <v>1431</v>
      </c>
      <c r="C961" t="s">
        <v>27</v>
      </c>
      <c r="D961" t="s">
        <v>1437</v>
      </c>
    </row>
    <row r="962" spans="1:5" x14ac:dyDescent="0.2">
      <c r="A962" s="269">
        <v>45911.473912037036</v>
      </c>
      <c r="B962" t="s">
        <v>1431</v>
      </c>
      <c r="C962" t="s">
        <v>27</v>
      </c>
      <c r="D962" t="s">
        <v>1437</v>
      </c>
      <c r="E962" t="s">
        <v>37</v>
      </c>
    </row>
    <row r="963" spans="1:5" x14ac:dyDescent="0.2">
      <c r="A963" s="269">
        <v>45911.473935185182</v>
      </c>
      <c r="B963" t="s">
        <v>1431</v>
      </c>
      <c r="C963" t="s">
        <v>27</v>
      </c>
      <c r="D963" t="s">
        <v>1438</v>
      </c>
      <c r="E963" t="s">
        <v>390</v>
      </c>
    </row>
    <row r="964" spans="1:5" x14ac:dyDescent="0.2">
      <c r="A964" s="269">
        <v>45911.473981481482</v>
      </c>
      <c r="B964" t="s">
        <v>1431</v>
      </c>
      <c r="C964" t="s">
        <v>27</v>
      </c>
      <c r="D964" t="s">
        <v>918</v>
      </c>
      <c r="E964">
        <v>311.92</v>
      </c>
    </row>
    <row r="965" spans="1:5" x14ac:dyDescent="0.2">
      <c r="A965" s="269">
        <v>45911.47755787037</v>
      </c>
      <c r="B965" t="s">
        <v>1431</v>
      </c>
      <c r="C965" t="s">
        <v>58</v>
      </c>
      <c r="D965" t="s">
        <v>950</v>
      </c>
      <c r="E965" t="s">
        <v>63</v>
      </c>
    </row>
    <row r="966" spans="1:5" x14ac:dyDescent="0.2">
      <c r="A966" s="269">
        <v>45911.47760416667</v>
      </c>
      <c r="B966" t="s">
        <v>1431</v>
      </c>
      <c r="C966" t="s">
        <v>58</v>
      </c>
      <c r="D966" t="s">
        <v>946</v>
      </c>
      <c r="E966" t="s">
        <v>343</v>
      </c>
    </row>
    <row r="967" spans="1:5" x14ac:dyDescent="0.2">
      <c r="A967" s="269">
        <v>45911.483634259261</v>
      </c>
      <c r="B967" t="s">
        <v>1431</v>
      </c>
      <c r="C967" t="s">
        <v>58</v>
      </c>
      <c r="D967" t="s">
        <v>958</v>
      </c>
      <c r="E967">
        <v>1</v>
      </c>
    </row>
    <row r="968" spans="1:5" x14ac:dyDescent="0.2">
      <c r="A968" s="269">
        <v>45911.488333333335</v>
      </c>
      <c r="B968" t="s">
        <v>1431</v>
      </c>
      <c r="C968" t="s">
        <v>58</v>
      </c>
      <c r="D968" t="s">
        <v>950</v>
      </c>
      <c r="E968" t="s">
        <v>63</v>
      </c>
    </row>
    <row r="969" spans="1:5" x14ac:dyDescent="0.2">
      <c r="A969" s="269">
        <v>45911.48841435185</v>
      </c>
      <c r="B969" t="s">
        <v>1431</v>
      </c>
      <c r="C969" t="s">
        <v>58</v>
      </c>
      <c r="D969" t="s">
        <v>946</v>
      </c>
      <c r="E969" t="s">
        <v>381</v>
      </c>
    </row>
    <row r="970" spans="1:5" x14ac:dyDescent="0.2">
      <c r="A970" s="269">
        <v>45911.48847222222</v>
      </c>
      <c r="B970" t="s">
        <v>1431</v>
      </c>
      <c r="C970" t="s">
        <v>58</v>
      </c>
      <c r="D970" t="s">
        <v>951</v>
      </c>
      <c r="E970" t="s">
        <v>338</v>
      </c>
    </row>
    <row r="971" spans="1:5" x14ac:dyDescent="0.2">
      <c r="A971" s="269">
        <v>45911.488587962966</v>
      </c>
      <c r="B971" t="s">
        <v>1431</v>
      </c>
      <c r="C971" t="s">
        <v>58</v>
      </c>
      <c r="D971" t="s">
        <v>1439</v>
      </c>
      <c r="E971">
        <v>76.81</v>
      </c>
    </row>
    <row r="972" spans="1:5" x14ac:dyDescent="0.2">
      <c r="A972" s="269">
        <v>45911.488692129627</v>
      </c>
      <c r="B972" t="s">
        <v>1431</v>
      </c>
      <c r="C972" t="s">
        <v>58</v>
      </c>
      <c r="D972" t="s">
        <v>1439</v>
      </c>
      <c r="E972">
        <v>0</v>
      </c>
    </row>
    <row r="973" spans="1:5" x14ac:dyDescent="0.2">
      <c r="A973" s="269">
        <v>45911.488703703704</v>
      </c>
      <c r="B973" t="s">
        <v>1431</v>
      </c>
      <c r="C973" t="s">
        <v>58</v>
      </c>
      <c r="D973" t="s">
        <v>958</v>
      </c>
      <c r="E973">
        <v>0</v>
      </c>
    </row>
    <row r="974" spans="1:5" x14ac:dyDescent="0.2">
      <c r="A974" s="269">
        <v>45911.489305555559</v>
      </c>
      <c r="B974" t="s">
        <v>1431</v>
      </c>
      <c r="C974" t="s">
        <v>58</v>
      </c>
      <c r="D974" t="s">
        <v>1439</v>
      </c>
      <c r="E974">
        <v>76.81</v>
      </c>
    </row>
    <row r="975" spans="1:5" x14ac:dyDescent="0.2">
      <c r="A975" s="269">
        <v>45911.489374999997</v>
      </c>
      <c r="B975" t="s">
        <v>1431</v>
      </c>
      <c r="C975" t="s">
        <v>58</v>
      </c>
      <c r="D975" t="s">
        <v>958</v>
      </c>
      <c r="E975">
        <v>524</v>
      </c>
    </row>
    <row r="976" spans="1:5" x14ac:dyDescent="0.2">
      <c r="A976" s="269">
        <v>45911.48946759259</v>
      </c>
      <c r="B976" t="s">
        <v>1431</v>
      </c>
      <c r="C976" t="s">
        <v>58</v>
      </c>
      <c r="D976" t="s">
        <v>1434</v>
      </c>
      <c r="E976" t="s">
        <v>381</v>
      </c>
    </row>
    <row r="977" spans="1:5" x14ac:dyDescent="0.2">
      <c r="A977" s="269">
        <v>45911.489479166667</v>
      </c>
      <c r="B977" t="s">
        <v>1431</v>
      </c>
      <c r="C977" t="s">
        <v>58</v>
      </c>
      <c r="D977" t="s">
        <v>1435</v>
      </c>
      <c r="E977" t="s">
        <v>63</v>
      </c>
    </row>
    <row r="978" spans="1:5" x14ac:dyDescent="0.2">
      <c r="A978" s="269">
        <v>45911.48951388889</v>
      </c>
      <c r="B978" t="s">
        <v>1431</v>
      </c>
      <c r="C978" t="s">
        <v>58</v>
      </c>
      <c r="D978" t="s">
        <v>983</v>
      </c>
      <c r="E978" t="s">
        <v>89</v>
      </c>
    </row>
    <row r="979" spans="1:5" x14ac:dyDescent="0.2">
      <c r="A979" s="269">
        <v>45911.489571759259</v>
      </c>
      <c r="B979" t="s">
        <v>1431</v>
      </c>
      <c r="C979" t="s">
        <v>58</v>
      </c>
      <c r="D979" t="s">
        <v>937</v>
      </c>
      <c r="E979">
        <v>226.83</v>
      </c>
    </row>
    <row r="980" spans="1:5" x14ac:dyDescent="0.2">
      <c r="A980" s="269">
        <v>45911.489629629628</v>
      </c>
      <c r="B980" t="s">
        <v>1431</v>
      </c>
      <c r="C980" t="s">
        <v>58</v>
      </c>
      <c r="D980" t="s">
        <v>1440</v>
      </c>
      <c r="E980">
        <v>1650</v>
      </c>
    </row>
    <row r="981" spans="1:5" x14ac:dyDescent="0.2">
      <c r="A981" s="269">
        <v>45911.489675925928</v>
      </c>
      <c r="B981" t="s">
        <v>1431</v>
      </c>
      <c r="C981" t="s">
        <v>58</v>
      </c>
      <c r="D981" t="s">
        <v>975</v>
      </c>
    </row>
    <row r="982" spans="1:5" x14ac:dyDescent="0.2">
      <c r="A982" s="269">
        <v>45911.490034722221</v>
      </c>
      <c r="B982" t="s">
        <v>1431</v>
      </c>
      <c r="C982" t="s">
        <v>58</v>
      </c>
      <c r="D982" t="s">
        <v>1191</v>
      </c>
      <c r="E982" t="s">
        <v>381</v>
      </c>
    </row>
    <row r="983" spans="1:5" x14ac:dyDescent="0.2">
      <c r="A983" s="269">
        <v>45911.490069444444</v>
      </c>
      <c r="B983" t="s">
        <v>1431</v>
      </c>
      <c r="C983" t="s">
        <v>58</v>
      </c>
      <c r="D983" t="s">
        <v>1010</v>
      </c>
      <c r="E983" t="s">
        <v>63</v>
      </c>
    </row>
    <row r="984" spans="1:5" x14ac:dyDescent="0.2">
      <c r="A984" s="269">
        <v>45911.490104166667</v>
      </c>
      <c r="B984" t="s">
        <v>1431</v>
      </c>
      <c r="C984" t="s">
        <v>58</v>
      </c>
      <c r="D984" t="s">
        <v>1066</v>
      </c>
      <c r="E984" t="s">
        <v>362</v>
      </c>
    </row>
    <row r="985" spans="1:5" x14ac:dyDescent="0.2">
      <c r="A985" s="269">
        <v>45911.49015046296</v>
      </c>
      <c r="B985" t="s">
        <v>1431</v>
      </c>
      <c r="C985" t="s">
        <v>58</v>
      </c>
      <c r="D985" t="s">
        <v>926</v>
      </c>
      <c r="E985">
        <v>474.78</v>
      </c>
    </row>
    <row r="986" spans="1:5" x14ac:dyDescent="0.2">
      <c r="A986" s="269">
        <v>45911.49019675926</v>
      </c>
      <c r="B986" t="s">
        <v>1431</v>
      </c>
      <c r="C986" t="s">
        <v>58</v>
      </c>
      <c r="D986" t="s">
        <v>975</v>
      </c>
      <c r="E986">
        <v>4252</v>
      </c>
    </row>
    <row r="987" spans="1:5" x14ac:dyDescent="0.2">
      <c r="A987" s="269">
        <v>45911.490300925929</v>
      </c>
      <c r="B987" t="s">
        <v>1431</v>
      </c>
      <c r="C987" t="s">
        <v>58</v>
      </c>
      <c r="D987" t="s">
        <v>795</v>
      </c>
      <c r="E987" t="s">
        <v>381</v>
      </c>
    </row>
    <row r="988" spans="1:5" x14ac:dyDescent="0.2">
      <c r="A988" s="269">
        <v>45911.490324074075</v>
      </c>
      <c r="B988" t="s">
        <v>1431</v>
      </c>
      <c r="C988" t="s">
        <v>58</v>
      </c>
      <c r="D988" t="s">
        <v>995</v>
      </c>
      <c r="E988" t="s">
        <v>63</v>
      </c>
    </row>
    <row r="989" spans="1:5" x14ac:dyDescent="0.2">
      <c r="A989" s="269">
        <v>45911.490405092591</v>
      </c>
      <c r="B989" t="s">
        <v>1431</v>
      </c>
      <c r="C989" t="s">
        <v>58</v>
      </c>
      <c r="D989" t="s">
        <v>994</v>
      </c>
      <c r="E989" t="s">
        <v>371</v>
      </c>
    </row>
    <row r="990" spans="1:5" x14ac:dyDescent="0.2">
      <c r="A990" s="269">
        <v>45911.49046296296</v>
      </c>
      <c r="B990" t="s">
        <v>1431</v>
      </c>
      <c r="C990" t="s">
        <v>58</v>
      </c>
      <c r="D990" t="s">
        <v>874</v>
      </c>
      <c r="E990">
        <v>205.02</v>
      </c>
    </row>
    <row r="991" spans="1:5" x14ac:dyDescent="0.2">
      <c r="A991" s="269">
        <v>45911.49050925926</v>
      </c>
      <c r="B991" t="s">
        <v>1431</v>
      </c>
      <c r="C991" t="s">
        <v>58</v>
      </c>
      <c r="D991" t="s">
        <v>974</v>
      </c>
      <c r="E991">
        <v>1583</v>
      </c>
    </row>
    <row r="992" spans="1:5" x14ac:dyDescent="0.2">
      <c r="A992" s="269">
        <v>45911.490856481483</v>
      </c>
      <c r="B992" t="s">
        <v>1431</v>
      </c>
      <c r="C992" t="s">
        <v>58</v>
      </c>
      <c r="D992" t="s">
        <v>1013</v>
      </c>
      <c r="E992" t="s">
        <v>381</v>
      </c>
    </row>
    <row r="993" spans="1:5" x14ac:dyDescent="0.2">
      <c r="A993" s="269">
        <v>45911.490891203706</v>
      </c>
      <c r="B993" t="s">
        <v>1431</v>
      </c>
      <c r="C993" t="s">
        <v>58</v>
      </c>
      <c r="D993" t="s">
        <v>1014</v>
      </c>
      <c r="E993" t="s">
        <v>63</v>
      </c>
    </row>
    <row r="994" spans="1:5" x14ac:dyDescent="0.2">
      <c r="A994" s="269">
        <v>45911.490925925929</v>
      </c>
      <c r="B994" t="s">
        <v>1431</v>
      </c>
      <c r="C994" t="s">
        <v>58</v>
      </c>
      <c r="D994" t="s">
        <v>1015</v>
      </c>
      <c r="E994" t="s">
        <v>379</v>
      </c>
    </row>
    <row r="995" spans="1:5" x14ac:dyDescent="0.2">
      <c r="A995" s="269">
        <v>45911.491087962961</v>
      </c>
      <c r="B995" t="s">
        <v>1431</v>
      </c>
      <c r="C995" t="s">
        <v>58</v>
      </c>
      <c r="D995" t="s">
        <v>1441</v>
      </c>
      <c r="E995">
        <v>425.49</v>
      </c>
    </row>
    <row r="996" spans="1:5" x14ac:dyDescent="0.2">
      <c r="A996" s="269">
        <v>45911.49113425926</v>
      </c>
      <c r="B996" t="s">
        <v>1431</v>
      </c>
      <c r="C996" t="s">
        <v>58</v>
      </c>
      <c r="D996" t="s">
        <v>1442</v>
      </c>
      <c r="E996">
        <v>3429</v>
      </c>
    </row>
    <row r="997" spans="1:5" x14ac:dyDescent="0.2">
      <c r="A997" s="269">
        <v>45911.491203703707</v>
      </c>
      <c r="B997" t="s">
        <v>1431</v>
      </c>
      <c r="C997" t="s">
        <v>58</v>
      </c>
      <c r="D997" t="s">
        <v>747</v>
      </c>
      <c r="E997" t="s">
        <v>381</v>
      </c>
    </row>
    <row r="998" spans="1:5" x14ac:dyDescent="0.2">
      <c r="A998" s="269">
        <v>45911.491238425922</v>
      </c>
      <c r="B998" t="s">
        <v>1431</v>
      </c>
      <c r="C998" t="s">
        <v>58</v>
      </c>
      <c r="D998" t="s">
        <v>1017</v>
      </c>
      <c r="E998" t="s">
        <v>63</v>
      </c>
    </row>
    <row r="999" spans="1:5" x14ac:dyDescent="0.2">
      <c r="A999" s="269">
        <v>45911.491273148145</v>
      </c>
      <c r="B999" t="s">
        <v>1431</v>
      </c>
      <c r="C999" t="s">
        <v>58</v>
      </c>
      <c r="D999" t="s">
        <v>1018</v>
      </c>
      <c r="E999" t="s">
        <v>386</v>
      </c>
    </row>
    <row r="1000" spans="1:5" x14ac:dyDescent="0.2">
      <c r="A1000" s="269">
        <v>45911.491412037038</v>
      </c>
      <c r="B1000" t="s">
        <v>1431</v>
      </c>
      <c r="C1000" t="s">
        <v>58</v>
      </c>
      <c r="D1000" t="s">
        <v>1443</v>
      </c>
      <c r="E1000">
        <v>111.46</v>
      </c>
    </row>
    <row r="1001" spans="1:5" x14ac:dyDescent="0.2">
      <c r="A1001" s="269">
        <v>45911.491446759261</v>
      </c>
      <c r="B1001" t="s">
        <v>1431</v>
      </c>
      <c r="C1001" t="s">
        <v>58</v>
      </c>
      <c r="D1001" t="s">
        <v>1444</v>
      </c>
      <c r="E1001">
        <v>892</v>
      </c>
    </row>
    <row r="1002" spans="1:5" x14ac:dyDescent="0.2">
      <c r="A1002" s="269">
        <v>45911.49150462963</v>
      </c>
      <c r="B1002" t="s">
        <v>1431</v>
      </c>
      <c r="C1002" t="s">
        <v>58</v>
      </c>
      <c r="D1002" t="s">
        <v>1437</v>
      </c>
      <c r="E1002" t="s">
        <v>381</v>
      </c>
    </row>
    <row r="1003" spans="1:5" x14ac:dyDescent="0.2">
      <c r="A1003" s="269">
        <v>45911.491527777776</v>
      </c>
      <c r="B1003" t="s">
        <v>1431</v>
      </c>
      <c r="C1003" t="s">
        <v>58</v>
      </c>
      <c r="D1003" t="s">
        <v>1438</v>
      </c>
      <c r="E1003" t="s">
        <v>63</v>
      </c>
    </row>
    <row r="1004" spans="1:5" x14ac:dyDescent="0.2">
      <c r="A1004" s="269">
        <v>45911.491562499999</v>
      </c>
      <c r="B1004" t="s">
        <v>1431</v>
      </c>
      <c r="C1004" t="s">
        <v>58</v>
      </c>
      <c r="D1004" t="s">
        <v>1068</v>
      </c>
      <c r="E1004" t="s">
        <v>390</v>
      </c>
    </row>
    <row r="1005" spans="1:5" x14ac:dyDescent="0.2">
      <c r="A1005" s="269">
        <v>45911.493877314817</v>
      </c>
      <c r="B1005" t="s">
        <v>1431</v>
      </c>
      <c r="C1005" t="s">
        <v>58</v>
      </c>
      <c r="D1005" t="s">
        <v>1445</v>
      </c>
      <c r="E1005">
        <v>508.8</v>
      </c>
    </row>
    <row r="1006" spans="1:5" x14ac:dyDescent="0.2">
      <c r="A1006" s="269">
        <v>45911.493946759256</v>
      </c>
      <c r="B1006" t="s">
        <v>1431</v>
      </c>
      <c r="C1006" t="s">
        <v>58</v>
      </c>
      <c r="D1006" t="s">
        <v>925</v>
      </c>
      <c r="E1006">
        <v>4072</v>
      </c>
    </row>
    <row r="1007" spans="1:5" x14ac:dyDescent="0.2">
      <c r="A1007" s="269">
        <v>45911.494606481479</v>
      </c>
      <c r="B1007" t="s">
        <v>1431</v>
      </c>
      <c r="C1007" t="s">
        <v>58</v>
      </c>
      <c r="D1007" t="s">
        <v>1446</v>
      </c>
      <c r="E1007" t="s">
        <v>374</v>
      </c>
    </row>
    <row r="1008" spans="1:5" x14ac:dyDescent="0.2">
      <c r="A1008" s="269">
        <v>45911.494641203702</v>
      </c>
      <c r="B1008" t="s">
        <v>1431</v>
      </c>
      <c r="C1008" t="s">
        <v>58</v>
      </c>
      <c r="D1008" t="s">
        <v>1447</v>
      </c>
      <c r="E1008" t="s">
        <v>63</v>
      </c>
    </row>
    <row r="1009" spans="1:5" x14ac:dyDescent="0.2">
      <c r="A1009" s="269">
        <v>45911.494687500002</v>
      </c>
      <c r="B1009" t="s">
        <v>1431</v>
      </c>
      <c r="C1009" t="s">
        <v>58</v>
      </c>
      <c r="D1009" t="s">
        <v>1448</v>
      </c>
      <c r="E1009" t="s">
        <v>374</v>
      </c>
    </row>
    <row r="1010" spans="1:5" x14ac:dyDescent="0.2">
      <c r="A1010" s="269">
        <v>45911.494756944441</v>
      </c>
      <c r="B1010" t="s">
        <v>1431</v>
      </c>
      <c r="C1010" t="s">
        <v>58</v>
      </c>
      <c r="D1010" t="s">
        <v>1069</v>
      </c>
      <c r="E1010" t="s">
        <v>338</v>
      </c>
    </row>
    <row r="1011" spans="1:5" x14ac:dyDescent="0.2">
      <c r="A1011" s="269">
        <v>45911.494826388887</v>
      </c>
      <c r="B1011" t="s">
        <v>1431</v>
      </c>
      <c r="C1011" t="s">
        <v>58</v>
      </c>
      <c r="D1011" t="s">
        <v>1449</v>
      </c>
      <c r="E1011" t="s">
        <v>89</v>
      </c>
    </row>
    <row r="1012" spans="1:5" x14ac:dyDescent="0.2">
      <c r="A1012" s="269">
        <v>45911.494872685187</v>
      </c>
      <c r="B1012" t="s">
        <v>1431</v>
      </c>
      <c r="C1012" t="s">
        <v>58</v>
      </c>
      <c r="D1012" t="s">
        <v>1450</v>
      </c>
      <c r="E1012" t="s">
        <v>362</v>
      </c>
    </row>
    <row r="1013" spans="1:5" x14ac:dyDescent="0.2">
      <c r="A1013" s="269">
        <v>45911.495219907411</v>
      </c>
      <c r="B1013" t="s">
        <v>1431</v>
      </c>
      <c r="C1013" t="s">
        <v>58</v>
      </c>
      <c r="D1013" t="s">
        <v>1451</v>
      </c>
      <c r="E1013">
        <v>193.19</v>
      </c>
    </row>
    <row r="1014" spans="1:5" x14ac:dyDescent="0.2">
      <c r="A1014" s="269">
        <v>45911.495370370372</v>
      </c>
      <c r="B1014" t="s">
        <v>1431</v>
      </c>
      <c r="C1014" t="s">
        <v>58</v>
      </c>
      <c r="D1014" t="s">
        <v>1452</v>
      </c>
      <c r="E1014">
        <v>1845</v>
      </c>
    </row>
    <row r="1015" spans="1:5" x14ac:dyDescent="0.2">
      <c r="A1015" s="269">
        <v>45911.495567129627</v>
      </c>
      <c r="B1015" t="s">
        <v>1431</v>
      </c>
      <c r="C1015" t="s">
        <v>58</v>
      </c>
      <c r="D1015" t="s">
        <v>678</v>
      </c>
      <c r="E1015" t="s">
        <v>343</v>
      </c>
    </row>
    <row r="1016" spans="1:5" x14ac:dyDescent="0.2">
      <c r="A1016" s="269">
        <v>45911.49560185185</v>
      </c>
      <c r="B1016" t="s">
        <v>1431</v>
      </c>
      <c r="C1016" t="s">
        <v>58</v>
      </c>
      <c r="D1016" t="s">
        <v>1453</v>
      </c>
      <c r="E1016" t="s">
        <v>63</v>
      </c>
    </row>
    <row r="1017" spans="1:5" x14ac:dyDescent="0.2">
      <c r="A1017" s="269">
        <v>45911.495659722219</v>
      </c>
      <c r="B1017" t="s">
        <v>1431</v>
      </c>
      <c r="C1017" t="s">
        <v>58</v>
      </c>
      <c r="D1017" t="s">
        <v>1454</v>
      </c>
      <c r="E1017" t="s">
        <v>343</v>
      </c>
    </row>
    <row r="1018" spans="1:5" x14ac:dyDescent="0.2">
      <c r="A1018" s="269">
        <v>45911.495694444442</v>
      </c>
      <c r="B1018" t="s">
        <v>1431</v>
      </c>
      <c r="C1018" t="s">
        <v>58</v>
      </c>
      <c r="D1018" t="s">
        <v>1455</v>
      </c>
      <c r="E1018" t="s">
        <v>343</v>
      </c>
    </row>
    <row r="1019" spans="1:5" x14ac:dyDescent="0.2">
      <c r="A1019" s="269">
        <v>45911.495729166665</v>
      </c>
      <c r="B1019" t="s">
        <v>1431</v>
      </c>
      <c r="C1019" t="s">
        <v>58</v>
      </c>
      <c r="D1019" t="s">
        <v>1456</v>
      </c>
      <c r="E1019" t="s">
        <v>343</v>
      </c>
    </row>
    <row r="1020" spans="1:5" x14ac:dyDescent="0.2">
      <c r="A1020" s="269">
        <v>45911.495763888888</v>
      </c>
      <c r="B1020" t="s">
        <v>1431</v>
      </c>
      <c r="C1020" t="s">
        <v>58</v>
      </c>
      <c r="D1020" t="s">
        <v>1457</v>
      </c>
      <c r="E1020" t="s">
        <v>338</v>
      </c>
    </row>
    <row r="1021" spans="1:5" x14ac:dyDescent="0.2">
      <c r="A1021" s="269">
        <v>45911.495787037034</v>
      </c>
      <c r="B1021" t="s">
        <v>1431</v>
      </c>
      <c r="C1021" t="s">
        <v>58</v>
      </c>
      <c r="D1021" t="s">
        <v>1458</v>
      </c>
      <c r="E1021" t="s">
        <v>89</v>
      </c>
    </row>
    <row r="1022" spans="1:5" x14ac:dyDescent="0.2">
      <c r="A1022" s="269">
        <v>45911.495821759258</v>
      </c>
      <c r="B1022" t="s">
        <v>1431</v>
      </c>
      <c r="C1022" t="s">
        <v>58</v>
      </c>
      <c r="D1022" t="s">
        <v>1459</v>
      </c>
      <c r="E1022" t="s">
        <v>362</v>
      </c>
    </row>
    <row r="1023" spans="1:5" x14ac:dyDescent="0.2">
      <c r="A1023" s="269">
        <v>45911.49596064815</v>
      </c>
      <c r="B1023" t="s">
        <v>1431</v>
      </c>
      <c r="C1023" t="s">
        <v>58</v>
      </c>
      <c r="D1023" t="s">
        <v>1460</v>
      </c>
      <c r="E1023">
        <v>102.56</v>
      </c>
    </row>
    <row r="1024" spans="1:5" x14ac:dyDescent="0.2">
      <c r="A1024" s="269">
        <v>45911.496076388888</v>
      </c>
      <c r="B1024" t="s">
        <v>1431</v>
      </c>
      <c r="C1024" t="s">
        <v>58</v>
      </c>
      <c r="D1024" t="s">
        <v>1461</v>
      </c>
      <c r="E1024">
        <v>15</v>
      </c>
    </row>
    <row r="1025" spans="1:5" x14ac:dyDescent="0.2">
      <c r="A1025" s="269">
        <v>45911.496331018519</v>
      </c>
      <c r="B1025" t="s">
        <v>1431</v>
      </c>
      <c r="C1025" t="s">
        <v>58</v>
      </c>
      <c r="D1025" t="s">
        <v>1461</v>
      </c>
      <c r="E1025">
        <v>186.4</v>
      </c>
    </row>
    <row r="1026" spans="1:5" x14ac:dyDescent="0.2">
      <c r="A1026" s="269">
        <v>45911.497696759259</v>
      </c>
      <c r="B1026" t="s">
        <v>1431</v>
      </c>
      <c r="C1026" t="s">
        <v>103</v>
      </c>
      <c r="D1026" t="s">
        <v>1434</v>
      </c>
      <c r="E1026" t="s">
        <v>338</v>
      </c>
    </row>
    <row r="1027" spans="1:5" x14ac:dyDescent="0.2">
      <c r="A1027" s="269">
        <v>45911.497708333336</v>
      </c>
      <c r="B1027" t="s">
        <v>1431</v>
      </c>
      <c r="C1027" t="s">
        <v>103</v>
      </c>
      <c r="D1027" t="s">
        <v>1191</v>
      </c>
      <c r="E1027" t="s">
        <v>89</v>
      </c>
    </row>
    <row r="1028" spans="1:5" x14ac:dyDescent="0.2">
      <c r="A1028" s="269">
        <v>45911.497766203705</v>
      </c>
      <c r="B1028" t="s">
        <v>1431</v>
      </c>
      <c r="C1028" t="s">
        <v>103</v>
      </c>
      <c r="D1028" t="s">
        <v>1462</v>
      </c>
      <c r="E1028" t="s">
        <v>362</v>
      </c>
    </row>
    <row r="1029" spans="1:5" x14ac:dyDescent="0.2">
      <c r="A1029" s="269">
        <v>45911.497870370367</v>
      </c>
      <c r="B1029" t="s">
        <v>1431</v>
      </c>
      <c r="C1029" t="s">
        <v>103</v>
      </c>
      <c r="D1029" t="s">
        <v>937</v>
      </c>
      <c r="E1029" t="s">
        <v>442</v>
      </c>
    </row>
    <row r="1030" spans="1:5" x14ac:dyDescent="0.2">
      <c r="A1030" s="269">
        <v>45911.49795138889</v>
      </c>
      <c r="B1030" t="s">
        <v>1431</v>
      </c>
      <c r="C1030" t="s">
        <v>103</v>
      </c>
      <c r="D1030" t="s">
        <v>926</v>
      </c>
      <c r="E1030" t="s">
        <v>442</v>
      </c>
    </row>
    <row r="1031" spans="1:5" x14ac:dyDescent="0.2">
      <c r="A1031" s="269">
        <v>45911.497986111113</v>
      </c>
      <c r="B1031" t="s">
        <v>1431</v>
      </c>
      <c r="C1031" t="s">
        <v>103</v>
      </c>
      <c r="D1031" t="s">
        <v>1463</v>
      </c>
      <c r="E1031" t="s">
        <v>442</v>
      </c>
    </row>
    <row r="1032" spans="1:5" x14ac:dyDescent="0.2">
      <c r="A1032" s="269">
        <v>45911.500289351854</v>
      </c>
      <c r="B1032" t="s">
        <v>1431</v>
      </c>
      <c r="C1032" t="s">
        <v>103</v>
      </c>
      <c r="D1032" t="s">
        <v>1464</v>
      </c>
      <c r="E1032">
        <v>90664.07</v>
      </c>
    </row>
    <row r="1033" spans="1:5" x14ac:dyDescent="0.2">
      <c r="A1033" s="269">
        <v>45911.500335648147</v>
      </c>
      <c r="B1033" t="s">
        <v>1431</v>
      </c>
      <c r="C1033" t="s">
        <v>103</v>
      </c>
      <c r="D1033" t="s">
        <v>1464</v>
      </c>
    </row>
    <row r="1034" spans="1:5" x14ac:dyDescent="0.2">
      <c r="A1034" s="269">
        <v>45911.500416666669</v>
      </c>
      <c r="B1034" t="s">
        <v>1431</v>
      </c>
      <c r="C1034" t="s">
        <v>103</v>
      </c>
      <c r="D1034" t="s">
        <v>1464</v>
      </c>
      <c r="E1034">
        <v>12250</v>
      </c>
    </row>
    <row r="1035" spans="1:5" x14ac:dyDescent="0.2">
      <c r="A1035" s="269">
        <v>45911.614687499998</v>
      </c>
      <c r="B1035" t="s">
        <v>1431</v>
      </c>
      <c r="C1035" t="s">
        <v>26</v>
      </c>
      <c r="D1035" t="s">
        <v>1434</v>
      </c>
      <c r="E1035" t="s">
        <v>338</v>
      </c>
    </row>
    <row r="1036" spans="1:5" x14ac:dyDescent="0.2">
      <c r="A1036" s="269">
        <v>45911.615162037036</v>
      </c>
      <c r="B1036" t="s">
        <v>1431</v>
      </c>
      <c r="C1036" t="s">
        <v>26</v>
      </c>
      <c r="D1036" t="s">
        <v>983</v>
      </c>
      <c r="E1036" t="s">
        <v>124</v>
      </c>
    </row>
    <row r="1037" spans="1:5" x14ac:dyDescent="0.2">
      <c r="A1037" s="269">
        <v>45911.615300925929</v>
      </c>
      <c r="B1037" t="s">
        <v>1431</v>
      </c>
      <c r="C1037" t="s">
        <v>26</v>
      </c>
      <c r="D1037" t="s">
        <v>1134</v>
      </c>
      <c r="E1037" t="s">
        <v>364</v>
      </c>
    </row>
    <row r="1038" spans="1:5" x14ac:dyDescent="0.2">
      <c r="A1038" s="269">
        <v>45911.615416666667</v>
      </c>
      <c r="B1038" t="s">
        <v>1431</v>
      </c>
      <c r="C1038" t="s">
        <v>26</v>
      </c>
      <c r="D1038" t="s">
        <v>1134</v>
      </c>
    </row>
    <row r="1039" spans="1:5" x14ac:dyDescent="0.2">
      <c r="A1039" s="269">
        <v>45911.615567129629</v>
      </c>
      <c r="B1039" t="s">
        <v>1431</v>
      </c>
      <c r="C1039" t="s">
        <v>26</v>
      </c>
      <c r="D1039" t="s">
        <v>1436</v>
      </c>
      <c r="E1039">
        <v>52</v>
      </c>
    </row>
    <row r="1040" spans="1:5" x14ac:dyDescent="0.2">
      <c r="A1040" s="269">
        <v>45911.615868055553</v>
      </c>
      <c r="B1040" t="s">
        <v>1431</v>
      </c>
      <c r="C1040" t="s">
        <v>26</v>
      </c>
      <c r="D1040" t="s">
        <v>1191</v>
      </c>
      <c r="E1040" t="s">
        <v>89</v>
      </c>
    </row>
    <row r="1041" spans="1:5" x14ac:dyDescent="0.2">
      <c r="A1041" s="269">
        <v>45911.615891203706</v>
      </c>
      <c r="B1041" t="s">
        <v>1431</v>
      </c>
      <c r="C1041" t="s">
        <v>26</v>
      </c>
      <c r="D1041" t="s">
        <v>1066</v>
      </c>
      <c r="E1041" t="s">
        <v>124</v>
      </c>
    </row>
    <row r="1042" spans="1:5" x14ac:dyDescent="0.2">
      <c r="A1042" s="269">
        <v>45911.615937499999</v>
      </c>
      <c r="B1042" t="s">
        <v>1431</v>
      </c>
      <c r="C1042" t="s">
        <v>26</v>
      </c>
      <c r="D1042" t="s">
        <v>973</v>
      </c>
      <c r="E1042">
        <v>83</v>
      </c>
    </row>
    <row r="1043" spans="1:5" x14ac:dyDescent="0.2">
      <c r="A1043" s="269">
        <v>45911.615972222222</v>
      </c>
      <c r="B1043" t="s">
        <v>1431</v>
      </c>
      <c r="C1043" t="s">
        <v>26</v>
      </c>
      <c r="D1043" t="s">
        <v>1465</v>
      </c>
      <c r="E1043" t="s">
        <v>362</v>
      </c>
    </row>
    <row r="1044" spans="1:5" x14ac:dyDescent="0.2">
      <c r="A1044" s="269">
        <v>45911.616041666668</v>
      </c>
      <c r="B1044" t="s">
        <v>1431</v>
      </c>
      <c r="C1044" t="s">
        <v>26</v>
      </c>
      <c r="D1044" t="s">
        <v>795</v>
      </c>
      <c r="E1044" t="s">
        <v>362</v>
      </c>
    </row>
    <row r="1045" spans="1:5" x14ac:dyDescent="0.2">
      <c r="A1045" s="269">
        <v>45911.616203703707</v>
      </c>
      <c r="B1045" t="s">
        <v>1431</v>
      </c>
      <c r="C1045" t="s">
        <v>26</v>
      </c>
      <c r="D1045" t="s">
        <v>795</v>
      </c>
      <c r="E1045" t="s">
        <v>362</v>
      </c>
    </row>
    <row r="1046" spans="1:5" x14ac:dyDescent="0.2">
      <c r="A1046" s="269">
        <v>45911.616203703707</v>
      </c>
      <c r="B1046" t="s">
        <v>1431</v>
      </c>
      <c r="C1046" t="s">
        <v>26</v>
      </c>
      <c r="D1046" t="s">
        <v>1465</v>
      </c>
    </row>
    <row r="1047" spans="1:5" x14ac:dyDescent="0.2">
      <c r="A1047" s="269">
        <v>45911.616249999999</v>
      </c>
      <c r="B1047" t="s">
        <v>1431</v>
      </c>
      <c r="C1047" t="s">
        <v>26</v>
      </c>
      <c r="D1047" t="s">
        <v>795</v>
      </c>
      <c r="E1047" t="s">
        <v>362</v>
      </c>
    </row>
    <row r="1048" spans="1:5" x14ac:dyDescent="0.2">
      <c r="A1048" s="269">
        <v>45911.616284722222</v>
      </c>
      <c r="B1048" t="s">
        <v>1431</v>
      </c>
      <c r="C1048" t="s">
        <v>26</v>
      </c>
      <c r="D1048" t="s">
        <v>994</v>
      </c>
      <c r="E1048" t="s">
        <v>124</v>
      </c>
    </row>
    <row r="1049" spans="1:5" x14ac:dyDescent="0.2">
      <c r="A1049" s="269">
        <v>45911.616296296299</v>
      </c>
      <c r="B1049" t="s">
        <v>1431</v>
      </c>
      <c r="C1049" t="s">
        <v>26</v>
      </c>
      <c r="D1049" t="s">
        <v>976</v>
      </c>
      <c r="E1049">
        <v>2</v>
      </c>
    </row>
    <row r="1050" spans="1:5" x14ac:dyDescent="0.2">
      <c r="A1050" s="269">
        <v>45911.616412037038</v>
      </c>
      <c r="B1050" t="s">
        <v>1431</v>
      </c>
      <c r="C1050" t="s">
        <v>26</v>
      </c>
      <c r="D1050" t="s">
        <v>1466</v>
      </c>
      <c r="E1050" t="s">
        <v>371</v>
      </c>
    </row>
    <row r="1051" spans="1:5" x14ac:dyDescent="0.2">
      <c r="A1051" s="269">
        <v>45911.616539351853</v>
      </c>
      <c r="B1051" t="s">
        <v>1431</v>
      </c>
      <c r="C1051" t="s">
        <v>26</v>
      </c>
      <c r="D1051" t="s">
        <v>976</v>
      </c>
      <c r="E1051">
        <v>76</v>
      </c>
    </row>
    <row r="1052" spans="1:5" x14ac:dyDescent="0.2">
      <c r="A1052" s="269">
        <v>45911.616770833331</v>
      </c>
      <c r="B1052" t="s">
        <v>1431</v>
      </c>
      <c r="C1052" t="s">
        <v>26</v>
      </c>
      <c r="D1052" t="s">
        <v>1015</v>
      </c>
      <c r="E1052" t="s">
        <v>124</v>
      </c>
    </row>
    <row r="1053" spans="1:5" x14ac:dyDescent="0.2">
      <c r="A1053" s="269">
        <v>45911.616828703707</v>
      </c>
      <c r="B1053" t="s">
        <v>1431</v>
      </c>
      <c r="C1053" t="s">
        <v>26</v>
      </c>
      <c r="D1053" t="s">
        <v>1467</v>
      </c>
      <c r="E1053" t="s">
        <v>124</v>
      </c>
    </row>
    <row r="1054" spans="1:5" x14ac:dyDescent="0.2">
      <c r="A1054" s="269">
        <v>45911.6169212963</v>
      </c>
      <c r="B1054" t="s">
        <v>1431</v>
      </c>
      <c r="C1054" t="s">
        <v>26</v>
      </c>
      <c r="D1054" t="s">
        <v>977</v>
      </c>
      <c r="E1054">
        <v>78</v>
      </c>
    </row>
    <row r="1055" spans="1:5" x14ac:dyDescent="0.2">
      <c r="A1055" s="269">
        <v>45911.6171875</v>
      </c>
      <c r="B1055" t="s">
        <v>1431</v>
      </c>
      <c r="C1055" t="s">
        <v>26</v>
      </c>
      <c r="D1055" t="s">
        <v>923</v>
      </c>
      <c r="E1055">
        <v>91</v>
      </c>
    </row>
    <row r="1056" spans="1:5" x14ac:dyDescent="0.2">
      <c r="A1056" s="269">
        <v>45911.617314814815</v>
      </c>
      <c r="B1056" t="s">
        <v>1431</v>
      </c>
      <c r="C1056" t="s">
        <v>26</v>
      </c>
      <c r="D1056" t="s">
        <v>918</v>
      </c>
      <c r="E1056">
        <v>79</v>
      </c>
    </row>
    <row r="1057" spans="1:5" x14ac:dyDescent="0.2">
      <c r="A1057" s="269">
        <v>45911.617418981485</v>
      </c>
      <c r="B1057" t="s">
        <v>1431</v>
      </c>
      <c r="C1057" t="s">
        <v>26</v>
      </c>
      <c r="D1057" t="s">
        <v>924</v>
      </c>
      <c r="E1057">
        <v>64</v>
      </c>
    </row>
    <row r="1058" spans="1:5" x14ac:dyDescent="0.2">
      <c r="A1058" s="269">
        <v>45911.617511574077</v>
      </c>
      <c r="B1058" t="s">
        <v>1431</v>
      </c>
      <c r="C1058" t="s">
        <v>26</v>
      </c>
      <c r="D1058" t="s">
        <v>1468</v>
      </c>
      <c r="E1058">
        <v>74</v>
      </c>
    </row>
    <row r="1059" spans="1:5" x14ac:dyDescent="0.2">
      <c r="A1059" s="269">
        <v>45911.618391203701</v>
      </c>
      <c r="B1059" t="s">
        <v>1431</v>
      </c>
      <c r="C1059" t="s">
        <v>26</v>
      </c>
      <c r="D1059" t="s">
        <v>1133</v>
      </c>
      <c r="E1059" t="s">
        <v>338</v>
      </c>
    </row>
    <row r="1060" spans="1:5" x14ac:dyDescent="0.2">
      <c r="A1060" s="269">
        <v>45911.618449074071</v>
      </c>
      <c r="B1060" t="s">
        <v>1431</v>
      </c>
      <c r="C1060" t="s">
        <v>26</v>
      </c>
      <c r="D1060" t="s">
        <v>1469</v>
      </c>
      <c r="E1060" t="s">
        <v>89</v>
      </c>
    </row>
    <row r="1061" spans="1:5" x14ac:dyDescent="0.2">
      <c r="A1061" s="269">
        <v>45911.618506944447</v>
      </c>
      <c r="B1061" t="s">
        <v>1431</v>
      </c>
      <c r="C1061" t="s">
        <v>26</v>
      </c>
      <c r="D1061" t="s">
        <v>1134</v>
      </c>
      <c r="E1061" t="s">
        <v>364</v>
      </c>
    </row>
    <row r="1062" spans="1:5" x14ac:dyDescent="0.2">
      <c r="A1062" s="269">
        <v>45911.618564814817</v>
      </c>
      <c r="B1062" t="s">
        <v>1431</v>
      </c>
      <c r="C1062" t="s">
        <v>26</v>
      </c>
      <c r="D1062" t="s">
        <v>1470</v>
      </c>
      <c r="E1062" t="s">
        <v>364</v>
      </c>
    </row>
    <row r="1063" spans="1:5" x14ac:dyDescent="0.2">
      <c r="A1063" s="269">
        <v>45911.61859953704</v>
      </c>
      <c r="B1063" t="s">
        <v>1431</v>
      </c>
      <c r="C1063" t="s">
        <v>26</v>
      </c>
      <c r="D1063" t="s">
        <v>1471</v>
      </c>
      <c r="E1063" t="s">
        <v>364</v>
      </c>
    </row>
    <row r="1064" spans="1:5" x14ac:dyDescent="0.2">
      <c r="A1064" s="269">
        <v>45911.618657407409</v>
      </c>
      <c r="B1064" t="s">
        <v>1431</v>
      </c>
      <c r="C1064" t="s">
        <v>26</v>
      </c>
      <c r="D1064" t="s">
        <v>1472</v>
      </c>
      <c r="E1064" t="s">
        <v>362</v>
      </c>
    </row>
    <row r="1065" spans="1:5" x14ac:dyDescent="0.2">
      <c r="A1065" s="269">
        <v>45911.618692129632</v>
      </c>
      <c r="B1065" t="s">
        <v>1431</v>
      </c>
      <c r="C1065" t="s">
        <v>26</v>
      </c>
      <c r="D1065" t="s">
        <v>1473</v>
      </c>
    </row>
    <row r="1066" spans="1:5" x14ac:dyDescent="0.2">
      <c r="A1066" s="269">
        <v>45911.619016203702</v>
      </c>
      <c r="B1066" t="s">
        <v>1431</v>
      </c>
      <c r="C1066" t="s">
        <v>26</v>
      </c>
      <c r="D1066" t="s">
        <v>1025</v>
      </c>
      <c r="E1066">
        <v>60.33</v>
      </c>
    </row>
    <row r="1067" spans="1:5" x14ac:dyDescent="0.2">
      <c r="A1067" s="269">
        <v>45911.619050925925</v>
      </c>
      <c r="B1067" t="s">
        <v>1431</v>
      </c>
      <c r="C1067" t="s">
        <v>26</v>
      </c>
      <c r="D1067" t="s">
        <v>1474</v>
      </c>
      <c r="E1067">
        <v>60.33</v>
      </c>
    </row>
    <row r="1068" spans="1:5" x14ac:dyDescent="0.2">
      <c r="A1068" s="269">
        <v>45911.619722222225</v>
      </c>
      <c r="B1068" t="s">
        <v>1431</v>
      </c>
      <c r="C1068" t="s">
        <v>26</v>
      </c>
      <c r="D1068" t="s">
        <v>1475</v>
      </c>
      <c r="E1068">
        <v>60.33</v>
      </c>
    </row>
    <row r="1069" spans="1:5" x14ac:dyDescent="0.2">
      <c r="A1069" s="269">
        <v>45911.622858796298</v>
      </c>
      <c r="B1069" t="s">
        <v>1431</v>
      </c>
      <c r="C1069" t="s">
        <v>28</v>
      </c>
      <c r="D1069" t="s">
        <v>1434</v>
      </c>
    </row>
    <row r="1070" spans="1:5" x14ac:dyDescent="0.2">
      <c r="A1070" s="269">
        <v>45911.622858796298</v>
      </c>
      <c r="B1070" t="s">
        <v>1431</v>
      </c>
      <c r="C1070" t="s">
        <v>28</v>
      </c>
      <c r="D1070" t="s">
        <v>1434</v>
      </c>
    </row>
    <row r="1071" spans="1:5" x14ac:dyDescent="0.2">
      <c r="A1071" s="269">
        <v>45911.622881944444</v>
      </c>
      <c r="B1071" t="s">
        <v>1431</v>
      </c>
      <c r="C1071" t="s">
        <v>28</v>
      </c>
      <c r="D1071" t="s">
        <v>1434</v>
      </c>
      <c r="E1071" t="s">
        <v>338</v>
      </c>
    </row>
    <row r="1072" spans="1:5" x14ac:dyDescent="0.2">
      <c r="A1072" s="269">
        <v>45911.622939814813</v>
      </c>
      <c r="B1072" t="s">
        <v>1431</v>
      </c>
      <c r="C1072" t="s">
        <v>28</v>
      </c>
      <c r="D1072" t="s">
        <v>983</v>
      </c>
      <c r="E1072" t="s">
        <v>318</v>
      </c>
    </row>
    <row r="1073" spans="1:5" x14ac:dyDescent="0.2">
      <c r="A1073" s="269">
        <v>45911.622986111113</v>
      </c>
      <c r="B1073" t="s">
        <v>1431</v>
      </c>
      <c r="C1073" t="s">
        <v>28</v>
      </c>
      <c r="D1073" t="s">
        <v>1436</v>
      </c>
      <c r="E1073">
        <v>1000</v>
      </c>
    </row>
    <row r="1074" spans="1:5" x14ac:dyDescent="0.2">
      <c r="A1074" s="269">
        <v>45911.623124999998</v>
      </c>
      <c r="B1074" t="s">
        <v>1431</v>
      </c>
      <c r="C1074" t="s">
        <v>28</v>
      </c>
      <c r="D1074" t="s">
        <v>1191</v>
      </c>
      <c r="E1074" t="s">
        <v>89</v>
      </c>
    </row>
    <row r="1075" spans="1:5" x14ac:dyDescent="0.2">
      <c r="A1075" s="269">
        <v>45911.623159722221</v>
      </c>
      <c r="B1075" t="s">
        <v>1431</v>
      </c>
      <c r="C1075" t="s">
        <v>28</v>
      </c>
      <c r="D1075" t="s">
        <v>1066</v>
      </c>
      <c r="E1075" t="s">
        <v>318</v>
      </c>
    </row>
    <row r="1076" spans="1:5" x14ac:dyDescent="0.2">
      <c r="A1076" s="269">
        <v>45911.623206018521</v>
      </c>
      <c r="B1076" t="s">
        <v>1431</v>
      </c>
      <c r="C1076" t="s">
        <v>28</v>
      </c>
      <c r="D1076" t="s">
        <v>1476</v>
      </c>
      <c r="E1076" t="s">
        <v>362</v>
      </c>
    </row>
    <row r="1077" spans="1:5" x14ac:dyDescent="0.2">
      <c r="A1077" s="269">
        <v>45911.623252314814</v>
      </c>
      <c r="B1077" t="s">
        <v>1431</v>
      </c>
      <c r="C1077" t="s">
        <v>28</v>
      </c>
      <c r="D1077" t="s">
        <v>1477</v>
      </c>
      <c r="E1077" t="s">
        <v>318</v>
      </c>
    </row>
    <row r="1078" spans="1:5" x14ac:dyDescent="0.2">
      <c r="A1078" s="269">
        <v>45911.623310185183</v>
      </c>
      <c r="B1078" t="s">
        <v>1431</v>
      </c>
      <c r="C1078" t="s">
        <v>28</v>
      </c>
      <c r="D1078" t="s">
        <v>977</v>
      </c>
      <c r="E1078">
        <v>1000</v>
      </c>
    </row>
    <row r="1079" spans="1:5" x14ac:dyDescent="0.2">
      <c r="A1079" s="269">
        <v>45911.62332175926</v>
      </c>
      <c r="B1079" t="s">
        <v>1431</v>
      </c>
      <c r="C1079" t="s">
        <v>28</v>
      </c>
      <c r="D1079" t="s">
        <v>923</v>
      </c>
      <c r="E1079">
        <v>1000</v>
      </c>
    </row>
    <row r="1080" spans="1:5" x14ac:dyDescent="0.2">
      <c r="A1080" s="269">
        <v>45911.623333333337</v>
      </c>
      <c r="B1080" t="s">
        <v>1431</v>
      </c>
      <c r="C1080" t="s">
        <v>28</v>
      </c>
      <c r="D1080" t="s">
        <v>918</v>
      </c>
      <c r="E1080">
        <v>1000</v>
      </c>
    </row>
    <row r="1081" spans="1:5" x14ac:dyDescent="0.2">
      <c r="A1081" s="269">
        <v>45911.623402777775</v>
      </c>
      <c r="B1081" t="s">
        <v>1431</v>
      </c>
      <c r="C1081" t="s">
        <v>28</v>
      </c>
      <c r="D1081" t="s">
        <v>1446</v>
      </c>
      <c r="E1081" t="s">
        <v>338</v>
      </c>
    </row>
    <row r="1082" spans="1:5" x14ac:dyDescent="0.2">
      <c r="A1082" s="269">
        <v>45911.623437499999</v>
      </c>
      <c r="B1082" t="s">
        <v>1431</v>
      </c>
      <c r="C1082" t="s">
        <v>28</v>
      </c>
      <c r="D1082" t="s">
        <v>1478</v>
      </c>
      <c r="E1082" t="s">
        <v>89</v>
      </c>
    </row>
    <row r="1083" spans="1:5" x14ac:dyDescent="0.2">
      <c r="A1083" s="269">
        <v>45911.623472222222</v>
      </c>
      <c r="B1083" t="s">
        <v>1431</v>
      </c>
      <c r="C1083" t="s">
        <v>28</v>
      </c>
      <c r="D1083" t="s">
        <v>1479</v>
      </c>
      <c r="E1083" t="s">
        <v>362</v>
      </c>
    </row>
    <row r="1084" spans="1:5" x14ac:dyDescent="0.2">
      <c r="A1084" s="269">
        <v>45911.623657407406</v>
      </c>
      <c r="B1084" t="s">
        <v>1431</v>
      </c>
      <c r="C1084" t="s">
        <v>28</v>
      </c>
      <c r="D1084" t="s">
        <v>1069</v>
      </c>
      <c r="E1084" t="s">
        <v>139</v>
      </c>
    </row>
    <row r="1085" spans="1:5" x14ac:dyDescent="0.2">
      <c r="A1085" s="269">
        <v>45911.623738425929</v>
      </c>
      <c r="B1085" t="s">
        <v>1431</v>
      </c>
      <c r="C1085" t="s">
        <v>28</v>
      </c>
      <c r="D1085" t="s">
        <v>1480</v>
      </c>
      <c r="E1085" t="s">
        <v>139</v>
      </c>
    </row>
    <row r="1086" spans="1:5" x14ac:dyDescent="0.2">
      <c r="A1086" s="269">
        <v>45911.623796296299</v>
      </c>
      <c r="B1086" t="s">
        <v>1431</v>
      </c>
      <c r="C1086" t="s">
        <v>28</v>
      </c>
      <c r="D1086" t="s">
        <v>1481</v>
      </c>
      <c r="E1086">
        <v>1000</v>
      </c>
    </row>
    <row r="1087" spans="1:5" x14ac:dyDescent="0.2">
      <c r="A1087" s="269">
        <v>45911.623819444445</v>
      </c>
      <c r="B1087" t="s">
        <v>1431</v>
      </c>
      <c r="C1087" t="s">
        <v>28</v>
      </c>
      <c r="D1087" t="s">
        <v>1482</v>
      </c>
      <c r="E1087">
        <v>1000</v>
      </c>
    </row>
    <row r="1088" spans="1:5" x14ac:dyDescent="0.2">
      <c r="A1088" s="269">
        <v>45911.623831018522</v>
      </c>
      <c r="B1088" t="s">
        <v>1431</v>
      </c>
      <c r="C1088" t="s">
        <v>28</v>
      </c>
      <c r="D1088" t="s">
        <v>1483</v>
      </c>
      <c r="E1088">
        <v>1000</v>
      </c>
    </row>
    <row r="1089" spans="1:5" x14ac:dyDescent="0.2">
      <c r="A1089" s="269">
        <v>45911.625590277778</v>
      </c>
      <c r="B1089" t="s">
        <v>1431</v>
      </c>
      <c r="C1089" t="s">
        <v>28</v>
      </c>
      <c r="D1089" t="s">
        <v>973</v>
      </c>
      <c r="E1089">
        <v>1000</v>
      </c>
    </row>
    <row r="1090" spans="1:5" x14ac:dyDescent="0.2">
      <c r="A1090" s="269">
        <v>45911.625590277778</v>
      </c>
      <c r="B1090" t="s">
        <v>1431</v>
      </c>
      <c r="C1090" t="s">
        <v>28</v>
      </c>
      <c r="D1090" t="s">
        <v>976</v>
      </c>
      <c r="E1090">
        <v>1000</v>
      </c>
    </row>
    <row r="1091" spans="1:5" x14ac:dyDescent="0.2">
      <c r="A1091" s="269">
        <v>45911.625601851854</v>
      </c>
      <c r="B1091" t="s">
        <v>1431</v>
      </c>
      <c r="C1091" t="s">
        <v>28</v>
      </c>
      <c r="D1091" t="s">
        <v>924</v>
      </c>
      <c r="E1091">
        <v>1000</v>
      </c>
    </row>
    <row r="1092" spans="1:5" x14ac:dyDescent="0.2">
      <c r="A1092" s="269">
        <v>45911.625613425924</v>
      </c>
      <c r="B1092" t="s">
        <v>1431</v>
      </c>
      <c r="C1092" t="s">
        <v>28</v>
      </c>
      <c r="D1092" t="s">
        <v>1468</v>
      </c>
      <c r="E1092">
        <v>1000</v>
      </c>
    </row>
    <row r="1093" spans="1:5" x14ac:dyDescent="0.2">
      <c r="A1093" s="269">
        <v>45911.625625000001</v>
      </c>
      <c r="B1093" t="s">
        <v>1431</v>
      </c>
      <c r="C1093" t="s">
        <v>28</v>
      </c>
      <c r="D1093" t="s">
        <v>981</v>
      </c>
      <c r="E1093">
        <v>1000</v>
      </c>
    </row>
    <row r="1094" spans="1:5" x14ac:dyDescent="0.2">
      <c r="A1094" s="269">
        <v>45911.691863425927</v>
      </c>
      <c r="B1094" t="s">
        <v>1431</v>
      </c>
      <c r="C1094" t="s">
        <v>103</v>
      </c>
      <c r="D1094" t="s">
        <v>1069</v>
      </c>
      <c r="E1094">
        <v>15750</v>
      </c>
    </row>
    <row r="1095" spans="1:5" x14ac:dyDescent="0.2">
      <c r="A1095" s="269">
        <v>45911.692175925928</v>
      </c>
      <c r="B1095" t="s">
        <v>1431</v>
      </c>
      <c r="C1095" t="s">
        <v>103</v>
      </c>
      <c r="D1095" t="s">
        <v>924</v>
      </c>
      <c r="E1095">
        <v>143814.16</v>
      </c>
    </row>
    <row r="1096" spans="1:5" x14ac:dyDescent="0.2">
      <c r="A1096" s="269">
        <v>45911.695416666669</v>
      </c>
      <c r="B1096" t="s">
        <v>1431</v>
      </c>
      <c r="C1096" t="s">
        <v>15</v>
      </c>
      <c r="D1096" t="s">
        <v>1018</v>
      </c>
    </row>
    <row r="1097" spans="1:5" x14ac:dyDescent="0.2">
      <c r="A1097" s="269">
        <v>45911.825092592589</v>
      </c>
      <c r="B1097" t="s">
        <v>1431</v>
      </c>
      <c r="C1097" t="s">
        <v>597</v>
      </c>
      <c r="D1097" t="s">
        <v>1484</v>
      </c>
      <c r="E1097" t="s">
        <v>39</v>
      </c>
    </row>
    <row r="1098" spans="1:5" x14ac:dyDescent="0.2">
      <c r="A1098" s="269">
        <v>45911.825462962966</v>
      </c>
      <c r="B1098" t="s">
        <v>1431</v>
      </c>
      <c r="C1098" t="s">
        <v>26</v>
      </c>
      <c r="D1098" t="s">
        <v>1478</v>
      </c>
    </row>
    <row r="1099" spans="1:5" x14ac:dyDescent="0.2">
      <c r="A1099" s="269">
        <v>45911.825474537036</v>
      </c>
      <c r="B1099" t="s">
        <v>1431</v>
      </c>
      <c r="C1099" t="s">
        <v>26</v>
      </c>
      <c r="D1099" t="s">
        <v>1446</v>
      </c>
    </row>
    <row r="1100" spans="1:5" x14ac:dyDescent="0.2">
      <c r="A1100" s="269">
        <v>45911.825486111113</v>
      </c>
      <c r="B1100" t="s">
        <v>1431</v>
      </c>
      <c r="C1100" t="s">
        <v>26</v>
      </c>
      <c r="D1100" t="s">
        <v>1069</v>
      </c>
    </row>
    <row r="1101" spans="1:5" x14ac:dyDescent="0.2">
      <c r="A1101" s="269">
        <v>45911.825486111113</v>
      </c>
      <c r="B1101" t="s">
        <v>1431</v>
      </c>
      <c r="C1101" t="s">
        <v>26</v>
      </c>
      <c r="D1101" t="s">
        <v>1069</v>
      </c>
    </row>
    <row r="1102" spans="1:5" x14ac:dyDescent="0.2">
      <c r="A1102" s="269">
        <v>45911.825509259259</v>
      </c>
      <c r="B1102" t="s">
        <v>1431</v>
      </c>
      <c r="C1102" t="s">
        <v>26</v>
      </c>
      <c r="D1102" t="s">
        <v>1449</v>
      </c>
    </row>
    <row r="1103" spans="1:5" x14ac:dyDescent="0.2">
      <c r="A1103" s="269">
        <v>45911.825509259259</v>
      </c>
      <c r="B1103" t="s">
        <v>1431</v>
      </c>
      <c r="C1103" t="s">
        <v>26</v>
      </c>
      <c r="D1103" t="s">
        <v>924</v>
      </c>
    </row>
    <row r="1104" spans="1:5" x14ac:dyDescent="0.2">
      <c r="A1104" s="269">
        <v>45911.825520833336</v>
      </c>
      <c r="B1104" t="s">
        <v>1431</v>
      </c>
      <c r="C1104" t="s">
        <v>26</v>
      </c>
      <c r="D1104" t="s">
        <v>1468</v>
      </c>
    </row>
    <row r="1105" spans="1:4" x14ac:dyDescent="0.2">
      <c r="A1105" s="269">
        <v>45911.825706018521</v>
      </c>
      <c r="B1105" t="s">
        <v>1431</v>
      </c>
      <c r="C1105" t="s">
        <v>103</v>
      </c>
      <c r="D1105" t="s">
        <v>1478</v>
      </c>
    </row>
    <row r="1106" spans="1:4" x14ac:dyDescent="0.2">
      <c r="A1106" s="269">
        <v>45911.82571759259</v>
      </c>
      <c r="B1106" t="s">
        <v>1431</v>
      </c>
      <c r="C1106" t="s">
        <v>103</v>
      </c>
      <c r="D1106" t="s">
        <v>1069</v>
      </c>
    </row>
    <row r="1107" spans="1:4" x14ac:dyDescent="0.2">
      <c r="A1107" s="269">
        <v>45911.825729166667</v>
      </c>
      <c r="B1107" t="s">
        <v>1431</v>
      </c>
      <c r="C1107" t="s">
        <v>103</v>
      </c>
      <c r="D1107" t="s">
        <v>1449</v>
      </c>
    </row>
    <row r="1108" spans="1:4" x14ac:dyDescent="0.2">
      <c r="A1108" s="269">
        <v>45911.825740740744</v>
      </c>
      <c r="B1108" t="s">
        <v>1431</v>
      </c>
      <c r="C1108" t="s">
        <v>103</v>
      </c>
      <c r="D1108" t="s">
        <v>1446</v>
      </c>
    </row>
    <row r="1109" spans="1:4" x14ac:dyDescent="0.2">
      <c r="A1109" s="269">
        <v>45911.825752314813</v>
      </c>
      <c r="B1109" t="s">
        <v>1431</v>
      </c>
      <c r="C1109" t="s">
        <v>103</v>
      </c>
      <c r="D1109" t="s">
        <v>924</v>
      </c>
    </row>
    <row r="1110" spans="1:4" x14ac:dyDescent="0.2">
      <c r="A1110" s="269">
        <v>45911.82576388889</v>
      </c>
      <c r="B1110" t="s">
        <v>1431</v>
      </c>
      <c r="C1110" t="s">
        <v>103</v>
      </c>
      <c r="D1110" t="s">
        <v>1468</v>
      </c>
    </row>
    <row r="1111" spans="1:4" x14ac:dyDescent="0.2">
      <c r="A1111" s="269">
        <v>45911.825775462959</v>
      </c>
      <c r="B1111" t="s">
        <v>1431</v>
      </c>
      <c r="C1111" t="s">
        <v>103</v>
      </c>
      <c r="D1111" t="s">
        <v>1485</v>
      </c>
    </row>
    <row r="1112" spans="1:4" x14ac:dyDescent="0.2">
      <c r="A1112" s="269">
        <v>45911.825775462959</v>
      </c>
      <c r="B1112" t="s">
        <v>1431</v>
      </c>
      <c r="C1112" t="s">
        <v>103</v>
      </c>
      <c r="D1112" t="s">
        <v>1486</v>
      </c>
    </row>
    <row r="1113" spans="1:4" x14ac:dyDescent="0.2">
      <c r="A1113" s="269">
        <v>45911.825902777775</v>
      </c>
      <c r="B1113" t="s">
        <v>1431</v>
      </c>
      <c r="C1113" t="s">
        <v>58</v>
      </c>
      <c r="D1113" t="s">
        <v>1437</v>
      </c>
    </row>
    <row r="1114" spans="1:4" x14ac:dyDescent="0.2">
      <c r="A1114" s="269">
        <v>45911.825925925928</v>
      </c>
      <c r="B1114" t="s">
        <v>1431</v>
      </c>
      <c r="C1114" t="s">
        <v>58</v>
      </c>
      <c r="D1114" t="s">
        <v>1438</v>
      </c>
    </row>
    <row r="1115" spans="1:4" x14ac:dyDescent="0.2">
      <c r="A1115" s="269">
        <v>45911.825937499998</v>
      </c>
      <c r="B1115" t="s">
        <v>1431</v>
      </c>
      <c r="C1115" t="s">
        <v>58</v>
      </c>
      <c r="D1115" t="s">
        <v>1068</v>
      </c>
    </row>
    <row r="1116" spans="1:4" x14ac:dyDescent="0.2">
      <c r="A1116" s="269">
        <v>45911.825949074075</v>
      </c>
      <c r="B1116" t="s">
        <v>1431</v>
      </c>
      <c r="C1116" t="s">
        <v>58</v>
      </c>
      <c r="D1116" t="s">
        <v>1445</v>
      </c>
    </row>
    <row r="1117" spans="1:4" x14ac:dyDescent="0.2">
      <c r="A1117" s="269">
        <v>45911.825960648152</v>
      </c>
      <c r="B1117" t="s">
        <v>1431</v>
      </c>
      <c r="C1117" t="s">
        <v>58</v>
      </c>
      <c r="D1117" t="s">
        <v>925</v>
      </c>
    </row>
    <row r="1118" spans="1:4" x14ac:dyDescent="0.2">
      <c r="A1118" s="269">
        <v>45911.826111111113</v>
      </c>
      <c r="B1118" t="s">
        <v>1431</v>
      </c>
      <c r="C1118" t="s">
        <v>58</v>
      </c>
      <c r="D1118" t="s">
        <v>1487</v>
      </c>
    </row>
    <row r="1119" spans="1:4" x14ac:dyDescent="0.2">
      <c r="A1119" s="269">
        <v>45911.826122685183</v>
      </c>
      <c r="B1119" t="s">
        <v>1431</v>
      </c>
      <c r="C1119" t="s">
        <v>58</v>
      </c>
      <c r="D1119" t="s">
        <v>677</v>
      </c>
    </row>
    <row r="1120" spans="1:4" x14ac:dyDescent="0.2">
      <c r="A1120" s="269">
        <v>45911.826122685183</v>
      </c>
      <c r="B1120" t="s">
        <v>1431</v>
      </c>
      <c r="C1120" t="s">
        <v>58</v>
      </c>
      <c r="D1120" t="s">
        <v>1488</v>
      </c>
    </row>
    <row r="1121" spans="1:5" x14ac:dyDescent="0.2">
      <c r="A1121" s="269">
        <v>45911.82613425926</v>
      </c>
      <c r="B1121" t="s">
        <v>1431</v>
      </c>
      <c r="C1121" t="s">
        <v>58</v>
      </c>
      <c r="D1121" t="s">
        <v>1489</v>
      </c>
    </row>
    <row r="1122" spans="1:5" x14ac:dyDescent="0.2">
      <c r="A1122" s="269">
        <v>45911.826145833336</v>
      </c>
      <c r="B1122" t="s">
        <v>1431</v>
      </c>
      <c r="C1122" t="s">
        <v>58</v>
      </c>
      <c r="D1122" t="s">
        <v>1490</v>
      </c>
    </row>
    <row r="1123" spans="1:5" x14ac:dyDescent="0.2">
      <c r="A1123" s="269">
        <v>45911.826168981483</v>
      </c>
      <c r="B1123" t="s">
        <v>1431</v>
      </c>
      <c r="C1123" t="s">
        <v>58</v>
      </c>
      <c r="D1123" t="s">
        <v>1491</v>
      </c>
    </row>
    <row r="1124" spans="1:5" x14ac:dyDescent="0.2">
      <c r="A1124" s="269">
        <v>45911.826168981483</v>
      </c>
      <c r="B1124" t="s">
        <v>1431</v>
      </c>
      <c r="C1124" t="s">
        <v>58</v>
      </c>
      <c r="D1124" t="s">
        <v>1492</v>
      </c>
    </row>
    <row r="1125" spans="1:5" x14ac:dyDescent="0.2">
      <c r="A1125" s="269">
        <v>45911.826180555552</v>
      </c>
      <c r="B1125" t="s">
        <v>1431</v>
      </c>
      <c r="C1125" t="s">
        <v>58</v>
      </c>
      <c r="D1125" t="s">
        <v>1493</v>
      </c>
    </row>
    <row r="1126" spans="1:5" x14ac:dyDescent="0.2">
      <c r="A1126" s="269">
        <v>45911.826192129629</v>
      </c>
      <c r="B1126" t="s">
        <v>1431</v>
      </c>
      <c r="C1126" t="s">
        <v>58</v>
      </c>
      <c r="D1126" t="s">
        <v>1494</v>
      </c>
    </row>
    <row r="1127" spans="1:5" x14ac:dyDescent="0.2">
      <c r="A1127" s="269">
        <v>45911.826203703706</v>
      </c>
      <c r="B1127" t="s">
        <v>1431</v>
      </c>
      <c r="C1127" t="s">
        <v>58</v>
      </c>
      <c r="D1127" t="s">
        <v>1495</v>
      </c>
    </row>
    <row r="1128" spans="1:5" x14ac:dyDescent="0.2">
      <c r="A1128" s="269">
        <v>45911.826296296298</v>
      </c>
      <c r="B1128" t="s">
        <v>1431</v>
      </c>
      <c r="C1128" t="s">
        <v>58</v>
      </c>
      <c r="D1128" t="s">
        <v>1496</v>
      </c>
      <c r="E1128" t="s">
        <v>374</v>
      </c>
    </row>
    <row r="1129" spans="1:5" x14ac:dyDescent="0.2">
      <c r="A1129" s="269">
        <v>45911.826412037037</v>
      </c>
      <c r="B1129" t="s">
        <v>1431</v>
      </c>
      <c r="C1129" t="s">
        <v>58</v>
      </c>
      <c r="D1129" t="s">
        <v>1497</v>
      </c>
      <c r="E1129" t="s">
        <v>338</v>
      </c>
    </row>
    <row r="1130" spans="1:5" x14ac:dyDescent="0.2">
      <c r="A1130" s="269">
        <v>45911.826481481483</v>
      </c>
      <c r="B1130" t="s">
        <v>1431</v>
      </c>
      <c r="C1130" t="s">
        <v>58</v>
      </c>
      <c r="D1130" t="s">
        <v>1498</v>
      </c>
      <c r="E1130">
        <v>193.19</v>
      </c>
    </row>
    <row r="1131" spans="1:5" x14ac:dyDescent="0.2">
      <c r="A1131" s="269">
        <v>45911.826516203706</v>
      </c>
      <c r="B1131" t="s">
        <v>1431</v>
      </c>
      <c r="C1131" t="s">
        <v>58</v>
      </c>
      <c r="D1131" t="s">
        <v>1499</v>
      </c>
      <c r="E1131">
        <v>1845</v>
      </c>
    </row>
    <row r="1132" spans="1:5" x14ac:dyDescent="0.2">
      <c r="A1132" s="269">
        <v>45911.826585648145</v>
      </c>
      <c r="B1132" t="s">
        <v>1431</v>
      </c>
      <c r="C1132" t="s">
        <v>58</v>
      </c>
      <c r="D1132" t="s">
        <v>1500</v>
      </c>
      <c r="E1132" t="s">
        <v>343</v>
      </c>
    </row>
    <row r="1133" spans="1:5" x14ac:dyDescent="0.2">
      <c r="A1133" s="269">
        <v>45911.826643518521</v>
      </c>
      <c r="B1133" t="s">
        <v>1431</v>
      </c>
      <c r="C1133" t="s">
        <v>58</v>
      </c>
      <c r="D1133" t="s">
        <v>1501</v>
      </c>
      <c r="E1133">
        <v>102.56</v>
      </c>
    </row>
    <row r="1134" spans="1:5" x14ac:dyDescent="0.2">
      <c r="A1134" s="269">
        <v>45911.826678240737</v>
      </c>
      <c r="B1134" t="s">
        <v>1431</v>
      </c>
      <c r="C1134" t="s">
        <v>58</v>
      </c>
      <c r="D1134" t="s">
        <v>1502</v>
      </c>
      <c r="E1134">
        <v>186.4</v>
      </c>
    </row>
    <row r="1135" spans="1:5" x14ac:dyDescent="0.2">
      <c r="A1135" s="269">
        <v>45911.82671296296</v>
      </c>
      <c r="B1135" t="s">
        <v>1431</v>
      </c>
      <c r="C1135" t="s">
        <v>58</v>
      </c>
      <c r="D1135" t="s">
        <v>1503</v>
      </c>
    </row>
    <row r="1136" spans="1:5" x14ac:dyDescent="0.2">
      <c r="A1136" s="269">
        <v>45911.826724537037</v>
      </c>
      <c r="B1136" t="s">
        <v>1431</v>
      </c>
      <c r="C1136" t="s">
        <v>58</v>
      </c>
      <c r="D1136" t="s">
        <v>1504</v>
      </c>
    </row>
    <row r="1137" spans="1:5" x14ac:dyDescent="0.2">
      <c r="A1137" s="269">
        <v>45911.82675925926</v>
      </c>
      <c r="B1137" t="s">
        <v>1431</v>
      </c>
      <c r="C1137" t="s">
        <v>58</v>
      </c>
      <c r="D1137" t="s">
        <v>1505</v>
      </c>
    </row>
    <row r="1138" spans="1:5" x14ac:dyDescent="0.2">
      <c r="A1138" s="269">
        <v>45911.894097222219</v>
      </c>
      <c r="B1138" t="s">
        <v>1431</v>
      </c>
      <c r="C1138" t="s">
        <v>597</v>
      </c>
      <c r="D1138" t="s">
        <v>1506</v>
      </c>
      <c r="E1138" t="s">
        <v>39</v>
      </c>
    </row>
    <row r="1139" spans="1:5" x14ac:dyDescent="0.2">
      <c r="A1139" s="269">
        <v>45911.894282407404</v>
      </c>
      <c r="B1139" t="s">
        <v>1431</v>
      </c>
      <c r="C1139" t="s">
        <v>15</v>
      </c>
      <c r="D1139" t="s">
        <v>1191</v>
      </c>
      <c r="E1139" t="s">
        <v>1507</v>
      </c>
    </row>
    <row r="1140" spans="1:5" x14ac:dyDescent="0.2">
      <c r="A1140" s="269">
        <v>45911.894328703704</v>
      </c>
      <c r="B1140" t="s">
        <v>1431</v>
      </c>
      <c r="C1140" t="s">
        <v>15</v>
      </c>
      <c r="D1140" t="s">
        <v>1066</v>
      </c>
      <c r="E1140">
        <v>2</v>
      </c>
    </row>
    <row r="1141" spans="1:5" x14ac:dyDescent="0.2">
      <c r="A1141" s="269">
        <v>45911.89435185185</v>
      </c>
      <c r="B1141" t="s">
        <v>1431</v>
      </c>
      <c r="C1141" t="s">
        <v>15</v>
      </c>
      <c r="D1141" t="s">
        <v>1010</v>
      </c>
      <c r="E1141" t="s">
        <v>194</v>
      </c>
    </row>
    <row r="1142" spans="1:5" x14ac:dyDescent="0.2">
      <c r="A1142" s="269">
        <v>45911.894386574073</v>
      </c>
      <c r="B1142" t="s">
        <v>1431</v>
      </c>
      <c r="C1142" t="s">
        <v>15</v>
      </c>
      <c r="D1142" t="s">
        <v>973</v>
      </c>
      <c r="E1142" t="s">
        <v>380</v>
      </c>
    </row>
    <row r="1143" spans="1:5" x14ac:dyDescent="0.2">
      <c r="A1143" s="269">
        <v>45911.894432870373</v>
      </c>
      <c r="B1143" t="s">
        <v>1431</v>
      </c>
      <c r="C1143" t="s">
        <v>15</v>
      </c>
      <c r="D1143" t="s">
        <v>926</v>
      </c>
      <c r="E1143" t="s">
        <v>352</v>
      </c>
    </row>
    <row r="1144" spans="1:5" x14ac:dyDescent="0.2">
      <c r="A1144" s="269">
        <v>45911.894490740742</v>
      </c>
      <c r="B1144" t="s">
        <v>1431</v>
      </c>
      <c r="C1144" t="s">
        <v>15</v>
      </c>
      <c r="D1144" t="s">
        <v>1469</v>
      </c>
      <c r="E1144" t="s">
        <v>371</v>
      </c>
    </row>
    <row r="1145" spans="1:5" x14ac:dyDescent="0.2">
      <c r="A1145" s="269">
        <v>45911.894525462965</v>
      </c>
      <c r="B1145" t="s">
        <v>1431</v>
      </c>
      <c r="C1145" t="s">
        <v>15</v>
      </c>
      <c r="D1145" t="s">
        <v>972</v>
      </c>
      <c r="E1145">
        <v>2.8</v>
      </c>
    </row>
    <row r="1146" spans="1:5" x14ac:dyDescent="0.2">
      <c r="A1146" s="269">
        <v>45911.894814814812</v>
      </c>
      <c r="B1146" t="s">
        <v>1431</v>
      </c>
      <c r="C1146" t="s">
        <v>26</v>
      </c>
      <c r="D1146" t="s">
        <v>1508</v>
      </c>
      <c r="E1146">
        <v>52</v>
      </c>
    </row>
    <row r="1147" spans="1:5" x14ac:dyDescent="0.2">
      <c r="A1147" s="269">
        <v>45915.758692129632</v>
      </c>
      <c r="B1147" t="s">
        <v>596</v>
      </c>
      <c r="C1147" t="s">
        <v>597</v>
      </c>
      <c r="D1147" t="s">
        <v>1506</v>
      </c>
      <c r="E1147" t="s">
        <v>39</v>
      </c>
    </row>
    <row r="1148" spans="1:5" x14ac:dyDescent="0.2">
      <c r="A1148" s="269">
        <v>45915.758946759262</v>
      </c>
      <c r="B1148" t="s">
        <v>596</v>
      </c>
      <c r="C1148" t="s">
        <v>27</v>
      </c>
      <c r="D1148" t="s">
        <v>1509</v>
      </c>
    </row>
    <row r="1149" spans="1:5" x14ac:dyDescent="0.2">
      <c r="A1149" s="269">
        <v>45915.758981481478</v>
      </c>
      <c r="B1149" t="s">
        <v>596</v>
      </c>
      <c r="C1149" t="s">
        <v>27</v>
      </c>
      <c r="D1149" t="s">
        <v>1510</v>
      </c>
      <c r="E1149">
        <v>1</v>
      </c>
    </row>
    <row r="1150" spans="1:5" x14ac:dyDescent="0.2">
      <c r="A1150" s="269">
        <v>45915.759004629632</v>
      </c>
      <c r="B1150" t="s">
        <v>596</v>
      </c>
      <c r="C1150" t="s">
        <v>27</v>
      </c>
      <c r="D1150" t="s">
        <v>1511</v>
      </c>
    </row>
    <row r="1151" spans="1:5" x14ac:dyDescent="0.2">
      <c r="A1151" s="269">
        <v>45915.759074074071</v>
      </c>
      <c r="B1151" t="s">
        <v>596</v>
      </c>
      <c r="C1151" t="s">
        <v>27</v>
      </c>
      <c r="D1151" t="s">
        <v>1512</v>
      </c>
      <c r="E1151"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2.1b Fuel - Vehicles</vt:lpstr>
      <vt:lpstr>2.1a Fuel - Buildings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2025-09-15T10:13:06Z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