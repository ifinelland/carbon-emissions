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North Luzon Regional Office/"/>
    </mc:Choice>
  </mc:AlternateContent>
  <xr:revisionPtr revIDLastSave="0" documentId="13_ncr:1_{EF6E6AF7-805A-6248-953F-DE5B33D45D93}"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780" r:id="rId19"/>
    <pivotCache cacheId="781" r:id="rId20"/>
    <pivotCache cacheId="782" r:id="rId21"/>
    <pivotCache cacheId="783" r:id="rId22"/>
    <pivotCache cacheId="784" r:id="rId23"/>
    <pivotCache cacheId="792"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8" i="34" l="1"/>
  <c r="N9" i="34"/>
  <c r="N10" i="34"/>
  <c r="N11"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0" i="40"/>
  <c r="I11" i="40" s="1"/>
  <c r="I8" i="40"/>
  <c r="I9"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P15" i="41" s="1"/>
  <c r="P16" i="41" s="1"/>
  <c r="P17" i="41" s="1"/>
  <c r="P18" i="41" s="1"/>
  <c r="P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c r="I13" i="34" s="1"/>
  <c r="I14" i="34" s="1"/>
  <c r="I15" i="34" s="1"/>
  <c r="I16" i="34" s="1"/>
  <c r="I17" i="34" s="1"/>
  <c r="I18" i="34" s="1"/>
  <c r="I7" i="34"/>
  <c r="I18" i="39"/>
  <c r="I19" i="39"/>
  <c r="I20" i="39" s="1"/>
  <c r="I21" i="39" s="1"/>
  <c r="I22" i="39" s="1"/>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F13" i="37" l="1"/>
  <c r="G13" i="37"/>
  <c r="D13" i="37"/>
  <c r="E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2" i="34" l="1"/>
  <c r="E12" i="34"/>
  <c r="F12" i="34"/>
  <c r="G12" i="34"/>
  <c r="D14" i="34"/>
  <c r="E14" i="34"/>
  <c r="G14" i="34"/>
  <c r="F14" i="34"/>
  <c r="F13" i="34"/>
  <c r="D13" i="34"/>
  <c r="G13" i="34"/>
  <c r="E13" i="34"/>
  <c r="F11" i="34"/>
  <c r="G11" i="34"/>
  <c r="E11" i="34"/>
  <c r="D11" i="34"/>
  <c r="D8" i="37" s="1" a="1"/>
  <c r="D8" i="37" s="1"/>
  <c r="D15" i="34"/>
  <c r="G15" i="34"/>
  <c r="E15" i="34"/>
  <c r="F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G8" i="37" l="1"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<sst xmlns="http://schemas.openxmlformats.org/spreadsheetml/2006/main" count="6937" uniqueCount="1568">
  <si>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</si>
  <si>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</si>
  <si>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</si>
  <si>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</si>
  <si>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</si>
  <si>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</si>
  <si>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</si>
  <si>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</si>
  <si>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</si>
  <si>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</si>
  <si>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</si>
  <si>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</si>
  <si>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</si>
  <si>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</si>
  <si>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</si>
  <si>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</si>
  <si>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</si>
  <si>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</si>
  <si>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</si>
  <si>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</si>
  <si>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</si>
  <si>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</si>
  <si>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</si>
  <si>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</si>
  <si>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</si>
  <si>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</si>
  <si>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</si>
  <si>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</si>
  <si>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</si>
  <si>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</si>
  <si>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</si>
  <si>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</si>
  <si>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</si>
  <si>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</si>
  <si>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</si>
  <si>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</si>
  <si>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</si>
  <si>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</si>
  <si>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</si>
  <si>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</si>
  <si>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</si>
  <si>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</si>
  <si>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</si>
  <si>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</si>
  <si>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</si>
  <si>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</si>
  <si>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</si>
  <si>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</si>
  <si>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</si>
  <si>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</si>
  <si>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</si>
  <si>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</si>
  <si>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</si>
  <si>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</si>
  <si>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</si>
  <si>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</si>
  <si>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</si>
  <si>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</si>
  <si>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</si>
  <si>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</si>
  <si>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</si>
  <si>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</si>
  <si>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</si>
  <si>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</si>
  <si>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</si>
  <si>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</si>
  <si>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</si>
  <si>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</si>
  <si>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</si>
  <si>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</si>
  <si>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</si>
  <si>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</si>
  <si>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</si>
  <si>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</si>
  <si>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</si>
  <si>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</si>
  <si>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</si>
  <si>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</si>
  <si>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</si>
  <si>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</si>
  <si>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</si>
  <si>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</si>
  <si>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</si>
  <si>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</si>
  <si>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</si>
  <si>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</si>
  <si>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</si>
  <si>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</si>
  <si>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</si>
  <si>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</si>
  <si>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</si>
  <si>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</si>
  <si>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</si>
  <si>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</si>
  <si>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</si>
  <si>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</si>
  <si>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</si>
  <si>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</si>
  <si>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</si>
  <si>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</si>
  <si>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</si>
  <si>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</si>
  <si>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</si>
  <si>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</si>
  <si>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</si>
  <si>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</si>
  <si>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</si>
  <si>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</si>
  <si>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</si>
  <si>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</si>
  <si>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</si>
  <si>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</si>
  <si>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</si>
  <si>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</si>
  <si>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</si>
  <si>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</si>
  <si>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</si>
  <si>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</si>
  <si>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</si>
  <si>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</si>
  <si>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</si>
  <si>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</si>
  <si>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</si>
  <si>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</si>
  <si>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</si>
  <si>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</si>
  <si>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</si>
  <si>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</si>
  <si>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</si>
  <si>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</si>
  <si>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</si>
  <si>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</si>
  <si>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</si>
  <si>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</si>
  <si>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</si>
  <si>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</si>
  <si>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</si>
  <si>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</si>
  <si>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</si>
  <si>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</si>
  <si>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</si>
  <si>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</si>
  <si>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</si>
  <si>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</si>
  <si>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</si>
  <si>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</si>
  <si>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</si>
  <si>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</si>
  <si>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</si>
  <si>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</si>
  <si>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</si>
  <si>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</si>
  <si>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</si>
  <si>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</si>
  <si>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</si>
  <si>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</si>
  <si>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</si>
  <si>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</si>
  <si>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</si>
  <si>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</si>
  <si>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</si>
  <si>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</si>
  <si>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</si>
  <si>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</si>
  <si>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</si>
  <si>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</si>
  <si>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</si>
  <si>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</si>
  <si>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</si>
  <si>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</si>
  <si>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</si>
  <si>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</si>
  <si>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</si>
  <si>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</si>
  <si>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</si>
  <si>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</si>
  <si>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</si>
  <si>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</si>
  <si>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</si>
  <si>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</si>
  <si>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</si>
  <si>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</si>
  <si>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</si>
  <si>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</si>
  <si>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</si>
  <si>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</si>
  <si>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</si>
  <si>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</si>
  <si>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</si>
  <si>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</si>
  <si>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</si>
  <si>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</si>
  <si>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</si>
  <si>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</si>
  <si>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</si>
  <si>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</si>
  <si>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</si>
  <si>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</si>
  <si>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</si>
  <si>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</si>
  <si>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</si>
  <si>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</si>
  <si>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</si>
  <si>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</si>
  <si>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</si>
  <si>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</si>
  <si>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</si>
  <si>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</si>
  <si>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</si>
  <si>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</si>
  <si>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</si>
  <si>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</si>
  <si>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</si>
  <si>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</si>
  <si>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</si>
  <si>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</si>
  <si>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</si>
  <si>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</si>
  <si>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</si>
  <si>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</si>
  <si>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</si>
  <si>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</si>
  <si>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</si>
  <si>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</si>
  <si>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</si>
  <si>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</si>
  <si>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</si>
  <si>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</si>
  <si>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</si>
  <si>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</si>
  <si>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</si>
  <si>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</si>
  <si>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</si>
  <si>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</si>
  <si>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</si>
  <si>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</si>
  <si>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</si>
  <si>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</si>
  <si>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</si>
  <si>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</si>
  <si>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</si>
  <si>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</si>
  <si>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</si>
  <si>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</si>
  <si>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</si>
  <si>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</si>
  <si>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</si>
  <si>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</si>
  <si>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</si>
  <si>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</si>
  <si>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</si>
  <si>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</si>
  <si>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</si>
  <si>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</si>
  <si>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</si>
  <si>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</si>
  <si>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</si>
  <si>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</si>
  <si>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</si>
  <si>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</si>
  <si>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</si>
  <si>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</si>
  <si>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</si>
  <si>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</si>
  <si>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</si>
  <si>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</si>
  <si>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</si>
  <si>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</si>
  <si>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</si>
  <si>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</si>
  <si>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</si>
  <si>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</si>
  <si>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</si>
  <si>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</si>
  <si>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</si>
  <si>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</si>
  <si>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</si>
  <si>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</si>
  <si>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</si>
  <si>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</si>
  <si>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</si>
  <si>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</si>
  <si>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</si>
  <si>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</si>
  <si>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</si>
  <si>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</si>
  <si>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</si>
  <si>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</si>
  <si>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</si>
  <si>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</si>
  <si>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</si>
  <si>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</si>
  <si>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</si>
  <si>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</si>
  <si>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</si>
  <si>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</si>
  <si>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</si>
  <si>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</si>
  <si>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</si>
  <si>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</si>
  <si>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</si>
  <si>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</si>
  <si>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</si>
  <si>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</si>
  <si>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</si>
  <si>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</si>
  <si>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</si>
  <si>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</si>
  <si>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</si>
  <si>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</si>
  <si>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</si>
  <si>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</si>
  <si>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</si>
  <si>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</si>
  <si>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</si>
  <si>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</si>
  <si>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</si>
  <si>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</si>
  <si>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</si>
  <si>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</si>
  <si>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</si>
  <si>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</si>
  <si>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</si>
  <si>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</si>
  <si>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</si>
  <si>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</si>
  <si>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</si>
  <si>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</si>
  <si>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</si>
  <si>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</si>
  <si>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</si>
  <si>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</si>
  <si>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</si>
  <si>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</si>
  <si>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</si>
  <si>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</si>
  <si>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</si>
  <si>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</si>
  <si>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</si>
  <si>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</si>
  <si>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</si>
  <si>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</si>
  <si>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</si>
  <si>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</si>
  <si>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</si>
  <si>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</si>
  <si>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</si>
  <si>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</si>
  <si>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</si>
  <si>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</si>
  <si>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</si>
  <si>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</si>
  <si>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</si>
  <si>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</si>
  <si>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</si>
  <si>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</si>
  <si>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</si>
  <si>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</si>
  <si>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</si>
  <si>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</si>
  <si>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</si>
  <si>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</si>
  <si>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</si>
  <si>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</si>
  <si>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</si>
  <si>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</si>
  <si>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</si>
  <si>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</si>
  <si>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</si>
  <si>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</si>
  <si>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</si>
  <si>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</si>
  <si>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</si>
  <si>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</si>
  <si>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</si>
  <si>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</si>
  <si>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</si>
  <si>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</si>
  <si>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</si>
  <si>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</si>
  <si>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</si>
  <si>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</si>
  <si>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</si>
  <si>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</si>
  <si>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</si>
  <si>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</si>
  <si>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</si>
  <si>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</si>
  <si>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</si>
  <si>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</si>
  <si>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</si>
  <si>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</si>
  <si>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</si>
  <si>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</si>
  <si>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</si>
  <si>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</si>
  <si>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</si>
  <si>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</si>
  <si>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</si>
  <si>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</si>
  <si>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</si>
  <si>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</si>
  <si>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</si>
  <si>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</si>
  <si>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</si>
  <si>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</si>
  <si>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</si>
  <si>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</si>
  <si>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</si>
  <si>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</si>
  <si>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</si>
  <si>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</si>
  <si>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</si>
  <si>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</si>
  <si>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</si>
  <si>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</si>
  <si>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</si>
  <si>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</si>
  <si>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</si>
  <si>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</si>
  <si>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</si>
  <si>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</si>
  <si>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</si>
  <si>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</si>
  <si>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</si>
  <si>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</si>
  <si>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</si>
  <si>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</si>
  <si>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</si>
  <si>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</si>
  <si>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</si>
  <si>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</si>
  <si>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</si>
  <si>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</si>
  <si>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</si>
  <si>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</si>
  <si>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</si>
  <si>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</si>
  <si>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</si>
  <si>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</si>
  <si>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</si>
  <si>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</si>
  <si>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</si>
  <si>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</si>
  <si>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</si>
  <si>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</si>
  <si>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</si>
  <si>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</si>
  <si>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</si>
  <si>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</si>
  <si>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</si>
  <si>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</si>
  <si>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</si>
  <si>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</si>
  <si>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</si>
  <si>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</si>
  <si>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</si>
  <si>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</si>
  <si>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</si>
  <si>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</si>
  <si>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</si>
  <si>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</si>
  <si>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</si>
  <si>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</si>
  <si>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</si>
  <si>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</si>
  <si>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</si>
  <si>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</si>
  <si>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</si>
  <si>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</si>
  <si>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</si>
  <si>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</si>
  <si>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</si>
  <si>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</si>
  <si>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</si>
  <si>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</si>
  <si>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</si>
  <si>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</si>
  <si>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</si>
  <si>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</si>
  <si>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</si>
  <si>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</si>
  <si>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</si>
  <si>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</si>
  <si>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</si>
  <si>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</si>
  <si>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</si>
  <si>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</si>
  <si>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</si>
  <si>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</si>
  <si>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</si>
  <si>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</si>
  <si>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</si>
  <si>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</si>
  <si>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</si>
  <si>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</si>
  <si>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</si>
  <si>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</si>
  <si>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</si>
  <si>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</si>
  <si>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</si>
  <si>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</si>
  <si>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</si>
  <si>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</si>
  <si>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</si>
  <si>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</si>
  <si>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</si>
  <si>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</si>
  <si>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</si>
  <si>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</si>
  <si>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</si>
  <si>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</si>
  <si>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</si>
  <si>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</si>
  <si>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</si>
  <si>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</si>
  <si>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</si>
  <si>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</si>
  <si>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</si>
  <si>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</si>
  <si>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</si>
  <si>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</si>
  <si>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</si>
  <si>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</si>
  <si>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</si>
  <si>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</si>
  <si>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</si>
  <si>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</si>
  <si>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</si>
  <si>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</si>
  <si>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</si>
  <si>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</si>
  <si>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</si>
  <si>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</si>
  <si>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</si>
  <si>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</si>
  <si>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</si>
  <si>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</si>
  <si>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</si>
  <si>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</si>
  <si>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</si>
  <si>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</si>
  <si>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</si>
  <si>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</si>
  <si>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</si>
  <si>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</si>
  <si>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</si>
  <si>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</si>
  <si>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</si>
  <si>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</si>
  <si>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</si>
  <si>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</si>
  <si>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</si>
  <si>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</si>
  <si>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</si>
  <si>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</si>
  <si>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</si>
  <si>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</si>
  <si>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</si>
  <si>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</si>
  <si>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</si>
  <si>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</si>
  <si>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</si>
  <si>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</si>
  <si>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</si>
  <si>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</si>
  <si>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</si>
  <si>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</si>
  <si>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</si>
  <si>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</si>
  <si>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</si>
  <si>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</si>
  <si>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</si>
  <si>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</si>
  <si>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</si>
  <si>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</si>
  <si>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</si>
  <si>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</si>
  <si>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</si>
  <si>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</si>
  <si>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</si>
  <si>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</si>
  <si>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</si>
  <si>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</si>
  <si>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</si>
  <si>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</si>
  <si>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</si>
  <si>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</si>
  <si>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</si>
  <si>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</si>
  <si>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</si>
  <si>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</si>
  <si>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</si>
  <si>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</si>
  <si>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</si>
  <si>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</si>
  <si>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</si>
  <si>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</si>
  <si>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</si>
  <si>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</si>
  <si>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</si>
  <si>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</si>
  <si>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</si>
  <si>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</si>
  <si>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</si>
  <si>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</si>
  <si>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</si>
  <si>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</si>
  <si>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</si>
  <si>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</si>
  <si>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</si>
  <si>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</si>
  <si>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</si>
  <si>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</si>
  <si>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</si>
  <si>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</si>
  <si>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</si>
  <si>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</si>
  <si>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</si>
  <si>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</si>
  <si>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</si>
  <si>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</si>
  <si>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</si>
  <si>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</si>
  <si>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</si>
  <si>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</si>
  <si>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</si>
  <si>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</si>
  <si>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</si>
  <si>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</si>
  <si>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</si>
  <si>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</si>
  <si>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</si>
  <si>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</si>
  <si>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</si>
  <si>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</si>
  <si>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</si>
  <si>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</si>
  <si>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</si>
  <si>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</si>
  <si>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</si>
  <si>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</si>
  <si>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</si>
  <si>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</si>
  <si>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</si>
  <si>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</si>
  <si>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</si>
  <si>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</si>
  <si>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</si>
  <si>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</si>
  <si>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</si>
  <si>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</si>
  <si>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</si>
  <si>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</si>
  <si>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</si>
  <si>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</si>
  <si>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</si>
  <si>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</si>
  <si>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</si>
  <si>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</si>
  <si>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</si>
  <si>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</si>
  <si>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</si>
  <si>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</si>
  <si>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</si>
  <si>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</si>
  <si>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</si>
  <si>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</si>
  <si>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</si>
  <si>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</si>
  <si>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</si>
  <si>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</si>
  <si>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</si>
  <si>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</si>
  <si>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</si>
  <si>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</si>
  <si>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</si>
  <si>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</si>
  <si>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</si>
  <si>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</si>
  <si>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</si>
  <si>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</si>
  <si>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</si>
  <si>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</si>
  <si>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</si>
  <si>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</si>
  <si>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</si>
  <si>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</si>
  <si>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</si>
  <si>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</si>
  <si>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</si>
  <si>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</si>
  <si>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</si>
  <si>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</si>
  <si>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</si>
  <si>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</si>
  <si>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</si>
  <si>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</si>
  <si>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</si>
  <si>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</si>
  <si>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</si>
  <si>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</si>
  <si>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</si>
  <si>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</si>
  <si>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</si>
  <si>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</si>
  <si>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</si>
  <si>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</si>
  <si>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</si>
  <si>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</si>
  <si>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</si>
  <si>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</si>
  <si>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</si>
  <si>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</si>
  <si>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</si>
  <si>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</si>
  <si>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</si>
  <si>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</si>
  <si>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</si>
  <si>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</si>
  <si>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</si>
  <si>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</si>
  <si>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</si>
  <si>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</si>
  <si>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</si>
  <si>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</si>
  <si>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</si>
  <si>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</si>
  <si>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</si>
  <si>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</si>
  <si>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</si>
  <si>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</si>
  <si>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</si>
  <si>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</si>
  <si>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</si>
  <si>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</si>
  <si>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</si>
  <si>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</si>
  <si>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</si>
  <si>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</si>
  <si>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</si>
  <si>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</si>
  <si>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</si>
  <si>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</si>
  <si>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</si>
  <si>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</si>
  <si>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</si>
  <si>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</si>
  <si>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</si>
  <si>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</si>
  <si>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</si>
  <si>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</si>
  <si>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</si>
  <si>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</si>
  <si>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</si>
  <si>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</si>
  <si>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</si>
  <si>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</si>
  <si>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</si>
  <si>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</si>
  <si>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</si>
  <si>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</si>
  <si>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</si>
  <si>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</si>
  <si>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</si>
  <si>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</si>
  <si>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</si>
  <si>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</si>
  <si>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</si>
  <si>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</si>
  <si>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</si>
  <si>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</si>
  <si>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</si>
  <si>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</si>
  <si>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</si>
  <si>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</si>
  <si>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</si>
  <si>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</si>
  <si>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</si>
  <si>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</si>
  <si>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</si>
  <si>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</si>
  <si>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</si>
  <si>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</si>
  <si>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</si>
  <si>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</si>
  <si>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</si>
  <si>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</si>
  <si>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</si>
  <si>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</si>
  <si>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</si>
  <si>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</si>
  <si>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</si>
  <si>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</si>
  <si>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</si>
  <si>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</si>
  <si>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</si>
  <si>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</si>
  <si>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</si>
  <si>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</si>
  <si>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</si>
  <si>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</si>
  <si>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</si>
  <si>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</si>
  <si>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</si>
  <si>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</si>
  <si>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</si>
  <si>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</si>
  <si>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</si>
  <si>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</si>
  <si>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</si>
  <si>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</si>
  <si>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</si>
  <si>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</si>
  <si>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</si>
  <si>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</si>
  <si>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</si>
  <si>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</si>
  <si>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</si>
  <si>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</si>
  <si>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</si>
  <si>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</si>
  <si>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</si>
  <si>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</si>
  <si>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</si>
  <si>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</si>
  <si>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</si>
  <si>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</si>
  <si>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</si>
  <si>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</si>
  <si>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</si>
  <si>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</si>
  <si>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</si>
  <si>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</si>
  <si>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</si>
  <si>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</si>
  <si>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</si>
  <si>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</si>
  <si>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</si>
  <si>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</si>
  <si>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</si>
  <si>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</si>
  <si>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</si>
  <si>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</si>
  <si>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</si>
  <si>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</si>
  <si>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</si>
  <si>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</si>
  <si>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</si>
  <si>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</si>
  <si>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</si>
  <si>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</si>
  <si>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</si>
  <si>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</si>
  <si>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</si>
  <si>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</si>
  <si>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</si>
  <si>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</si>
  <si>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</si>
  <si>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</si>
  <si>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</si>
  <si>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</si>
  <si>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</si>
  <si>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</si>
  <si>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</si>
  <si>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</si>
  <si>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</si>
  <si>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</si>
  <si>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</si>
  <si>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</si>
  <si>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</si>
  <si>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</si>
  <si>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</si>
  <si>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</si>
  <si>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</si>
  <si>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</si>
  <si>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</si>
  <si>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</si>
  <si>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</si>
  <si>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</si>
  <si>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</si>
  <si>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</si>
  <si>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</si>
  <si>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</si>
  <si>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</si>
  <si>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</si>
  <si>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</si>
  <si>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</si>
  <si>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</si>
  <si>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</si>
  <si>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</si>
  <si>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</si>
  <si>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</si>
  <si>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</si>
  <si>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</si>
  <si>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</si>
  <si>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</si>
  <si>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</si>
  <si>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</si>
  <si>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</si>
  <si>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</si>
  <si>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</si>
  <si>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</si>
  <si>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</si>
  <si>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</si>
  <si>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</si>
  <si>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</si>
  <si>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</si>
  <si>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</si>
  <si>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</si>
  <si>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</si>
  <si>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</si>
  <si>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</si>
  <si>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</si>
  <si>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</si>
  <si>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</si>
  <si>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</si>
  <si>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</si>
  <si>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</si>
  <si>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</si>
  <si>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</si>
  <si>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</si>
  <si>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</si>
  <si>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</si>
  <si>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</si>
  <si>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</si>
  <si>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</si>
  <si>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</si>
  <si>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</si>
  <si>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</si>
  <si>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</si>
  <si>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</si>
  <si>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</si>
  <si>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</si>
  <si>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</si>
  <si>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</si>
  <si>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</si>
  <si>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</si>
  <si>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</si>
  <si>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</si>
  <si>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</si>
  <si>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</si>
  <si>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</si>
  <si>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</si>
  <si>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</si>
  <si>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</si>
  <si>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</si>
  <si>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</si>
  <si>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</si>
  <si>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</si>
  <si>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</si>
  <si>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</si>
  <si>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</si>
  <si>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</si>
  <si>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</si>
  <si>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</si>
  <si>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</si>
  <si>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</si>
  <si>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</si>
  <si>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</si>
  <si>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</si>
  <si>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</si>
  <si>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</si>
  <si>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</si>
  <si>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</si>
  <si>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</si>
  <si>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</si>
  <si>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</si>
  <si>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</si>
  <si>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</si>
  <si>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</si>
  <si>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</si>
  <si>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</si>
  <si>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</si>
  <si>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</si>
  <si>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</si>
  <si>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</si>
  <si>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</si>
  <si>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</si>
  <si>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</si>
  <si>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</si>
  <si>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</si>
  <si>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</si>
  <si>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</si>
  <si>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</si>
  <si>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</si>
  <si>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</si>
  <si>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</si>
  <si>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</si>
  <si>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</si>
  <si>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</si>
  <si>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</si>
  <si>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</si>
  <si>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</si>
  <si>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</si>
  <si>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</si>
  <si>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</si>
  <si>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</si>
  <si>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</si>
  <si>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</si>
  <si>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</si>
  <si>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</si>
  <si>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</si>
  <si>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</si>
  <si>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</si>
  <si>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</si>
  <si>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</si>
  <si>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</si>
  <si>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</si>
  <si>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</si>
  <si>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</si>
  <si>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</si>
  <si>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</si>
  <si>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</si>
  <si>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</si>
  <si>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</si>
  <si>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</si>
  <si>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</si>
  <si>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</si>
  <si>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</si>
  <si>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</si>
  <si>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</si>
  <si>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</si>
  <si>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</si>
  <si>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</si>
  <si>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</si>
  <si>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</si>
  <si>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</si>
  <si>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</si>
  <si>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</si>
  <si>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</si>
  <si>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</si>
  <si>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</si>
  <si>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</si>
  <si>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</si>
  <si>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</si>
  <si>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</si>
  <si>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</si>
  <si>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</si>
  <si>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</si>
  <si>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</si>
  <si>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</si>
  <si>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</si>
  <si>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</si>
  <si>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</si>
  <si>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</si>
  <si>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</si>
  <si>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</si>
  <si>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</si>
  <si>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</si>
  <si>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</si>
  <si>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</si>
  <si>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</si>
  <si>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</si>
  <si>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</si>
  <si>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</si>
  <si>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</si>
  <si>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</si>
  <si>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</si>
  <si>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</si>
  <si>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</si>
  <si>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</si>
  <si>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</si>
  <si>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</si>
  <si>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</si>
  <si>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</si>
  <si>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</si>
  <si>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</si>
  <si>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</si>
  <si>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</si>
  <si>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</si>
  <si>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</si>
  <si>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</si>
  <si>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</si>
  <si>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</si>
  <si>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</si>
  <si>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</si>
  <si>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</si>
  <si>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</si>
  <si>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</si>
  <si>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</si>
  <si>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</si>
  <si>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</si>
  <si>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</si>
  <si>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</si>
  <si>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</si>
  <si>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</si>
  <si>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</si>
  <si>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</si>
  <si>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</si>
  <si>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</si>
  <si>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</si>
  <si>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</si>
  <si>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</si>
  <si>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</si>
  <si>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</si>
  <si>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</si>
  <si>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</si>
  <si>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</si>
  <si>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</si>
  <si>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</si>
  <si>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</si>
  <si>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</si>
  <si>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</si>
  <si>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</si>
  <si>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</si>
  <si>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</si>
  <si>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</si>
  <si>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</si>
  <si>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</si>
  <si>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</si>
  <si>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</si>
  <si>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</si>
  <si>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</si>
  <si>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</si>
  <si>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</si>
  <si>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</si>
  <si>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</si>
  <si>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</si>
  <si>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</si>
  <si>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</si>
  <si>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</si>
  <si>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</si>
  <si>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</si>
  <si>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</si>
  <si>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</si>
  <si>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</si>
  <si>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</si>
  <si>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</si>
  <si>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</si>
  <si>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</si>
  <si>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</si>
  <si>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</si>
  <si>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</si>
  <si>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</si>
  <si>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</si>
  <si>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</si>
  <si>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</si>
  <si>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</si>
  <si>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</si>
  <si>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</si>
  <si>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</si>
  <si>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</si>
  <si>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</si>
  <si>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</si>
  <si>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</si>
  <si>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</si>
  <si>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</si>
  <si>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</si>
  <si>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</si>
  <si>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</si>
  <si>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</si>
  <si>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</si>
  <si>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</si>
  <si>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</si>
  <si>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</si>
  <si>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</si>
  <si>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</si>
  <si>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</si>
  <si>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</si>
  <si>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</si>
  <si>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</si>
  <si>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</si>
  <si>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</si>
  <si>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</si>
  <si>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</si>
  <si>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</si>
  <si>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</si>
  <si>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</si>
  <si>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</si>
  <si>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</si>
  <si>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</si>
  <si>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</si>
  <si>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</si>
  <si>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</si>
  <si>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</si>
  <si>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</si>
  <si>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</si>
  <si>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</si>
  <si>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</si>
  <si>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</si>
  <si>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</si>
  <si>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</si>
  <si>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</si>
  <si>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</si>
  <si>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</si>
  <si>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</si>
  <si>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</si>
  <si>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</si>
  <si>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</si>
  <si>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</si>
  <si>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</si>
  <si>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</si>
  <si>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</si>
  <si>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</si>
  <si>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</si>
  <si>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</si>
  <si>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</si>
  <si>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</si>
  <si>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</si>
  <si>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</si>
  <si>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</si>
  <si>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</si>
  <si>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</si>
  <si>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</si>
  <si>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</si>
  <si>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</si>
  <si>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</si>
  <si>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</si>
  <si>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</si>
  <si>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</si>
  <si>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</si>
  <si>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</si>
  <si>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</si>
  <si>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</si>
  <si>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</si>
  <si>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</si>
  <si>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</si>
  <si>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</si>
  <si>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</si>
  <si>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</si>
  <si>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</si>
  <si>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</si>
  <si>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</si>
  <si>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</si>
  <si>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</si>
  <si>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</si>
  <si>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</si>
  <si>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</si>
  <si>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</si>
  <si>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</si>
  <si>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</si>
  <si>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</si>
  <si>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</si>
  <si>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</si>
  <si>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</si>
  <si>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</si>
  <si>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</si>
  <si>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</si>
  <si>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</si>
  <si>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</si>
  <si>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</si>
  <si>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</si>
  <si>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</si>
  <si>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</si>
  <si>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</si>
  <si>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</si>
  <si>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</si>
  <si>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</si>
  <si>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</si>
  <si>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</si>
  <si>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</si>
  <si>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</si>
  <si>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</si>
  <si>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</si>
  <si>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</si>
  <si>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</si>
  <si>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</si>
  <si>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</si>
  <si>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</si>
  <si>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</si>
  <si>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</si>
  <si>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</si>
  <si>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</si>
  <si>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</si>
  <si>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</si>
  <si>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</si>
  <si>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</si>
  <si>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</si>
  <si>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</si>
  <si>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</si>
  <si>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</si>
  <si>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</si>
  <si>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</si>
  <si>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</si>
  <si>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</si>
  <si>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</si>
  <si>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</si>
  <si>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</si>
  <si>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</si>
  <si>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</si>
  <si>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</si>
  <si>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</si>
  <si>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</si>
  <si>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</si>
  <si>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</si>
  <si>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</si>
  <si>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</si>
  <si>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</si>
  <si>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</si>
  <si>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</si>
  <si>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</si>
  <si>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</si>
  <si>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</si>
  <si>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</si>
  <si>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</si>
  <si>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</si>
  <si>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</si>
  <si>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</si>
  <si>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</si>
  <si>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</si>
  <si>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</si>
  <si>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</si>
  <si>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</si>
  <si>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</si>
  <si>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</si>
  <si>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</si>
  <si>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</si>
  <si>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</si>
  <si>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</si>
  <si>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</si>
  <si>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</si>
  <si>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</si>
  <si>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</si>
  <si>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</si>
  <si>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</si>
  <si>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</si>
  <si>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</si>
  <si>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</si>
  <si>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</si>
  <si>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</si>
  <si>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</si>
  <si>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</si>
  <si>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</si>
  <si>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</si>
  <si>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</si>
  <si>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</si>
  <si>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</si>
  <si>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</si>
  <si>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</si>
  <si>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</si>
  <si>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</si>
  <si>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</si>
  <si>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</si>
  <si>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</si>
  <si>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</si>
  <si>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</si>
  <si>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</si>
  <si>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</si>
  <si>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</si>
  <si>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</si>
  <si>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</si>
  <si>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</si>
  <si>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</si>
  <si>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</si>
  <si>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</si>
  <si>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</si>
  <si>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</si>
  <si>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</si>
  <si>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</si>
  <si>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</si>
  <si>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</si>
  <si>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</si>
  <si>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</si>
  <si>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</si>
  <si>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</si>
  <si>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</si>
  <si>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</si>
  <si>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</si>
  <si>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</si>
  <si>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</si>
  <si>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</si>
  <si>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</si>
  <si>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</si>
  <si>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</si>
  <si>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</si>
  <si>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</si>
  <si>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</si>
  <si>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</si>
  <si>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</si>
  <si>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</si>
  <si>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</si>
  <si>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</si>
  <si>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</si>
  <si>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</si>
  <si>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</si>
  <si>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</si>
  <si>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</si>
  <si>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</si>
  <si>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</si>
  <si>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</si>
  <si>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</si>
  <si>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</si>
  <si>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</si>
  <si>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</si>
  <si>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</si>
  <si>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</si>
  <si>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</si>
  <si>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</si>
  <si>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</si>
  <si>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</si>
  <si>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</si>
  <si>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</si>
  <si>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</si>
  <si>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</si>
  <si>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</si>
  <si>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</si>
  <si>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</si>
  <si>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</si>
  <si>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</si>
  <si>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</si>
  <si>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</si>
  <si>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</si>
  <si>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</si>
  <si>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</si>
  <si>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</si>
  <si>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</si>
  <si>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</si>
  <si>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</si>
  <si>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</si>
  <si>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</si>
  <si>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</si>
  <si>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</si>
  <si>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</si>
  <si>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</si>
  <si>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</si>
  <si>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</si>
  <si>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</si>
  <si>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</si>
  <si>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</si>
  <si>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</si>
  <si>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</si>
  <si>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</si>
  <si>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</si>
  <si>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</si>
  <si>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</si>
  <si>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</si>
  <si>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</si>
  <si>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</si>
  <si>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</si>
  <si>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</si>
  <si>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Mark M. Macalintal</t>
  </si>
  <si>
    <t>$O$19</t>
  </si>
  <si>
    <t>$C$6</t>
  </si>
  <si>
    <t>$D$2</t>
  </si>
  <si>
    <t>Select the appropriate fuel type from the dropdown list:
1. Diesel - Standby generator sets
2. Diesel - Others
3. Gasoline - Others
4. LPG - Heating and cooking
5. Compressed natural gas</t>
  </si>
  <si>
    <t>$H$8</t>
  </si>
  <si>
    <t>$E$45</t>
  </si>
  <si>
    <t>$D$3</t>
  </si>
  <si>
    <t>$J$8</t>
  </si>
  <si>
    <t>Dec. 26 to Jan. 26</t>
  </si>
  <si>
    <t>Dec. 25 to Jan. 26</t>
  </si>
  <si>
    <t>Dec. 25 to Jan. 25</t>
  </si>
  <si>
    <t>$O$9</t>
  </si>
  <si>
    <t>Jan. 25 to Feb. 25</t>
  </si>
  <si>
    <t>Feb. 25 to March. 25</t>
  </si>
  <si>
    <t>Feb. 25 to Mar. 25</t>
  </si>
  <si>
    <t>$O$11:$O$20</t>
  </si>
  <si>
    <t>Mar. 26</t>
  </si>
  <si>
    <t>$O$11</t>
  </si>
  <si>
    <t>Jan. 26 to Feb. 26</t>
  </si>
  <si>
    <t>Feb. 26 to Mar. 26</t>
  </si>
  <si>
    <t>Mar. 26 to AP</t>
  </si>
  <si>
    <t>Dec. 26- Jan. 26</t>
  </si>
  <si>
    <t>Jan. 26 - Feb. 26</t>
  </si>
  <si>
    <t>Feb. 26 - Mar. 26</t>
  </si>
  <si>
    <t>Mar. 26 - Aril 26</t>
  </si>
  <si>
    <t>Mar. 26 - Apr. 26</t>
  </si>
  <si>
    <t>Apr. 26-May 26</t>
  </si>
  <si>
    <t>May 26-Jun 26</t>
  </si>
  <si>
    <t>$O$13</t>
  </si>
  <si>
    <t>Apr. 26 - May 26</t>
  </si>
  <si>
    <t>May 26  -Jun 26</t>
  </si>
  <si>
    <t>Jun 26 - July 26</t>
  </si>
  <si>
    <t>$O$14</t>
  </si>
  <si>
    <t>May 26 - Jun 26</t>
  </si>
  <si>
    <t>Jun 26 - Jul 26</t>
  </si>
  <si>
    <t>Jul 26 - Aug 26</t>
  </si>
  <si>
    <t>$O$15</t>
  </si>
  <si>
    <t>Aug 26 - Sept 26</t>
  </si>
  <si>
    <t>$O$16</t>
  </si>
  <si>
    <t>Sept 26 - Oct 26</t>
  </si>
  <si>
    <t>$O$17</t>
  </si>
  <si>
    <t>Oct 26 - Nov 26</t>
  </si>
  <si>
    <t>$O$18</t>
  </si>
  <si>
    <t>Nov 26 - Dec 26</t>
  </si>
  <si>
    <t>$J$13</t>
  </si>
  <si>
    <t>$J$14</t>
  </si>
  <si>
    <t>$J$15</t>
  </si>
  <si>
    <t>$M$8</t>
  </si>
  <si>
    <t>$N$107</t>
  </si>
  <si>
    <t>$N$11</t>
  </si>
  <si>
    <t>$N$12</t>
  </si>
  <si>
    <t>$N$13</t>
  </si>
  <si>
    <t>1MVA Generator Set</t>
  </si>
  <si>
    <t xml:space="preserve">Toyota Grandia </t>
  </si>
  <si>
    <t xml:space="preserve">Toyota Commuter </t>
  </si>
  <si>
    <t>Totota Innova</t>
  </si>
  <si>
    <t xml:space="preserve">Unit 590 </t>
  </si>
  <si>
    <t xml:space="preserve">Unit 2448 </t>
  </si>
  <si>
    <t>Unit 2449</t>
  </si>
  <si>
    <t>Unit 590</t>
  </si>
  <si>
    <t>Toyota Commuter</t>
  </si>
  <si>
    <t xml:space="preserve">Totota Innova </t>
  </si>
  <si>
    <t>Toyota Grandia</t>
  </si>
  <si>
    <t xml:space="preserve">Unit 2449 </t>
  </si>
  <si>
    <t>IT Room</t>
  </si>
  <si>
    <t>CCTV Room</t>
  </si>
  <si>
    <t>Old CCTV Room</t>
  </si>
  <si>
    <t>GF Main Building</t>
  </si>
  <si>
    <t>2F Main Building</t>
  </si>
  <si>
    <t>3F Main Building</t>
  </si>
  <si>
    <t>Air Handling Unit Room</t>
  </si>
  <si>
    <t>Staff House</t>
  </si>
  <si>
    <t>Auxiliary Building</t>
  </si>
  <si>
    <t>No leaks observed</t>
  </si>
  <si>
    <t>$K$22</t>
  </si>
  <si>
    <t>$A$27:$G$39</t>
  </si>
  <si>
    <t>$J$18:$J$23</t>
  </si>
  <si>
    <t>$J$27:$J$31</t>
  </si>
  <si>
    <t>$J$19:$J$23</t>
  </si>
  <si>
    <t>$J$27</t>
  </si>
  <si>
    <t>$J$28</t>
  </si>
  <si>
    <t>$J$29</t>
  </si>
  <si>
    <t>$J$30</t>
  </si>
  <si>
    <t>$J$22</t>
  </si>
  <si>
    <t>$J$23</t>
  </si>
  <si>
    <t>$J$31</t>
  </si>
  <si>
    <t>AV- Unit 590</t>
  </si>
  <si>
    <t xml:space="preserve">Armored VehicleUnit 2448 </t>
  </si>
  <si>
    <t xml:space="preserve">AV- Unit 2448 </t>
  </si>
  <si>
    <t>AV- Unit 2449</t>
  </si>
  <si>
    <t>AV- Unit 2450</t>
  </si>
  <si>
    <t>$J$24:$J$25</t>
  </si>
  <si>
    <t>$J$25</t>
  </si>
  <si>
    <t>Crosswind</t>
  </si>
  <si>
    <t>$J$24</t>
  </si>
  <si>
    <t>$K$19</t>
  </si>
  <si>
    <t>$K$20</t>
  </si>
  <si>
    <t>$K$21</t>
  </si>
  <si>
    <t>$K$23</t>
  </si>
  <si>
    <t>$K$24</t>
  </si>
  <si>
    <t>$L$18</t>
  </si>
  <si>
    <t>$L$19</t>
  </si>
  <si>
    <t>$L$20</t>
  </si>
  <si>
    <t>$L$21</t>
  </si>
  <si>
    <t>$L$22</t>
  </si>
  <si>
    <t>$L$23</t>
  </si>
  <si>
    <t>$L$24</t>
  </si>
  <si>
    <t>$L$25</t>
  </si>
  <si>
    <t>$N$19</t>
  </si>
  <si>
    <t>$N$20</t>
  </si>
  <si>
    <t>$N$21</t>
  </si>
  <si>
    <t>$N$22</t>
  </si>
  <si>
    <t>$N$23</t>
  </si>
  <si>
    <t>$N$24</t>
  </si>
  <si>
    <t>Service center-maintained</t>
  </si>
  <si>
    <t>$W$18</t>
  </si>
  <si>
    <t>$W$19</t>
  </si>
  <si>
    <t>$W$20</t>
  </si>
  <si>
    <t>$W$21</t>
  </si>
  <si>
    <t>$W$22</t>
  </si>
  <si>
    <t>$W$23</t>
  </si>
  <si>
    <t>$W$24</t>
  </si>
  <si>
    <t>$M$18:$M$24</t>
  </si>
  <si>
    <t>$P$8</t>
  </si>
  <si>
    <t>$N$18</t>
  </si>
  <si>
    <t>$P$18</t>
  </si>
  <si>
    <t>$P$19</t>
  </si>
  <si>
    <t>$P$20</t>
  </si>
  <si>
    <t>$N$28</t>
  </si>
  <si>
    <t>$P$28</t>
  </si>
  <si>
    <t>$N$29</t>
  </si>
  <si>
    <t>$P$29</t>
  </si>
  <si>
    <t>$N$30</t>
  </si>
  <si>
    <t>$P$30</t>
  </si>
  <si>
    <t>$N$7:$N$11</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</si>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</sst>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4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22547569447"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63"/>
    </cacheField>
    <cacheField name="Vehicle Type" numFmtId="0">
      <sharedItems containsBlank="1" count="11">
        <s v="Van  "/>
        <s v="Multi-Purpose Vehicle"/>
        <s v="Armored Vehicle"/>
        <m/>
        <s v="Armored Vehicles" u="1"/>
        <s v="Motorbike" u="1"/>
        <s v="Passenger Car" u="1"/>
        <s v="Service Vehicles" u="1"/>
        <s v="Large Truck" u="1"/>
        <s v="Small Truck" u="1"/>
        <s v="Large Bu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0" maxValue="1382"/>
    </cacheField>
    <cacheField name="Unit" numFmtId="0">
      <sharedItems containsBlank="1"/>
    </cacheField>
    <cacheField name="Total kilometers travelled (all vehicles)" numFmtId="4">
      <sharedItems containsString="0" containsBlank="1" containsNumber="1" minValue="0" maxValue="6967"/>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0"/>
    <s v="Liters"/>
    <n v="0"/>
    <s v="Kilometers"/>
    <s v="Toyota Grandia "/>
  </r>
  <r>
    <n v="2"/>
    <x v="0"/>
    <x v="0"/>
    <x v="0"/>
    <x v="0"/>
    <n v="152.18"/>
    <m/>
    <n v="1188"/>
    <s v="Kilometers"/>
    <s v="Toyota Commuter "/>
  </r>
  <r>
    <n v="3"/>
    <x v="1"/>
    <x v="0"/>
    <x v="0"/>
    <x v="0"/>
    <n v="130.85"/>
    <s v="Liters"/>
    <n v="1210"/>
    <s v="Kilometers"/>
    <s v="Totota Innova"/>
  </r>
  <r>
    <n v="4"/>
    <x v="2"/>
    <x v="0"/>
    <x v="0"/>
    <x v="0"/>
    <n v="225.21"/>
    <s v="Liters"/>
    <n v="997"/>
    <s v="Kilometers"/>
    <s v="Unit 590 "/>
  </r>
  <r>
    <n v="5"/>
    <x v="2"/>
    <x v="0"/>
    <x v="0"/>
    <x v="0"/>
    <n v="0"/>
    <s v="Liters"/>
    <n v="0"/>
    <s v="Kilometers"/>
    <s v="Unit 2448 "/>
  </r>
  <r>
    <n v="6"/>
    <x v="0"/>
    <x v="0"/>
    <x v="1"/>
    <x v="0"/>
    <n v="0"/>
    <s v="Liters"/>
    <n v="0"/>
    <s v="Kilometers"/>
    <s v="Toyota Grandia "/>
  </r>
  <r>
    <n v="7"/>
    <x v="0"/>
    <x v="0"/>
    <x v="1"/>
    <x v="0"/>
    <n v="103"/>
    <s v="Liters"/>
    <n v="972"/>
    <s v="Kilometers"/>
    <s v="Toyota Commuter "/>
  </r>
  <r>
    <n v="8"/>
    <x v="1"/>
    <x v="0"/>
    <x v="1"/>
    <x v="0"/>
    <n v="53"/>
    <s v="Liters"/>
    <n v="704"/>
    <s v="Kilometers"/>
    <s v="Totota Innova"/>
  </r>
  <r>
    <n v="9"/>
    <x v="2"/>
    <x v="0"/>
    <x v="1"/>
    <x v="0"/>
    <n v="953.5"/>
    <s v="Liters"/>
    <n v="6967"/>
    <s v="Kilometers"/>
    <s v="Unit 590"/>
  </r>
  <r>
    <n v="10"/>
    <x v="2"/>
    <x v="0"/>
    <x v="1"/>
    <x v="0"/>
    <n v="504.09"/>
    <s v="Liters"/>
    <n v="2072"/>
    <s v="Kilometers"/>
    <s v="Unit 2448 "/>
  </r>
  <r>
    <n v="11"/>
    <x v="2"/>
    <x v="0"/>
    <x v="1"/>
    <x v="0"/>
    <n v="610"/>
    <s v="Liters"/>
    <n v="2244"/>
    <s v="Kilometers"/>
    <s v="Unit 2449"/>
  </r>
  <r>
    <n v="12"/>
    <x v="0"/>
    <x v="0"/>
    <x v="2"/>
    <x v="0"/>
    <n v="79"/>
    <s v="Liters"/>
    <n v="751"/>
    <s v="Kilometers"/>
    <s v="Toyota Grandia "/>
  </r>
  <r>
    <n v="13"/>
    <x v="0"/>
    <x v="0"/>
    <x v="2"/>
    <x v="0"/>
    <n v="154"/>
    <s v="Liters"/>
    <n v="1454"/>
    <s v="Kilometers"/>
    <s v="Toyota Commuter"/>
  </r>
  <r>
    <n v="14"/>
    <x v="1"/>
    <x v="0"/>
    <x v="2"/>
    <x v="0"/>
    <n v="171"/>
    <s v="Liters"/>
    <n v="1764"/>
    <s v="Kilometers"/>
    <s v="Totota Innova "/>
  </r>
  <r>
    <n v="15"/>
    <x v="2"/>
    <x v="0"/>
    <x v="2"/>
    <x v="0"/>
    <n v="284"/>
    <s v="Liters"/>
    <n v="1075"/>
    <s v="Kilometers"/>
    <s v="Unit 590 "/>
  </r>
  <r>
    <n v="16"/>
    <x v="2"/>
    <x v="0"/>
    <x v="2"/>
    <x v="0"/>
    <n v="0"/>
    <s v="Liters"/>
    <n v="0"/>
    <s v="Kilometers"/>
    <s v="Unit 2448 "/>
  </r>
  <r>
    <n v="17"/>
    <x v="0"/>
    <x v="0"/>
    <x v="3"/>
    <x v="1"/>
    <n v="287"/>
    <s v="Liters"/>
    <n v="2592"/>
    <s v="Kilometers"/>
    <s v="Toyota Grandia "/>
  </r>
  <r>
    <n v="18"/>
    <x v="0"/>
    <x v="0"/>
    <x v="3"/>
    <x v="1"/>
    <n v="215"/>
    <s v="Liters"/>
    <n v="2232"/>
    <s v="Kilometers"/>
    <s v="Toyota Commuter "/>
  </r>
  <r>
    <n v="19"/>
    <x v="1"/>
    <x v="0"/>
    <x v="3"/>
    <x v="1"/>
    <n v="146"/>
    <s v="Liters"/>
    <n v="1834"/>
    <s v="Kilometers"/>
    <s v="Totota Innova "/>
  </r>
  <r>
    <n v="20"/>
    <x v="2"/>
    <x v="0"/>
    <x v="3"/>
    <x v="1"/>
    <n v="1382"/>
    <s v="Liters"/>
    <n v="1538"/>
    <s v="Kilometers"/>
    <s v="Unit 590 "/>
  </r>
  <r>
    <n v="21"/>
    <x v="2"/>
    <x v="0"/>
    <x v="3"/>
    <x v="1"/>
    <n v="252"/>
    <s v="Liters"/>
    <n v="1034"/>
    <s v="Kilometers"/>
    <s v="Unit 2448 "/>
  </r>
  <r>
    <n v="22"/>
    <x v="0"/>
    <x v="0"/>
    <x v="4"/>
    <x v="1"/>
    <n v="89.12"/>
    <s v="Liters"/>
    <n v="572"/>
    <s v="Kilometers"/>
    <s v="Toyota Grandia"/>
  </r>
  <r>
    <n v="23"/>
    <x v="0"/>
    <x v="0"/>
    <x v="4"/>
    <x v="1"/>
    <n v="111.37"/>
    <s v="Liters"/>
    <n v="926"/>
    <s v="Kilometers"/>
    <s v="Toyota Commuter"/>
  </r>
  <r>
    <n v="24"/>
    <x v="1"/>
    <x v="0"/>
    <x v="4"/>
    <x v="1"/>
    <n v="290.7"/>
    <s v="Liters"/>
    <n v="3525"/>
    <s v="Kilometers"/>
    <s v="Totota Innova "/>
  </r>
  <r>
    <n v="25"/>
    <x v="2"/>
    <x v="0"/>
    <x v="4"/>
    <x v="1"/>
    <n v="243"/>
    <s v="Liters"/>
    <n v="943"/>
    <s v="Kilometers"/>
    <s v="Unit 590 "/>
  </r>
  <r>
    <n v="26"/>
    <x v="2"/>
    <x v="0"/>
    <x v="4"/>
    <x v="1"/>
    <n v="143"/>
    <s v="Liters"/>
    <n v="614"/>
    <s v="Kilometers"/>
    <s v="Unit 2448 "/>
  </r>
  <r>
    <n v="27"/>
    <x v="2"/>
    <x v="0"/>
    <x v="4"/>
    <x v="1"/>
    <n v="165"/>
    <s v="Liters"/>
    <n v="1320"/>
    <s v="Kilometers"/>
    <s v="Unit 2449 "/>
  </r>
  <r>
    <n v="28"/>
    <x v="0"/>
    <x v="0"/>
    <x v="5"/>
    <x v="1"/>
    <n v="61"/>
    <s v="Liters"/>
    <n v="645"/>
    <s v="Kilometers"/>
    <s v="Toyota Grandia "/>
  </r>
  <r>
    <n v="29"/>
    <x v="0"/>
    <x v="0"/>
    <x v="5"/>
    <x v="1"/>
    <n v="48.731000000000002"/>
    <s v="Liters"/>
    <n v="361"/>
    <s v="Kilometers"/>
    <s v="Toyota Commuter "/>
  </r>
  <r>
    <n v="30"/>
    <x v="1"/>
    <x v="0"/>
    <x v="5"/>
    <x v="1"/>
    <n v="203.24"/>
    <s v="Liters"/>
    <n v="1819"/>
    <s v="Kilometers"/>
    <s v="Totota Innova"/>
  </r>
  <r>
    <n v="31"/>
    <x v="2"/>
    <x v="0"/>
    <x v="5"/>
    <x v="1"/>
    <n v="379.78"/>
    <s v="Liters"/>
    <n v="1505"/>
    <s v="Kilometers"/>
    <s v="Unit 590 "/>
  </r>
  <r>
    <n v="32"/>
    <x v="2"/>
    <x v="0"/>
    <x v="5"/>
    <x v="1"/>
    <n v="262"/>
    <s v="Liters"/>
    <n v="2363"/>
    <s v="Kilometers"/>
    <s v="Unit 2448 "/>
  </r>
  <r>
    <n v="33"/>
    <x v="0"/>
    <x v="0"/>
    <x v="6"/>
    <x v="2"/>
    <n v="187.12"/>
    <s v="Liters"/>
    <n v="859"/>
    <s v="Kilometers"/>
    <s v="Toyota Grandia "/>
  </r>
  <r>
    <n v="34"/>
    <x v="0"/>
    <x v="0"/>
    <x v="6"/>
    <x v="2"/>
    <n v="69.040000000000006"/>
    <s v="Liters"/>
    <n v="364"/>
    <s v="Kilometers"/>
    <s v="Toyota Commuter "/>
  </r>
  <r>
    <n v="35"/>
    <x v="1"/>
    <x v="0"/>
    <x v="6"/>
    <x v="2"/>
    <n v="187.12"/>
    <s v="Liters"/>
    <n v="815"/>
    <s v="Kilometers"/>
    <s v="Totota Innova"/>
  </r>
  <r>
    <n v="36"/>
    <x v="2"/>
    <x v="0"/>
    <x v="6"/>
    <x v="2"/>
    <n v="507"/>
    <s v="Liters"/>
    <n v="2241"/>
    <s v="Kilometers"/>
    <s v="Unit 590 "/>
  </r>
  <r>
    <n v="37"/>
    <x v="2"/>
    <x v="0"/>
    <x v="6"/>
    <x v="2"/>
    <n v="461.5"/>
    <s v="Liters"/>
    <n v="2251"/>
    <s v="Kilometers"/>
    <s v="Unit 2448 "/>
  </r>
  <r>
    <n v="38"/>
    <x v="0"/>
    <x v="0"/>
    <x v="7"/>
    <x v="2"/>
    <n v="244.11199999999999"/>
    <s v="Liters"/>
    <n v="2507"/>
    <s v="Kilometers"/>
    <s v="Toyota Grandia "/>
  </r>
  <r>
    <n v="39"/>
    <x v="0"/>
    <x v="0"/>
    <x v="7"/>
    <x v="2"/>
    <n v="96.76"/>
    <s v="Liters"/>
    <n v="963"/>
    <s v="Kilometers"/>
    <s v="Toyota Commuter "/>
  </r>
  <r>
    <n v="40"/>
    <x v="1"/>
    <x v="0"/>
    <x v="7"/>
    <x v="2"/>
    <n v="98.45"/>
    <s v="Liters"/>
    <n v="926"/>
    <s v="Kilometers"/>
    <s v="Totota Innova"/>
  </r>
  <r>
    <n v="41"/>
    <x v="2"/>
    <x v="0"/>
    <x v="7"/>
    <x v="2"/>
    <n v="550.09"/>
    <s v="Liters"/>
    <n v="2430"/>
    <s v="Kilometers"/>
    <s v="Unit 590 "/>
  </r>
  <r>
    <n v="42"/>
    <x v="2"/>
    <x v="0"/>
    <x v="7"/>
    <x v="2"/>
    <n v="581.04"/>
    <s v="Liters"/>
    <n v="2280"/>
    <s v="Kilometers"/>
    <s v="Unit 2448 "/>
  </r>
  <r>
    <n v="43"/>
    <x v="0"/>
    <x v="0"/>
    <x v="8"/>
    <x v="2"/>
    <n v="152.38999999999999"/>
    <s v="Liters"/>
    <n v="1335"/>
    <s v="Kilometers"/>
    <s v="Toyota Grandia "/>
  </r>
  <r>
    <n v="44"/>
    <x v="0"/>
    <x v="0"/>
    <x v="8"/>
    <x v="2"/>
    <n v="213"/>
    <s v="Liters"/>
    <n v="1492"/>
    <s v="Kilometers"/>
    <s v="Toyota Commuter "/>
  </r>
  <r>
    <n v="45"/>
    <x v="1"/>
    <x v="0"/>
    <x v="8"/>
    <x v="2"/>
    <n v="72.819999999999993"/>
    <s v="Liters"/>
    <n v="777"/>
    <s v="Kilometers"/>
    <s v="Totota Innova"/>
  </r>
  <r>
    <n v="46"/>
    <x v="2"/>
    <x v="0"/>
    <x v="8"/>
    <x v="2"/>
    <n v="280"/>
    <s v="Liters"/>
    <n v="1184"/>
    <s v="Kilometers"/>
    <s v="Unit 590 "/>
  </r>
  <r>
    <n v="47"/>
    <x v="2"/>
    <x v="0"/>
    <x v="8"/>
    <x v="2"/>
    <n v="299.86"/>
    <s v="Liters"/>
    <n v="795"/>
    <s v="Kilometers"/>
    <s v="Unit 2448 "/>
  </r>
  <r>
    <n v="48"/>
    <x v="2"/>
    <x v="0"/>
    <x v="8"/>
    <x v="2"/>
    <n v="145.6"/>
    <s v="Liters"/>
    <n v="566"/>
    <s v="Kilometers"/>
    <s v="Unit 2449"/>
  </r>
  <r>
    <n v="49"/>
    <x v="0"/>
    <x v="0"/>
    <x v="9"/>
    <x v="3"/>
    <n v="196"/>
    <s v="Liters"/>
    <n v="2159"/>
    <s v="Kilometers"/>
    <s v="Toyota Grandia "/>
  </r>
  <r>
    <n v="50"/>
    <x v="0"/>
    <x v="0"/>
    <x v="9"/>
    <x v="3"/>
    <n v="28"/>
    <s v="Liters"/>
    <n v="1823"/>
    <s v="Kilometers"/>
    <s v="Toyota Commuter "/>
  </r>
  <r>
    <n v="51"/>
    <x v="1"/>
    <x v="0"/>
    <x v="9"/>
    <x v="3"/>
    <n v="117"/>
    <s v="Liters"/>
    <n v="1053"/>
    <s v="Kilometers"/>
    <s v="Totota Innova"/>
  </r>
  <r>
    <n v="52"/>
    <x v="2"/>
    <x v="0"/>
    <x v="9"/>
    <x v="3"/>
    <n v="620"/>
    <s v="Liters"/>
    <n v="2294"/>
    <s v="Kilometers"/>
    <s v="Unit 590 "/>
  </r>
  <r>
    <n v="53"/>
    <x v="2"/>
    <x v="0"/>
    <x v="9"/>
    <x v="3"/>
    <n v="615"/>
    <s v="Liters"/>
    <n v="2363"/>
    <s v="Kilometers"/>
    <s v="Unit 2448 "/>
  </r>
  <r>
    <n v="54"/>
    <x v="0"/>
    <x v="0"/>
    <x v="10"/>
    <x v="3"/>
    <n v="196.89"/>
    <s v="Liters"/>
    <n v="1823"/>
    <s v="Kilometers"/>
    <s v="Toyota Grandia "/>
  </r>
  <r>
    <n v="55"/>
    <x v="0"/>
    <x v="0"/>
    <x v="10"/>
    <x v="3"/>
    <n v="135.9"/>
    <s v="Liters"/>
    <n v="595.41999999999996"/>
    <s v="Kilometers"/>
    <s v="Toyota Commuter "/>
  </r>
  <r>
    <n v="56"/>
    <x v="1"/>
    <x v="0"/>
    <x v="10"/>
    <x v="3"/>
    <n v="191.79"/>
    <s v="Liters"/>
    <n v="1944"/>
    <s v="Kilometers"/>
    <s v="Totota Innova"/>
  </r>
  <r>
    <n v="57"/>
    <x v="2"/>
    <x v="0"/>
    <x v="10"/>
    <x v="3"/>
    <n v="311.5"/>
    <s v="Liters"/>
    <n v="1359"/>
    <s v="Kilometers"/>
    <s v="Unit 590 "/>
  </r>
  <r>
    <n v="58"/>
    <x v="2"/>
    <x v="0"/>
    <x v="10"/>
    <x v="3"/>
    <n v="206.83"/>
    <s v="Liters"/>
    <n v="793"/>
    <s v="Kilometers"/>
    <s v="Unit 2448 "/>
  </r>
  <r>
    <n v="59"/>
    <x v="0"/>
    <x v="0"/>
    <x v="11"/>
    <x v="3"/>
    <n v="42.03"/>
    <s v="Liters"/>
    <n v="265"/>
    <s v="Kilometers"/>
    <s v="Toyota Grandia "/>
  </r>
  <r>
    <n v="60"/>
    <x v="0"/>
    <x v="0"/>
    <x v="11"/>
    <x v="3"/>
    <n v="269.12"/>
    <s v="Liters"/>
    <n v="1857"/>
    <s v="Kilometers"/>
    <s v="Toyota Commuter "/>
  </r>
  <r>
    <n v="61"/>
    <x v="1"/>
    <x v="0"/>
    <x v="11"/>
    <x v="3"/>
    <n v="72.400000000000006"/>
    <s v="Liters"/>
    <n v="592"/>
    <s v="Kilometers"/>
    <s v="Totota Innova"/>
  </r>
  <r>
    <n v="62"/>
    <x v="2"/>
    <x v="0"/>
    <x v="11"/>
    <x v="3"/>
    <n v="990.32"/>
    <s v="Liters"/>
    <n v="4102"/>
    <s v="Kilometers"/>
    <s v="Unit 590 "/>
  </r>
  <r>
    <n v="63"/>
    <x v="2"/>
    <x v="0"/>
    <x v="11"/>
    <x v="3"/>
    <n v="264.35000000000002"/>
    <s v="Liters"/>
    <n v="991"/>
    <s v="Kilometers"/>
    <s v="Unit 2448 "/>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7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7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7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7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7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4"/>
        <item m="1" x="7"/>
        <item x="3"/>
        <item m="1" x="6"/>
        <item m="1" x="9"/>
        <item m="1" x="10"/>
        <item m="1" x="8"/>
        <item m="1" x="5"/>
        <item x="2"/>
        <item x="0"/>
        <item x="1"/>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7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7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1" s="1"/>
        <i x="0" s="1"/>
        <i x="4" s="1" nd="1"/>
        <i x="10" s="1" nd="1"/>
        <i x="8" s="1" nd="1"/>
        <i x="5" s="1" nd="1"/>
        <i x="6" s="1" nd="1"/>
        <i x="7" s="1" nd="1"/>
        <i x="9"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39" dataDxfId="137" headerRowBorderDxfId="138" tableBorderDxfId="136">
  <autoFilter ref="I6:O18" xr:uid="{5D54EA1C-BF56-1C41-A397-8FB104BB2C69}"/>
  <tableColumns count="7">
    <tableColumn id="1" xr3:uid="{0736B116-FD52-4F4F-884D-77C731445CFF}" name="No." dataDxfId="135">
      <calculatedColumnFormula>IF(#REF!="","",$I7+1)</calculatedColumnFormula>
    </tableColumn>
    <tableColumn id="5" xr3:uid="{C603CCC2-2764-574B-B616-B1F220EFF63F}" name="Fuel Type" dataDxfId="134"/>
    <tableColumn id="6" xr3:uid="{29E6127A-1BBD-4D42-8A5A-1FA1E160EC19}" name="Month" dataDxfId="133"/>
    <tableColumn id="7" xr3:uid="{AAB63BD1-C28A-2145-9671-756792E786E6}" name="Quarter" dataDxfId="132">
      <calculatedColumnFormula>IF(Fuel_Blg[[#This Row],[Month]]&lt;&gt;"",VLOOKUP(Fuel_Blg[[#This Row],[Month]], dropdown!$S$4:$T$15, 2, FALSE),"")</calculatedColumnFormula>
    </tableColumn>
    <tableColumn id="8" xr3:uid="{2659C633-FEE7-7446-91C8-0ACAADD03760}" name="Consumption" dataDxfId="131"/>
    <tableColumn id="9" xr3:uid="{83261790-77E9-A84F-890F-8F209571520F}" name="Unit" dataDxfId="130">
      <calculatedColumnFormula>IF($J7="","",VLOOKUP($J7,dropdown!$P$3:$Q$8,2,FALSE))</calculatedColumnFormula>
    </tableColumn>
    <tableColumn id="10" xr3:uid="{ADF20B56-6D74-6149-B0C0-FB9AA3F5AC8E}" name="Remarks"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128" dataDxfId="126" headerRowBorderDxfId="127" tableBorderDxfId="125" totalsRowBorderDxfId="124">
  <autoFilter ref="I6:R106" xr:uid="{A85D45EB-1572-A543-812E-815536D59C14}"/>
  <tableColumns count="10">
    <tableColumn id="1" xr3:uid="{CA340CBE-9D85-6C42-9CA1-DDAD368521C3}" name="No." dataDxfId="123">
      <calculatedColumnFormula>IF($J7="","",$I6+1)</calculatedColumnFormula>
    </tableColumn>
    <tableColumn id="2" xr3:uid="{CFAD3D96-F137-044A-AE4C-49E5188E1144}" name="Vehicle Type" dataDxfId="122"/>
    <tableColumn id="3" xr3:uid="{5A421D87-7A43-B14E-BA71-EABB4924A663}" name="Fuel Type" dataDxfId="121"/>
    <tableColumn id="4" xr3:uid="{9C4094CC-7613-9147-BAF8-A31087280A9A}" name="Month" dataDxfId="120"/>
    <tableColumn id="10" xr3:uid="{5211A67F-348D-494D-AD2E-AD4A362BCD78}" name="Quarter" dataDxfId="119">
      <calculatedColumnFormula>IF(Fuel_Veh[[#This Row],[Month]]&lt;&gt;"",VLOOKUP(Fuel_Veh[[#This Row],[Month]], dropdown!$S$4:$T$15, 2, FALSE),"")</calculatedColumnFormula>
    </tableColumn>
    <tableColumn id="5" xr3:uid="{6EDA12F9-55D0-694A-BAB9-B15BDE58CA76}" name="Consumption" dataDxfId="118"/>
    <tableColumn id="7" xr3:uid="{E7761959-51F4-954F-B8FB-F46DCC54C53F}" name="Unit" dataDxfId="117">
      <calculatedColumnFormula>IF($K7="","",VLOOKUP($K7,dropdown!$P$14:$Q$18,2,FALSE))</calculatedColumnFormula>
    </tableColumn>
    <tableColumn id="8" xr3:uid="{AD5D0247-3B56-D146-B22E-45D44E44A249}" name="Total kilometers travelled (all vehicles)" dataDxfId="116"/>
    <tableColumn id="6" xr3:uid="{7D9E5DFA-64C2-4B06-A40F-0BC8CB602574}" name="Unit2" dataDxfId="115">
      <calculatedColumnFormula>IF($P7="","","Kilometers")</calculatedColumnFormula>
    </tableColumn>
    <tableColumn id="9" xr3:uid="{3C24034E-2544-5447-B927-0F565A869F60}" name="Remarks" dataDxfId="1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113" dataDxfId="112">
  <autoFilter ref="I8:W107" xr:uid="{4EA7077C-50F7-42D2-96F2-51568F67E7B2}"/>
  <tableColumns count="15">
    <tableColumn id="1" xr3:uid="{F5FCA22D-7063-431B-9399-42C43DB71411}" name="No." dataDxfId="111">
      <calculatedColumnFormula>IF($K9="","",$I8+1)</calculatedColumnFormula>
    </tableColumn>
    <tableColumn id="2" xr3:uid="{132030AD-4541-47EB-A337-EEE87637C1DE}" name="Location" dataDxfId="110"/>
    <tableColumn id="3" xr3:uid="{E38A8A42-DF98-463F-8F43-42FB3365C31D}" name="Equipment Category" dataDxfId="109"/>
    <tableColumn id="4" xr3:uid="{73A30FFB-A2D9-422E-811C-B1A1BA4CF2FF}" name="No. of Units" dataDxfId="108"/>
    <tableColumn id="5" xr3:uid="{C542C367-6C7C-4A2E-AFC0-70AA09658289}" name="Refrigerant" dataDxfId="107"/>
    <tableColumn id="6" xr3:uid="{A49CD649-8CDA-4BDE-9E6C-7CED9E0C5258}" name="Equipment Status" dataDxfId="106"/>
    <tableColumn id="7" xr3:uid="{496D94A5-FA4D-4CAE-BA86-0076C8252260}" name="Month Purchased" dataDxfId="105"/>
    <tableColumn id="8" xr3:uid="{C2C4A362-BE62-4AD9-8A32-0EE063613BFF}" name="Charge (kg)" dataDxfId="104"/>
    <tableColumn id="9" xr3:uid="{72FA09EB-82CD-4F9D-B0C6-9BC0E94D6119}" name="Month Recharged" dataDxfId="103"/>
    <tableColumn id="10" xr3:uid="{47F108D4-F5B0-471A-95AA-199B8E9D5D51}" name="Recharge (kg)" dataDxfId="102"/>
    <tableColumn id="11" xr3:uid="{7F5D579B-DB98-4EE1-9316-59541598F54B}" name="Month Disposed" dataDxfId="101"/>
    <tableColumn id="12" xr3:uid="{27D4DE6A-84A7-49EE-85CD-4A4C4CF0E9C1}" name="Capacity (kg)" dataDxfId="100"/>
    <tableColumn id="13" xr3:uid="{57B4A461-924D-48EC-A43C-5A1EEE91ED09}" name="Recovered (kg)" dataDxfId="99"/>
    <tableColumn id="14" xr3:uid="{4A88164E-A6C3-4FE4-8DE4-0C0950D809F0}" name="Quarter" dataDxfId="98">
      <calculatedColumnFormula>IFERROR(VLOOKUP($O9, dropdown!$S$4:$T$15, 2, FALSE),
 IFERROR(VLOOKUP($Q9, dropdown!$S$4:$T$15, 2, FALSE),
 IFERROR(VLOOKUP($S9, dropdown!$S$4:$T$15, 2, FALSE),
 "")))</calculatedColumnFormula>
    </tableColumn>
    <tableColumn id="15" xr3:uid="{D18D61D3-B9DB-40F4-9EBB-61DAFC976BF5}" name="Remarks" dataDxfId="9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96" tableBorderDxfId="95">
  <autoFilter ref="I7:O107" xr:uid="{4E808252-F12F-E841-AB57-6A82E4759C1A}"/>
  <tableColumns count="7">
    <tableColumn id="1" xr3:uid="{D5D30AA3-E573-734B-B6AB-3BC327F8D967}" name="No." dataDxfId="94"/>
    <tableColumn id="3" xr3:uid="{E49E940C-A64E-A446-B958-9A58950DBA26}" name="Month" dataDxfId="93"/>
    <tableColumn id="8" xr3:uid="{A32745C6-53F1-AF48-B40D-2062538BA76C}" name="Quarter" dataDxfId="92">
      <calculatedColumnFormula>IF(Electricity[[#This Row],[Month]]&lt;&gt;"",VLOOKUP(Electricity[[#This Row],[Month]], dropdown!$S$4:$T$15, 2, FALSE),"")</calculatedColumnFormula>
    </tableColumn>
    <tableColumn id="4" xr3:uid="{7BDA3B9E-E331-A040-8D00-68C0D245C2DD}" name="Consumption (kWh)" dataDxfId="91"/>
    <tableColumn id="5" xr3:uid="{4597EC97-806C-4E41-8BA3-E789252B06C0}" name="Cost (PHP)" dataDxfId="90"/>
    <tableColumn id="6" xr3:uid="{4139C44D-830B-F247-8F9C-494AF4CBED3A}" name="Utility Provider" dataDxfId="89"/>
    <tableColumn id="7" xr3:uid="{A1E305CA-3F3B-AC45-B4A9-903D25ED562F}" name="Remarks" dataDxfId="8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87" tableBorderDxfId="86">
  <autoFilter ref="I6:N106" xr:uid="{4E808252-F12F-E841-AB57-6A82E4759C1A}"/>
  <tableColumns count="6">
    <tableColumn id="1" xr3:uid="{96892042-DA4D-554E-B6C0-56CC2E778BE0}" name="No." dataDxfId="85">
      <calculatedColumnFormula>IF(Electricity6[[#This Row],[Month]]="","",1)</calculatedColumnFormula>
    </tableColumn>
    <tableColumn id="3" xr3:uid="{4D461598-2D62-B244-9F61-EF4079251355}" name="Month" dataDxfId="84"/>
    <tableColumn id="8" xr3:uid="{45DB6F9E-A541-A04C-BEB7-D0FD16821599}" name="Quarter" dataDxfId="83">
      <calculatedColumnFormula>IF(Electricity6[[#This Row],[Month]]&lt;&gt;"",VLOOKUP(Electricity6[[#This Row],[Month]], dropdown!$S$4:$T$15, 2, FALSE),"")</calculatedColumnFormula>
    </tableColumn>
    <tableColumn id="4" xr3:uid="{2384A887-6797-9D45-A82F-AD87B1CEA514}" name="Solar Energy Generated (kWh)" dataDxfId="82"/>
    <tableColumn id="6" xr3:uid="{C0C5600A-2A4F-42FA-A171-A7D77002B82E}" name="Operational Energy Demand - One Shift (kWH)" dataDxfId="81"/>
    <tableColumn id="7" xr3:uid="{0E49F2FA-DF95-494F-B55D-59E5FA7DFB31}" name="Remarks" dataDxfId="8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79" dataDxfId="77" headerRowBorderDxfId="78" tableBorderDxfId="76" totalsRowBorderDxfId="75">
  <autoFilter ref="I7:N107" xr:uid="{D1C0C9B2-779D-1649-AFF9-2DC747BD8D8E}"/>
  <tableColumns count="6">
    <tableColumn id="1" xr3:uid="{98251D21-9B72-FF46-855C-29CDFC3F8C49}" name="No." dataDxfId="74">
      <calculatedColumnFormula>IF(#REF!="","",$I7+1)</calculatedColumnFormula>
    </tableColumn>
    <tableColumn id="3" xr3:uid="{79584AA0-F1B7-3B41-BB42-77B2A9F16C14}" name="Month" dataDxfId="73"/>
    <tableColumn id="4" xr3:uid="{A3CA35C2-DBF2-C44A-8453-C1C3204D173D}" name="Quarter" dataDxfId="72">
      <calculatedColumnFormula>IF(water_in[[#This Row],[Month]]&lt;&gt;"",VLOOKUP(water_in[[#This Row],[Month]], dropdown!$S$4:$T$15, 2, FALSE),"")</calculatedColumnFormula>
    </tableColumn>
    <tableColumn id="5" xr3:uid="{94E41BA5-FE14-7A42-A566-007A23C80527}" name="Source" dataDxfId="71"/>
    <tableColumn id="6" xr3:uid="{06C9DE83-99A6-6E42-BFF6-BBB009F75383}" name="Volume (m3)" dataDxfId="70"/>
    <tableColumn id="7" xr3:uid="{76D3A7A4-7A71-A740-A5FE-E0978AE0D14C}" name="Remarks" dataDxfId="6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68" dataDxfId="66" headerRowBorderDxfId="67" tableBorderDxfId="65" totalsRowBorderDxfId="64">
  <autoFilter ref="P7:U107" xr:uid="{417FDA8E-3E35-E54B-B144-32DD667BE400}"/>
  <tableColumns count="6">
    <tableColumn id="1" xr3:uid="{C13D90C4-D898-7E42-BF11-5CEB6AE3F508}" name="No." dataDxfId="63">
      <calculatedColumnFormula>IF(#REF!="","",$P7+1)</calculatedColumnFormula>
    </tableColumn>
    <tableColumn id="3" xr3:uid="{FB4E4C5F-3555-F84A-866C-D2E830B01E5D}" name="Month" dataDxfId="62"/>
    <tableColumn id="4" xr3:uid="{619B28E5-6E0C-9445-94A5-CFE5B7E140CF}" name="Quarter" dataDxfId="61">
      <calculatedColumnFormula>IF(water_out[[#This Row],[Month]]&lt;&gt;"",VLOOKUP(water_out[[#This Row],[Month]], dropdown!$S$4:$T$15, 2, FALSE),"")</calculatedColumnFormula>
    </tableColumn>
    <tableColumn id="6" xr3:uid="{FC43882E-BF75-DA4D-B572-DC2FBD6873DC}" name="Water Destination" dataDxfId="60"/>
    <tableColumn id="2" xr3:uid="{10C062EB-B924-4DED-B867-1CB5A5574221}" name="Volume2 (m3)" dataDxfId="59"/>
    <tableColumn id="8" xr3:uid="{41D6224C-69B7-5E4A-8BC8-C342068A9656}" name="Remarks" dataDxfId="5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57" dataDxfId="56" tableBorderDxfId="55">
  <autoFilter ref="I12:O30" xr:uid="{644952C9-78B7-944D-8BFB-5F0BBB441E25}"/>
  <tableColumns count="7">
    <tableColumn id="1" xr3:uid="{905CBBCA-C4CE-E64F-8577-DD820D762EBE}" name="Component" dataDxfId="54"/>
    <tableColumn id="2" xr3:uid="{95B1D560-7606-8440-A263-1F3488DDCF60}" name="Chemical Formula" dataDxfId="53"/>
    <tableColumn id="3" xr3:uid="{BAFDD3D8-B5F1-0945-B68F-96F3F4D4E83A}" name="Molar Fraction (%)" dataDxfId="52"/>
    <tableColumn id="4" xr3:uid="{8ED09876-064B-5643-B346-8B9BE03FCA7C}" name="Total Moles (kg-mole/m3)" dataDxfId="51">
      <calculatedColumnFormula>IF(Waste_Gases[[#This Row],[Molar Fraction (%)]]=0,"",Waste_Gases[[#This Row],[Molar Fraction (%)]]*$D$15)</calculatedColumnFormula>
    </tableColumn>
    <tableColumn id="5" xr3:uid="{AF137C96-997B-0043-A824-BF6EB99BF204}" name="Molecular Weight" dataDxfId="50"/>
    <tableColumn id="6" xr3:uid="{45DE64DD-9AEC-7A47-BFD6-46841261F085}" name="Percent Carbon (%)" dataDxfId="49">
      <calculatedColumnFormula>Emission_Factors!$B$17/Waste_Gases[[#This Row],[Molecular Weight]]</calculatedColumnFormula>
    </tableColumn>
    <tableColumn id="7" xr3:uid="{2A4C64A5-A239-5A46-9E95-F45AEE05D934}" name="Carbon Content(kg/m3)" dataDxfId="4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47" tableBorderDxfId="46">
  <autoFilter ref="I7:O104" xr:uid="{0230B550-3160-A24C-BB39-D77FBA7436E1}"/>
  <tableColumns count="7">
    <tableColumn id="1" xr3:uid="{E1E9FF9D-27E3-7D49-AEA6-2B1729AB118D}" name="No." dataDxfId="45"/>
    <tableColumn id="2" xr3:uid="{8380DC80-2805-C14F-AD3B-7C45100601CB}" name="Month" dataDxfId="44"/>
    <tableColumn id="3" xr3:uid="{8B50C8B1-2B60-7D48-8932-B0CD897CE645}" name="Quarter" dataDxfId="43">
      <calculatedColumnFormula>IF(Waste[[#This Row],[Month]]&lt;&gt;"",VLOOKUP(Waste[[#This Row],[Month]], dropdown!$S$4:$T$15, 2, FALSE),"")</calculatedColumnFormula>
    </tableColumn>
    <tableColumn id="4" xr3:uid="{1D0A3C03-9904-E148-8A78-B82195B0EA5C}" name="Waste Composition" dataDxfId="42"/>
    <tableColumn id="5" xr3:uid="{93373184-794D-CF48-B2C6-609884108023}" name="Weight (kg)" dataDxfId="41"/>
    <tableColumn id="6" xr3:uid="{AEA2ECE1-073B-3E43-BACD-0EDC33C61465}" name="Disposal/Recovery Method" dataDxfId="40"/>
    <tableColumn id="7" xr3:uid="{5D0BB89C-B4C6-D54A-A767-64E8AE7DDBFE}" name="Remarks" dataDxfId="3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111" totalsRowShown="0" headerRowDxfId="38">
  <autoFilter ref="A1:E1111" xr:uid="{76DE87AF-814A-AB4A-8281-B0E5A4C74319}"/>
  <tableColumns count="5">
    <tableColumn id="1" xr3:uid="{26002ACD-4A1E-4D49-89F1-047F359822D0}" name="Timestamp" dataDxfId="3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C1" zoomScale="87" zoomScaleNormal="87" workbookViewId="0">
      <selection activeCell="F112" sqref="F11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C9" sqref="C9"/>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t="s">
        <v>417</v>
      </c>
      <c r="E2" s="444"/>
      <c r="F2" s="444"/>
      <c r="G2" s="445"/>
    </row>
    <row r="3" spans="3:7" x14ac:dyDescent="0.2">
      <c r="C3" s="117" t="s">
        <v>12</v>
      </c>
      <c r="D3" s="443">
        <v>2024</v>
      </c>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3922.4500000000003</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16101.803</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270259.20000000001</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3123</v>
      </c>
    </row>
    <row r="40" spans="3:5" x14ac:dyDescent="0.2">
      <c r="C40" s="189" t="str">
        <f>'2.4 Water'!B12</f>
        <v>Water Discharge</v>
      </c>
      <c r="D40" s="189" t="str">
        <f>'2.4 Water'!C12</f>
        <v>Cubic meters</v>
      </c>
      <c r="E40" s="190">
        <f>SUM('2.4 Water'!$D$12:$G$12)</f>
        <v>265</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I19" sqref="I19:O106"/>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North Luzon Regional Office</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f>IF($M7="","",1)</f>
        <v>1</v>
      </c>
      <c r="J7" s="57" t="s">
        <v>37</v>
      </c>
      <c r="K7" s="58" t="s">
        <v>338</v>
      </c>
      <c r="L7" s="18" t="str">
        <f>IF(Fuel_Blg[[#This Row],[Month]]&lt;&gt;"",VLOOKUP(Fuel_Blg[[#This Row],[Month]], dropdown!$S$4:$T$15, 2, FALSE),"")</f>
        <v>Q1</v>
      </c>
      <c r="M7" s="29">
        <v>0</v>
      </c>
      <c r="N7" s="17" t="str">
        <f>IF($J7="","",VLOOKUP($J7,dropdown!$P$3:$Q$8,2,FALSE))</f>
        <v>Liters</v>
      </c>
      <c r="O7" s="195" t="s">
        <v>1484</v>
      </c>
      <c r="P7" s="20"/>
    </row>
    <row r="8" spans="2:16" x14ac:dyDescent="0.2">
      <c r="I8" s="194"/>
      <c r="J8" s="57" t="s">
        <v>37</v>
      </c>
      <c r="K8" s="58" t="s">
        <v>89</v>
      </c>
      <c r="L8" s="18" t="str">
        <f>IF(Fuel_Blg[[#This Row],[Month]]&lt;&gt;"",VLOOKUP(Fuel_Blg[[#This Row],[Month]], dropdown!$S$4:$T$15, 2, FALSE),"")</f>
        <v>Q1</v>
      </c>
      <c r="M8" s="29">
        <v>0</v>
      </c>
      <c r="N8" s="17" t="str">
        <f>IF($J8="","",VLOOKUP($J8,dropdown!$P$3:$Q$8,2,FALSE))</f>
        <v>Liters</v>
      </c>
      <c r="O8" s="195" t="s">
        <v>1484</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544.6</v>
      </c>
      <c r="N9" s="17" t="str">
        <f>IF($J9="","",VLOOKUP($J9,dropdown!$P$3:$Q$8,2,FALSE))</f>
        <v>Liters</v>
      </c>
      <c r="O9" s="195" t="s">
        <v>1484</v>
      </c>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75.25</v>
      </c>
      <c r="N10" s="17" t="str">
        <f>IF($J10="","",VLOOKUP($J10,dropdown!$P$3:$Q$8,2,FALSE))</f>
        <v>Liters</v>
      </c>
      <c r="O10" s="195" t="s">
        <v>1484</v>
      </c>
      <c r="P10" s="20"/>
    </row>
    <row r="11" spans="2:16" x14ac:dyDescent="0.2">
      <c r="B11" s="17" t="str">
        <f>dropdown!$P4</f>
        <v>Diesel - Standby generator sets</v>
      </c>
      <c r="C11" s="17" t="str">
        <f>dropdown!$Q4</f>
        <v>Liters</v>
      </c>
      <c r="D11" s="41">
        <f>SUMIFS(Fuel_Blg[Consumption],Fuel_Blg[Quarter],D$10,Fuel_Blg[Fuel Type],$B$11)</f>
        <v>544.6</v>
      </c>
      <c r="E11" s="41">
        <f>SUMIFS(Fuel_Blg[Consumption],Fuel_Blg[Quarter],E$10,Fuel_Blg[Fuel Type],$B$11)</f>
        <v>295.05</v>
      </c>
      <c r="F11" s="41">
        <f>SUMIFS(Fuel_Blg[Consumption],Fuel_Blg[Quarter],F$10,Fuel_Blg[Fuel Type],$B$11)</f>
        <v>1980.6499999999999</v>
      </c>
      <c r="G11" s="41">
        <f>SUMIFS(Fuel_Blg[Consumption],Fuel_Blg[Quarter],G$10,Fuel_Blg[Fuel Type],$B$11)</f>
        <v>1102.1500000000001</v>
      </c>
      <c r="I11" s="194">
        <f t="shared" si="0"/>
        <v>2</v>
      </c>
      <c r="J11" s="57" t="s">
        <v>37</v>
      </c>
      <c r="K11" s="58" t="s">
        <v>379</v>
      </c>
      <c r="L11" s="18" t="str">
        <f>IF(Fuel_Blg[[#This Row],[Month]]&lt;&gt;"",VLOOKUP(Fuel_Blg[[#This Row],[Month]], dropdown!$S$4:$T$15, 2, FALSE),"")</f>
        <v>Q2</v>
      </c>
      <c r="M11" s="29">
        <v>121.1</v>
      </c>
      <c r="N11" s="17" t="str">
        <f>IF($J11="","",VLOOKUP($J11,dropdown!$P$3:$Q$8,2,FALSE))</f>
        <v>Liters</v>
      </c>
      <c r="O11" s="195" t="s">
        <v>1484</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98.700000000000017</v>
      </c>
      <c r="N12" s="17" t="str">
        <f>IF($J12="","",VLOOKUP($J12,dropdown!$P$3:$Q$8,2,FALSE))</f>
        <v>Liters</v>
      </c>
      <c r="O12" s="195" t="s">
        <v>1484</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1089.1999999999998</v>
      </c>
      <c r="N13" s="17" t="str">
        <f>IF($J13="","",VLOOKUP($J13,dropdown!$P$3:$Q$8,2,FALSE))</f>
        <v>Liters</v>
      </c>
      <c r="O13" s="195" t="s">
        <v>1484</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381.5</v>
      </c>
      <c r="N14" s="17" t="str">
        <f>IF($J14="","",VLOOKUP($J14,dropdown!$P$3:$Q$8,2,FALSE))</f>
        <v>Liters</v>
      </c>
      <c r="O14" s="195" t="s">
        <v>1484</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509.95</v>
      </c>
      <c r="N15" s="17" t="str">
        <f>IF($J15="","",VLOOKUP($J15,dropdown!$P$3:$Q$8,2,FALSE))</f>
        <v>Liters</v>
      </c>
      <c r="O15" s="195" t="s">
        <v>1484</v>
      </c>
      <c r="P15" s="20"/>
    </row>
    <row r="16" spans="2:16" x14ac:dyDescent="0.2">
      <c r="I16" s="194">
        <f t="shared" si="0"/>
        <v>7</v>
      </c>
      <c r="J16" s="57" t="s">
        <v>37</v>
      </c>
      <c r="K16" s="58" t="s">
        <v>400</v>
      </c>
      <c r="L16" s="18" t="str">
        <f>IF(Fuel_Blg[[#This Row],[Month]]&lt;&gt;"",VLOOKUP(Fuel_Blg[[#This Row],[Month]], dropdown!$S$4:$T$15, 2, FALSE),"")</f>
        <v>Q4</v>
      </c>
      <c r="M16" s="29">
        <v>850.5</v>
      </c>
      <c r="N16" s="17" t="str">
        <f>IF($J16="","",VLOOKUP($J16,dropdown!$P$3:$Q$8,2,FALSE))</f>
        <v>Liters</v>
      </c>
      <c r="O16" s="195" t="s">
        <v>1484</v>
      </c>
      <c r="P16" s="20"/>
    </row>
    <row r="17" spans="2:16" x14ac:dyDescent="0.2">
      <c r="B17" s="267" t="s">
        <v>38</v>
      </c>
      <c r="I17" s="194">
        <f t="shared" si="0"/>
        <v>8</v>
      </c>
      <c r="J17" s="57" t="s">
        <v>37</v>
      </c>
      <c r="K17" s="58" t="s">
        <v>404</v>
      </c>
      <c r="L17" s="18" t="str">
        <f>IF(Fuel_Blg[[#This Row],[Month]]&lt;&gt;"",VLOOKUP(Fuel_Blg[[#This Row],[Month]], dropdown!$S$4:$T$15, 2, FALSE),"")</f>
        <v>Q4</v>
      </c>
      <c r="M17" s="29">
        <v>124.25</v>
      </c>
      <c r="N17" s="17" t="str">
        <f>IF($J17="","",VLOOKUP($J17,dropdown!$P$3:$Q$8,2,FALSE))</f>
        <v>Liters</v>
      </c>
      <c r="O17" s="195" t="s">
        <v>1484</v>
      </c>
      <c r="P17" s="20"/>
    </row>
    <row r="18" spans="2:16" x14ac:dyDescent="0.2">
      <c r="B18" s="268" t="s">
        <v>175</v>
      </c>
      <c r="I18" s="194">
        <f t="shared" si="0"/>
        <v>9</v>
      </c>
      <c r="J18" s="57" t="s">
        <v>37</v>
      </c>
      <c r="K18" s="58" t="s">
        <v>407</v>
      </c>
      <c r="L18" s="18" t="str">
        <f>IF(Fuel_Blg[[#This Row],[Month]]&lt;&gt;"",VLOOKUP(Fuel_Blg[[#This Row],[Month]], dropdown!$S$4:$T$15, 2, FALSE),"")</f>
        <v>Q4</v>
      </c>
      <c r="M18" s="29">
        <v>127.39999999999999</v>
      </c>
      <c r="N18" s="17" t="str">
        <f>IF($J18="","",VLOOKUP($J18,dropdown!$P$3:$Q$8,2,FALSE))</f>
        <v>Liters</v>
      </c>
      <c r="O18" s="195" t="s">
        <v>1484</v>
      </c>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A4" zoomScaleNormal="100" workbookViewId="0">
      <selection activeCell="N17" sqref="N17"/>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North Luzon Regional Office</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381</v>
      </c>
      <c r="K7" s="57" t="s">
        <v>63</v>
      </c>
      <c r="L7" s="58" t="s">
        <v>338</v>
      </c>
      <c r="M7" s="18" t="str">
        <f>IF(Fuel_Veh[[#This Row],[Month]]&lt;&gt;"",VLOOKUP(Fuel_Veh[[#This Row],[Month]], dropdown!$S$4:$T$15, 2, FALSE),"")</f>
        <v>Q1</v>
      </c>
      <c r="N7" s="29">
        <v>0</v>
      </c>
      <c r="O7" s="17" t="str">
        <f>IF($K7="","",VLOOKUP($K7,dropdown!$P$14:$Q$18,2,FALSE))</f>
        <v>Liters</v>
      </c>
      <c r="P7" s="29">
        <v>0</v>
      </c>
      <c r="Q7" s="17" t="str">
        <f t="shared" ref="Q7:Q70" si="0">IF($P7="","","Kilometers")</f>
        <v>Kilometers</v>
      </c>
      <c r="R7" s="195" t="s">
        <v>1485</v>
      </c>
    </row>
    <row r="8" spans="2:18" x14ac:dyDescent="0.2">
      <c r="I8" s="194">
        <f>IF($J8="","",$I7+1)</f>
        <v>2</v>
      </c>
      <c r="J8" s="57" t="s">
        <v>381</v>
      </c>
      <c r="K8" s="57" t="s">
        <v>63</v>
      </c>
      <c r="L8" s="58" t="s">
        <v>338</v>
      </c>
      <c r="M8" s="18" t="str">
        <f>IF(Fuel_Veh[[#This Row],[Month]]&lt;&gt;"",VLOOKUP(Fuel_Veh[[#This Row],[Month]], dropdown!$S$4:$T$15, 2, FALSE),"")</f>
        <v>Q1</v>
      </c>
      <c r="N8" s="29">
        <v>152.18</v>
      </c>
      <c r="O8" s="17"/>
      <c r="P8" s="29">
        <v>1188</v>
      </c>
      <c r="Q8" s="17" t="str">
        <f t="shared" si="0"/>
        <v>Kilometers</v>
      </c>
      <c r="R8" s="195" t="s">
        <v>1486</v>
      </c>
    </row>
    <row r="9" spans="2:18" x14ac:dyDescent="0.2">
      <c r="B9" s="14" t="s">
        <v>33</v>
      </c>
      <c r="C9" s="14"/>
      <c r="D9" s="14"/>
      <c r="E9" s="14"/>
      <c r="F9" s="14"/>
      <c r="G9" s="14"/>
      <c r="I9" s="194">
        <f>IF($J9="","",$I8+1)</f>
        <v>3</v>
      </c>
      <c r="J9" s="57" t="s">
        <v>365</v>
      </c>
      <c r="K9" s="57" t="s">
        <v>63</v>
      </c>
      <c r="L9" s="58" t="s">
        <v>338</v>
      </c>
      <c r="M9" s="18" t="str">
        <f>IF(Fuel_Veh[[#This Row],[Month]]&lt;&gt;"",VLOOKUP(Fuel_Veh[[#This Row],[Month]], dropdown!$S$4:$T$15, 2, FALSE),"")</f>
        <v>Q1</v>
      </c>
      <c r="N9" s="29">
        <v>130.85</v>
      </c>
      <c r="O9" s="17" t="str">
        <f>IF($K9="","",VLOOKUP($K9,dropdown!$P$14:$Q$18,2,FALSE))</f>
        <v>Liters</v>
      </c>
      <c r="P9" s="29">
        <v>1210</v>
      </c>
      <c r="Q9" s="17" t="str">
        <f t="shared" si="0"/>
        <v>Kilometers</v>
      </c>
      <c r="R9" s="195" t="s">
        <v>1487</v>
      </c>
    </row>
    <row r="10" spans="2:18" x14ac:dyDescent="0.2">
      <c r="B10" s="13" t="s">
        <v>35</v>
      </c>
      <c r="C10" s="13" t="s">
        <v>51</v>
      </c>
      <c r="D10" s="40" t="s">
        <v>45</v>
      </c>
      <c r="E10" s="40" t="s">
        <v>149</v>
      </c>
      <c r="F10" s="40" t="s">
        <v>150</v>
      </c>
      <c r="G10" s="40" t="s">
        <v>151</v>
      </c>
      <c r="I10" s="194">
        <f>IF($J10="","",$I9+1)</f>
        <v>4</v>
      </c>
      <c r="J10" s="57" t="s">
        <v>343</v>
      </c>
      <c r="K10" s="57" t="s">
        <v>63</v>
      </c>
      <c r="L10" s="58" t="s">
        <v>338</v>
      </c>
      <c r="M10" s="18" t="str">
        <f>IF(Fuel_Veh[[#This Row],[Month]]&lt;&gt;"",VLOOKUP(Fuel_Veh[[#This Row],[Month]], dropdown!$S$4:$T$15, 2, FALSE),"")</f>
        <v>Q1</v>
      </c>
      <c r="N10" s="29">
        <v>225.21</v>
      </c>
      <c r="O10" s="17" t="str">
        <f>IF($K10="","",VLOOKUP($K10,dropdown!$P$14:$Q$18,2,FALSE))</f>
        <v>Liters</v>
      </c>
      <c r="P10" s="29">
        <v>997</v>
      </c>
      <c r="Q10" s="17" t="str">
        <f t="shared" si="0"/>
        <v>Kilometers</v>
      </c>
      <c r="R10" s="195" t="s">
        <v>1488</v>
      </c>
    </row>
    <row r="11" spans="2:18" x14ac:dyDescent="0.2">
      <c r="B11" s="17" t="str">
        <f>dropdown!$P15</f>
        <v>Diesel - Transport vehicles</v>
      </c>
      <c r="C11" s="17" t="str">
        <f>dropdown!$Q15</f>
        <v>Liters</v>
      </c>
      <c r="D11" s="41">
        <f>SUMIFS(Fuel_Veh[Consumption],Fuel_Veh[Quarter],D$10,Fuel_Veh[Fuel Type],$B$11)</f>
        <v>3419.83</v>
      </c>
      <c r="E11" s="41">
        <f>SUMIFS(Fuel_Veh[Consumption],Fuel_Veh[Quarter],E$10,Fuel_Veh[Fuel Type],$B$11)</f>
        <v>4278.9409999999998</v>
      </c>
      <c r="F11" s="41">
        <f>SUMIFS(Fuel_Veh[Consumption],Fuel_Veh[Quarter],F$10,Fuel_Veh[Fuel Type],$B$11)</f>
        <v>4145.902</v>
      </c>
      <c r="G11" s="41">
        <f>SUMIFS(Fuel_Veh[Consumption],Fuel_Veh[Quarter],G$10,Fuel_Veh[Fuel Type],$B$11)</f>
        <v>4257.13</v>
      </c>
      <c r="I11" s="194">
        <f>IF($J11="","",$I10+1)</f>
        <v>5</v>
      </c>
      <c r="J11" s="57" t="s">
        <v>343</v>
      </c>
      <c r="K11" s="57" t="s">
        <v>63</v>
      </c>
      <c r="L11" s="58" t="s">
        <v>338</v>
      </c>
      <c r="M11" s="18" t="str">
        <f>IF(Fuel_Veh[[#This Row],[Month]]&lt;&gt;"",VLOOKUP(Fuel_Veh[[#This Row],[Month]], dropdown!$S$4:$T$15, 2, FALSE),"")</f>
        <v>Q1</v>
      </c>
      <c r="N11" s="29">
        <v>0</v>
      </c>
      <c r="O11" s="17" t="str">
        <f>IF($K11="","",VLOOKUP($K11,dropdown!$P$14:$Q$18,2,FALSE))</f>
        <v>Liters</v>
      </c>
      <c r="P11" s="29">
        <v>0</v>
      </c>
      <c r="Q11" s="17" t="str">
        <f t="shared" si="0"/>
        <v>Kilometers</v>
      </c>
      <c r="R11" s="195" t="s">
        <v>1489</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381</v>
      </c>
      <c r="K12" s="57" t="s">
        <v>63</v>
      </c>
      <c r="L12" s="58" t="s">
        <v>89</v>
      </c>
      <c r="M12" s="18" t="str">
        <f>IF(Fuel_Veh[[#This Row],[Month]]&lt;&gt;"",VLOOKUP(Fuel_Veh[[#This Row],[Month]], dropdown!$S$4:$T$15, 2, FALSE),"")</f>
        <v>Q1</v>
      </c>
      <c r="N12" s="29">
        <v>0</v>
      </c>
      <c r="O12" s="17" t="str">
        <f>IF($K12="","",VLOOKUP($K12,dropdown!$P$14:$Q$18,2,FALSE))</f>
        <v>Liters</v>
      </c>
      <c r="P12" s="29">
        <v>0</v>
      </c>
      <c r="Q12" s="17" t="str">
        <f t="shared" si="0"/>
        <v>Kilometers</v>
      </c>
      <c r="R12" s="195" t="s">
        <v>1485</v>
      </c>
    </row>
    <row r="13" spans="2:18" ht="14" customHeight="1" x14ac:dyDescent="0.2">
      <c r="I13" s="194">
        <f t="shared" si="1"/>
        <v>7</v>
      </c>
      <c r="J13" s="57" t="s">
        <v>381</v>
      </c>
      <c r="K13" s="57" t="s">
        <v>63</v>
      </c>
      <c r="L13" s="58" t="s">
        <v>89</v>
      </c>
      <c r="M13" s="18" t="str">
        <f>IF(Fuel_Veh[[#This Row],[Month]]&lt;&gt;"",VLOOKUP(Fuel_Veh[[#This Row],[Month]], dropdown!$S$4:$T$15, 2, FALSE),"")</f>
        <v>Q1</v>
      </c>
      <c r="N13" s="29">
        <v>103</v>
      </c>
      <c r="O13" s="17" t="str">
        <f>IF($K13="","",VLOOKUP($K13,dropdown!$P$14:$Q$18,2,FALSE))</f>
        <v>Liters</v>
      </c>
      <c r="P13" s="29">
        <v>972</v>
      </c>
      <c r="Q13" s="17" t="str">
        <f t="shared" si="0"/>
        <v>Kilometers</v>
      </c>
      <c r="R13" s="195" t="s">
        <v>1486</v>
      </c>
    </row>
    <row r="14" spans="2:18" x14ac:dyDescent="0.2">
      <c r="B14" s="267" t="s">
        <v>38</v>
      </c>
      <c r="I14" s="194">
        <f t="shared" si="1"/>
        <v>8</v>
      </c>
      <c r="J14" s="57" t="s">
        <v>365</v>
      </c>
      <c r="K14" s="57" t="s">
        <v>63</v>
      </c>
      <c r="L14" s="58" t="s">
        <v>89</v>
      </c>
      <c r="M14" s="18" t="str">
        <f>IF(Fuel_Veh[[#This Row],[Month]]&lt;&gt;"",VLOOKUP(Fuel_Veh[[#This Row],[Month]], dropdown!$S$4:$T$15, 2, FALSE),"")</f>
        <v>Q1</v>
      </c>
      <c r="N14" s="29">
        <v>53</v>
      </c>
      <c r="O14" s="17" t="str">
        <f>IF($K14="","",VLOOKUP($K14,dropdown!$P$14:$Q$18,2,FALSE))</f>
        <v>Liters</v>
      </c>
      <c r="P14" s="29">
        <v>704</v>
      </c>
      <c r="Q14" s="17" t="str">
        <f t="shared" si="0"/>
        <v>Kilometers</v>
      </c>
      <c r="R14" s="195" t="s">
        <v>1487</v>
      </c>
    </row>
    <row r="15" spans="2:18" x14ac:dyDescent="0.2">
      <c r="B15" s="268" t="s">
        <v>175</v>
      </c>
      <c r="I15" s="194">
        <f t="shared" si="1"/>
        <v>9</v>
      </c>
      <c r="J15" s="57" t="s">
        <v>343</v>
      </c>
      <c r="K15" s="57" t="s">
        <v>63</v>
      </c>
      <c r="L15" s="58" t="s">
        <v>89</v>
      </c>
      <c r="M15" s="18" t="str">
        <f>IF(Fuel_Veh[[#This Row],[Month]]&lt;&gt;"",VLOOKUP(Fuel_Veh[[#This Row],[Month]], dropdown!$S$4:$T$15, 2, FALSE),"")</f>
        <v>Q1</v>
      </c>
      <c r="N15" s="29">
        <v>953.5</v>
      </c>
      <c r="O15" s="17" t="str">
        <f>IF($K15="","",VLOOKUP($K15,dropdown!$P$14:$Q$18,2,FALSE))</f>
        <v>Liters</v>
      </c>
      <c r="P15" s="29">
        <v>6967</v>
      </c>
      <c r="Q15" s="17" t="str">
        <f t="shared" si="0"/>
        <v>Kilometers</v>
      </c>
      <c r="R15" s="195" t="s">
        <v>1491</v>
      </c>
    </row>
    <row r="16" spans="2:18" x14ac:dyDescent="0.2">
      <c r="B16" s="266" t="s">
        <v>176</v>
      </c>
      <c r="I16" s="194">
        <f t="shared" si="1"/>
        <v>10</v>
      </c>
      <c r="J16" s="57" t="s">
        <v>343</v>
      </c>
      <c r="K16" s="57" t="s">
        <v>63</v>
      </c>
      <c r="L16" s="58" t="s">
        <v>89</v>
      </c>
      <c r="M16" s="18" t="str">
        <f>IF(Fuel_Veh[[#This Row],[Month]]&lt;&gt;"",VLOOKUP(Fuel_Veh[[#This Row],[Month]], dropdown!$S$4:$T$15, 2, FALSE),"")</f>
        <v>Q1</v>
      </c>
      <c r="N16" s="29">
        <v>504.09</v>
      </c>
      <c r="O16" s="17" t="str">
        <f>IF($K16="","",VLOOKUP($K16,dropdown!$P$14:$Q$18,2,FALSE))</f>
        <v>Liters</v>
      </c>
      <c r="P16" s="29">
        <v>2072</v>
      </c>
      <c r="Q16" s="17" t="str">
        <f t="shared" si="0"/>
        <v>Kilometers</v>
      </c>
      <c r="R16" s="195" t="s">
        <v>1489</v>
      </c>
    </row>
    <row r="17" spans="2:18" x14ac:dyDescent="0.2">
      <c r="B17" s="17" t="s">
        <v>177</v>
      </c>
      <c r="I17" s="194">
        <f t="shared" si="1"/>
        <v>11</v>
      </c>
      <c r="J17" s="57" t="s">
        <v>343</v>
      </c>
      <c r="K17" s="57" t="s">
        <v>63</v>
      </c>
      <c r="L17" s="58" t="s">
        <v>89</v>
      </c>
      <c r="M17" s="18" t="str">
        <f>IF(Fuel_Veh[[#This Row],[Month]]&lt;&gt;"",VLOOKUP(Fuel_Veh[[#This Row],[Month]], dropdown!$S$4:$T$15, 2, FALSE),"")</f>
        <v>Q1</v>
      </c>
      <c r="N17" s="29">
        <v>610</v>
      </c>
      <c r="O17" s="17" t="str">
        <f>IF($K17="","",VLOOKUP($K17,dropdown!$P$14:$Q$18,2,FALSE))</f>
        <v>Liters</v>
      </c>
      <c r="P17" s="29">
        <v>2244</v>
      </c>
      <c r="Q17" s="17" t="str">
        <f t="shared" si="0"/>
        <v>Kilometers</v>
      </c>
      <c r="R17" s="195" t="s">
        <v>1490</v>
      </c>
    </row>
    <row r="18" spans="2:18" x14ac:dyDescent="0.2">
      <c r="I18" s="194">
        <f t="shared" si="1"/>
        <v>12</v>
      </c>
      <c r="J18" s="57" t="s">
        <v>381</v>
      </c>
      <c r="K18" s="57" t="s">
        <v>63</v>
      </c>
      <c r="L18" s="58" t="s">
        <v>362</v>
      </c>
      <c r="M18" s="18" t="str">
        <f>IF(Fuel_Veh[[#This Row],[Month]]&lt;&gt;"",VLOOKUP(Fuel_Veh[[#This Row],[Month]], dropdown!$S$4:$T$15, 2, FALSE),"")</f>
        <v>Q1</v>
      </c>
      <c r="N18" s="29">
        <v>79</v>
      </c>
      <c r="O18" s="17" t="str">
        <f>IF($K18="","",VLOOKUP($K18,dropdown!$P$14:$Q$18,2,FALSE))</f>
        <v>Liters</v>
      </c>
      <c r="P18" s="29">
        <v>751</v>
      </c>
      <c r="Q18" s="17" t="str">
        <f t="shared" si="0"/>
        <v>Kilometers</v>
      </c>
      <c r="R18" s="195" t="s">
        <v>1485</v>
      </c>
    </row>
    <row r="19" spans="2:18" x14ac:dyDescent="0.2">
      <c r="I19" s="194">
        <f t="shared" si="1"/>
        <v>13</v>
      </c>
      <c r="J19" s="57" t="s">
        <v>381</v>
      </c>
      <c r="K19" s="57" t="s">
        <v>63</v>
      </c>
      <c r="L19" s="58" t="s">
        <v>362</v>
      </c>
      <c r="M19" s="18" t="str">
        <f>IF(Fuel_Veh[[#This Row],[Month]]&lt;&gt;"",VLOOKUP(Fuel_Veh[[#This Row],[Month]], dropdown!$S$4:$T$15, 2, FALSE),"")</f>
        <v>Q1</v>
      </c>
      <c r="N19" s="29">
        <v>154</v>
      </c>
      <c r="O19" s="17" t="str">
        <f>IF($K19="","",VLOOKUP($K19,dropdown!$P$14:$Q$18,2,FALSE))</f>
        <v>Liters</v>
      </c>
      <c r="P19" s="29">
        <v>1454</v>
      </c>
      <c r="Q19" s="17" t="str">
        <f t="shared" si="0"/>
        <v>Kilometers</v>
      </c>
      <c r="R19" s="195" t="s">
        <v>1492</v>
      </c>
    </row>
    <row r="20" spans="2:18" x14ac:dyDescent="0.2">
      <c r="I20" s="194">
        <f t="shared" si="1"/>
        <v>14</v>
      </c>
      <c r="J20" s="57" t="s">
        <v>365</v>
      </c>
      <c r="K20" s="57" t="s">
        <v>63</v>
      </c>
      <c r="L20" s="58" t="s">
        <v>362</v>
      </c>
      <c r="M20" s="18" t="str">
        <f>IF(Fuel_Veh[[#This Row],[Month]]&lt;&gt;"",VLOOKUP(Fuel_Veh[[#This Row],[Month]], dropdown!$S$4:$T$15, 2, FALSE),"")</f>
        <v>Q1</v>
      </c>
      <c r="N20" s="29">
        <v>171</v>
      </c>
      <c r="O20" s="17" t="str">
        <f>IF($K20="","",VLOOKUP($K20,dropdown!$P$14:$Q$18,2,FALSE))</f>
        <v>Liters</v>
      </c>
      <c r="P20" s="29">
        <v>1764</v>
      </c>
      <c r="Q20" s="17" t="str">
        <f t="shared" si="0"/>
        <v>Kilometers</v>
      </c>
      <c r="R20" s="195" t="s">
        <v>1493</v>
      </c>
    </row>
    <row r="21" spans="2:18" x14ac:dyDescent="0.2">
      <c r="I21" s="194">
        <f t="shared" si="1"/>
        <v>15</v>
      </c>
      <c r="J21" s="57" t="s">
        <v>343</v>
      </c>
      <c r="K21" s="57" t="s">
        <v>63</v>
      </c>
      <c r="L21" s="58" t="s">
        <v>362</v>
      </c>
      <c r="M21" s="18" t="str">
        <f>IF(Fuel_Veh[[#This Row],[Month]]&lt;&gt;"",VLOOKUP(Fuel_Veh[[#This Row],[Month]], dropdown!$S$4:$T$15, 2, FALSE),"")</f>
        <v>Q1</v>
      </c>
      <c r="N21" s="29">
        <v>284</v>
      </c>
      <c r="O21" s="17" t="str">
        <f>IF($K21="","",VLOOKUP($K21,dropdown!$P$14:$Q$18,2,FALSE))</f>
        <v>Liters</v>
      </c>
      <c r="P21" s="29">
        <v>1075</v>
      </c>
      <c r="Q21" s="17" t="str">
        <f t="shared" si="0"/>
        <v>Kilometers</v>
      </c>
      <c r="R21" s="195" t="s">
        <v>1488</v>
      </c>
    </row>
    <row r="22" spans="2:18" x14ac:dyDescent="0.2">
      <c r="I22" s="194">
        <f t="shared" si="1"/>
        <v>16</v>
      </c>
      <c r="J22" s="57" t="s">
        <v>343</v>
      </c>
      <c r="K22" s="57" t="s">
        <v>63</v>
      </c>
      <c r="L22" s="58" t="s">
        <v>362</v>
      </c>
      <c r="M22" s="18" t="str">
        <f>IF(Fuel_Veh[[#This Row],[Month]]&lt;&gt;"",VLOOKUP(Fuel_Veh[[#This Row],[Month]], dropdown!$S$4:$T$15, 2, FALSE),"")</f>
        <v>Q1</v>
      </c>
      <c r="N22" s="29">
        <v>0</v>
      </c>
      <c r="O22" s="17" t="str">
        <f>IF($K22="","",VLOOKUP($K22,dropdown!$P$14:$Q$18,2,FALSE))</f>
        <v>Liters</v>
      </c>
      <c r="P22" s="29">
        <v>0</v>
      </c>
      <c r="Q22" s="17" t="str">
        <f t="shared" si="0"/>
        <v>Kilometers</v>
      </c>
      <c r="R22" s="195" t="s">
        <v>1489</v>
      </c>
    </row>
    <row r="23" spans="2:18" x14ac:dyDescent="0.2">
      <c r="I23" s="194">
        <f t="shared" si="1"/>
        <v>17</v>
      </c>
      <c r="J23" s="57" t="s">
        <v>381</v>
      </c>
      <c r="K23" s="57" t="s">
        <v>63</v>
      </c>
      <c r="L23" s="58" t="s">
        <v>371</v>
      </c>
      <c r="M23" s="18" t="str">
        <f>IF(Fuel_Veh[[#This Row],[Month]]&lt;&gt;"",VLOOKUP(Fuel_Veh[[#This Row],[Month]], dropdown!$S$4:$T$15, 2, FALSE),"")</f>
        <v>Q2</v>
      </c>
      <c r="N23" s="29">
        <v>287</v>
      </c>
      <c r="O23" s="17" t="str">
        <f>IF($K23="","",VLOOKUP($K23,dropdown!$P$14:$Q$18,2,FALSE))</f>
        <v>Liters</v>
      </c>
      <c r="P23" s="29">
        <v>2592</v>
      </c>
      <c r="Q23" s="17" t="str">
        <f t="shared" si="0"/>
        <v>Kilometers</v>
      </c>
      <c r="R23" s="195" t="s">
        <v>1485</v>
      </c>
    </row>
    <row r="24" spans="2:18" x14ac:dyDescent="0.2">
      <c r="I24" s="194">
        <f t="shared" si="1"/>
        <v>18</v>
      </c>
      <c r="J24" s="57" t="s">
        <v>381</v>
      </c>
      <c r="K24" s="57" t="s">
        <v>63</v>
      </c>
      <c r="L24" s="58" t="s">
        <v>371</v>
      </c>
      <c r="M24" s="18" t="str">
        <f>IF(Fuel_Veh[[#This Row],[Month]]&lt;&gt;"",VLOOKUP(Fuel_Veh[[#This Row],[Month]], dropdown!$S$4:$T$15, 2, FALSE),"")</f>
        <v>Q2</v>
      </c>
      <c r="N24" s="29">
        <v>215</v>
      </c>
      <c r="O24" s="17" t="str">
        <f>IF($K24="","",VLOOKUP($K24,dropdown!$P$14:$Q$18,2,FALSE))</f>
        <v>Liters</v>
      </c>
      <c r="P24" s="29">
        <v>2232</v>
      </c>
      <c r="Q24" s="17" t="str">
        <f t="shared" si="0"/>
        <v>Kilometers</v>
      </c>
      <c r="R24" s="195" t="s">
        <v>1486</v>
      </c>
    </row>
    <row r="25" spans="2:18" x14ac:dyDescent="0.2">
      <c r="I25" s="194">
        <f t="shared" si="1"/>
        <v>19</v>
      </c>
      <c r="J25" s="57" t="s">
        <v>365</v>
      </c>
      <c r="K25" s="57" t="s">
        <v>63</v>
      </c>
      <c r="L25" s="58" t="s">
        <v>371</v>
      </c>
      <c r="M25" s="18" t="str">
        <f>IF(Fuel_Veh[[#This Row],[Month]]&lt;&gt;"",VLOOKUP(Fuel_Veh[[#This Row],[Month]], dropdown!$S$4:$T$15, 2, FALSE),"")</f>
        <v>Q2</v>
      </c>
      <c r="N25" s="29">
        <v>146</v>
      </c>
      <c r="O25" s="17" t="str">
        <f>IF($K25="","",VLOOKUP($K25,dropdown!$P$14:$Q$18,2,FALSE))</f>
        <v>Liters</v>
      </c>
      <c r="P25" s="29">
        <v>1834</v>
      </c>
      <c r="Q25" s="17" t="str">
        <f t="shared" si="0"/>
        <v>Kilometers</v>
      </c>
      <c r="R25" s="195" t="s">
        <v>1493</v>
      </c>
    </row>
    <row r="26" spans="2:18" x14ac:dyDescent="0.2">
      <c r="I26" s="194">
        <f t="shared" si="1"/>
        <v>20</v>
      </c>
      <c r="J26" s="57" t="s">
        <v>343</v>
      </c>
      <c r="K26" s="57" t="s">
        <v>63</v>
      </c>
      <c r="L26" s="58" t="s">
        <v>371</v>
      </c>
      <c r="M26" s="18" t="str">
        <f>IF(Fuel_Veh[[#This Row],[Month]]&lt;&gt;"",VLOOKUP(Fuel_Veh[[#This Row],[Month]], dropdown!$S$4:$T$15, 2, FALSE),"")</f>
        <v>Q2</v>
      </c>
      <c r="N26" s="197">
        <v>1382</v>
      </c>
      <c r="O26" s="198" t="str">
        <f>IF($K26="","",VLOOKUP($K26,dropdown!$P$14:$Q$18,2,FALSE))</f>
        <v>Liters</v>
      </c>
      <c r="P26" s="197">
        <v>1538</v>
      </c>
      <c r="Q26" s="17" t="str">
        <f t="shared" si="0"/>
        <v>Kilometers</v>
      </c>
      <c r="R26" s="195" t="s">
        <v>1488</v>
      </c>
    </row>
    <row r="27" spans="2:18" x14ac:dyDescent="0.2">
      <c r="I27" s="194">
        <f t="shared" si="1"/>
        <v>21</v>
      </c>
      <c r="J27" s="57" t="s">
        <v>343</v>
      </c>
      <c r="K27" s="57" t="s">
        <v>63</v>
      </c>
      <c r="L27" s="58" t="s">
        <v>371</v>
      </c>
      <c r="M27" s="18" t="str">
        <f>IF(Fuel_Veh[[#This Row],[Month]]&lt;&gt;"",VLOOKUP(Fuel_Veh[[#This Row],[Month]], dropdown!$S$4:$T$15, 2, FALSE),"")</f>
        <v>Q2</v>
      </c>
      <c r="N27" s="29">
        <v>252</v>
      </c>
      <c r="O27" s="17" t="str">
        <f>IF($K27="","",VLOOKUP($K27,dropdown!$P$14:$Q$18,2,FALSE))</f>
        <v>Liters</v>
      </c>
      <c r="P27" s="29">
        <v>1034</v>
      </c>
      <c r="Q27" s="17" t="str">
        <f t="shared" si="0"/>
        <v>Kilometers</v>
      </c>
      <c r="R27" s="195" t="s">
        <v>1489</v>
      </c>
    </row>
    <row r="28" spans="2:18" x14ac:dyDescent="0.2">
      <c r="I28" s="194">
        <f t="shared" si="1"/>
        <v>22</v>
      </c>
      <c r="J28" s="57" t="s">
        <v>381</v>
      </c>
      <c r="K28" s="57" t="s">
        <v>63</v>
      </c>
      <c r="L28" s="58" t="s">
        <v>379</v>
      </c>
      <c r="M28" s="18" t="str">
        <f>IF(Fuel_Veh[[#This Row],[Month]]&lt;&gt;"",VLOOKUP(Fuel_Veh[[#This Row],[Month]], dropdown!$S$4:$T$15, 2, FALSE),"")</f>
        <v>Q2</v>
      </c>
      <c r="N28" s="29">
        <v>89.12</v>
      </c>
      <c r="O28" s="17" t="str">
        <f>IF($K28="","",VLOOKUP($K28,dropdown!$P$14:$Q$18,2,FALSE))</f>
        <v>Liters</v>
      </c>
      <c r="P28" s="29">
        <v>572</v>
      </c>
      <c r="Q28" s="17" t="str">
        <f t="shared" si="0"/>
        <v>Kilometers</v>
      </c>
      <c r="R28" s="195" t="s">
        <v>1494</v>
      </c>
    </row>
    <row r="29" spans="2:18" x14ac:dyDescent="0.2">
      <c r="I29" s="194">
        <f t="shared" si="1"/>
        <v>23</v>
      </c>
      <c r="J29" s="57" t="s">
        <v>381</v>
      </c>
      <c r="K29" s="57" t="s">
        <v>63</v>
      </c>
      <c r="L29" s="58" t="s">
        <v>379</v>
      </c>
      <c r="M29" s="18" t="str">
        <f>IF(Fuel_Veh[[#This Row],[Month]]&lt;&gt;"",VLOOKUP(Fuel_Veh[[#This Row],[Month]], dropdown!$S$4:$T$15, 2, FALSE),"")</f>
        <v>Q2</v>
      </c>
      <c r="N29" s="29">
        <v>111.37</v>
      </c>
      <c r="O29" s="17" t="str">
        <f>IF($K29="","",VLOOKUP($K29,dropdown!$P$14:$Q$18,2,FALSE))</f>
        <v>Liters</v>
      </c>
      <c r="P29" s="29">
        <v>926</v>
      </c>
      <c r="Q29" s="17" t="str">
        <f t="shared" si="0"/>
        <v>Kilometers</v>
      </c>
      <c r="R29" s="195" t="s">
        <v>1492</v>
      </c>
    </row>
    <row r="30" spans="2:18" x14ac:dyDescent="0.2">
      <c r="I30" s="194">
        <f t="shared" si="1"/>
        <v>24</v>
      </c>
      <c r="J30" s="57" t="s">
        <v>365</v>
      </c>
      <c r="K30" s="57" t="s">
        <v>63</v>
      </c>
      <c r="L30" s="58" t="s">
        <v>379</v>
      </c>
      <c r="M30" s="18" t="str">
        <f>IF(Fuel_Veh[[#This Row],[Month]]&lt;&gt;"",VLOOKUP(Fuel_Veh[[#This Row],[Month]], dropdown!$S$4:$T$15, 2, FALSE),"")</f>
        <v>Q2</v>
      </c>
      <c r="N30" s="197">
        <v>290.7</v>
      </c>
      <c r="O30" s="198" t="str">
        <f>IF($K30="","",VLOOKUP($K30,dropdown!$P$14:$Q$18,2,FALSE))</f>
        <v>Liters</v>
      </c>
      <c r="P30" s="197">
        <v>3525</v>
      </c>
      <c r="Q30" s="17" t="str">
        <f t="shared" si="0"/>
        <v>Kilometers</v>
      </c>
      <c r="R30" s="195" t="s">
        <v>1493</v>
      </c>
    </row>
    <row r="31" spans="2:18" x14ac:dyDescent="0.2">
      <c r="I31" s="194">
        <f t="shared" si="1"/>
        <v>25</v>
      </c>
      <c r="J31" s="57" t="s">
        <v>343</v>
      </c>
      <c r="K31" s="57" t="s">
        <v>63</v>
      </c>
      <c r="L31" s="58" t="s">
        <v>379</v>
      </c>
      <c r="M31" s="18" t="str">
        <f>IF(Fuel_Veh[[#This Row],[Month]]&lt;&gt;"",VLOOKUP(Fuel_Veh[[#This Row],[Month]], dropdown!$S$4:$T$15, 2, FALSE),"")</f>
        <v>Q2</v>
      </c>
      <c r="N31" s="29">
        <v>243</v>
      </c>
      <c r="O31" s="17" t="str">
        <f>IF($K31="","",VLOOKUP($K31,dropdown!$P$14:$Q$18,2,FALSE))</f>
        <v>Liters</v>
      </c>
      <c r="P31" s="29">
        <v>943</v>
      </c>
      <c r="Q31" s="17" t="str">
        <f t="shared" si="0"/>
        <v>Kilometers</v>
      </c>
      <c r="R31" s="195" t="s">
        <v>1488</v>
      </c>
    </row>
    <row r="32" spans="2:18" x14ac:dyDescent="0.2">
      <c r="I32" s="194">
        <f t="shared" si="1"/>
        <v>26</v>
      </c>
      <c r="J32" s="57" t="s">
        <v>343</v>
      </c>
      <c r="K32" s="57" t="s">
        <v>63</v>
      </c>
      <c r="L32" s="58" t="s">
        <v>379</v>
      </c>
      <c r="M32" s="18" t="str">
        <f>IF(Fuel_Veh[[#This Row],[Month]]&lt;&gt;"",VLOOKUP(Fuel_Veh[[#This Row],[Month]], dropdown!$S$4:$T$15, 2, FALSE),"")</f>
        <v>Q2</v>
      </c>
      <c r="N32" s="29">
        <v>143</v>
      </c>
      <c r="O32" s="17" t="str">
        <f>IF($K32="","",VLOOKUP($K32,dropdown!$P$14:$Q$18,2,FALSE))</f>
        <v>Liters</v>
      </c>
      <c r="P32" s="29">
        <v>614</v>
      </c>
      <c r="Q32" s="17" t="str">
        <f t="shared" si="0"/>
        <v>Kilometers</v>
      </c>
      <c r="R32" s="195" t="s">
        <v>1489</v>
      </c>
    </row>
    <row r="33" spans="9:18" x14ac:dyDescent="0.2">
      <c r="I33" s="194">
        <f t="shared" si="1"/>
        <v>27</v>
      </c>
      <c r="J33" s="57" t="s">
        <v>343</v>
      </c>
      <c r="K33" s="57" t="s">
        <v>63</v>
      </c>
      <c r="L33" s="58" t="s">
        <v>379</v>
      </c>
      <c r="M33" s="18" t="str">
        <f>IF(Fuel_Veh[[#This Row],[Month]]&lt;&gt;"",VLOOKUP(Fuel_Veh[[#This Row],[Month]], dropdown!$S$4:$T$15, 2, FALSE),"")</f>
        <v>Q2</v>
      </c>
      <c r="N33" s="29">
        <v>165</v>
      </c>
      <c r="O33" s="17" t="str">
        <f>IF($K33="","",VLOOKUP($K33,dropdown!$P$14:$Q$18,2,FALSE))</f>
        <v>Liters</v>
      </c>
      <c r="P33" s="29">
        <v>1320</v>
      </c>
      <c r="Q33" s="17" t="str">
        <f t="shared" si="0"/>
        <v>Kilometers</v>
      </c>
      <c r="R33" s="195" t="s">
        <v>1495</v>
      </c>
    </row>
    <row r="34" spans="9:18" x14ac:dyDescent="0.2">
      <c r="I34" s="194">
        <f t="shared" si="1"/>
        <v>28</v>
      </c>
      <c r="J34" s="57" t="s">
        <v>381</v>
      </c>
      <c r="K34" s="57" t="s">
        <v>63</v>
      </c>
      <c r="L34" s="58" t="s">
        <v>386</v>
      </c>
      <c r="M34" s="18" t="str">
        <f>IF(Fuel_Veh[[#This Row],[Month]]&lt;&gt;"",VLOOKUP(Fuel_Veh[[#This Row],[Month]], dropdown!$S$4:$T$15, 2, FALSE),"")</f>
        <v>Q2</v>
      </c>
      <c r="N34" s="29">
        <v>61</v>
      </c>
      <c r="O34" s="17" t="str">
        <f>IF($K34="","",VLOOKUP($K34,dropdown!$P$14:$Q$18,2,FALSE))</f>
        <v>Liters</v>
      </c>
      <c r="P34" s="29">
        <v>645</v>
      </c>
      <c r="Q34" s="17" t="str">
        <f t="shared" si="0"/>
        <v>Kilometers</v>
      </c>
      <c r="R34" s="195" t="s">
        <v>1485</v>
      </c>
    </row>
    <row r="35" spans="9:18" x14ac:dyDescent="0.2">
      <c r="I35" s="194">
        <f t="shared" si="1"/>
        <v>29</v>
      </c>
      <c r="J35" s="57" t="s">
        <v>381</v>
      </c>
      <c r="K35" s="57" t="s">
        <v>63</v>
      </c>
      <c r="L35" s="58" t="s">
        <v>386</v>
      </c>
      <c r="M35" s="18" t="str">
        <f>IF(Fuel_Veh[[#This Row],[Month]]&lt;&gt;"",VLOOKUP(Fuel_Veh[[#This Row],[Month]], dropdown!$S$4:$T$15, 2, FALSE),"")</f>
        <v>Q2</v>
      </c>
      <c r="N35" s="29">
        <v>48.731000000000002</v>
      </c>
      <c r="O35" s="17" t="str">
        <f>IF($K35="","",VLOOKUP($K35,dropdown!$P$14:$Q$18,2,FALSE))</f>
        <v>Liters</v>
      </c>
      <c r="P35" s="29">
        <v>361</v>
      </c>
      <c r="Q35" s="17" t="str">
        <f t="shared" si="0"/>
        <v>Kilometers</v>
      </c>
      <c r="R35" s="195" t="s">
        <v>1486</v>
      </c>
    </row>
    <row r="36" spans="9:18" x14ac:dyDescent="0.2">
      <c r="I36" s="194">
        <f t="shared" si="1"/>
        <v>30</v>
      </c>
      <c r="J36" s="57" t="s">
        <v>365</v>
      </c>
      <c r="K36" s="57" t="s">
        <v>63</v>
      </c>
      <c r="L36" s="58" t="s">
        <v>386</v>
      </c>
      <c r="M36" s="18" t="str">
        <f>IF(Fuel_Veh[[#This Row],[Month]]&lt;&gt;"",VLOOKUP(Fuel_Veh[[#This Row],[Month]], dropdown!$S$4:$T$15, 2, FALSE),"")</f>
        <v>Q2</v>
      </c>
      <c r="N36" s="29">
        <v>203.24</v>
      </c>
      <c r="O36" s="17" t="str">
        <f>IF($K36="","",VLOOKUP($K36,dropdown!$P$14:$Q$18,2,FALSE))</f>
        <v>Liters</v>
      </c>
      <c r="P36" s="29">
        <v>1819</v>
      </c>
      <c r="Q36" s="17" t="str">
        <f t="shared" si="0"/>
        <v>Kilometers</v>
      </c>
      <c r="R36" s="195" t="s">
        <v>1487</v>
      </c>
    </row>
    <row r="37" spans="9:18" x14ac:dyDescent="0.2">
      <c r="I37" s="194">
        <f t="shared" si="1"/>
        <v>31</v>
      </c>
      <c r="J37" s="57" t="s">
        <v>343</v>
      </c>
      <c r="K37" s="57" t="s">
        <v>63</v>
      </c>
      <c r="L37" s="58" t="s">
        <v>386</v>
      </c>
      <c r="M37" s="18" t="str">
        <f>IF(Fuel_Veh[[#This Row],[Month]]&lt;&gt;"",VLOOKUP(Fuel_Veh[[#This Row],[Month]], dropdown!$S$4:$T$15, 2, FALSE),"")</f>
        <v>Q2</v>
      </c>
      <c r="N37" s="29">
        <v>379.78</v>
      </c>
      <c r="O37" s="17" t="str">
        <f>IF($K37="","",VLOOKUP($K37,dropdown!$P$14:$Q$18,2,FALSE))</f>
        <v>Liters</v>
      </c>
      <c r="P37" s="29">
        <v>1505</v>
      </c>
      <c r="Q37" s="17" t="str">
        <f t="shared" si="0"/>
        <v>Kilometers</v>
      </c>
      <c r="R37" s="195" t="s">
        <v>1488</v>
      </c>
    </row>
    <row r="38" spans="9:18" x14ac:dyDescent="0.2">
      <c r="I38" s="194">
        <f t="shared" si="1"/>
        <v>32</v>
      </c>
      <c r="J38" s="57" t="s">
        <v>343</v>
      </c>
      <c r="K38" s="57" t="s">
        <v>63</v>
      </c>
      <c r="L38" s="58" t="s">
        <v>386</v>
      </c>
      <c r="M38" s="18" t="str">
        <f>IF(Fuel_Veh[[#This Row],[Month]]&lt;&gt;"",VLOOKUP(Fuel_Veh[[#This Row],[Month]], dropdown!$S$4:$T$15, 2, FALSE),"")</f>
        <v>Q2</v>
      </c>
      <c r="N38" s="29">
        <v>262</v>
      </c>
      <c r="O38" s="17" t="str">
        <f>IF($K38="","",VLOOKUP($K38,dropdown!$P$14:$Q$18,2,FALSE))</f>
        <v>Liters</v>
      </c>
      <c r="P38" s="29">
        <v>2363</v>
      </c>
      <c r="Q38" s="17" t="str">
        <f t="shared" si="0"/>
        <v>Kilometers</v>
      </c>
      <c r="R38" s="195" t="s">
        <v>1489</v>
      </c>
    </row>
    <row r="39" spans="9:18" x14ac:dyDescent="0.2">
      <c r="I39" s="194">
        <f t="shared" si="1"/>
        <v>33</v>
      </c>
      <c r="J39" s="57" t="s">
        <v>381</v>
      </c>
      <c r="K39" s="57" t="s">
        <v>63</v>
      </c>
      <c r="L39" s="58" t="s">
        <v>390</v>
      </c>
      <c r="M39" s="18" t="str">
        <f>IF(Fuel_Veh[[#This Row],[Month]]&lt;&gt;"",VLOOKUP(Fuel_Veh[[#This Row],[Month]], dropdown!$S$4:$T$15, 2, FALSE),"")</f>
        <v>Q3</v>
      </c>
      <c r="N39" s="29">
        <v>187.12</v>
      </c>
      <c r="O39" s="17" t="str">
        <f>IF($K39="","",VLOOKUP($K39,dropdown!$P$14:$Q$18,2,FALSE))</f>
        <v>Liters</v>
      </c>
      <c r="P39" s="29">
        <v>859</v>
      </c>
      <c r="Q39" s="17" t="str">
        <f t="shared" si="0"/>
        <v>Kilometers</v>
      </c>
      <c r="R39" s="195" t="s">
        <v>1485</v>
      </c>
    </row>
    <row r="40" spans="9:18" x14ac:dyDescent="0.2">
      <c r="I40" s="194">
        <f t="shared" si="1"/>
        <v>34</v>
      </c>
      <c r="J40" s="57" t="s">
        <v>381</v>
      </c>
      <c r="K40" s="57" t="s">
        <v>63</v>
      </c>
      <c r="L40" s="58" t="s">
        <v>390</v>
      </c>
      <c r="M40" s="18" t="str">
        <f>IF(Fuel_Veh[[#This Row],[Month]]&lt;&gt;"",VLOOKUP(Fuel_Veh[[#This Row],[Month]], dropdown!$S$4:$T$15, 2, FALSE),"")</f>
        <v>Q3</v>
      </c>
      <c r="N40" s="29">
        <v>69.040000000000006</v>
      </c>
      <c r="O40" s="17" t="str">
        <f>IF($K40="","",VLOOKUP($K40,dropdown!$P$14:$Q$18,2,FALSE))</f>
        <v>Liters</v>
      </c>
      <c r="P40" s="29">
        <v>364</v>
      </c>
      <c r="Q40" s="17" t="str">
        <f t="shared" si="0"/>
        <v>Kilometers</v>
      </c>
      <c r="R40" s="195" t="s">
        <v>1486</v>
      </c>
    </row>
    <row r="41" spans="9:18" x14ac:dyDescent="0.2">
      <c r="I41" s="194">
        <f t="shared" si="1"/>
        <v>35</v>
      </c>
      <c r="J41" s="57" t="s">
        <v>365</v>
      </c>
      <c r="K41" s="57" t="s">
        <v>63</v>
      </c>
      <c r="L41" s="58" t="s">
        <v>390</v>
      </c>
      <c r="M41" s="18" t="str">
        <f>IF(Fuel_Veh[[#This Row],[Month]]&lt;&gt;"",VLOOKUP(Fuel_Veh[[#This Row],[Month]], dropdown!$S$4:$T$15, 2, FALSE),"")</f>
        <v>Q3</v>
      </c>
      <c r="N41" s="29">
        <v>187.12</v>
      </c>
      <c r="O41" s="17" t="str">
        <f>IF($K41="","",VLOOKUP($K41,dropdown!$P$14:$Q$18,2,FALSE))</f>
        <v>Liters</v>
      </c>
      <c r="P41" s="29">
        <v>815</v>
      </c>
      <c r="Q41" s="17" t="str">
        <f t="shared" si="0"/>
        <v>Kilometers</v>
      </c>
      <c r="R41" s="195" t="s">
        <v>1487</v>
      </c>
    </row>
    <row r="42" spans="9:18" x14ac:dyDescent="0.2">
      <c r="I42" s="194">
        <f t="shared" si="1"/>
        <v>36</v>
      </c>
      <c r="J42" s="57" t="s">
        <v>343</v>
      </c>
      <c r="K42" s="57" t="s">
        <v>63</v>
      </c>
      <c r="L42" s="58" t="s">
        <v>390</v>
      </c>
      <c r="M42" s="18" t="str">
        <f>IF(Fuel_Veh[[#This Row],[Month]]&lt;&gt;"",VLOOKUP(Fuel_Veh[[#This Row],[Month]], dropdown!$S$4:$T$15, 2, FALSE),"")</f>
        <v>Q3</v>
      </c>
      <c r="N42" s="29">
        <v>507</v>
      </c>
      <c r="O42" s="17" t="str">
        <f>IF($K42="","",VLOOKUP($K42,dropdown!$P$14:$Q$18,2,FALSE))</f>
        <v>Liters</v>
      </c>
      <c r="P42" s="29">
        <v>2241</v>
      </c>
      <c r="Q42" s="17" t="str">
        <f t="shared" si="0"/>
        <v>Kilometers</v>
      </c>
      <c r="R42" s="195" t="s">
        <v>1488</v>
      </c>
    </row>
    <row r="43" spans="9:18" x14ac:dyDescent="0.2">
      <c r="I43" s="194">
        <f t="shared" si="1"/>
        <v>37</v>
      </c>
      <c r="J43" s="57" t="s">
        <v>343</v>
      </c>
      <c r="K43" s="57" t="s">
        <v>63</v>
      </c>
      <c r="L43" s="58" t="s">
        <v>390</v>
      </c>
      <c r="M43" s="18" t="str">
        <f>IF(Fuel_Veh[[#This Row],[Month]]&lt;&gt;"",VLOOKUP(Fuel_Veh[[#This Row],[Month]], dropdown!$S$4:$T$15, 2, FALSE),"")</f>
        <v>Q3</v>
      </c>
      <c r="N43" s="29">
        <v>461.5</v>
      </c>
      <c r="O43" s="17" t="str">
        <f>IF($K43="","",VLOOKUP($K43,dropdown!$P$14:$Q$18,2,FALSE))</f>
        <v>Liters</v>
      </c>
      <c r="P43" s="29">
        <v>2251</v>
      </c>
      <c r="Q43" s="17" t="str">
        <f t="shared" si="0"/>
        <v>Kilometers</v>
      </c>
      <c r="R43" s="195" t="s">
        <v>1489</v>
      </c>
    </row>
    <row r="44" spans="9:18" x14ac:dyDescent="0.2">
      <c r="I44" s="194">
        <f t="shared" si="1"/>
        <v>38</v>
      </c>
      <c r="J44" s="57" t="s">
        <v>381</v>
      </c>
      <c r="K44" s="57" t="s">
        <v>63</v>
      </c>
      <c r="L44" s="58" t="s">
        <v>41</v>
      </c>
      <c r="M44" s="18" t="str">
        <f>IF(Fuel_Veh[[#This Row],[Month]]&lt;&gt;"",VLOOKUP(Fuel_Veh[[#This Row],[Month]], dropdown!$S$4:$T$15, 2, FALSE),"")</f>
        <v>Q3</v>
      </c>
      <c r="N44" s="29">
        <v>244.11199999999999</v>
      </c>
      <c r="O44" s="17" t="str">
        <f>IF($K44="","",VLOOKUP($K44,dropdown!$P$14:$Q$18,2,FALSE))</f>
        <v>Liters</v>
      </c>
      <c r="P44" s="29">
        <v>2507</v>
      </c>
      <c r="Q44" s="17" t="str">
        <f t="shared" si="0"/>
        <v>Kilometers</v>
      </c>
      <c r="R44" s="195" t="s">
        <v>1485</v>
      </c>
    </row>
    <row r="45" spans="9:18" x14ac:dyDescent="0.2">
      <c r="I45" s="194">
        <f t="shared" si="1"/>
        <v>39</v>
      </c>
      <c r="J45" s="57" t="s">
        <v>381</v>
      </c>
      <c r="K45" s="57" t="s">
        <v>63</v>
      </c>
      <c r="L45" s="58" t="s">
        <v>41</v>
      </c>
      <c r="M45" s="18" t="str">
        <f>IF(Fuel_Veh[[#This Row],[Month]]&lt;&gt;"",VLOOKUP(Fuel_Veh[[#This Row],[Month]], dropdown!$S$4:$T$15, 2, FALSE),"")</f>
        <v>Q3</v>
      </c>
      <c r="N45" s="29">
        <v>96.76</v>
      </c>
      <c r="O45" s="17" t="str">
        <f>IF($K45="","",VLOOKUP($K45,dropdown!$P$14:$Q$18,2,FALSE))</f>
        <v>Liters</v>
      </c>
      <c r="P45" s="29">
        <v>963</v>
      </c>
      <c r="Q45" s="17" t="str">
        <f t="shared" si="0"/>
        <v>Kilometers</v>
      </c>
      <c r="R45" s="195" t="s">
        <v>1486</v>
      </c>
    </row>
    <row r="46" spans="9:18" x14ac:dyDescent="0.2">
      <c r="I46" s="194">
        <f t="shared" si="1"/>
        <v>40</v>
      </c>
      <c r="J46" s="57" t="s">
        <v>365</v>
      </c>
      <c r="K46" s="57" t="s">
        <v>63</v>
      </c>
      <c r="L46" s="58" t="s">
        <v>41</v>
      </c>
      <c r="M46" s="18" t="str">
        <f>IF(Fuel_Veh[[#This Row],[Month]]&lt;&gt;"",VLOOKUP(Fuel_Veh[[#This Row],[Month]], dropdown!$S$4:$T$15, 2, FALSE),"")</f>
        <v>Q3</v>
      </c>
      <c r="N46" s="29">
        <v>98.45</v>
      </c>
      <c r="O46" s="17" t="str">
        <f>IF($K46="","",VLOOKUP($K46,dropdown!$P$14:$Q$18,2,FALSE))</f>
        <v>Liters</v>
      </c>
      <c r="P46" s="29">
        <v>926</v>
      </c>
      <c r="Q46" s="17" t="str">
        <f t="shared" si="0"/>
        <v>Kilometers</v>
      </c>
      <c r="R46" s="195" t="s">
        <v>1487</v>
      </c>
    </row>
    <row r="47" spans="9:18" x14ac:dyDescent="0.2">
      <c r="I47" s="194">
        <f t="shared" si="1"/>
        <v>41</v>
      </c>
      <c r="J47" s="57" t="s">
        <v>343</v>
      </c>
      <c r="K47" s="57" t="s">
        <v>63</v>
      </c>
      <c r="L47" s="58" t="s">
        <v>41</v>
      </c>
      <c r="M47" s="18" t="str">
        <f>IF(Fuel_Veh[[#This Row],[Month]]&lt;&gt;"",VLOOKUP(Fuel_Veh[[#This Row],[Month]], dropdown!$S$4:$T$15, 2, FALSE),"")</f>
        <v>Q3</v>
      </c>
      <c r="N47" s="29">
        <v>550.09</v>
      </c>
      <c r="O47" s="17" t="str">
        <f>IF($K47="","",VLOOKUP($K47,dropdown!$P$14:$Q$18,2,FALSE))</f>
        <v>Liters</v>
      </c>
      <c r="P47" s="29">
        <v>2430</v>
      </c>
      <c r="Q47" s="17" t="str">
        <f t="shared" si="0"/>
        <v>Kilometers</v>
      </c>
      <c r="R47" s="195" t="s">
        <v>1488</v>
      </c>
    </row>
    <row r="48" spans="9:18" x14ac:dyDescent="0.2">
      <c r="I48" s="194">
        <f t="shared" si="1"/>
        <v>42</v>
      </c>
      <c r="J48" s="57" t="s">
        <v>343</v>
      </c>
      <c r="K48" s="57" t="s">
        <v>63</v>
      </c>
      <c r="L48" s="58" t="s">
        <v>41</v>
      </c>
      <c r="M48" s="18" t="str">
        <f>IF(Fuel_Veh[[#This Row],[Month]]&lt;&gt;"",VLOOKUP(Fuel_Veh[[#This Row],[Month]], dropdown!$S$4:$T$15, 2, FALSE),"")</f>
        <v>Q3</v>
      </c>
      <c r="N48" s="29">
        <v>581.04</v>
      </c>
      <c r="O48" s="17" t="str">
        <f>IF($K48="","",VLOOKUP($K48,dropdown!$P$14:$Q$18,2,FALSE))</f>
        <v>Liters</v>
      </c>
      <c r="P48" s="29">
        <v>2280</v>
      </c>
      <c r="Q48" s="17" t="str">
        <f t="shared" si="0"/>
        <v>Kilometers</v>
      </c>
      <c r="R48" s="195" t="s">
        <v>1489</v>
      </c>
    </row>
    <row r="49" spans="9:18" x14ac:dyDescent="0.2">
      <c r="I49" s="194">
        <f t="shared" si="1"/>
        <v>43</v>
      </c>
      <c r="J49" s="57" t="s">
        <v>381</v>
      </c>
      <c r="K49" s="57" t="s">
        <v>63</v>
      </c>
      <c r="L49" s="58" t="s">
        <v>397</v>
      </c>
      <c r="M49" s="18" t="str">
        <f>IF(Fuel_Veh[[#This Row],[Month]]&lt;&gt;"",VLOOKUP(Fuel_Veh[[#This Row],[Month]], dropdown!$S$4:$T$15, 2, FALSE),"")</f>
        <v>Q3</v>
      </c>
      <c r="N49" s="29">
        <v>152.38999999999999</v>
      </c>
      <c r="O49" s="17" t="str">
        <f>IF($K49="","",VLOOKUP($K49,dropdown!$P$14:$Q$18,2,FALSE))</f>
        <v>Liters</v>
      </c>
      <c r="P49" s="29">
        <v>1335</v>
      </c>
      <c r="Q49" s="17" t="str">
        <f t="shared" si="0"/>
        <v>Kilometers</v>
      </c>
      <c r="R49" s="195" t="s">
        <v>1485</v>
      </c>
    </row>
    <row r="50" spans="9:18" x14ac:dyDescent="0.2">
      <c r="I50" s="194">
        <f t="shared" si="1"/>
        <v>44</v>
      </c>
      <c r="J50" s="57" t="s">
        <v>381</v>
      </c>
      <c r="K50" s="57" t="s">
        <v>63</v>
      </c>
      <c r="L50" s="58" t="s">
        <v>397</v>
      </c>
      <c r="M50" s="18" t="str">
        <f>IF(Fuel_Veh[[#This Row],[Month]]&lt;&gt;"",VLOOKUP(Fuel_Veh[[#This Row],[Month]], dropdown!$S$4:$T$15, 2, FALSE),"")</f>
        <v>Q3</v>
      </c>
      <c r="N50" s="29">
        <v>213</v>
      </c>
      <c r="O50" s="17" t="str">
        <f>IF($K50="","",VLOOKUP($K50,dropdown!$P$14:$Q$18,2,FALSE))</f>
        <v>Liters</v>
      </c>
      <c r="P50" s="29">
        <v>1492</v>
      </c>
      <c r="Q50" s="17" t="str">
        <f t="shared" si="0"/>
        <v>Kilometers</v>
      </c>
      <c r="R50" s="195" t="s">
        <v>1486</v>
      </c>
    </row>
    <row r="51" spans="9:18" x14ac:dyDescent="0.2">
      <c r="I51" s="194">
        <f t="shared" si="1"/>
        <v>45</v>
      </c>
      <c r="J51" s="57" t="s">
        <v>365</v>
      </c>
      <c r="K51" s="57" t="s">
        <v>63</v>
      </c>
      <c r="L51" s="58" t="s">
        <v>397</v>
      </c>
      <c r="M51" s="18" t="str">
        <f>IF(Fuel_Veh[[#This Row],[Month]]&lt;&gt;"",VLOOKUP(Fuel_Veh[[#This Row],[Month]], dropdown!$S$4:$T$15, 2, FALSE),"")</f>
        <v>Q3</v>
      </c>
      <c r="N51" s="29">
        <v>72.819999999999993</v>
      </c>
      <c r="O51" s="17" t="str">
        <f>IF($K51="","",VLOOKUP($K51,dropdown!$P$14:$Q$18,2,FALSE))</f>
        <v>Liters</v>
      </c>
      <c r="P51" s="29">
        <v>777</v>
      </c>
      <c r="Q51" s="17" t="str">
        <f t="shared" si="0"/>
        <v>Kilometers</v>
      </c>
      <c r="R51" s="195" t="s">
        <v>1487</v>
      </c>
    </row>
    <row r="52" spans="9:18" x14ac:dyDescent="0.2">
      <c r="I52" s="194">
        <f t="shared" si="1"/>
        <v>46</v>
      </c>
      <c r="J52" s="57" t="s">
        <v>343</v>
      </c>
      <c r="K52" s="57" t="s">
        <v>63</v>
      </c>
      <c r="L52" s="58" t="s">
        <v>397</v>
      </c>
      <c r="M52" s="18" t="str">
        <f>IF(Fuel_Veh[[#This Row],[Month]]&lt;&gt;"",VLOOKUP(Fuel_Veh[[#This Row],[Month]], dropdown!$S$4:$T$15, 2, FALSE),"")</f>
        <v>Q3</v>
      </c>
      <c r="N52" s="29">
        <v>280</v>
      </c>
      <c r="O52" s="17" t="str">
        <f>IF($K52="","",VLOOKUP($K52,dropdown!$P$14:$Q$18,2,FALSE))</f>
        <v>Liters</v>
      </c>
      <c r="P52" s="29">
        <v>1184</v>
      </c>
      <c r="Q52" s="17" t="str">
        <f t="shared" si="0"/>
        <v>Kilometers</v>
      </c>
      <c r="R52" s="195" t="s">
        <v>1488</v>
      </c>
    </row>
    <row r="53" spans="9:18" x14ac:dyDescent="0.2">
      <c r="I53" s="194">
        <f t="shared" si="1"/>
        <v>47</v>
      </c>
      <c r="J53" s="57" t="s">
        <v>343</v>
      </c>
      <c r="K53" s="57" t="s">
        <v>63</v>
      </c>
      <c r="L53" s="58" t="s">
        <v>397</v>
      </c>
      <c r="M53" s="18" t="str">
        <f>IF(Fuel_Veh[[#This Row],[Month]]&lt;&gt;"",VLOOKUP(Fuel_Veh[[#This Row],[Month]], dropdown!$S$4:$T$15, 2, FALSE),"")</f>
        <v>Q3</v>
      </c>
      <c r="N53" s="29">
        <v>299.86</v>
      </c>
      <c r="O53" s="17" t="str">
        <f>IF($K53="","",VLOOKUP($K53,dropdown!$P$14:$Q$18,2,FALSE))</f>
        <v>Liters</v>
      </c>
      <c r="P53" s="29">
        <v>795</v>
      </c>
      <c r="Q53" s="17" t="str">
        <f t="shared" si="0"/>
        <v>Kilometers</v>
      </c>
      <c r="R53" s="195" t="s">
        <v>1489</v>
      </c>
    </row>
    <row r="54" spans="9:18" x14ac:dyDescent="0.2">
      <c r="I54" s="194">
        <f t="shared" si="1"/>
        <v>48</v>
      </c>
      <c r="J54" s="57" t="s">
        <v>343</v>
      </c>
      <c r="K54" s="57" t="s">
        <v>63</v>
      </c>
      <c r="L54" s="58" t="s">
        <v>397</v>
      </c>
      <c r="M54" s="18" t="str">
        <f>IF(Fuel_Veh[[#This Row],[Month]]&lt;&gt;"",VLOOKUP(Fuel_Veh[[#This Row],[Month]], dropdown!$S$4:$T$15, 2, FALSE),"")</f>
        <v>Q3</v>
      </c>
      <c r="N54" s="29">
        <v>145.6</v>
      </c>
      <c r="O54" s="17" t="str">
        <f>IF($K54="","",VLOOKUP($K54,dropdown!$P$14:$Q$18,2,FALSE))</f>
        <v>Liters</v>
      </c>
      <c r="P54" s="29">
        <v>566</v>
      </c>
      <c r="Q54" s="17" t="str">
        <f t="shared" si="0"/>
        <v>Kilometers</v>
      </c>
      <c r="R54" s="199" t="s">
        <v>1490</v>
      </c>
    </row>
    <row r="55" spans="9:18" x14ac:dyDescent="0.2">
      <c r="I55" s="194">
        <f t="shared" si="1"/>
        <v>49</v>
      </c>
      <c r="J55" s="57" t="s">
        <v>381</v>
      </c>
      <c r="K55" s="57" t="s">
        <v>63</v>
      </c>
      <c r="L55" s="58" t="s">
        <v>400</v>
      </c>
      <c r="M55" s="18" t="str">
        <f>IF(Fuel_Veh[[#This Row],[Month]]&lt;&gt;"",VLOOKUP(Fuel_Veh[[#This Row],[Month]], dropdown!$S$4:$T$15, 2, FALSE),"")</f>
        <v>Q4</v>
      </c>
      <c r="N55" s="29">
        <v>196</v>
      </c>
      <c r="O55" s="17" t="str">
        <f>IF($K55="","",VLOOKUP($K55,dropdown!$P$14:$Q$18,2,FALSE))</f>
        <v>Liters</v>
      </c>
      <c r="P55" s="29">
        <v>2159</v>
      </c>
      <c r="Q55" s="17" t="str">
        <f t="shared" si="0"/>
        <v>Kilometers</v>
      </c>
      <c r="R55" s="195" t="s">
        <v>1485</v>
      </c>
    </row>
    <row r="56" spans="9:18" x14ac:dyDescent="0.2">
      <c r="I56" s="194">
        <f t="shared" si="1"/>
        <v>50</v>
      </c>
      <c r="J56" s="57" t="s">
        <v>381</v>
      </c>
      <c r="K56" s="57" t="s">
        <v>63</v>
      </c>
      <c r="L56" s="58" t="s">
        <v>400</v>
      </c>
      <c r="M56" s="18" t="str">
        <f>IF(Fuel_Veh[[#This Row],[Month]]&lt;&gt;"",VLOOKUP(Fuel_Veh[[#This Row],[Month]], dropdown!$S$4:$T$15, 2, FALSE),"")</f>
        <v>Q4</v>
      </c>
      <c r="N56" s="29">
        <v>28</v>
      </c>
      <c r="O56" s="17" t="str">
        <f>IF($K56="","",VLOOKUP($K56,dropdown!$P$14:$Q$18,2,FALSE))</f>
        <v>Liters</v>
      </c>
      <c r="P56" s="29">
        <v>1823</v>
      </c>
      <c r="Q56" s="17" t="str">
        <f t="shared" si="0"/>
        <v>Kilometers</v>
      </c>
      <c r="R56" s="195" t="s">
        <v>1486</v>
      </c>
    </row>
    <row r="57" spans="9:18" x14ac:dyDescent="0.2">
      <c r="I57" s="194">
        <f t="shared" si="1"/>
        <v>51</v>
      </c>
      <c r="J57" s="57" t="s">
        <v>365</v>
      </c>
      <c r="K57" s="57" t="s">
        <v>63</v>
      </c>
      <c r="L57" s="58" t="s">
        <v>400</v>
      </c>
      <c r="M57" s="18" t="str">
        <f>IF(Fuel_Veh[[#This Row],[Month]]&lt;&gt;"",VLOOKUP(Fuel_Veh[[#This Row],[Month]], dropdown!$S$4:$T$15, 2, FALSE),"")</f>
        <v>Q4</v>
      </c>
      <c r="N57" s="29">
        <v>117</v>
      </c>
      <c r="O57" s="17" t="str">
        <f>IF($K57="","",VLOOKUP($K57,dropdown!$P$14:$Q$18,2,FALSE))</f>
        <v>Liters</v>
      </c>
      <c r="P57" s="29">
        <v>1053</v>
      </c>
      <c r="Q57" s="17" t="str">
        <f t="shared" si="0"/>
        <v>Kilometers</v>
      </c>
      <c r="R57" s="195" t="s">
        <v>1487</v>
      </c>
    </row>
    <row r="58" spans="9:18" x14ac:dyDescent="0.2">
      <c r="I58" s="194">
        <f t="shared" si="1"/>
        <v>52</v>
      </c>
      <c r="J58" s="57" t="s">
        <v>343</v>
      </c>
      <c r="K58" s="57" t="s">
        <v>63</v>
      </c>
      <c r="L58" s="58" t="s">
        <v>400</v>
      </c>
      <c r="M58" s="18" t="str">
        <f>IF(Fuel_Veh[[#This Row],[Month]]&lt;&gt;"",VLOOKUP(Fuel_Veh[[#This Row],[Month]], dropdown!$S$4:$T$15, 2, FALSE),"")</f>
        <v>Q4</v>
      </c>
      <c r="N58" s="29">
        <v>620</v>
      </c>
      <c r="O58" s="17" t="str">
        <f>IF($K58="","",VLOOKUP($K58,dropdown!$P$14:$Q$18,2,FALSE))</f>
        <v>Liters</v>
      </c>
      <c r="P58" s="29">
        <v>2294</v>
      </c>
      <c r="Q58" s="17" t="str">
        <f t="shared" si="0"/>
        <v>Kilometers</v>
      </c>
      <c r="R58" s="195" t="s">
        <v>1488</v>
      </c>
    </row>
    <row r="59" spans="9:18" x14ac:dyDescent="0.2">
      <c r="I59" s="194">
        <f t="shared" si="1"/>
        <v>53</v>
      </c>
      <c r="J59" s="57" t="s">
        <v>343</v>
      </c>
      <c r="K59" s="57" t="s">
        <v>63</v>
      </c>
      <c r="L59" s="58" t="s">
        <v>400</v>
      </c>
      <c r="M59" s="18" t="str">
        <f>IF(Fuel_Veh[[#This Row],[Month]]&lt;&gt;"",VLOOKUP(Fuel_Veh[[#This Row],[Month]], dropdown!$S$4:$T$15, 2, FALSE),"")</f>
        <v>Q4</v>
      </c>
      <c r="N59" s="29">
        <v>615</v>
      </c>
      <c r="O59" s="17" t="str">
        <f>IF($K59="","",VLOOKUP($K59,dropdown!$P$14:$Q$18,2,FALSE))</f>
        <v>Liters</v>
      </c>
      <c r="P59" s="29">
        <v>2363</v>
      </c>
      <c r="Q59" s="17" t="str">
        <f t="shared" si="0"/>
        <v>Kilometers</v>
      </c>
      <c r="R59" s="195" t="s">
        <v>1489</v>
      </c>
    </row>
    <row r="60" spans="9:18" x14ac:dyDescent="0.2">
      <c r="I60" s="194">
        <f t="shared" si="1"/>
        <v>54</v>
      </c>
      <c r="J60" s="57" t="s">
        <v>381</v>
      </c>
      <c r="K60" s="57" t="s">
        <v>63</v>
      </c>
      <c r="L60" s="58" t="s">
        <v>404</v>
      </c>
      <c r="M60" s="18" t="str">
        <f>IF(Fuel_Veh[[#This Row],[Month]]&lt;&gt;"",VLOOKUP(Fuel_Veh[[#This Row],[Month]], dropdown!$S$4:$T$15, 2, FALSE),"")</f>
        <v>Q4</v>
      </c>
      <c r="N60" s="29">
        <v>196.89</v>
      </c>
      <c r="O60" s="17" t="str">
        <f>IF($K60="","",VLOOKUP($K60,dropdown!$P$14:$Q$18,2,FALSE))</f>
        <v>Liters</v>
      </c>
      <c r="P60" s="29">
        <v>1823</v>
      </c>
      <c r="Q60" s="17" t="str">
        <f t="shared" si="0"/>
        <v>Kilometers</v>
      </c>
      <c r="R60" s="195" t="s">
        <v>1485</v>
      </c>
    </row>
    <row r="61" spans="9:18" x14ac:dyDescent="0.2">
      <c r="I61" s="194">
        <f t="shared" si="1"/>
        <v>55</v>
      </c>
      <c r="J61" s="57" t="s">
        <v>381</v>
      </c>
      <c r="K61" s="57" t="s">
        <v>63</v>
      </c>
      <c r="L61" s="58" t="s">
        <v>404</v>
      </c>
      <c r="M61" s="18" t="str">
        <f>IF(Fuel_Veh[[#This Row],[Month]]&lt;&gt;"",VLOOKUP(Fuel_Veh[[#This Row],[Month]], dropdown!$S$4:$T$15, 2, FALSE),"")</f>
        <v>Q4</v>
      </c>
      <c r="N61" s="29">
        <v>135.9</v>
      </c>
      <c r="O61" s="17" t="str">
        <f>IF($K61="","",VLOOKUP($K61,dropdown!$P$14:$Q$18,2,FALSE))</f>
        <v>Liters</v>
      </c>
      <c r="P61" s="29">
        <v>595.41999999999996</v>
      </c>
      <c r="Q61" s="17" t="str">
        <f t="shared" si="0"/>
        <v>Kilometers</v>
      </c>
      <c r="R61" s="195" t="s">
        <v>1486</v>
      </c>
    </row>
    <row r="62" spans="9:18" x14ac:dyDescent="0.2">
      <c r="I62" s="194">
        <f t="shared" si="1"/>
        <v>56</v>
      </c>
      <c r="J62" s="57" t="s">
        <v>365</v>
      </c>
      <c r="K62" s="57" t="s">
        <v>63</v>
      </c>
      <c r="L62" s="58" t="s">
        <v>404</v>
      </c>
      <c r="M62" s="18" t="str">
        <f>IF(Fuel_Veh[[#This Row],[Month]]&lt;&gt;"",VLOOKUP(Fuel_Veh[[#This Row],[Month]], dropdown!$S$4:$T$15, 2, FALSE),"")</f>
        <v>Q4</v>
      </c>
      <c r="N62" s="29">
        <v>191.79</v>
      </c>
      <c r="O62" s="17" t="str">
        <f>IF($K62="","",VLOOKUP($K62,dropdown!$P$14:$Q$18,2,FALSE))</f>
        <v>Liters</v>
      </c>
      <c r="P62" s="29">
        <v>1944</v>
      </c>
      <c r="Q62" s="17" t="str">
        <f t="shared" si="0"/>
        <v>Kilometers</v>
      </c>
      <c r="R62" s="195" t="s">
        <v>1487</v>
      </c>
    </row>
    <row r="63" spans="9:18" x14ac:dyDescent="0.2">
      <c r="I63" s="194">
        <f t="shared" si="1"/>
        <v>57</v>
      </c>
      <c r="J63" s="57" t="s">
        <v>343</v>
      </c>
      <c r="K63" s="57" t="s">
        <v>63</v>
      </c>
      <c r="L63" s="58" t="s">
        <v>404</v>
      </c>
      <c r="M63" s="18" t="str">
        <f>IF(Fuel_Veh[[#This Row],[Month]]&lt;&gt;"",VLOOKUP(Fuel_Veh[[#This Row],[Month]], dropdown!$S$4:$T$15, 2, FALSE),"")</f>
        <v>Q4</v>
      </c>
      <c r="N63" s="29">
        <v>311.5</v>
      </c>
      <c r="O63" s="17" t="str">
        <f>IF($K63="","",VLOOKUP($K63,dropdown!$P$14:$Q$18,2,FALSE))</f>
        <v>Liters</v>
      </c>
      <c r="P63" s="29">
        <v>1359</v>
      </c>
      <c r="Q63" s="17" t="str">
        <f t="shared" si="0"/>
        <v>Kilometers</v>
      </c>
      <c r="R63" s="195" t="s">
        <v>1488</v>
      </c>
    </row>
    <row r="64" spans="9:18" x14ac:dyDescent="0.2">
      <c r="I64" s="194">
        <f t="shared" si="1"/>
        <v>58</v>
      </c>
      <c r="J64" s="57" t="s">
        <v>343</v>
      </c>
      <c r="K64" s="57" t="s">
        <v>63</v>
      </c>
      <c r="L64" s="58" t="s">
        <v>404</v>
      </c>
      <c r="M64" s="18" t="str">
        <f>IF(Fuel_Veh[[#This Row],[Month]]&lt;&gt;"",VLOOKUP(Fuel_Veh[[#This Row],[Month]], dropdown!$S$4:$T$15, 2, FALSE),"")</f>
        <v>Q4</v>
      </c>
      <c r="N64" s="29">
        <v>206.83</v>
      </c>
      <c r="O64" s="17" t="str">
        <f>IF($K64="","",VLOOKUP($K64,dropdown!$P$14:$Q$18,2,FALSE))</f>
        <v>Liters</v>
      </c>
      <c r="P64" s="29">
        <v>793</v>
      </c>
      <c r="Q64" s="17" t="str">
        <f t="shared" si="0"/>
        <v>Kilometers</v>
      </c>
      <c r="R64" s="195" t="s">
        <v>1489</v>
      </c>
    </row>
    <row r="65" spans="9:18" x14ac:dyDescent="0.2">
      <c r="I65" s="194">
        <f t="shared" si="1"/>
        <v>59</v>
      </c>
      <c r="J65" s="57" t="s">
        <v>381</v>
      </c>
      <c r="K65" s="57" t="s">
        <v>63</v>
      </c>
      <c r="L65" s="58" t="s">
        <v>407</v>
      </c>
      <c r="M65" s="18" t="str">
        <f>IF(Fuel_Veh[[#This Row],[Month]]&lt;&gt;"",VLOOKUP(Fuel_Veh[[#This Row],[Month]], dropdown!$S$4:$T$15, 2, FALSE),"")</f>
        <v>Q4</v>
      </c>
      <c r="N65" s="29">
        <v>42.03</v>
      </c>
      <c r="O65" s="17" t="str">
        <f>IF($K65="","",VLOOKUP($K65,dropdown!$P$14:$Q$18,2,FALSE))</f>
        <v>Liters</v>
      </c>
      <c r="P65" s="29">
        <v>265</v>
      </c>
      <c r="Q65" s="17" t="str">
        <f t="shared" si="0"/>
        <v>Kilometers</v>
      </c>
      <c r="R65" s="195" t="s">
        <v>1485</v>
      </c>
    </row>
    <row r="66" spans="9:18" x14ac:dyDescent="0.2">
      <c r="I66" s="194">
        <f t="shared" si="1"/>
        <v>60</v>
      </c>
      <c r="J66" s="57" t="s">
        <v>381</v>
      </c>
      <c r="K66" s="57" t="s">
        <v>63</v>
      </c>
      <c r="L66" s="58" t="s">
        <v>407</v>
      </c>
      <c r="M66" s="18" t="str">
        <f>IF(Fuel_Veh[[#This Row],[Month]]&lt;&gt;"",VLOOKUP(Fuel_Veh[[#This Row],[Month]], dropdown!$S$4:$T$15, 2, FALSE),"")</f>
        <v>Q4</v>
      </c>
      <c r="N66" s="29">
        <v>269.12</v>
      </c>
      <c r="O66" s="17" t="str">
        <f>IF($K66="","",VLOOKUP($K66,dropdown!$P$14:$Q$18,2,FALSE))</f>
        <v>Liters</v>
      </c>
      <c r="P66" s="29">
        <v>1857</v>
      </c>
      <c r="Q66" s="17" t="str">
        <f t="shared" si="0"/>
        <v>Kilometers</v>
      </c>
      <c r="R66" s="195" t="s">
        <v>1486</v>
      </c>
    </row>
    <row r="67" spans="9:18" x14ac:dyDescent="0.2">
      <c r="I67" s="194">
        <f t="shared" si="1"/>
        <v>61</v>
      </c>
      <c r="J67" s="57" t="s">
        <v>365</v>
      </c>
      <c r="K67" s="57" t="s">
        <v>63</v>
      </c>
      <c r="L67" s="58" t="s">
        <v>407</v>
      </c>
      <c r="M67" s="18" t="str">
        <f>IF(Fuel_Veh[[#This Row],[Month]]&lt;&gt;"",VLOOKUP(Fuel_Veh[[#This Row],[Month]], dropdown!$S$4:$T$15, 2, FALSE),"")</f>
        <v>Q4</v>
      </c>
      <c r="N67" s="29">
        <v>72.400000000000006</v>
      </c>
      <c r="O67" s="17" t="str">
        <f>IF($K67="","",VLOOKUP($K67,dropdown!$P$14:$Q$18,2,FALSE))</f>
        <v>Liters</v>
      </c>
      <c r="P67" s="29">
        <v>592</v>
      </c>
      <c r="Q67" s="17" t="str">
        <f t="shared" si="0"/>
        <v>Kilometers</v>
      </c>
      <c r="R67" s="195" t="s">
        <v>1487</v>
      </c>
    </row>
    <row r="68" spans="9:18" x14ac:dyDescent="0.2">
      <c r="I68" s="194">
        <f t="shared" si="1"/>
        <v>62</v>
      </c>
      <c r="J68" s="57" t="s">
        <v>343</v>
      </c>
      <c r="K68" s="57" t="s">
        <v>63</v>
      </c>
      <c r="L68" s="58" t="s">
        <v>407</v>
      </c>
      <c r="M68" s="18" t="str">
        <f>IF(Fuel_Veh[[#This Row],[Month]]&lt;&gt;"",VLOOKUP(Fuel_Veh[[#This Row],[Month]], dropdown!$S$4:$T$15, 2, FALSE),"")</f>
        <v>Q4</v>
      </c>
      <c r="N68" s="29">
        <v>990.32</v>
      </c>
      <c r="O68" s="17" t="str">
        <f>IF($K68="","",VLOOKUP($K68,dropdown!$P$14:$Q$18,2,FALSE))</f>
        <v>Liters</v>
      </c>
      <c r="P68" s="29">
        <v>4102</v>
      </c>
      <c r="Q68" s="17" t="str">
        <f t="shared" si="0"/>
        <v>Kilometers</v>
      </c>
      <c r="R68" s="195" t="s">
        <v>1488</v>
      </c>
    </row>
    <row r="69" spans="9:18" x14ac:dyDescent="0.2">
      <c r="I69" s="194">
        <f t="shared" si="1"/>
        <v>63</v>
      </c>
      <c r="J69" s="57" t="s">
        <v>343</v>
      </c>
      <c r="K69" s="57" t="s">
        <v>63</v>
      </c>
      <c r="L69" s="58" t="s">
        <v>407</v>
      </c>
      <c r="M69" s="18" t="str">
        <f>IF(Fuel_Veh[[#This Row],[Month]]&lt;&gt;"",VLOOKUP(Fuel_Veh[[#This Row],[Month]], dropdown!$S$4:$T$15, 2, FALSE),"")</f>
        <v>Q4</v>
      </c>
      <c r="N69" s="29">
        <v>264.35000000000002</v>
      </c>
      <c r="O69" s="17" t="str">
        <f>IF($K69="","",VLOOKUP($K69,dropdown!$P$14:$Q$18,2,FALSE))</f>
        <v>Liters</v>
      </c>
      <c r="P69" s="29">
        <v>991</v>
      </c>
      <c r="Q69" s="17" t="str">
        <f t="shared" si="0"/>
        <v>Kilometers</v>
      </c>
      <c r="R69" s="195" t="s">
        <v>1489</v>
      </c>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54 K70:Q106 K55:M69 O55:O69 Q55:Q69">
    <cfRule type="expression" dxfId="36" priority="31">
      <formula>$J7="BEV"</formula>
    </cfRule>
  </conditionalFormatting>
  <conditionalFormatting sqref="N55">
    <cfRule type="expression" dxfId="35" priority="30">
      <formula>$J55="BEV"</formula>
    </cfRule>
  </conditionalFormatting>
  <conditionalFormatting sqref="N60">
    <cfRule type="expression" dxfId="34" priority="29">
      <formula>$J60="BEV"</formula>
    </cfRule>
  </conditionalFormatting>
  <conditionalFormatting sqref="N65">
    <cfRule type="expression" dxfId="33" priority="28">
      <formula>$J65="BEV"</formula>
    </cfRule>
  </conditionalFormatting>
  <conditionalFormatting sqref="P55">
    <cfRule type="expression" dxfId="32" priority="27">
      <formula>$J55="BEV"</formula>
    </cfRule>
  </conditionalFormatting>
  <conditionalFormatting sqref="P60">
    <cfRule type="expression" dxfId="31" priority="26">
      <formula>$J60="BEV"</formula>
    </cfRule>
  </conditionalFormatting>
  <conditionalFormatting sqref="P65">
    <cfRule type="expression" dxfId="30" priority="25">
      <formula>$J65="BEV"</formula>
    </cfRule>
  </conditionalFormatting>
  <conditionalFormatting sqref="N56">
    <cfRule type="expression" dxfId="29" priority="24">
      <formula>$J56="BEV"</formula>
    </cfRule>
  </conditionalFormatting>
  <conditionalFormatting sqref="N61">
    <cfRule type="expression" dxfId="28" priority="23">
      <formula>$J61="BEV"</formula>
    </cfRule>
  </conditionalFormatting>
  <conditionalFormatting sqref="N66">
    <cfRule type="expression" dxfId="27" priority="22">
      <formula>$J66="BEV"</formula>
    </cfRule>
  </conditionalFormatting>
  <conditionalFormatting sqref="P56">
    <cfRule type="expression" dxfId="26" priority="21">
      <formula>$J56="BEV"</formula>
    </cfRule>
  </conditionalFormatting>
  <conditionalFormatting sqref="P61">
    <cfRule type="expression" dxfId="25" priority="20">
      <formula>$J61="BEV"</formula>
    </cfRule>
  </conditionalFormatting>
  <conditionalFormatting sqref="P66">
    <cfRule type="expression" dxfId="24" priority="19">
      <formula>$J66="BEV"</formula>
    </cfRule>
  </conditionalFormatting>
  <conditionalFormatting sqref="N57">
    <cfRule type="expression" dxfId="23" priority="18">
      <formula>$J57="BEV"</formula>
    </cfRule>
  </conditionalFormatting>
  <conditionalFormatting sqref="N62">
    <cfRule type="expression" dxfId="22" priority="17">
      <formula>$J62="BEV"</formula>
    </cfRule>
  </conditionalFormatting>
  <conditionalFormatting sqref="N67">
    <cfRule type="expression" dxfId="21" priority="16">
      <formula>$J67="BEV"</formula>
    </cfRule>
  </conditionalFormatting>
  <conditionalFormatting sqref="P57">
    <cfRule type="expression" dxfId="20" priority="15">
      <formula>$J57="BEV"</formula>
    </cfRule>
  </conditionalFormatting>
  <conditionalFormatting sqref="P62">
    <cfRule type="expression" dxfId="19" priority="14">
      <formula>$J62="BEV"</formula>
    </cfRule>
  </conditionalFormatting>
  <conditionalFormatting sqref="P67">
    <cfRule type="expression" dxfId="18" priority="13">
      <formula>$J67="BEV"</formula>
    </cfRule>
  </conditionalFormatting>
  <conditionalFormatting sqref="N58">
    <cfRule type="expression" dxfId="17" priority="12">
      <formula>$J58="BEV"</formula>
    </cfRule>
  </conditionalFormatting>
  <conditionalFormatting sqref="N63">
    <cfRule type="expression" dxfId="16" priority="11">
      <formula>$J63="BEV"</formula>
    </cfRule>
  </conditionalFormatting>
  <conditionalFormatting sqref="N68">
    <cfRule type="expression" dxfId="15" priority="10">
      <formula>$J68="BEV"</formula>
    </cfRule>
  </conditionalFormatting>
  <conditionalFormatting sqref="P58">
    <cfRule type="expression" dxfId="14" priority="9">
      <formula>$J58="BEV"</formula>
    </cfRule>
  </conditionalFormatting>
  <conditionalFormatting sqref="P63">
    <cfRule type="expression" dxfId="13" priority="8">
      <formula>$J63="BEV"</formula>
    </cfRule>
  </conditionalFormatting>
  <conditionalFormatting sqref="P68">
    <cfRule type="expression" dxfId="12" priority="7">
      <formula>$J68="BEV"</formula>
    </cfRule>
  </conditionalFormatting>
  <conditionalFormatting sqref="N59">
    <cfRule type="expression" dxfId="11" priority="6">
      <formula>$J59="BEV"</formula>
    </cfRule>
  </conditionalFormatting>
  <conditionalFormatting sqref="N64">
    <cfRule type="expression" dxfId="10" priority="5">
      <formula>$J64="BEV"</formula>
    </cfRule>
  </conditionalFormatting>
  <conditionalFormatting sqref="N69">
    <cfRule type="expression" dxfId="9" priority="4">
      <formula>$J69="BEV"</formula>
    </cfRule>
  </conditionalFormatting>
  <conditionalFormatting sqref="P59">
    <cfRule type="expression" dxfId="8" priority="3">
      <formula>$J59="BEV"</formula>
    </cfRule>
  </conditionalFormatting>
  <conditionalFormatting sqref="P64">
    <cfRule type="expression" dxfId="7" priority="2">
      <formula>$J64="BEV"</formula>
    </cfRule>
  </conditionalFormatting>
  <conditionalFormatting sqref="P69">
    <cfRule type="expression" dxfId="6" priority="1">
      <formula>$J69="BEV"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M27" sqref="M2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North Luzon Regional Office</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49" t="s">
        <v>183</v>
      </c>
      <c r="P7" s="449"/>
      <c r="Q7" s="450" t="s">
        <v>184</v>
      </c>
      <c r="R7" s="451"/>
      <c r="S7" s="452" t="s">
        <v>86</v>
      </c>
      <c r="T7" s="453"/>
      <c r="U7" s="453"/>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1496</v>
      </c>
      <c r="K9" s="391" t="s">
        <v>200</v>
      </c>
      <c r="L9" s="392">
        <v>2</v>
      </c>
      <c r="M9" s="393" t="s">
        <v>380</v>
      </c>
      <c r="N9" s="419" t="s">
        <v>352</v>
      </c>
      <c r="O9" s="397"/>
      <c r="P9" s="398"/>
      <c r="Q9" s="397"/>
      <c r="R9" s="399"/>
      <c r="S9" s="397"/>
      <c r="T9" s="399"/>
      <c r="U9" s="399"/>
      <c r="V9" s="430" t="str">
        <f>IFERROR(VLOOKUP($O9, dropdown!$S$4:$T$15, 2, FALSE),
 IFERROR(VLOOKUP($Q9, dropdown!$S$4:$T$15, 2, FALSE),
 IFERROR(VLOOKUP($S9, dropdown!$S$4:$T$15, 2, FALSE),
 "")))</f>
        <v/>
      </c>
      <c r="W9" s="392" t="s">
        <v>1505</v>
      </c>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4" t="s">
        <v>1497</v>
      </c>
      <c r="K10" s="57" t="s">
        <v>200</v>
      </c>
      <c r="L10" s="28">
        <v>2</v>
      </c>
      <c r="M10" s="264" t="s">
        <v>380</v>
      </c>
      <c r="N10" s="401" t="s">
        <v>352</v>
      </c>
      <c r="O10" s="397"/>
      <c r="P10" s="398"/>
      <c r="Q10" s="397"/>
      <c r="R10" s="399"/>
      <c r="S10" s="397"/>
      <c r="T10" s="399"/>
      <c r="U10" s="399"/>
      <c r="V10" s="430" t="str">
        <f>IFERROR(VLOOKUP($O10, dropdown!$S$4:$T$15, 2, FALSE),
 IFERROR(VLOOKUP($Q10, dropdown!$S$4:$T$15, 2, FALSE),
 IFERROR(VLOOKUP($S10, dropdown!$S$4:$T$15, 2, FALSE),
 "")))</f>
        <v/>
      </c>
      <c r="W10" s="392" t="s">
        <v>1505</v>
      </c>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4" t="s">
        <v>1498</v>
      </c>
      <c r="K11" s="57" t="s">
        <v>200</v>
      </c>
      <c r="L11" s="28">
        <v>2</v>
      </c>
      <c r="M11" s="264" t="s">
        <v>380</v>
      </c>
      <c r="N11" s="419" t="s">
        <v>352</v>
      </c>
      <c r="O11" s="397"/>
      <c r="P11" s="398"/>
      <c r="Q11" s="397"/>
      <c r="R11" s="399"/>
      <c r="S11" s="397"/>
      <c r="T11" s="399"/>
      <c r="U11" s="399"/>
      <c r="V11" s="430" t="str">
        <f>IFERROR(VLOOKUP($O11, dropdown!$S$4:$T$15, 2, FALSE),
 IFERROR(VLOOKUP($Q11, dropdown!$S$4:$T$15, 2, FALSE),
 IFERROR(VLOOKUP($S11, dropdown!$S$4:$T$15, 2, FALSE),
 "")))</f>
        <v/>
      </c>
      <c r="W11" s="392" t="s">
        <v>1505</v>
      </c>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f t="shared" si="0"/>
        <v>4</v>
      </c>
      <c r="J12" s="434" t="s">
        <v>1499</v>
      </c>
      <c r="K12" s="57" t="s">
        <v>200</v>
      </c>
      <c r="L12" s="28">
        <v>2</v>
      </c>
      <c r="M12" s="264" t="s">
        <v>380</v>
      </c>
      <c r="N12" s="419" t="s">
        <v>352</v>
      </c>
      <c r="O12" s="397"/>
      <c r="P12" s="398"/>
      <c r="Q12" s="397"/>
      <c r="R12" s="399"/>
      <c r="S12" s="397"/>
      <c r="T12" s="399"/>
      <c r="U12" s="399"/>
      <c r="V12" s="430" t="str">
        <f>IFERROR(VLOOKUP($O12, dropdown!$S$4:$T$15, 2, FALSE),
 IFERROR(VLOOKUP($Q12, dropdown!$S$4:$T$15, 2, FALSE),
 IFERROR(VLOOKUP($S12, dropdown!$S$4:$T$15, 2, FALSE),
 "")))</f>
        <v/>
      </c>
      <c r="W12" s="392" t="s">
        <v>1505</v>
      </c>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4" t="s">
        <v>1500</v>
      </c>
      <c r="K13" s="57" t="s">
        <v>200</v>
      </c>
      <c r="L13" s="28">
        <v>2</v>
      </c>
      <c r="M13" s="264" t="s">
        <v>380</v>
      </c>
      <c r="N13" s="419" t="s">
        <v>352</v>
      </c>
      <c r="O13" s="397"/>
      <c r="P13" s="398"/>
      <c r="Q13" s="397"/>
      <c r="R13" s="399"/>
      <c r="S13" s="397"/>
      <c r="T13" s="399"/>
      <c r="U13" s="399"/>
      <c r="V13" s="430" t="str">
        <f>IFERROR(VLOOKUP($O13, dropdown!$S$4:$T$15, 2, FALSE),
 IFERROR(VLOOKUP($Q13, dropdown!$S$4:$T$15, 2, FALSE),
 IFERROR(VLOOKUP($S13, dropdown!$S$4:$T$15, 2, FALSE),
 "")))</f>
        <v/>
      </c>
      <c r="W13" s="392" t="s">
        <v>1505</v>
      </c>
      <c r="AB13" s="11"/>
      <c r="AE13" s="11"/>
    </row>
    <row r="14" spans="2:31" ht="17" customHeight="1" x14ac:dyDescent="0.2">
      <c r="D14" s="177" t="str">
        <f>IF(SUM(D$11:D$13)&gt;0,"x","")</f>
        <v/>
      </c>
      <c r="E14" s="177" t="str">
        <f t="shared" ref="E14:G14" si="1">IF(SUM(E$11:E$13)&gt;0,"x","")</f>
        <v/>
      </c>
      <c r="F14" s="177" t="str">
        <f t="shared" si="1"/>
        <v/>
      </c>
      <c r="G14" s="177" t="str">
        <f t="shared" si="1"/>
        <v/>
      </c>
      <c r="I14" s="18">
        <f t="shared" si="0"/>
        <v>6</v>
      </c>
      <c r="J14" s="434" t="s">
        <v>1501</v>
      </c>
      <c r="K14" s="57" t="s">
        <v>200</v>
      </c>
      <c r="L14" s="28">
        <v>3</v>
      </c>
      <c r="M14" s="264" t="s">
        <v>380</v>
      </c>
      <c r="N14" s="419" t="s">
        <v>352</v>
      </c>
      <c r="O14" s="397"/>
      <c r="P14" s="398"/>
      <c r="Q14" s="397"/>
      <c r="R14" s="399"/>
      <c r="S14" s="397"/>
      <c r="T14" s="399"/>
      <c r="U14" s="399"/>
      <c r="V14" s="430" t="str">
        <f>IFERROR(VLOOKUP($O14, dropdown!$S$4:$T$15, 2, FALSE),
 IFERROR(VLOOKUP($Q14, dropdown!$S$4:$T$15, 2, FALSE),
 IFERROR(VLOOKUP($S14, dropdown!$S$4:$T$15, 2, FALSE),
 "")))</f>
        <v/>
      </c>
      <c r="W14" s="392" t="s">
        <v>1505</v>
      </c>
      <c r="AB14" s="11"/>
      <c r="AE14" s="11"/>
    </row>
    <row r="15" spans="2:31" ht="17" customHeight="1" x14ac:dyDescent="0.2">
      <c r="B15" s="119" t="s">
        <v>38</v>
      </c>
      <c r="I15" s="18">
        <f t="shared" si="0"/>
        <v>7</v>
      </c>
      <c r="J15" s="434" t="s">
        <v>1502</v>
      </c>
      <c r="K15" s="57" t="s">
        <v>200</v>
      </c>
      <c r="L15" s="28">
        <v>1</v>
      </c>
      <c r="M15" s="264" t="s">
        <v>380</v>
      </c>
      <c r="N15" s="419" t="s">
        <v>352</v>
      </c>
      <c r="O15" s="397"/>
      <c r="P15" s="398"/>
      <c r="Q15" s="397"/>
      <c r="R15" s="399"/>
      <c r="S15" s="397"/>
      <c r="T15" s="399"/>
      <c r="U15" s="399"/>
      <c r="V15" s="430" t="str">
        <f>IFERROR(VLOOKUP($O15, dropdown!$S$4:$T$15, 2, FALSE),
 IFERROR(VLOOKUP($Q15, dropdown!$S$4:$T$15, 2, FALSE),
 IFERROR(VLOOKUP($S15, dropdown!$S$4:$T$15, 2, FALSE),
 "")))</f>
        <v/>
      </c>
      <c r="W15" s="392" t="s">
        <v>1505</v>
      </c>
      <c r="AB15" s="11"/>
      <c r="AE15" s="11"/>
    </row>
    <row r="16" spans="2:31" ht="14" x14ac:dyDescent="0.2">
      <c r="B16" s="120" t="s">
        <v>175</v>
      </c>
      <c r="I16" s="18">
        <f t="shared" si="0"/>
        <v>8</v>
      </c>
      <c r="J16" s="434" t="s">
        <v>1503</v>
      </c>
      <c r="K16" s="57" t="s">
        <v>200</v>
      </c>
      <c r="L16" s="28">
        <v>29</v>
      </c>
      <c r="M16" s="264" t="s">
        <v>380</v>
      </c>
      <c r="N16" s="419" t="s">
        <v>352</v>
      </c>
      <c r="O16" s="397"/>
      <c r="P16" s="398"/>
      <c r="Q16" s="397"/>
      <c r="R16" s="399"/>
      <c r="S16" s="397"/>
      <c r="T16" s="399"/>
      <c r="U16" s="399"/>
      <c r="V16" s="430" t="str">
        <f>IFERROR(VLOOKUP($O16, dropdown!$S$4:$T$15, 2, FALSE),
 IFERROR(VLOOKUP($Q16, dropdown!$S$4:$T$15, 2, FALSE),
 IFERROR(VLOOKUP($S16, dropdown!$S$4:$T$15, 2, FALSE),
 "")))</f>
        <v/>
      </c>
      <c r="W16" s="392" t="s">
        <v>1505</v>
      </c>
      <c r="AB16" s="11"/>
      <c r="AE16" s="11"/>
    </row>
    <row r="17" spans="2:31" ht="15" customHeight="1" x14ac:dyDescent="0.2">
      <c r="B17" s="121" t="s">
        <v>176</v>
      </c>
      <c r="I17" s="18">
        <f t="shared" si="0"/>
        <v>9</v>
      </c>
      <c r="J17" s="434" t="s">
        <v>1504</v>
      </c>
      <c r="K17" s="57" t="s">
        <v>200</v>
      </c>
      <c r="L17" s="28">
        <v>5</v>
      </c>
      <c r="M17" s="264" t="s">
        <v>380</v>
      </c>
      <c r="N17" s="419" t="s">
        <v>352</v>
      </c>
      <c r="O17" s="397"/>
      <c r="P17" s="398"/>
      <c r="Q17" s="397"/>
      <c r="R17" s="399"/>
      <c r="S17" s="397"/>
      <c r="T17" s="399"/>
      <c r="U17" s="399"/>
      <c r="V17" s="430" t="str">
        <f>IFERROR(VLOOKUP($O17, dropdown!$S$4:$T$15, 2, FALSE),
 IFERROR(VLOOKUP($Q17, dropdown!$S$4:$T$15, 2, FALSE),
 IFERROR(VLOOKUP($S17, dropdown!$S$4:$T$15, 2, FALSE),
 "")))</f>
        <v/>
      </c>
      <c r="W17" s="392" t="s">
        <v>1505</v>
      </c>
      <c r="AB17" s="11"/>
      <c r="AE17" s="11"/>
    </row>
    <row r="18" spans="2:31" ht="15" customHeight="1" x14ac:dyDescent="0.2">
      <c r="B18" s="122" t="s">
        <v>177</v>
      </c>
      <c r="I18" s="18">
        <f t="shared" si="0"/>
        <v>10</v>
      </c>
      <c r="J18" s="434" t="s">
        <v>1485</v>
      </c>
      <c r="K18" s="57" t="s">
        <v>203</v>
      </c>
      <c r="L18" s="28">
        <v>1</v>
      </c>
      <c r="M18" s="264" t="s">
        <v>339</v>
      </c>
      <c r="N18" s="401" t="s">
        <v>352</v>
      </c>
      <c r="O18" s="397"/>
      <c r="P18" s="398"/>
      <c r="Q18" s="397"/>
      <c r="R18" s="399"/>
      <c r="S18" s="397"/>
      <c r="T18" s="399"/>
      <c r="U18" s="399"/>
      <c r="V18" s="430" t="str">
        <f>IFERROR(VLOOKUP($O18, dropdown!$S$4:$T$15, 2, FALSE),
 IFERROR(VLOOKUP($Q18, dropdown!$S$4:$T$15, 2, FALSE),
 IFERROR(VLOOKUP($S18, dropdown!$S$4:$T$15, 2, FALSE),
 "")))</f>
        <v/>
      </c>
      <c r="W18" s="392" t="s">
        <v>1546</v>
      </c>
      <c r="AB18" s="11"/>
      <c r="AE18" s="11"/>
    </row>
    <row r="19" spans="2:31" ht="27" x14ac:dyDescent="0.2">
      <c r="B19" s="382" t="s">
        <v>190</v>
      </c>
      <c r="I19" s="18">
        <f t="shared" si="0"/>
        <v>11</v>
      </c>
      <c r="J19" s="434" t="s">
        <v>1486</v>
      </c>
      <c r="K19" s="57" t="s">
        <v>203</v>
      </c>
      <c r="L19" s="28">
        <v>1</v>
      </c>
      <c r="M19" s="264" t="s">
        <v>339</v>
      </c>
      <c r="N19" s="401" t="s">
        <v>352</v>
      </c>
      <c r="O19" s="397"/>
      <c r="P19" s="398"/>
      <c r="Q19" s="397"/>
      <c r="R19" s="399"/>
      <c r="S19" s="397"/>
      <c r="T19" s="399"/>
      <c r="U19" s="399"/>
      <c r="V19" s="430" t="str">
        <f>IFERROR(VLOOKUP($O19, dropdown!$S$4:$T$15, 2, FALSE),
 IFERROR(VLOOKUP($Q19, dropdown!$S$4:$T$15, 2, FALSE),
 IFERROR(VLOOKUP($S19, dropdown!$S$4:$T$15, 2, FALSE),
 "")))</f>
        <v/>
      </c>
      <c r="W19" s="392" t="s">
        <v>1546</v>
      </c>
      <c r="AB19" s="11"/>
      <c r="AE19" s="11"/>
    </row>
    <row r="20" spans="2:31" ht="14" x14ac:dyDescent="0.2">
      <c r="I20" s="18">
        <f t="shared" si="0"/>
        <v>12</v>
      </c>
      <c r="J20" s="434" t="s">
        <v>1487</v>
      </c>
      <c r="K20" s="57" t="s">
        <v>203</v>
      </c>
      <c r="L20" s="28">
        <v>1</v>
      </c>
      <c r="M20" s="264" t="s">
        <v>339</v>
      </c>
      <c r="N20" s="401" t="s">
        <v>352</v>
      </c>
      <c r="O20" s="397"/>
      <c r="P20" s="398"/>
      <c r="Q20" s="397"/>
      <c r="R20" s="399"/>
      <c r="S20" s="397"/>
      <c r="T20" s="399"/>
      <c r="U20" s="399"/>
      <c r="V20" s="430" t="str">
        <f>IFERROR(VLOOKUP($O20, dropdown!$S$4:$T$15, 2, FALSE),
 IFERROR(VLOOKUP($Q20, dropdown!$S$4:$T$15, 2, FALSE),
 IFERROR(VLOOKUP($S20, dropdown!$S$4:$T$15, 2, FALSE),
 "")))</f>
        <v/>
      </c>
      <c r="W20" s="392" t="s">
        <v>1546</v>
      </c>
      <c r="AB20" s="11"/>
      <c r="AE20" s="11"/>
    </row>
    <row r="21" spans="2:31" ht="14" x14ac:dyDescent="0.2">
      <c r="B21" s="166" t="s">
        <v>191</v>
      </c>
      <c r="I21" s="18">
        <f t="shared" si="0"/>
        <v>13</v>
      </c>
      <c r="J21" s="434" t="s">
        <v>1518</v>
      </c>
      <c r="K21" s="57" t="s">
        <v>203</v>
      </c>
      <c r="L21" s="28">
        <v>1</v>
      </c>
      <c r="M21" s="264" t="s">
        <v>339</v>
      </c>
      <c r="N21" s="401" t="s">
        <v>352</v>
      </c>
      <c r="O21" s="397"/>
      <c r="P21" s="398"/>
      <c r="Q21" s="397"/>
      <c r="R21" s="399"/>
      <c r="S21" s="397"/>
      <c r="T21" s="399"/>
      <c r="U21" s="399"/>
      <c r="V21" s="430" t="str">
        <f>IFERROR(VLOOKUP($O21, dropdown!$S$4:$T$15, 2, FALSE),
 IFERROR(VLOOKUP($Q21, dropdown!$S$4:$T$15, 2, FALSE),
 IFERROR(VLOOKUP($S21, dropdown!$S$4:$T$15, 2, FALSE),
 "")))</f>
        <v/>
      </c>
      <c r="W21" s="392" t="s">
        <v>1546</v>
      </c>
      <c r="AB21" s="11"/>
      <c r="AE21" s="11"/>
    </row>
    <row r="22" spans="2:31" ht="14" x14ac:dyDescent="0.2">
      <c r="B22" s="455" t="s">
        <v>192</v>
      </c>
      <c r="C22" s="457" t="s">
        <v>5</v>
      </c>
      <c r="D22" s="458"/>
      <c r="E22" s="457" t="s">
        <v>193</v>
      </c>
      <c r="F22" s="459"/>
      <c r="G22" s="459"/>
      <c r="I22" s="18">
        <f t="shared" si="0"/>
        <v>14</v>
      </c>
      <c r="J22" s="434" t="s">
        <v>1520</v>
      </c>
      <c r="K22" s="57" t="s">
        <v>203</v>
      </c>
      <c r="L22" s="28">
        <v>1</v>
      </c>
      <c r="M22" s="264" t="s">
        <v>339</v>
      </c>
      <c r="N22" s="401" t="s">
        <v>352</v>
      </c>
      <c r="O22" s="397"/>
      <c r="P22" s="398"/>
      <c r="Q22" s="397"/>
      <c r="R22" s="399"/>
      <c r="S22" s="397"/>
      <c r="T22" s="399"/>
      <c r="U22" s="399"/>
      <c r="V22" s="430" t="str">
        <f>IFERROR(VLOOKUP($O22, dropdown!$S$4:$T$15, 2, FALSE),
 IFERROR(VLOOKUP($Q22, dropdown!$S$4:$T$15, 2, FALSE),
 IFERROR(VLOOKUP($S22, dropdown!$S$4:$T$15, 2, FALSE),
 "")))</f>
        <v/>
      </c>
      <c r="W22" s="392" t="s">
        <v>1546</v>
      </c>
      <c r="AB22" s="11"/>
      <c r="AE22" s="11"/>
    </row>
    <row r="23" spans="2:31" ht="14" x14ac:dyDescent="0.2">
      <c r="B23" s="456"/>
      <c r="C23" s="457"/>
      <c r="D23" s="458"/>
      <c r="E23" s="457"/>
      <c r="F23" s="459"/>
      <c r="G23" s="459"/>
      <c r="I23" s="18">
        <f t="shared" si="0"/>
        <v>15</v>
      </c>
      <c r="J23" s="434" t="s">
        <v>1521</v>
      </c>
      <c r="K23" s="57" t="s">
        <v>203</v>
      </c>
      <c r="L23" s="28">
        <v>1</v>
      </c>
      <c r="M23" s="264" t="s">
        <v>339</v>
      </c>
      <c r="N23" s="401" t="s">
        <v>352</v>
      </c>
      <c r="O23" s="397"/>
      <c r="P23" s="398"/>
      <c r="Q23" s="397"/>
      <c r="R23" s="399"/>
      <c r="S23" s="397"/>
      <c r="T23" s="399"/>
      <c r="U23" s="399"/>
      <c r="V23" s="430" t="str">
        <f>IFERROR(VLOOKUP($O23, dropdown!$S$4:$T$15, 2, FALSE),
 IFERROR(VLOOKUP($Q23, dropdown!$S$4:$T$15, 2, FALSE),
 IFERROR(VLOOKUP($S23, dropdown!$S$4:$T$15, 2, FALSE),
 "")))</f>
        <v/>
      </c>
      <c r="W23" s="392" t="s">
        <v>1546</v>
      </c>
      <c r="AB23" s="11"/>
      <c r="AE23" s="11"/>
    </row>
    <row r="24" spans="2:31" ht="14" x14ac:dyDescent="0.2">
      <c r="B24" s="454" t="s">
        <v>194</v>
      </c>
      <c r="C24" s="454" t="s">
        <v>195</v>
      </c>
      <c r="D24" s="454"/>
      <c r="E24" s="454" t="s">
        <v>196</v>
      </c>
      <c r="F24" s="454"/>
      <c r="G24" s="454"/>
      <c r="I24" s="18">
        <f t="shared" si="0"/>
        <v>16</v>
      </c>
      <c r="J24" s="434" t="s">
        <v>1525</v>
      </c>
      <c r="K24" s="57" t="s">
        <v>203</v>
      </c>
      <c r="L24" s="28">
        <v>1</v>
      </c>
      <c r="M24" s="264" t="s">
        <v>339</v>
      </c>
      <c r="N24" s="401" t="s">
        <v>352</v>
      </c>
      <c r="O24" s="397"/>
      <c r="P24" s="398"/>
      <c r="Q24" s="397"/>
      <c r="R24" s="399"/>
      <c r="S24" s="397"/>
      <c r="T24" s="399"/>
      <c r="U24" s="399"/>
      <c r="V24" s="430" t="str">
        <f>IFERROR(VLOOKUP($O24, dropdown!$S$4:$T$15, 2, FALSE),
 IFERROR(VLOOKUP($Q24, dropdown!$S$4:$T$15, 2, FALSE),
 IFERROR(VLOOKUP($S24, dropdown!$S$4:$T$15, 2, FALSE),
 "")))</f>
        <v/>
      </c>
      <c r="W24" s="392" t="s">
        <v>1546</v>
      </c>
      <c r="X24" s="56"/>
      <c r="AB24" s="11"/>
      <c r="AE24" s="11"/>
    </row>
    <row r="25" spans="2:31" ht="14" x14ac:dyDescent="0.2">
      <c r="B25" s="454"/>
      <c r="C25" s="454"/>
      <c r="D25" s="454"/>
      <c r="E25" s="454"/>
      <c r="F25" s="454"/>
      <c r="G25" s="454"/>
      <c r="I25" s="18" t="str">
        <f t="shared" si="0"/>
        <v/>
      </c>
      <c r="J25" s="434"/>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phoneticPr fontId="40" type="noConversion"/>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A4" zoomScaleNormal="100" workbookViewId="0">
      <selection activeCell="L22" sqref="L2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North Luzon Regional Office</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19008</v>
      </c>
      <c r="M8" s="47">
        <v>175269.17</v>
      </c>
      <c r="N8" s="165" t="s">
        <v>414</v>
      </c>
      <c r="O8" s="195" t="s">
        <v>1453</v>
      </c>
      <c r="P8" s="48"/>
      <c r="Q8" s="20"/>
    </row>
    <row r="9" spans="2:17" x14ac:dyDescent="0.2">
      <c r="I9" s="194"/>
      <c r="J9" s="58" t="s">
        <v>89</v>
      </c>
      <c r="K9" s="426" t="str">
        <f>IF(Electricity[[#This Row],[Month]]&lt;&gt;"",VLOOKUP(Electricity[[#This Row],[Month]], dropdown!$S$4:$T$15, 2, FALSE),"")</f>
        <v>Q1</v>
      </c>
      <c r="L9" s="29">
        <v>18864</v>
      </c>
      <c r="M9" s="47">
        <v>175796.17</v>
      </c>
      <c r="N9" s="165" t="s">
        <v>414</v>
      </c>
      <c r="O9" s="195" t="s">
        <v>1454</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19296</v>
      </c>
      <c r="M10" s="47">
        <v>199321.05</v>
      </c>
      <c r="N10" s="165" t="s">
        <v>414</v>
      </c>
      <c r="O10" s="195" t="s">
        <v>1455</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22536</v>
      </c>
      <c r="M11" s="47">
        <v>207644.74</v>
      </c>
      <c r="N11" s="165" t="s">
        <v>414</v>
      </c>
      <c r="O11" s="195" t="s">
        <v>1457</v>
      </c>
      <c r="P11" s="48"/>
      <c r="Q11" s="20"/>
    </row>
    <row r="12" spans="2:17" x14ac:dyDescent="0.2">
      <c r="B12" s="17" t="s">
        <v>207</v>
      </c>
      <c r="C12" s="17" t="s">
        <v>208</v>
      </c>
      <c r="D12" s="41">
        <f>SUMIFS(Electricity[Consumption (kWh)],Electricity[Quarter],D$11)</f>
        <v>57168</v>
      </c>
      <c r="E12" s="41">
        <f>SUMIFS(Electricity[Consumption (kWh)],Electricity[Quarter],E$11)</f>
        <v>70632</v>
      </c>
      <c r="F12" s="41">
        <f>SUMIFS(Electricity[Consumption (kWh)],Electricity[Quarter],F$11)</f>
        <v>69264</v>
      </c>
      <c r="G12" s="41">
        <f>SUMIFS(Electricity[Consumption (kWh)],Electricity[Quarter],G$11)</f>
        <v>73195.199999999997</v>
      </c>
      <c r="I12" s="194"/>
      <c r="J12" s="58" t="s">
        <v>379</v>
      </c>
      <c r="K12" s="426" t="str">
        <f>IF(Electricity[[#This Row],[Month]]&lt;&gt;"",VLOOKUP(Electricity[[#This Row],[Month]], dropdown!$S$4:$T$15, 2, FALSE),"")</f>
        <v>Q2</v>
      </c>
      <c r="L12" s="29">
        <v>23688</v>
      </c>
      <c r="M12" s="47">
        <v>224259.26</v>
      </c>
      <c r="N12" s="165" t="s">
        <v>414</v>
      </c>
      <c r="O12" s="195" t="s">
        <v>1461</v>
      </c>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24408</v>
      </c>
      <c r="M13" s="47">
        <v>265066.15000000002</v>
      </c>
      <c r="N13" s="165" t="s">
        <v>414</v>
      </c>
      <c r="O13" s="195" t="s">
        <v>1465</v>
      </c>
      <c r="P13" s="48"/>
      <c r="Q13" s="20"/>
    </row>
    <row r="14" spans="2:17" x14ac:dyDescent="0.2">
      <c r="B14" s="119" t="s">
        <v>38</v>
      </c>
      <c r="D14" s="168"/>
      <c r="I14" s="194"/>
      <c r="J14" s="58" t="s">
        <v>390</v>
      </c>
      <c r="K14" s="426" t="str">
        <f>IF(Electricity[[#This Row],[Month]]&lt;&gt;"",VLOOKUP(Electricity[[#This Row],[Month]], dropdown!$S$4:$T$15, 2, FALSE),"")</f>
        <v>Q3</v>
      </c>
      <c r="L14" s="29">
        <v>22248</v>
      </c>
      <c r="M14" s="47">
        <v>212544.81</v>
      </c>
      <c r="N14" s="165" t="s">
        <v>414</v>
      </c>
      <c r="O14" s="195" t="s">
        <v>1466</v>
      </c>
      <c r="P14" s="48"/>
      <c r="Q14" s="20"/>
    </row>
    <row r="15" spans="2:17" x14ac:dyDescent="0.2">
      <c r="B15" s="120" t="s">
        <v>175</v>
      </c>
      <c r="D15" s="168"/>
      <c r="I15" s="194"/>
      <c r="J15" s="58" t="s">
        <v>41</v>
      </c>
      <c r="K15" s="426" t="str">
        <f>IF(Electricity[[#This Row],[Month]]&lt;&gt;"",VLOOKUP(Electricity[[#This Row],[Month]], dropdown!$S$4:$T$15, 2, FALSE),"")</f>
        <v>Q3</v>
      </c>
      <c r="L15" s="29">
        <v>23040</v>
      </c>
      <c r="M15" s="47">
        <v>234355.03</v>
      </c>
      <c r="N15" s="165" t="s">
        <v>414</v>
      </c>
      <c r="O15" s="195" t="s">
        <v>1467</v>
      </c>
      <c r="P15" s="48"/>
      <c r="Q15" s="20"/>
    </row>
    <row r="16" spans="2:17" x14ac:dyDescent="0.2">
      <c r="B16" s="121" t="s">
        <v>176</v>
      </c>
      <c r="I16" s="194"/>
      <c r="J16" s="58" t="s">
        <v>397</v>
      </c>
      <c r="K16" s="426" t="str">
        <f>IF(Electricity[[#This Row],[Month]]&lt;&gt;"",VLOOKUP(Electricity[[#This Row],[Month]], dropdown!$S$4:$T$15, 2, FALSE),"")</f>
        <v>Q3</v>
      </c>
      <c r="L16" s="29">
        <v>23976</v>
      </c>
      <c r="M16" s="47">
        <v>245482.39</v>
      </c>
      <c r="N16" s="165" t="s">
        <v>414</v>
      </c>
      <c r="O16" s="195" t="s">
        <v>1469</v>
      </c>
      <c r="P16" s="48"/>
      <c r="Q16" s="20"/>
    </row>
    <row r="17" spans="2:17" x14ac:dyDescent="0.2">
      <c r="B17" s="122" t="s">
        <v>177</v>
      </c>
      <c r="I17" s="194"/>
      <c r="J17" s="58" t="s">
        <v>400</v>
      </c>
      <c r="K17" s="426" t="str">
        <f>IF(Electricity[[#This Row],[Month]]&lt;&gt;"",VLOOKUP(Electricity[[#This Row],[Month]], dropdown!$S$4:$T$15, 2, FALSE),"")</f>
        <v>Q4</v>
      </c>
      <c r="L17" s="29">
        <v>24408</v>
      </c>
      <c r="M17" s="47">
        <v>252518.65</v>
      </c>
      <c r="N17" s="165" t="s">
        <v>414</v>
      </c>
      <c r="O17" s="195" t="s">
        <v>1471</v>
      </c>
      <c r="P17" s="48"/>
      <c r="Q17" s="20"/>
    </row>
    <row r="18" spans="2:17" x14ac:dyDescent="0.2">
      <c r="I18" s="194">
        <f t="shared" ref="I18:I49" si="0">IF($L18="","",$I17+1)</f>
        <v>1</v>
      </c>
      <c r="J18" s="58" t="s">
        <v>404</v>
      </c>
      <c r="K18" s="426" t="str">
        <f>IF(Electricity[[#This Row],[Month]]&lt;&gt;"",VLOOKUP(Electricity[[#This Row],[Month]], dropdown!$S$4:$T$15, 2, FALSE),"")</f>
        <v>Q4</v>
      </c>
      <c r="L18" s="29">
        <v>23846.400000000001</v>
      </c>
      <c r="M18" s="47">
        <v>235771.85</v>
      </c>
      <c r="N18" s="165" t="s">
        <v>414</v>
      </c>
      <c r="O18" s="195" t="s">
        <v>1473</v>
      </c>
      <c r="P18" s="48"/>
      <c r="Q18" s="20"/>
    </row>
    <row r="19" spans="2:17" x14ac:dyDescent="0.2">
      <c r="I19" s="194">
        <f t="shared" si="0"/>
        <v>2</v>
      </c>
      <c r="J19" s="58" t="s">
        <v>407</v>
      </c>
      <c r="K19" s="426" t="str">
        <f>IF(Electricity[[#This Row],[Month]]&lt;&gt;"",VLOOKUP(Electricity[[#This Row],[Month]], dropdown!$S$4:$T$15, 2, FALSE),"")</f>
        <v>Q4</v>
      </c>
      <c r="L19" s="29">
        <v>24940.799999999999</v>
      </c>
      <c r="M19" s="47">
        <v>259658.78</v>
      </c>
      <c r="N19" s="165" t="s">
        <v>414</v>
      </c>
      <c r="O19" s="195" t="s">
        <v>1475</v>
      </c>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J11" sqref="J11"/>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North Luzon Regional Office</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Q21" sqref="Q21"/>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North Luzon Regional Office</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261</v>
      </c>
      <c r="N8" s="195" t="s">
        <v>1453</v>
      </c>
      <c r="O8" s="44"/>
      <c r="P8" s="194">
        <f>IF($T8="","",1)</f>
        <v>1</v>
      </c>
      <c r="Q8" s="58" t="s">
        <v>338</v>
      </c>
      <c r="R8" s="18" t="str">
        <f>IF(water_out[[#This Row],[Month]]&lt;&gt;"",VLOOKUP(water_out[[#This Row],[Month]], dropdown!$S$4:$T$15, 2, FALSE),"")</f>
        <v>Q1</v>
      </c>
      <c r="S8" s="60" t="s">
        <v>364</v>
      </c>
      <c r="T8" s="29">
        <v>0</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319</v>
      </c>
      <c r="N9" s="195" t="s">
        <v>1454</v>
      </c>
      <c r="O9" s="44"/>
      <c r="P9" s="194">
        <f>IF($T9="","",$P8+1)</f>
        <v>2</v>
      </c>
      <c r="Q9" s="58" t="s">
        <v>89</v>
      </c>
      <c r="R9" s="18" t="str">
        <f>IF(water_out[[#This Row],[Month]]&lt;&gt;"",VLOOKUP(water_out[[#This Row],[Month]], dropdown!$S$4:$T$15, 2, FALSE),"")</f>
        <v>Q1</v>
      </c>
      <c r="S9" s="60" t="s">
        <v>364</v>
      </c>
      <c r="T9" s="29">
        <v>0</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322</v>
      </c>
      <c r="N10" s="195" t="s">
        <v>1455</v>
      </c>
      <c r="O10" s="44"/>
      <c r="P10" s="194">
        <f t="shared" ref="P10:P73" si="1">IF($T10="","",$P9+1)</f>
        <v>3</v>
      </c>
      <c r="Q10" s="58" t="s">
        <v>362</v>
      </c>
      <c r="R10" s="18" t="str">
        <f>IF(water_out[[#This Row],[Month]]&lt;&gt;"",VLOOKUP(water_out[[#This Row],[Month]], dropdown!$S$4:$T$15, 2, FALSE),"")</f>
        <v>Q1</v>
      </c>
      <c r="S10" s="60" t="s">
        <v>364</v>
      </c>
      <c r="T10" s="29">
        <v>0</v>
      </c>
      <c r="U10" s="195"/>
      <c r="W10" s="20"/>
    </row>
    <row r="11" spans="2:23" ht="14" x14ac:dyDescent="0.2">
      <c r="B11" s="17" t="s">
        <v>120</v>
      </c>
      <c r="C11" s="17" t="s">
        <v>220</v>
      </c>
      <c r="D11" s="41">
        <f>SUMIFS(water_in[Volume (m3)],water_in[Quarter],D$10)</f>
        <v>902</v>
      </c>
      <c r="E11" s="41">
        <f>SUMIFS(water_in[Volume (m3)],water_in[Quarter],E$10)</f>
        <v>810</v>
      </c>
      <c r="F11" s="41">
        <f>SUMIFS(water_in[Volume (m3)],water_in[Quarter],F$10)</f>
        <v>693</v>
      </c>
      <c r="G11" s="41">
        <f>SUMIFS(water_in[Volume (m3)],water_in[Quarter],G$10)</f>
        <v>718</v>
      </c>
      <c r="I11" s="194">
        <f t="shared" si="0"/>
        <v>4</v>
      </c>
      <c r="J11" s="58" t="s">
        <v>371</v>
      </c>
      <c r="K11" s="426" t="str">
        <f>IF(water_in[[#This Row],[Month]]&lt;&gt;"",VLOOKUP(water_in[[#This Row],[Month]], dropdown!$S$4:$T$15, 2, FALSE),"")</f>
        <v>Q2</v>
      </c>
      <c r="L11" s="58" t="s">
        <v>124</v>
      </c>
      <c r="M11" s="29">
        <v>304</v>
      </c>
      <c r="N11" s="195" t="s">
        <v>1457</v>
      </c>
      <c r="O11" s="44"/>
      <c r="P11" s="194">
        <f t="shared" si="1"/>
        <v>4</v>
      </c>
      <c r="Q11" s="58" t="s">
        <v>371</v>
      </c>
      <c r="R11" s="18" t="str">
        <f>IF(water_out[[#This Row],[Month]]&lt;&gt;"",VLOOKUP(water_out[[#This Row],[Month]], dropdown!$S$4:$T$15, 2, FALSE),"")</f>
        <v>Q2</v>
      </c>
      <c r="S11" s="60" t="s">
        <v>364</v>
      </c>
      <c r="T11" s="29">
        <v>0</v>
      </c>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106</v>
      </c>
      <c r="G12" s="41">
        <f>SUMIFS(water_out[Volume2 (m3)],water_out[Quarter],G$10)</f>
        <v>159</v>
      </c>
      <c r="I12" s="194">
        <f t="shared" si="0"/>
        <v>5</v>
      </c>
      <c r="J12" s="58" t="s">
        <v>379</v>
      </c>
      <c r="K12" s="426" t="str">
        <f>IF(water_in[[#This Row],[Month]]&lt;&gt;"",VLOOKUP(water_in[[#This Row],[Month]], dropdown!$S$4:$T$15, 2, FALSE),"")</f>
        <v>Q2</v>
      </c>
      <c r="L12" s="58" t="s">
        <v>124</v>
      </c>
      <c r="M12" s="29">
        <v>253</v>
      </c>
      <c r="N12" s="195" t="s">
        <v>1461</v>
      </c>
      <c r="O12" s="44" t="str">
        <f>IF(J12="","",VLOOKUP($J12,dropdown!$S$3:$T$15,2,FALSE))</f>
        <v>Q2</v>
      </c>
      <c r="P12" s="194">
        <f t="shared" si="1"/>
        <v>5</v>
      </c>
      <c r="Q12" s="58" t="s">
        <v>379</v>
      </c>
      <c r="R12" s="18" t="str">
        <f>IF(water_out[[#This Row],[Month]]&lt;&gt;"",VLOOKUP(water_out[[#This Row],[Month]], dropdown!$S$4:$T$15, 2, FALSE),"")</f>
        <v>Q2</v>
      </c>
      <c r="S12" s="60" t="s">
        <v>364</v>
      </c>
      <c r="T12" s="29">
        <v>0</v>
      </c>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253</v>
      </c>
      <c r="N13" s="195" t="s">
        <v>1465</v>
      </c>
      <c r="O13" s="44" t="str">
        <f>IF(J13="","",VLOOKUP($J13,dropdown!$S$3:$T$15,2,FALSE))</f>
        <v>Q2</v>
      </c>
      <c r="P13" s="194">
        <f t="shared" si="1"/>
        <v>6</v>
      </c>
      <c r="Q13" s="58" t="s">
        <v>386</v>
      </c>
      <c r="R13" s="18" t="str">
        <f>IF(water_out[[#This Row],[Month]]&lt;&gt;"",VLOOKUP(water_out[[#This Row],[Month]], dropdown!$S$4:$T$15, 2, FALSE),"")</f>
        <v>Q2</v>
      </c>
      <c r="S13" s="60" t="s">
        <v>364</v>
      </c>
      <c r="T13" s="29">
        <v>0</v>
      </c>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345</v>
      </c>
      <c r="N14" s="195" t="s">
        <v>1466</v>
      </c>
      <c r="O14" s="44" t="str">
        <f>IF(J14="","",VLOOKUP($J14,dropdown!$S$3:$T$15,2,FALSE))</f>
        <v>Q3</v>
      </c>
      <c r="P14" s="194">
        <f t="shared" si="1"/>
        <v>7</v>
      </c>
      <c r="Q14" s="58" t="s">
        <v>390</v>
      </c>
      <c r="R14" s="18" t="str">
        <f>IF(water_out[[#This Row],[Month]]&lt;&gt;"",VLOOKUP(water_out[[#This Row],[Month]], dropdown!$S$4:$T$15, 2, FALSE),"")</f>
        <v>Q3</v>
      </c>
      <c r="S14" s="60" t="s">
        <v>364</v>
      </c>
      <c r="T14" s="29">
        <v>0</v>
      </c>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139</v>
      </c>
      <c r="N15" s="195" t="s">
        <v>1467</v>
      </c>
      <c r="O15" s="44" t="str">
        <f>IF(J15="","",VLOOKUP($J15,dropdown!$S$3:$T$15,2,FALSE))</f>
        <v>Q3</v>
      </c>
      <c r="P15" s="194">
        <f t="shared" si="1"/>
        <v>8</v>
      </c>
      <c r="Q15" s="58" t="s">
        <v>41</v>
      </c>
      <c r="R15" s="18" t="str">
        <f>IF(water_out[[#This Row],[Month]]&lt;&gt;"",VLOOKUP(water_out[[#This Row],[Month]], dropdown!$S$4:$T$15, 2, FALSE),"")</f>
        <v>Q3</v>
      </c>
      <c r="S15" s="60" t="s">
        <v>341</v>
      </c>
      <c r="T15" s="29">
        <v>49</v>
      </c>
      <c r="U15" s="195"/>
      <c r="W15" s="20"/>
    </row>
    <row r="16" spans="2:23" ht="14" x14ac:dyDescent="0.2">
      <c r="B16" s="121" t="s">
        <v>176</v>
      </c>
      <c r="I16" s="194">
        <f t="shared" si="0"/>
        <v>9</v>
      </c>
      <c r="J16" s="58" t="s">
        <v>397</v>
      </c>
      <c r="K16" s="426" t="str">
        <f>IF(water_in[[#This Row],[Month]]&lt;&gt;"",VLOOKUP(water_in[[#This Row],[Month]], dropdown!$S$4:$T$15, 2, FALSE),"")</f>
        <v>Q3</v>
      </c>
      <c r="L16" s="58" t="s">
        <v>124</v>
      </c>
      <c r="M16" s="29">
        <v>209</v>
      </c>
      <c r="N16" s="195" t="s">
        <v>1469</v>
      </c>
      <c r="O16" s="44" t="str">
        <f>IF(J16="","",VLOOKUP($J16,dropdown!$S$3:$T$15,2,FALSE))</f>
        <v>Q3</v>
      </c>
      <c r="P16" s="194">
        <f t="shared" si="1"/>
        <v>9</v>
      </c>
      <c r="Q16" s="58" t="s">
        <v>397</v>
      </c>
      <c r="R16" s="18" t="str">
        <f>IF(water_out[[#This Row],[Month]]&lt;&gt;"",VLOOKUP(water_out[[#This Row],[Month]], dropdown!$S$4:$T$15, 2, FALSE),"")</f>
        <v>Q3</v>
      </c>
      <c r="S16" s="60" t="s">
        <v>341</v>
      </c>
      <c r="T16" s="29">
        <v>57</v>
      </c>
      <c r="U16" s="195"/>
      <c r="W16" s="20"/>
    </row>
    <row r="17" spans="2:23" ht="14" x14ac:dyDescent="0.2">
      <c r="B17" s="122" t="s">
        <v>177</v>
      </c>
      <c r="I17" s="194">
        <f t="shared" si="0"/>
        <v>10</v>
      </c>
      <c r="J17" s="58" t="s">
        <v>400</v>
      </c>
      <c r="K17" s="426" t="str">
        <f>IF(water_in[[#This Row],[Month]]&lt;&gt;"",VLOOKUP(water_in[[#This Row],[Month]], dropdown!$S$4:$T$15, 2, FALSE),"")</f>
        <v>Q4</v>
      </c>
      <c r="L17" s="58" t="s">
        <v>124</v>
      </c>
      <c r="M17" s="29">
        <v>322</v>
      </c>
      <c r="N17" s="195" t="s">
        <v>1471</v>
      </c>
      <c r="O17" s="44" t="str">
        <f>IF(J17="","",VLOOKUP($J17,dropdown!$S$3:$T$15,2,FALSE))</f>
        <v>Q4</v>
      </c>
      <c r="P17" s="194">
        <f t="shared" si="1"/>
        <v>10</v>
      </c>
      <c r="Q17" s="58" t="s">
        <v>400</v>
      </c>
      <c r="R17" s="18" t="str">
        <f>IF(water_out[[#This Row],[Month]]&lt;&gt;"",VLOOKUP(water_out[[#This Row],[Month]], dropdown!$S$4:$T$15, 2, FALSE),"")</f>
        <v>Q4</v>
      </c>
      <c r="S17" s="60" t="s">
        <v>341</v>
      </c>
      <c r="T17" s="29">
        <v>56</v>
      </c>
      <c r="U17" s="195"/>
      <c r="V17" s="44" t="s">
        <v>43</v>
      </c>
      <c r="W17" s="20"/>
    </row>
    <row r="18" spans="2:23" ht="14" x14ac:dyDescent="0.2">
      <c r="I18" s="194">
        <f t="shared" si="0"/>
        <v>11</v>
      </c>
      <c r="J18" s="58" t="s">
        <v>404</v>
      </c>
      <c r="K18" s="426" t="str">
        <f>IF(water_in[[#This Row],[Month]]&lt;&gt;"",VLOOKUP(water_in[[#This Row],[Month]], dropdown!$S$4:$T$15, 2, FALSE),"")</f>
        <v>Q4</v>
      </c>
      <c r="L18" s="58" t="s">
        <v>124</v>
      </c>
      <c r="M18" s="29">
        <v>184</v>
      </c>
      <c r="N18" s="195" t="s">
        <v>1473</v>
      </c>
      <c r="O18" s="44" t="str">
        <f>IF(J18="","",VLOOKUP($J18,dropdown!$S$3:$T$15,2,FALSE))</f>
        <v>Q4</v>
      </c>
      <c r="P18" s="194">
        <f t="shared" si="1"/>
        <v>11</v>
      </c>
      <c r="Q18" s="58" t="s">
        <v>404</v>
      </c>
      <c r="R18" s="18" t="str">
        <f>IF(water_out[[#This Row],[Month]]&lt;&gt;"",VLOOKUP(water_out[[#This Row],[Month]], dropdown!$S$4:$T$15, 2, FALSE),"")</f>
        <v>Q4</v>
      </c>
      <c r="S18" s="60" t="s">
        <v>341</v>
      </c>
      <c r="T18" s="29">
        <v>52</v>
      </c>
      <c r="U18" s="195"/>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212</v>
      </c>
      <c r="N19" s="195" t="s">
        <v>1475</v>
      </c>
      <c r="O19" s="44" t="str">
        <f>IF(J19="","",VLOOKUP($J19,dropdown!$S$3:$T$15,2,FALSE))</f>
        <v>Q4</v>
      </c>
      <c r="P19" s="194">
        <f t="shared" si="1"/>
        <v>12</v>
      </c>
      <c r="Q19" s="58" t="s">
        <v>407</v>
      </c>
      <c r="R19" s="18" t="str">
        <f>IF(water_out[[#This Row],[Month]]&lt;&gt;"",VLOOKUP(water_out[[#This Row],[Month]], dropdown!$S$4:$T$15, 2, FALSE),"")</f>
        <v>Q4</v>
      </c>
      <c r="S19" s="60" t="s">
        <v>341</v>
      </c>
      <c r="T19" s="29">
        <v>51</v>
      </c>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North Luzon Regional Office</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J22" sqref="J22"/>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North Luzon Regional Office</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c r="D6" s="447"/>
      <c r="E6" s="447"/>
      <c r="F6" s="447"/>
      <c r="G6" s="448"/>
      <c r="I6" s="409" t="s">
        <v>282</v>
      </c>
      <c r="J6" s="407"/>
      <c r="K6" s="407"/>
      <c r="L6" s="407"/>
      <c r="M6" s="408"/>
      <c r="N6" s="407"/>
      <c r="O6" s="407"/>
      <c r="Q6" s="44"/>
    </row>
    <row r="7" spans="2:17" ht="25.5" customHeight="1" x14ac:dyDescent="0.2">
      <c r="B7" s="278" t="s">
        <v>174</v>
      </c>
      <c r="C7" s="446"/>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362</v>
      </c>
      <c r="K8" s="194" t="str">
        <f>IF(Waste[[#This Row],[Month]]&lt;&gt;"",VLOOKUP(Waste[[#This Row],[Month]], dropdown!$S$4:$T$15, 2, FALSE),"")</f>
        <v>Q1</v>
      </c>
      <c r="L8" s="57" t="s">
        <v>317</v>
      </c>
      <c r="M8" s="29">
        <v>155</v>
      </c>
      <c r="N8" s="57" t="s">
        <v>364</v>
      </c>
      <c r="O8" s="195"/>
      <c r="Q8" s="44"/>
    </row>
    <row r="9" spans="2:17" x14ac:dyDescent="0.2">
      <c r="B9" s="14" t="s">
        <v>134</v>
      </c>
      <c r="C9" s="14"/>
      <c r="D9" s="14"/>
      <c r="E9" s="14"/>
      <c r="F9" s="14"/>
      <c r="G9" s="14"/>
      <c r="I9" s="194">
        <f t="shared" ref="I9:I72" si="0">IF($J9="","",$I8+1)</f>
        <v>2</v>
      </c>
      <c r="J9" s="58" t="s">
        <v>362</v>
      </c>
      <c r="K9" s="194" t="str">
        <f>IF(Waste[[#This Row],[Month]]&lt;&gt;"",VLOOKUP(Waste[[#This Row],[Month]], dropdown!$S$4:$T$15, 2, FALSE),"")</f>
        <v>Q1</v>
      </c>
      <c r="L9" s="57" t="s">
        <v>383</v>
      </c>
      <c r="M9" s="29">
        <v>1500</v>
      </c>
      <c r="N9" s="57" t="s">
        <v>313</v>
      </c>
      <c r="O9" s="195"/>
      <c r="Q9" s="44"/>
    </row>
    <row r="10" spans="2:17" x14ac:dyDescent="0.2">
      <c r="B10" s="13" t="s">
        <v>137</v>
      </c>
      <c r="C10" s="13" t="s">
        <v>51</v>
      </c>
      <c r="D10" s="40" t="s">
        <v>45</v>
      </c>
      <c r="E10" s="40" t="s">
        <v>149</v>
      </c>
      <c r="F10" s="40" t="s">
        <v>150</v>
      </c>
      <c r="G10" s="40" t="s">
        <v>151</v>
      </c>
      <c r="I10" s="194">
        <f t="shared" si="0"/>
        <v>3</v>
      </c>
      <c r="J10" s="58" t="s">
        <v>386</v>
      </c>
      <c r="K10" s="194" t="str">
        <f>IF(Waste[[#This Row],[Month]]&lt;&gt;"",VLOOKUP(Waste[[#This Row],[Month]], dropdown!$S$4:$T$15, 2, FALSE),"")</f>
        <v>Q2</v>
      </c>
      <c r="L10" s="57" t="s">
        <v>317</v>
      </c>
      <c r="M10" s="29">
        <v>469</v>
      </c>
      <c r="N10" s="57" t="s">
        <v>364</v>
      </c>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386</v>
      </c>
      <c r="K11" s="194" t="str">
        <f>IF(Waste[[#This Row],[Month]]&lt;&gt;"",VLOOKUP(Waste[[#This Row],[Month]], dropdown!$S$4:$T$15, 2, FALSE),"")</f>
        <v>Q2</v>
      </c>
      <c r="L11" s="57" t="s">
        <v>383</v>
      </c>
      <c r="M11" s="29">
        <v>1500</v>
      </c>
      <c r="N11" s="57" t="s">
        <v>313</v>
      </c>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397</v>
      </c>
      <c r="K12" s="194" t="str">
        <f>IF(Waste[[#This Row],[Month]]&lt;&gt;"",VLOOKUP(Waste[[#This Row],[Month]], dropdown!$S$4:$T$15, 2, FALSE),"")</f>
        <v>Q3</v>
      </c>
      <c r="L12" s="57" t="s">
        <v>317</v>
      </c>
      <c r="M12" s="29">
        <v>148.5</v>
      </c>
      <c r="N12" s="57" t="s">
        <v>364</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397</v>
      </c>
      <c r="K13" s="194" t="str">
        <f>IF(Waste[[#This Row],[Month]]&lt;&gt;"",VLOOKUP(Waste[[#This Row],[Month]], dropdown!$S$4:$T$15, 2, FALSE),"")</f>
        <v>Q3</v>
      </c>
      <c r="L13" s="57" t="s">
        <v>383</v>
      </c>
      <c r="M13" s="29">
        <v>1500</v>
      </c>
      <c r="N13" s="57" t="s">
        <v>313</v>
      </c>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407</v>
      </c>
      <c r="K14" s="194" t="str">
        <f>IF(Waste[[#This Row],[Month]]&lt;&gt;"",VLOOKUP(Waste[[#This Row],[Month]], dropdown!$S$4:$T$15, 2, FALSE),"")</f>
        <v>Q4</v>
      </c>
      <c r="L14" s="57" t="s">
        <v>317</v>
      </c>
      <c r="M14" s="29">
        <v>457.93</v>
      </c>
      <c r="N14" s="57" t="s">
        <v>364</v>
      </c>
      <c r="O14" s="195"/>
      <c r="Q14" s="44"/>
    </row>
    <row r="15" spans="2:17" ht="15" customHeight="1" x14ac:dyDescent="0.2">
      <c r="B15" s="17" t="str">
        <f>dropdown!$B8</f>
        <v>Hazardous</v>
      </c>
      <c r="C15" s="17" t="s">
        <v>283</v>
      </c>
      <c r="D15" s="41">
        <f>SUMIFS(Waste[Weight (kg)],Waste[Quarter],D$10,Waste[Waste Composition],$B15)</f>
        <v>155</v>
      </c>
      <c r="E15" s="41">
        <f>SUMIFS(Waste[Weight (kg)],Waste[Quarter],E$10,Waste[Waste Composition],$B15)</f>
        <v>469</v>
      </c>
      <c r="F15" s="41">
        <f>SUMIFS(Waste[Weight (kg)],Waste[Quarter],F$10,Waste[Waste Composition],$B15)</f>
        <v>148.5</v>
      </c>
      <c r="G15" s="41">
        <f>SUMIFS(Waste[Weight (kg)],Waste[Quarter],G$10,Waste[Waste Composition],$B15)</f>
        <v>457.93</v>
      </c>
      <c r="I15" s="194">
        <f t="shared" si="0"/>
        <v>8</v>
      </c>
      <c r="J15" s="58" t="s">
        <v>407</v>
      </c>
      <c r="K15" s="194" t="str">
        <f>IF(Waste[[#This Row],[Month]]&lt;&gt;"",VLOOKUP(Waste[[#This Row],[Month]], dropdown!$S$4:$T$15, 2, FALSE),"")</f>
        <v>Q4</v>
      </c>
      <c r="L15" s="57" t="s">
        <v>383</v>
      </c>
      <c r="M15" s="29">
        <v>1500</v>
      </c>
      <c r="N15" s="57" t="s">
        <v>313</v>
      </c>
      <c r="O15" s="195"/>
    </row>
    <row r="16" spans="2:17" x14ac:dyDescent="0.2">
      <c r="B16" s="17" t="str">
        <f>dropdown!$B9</f>
        <v>Residual/Landfill</v>
      </c>
      <c r="C16" s="17" t="s">
        <v>283</v>
      </c>
      <c r="D16" s="41">
        <f>SUMIFS(Waste[Weight (kg)],Waste[Quarter],D$10,Waste[Waste Composition],$B16)</f>
        <v>1500</v>
      </c>
      <c r="E16" s="41">
        <f>SUMIFS(Waste[Weight (kg)],Waste[Quarter],E$10,Waste[Waste Composition],$B16)</f>
        <v>1500</v>
      </c>
      <c r="F16" s="41">
        <f>SUMIFS(Waste[Weight (kg)],Waste[Quarter],F$10,Waste[Waste Composition],$B16)</f>
        <v>1500</v>
      </c>
      <c r="G16" s="41">
        <f>SUMIFS(Waste[Weight (kg)],Waste[Quarter],G$10,Waste[Waste Composition],$B16)</f>
        <v>1500</v>
      </c>
      <c r="I16" s="194" t="str">
        <f t="shared" si="0"/>
        <v/>
      </c>
      <c r="J16" s="58"/>
      <c r="K16" s="194" t="str">
        <f>IF(Waste[[#This Row],[Month]]&lt;&gt;"",VLOOKUP(Waste[[#This Row],[Month]], dropdown!$S$4:$T$15, 2, FALSE),"")</f>
        <v/>
      </c>
      <c r="L16" s="57"/>
      <c r="M16" s="29"/>
      <c r="N16" s="57"/>
      <c r="O16" s="195"/>
    </row>
    <row r="17" spans="2:15" x14ac:dyDescent="0.2">
      <c r="I17" s="194" t="str">
        <f t="shared" si="0"/>
        <v/>
      </c>
      <c r="J17" s="58"/>
      <c r="K17" s="194" t="str">
        <f>IF(Waste[[#This Row],[Month]]&lt;&gt;"",VLOOKUP(Waste[[#This Row],[Month]], dropdown!$S$4:$T$15, 2, FALSE),"")</f>
        <v/>
      </c>
      <c r="L17" s="57"/>
      <c r="M17" s="29"/>
      <c r="N17" s="57"/>
      <c r="O17" s="195"/>
    </row>
    <row r="18" spans="2:15" x14ac:dyDescent="0.2">
      <c r="B18" s="267" t="s">
        <v>38</v>
      </c>
      <c r="I18" s="194" t="str">
        <f t="shared" si="0"/>
        <v/>
      </c>
      <c r="J18" s="58"/>
      <c r="K18" s="194" t="str">
        <f>IF(Waste[[#This Row],[Month]]&lt;&gt;"",VLOOKUP(Waste[[#This Row],[Month]], dropdown!$S$4:$T$15, 2, FALSE),"")</f>
        <v/>
      </c>
      <c r="L18" s="57"/>
      <c r="M18" s="29"/>
      <c r="N18" s="57"/>
      <c r="O18" s="195"/>
    </row>
    <row r="19" spans="2:15" x14ac:dyDescent="0.2">
      <c r="B19" s="268" t="s">
        <v>175</v>
      </c>
      <c r="I19" s="194" t="str">
        <f t="shared" ref="I19" si="1">IF($J19="","",$I18+1)</f>
        <v/>
      </c>
      <c r="J19" s="58"/>
      <c r="K19" s="194" t="str">
        <f>IF(Waste[[#This Row],[Month]]&lt;&gt;"",VLOOKUP(Waste[[#This Row],[Month]], dropdown!$S$4:$T$15, 2, FALSE),"")</f>
        <v/>
      </c>
      <c r="L19" s="57"/>
      <c r="M19" s="29"/>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North Luzon Regional Office</v>
      </c>
      <c r="E6" s="460" t="s">
        <v>284</v>
      </c>
      <c r="F6" s="460"/>
      <c r="G6" s="460"/>
      <c r="H6" s="460"/>
      <c r="I6" s="460"/>
      <c r="J6" s="460"/>
      <c r="K6" s="460"/>
      <c r="L6" s="460"/>
      <c r="M6" s="460"/>
      <c r="N6" s="460"/>
      <c r="O6" s="460"/>
      <c r="P6" s="460"/>
      <c r="Q6" s="460"/>
    </row>
    <row r="7" spans="2:17" ht="20" customHeight="1" x14ac:dyDescent="0.2">
      <c r="B7" s="70" t="s">
        <v>12</v>
      </c>
      <c r="C7" s="59">
        <f>'1. Data Info and Summary'!$D$3</f>
        <v>2024</v>
      </c>
      <c r="E7" s="460"/>
      <c r="F7" s="460"/>
      <c r="G7" s="460"/>
      <c r="H7" s="460"/>
      <c r="I7" s="460"/>
      <c r="J7" s="460"/>
      <c r="K7" s="460"/>
      <c r="L7" s="460"/>
      <c r="M7" s="460"/>
      <c r="N7" s="460"/>
      <c r="O7" s="460"/>
      <c r="P7" s="460"/>
      <c r="Q7" s="460"/>
    </row>
    <row r="8" spans="2:17" ht="20" customHeight="1" x14ac:dyDescent="0.2">
      <c r="B8" s="71"/>
    </row>
    <row r="9" spans="2:17" x14ac:dyDescent="0.2">
      <c r="C9" s="53"/>
      <c r="E9" s="462" t="s">
        <v>285</v>
      </c>
      <c r="F9" s="462"/>
      <c r="G9" s="462"/>
      <c r="H9" s="462"/>
      <c r="I9" s="462"/>
      <c r="J9" s="462"/>
      <c r="L9" s="462" t="s">
        <v>286</v>
      </c>
      <c r="M9" s="462"/>
      <c r="N9" s="462"/>
      <c r="O9" s="462"/>
      <c r="P9" s="462"/>
      <c r="Q9" s="462"/>
    </row>
    <row r="10" spans="2:17" ht="8" customHeight="1" x14ac:dyDescent="0.2">
      <c r="B10" s="71"/>
    </row>
    <row r="11" spans="2:17" x14ac:dyDescent="0.2">
      <c r="E11" s="461" t="s">
        <v>287</v>
      </c>
      <c r="F11" s="461"/>
      <c r="G11" s="461"/>
      <c r="H11" s="461"/>
      <c r="I11" s="461"/>
      <c r="J11" s="461"/>
      <c r="L11" s="461" t="s">
        <v>288</v>
      </c>
      <c r="M11" s="461"/>
      <c r="N11" s="461"/>
      <c r="O11" s="461"/>
      <c r="P11" s="461"/>
      <c r="Q11" s="461"/>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3922.4500000000003</v>
      </c>
      <c r="G13" s="73" t="str">
        <f>'1. Data Info and Summary'!$D18</f>
        <v>Liters</v>
      </c>
      <c r="I13" s="76">
        <f>VLOOKUP($E13,Emission_Factors!$A$1:$G$20,5,FALSE)</f>
        <v>2.68</v>
      </c>
      <c r="J13" s="141">
        <f>F13*I13</f>
        <v>10512.166000000001</v>
      </c>
      <c r="L13" s="73" t="s">
        <v>155</v>
      </c>
      <c r="M13" s="78">
        <f>SUM('2.3a Electricity'!$D$12:$G$12)</f>
        <v>270259.20000000001</v>
      </c>
      <c r="N13" s="73" t="str">
        <f>'2.3a Electricity'!$C$12</f>
        <v>Kilowatt-hour</v>
      </c>
      <c r="P13" s="76">
        <f>VLOOKUP($L13,Emission_Factors!$A$1:$G$20,5,FALSE)</f>
        <v>0.56000000000000005</v>
      </c>
      <c r="Q13" s="141">
        <f>M13*P13</f>
        <v>151345.15200000003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10512.166000000001</v>
      </c>
    </row>
    <row r="20" spans="5:10" x14ac:dyDescent="0.2">
      <c r="E20" s="461" t="s">
        <v>293</v>
      </c>
      <c r="F20" s="461"/>
      <c r="G20" s="461"/>
      <c r="H20" s="461"/>
      <c r="I20" s="461"/>
      <c r="J20" s="461"/>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16101.803</v>
      </c>
      <c r="G22" s="73" t="str">
        <f>'1. Data Info and Summary'!$D26</f>
        <v>Liters</v>
      </c>
      <c r="I22" s="76">
        <f>VLOOKUP($E22,Emission_Factors!$A$1:$G$20,5,FALSE)</f>
        <v>2.68</v>
      </c>
      <c r="J22" s="141">
        <f>F22*I22</f>
        <v>43152.832040000001</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43152.832040000001</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7.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2576.8000000000002</v>
      </c>
      <c r="D33" s="337">
        <v>3008</v>
      </c>
      <c r="E33" s="337">
        <v>2826.7799999999997</v>
      </c>
      <c r="F33" s="337">
        <v>2825.09</v>
      </c>
      <c r="G33" s="337">
        <v>11236.67</v>
      </c>
      <c r="I33" s="20"/>
      <c r="J33" s="20"/>
      <c r="K33" s="21"/>
      <c r="L33" s="21"/>
      <c r="M33" s="22"/>
      <c r="N33" s="22"/>
      <c r="O33" s="11"/>
      <c r="P33" s="22"/>
      <c r="Q33" s="20"/>
      <c r="R33" s="20"/>
      <c r="S33" s="44"/>
    </row>
    <row r="34" spans="1:19" outlineLevel="1" x14ac:dyDescent="0.2">
      <c r="A34" s="203" t="s">
        <v>63</v>
      </c>
      <c r="B34" s="337"/>
      <c r="C34" s="337">
        <v>2576.8000000000002</v>
      </c>
      <c r="D34" s="337">
        <v>3008</v>
      </c>
      <c r="E34" s="337">
        <v>2826.7799999999997</v>
      </c>
      <c r="F34" s="337">
        <v>2825.09</v>
      </c>
      <c r="G34" s="337">
        <v>11236.67</v>
      </c>
      <c r="I34" s="20"/>
      <c r="J34" s="20"/>
      <c r="K34" s="21"/>
      <c r="L34" s="21"/>
      <c r="M34" s="22"/>
      <c r="N34" s="22"/>
      <c r="O34" s="11"/>
      <c r="P34" s="22"/>
      <c r="Q34" s="20"/>
      <c r="R34" s="20"/>
      <c r="S34" s="44"/>
    </row>
    <row r="35" spans="1:19" outlineLevel="1" x14ac:dyDescent="0.2">
      <c r="A35" s="19" t="s">
        <v>381</v>
      </c>
      <c r="B35" s="337"/>
      <c r="C35" s="337">
        <v>488.18</v>
      </c>
      <c r="D35" s="337">
        <v>867.93999999999994</v>
      </c>
      <c r="E35" s="337">
        <v>812.221</v>
      </c>
      <c r="F35" s="337">
        <v>962.42200000000003</v>
      </c>
      <c r="G35" s="337">
        <v>3130.7629999999999</v>
      </c>
      <c r="I35" s="20"/>
      <c r="J35" s="20"/>
      <c r="K35" s="21"/>
      <c r="L35" s="21"/>
      <c r="M35" s="22"/>
      <c r="N35" s="22"/>
      <c r="O35" s="11"/>
      <c r="P35" s="22"/>
      <c r="Q35" s="20"/>
      <c r="R35" s="20"/>
      <c r="S35" s="44"/>
    </row>
    <row r="36" spans="1:19" outlineLevel="1" x14ac:dyDescent="0.2">
      <c r="A36" s="203" t="s">
        <v>63</v>
      </c>
      <c r="B36" s="337"/>
      <c r="C36" s="337">
        <v>488.18</v>
      </c>
      <c r="D36" s="337">
        <v>867.93999999999994</v>
      </c>
      <c r="E36" s="337">
        <v>812.221</v>
      </c>
      <c r="F36" s="337">
        <v>962.42200000000003</v>
      </c>
      <c r="G36" s="337">
        <v>3130.7629999999999</v>
      </c>
      <c r="H36" s="12"/>
      <c r="I36" s="20"/>
      <c r="J36" s="20"/>
      <c r="K36" s="21"/>
      <c r="L36" s="21"/>
      <c r="M36" s="22"/>
      <c r="N36" s="22"/>
      <c r="O36" s="11"/>
      <c r="P36" s="22"/>
      <c r="Q36" s="20"/>
      <c r="R36" s="20"/>
      <c r="S36" s="44"/>
    </row>
    <row r="37" spans="1:19" outlineLevel="1" x14ac:dyDescent="0.2">
      <c r="A37" s="19" t="s">
        <v>365</v>
      </c>
      <c r="B37" s="337"/>
      <c r="C37" s="337">
        <v>354.85</v>
      </c>
      <c r="D37" s="337">
        <v>381.18999999999994</v>
      </c>
      <c r="E37" s="337">
        <v>639.94000000000005</v>
      </c>
      <c r="F37" s="337">
        <v>358.39</v>
      </c>
      <c r="G37" s="337">
        <v>1734.37</v>
      </c>
      <c r="H37" s="12"/>
      <c r="I37" s="20"/>
      <c r="J37" s="20"/>
      <c r="K37" s="21"/>
      <c r="L37" s="21"/>
      <c r="M37" s="22"/>
      <c r="N37" s="22"/>
      <c r="O37" s="11"/>
      <c r="P37" s="22"/>
      <c r="Q37" s="20"/>
      <c r="R37" s="20"/>
      <c r="S37" s="44"/>
    </row>
    <row r="38" spans="1:19" outlineLevel="1" x14ac:dyDescent="0.2">
      <c r="A38" s="203" t="s">
        <v>63</v>
      </c>
      <c r="B38" s="337"/>
      <c r="C38" s="337">
        <v>354.85</v>
      </c>
      <c r="D38" s="337">
        <v>381.18999999999994</v>
      </c>
      <c r="E38" s="337">
        <v>639.94000000000005</v>
      </c>
      <c r="F38" s="337">
        <v>358.39</v>
      </c>
      <c r="G38" s="337">
        <v>1734.37</v>
      </c>
      <c r="H38" s="12"/>
      <c r="I38" s="20"/>
      <c r="J38" s="20"/>
      <c r="K38" s="21"/>
      <c r="L38" s="21"/>
      <c r="M38" s="22"/>
      <c r="N38" s="22"/>
      <c r="O38" s="11"/>
      <c r="P38" s="22"/>
      <c r="Q38" s="20"/>
      <c r="R38" s="20"/>
      <c r="S38" s="44"/>
    </row>
    <row r="39" spans="1:19" outlineLevel="1" x14ac:dyDescent="0.2">
      <c r="A39" s="19" t="s">
        <v>297</v>
      </c>
      <c r="B39" s="337"/>
      <c r="C39" s="337">
        <v>3419.83</v>
      </c>
      <c r="D39" s="337">
        <v>4257.13</v>
      </c>
      <c r="E39" s="337">
        <v>4278.9409999999998</v>
      </c>
      <c r="F39" s="337">
        <v>4145.902</v>
      </c>
      <c r="G39" s="337">
        <v>16101.803</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111"/>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45909.4065162037</v>
      </c>
      <c r="B927" t="s">
        <v>1431</v>
      </c>
      <c r="C927" t="s">
        <v>27</v>
      </c>
      <c r="D927" t="s">
        <v>1432</v>
      </c>
    </row>
    <row r="928" spans="1:5" x14ac:dyDescent="0.2">
      <c r="A928" s="269">
        <v>45909.406608796293</v>
      </c>
      <c r="B928" t="s">
        <v>1431</v>
      </c>
      <c r="C928" t="s">
        <v>27</v>
      </c>
      <c r="D928" t="s">
        <v>1433</v>
      </c>
    </row>
    <row r="929" spans="1:5" x14ac:dyDescent="0.2">
      <c r="A929" s="269">
        <v>45909.40662037037</v>
      </c>
      <c r="B929" t="s">
        <v>1431</v>
      </c>
      <c r="C929" t="s">
        <v>27</v>
      </c>
      <c r="D929" t="s">
        <v>1433</v>
      </c>
    </row>
    <row r="930" spans="1:5" x14ac:dyDescent="0.2">
      <c r="A930" s="269">
        <v>45909.406631944446</v>
      </c>
      <c r="B930" t="s">
        <v>1431</v>
      </c>
      <c r="C930" t="s">
        <v>27</v>
      </c>
      <c r="D930" t="s">
        <v>1433</v>
      </c>
    </row>
    <row r="931" spans="1:5" x14ac:dyDescent="0.2">
      <c r="A931" s="269">
        <v>45909.43953703704</v>
      </c>
      <c r="B931" t="s">
        <v>1431</v>
      </c>
      <c r="C931" t="s">
        <v>2</v>
      </c>
      <c r="D931" t="s">
        <v>1434</v>
      </c>
    </row>
    <row r="932" spans="1:5" x14ac:dyDescent="0.2">
      <c r="A932" s="269">
        <v>45909.439965277779</v>
      </c>
      <c r="B932" t="s">
        <v>1431</v>
      </c>
      <c r="C932" t="s">
        <v>27</v>
      </c>
      <c r="D932" t="s">
        <v>1013</v>
      </c>
    </row>
    <row r="933" spans="1:5" x14ac:dyDescent="0.2">
      <c r="A933" s="269">
        <v>45909.439976851849</v>
      </c>
      <c r="B933" t="s">
        <v>1431</v>
      </c>
      <c r="C933" t="s">
        <v>27</v>
      </c>
      <c r="D933" t="s">
        <v>1013</v>
      </c>
      <c r="E933" t="s">
        <v>37</v>
      </c>
    </row>
    <row r="934" spans="1:5" x14ac:dyDescent="0.2">
      <c r="A934" s="269">
        <v>45909.440023148149</v>
      </c>
      <c r="B934" t="s">
        <v>1431</v>
      </c>
      <c r="C934" t="s">
        <v>27</v>
      </c>
      <c r="D934" t="s">
        <v>1013</v>
      </c>
    </row>
    <row r="935" spans="1:5" x14ac:dyDescent="0.2">
      <c r="A935" s="269">
        <v>45909.440451388888</v>
      </c>
      <c r="B935" t="s">
        <v>1431</v>
      </c>
      <c r="C935" t="s">
        <v>27</v>
      </c>
      <c r="D935" t="s">
        <v>946</v>
      </c>
      <c r="E935" t="s">
        <v>37</v>
      </c>
    </row>
    <row r="936" spans="1:5" x14ac:dyDescent="0.2">
      <c r="A936" s="269">
        <v>45909.440671296295</v>
      </c>
      <c r="B936" t="s">
        <v>1431</v>
      </c>
      <c r="C936" t="s">
        <v>27</v>
      </c>
      <c r="D936" t="s">
        <v>1191</v>
      </c>
      <c r="E936" t="s">
        <v>37</v>
      </c>
    </row>
    <row r="937" spans="1:5" x14ac:dyDescent="0.2">
      <c r="A937" s="269">
        <v>45909.440717592595</v>
      </c>
      <c r="B937" t="s">
        <v>1431</v>
      </c>
      <c r="C937" t="s">
        <v>27</v>
      </c>
      <c r="D937" t="s">
        <v>1191</v>
      </c>
      <c r="E937" t="s">
        <v>298</v>
      </c>
    </row>
    <row r="938" spans="1:5" x14ac:dyDescent="0.2">
      <c r="A938" s="269">
        <v>45909.440729166665</v>
      </c>
      <c r="B938" t="s">
        <v>1431</v>
      </c>
      <c r="C938" t="s">
        <v>27</v>
      </c>
      <c r="D938" t="s">
        <v>1191</v>
      </c>
    </row>
    <row r="939" spans="1:5" x14ac:dyDescent="0.2">
      <c r="A939" s="269">
        <v>45909.440798611111</v>
      </c>
      <c r="B939" t="s">
        <v>1431</v>
      </c>
      <c r="C939" t="s">
        <v>27</v>
      </c>
      <c r="D939" t="s">
        <v>946</v>
      </c>
      <c r="E939" t="s">
        <v>37</v>
      </c>
    </row>
    <row r="940" spans="1:5" x14ac:dyDescent="0.2">
      <c r="A940" s="269">
        <v>45909.440833333334</v>
      </c>
      <c r="B940" t="s">
        <v>1431</v>
      </c>
      <c r="C940" t="s">
        <v>27</v>
      </c>
      <c r="D940" t="s">
        <v>946</v>
      </c>
    </row>
    <row r="941" spans="1:5" ht="112" x14ac:dyDescent="0.2">
      <c r="A941" s="269">
        <v>45909.441331018519</v>
      </c>
      <c r="B941" t="s">
        <v>1431</v>
      </c>
      <c r="C941" t="s">
        <v>611</v>
      </c>
      <c r="D941" t="s">
        <v>1003</v>
      </c>
      <c r="E941" s="6" t="s">
        <v>1435</v>
      </c>
    </row>
    <row r="942" spans="1:5" x14ac:dyDescent="0.2">
      <c r="A942" s="269">
        <v>45909.443506944444</v>
      </c>
      <c r="B942" t="s">
        <v>1431</v>
      </c>
      <c r="C942" t="s">
        <v>611</v>
      </c>
      <c r="D942" t="s">
        <v>1163</v>
      </c>
      <c r="E942" t="s">
        <v>59</v>
      </c>
    </row>
    <row r="943" spans="1:5" x14ac:dyDescent="0.2">
      <c r="A943" s="269">
        <v>45909.445081018515</v>
      </c>
      <c r="B943" t="s">
        <v>1431</v>
      </c>
      <c r="C943" t="s">
        <v>58</v>
      </c>
      <c r="D943" t="s">
        <v>1436</v>
      </c>
    </row>
    <row r="944" spans="1:5" x14ac:dyDescent="0.2">
      <c r="A944" s="269">
        <v>45909.445104166669</v>
      </c>
      <c r="B944" t="s">
        <v>1431</v>
      </c>
      <c r="C944" t="s">
        <v>58</v>
      </c>
      <c r="D944" t="s">
        <v>677</v>
      </c>
      <c r="E944" t="s">
        <v>343</v>
      </c>
    </row>
    <row r="945" spans="1:5" x14ac:dyDescent="0.2">
      <c r="A945" s="269">
        <v>45909.446504629632</v>
      </c>
      <c r="B945" t="s">
        <v>1431</v>
      </c>
      <c r="C945" t="s">
        <v>27</v>
      </c>
      <c r="D945" t="s">
        <v>674</v>
      </c>
      <c r="E945" t="s">
        <v>37</v>
      </c>
    </row>
    <row r="946" spans="1:5" x14ac:dyDescent="0.2">
      <c r="A946" s="269">
        <v>45909.446574074071</v>
      </c>
      <c r="B946" t="s">
        <v>1431</v>
      </c>
      <c r="C946" t="s">
        <v>27</v>
      </c>
      <c r="D946" t="s">
        <v>674</v>
      </c>
    </row>
    <row r="947" spans="1:5" x14ac:dyDescent="0.2">
      <c r="A947" s="269">
        <v>45909.446574074071</v>
      </c>
      <c r="B947" t="s">
        <v>1431</v>
      </c>
      <c r="C947" t="s">
        <v>27</v>
      </c>
      <c r="D947" t="s">
        <v>674</v>
      </c>
    </row>
    <row r="948" spans="1:5" x14ac:dyDescent="0.2">
      <c r="A948" s="269">
        <v>45909.446574074071</v>
      </c>
      <c r="B948" t="s">
        <v>1431</v>
      </c>
      <c r="C948" t="s">
        <v>27</v>
      </c>
      <c r="D948" t="s">
        <v>674</v>
      </c>
    </row>
    <row r="949" spans="1:5" ht="176" x14ac:dyDescent="0.2">
      <c r="A949" s="269">
        <v>45909.446863425925</v>
      </c>
      <c r="B949" t="s">
        <v>1431</v>
      </c>
      <c r="C949" t="s">
        <v>611</v>
      </c>
      <c r="D949" t="s">
        <v>1183</v>
      </c>
      <c r="E949" s="6" t="s">
        <v>1189</v>
      </c>
    </row>
    <row r="950" spans="1:5" x14ac:dyDescent="0.2">
      <c r="A950" s="269">
        <v>45909.44767361111</v>
      </c>
      <c r="B950" t="s">
        <v>1431</v>
      </c>
      <c r="C950" t="s">
        <v>611</v>
      </c>
      <c r="D950" t="s">
        <v>1437</v>
      </c>
      <c r="E950" t="s">
        <v>78</v>
      </c>
    </row>
    <row r="951" spans="1:5" x14ac:dyDescent="0.2">
      <c r="A951" s="269">
        <v>45909.456111111111</v>
      </c>
      <c r="B951" t="s">
        <v>1431</v>
      </c>
      <c r="C951" t="s">
        <v>2</v>
      </c>
      <c r="D951" t="s">
        <v>1434</v>
      </c>
      <c r="E951" t="s">
        <v>415</v>
      </c>
    </row>
    <row r="952" spans="1:5" x14ac:dyDescent="0.2">
      <c r="A952" s="269">
        <v>45909.456192129626</v>
      </c>
      <c r="B952" t="s">
        <v>1431</v>
      </c>
      <c r="C952" t="s">
        <v>2</v>
      </c>
      <c r="D952" t="s">
        <v>1434</v>
      </c>
      <c r="E952" t="s">
        <v>417</v>
      </c>
    </row>
    <row r="953" spans="1:5" x14ac:dyDescent="0.2">
      <c r="A953" s="269">
        <v>45909.456238425926</v>
      </c>
      <c r="B953" t="s">
        <v>1431</v>
      </c>
      <c r="C953" t="s">
        <v>2</v>
      </c>
      <c r="D953" t="s">
        <v>1438</v>
      </c>
      <c r="E953">
        <v>2025</v>
      </c>
    </row>
    <row r="954" spans="1:5" x14ac:dyDescent="0.2">
      <c r="A954" s="269">
        <v>45909.456238425926</v>
      </c>
      <c r="B954" t="s">
        <v>1431</v>
      </c>
      <c r="C954" t="s">
        <v>2</v>
      </c>
      <c r="D954" t="s">
        <v>1438</v>
      </c>
      <c r="E954">
        <v>2025</v>
      </c>
    </row>
    <row r="955" spans="1:5" x14ac:dyDescent="0.2">
      <c r="A955" s="269">
        <v>45909.456273148149</v>
      </c>
      <c r="B955" t="s">
        <v>1431</v>
      </c>
      <c r="C955" t="s">
        <v>2</v>
      </c>
      <c r="D955" t="s">
        <v>872</v>
      </c>
    </row>
    <row r="956" spans="1:5" x14ac:dyDescent="0.2">
      <c r="A956" s="269">
        <v>45909.45753472222</v>
      </c>
      <c r="B956" t="s">
        <v>1431</v>
      </c>
      <c r="C956" t="s">
        <v>27</v>
      </c>
      <c r="D956" t="s">
        <v>777</v>
      </c>
    </row>
    <row r="957" spans="1:5" x14ac:dyDescent="0.2">
      <c r="A957" s="269">
        <v>45909.457546296297</v>
      </c>
      <c r="B957" t="s">
        <v>1431</v>
      </c>
      <c r="C957" t="s">
        <v>27</v>
      </c>
      <c r="D957" t="s">
        <v>777</v>
      </c>
    </row>
    <row r="958" spans="1:5" x14ac:dyDescent="0.2">
      <c r="A958" s="269">
        <v>45909.45758101852</v>
      </c>
      <c r="B958" t="s">
        <v>1431</v>
      </c>
      <c r="C958" t="s">
        <v>27</v>
      </c>
      <c r="D958" t="s">
        <v>1439</v>
      </c>
    </row>
    <row r="959" spans="1:5" x14ac:dyDescent="0.2">
      <c r="A959" s="269">
        <v>45909.457627314812</v>
      </c>
      <c r="B959" t="s">
        <v>1431</v>
      </c>
      <c r="C959" t="s">
        <v>27</v>
      </c>
      <c r="D959" t="s">
        <v>946</v>
      </c>
      <c r="E959" t="s">
        <v>37</v>
      </c>
    </row>
    <row r="960" spans="1:5" x14ac:dyDescent="0.2">
      <c r="A960" s="269">
        <v>45909.457662037035</v>
      </c>
      <c r="B960" t="s">
        <v>1431</v>
      </c>
      <c r="C960" t="s">
        <v>27</v>
      </c>
      <c r="D960" t="s">
        <v>777</v>
      </c>
    </row>
    <row r="961" spans="1:5" x14ac:dyDescent="0.2">
      <c r="A961" s="269">
        <v>45909.461689814816</v>
      </c>
      <c r="B961" t="s">
        <v>1431</v>
      </c>
      <c r="C961" t="s">
        <v>27</v>
      </c>
      <c r="D961" t="s">
        <v>946</v>
      </c>
      <c r="E961" t="s">
        <v>37</v>
      </c>
    </row>
    <row r="962" spans="1:5" x14ac:dyDescent="0.2">
      <c r="A962" s="269">
        <v>45909.461724537039</v>
      </c>
      <c r="B962" t="s">
        <v>1431</v>
      </c>
      <c r="C962" t="s">
        <v>27</v>
      </c>
      <c r="D962" t="s">
        <v>946</v>
      </c>
    </row>
    <row r="963" spans="1:5" x14ac:dyDescent="0.2">
      <c r="A963" s="269">
        <v>45909.479317129626</v>
      </c>
      <c r="B963" t="s">
        <v>1431</v>
      </c>
      <c r="C963" t="s">
        <v>103</v>
      </c>
      <c r="D963" t="s">
        <v>658</v>
      </c>
      <c r="E963" t="s">
        <v>1440</v>
      </c>
    </row>
    <row r="964" spans="1:5" x14ac:dyDescent="0.2">
      <c r="A964" s="269">
        <v>45909.480150462965</v>
      </c>
      <c r="B964" t="s">
        <v>1431</v>
      </c>
      <c r="C964" t="s">
        <v>103</v>
      </c>
      <c r="D964" t="s">
        <v>658</v>
      </c>
      <c r="E964" t="s">
        <v>1441</v>
      </c>
    </row>
    <row r="965" spans="1:5" x14ac:dyDescent="0.2">
      <c r="A965" s="269">
        <v>45909.480185185188</v>
      </c>
      <c r="B965" t="s">
        <v>1431</v>
      </c>
      <c r="C965" t="s">
        <v>103</v>
      </c>
      <c r="D965" t="s">
        <v>658</v>
      </c>
      <c r="E965" t="s">
        <v>1442</v>
      </c>
    </row>
    <row r="966" spans="1:5" x14ac:dyDescent="0.2">
      <c r="A966" s="269">
        <v>45909.480254629627</v>
      </c>
      <c r="B966" t="s">
        <v>1431</v>
      </c>
      <c r="C966" t="s">
        <v>103</v>
      </c>
      <c r="D966" t="s">
        <v>658</v>
      </c>
      <c r="E966" t="s">
        <v>1442</v>
      </c>
    </row>
    <row r="967" spans="1:5" x14ac:dyDescent="0.2">
      <c r="A967" s="269">
        <v>45909.480300925927</v>
      </c>
      <c r="B967" t="s">
        <v>1431</v>
      </c>
      <c r="C967" t="s">
        <v>103</v>
      </c>
      <c r="D967" t="s">
        <v>1443</v>
      </c>
      <c r="E967" t="s">
        <v>1442</v>
      </c>
    </row>
    <row r="968" spans="1:5" x14ac:dyDescent="0.2">
      <c r="A968" s="269">
        <v>45909.480312500003</v>
      </c>
      <c r="B968" t="s">
        <v>1431</v>
      </c>
      <c r="C968" t="s">
        <v>103</v>
      </c>
      <c r="D968" t="s">
        <v>996</v>
      </c>
      <c r="E968" t="s">
        <v>1442</v>
      </c>
    </row>
    <row r="969" spans="1:5" x14ac:dyDescent="0.2">
      <c r="A969" s="269">
        <v>45909.480405092596</v>
      </c>
      <c r="B969" t="s">
        <v>1431</v>
      </c>
      <c r="C969" t="s">
        <v>103</v>
      </c>
      <c r="D969" t="s">
        <v>1443</v>
      </c>
      <c r="E969" t="s">
        <v>1444</v>
      </c>
    </row>
    <row r="970" spans="1:5" x14ac:dyDescent="0.2">
      <c r="A970" s="269">
        <v>45909.480462962965</v>
      </c>
      <c r="B970" t="s">
        <v>1431</v>
      </c>
      <c r="C970" t="s">
        <v>103</v>
      </c>
      <c r="D970" t="s">
        <v>996</v>
      </c>
      <c r="E970" t="s">
        <v>1445</v>
      </c>
    </row>
    <row r="971" spans="1:5" x14ac:dyDescent="0.2">
      <c r="A971" s="269">
        <v>45909.480532407404</v>
      </c>
      <c r="B971" t="s">
        <v>1431</v>
      </c>
      <c r="C971" t="s">
        <v>103</v>
      </c>
      <c r="D971" t="s">
        <v>996</v>
      </c>
      <c r="E971" t="s">
        <v>1446</v>
      </c>
    </row>
    <row r="972" spans="1:5" x14ac:dyDescent="0.2">
      <c r="A972" s="269">
        <v>45909.480578703704</v>
      </c>
      <c r="B972" t="s">
        <v>1431</v>
      </c>
      <c r="C972" t="s">
        <v>103</v>
      </c>
      <c r="D972" t="s">
        <v>1447</v>
      </c>
      <c r="E972" t="s">
        <v>1441</v>
      </c>
    </row>
    <row r="973" spans="1:5" x14ac:dyDescent="0.2">
      <c r="A973" s="269">
        <v>45909.480636574073</v>
      </c>
      <c r="B973" t="s">
        <v>1431</v>
      </c>
      <c r="C973" t="s">
        <v>103</v>
      </c>
      <c r="D973" t="s">
        <v>1447</v>
      </c>
    </row>
    <row r="974" spans="1:5" x14ac:dyDescent="0.2">
      <c r="A974" s="269">
        <v>45909.480844907404</v>
      </c>
      <c r="B974" t="s">
        <v>1431</v>
      </c>
      <c r="C974" t="s">
        <v>103</v>
      </c>
      <c r="D974" t="s">
        <v>1449</v>
      </c>
      <c r="E974" t="s">
        <v>1448</v>
      </c>
    </row>
    <row r="975" spans="1:5" x14ac:dyDescent="0.2">
      <c r="A975" s="269">
        <v>45909.480891203704</v>
      </c>
      <c r="B975" t="s">
        <v>1431</v>
      </c>
      <c r="C975" t="s">
        <v>103</v>
      </c>
      <c r="D975" t="s">
        <v>658</v>
      </c>
      <c r="E975" t="s">
        <v>1440</v>
      </c>
    </row>
    <row r="976" spans="1:5" x14ac:dyDescent="0.2">
      <c r="A976" s="269">
        <v>45909.480983796297</v>
      </c>
      <c r="B976" t="s">
        <v>1431</v>
      </c>
      <c r="C976" t="s">
        <v>103</v>
      </c>
      <c r="D976" t="s">
        <v>1443</v>
      </c>
      <c r="E976" t="s">
        <v>1450</v>
      </c>
    </row>
    <row r="977" spans="1:5" x14ac:dyDescent="0.2">
      <c r="A977" s="269">
        <v>45909.481041666666</v>
      </c>
      <c r="B977" t="s">
        <v>1431</v>
      </c>
      <c r="C977" t="s">
        <v>103</v>
      </c>
      <c r="D977" t="s">
        <v>996</v>
      </c>
      <c r="E977" t="s">
        <v>1451</v>
      </c>
    </row>
    <row r="978" spans="1:5" x14ac:dyDescent="0.2">
      <c r="A978" s="269">
        <v>45909.481226851851</v>
      </c>
      <c r="B978" t="s">
        <v>1431</v>
      </c>
      <c r="C978" t="s">
        <v>103</v>
      </c>
      <c r="D978" t="s">
        <v>1449</v>
      </c>
      <c r="E978" t="s">
        <v>1452</v>
      </c>
    </row>
    <row r="979" spans="1:5" x14ac:dyDescent="0.2">
      <c r="A979" s="269">
        <v>45909.483229166668</v>
      </c>
      <c r="B979" t="s">
        <v>1431</v>
      </c>
      <c r="C979" t="s">
        <v>103</v>
      </c>
      <c r="D979" t="s">
        <v>658</v>
      </c>
      <c r="E979" t="s">
        <v>1453</v>
      </c>
    </row>
    <row r="980" spans="1:5" x14ac:dyDescent="0.2">
      <c r="A980" s="269">
        <v>45909.483287037037</v>
      </c>
      <c r="B980" t="s">
        <v>1431</v>
      </c>
      <c r="C980" t="s">
        <v>103</v>
      </c>
      <c r="D980" t="s">
        <v>1443</v>
      </c>
      <c r="E980" t="s">
        <v>1454</v>
      </c>
    </row>
    <row r="981" spans="1:5" x14ac:dyDescent="0.2">
      <c r="A981" s="269">
        <v>45909.48332175926</v>
      </c>
      <c r="B981" t="s">
        <v>1431</v>
      </c>
      <c r="C981" t="s">
        <v>103</v>
      </c>
      <c r="D981" t="s">
        <v>996</v>
      </c>
      <c r="E981" t="s">
        <v>1455</v>
      </c>
    </row>
    <row r="982" spans="1:5" x14ac:dyDescent="0.2">
      <c r="A982" s="269">
        <v>45909.483402777776</v>
      </c>
      <c r="B982" t="s">
        <v>1431</v>
      </c>
      <c r="C982" t="s">
        <v>103</v>
      </c>
      <c r="D982" t="s">
        <v>1449</v>
      </c>
      <c r="E982" t="s">
        <v>1456</v>
      </c>
    </row>
    <row r="983" spans="1:5" x14ac:dyDescent="0.2">
      <c r="A983" s="269">
        <v>45909.483483796299</v>
      </c>
      <c r="B983" t="s">
        <v>1431</v>
      </c>
      <c r="C983" t="s">
        <v>103</v>
      </c>
      <c r="D983" t="s">
        <v>1449</v>
      </c>
      <c r="E983" t="s">
        <v>1457</v>
      </c>
    </row>
    <row r="984" spans="1:5" x14ac:dyDescent="0.2">
      <c r="A984" s="269">
        <v>45909.483553240738</v>
      </c>
      <c r="B984" t="s">
        <v>1431</v>
      </c>
      <c r="C984" t="s">
        <v>103</v>
      </c>
      <c r="D984" t="s">
        <v>1019</v>
      </c>
      <c r="E984" t="s">
        <v>1458</v>
      </c>
    </row>
    <row r="985" spans="1:5" x14ac:dyDescent="0.2">
      <c r="A985" s="269">
        <v>45909.483634259261</v>
      </c>
      <c r="B985" t="s">
        <v>1431</v>
      </c>
      <c r="C985" t="s">
        <v>103</v>
      </c>
      <c r="D985" t="s">
        <v>1460</v>
      </c>
      <c r="E985" t="s">
        <v>1459</v>
      </c>
    </row>
    <row r="986" spans="1:5" x14ac:dyDescent="0.2">
      <c r="A986" s="269">
        <v>45909.48364583333</v>
      </c>
      <c r="B986" t="s">
        <v>1431</v>
      </c>
      <c r="C986" t="s">
        <v>103</v>
      </c>
      <c r="D986" t="s">
        <v>1019</v>
      </c>
      <c r="E986" t="s">
        <v>1458</v>
      </c>
    </row>
    <row r="987" spans="1:5" x14ac:dyDescent="0.2">
      <c r="A987" s="269">
        <v>45909.483703703707</v>
      </c>
      <c r="B987" t="s">
        <v>1431</v>
      </c>
      <c r="C987" t="s">
        <v>103</v>
      </c>
      <c r="D987" t="s">
        <v>1019</v>
      </c>
      <c r="E987" t="s">
        <v>1461</v>
      </c>
    </row>
    <row r="988" spans="1:5" x14ac:dyDescent="0.2">
      <c r="A988" s="269">
        <v>45909.483715277776</v>
      </c>
      <c r="B988" t="s">
        <v>1431</v>
      </c>
      <c r="C988" t="s">
        <v>103</v>
      </c>
      <c r="D988" t="s">
        <v>1460</v>
      </c>
      <c r="E988" t="s">
        <v>1462</v>
      </c>
    </row>
    <row r="989" spans="1:5" x14ac:dyDescent="0.2">
      <c r="A989" s="269">
        <v>45909.483831018515</v>
      </c>
      <c r="B989" t="s">
        <v>1431</v>
      </c>
      <c r="C989" t="s">
        <v>103</v>
      </c>
      <c r="D989" t="s">
        <v>1464</v>
      </c>
      <c r="E989" t="s">
        <v>1463</v>
      </c>
    </row>
    <row r="990" spans="1:5" x14ac:dyDescent="0.2">
      <c r="A990" s="269">
        <v>45909.483877314815</v>
      </c>
      <c r="B990" t="s">
        <v>1431</v>
      </c>
      <c r="C990" t="s">
        <v>103</v>
      </c>
      <c r="D990" t="s">
        <v>1460</v>
      </c>
      <c r="E990" t="s">
        <v>1465</v>
      </c>
    </row>
    <row r="991" spans="1:5" x14ac:dyDescent="0.2">
      <c r="A991" s="269">
        <v>45909.483923611115</v>
      </c>
      <c r="B991" t="s">
        <v>1431</v>
      </c>
      <c r="C991" t="s">
        <v>103</v>
      </c>
      <c r="D991" t="s">
        <v>1464</v>
      </c>
      <c r="E991" t="s">
        <v>1466</v>
      </c>
    </row>
    <row r="992" spans="1:5" x14ac:dyDescent="0.2">
      <c r="A992" s="269">
        <v>45909.484016203707</v>
      </c>
      <c r="B992" t="s">
        <v>1431</v>
      </c>
      <c r="C992" t="s">
        <v>103</v>
      </c>
      <c r="D992" t="s">
        <v>1468</v>
      </c>
      <c r="E992" t="s">
        <v>1467</v>
      </c>
    </row>
    <row r="993" spans="1:5" x14ac:dyDescent="0.2">
      <c r="A993" s="269">
        <v>45909.484120370369</v>
      </c>
      <c r="B993" t="s">
        <v>1431</v>
      </c>
      <c r="C993" t="s">
        <v>103</v>
      </c>
      <c r="D993" t="s">
        <v>1470</v>
      </c>
      <c r="E993" t="s">
        <v>1469</v>
      </c>
    </row>
    <row r="994" spans="1:5" x14ac:dyDescent="0.2">
      <c r="A994" s="269">
        <v>45909.484259259261</v>
      </c>
      <c r="B994" t="s">
        <v>1431</v>
      </c>
      <c r="C994" t="s">
        <v>103</v>
      </c>
      <c r="D994" t="s">
        <v>1472</v>
      </c>
      <c r="E994" t="s">
        <v>1471</v>
      </c>
    </row>
    <row r="995" spans="1:5" x14ac:dyDescent="0.2">
      <c r="A995" s="269">
        <v>45909.484340277777</v>
      </c>
      <c r="B995" t="s">
        <v>1431</v>
      </c>
      <c r="C995" t="s">
        <v>103</v>
      </c>
      <c r="D995" t="s">
        <v>1474</v>
      </c>
      <c r="E995" t="s">
        <v>1473</v>
      </c>
    </row>
    <row r="996" spans="1:5" x14ac:dyDescent="0.2">
      <c r="A996" s="269">
        <v>45909.484479166669</v>
      </c>
      <c r="B996" t="s">
        <v>1431</v>
      </c>
      <c r="C996" t="s">
        <v>103</v>
      </c>
      <c r="D996" t="s">
        <v>1432</v>
      </c>
      <c r="E996" t="s">
        <v>1475</v>
      </c>
    </row>
    <row r="997" spans="1:5" x14ac:dyDescent="0.2">
      <c r="A997" s="269">
        <v>45909.485347222224</v>
      </c>
      <c r="B997" t="s">
        <v>1431</v>
      </c>
      <c r="C997" t="s">
        <v>103</v>
      </c>
      <c r="D997" t="s">
        <v>1439</v>
      </c>
      <c r="E997" t="s">
        <v>338</v>
      </c>
    </row>
    <row r="998" spans="1:5" x14ac:dyDescent="0.2">
      <c r="A998" s="269">
        <v>45909.485358796293</v>
      </c>
      <c r="B998" t="s">
        <v>1431</v>
      </c>
      <c r="C998" t="s">
        <v>103</v>
      </c>
      <c r="D998" t="s">
        <v>1439</v>
      </c>
      <c r="E998" t="s">
        <v>338</v>
      </c>
    </row>
    <row r="999" spans="1:5" x14ac:dyDescent="0.2">
      <c r="A999" s="269">
        <v>45909.485381944447</v>
      </c>
      <c r="B999" t="s">
        <v>1431</v>
      </c>
      <c r="C999" t="s">
        <v>103</v>
      </c>
      <c r="D999" t="s">
        <v>1191</v>
      </c>
      <c r="E999" t="s">
        <v>89</v>
      </c>
    </row>
    <row r="1000" spans="1:5" x14ac:dyDescent="0.2">
      <c r="A1000" s="269">
        <v>45909.485393518517</v>
      </c>
      <c r="B1000" t="s">
        <v>1431</v>
      </c>
      <c r="C1000" t="s">
        <v>103</v>
      </c>
      <c r="D1000" t="s">
        <v>795</v>
      </c>
      <c r="E1000" t="s">
        <v>362</v>
      </c>
    </row>
    <row r="1001" spans="1:5" x14ac:dyDescent="0.2">
      <c r="A1001" s="269">
        <v>45909.48541666667</v>
      </c>
      <c r="B1001" t="s">
        <v>1431</v>
      </c>
      <c r="C1001" t="s">
        <v>103</v>
      </c>
      <c r="D1001" t="s">
        <v>1013</v>
      </c>
      <c r="E1001" t="s">
        <v>371</v>
      </c>
    </row>
    <row r="1002" spans="1:5" x14ac:dyDescent="0.2">
      <c r="A1002" s="269">
        <v>45909.485625000001</v>
      </c>
      <c r="B1002" t="s">
        <v>1431</v>
      </c>
      <c r="C1002" t="s">
        <v>103</v>
      </c>
      <c r="D1002" t="s">
        <v>747</v>
      </c>
      <c r="E1002" t="s">
        <v>379</v>
      </c>
    </row>
    <row r="1003" spans="1:5" x14ac:dyDescent="0.2">
      <c r="A1003" s="269">
        <v>45909.485659722224</v>
      </c>
      <c r="B1003" t="s">
        <v>1431</v>
      </c>
      <c r="C1003" t="s">
        <v>103</v>
      </c>
      <c r="D1003" t="s">
        <v>1476</v>
      </c>
      <c r="E1003" t="s">
        <v>390</v>
      </c>
    </row>
    <row r="1004" spans="1:5" x14ac:dyDescent="0.2">
      <c r="A1004" s="269">
        <v>45909.485694444447</v>
      </c>
      <c r="B1004" t="s">
        <v>1431</v>
      </c>
      <c r="C1004" t="s">
        <v>103</v>
      </c>
      <c r="D1004" t="s">
        <v>1477</v>
      </c>
      <c r="E1004" t="s">
        <v>390</v>
      </c>
    </row>
    <row r="1005" spans="1:5" x14ac:dyDescent="0.2">
      <c r="A1005" s="269">
        <v>45909.485729166663</v>
      </c>
      <c r="B1005" t="s">
        <v>1431</v>
      </c>
      <c r="C1005" t="s">
        <v>103</v>
      </c>
      <c r="D1005" t="s">
        <v>1478</v>
      </c>
      <c r="E1005" t="s">
        <v>41</v>
      </c>
    </row>
    <row r="1006" spans="1:5" x14ac:dyDescent="0.2">
      <c r="A1006" s="269">
        <v>45909.485752314817</v>
      </c>
      <c r="B1006" t="s">
        <v>1431</v>
      </c>
      <c r="C1006" t="s">
        <v>103</v>
      </c>
      <c r="D1006" t="s">
        <v>672</v>
      </c>
      <c r="E1006" t="s">
        <v>397</v>
      </c>
    </row>
    <row r="1007" spans="1:5" x14ac:dyDescent="0.2">
      <c r="A1007" s="269">
        <v>45909.485810185186</v>
      </c>
      <c r="B1007" t="s">
        <v>1431</v>
      </c>
      <c r="C1007" t="s">
        <v>103</v>
      </c>
      <c r="D1007" t="s">
        <v>674</v>
      </c>
      <c r="E1007" t="s">
        <v>400</v>
      </c>
    </row>
    <row r="1008" spans="1:5" x14ac:dyDescent="0.2">
      <c r="A1008" s="269">
        <v>45909.485844907409</v>
      </c>
      <c r="B1008" t="s">
        <v>1431</v>
      </c>
      <c r="C1008" t="s">
        <v>103</v>
      </c>
      <c r="D1008" t="s">
        <v>675</v>
      </c>
      <c r="E1008" t="s">
        <v>404</v>
      </c>
    </row>
    <row r="1009" spans="1:5" x14ac:dyDescent="0.2">
      <c r="A1009" s="269">
        <v>45909.485868055555</v>
      </c>
      <c r="B1009" t="s">
        <v>1431</v>
      </c>
      <c r="C1009" t="s">
        <v>103</v>
      </c>
      <c r="D1009" t="s">
        <v>675</v>
      </c>
      <c r="E1009" t="s">
        <v>379</v>
      </c>
    </row>
    <row r="1010" spans="1:5" x14ac:dyDescent="0.2">
      <c r="A1010" s="269">
        <v>45909.485925925925</v>
      </c>
      <c r="B1010" t="s">
        <v>1431</v>
      </c>
      <c r="C1010" t="s">
        <v>103</v>
      </c>
      <c r="D1010" t="s">
        <v>675</v>
      </c>
      <c r="E1010" t="s">
        <v>404</v>
      </c>
    </row>
    <row r="1011" spans="1:5" x14ac:dyDescent="0.2">
      <c r="A1011" s="269">
        <v>45909.485925925925</v>
      </c>
      <c r="B1011" t="s">
        <v>1431</v>
      </c>
      <c r="C1011" t="s">
        <v>103</v>
      </c>
      <c r="D1011" t="s">
        <v>675</v>
      </c>
      <c r="E1011" t="s">
        <v>379</v>
      </c>
    </row>
    <row r="1012" spans="1:5" x14ac:dyDescent="0.2">
      <c r="A1012" s="269">
        <v>45909.485960648148</v>
      </c>
      <c r="B1012" t="s">
        <v>1431</v>
      </c>
      <c r="C1012" t="s">
        <v>103</v>
      </c>
      <c r="D1012" t="s">
        <v>675</v>
      </c>
      <c r="E1012" t="s">
        <v>400</v>
      </c>
    </row>
    <row r="1013" spans="1:5" x14ac:dyDescent="0.2">
      <c r="A1013" s="269">
        <v>45909.485983796294</v>
      </c>
      <c r="B1013" t="s">
        <v>1431</v>
      </c>
      <c r="C1013" t="s">
        <v>103</v>
      </c>
      <c r="D1013" t="s">
        <v>675</v>
      </c>
      <c r="E1013" t="s">
        <v>404</v>
      </c>
    </row>
    <row r="1014" spans="1:5" x14ac:dyDescent="0.2">
      <c r="A1014" s="269">
        <v>45909.486018518517</v>
      </c>
      <c r="B1014" t="s">
        <v>1431</v>
      </c>
      <c r="C1014" t="s">
        <v>103</v>
      </c>
      <c r="D1014" t="s">
        <v>676</v>
      </c>
      <c r="E1014" t="s">
        <v>407</v>
      </c>
    </row>
    <row r="1015" spans="1:5" x14ac:dyDescent="0.2">
      <c r="A1015" s="269">
        <v>45909.486307870371</v>
      </c>
      <c r="B1015" t="s">
        <v>1431</v>
      </c>
      <c r="C1015" t="s">
        <v>103</v>
      </c>
      <c r="D1015" t="s">
        <v>1476</v>
      </c>
      <c r="E1015" t="s">
        <v>386</v>
      </c>
    </row>
    <row r="1016" spans="1:5" x14ac:dyDescent="0.2">
      <c r="A1016" s="269">
        <v>45909.487337962964</v>
      </c>
      <c r="B1016" t="s">
        <v>1431</v>
      </c>
      <c r="C1016" t="s">
        <v>103</v>
      </c>
      <c r="D1016" t="s">
        <v>1439</v>
      </c>
      <c r="E1016" t="s">
        <v>338</v>
      </c>
    </row>
    <row r="1017" spans="1:5" x14ac:dyDescent="0.2">
      <c r="A1017" s="269">
        <v>45909.489872685182</v>
      </c>
      <c r="B1017" t="s">
        <v>1431</v>
      </c>
      <c r="C1017" t="s">
        <v>103</v>
      </c>
      <c r="D1017" t="s">
        <v>1479</v>
      </c>
      <c r="E1017">
        <v>238560.8</v>
      </c>
    </row>
    <row r="1018" spans="1:5" x14ac:dyDescent="0.2">
      <c r="A1018" s="269">
        <v>45909.489930555559</v>
      </c>
      <c r="B1018" t="s">
        <v>1431</v>
      </c>
      <c r="C1018" t="s">
        <v>103</v>
      </c>
      <c r="D1018" t="s">
        <v>973</v>
      </c>
      <c r="E1018">
        <v>230009.84</v>
      </c>
    </row>
    <row r="1019" spans="1:5" x14ac:dyDescent="0.2">
      <c r="A1019" s="269">
        <v>45909.490011574075</v>
      </c>
      <c r="B1019" t="s">
        <v>1431</v>
      </c>
      <c r="C1019" t="s">
        <v>103</v>
      </c>
      <c r="D1019" t="s">
        <v>976</v>
      </c>
      <c r="E1019">
        <v>217789.42</v>
      </c>
    </row>
    <row r="1020" spans="1:5" x14ac:dyDescent="0.2">
      <c r="A1020" s="269">
        <v>45909.490081018521</v>
      </c>
      <c r="B1020" t="s">
        <v>1431</v>
      </c>
      <c r="C1020" t="s">
        <v>103</v>
      </c>
      <c r="D1020" t="s">
        <v>977</v>
      </c>
      <c r="E1020">
        <v>273974.2</v>
      </c>
    </row>
    <row r="1021" spans="1:5" x14ac:dyDescent="0.2">
      <c r="A1021" s="269">
        <v>45909.49015046296</v>
      </c>
      <c r="B1021" t="s">
        <v>1431</v>
      </c>
      <c r="C1021" t="s">
        <v>103</v>
      </c>
      <c r="D1021" t="s">
        <v>923</v>
      </c>
      <c r="E1021">
        <v>272761.86</v>
      </c>
    </row>
    <row r="1022" spans="1:5" x14ac:dyDescent="0.2">
      <c r="A1022" s="269">
        <v>45909.490231481483</v>
      </c>
      <c r="B1022" t="s">
        <v>1431</v>
      </c>
      <c r="C1022" t="s">
        <v>103</v>
      </c>
      <c r="D1022" t="s">
        <v>918</v>
      </c>
      <c r="E1022">
        <v>315345.45</v>
      </c>
    </row>
    <row r="1023" spans="1:5" x14ac:dyDescent="0.2">
      <c r="A1023" s="269">
        <v>45909.490393518521</v>
      </c>
      <c r="B1023" t="s">
        <v>1431</v>
      </c>
      <c r="C1023" t="s">
        <v>103</v>
      </c>
      <c r="D1023" t="s">
        <v>937</v>
      </c>
      <c r="E1023" t="s">
        <v>414</v>
      </c>
    </row>
    <row r="1024" spans="1:5" x14ac:dyDescent="0.2">
      <c r="A1024" s="269">
        <v>45909.490416666667</v>
      </c>
      <c r="B1024" t="s">
        <v>1431</v>
      </c>
      <c r="C1024" t="s">
        <v>103</v>
      </c>
      <c r="D1024" t="s">
        <v>926</v>
      </c>
      <c r="E1024" t="s">
        <v>414</v>
      </c>
    </row>
    <row r="1025" spans="1:5" x14ac:dyDescent="0.2">
      <c r="A1025" s="269">
        <v>45909.490416666667</v>
      </c>
      <c r="B1025" t="s">
        <v>1431</v>
      </c>
      <c r="C1025" t="s">
        <v>103</v>
      </c>
      <c r="D1025" t="s">
        <v>1480</v>
      </c>
      <c r="E1025" t="s">
        <v>414</v>
      </c>
    </row>
    <row r="1026" spans="1:5" x14ac:dyDescent="0.2">
      <c r="A1026" s="269">
        <v>45909.490497685183</v>
      </c>
      <c r="B1026" t="s">
        <v>1431</v>
      </c>
      <c r="C1026" t="s">
        <v>103</v>
      </c>
      <c r="D1026" t="s">
        <v>1480</v>
      </c>
    </row>
    <row r="1027" spans="1:5" x14ac:dyDescent="0.2">
      <c r="A1027" s="269">
        <v>45909.49050925926</v>
      </c>
      <c r="B1027" t="s">
        <v>1431</v>
      </c>
      <c r="C1027" t="s">
        <v>103</v>
      </c>
      <c r="D1027" t="s">
        <v>926</v>
      </c>
    </row>
    <row r="1028" spans="1:5" x14ac:dyDescent="0.2">
      <c r="A1028" s="269">
        <v>45909.490578703706</v>
      </c>
      <c r="B1028" t="s">
        <v>1431</v>
      </c>
      <c r="C1028" t="s">
        <v>103</v>
      </c>
      <c r="D1028" t="s">
        <v>926</v>
      </c>
      <c r="E1028" t="s">
        <v>414</v>
      </c>
    </row>
    <row r="1029" spans="1:5" x14ac:dyDescent="0.2">
      <c r="A1029" s="269">
        <v>45909.490578703706</v>
      </c>
      <c r="B1029" t="s">
        <v>1431</v>
      </c>
      <c r="C1029" t="s">
        <v>103</v>
      </c>
      <c r="D1029" t="s">
        <v>874</v>
      </c>
      <c r="E1029" t="s">
        <v>414</v>
      </c>
    </row>
    <row r="1030" spans="1:5" x14ac:dyDescent="0.2">
      <c r="A1030" s="269">
        <v>45909.490590277775</v>
      </c>
      <c r="B1030" t="s">
        <v>1431</v>
      </c>
      <c r="C1030" t="s">
        <v>103</v>
      </c>
      <c r="D1030" t="s">
        <v>1481</v>
      </c>
      <c r="E1030" t="s">
        <v>414</v>
      </c>
    </row>
    <row r="1031" spans="1:5" x14ac:dyDescent="0.2">
      <c r="A1031" s="269">
        <v>45909.490590277775</v>
      </c>
      <c r="B1031" t="s">
        <v>1431</v>
      </c>
      <c r="C1031" t="s">
        <v>103</v>
      </c>
      <c r="D1031" t="s">
        <v>1482</v>
      </c>
      <c r="E1031" t="s">
        <v>414</v>
      </c>
    </row>
    <row r="1032" spans="1:5" x14ac:dyDescent="0.2">
      <c r="A1032" s="269">
        <v>45909.490590277775</v>
      </c>
      <c r="B1032" t="s">
        <v>1431</v>
      </c>
      <c r="C1032" t="s">
        <v>103</v>
      </c>
      <c r="D1032" t="s">
        <v>1483</v>
      </c>
      <c r="E1032" t="s">
        <v>414</v>
      </c>
    </row>
    <row r="1033" spans="1:5" x14ac:dyDescent="0.2">
      <c r="A1033" s="269">
        <v>45910.646817129629</v>
      </c>
      <c r="B1033" t="s">
        <v>1431</v>
      </c>
      <c r="C1033" t="s">
        <v>27</v>
      </c>
      <c r="D1033" t="s">
        <v>1506</v>
      </c>
    </row>
    <row r="1034" spans="1:5" x14ac:dyDescent="0.2">
      <c r="A1034" s="269">
        <v>45910.648888888885</v>
      </c>
      <c r="B1034" t="s">
        <v>1431</v>
      </c>
      <c r="C1034" t="s">
        <v>597</v>
      </c>
      <c r="D1034" t="s">
        <v>1507</v>
      </c>
      <c r="E1034" t="s">
        <v>39</v>
      </c>
    </row>
    <row r="1035" spans="1:5" x14ac:dyDescent="0.2">
      <c r="A1035" s="269">
        <v>45911.335219907407</v>
      </c>
      <c r="B1035" t="s">
        <v>1431</v>
      </c>
      <c r="C1035" t="s">
        <v>597</v>
      </c>
      <c r="D1035" t="s">
        <v>1507</v>
      </c>
      <c r="E1035" t="s">
        <v>39</v>
      </c>
    </row>
    <row r="1036" spans="1:5" x14ac:dyDescent="0.2">
      <c r="A1036" s="269">
        <v>45911.33662037037</v>
      </c>
      <c r="B1036" t="s">
        <v>1431</v>
      </c>
      <c r="C1036" t="s">
        <v>15</v>
      </c>
      <c r="D1036" t="s">
        <v>1508</v>
      </c>
      <c r="E1036" t="s">
        <v>1485</v>
      </c>
    </row>
    <row r="1037" spans="1:5" x14ac:dyDescent="0.2">
      <c r="A1037" s="269">
        <v>45911.337152777778</v>
      </c>
      <c r="B1037" t="s">
        <v>1431</v>
      </c>
      <c r="C1037" t="s">
        <v>15</v>
      </c>
      <c r="D1037" t="s">
        <v>1509</v>
      </c>
      <c r="E1037" t="s">
        <v>1486</v>
      </c>
    </row>
    <row r="1038" spans="1:5" x14ac:dyDescent="0.2">
      <c r="A1038" s="269">
        <v>45911.337175925924</v>
      </c>
      <c r="B1038" t="s">
        <v>1431</v>
      </c>
      <c r="C1038" t="s">
        <v>15</v>
      </c>
      <c r="D1038" t="s">
        <v>1510</v>
      </c>
      <c r="E1038" t="s">
        <v>1485</v>
      </c>
    </row>
    <row r="1039" spans="1:5" x14ac:dyDescent="0.2">
      <c r="A1039" s="269">
        <v>45911.337222222224</v>
      </c>
      <c r="B1039" t="s">
        <v>1431</v>
      </c>
      <c r="C1039" t="s">
        <v>15</v>
      </c>
      <c r="D1039" t="s">
        <v>1511</v>
      </c>
      <c r="E1039" t="s">
        <v>1486</v>
      </c>
    </row>
    <row r="1040" spans="1:5" x14ac:dyDescent="0.2">
      <c r="A1040" s="269">
        <v>45911.337233796294</v>
      </c>
      <c r="B1040" t="s">
        <v>1431</v>
      </c>
      <c r="C1040" t="s">
        <v>15</v>
      </c>
      <c r="D1040" t="s">
        <v>676</v>
      </c>
      <c r="E1040" t="s">
        <v>1486</v>
      </c>
    </row>
    <row r="1041" spans="1:5" x14ac:dyDescent="0.2">
      <c r="A1041" s="269">
        <v>45911.337245370371</v>
      </c>
      <c r="B1041" t="s">
        <v>1431</v>
      </c>
      <c r="C1041" t="s">
        <v>15</v>
      </c>
      <c r="D1041" t="s">
        <v>1512</v>
      </c>
      <c r="E1041" t="s">
        <v>1487</v>
      </c>
    </row>
    <row r="1042" spans="1:5" x14ac:dyDescent="0.2">
      <c r="A1042" s="269">
        <v>45911.337268518517</v>
      </c>
      <c r="B1042" t="s">
        <v>1431</v>
      </c>
      <c r="C1042" t="s">
        <v>15</v>
      </c>
      <c r="D1042" t="s">
        <v>1512</v>
      </c>
      <c r="E1042" t="s">
        <v>1487</v>
      </c>
    </row>
    <row r="1043" spans="1:5" x14ac:dyDescent="0.2">
      <c r="A1043" s="269">
        <v>45911.337291666663</v>
      </c>
      <c r="B1043" t="s">
        <v>1431</v>
      </c>
      <c r="C1043" t="s">
        <v>15</v>
      </c>
      <c r="D1043" t="s">
        <v>677</v>
      </c>
      <c r="E1043" t="s">
        <v>1487</v>
      </c>
    </row>
    <row r="1044" spans="1:5" x14ac:dyDescent="0.2">
      <c r="A1044" s="269">
        <v>45911.337314814817</v>
      </c>
      <c r="B1044" t="s">
        <v>1431</v>
      </c>
      <c r="C1044" t="s">
        <v>15</v>
      </c>
      <c r="D1044" t="s">
        <v>1513</v>
      </c>
      <c r="E1044" t="s">
        <v>1491</v>
      </c>
    </row>
    <row r="1045" spans="1:5" x14ac:dyDescent="0.2">
      <c r="A1045" s="269">
        <v>45911.337372685186</v>
      </c>
      <c r="B1045" t="s">
        <v>1431</v>
      </c>
      <c r="C1045" t="s">
        <v>15</v>
      </c>
      <c r="D1045" t="s">
        <v>678</v>
      </c>
      <c r="E1045" t="s">
        <v>1491</v>
      </c>
    </row>
    <row r="1046" spans="1:5" x14ac:dyDescent="0.2">
      <c r="A1046" s="269">
        <v>45911.337384259263</v>
      </c>
      <c r="B1046" t="s">
        <v>1431</v>
      </c>
      <c r="C1046" t="s">
        <v>15</v>
      </c>
      <c r="D1046" t="s">
        <v>1514</v>
      </c>
      <c r="E1046" t="s">
        <v>1489</v>
      </c>
    </row>
    <row r="1047" spans="1:5" x14ac:dyDescent="0.2">
      <c r="A1047" s="269">
        <v>45911.337395833332</v>
      </c>
      <c r="B1047" t="s">
        <v>1431</v>
      </c>
      <c r="C1047" t="s">
        <v>15</v>
      </c>
      <c r="D1047" t="s">
        <v>1515</v>
      </c>
      <c r="E1047" t="s">
        <v>1489</v>
      </c>
    </row>
    <row r="1048" spans="1:5" x14ac:dyDescent="0.2">
      <c r="A1048" s="269">
        <v>45911.337581018517</v>
      </c>
      <c r="B1048" t="s">
        <v>1431</v>
      </c>
      <c r="C1048" t="s">
        <v>15</v>
      </c>
      <c r="D1048" t="s">
        <v>1516</v>
      </c>
      <c r="E1048" t="s">
        <v>1485</v>
      </c>
    </row>
    <row r="1049" spans="1:5" x14ac:dyDescent="0.2">
      <c r="A1049" s="269">
        <v>45911.337604166663</v>
      </c>
      <c r="B1049" t="s">
        <v>1431</v>
      </c>
      <c r="C1049" t="s">
        <v>15</v>
      </c>
      <c r="D1049" t="s">
        <v>1517</v>
      </c>
      <c r="E1049" t="s">
        <v>1490</v>
      </c>
    </row>
    <row r="1050" spans="1:5" x14ac:dyDescent="0.2">
      <c r="A1050" s="269">
        <v>45911.337604166663</v>
      </c>
      <c r="B1050" t="s">
        <v>1431</v>
      </c>
      <c r="C1050" t="s">
        <v>15</v>
      </c>
      <c r="D1050" t="s">
        <v>1516</v>
      </c>
      <c r="E1050" t="s">
        <v>1490</v>
      </c>
    </row>
    <row r="1051" spans="1:5" x14ac:dyDescent="0.2">
      <c r="A1051" s="269">
        <v>45911.33766203704</v>
      </c>
      <c r="B1051" t="s">
        <v>1431</v>
      </c>
      <c r="C1051" t="s">
        <v>15</v>
      </c>
      <c r="D1051" t="s">
        <v>1509</v>
      </c>
    </row>
    <row r="1052" spans="1:5" x14ac:dyDescent="0.2">
      <c r="A1052" s="269">
        <v>45911.340486111112</v>
      </c>
      <c r="B1052" t="s">
        <v>1431</v>
      </c>
      <c r="C1052" t="s">
        <v>15</v>
      </c>
      <c r="D1052" t="s">
        <v>678</v>
      </c>
      <c r="E1052" t="s">
        <v>1491</v>
      </c>
    </row>
    <row r="1053" spans="1:5" x14ac:dyDescent="0.2">
      <c r="A1053" s="269">
        <v>45911.342870370368</v>
      </c>
      <c r="B1053" t="s">
        <v>1431</v>
      </c>
      <c r="C1053" t="s">
        <v>15</v>
      </c>
      <c r="D1053" t="s">
        <v>678</v>
      </c>
      <c r="E1053" t="s">
        <v>1518</v>
      </c>
    </row>
    <row r="1054" spans="1:5" x14ac:dyDescent="0.2">
      <c r="A1054" s="269">
        <v>45911.342962962961</v>
      </c>
      <c r="B1054" t="s">
        <v>1431</v>
      </c>
      <c r="C1054" t="s">
        <v>15</v>
      </c>
      <c r="D1054" t="s">
        <v>1515</v>
      </c>
      <c r="E1054" t="s">
        <v>1519</v>
      </c>
    </row>
    <row r="1055" spans="1:5" x14ac:dyDescent="0.2">
      <c r="A1055" s="269">
        <v>45911.342986111114</v>
      </c>
      <c r="B1055" t="s">
        <v>1431</v>
      </c>
      <c r="C1055" t="s">
        <v>15</v>
      </c>
      <c r="D1055" t="s">
        <v>678</v>
      </c>
      <c r="E1055" t="s">
        <v>1518</v>
      </c>
    </row>
    <row r="1056" spans="1:5" x14ac:dyDescent="0.2">
      <c r="A1056" s="269">
        <v>45911.343194444446</v>
      </c>
      <c r="B1056" t="s">
        <v>1431</v>
      </c>
      <c r="C1056" t="s">
        <v>15</v>
      </c>
      <c r="D1056" t="s">
        <v>1515</v>
      </c>
      <c r="E1056" t="s">
        <v>1519</v>
      </c>
    </row>
    <row r="1057" spans="1:5" x14ac:dyDescent="0.2">
      <c r="A1057" s="269">
        <v>45911.343217592592</v>
      </c>
      <c r="B1057" t="s">
        <v>1431</v>
      </c>
      <c r="C1057" t="s">
        <v>15</v>
      </c>
      <c r="D1057" t="s">
        <v>1516</v>
      </c>
      <c r="E1057" t="s">
        <v>1490</v>
      </c>
    </row>
    <row r="1058" spans="1:5" x14ac:dyDescent="0.2">
      <c r="A1058" s="269">
        <v>45911.353182870371</v>
      </c>
      <c r="B1058" t="s">
        <v>1431</v>
      </c>
      <c r="C1058" t="s">
        <v>15</v>
      </c>
      <c r="D1058" t="s">
        <v>1515</v>
      </c>
      <c r="E1058" t="s">
        <v>1520</v>
      </c>
    </row>
    <row r="1059" spans="1:5" x14ac:dyDescent="0.2">
      <c r="A1059" s="269">
        <v>45911.353263888886</v>
      </c>
      <c r="B1059" t="s">
        <v>1431</v>
      </c>
      <c r="C1059" t="s">
        <v>15</v>
      </c>
      <c r="D1059" t="s">
        <v>1516</v>
      </c>
      <c r="E1059" t="s">
        <v>1521</v>
      </c>
    </row>
    <row r="1060" spans="1:5" x14ac:dyDescent="0.2">
      <c r="A1060" s="269">
        <v>45911.353391203702</v>
      </c>
      <c r="B1060" t="s">
        <v>1431</v>
      </c>
      <c r="C1060" t="s">
        <v>15</v>
      </c>
      <c r="D1060" t="s">
        <v>1523</v>
      </c>
      <c r="E1060" t="s">
        <v>1522</v>
      </c>
    </row>
    <row r="1061" spans="1:5" x14ac:dyDescent="0.2">
      <c r="A1061" s="269">
        <v>45911.353402777779</v>
      </c>
      <c r="B1061" t="s">
        <v>1431</v>
      </c>
      <c r="C1061" t="s">
        <v>15</v>
      </c>
      <c r="D1061" t="s">
        <v>1524</v>
      </c>
    </row>
    <row r="1062" spans="1:5" x14ac:dyDescent="0.2">
      <c r="A1062" s="269">
        <v>45911.353437500002</v>
      </c>
      <c r="B1062" t="s">
        <v>1431</v>
      </c>
      <c r="C1062" t="s">
        <v>15</v>
      </c>
      <c r="D1062" t="s">
        <v>1526</v>
      </c>
      <c r="E1062" t="s">
        <v>1525</v>
      </c>
    </row>
    <row r="1063" spans="1:5" x14ac:dyDescent="0.2">
      <c r="A1063" s="269">
        <v>45911.360625000001</v>
      </c>
      <c r="B1063" t="s">
        <v>1431</v>
      </c>
      <c r="C1063" t="s">
        <v>15</v>
      </c>
      <c r="D1063" t="s">
        <v>1527</v>
      </c>
      <c r="E1063" t="s">
        <v>203</v>
      </c>
    </row>
    <row r="1064" spans="1:5" x14ac:dyDescent="0.2">
      <c r="A1064" s="269">
        <v>45911.360625000001</v>
      </c>
      <c r="B1064" t="s">
        <v>1431</v>
      </c>
      <c r="C1064" t="s">
        <v>15</v>
      </c>
      <c r="D1064" t="s">
        <v>1528</v>
      </c>
      <c r="E1064" t="s">
        <v>203</v>
      </c>
    </row>
    <row r="1065" spans="1:5" x14ac:dyDescent="0.2">
      <c r="A1065" s="269">
        <v>45911.360636574071</v>
      </c>
      <c r="B1065" t="s">
        <v>1431</v>
      </c>
      <c r="C1065" t="s">
        <v>15</v>
      </c>
      <c r="D1065" t="s">
        <v>1529</v>
      </c>
      <c r="E1065" t="s">
        <v>203</v>
      </c>
    </row>
    <row r="1066" spans="1:5" x14ac:dyDescent="0.2">
      <c r="A1066" s="269">
        <v>45911.360636574071</v>
      </c>
      <c r="B1066" t="s">
        <v>1431</v>
      </c>
      <c r="C1066" t="s">
        <v>15</v>
      </c>
      <c r="D1066" t="s">
        <v>1506</v>
      </c>
      <c r="E1066" t="s">
        <v>203</v>
      </c>
    </row>
    <row r="1067" spans="1:5" x14ac:dyDescent="0.2">
      <c r="A1067" s="269">
        <v>45911.360636574071</v>
      </c>
      <c r="B1067" t="s">
        <v>1431</v>
      </c>
      <c r="C1067" t="s">
        <v>15</v>
      </c>
      <c r="D1067" t="s">
        <v>1530</v>
      </c>
      <c r="E1067" t="s">
        <v>203</v>
      </c>
    </row>
    <row r="1068" spans="1:5" x14ac:dyDescent="0.2">
      <c r="A1068" s="269">
        <v>45911.360648148147</v>
      </c>
      <c r="B1068" t="s">
        <v>1431</v>
      </c>
      <c r="C1068" t="s">
        <v>15</v>
      </c>
      <c r="D1068" t="s">
        <v>1531</v>
      </c>
      <c r="E1068" t="s">
        <v>203</v>
      </c>
    </row>
    <row r="1069" spans="1:5" x14ac:dyDescent="0.2">
      <c r="A1069" s="269">
        <v>45911.360694444447</v>
      </c>
      <c r="B1069" t="s">
        <v>1431</v>
      </c>
      <c r="C1069" t="s">
        <v>15</v>
      </c>
      <c r="D1069" t="s">
        <v>1532</v>
      </c>
      <c r="E1069">
        <v>1</v>
      </c>
    </row>
    <row r="1070" spans="1:5" x14ac:dyDescent="0.2">
      <c r="A1070" s="269">
        <v>45911.360694444447</v>
      </c>
      <c r="B1070" t="s">
        <v>1431</v>
      </c>
      <c r="C1070" t="s">
        <v>15</v>
      </c>
      <c r="D1070" t="s">
        <v>1533</v>
      </c>
      <c r="E1070">
        <v>1</v>
      </c>
    </row>
    <row r="1071" spans="1:5" x14ac:dyDescent="0.2">
      <c r="A1071" s="269">
        <v>45911.360694444447</v>
      </c>
      <c r="B1071" t="s">
        <v>1431</v>
      </c>
      <c r="C1071" t="s">
        <v>15</v>
      </c>
      <c r="D1071" t="s">
        <v>1534</v>
      </c>
      <c r="E1071">
        <v>1</v>
      </c>
    </row>
    <row r="1072" spans="1:5" x14ac:dyDescent="0.2">
      <c r="A1072" s="269">
        <v>45911.360706018517</v>
      </c>
      <c r="B1072" t="s">
        <v>1431</v>
      </c>
      <c r="C1072" t="s">
        <v>15</v>
      </c>
      <c r="D1072" t="s">
        <v>1535</v>
      </c>
      <c r="E1072">
        <v>1</v>
      </c>
    </row>
    <row r="1073" spans="1:5" x14ac:dyDescent="0.2">
      <c r="A1073" s="269">
        <v>45911.360706018517</v>
      </c>
      <c r="B1073" t="s">
        <v>1431</v>
      </c>
      <c r="C1073" t="s">
        <v>15</v>
      </c>
      <c r="D1073" t="s">
        <v>1536</v>
      </c>
      <c r="E1073">
        <v>1</v>
      </c>
    </row>
    <row r="1074" spans="1:5" x14ac:dyDescent="0.2">
      <c r="A1074" s="269">
        <v>45911.360706018517</v>
      </c>
      <c r="B1074" t="s">
        <v>1431</v>
      </c>
      <c r="C1074" t="s">
        <v>15</v>
      </c>
      <c r="D1074" t="s">
        <v>1537</v>
      </c>
      <c r="E1074">
        <v>1</v>
      </c>
    </row>
    <row r="1075" spans="1:5" x14ac:dyDescent="0.2">
      <c r="A1075" s="269">
        <v>45911.360706018517</v>
      </c>
      <c r="B1075" t="s">
        <v>1431</v>
      </c>
      <c r="C1075" t="s">
        <v>15</v>
      </c>
      <c r="D1075" t="s">
        <v>1538</v>
      </c>
      <c r="E1075">
        <v>1</v>
      </c>
    </row>
    <row r="1076" spans="1:5" x14ac:dyDescent="0.2">
      <c r="A1076" s="269">
        <v>45911.360706018517</v>
      </c>
      <c r="B1076" t="s">
        <v>1431</v>
      </c>
      <c r="C1076" t="s">
        <v>15</v>
      </c>
      <c r="D1076" t="s">
        <v>1539</v>
      </c>
      <c r="E1076">
        <v>1</v>
      </c>
    </row>
    <row r="1077" spans="1:5" x14ac:dyDescent="0.2">
      <c r="A1077" s="269">
        <v>45911.36074074074</v>
      </c>
      <c r="B1077" t="s">
        <v>1431</v>
      </c>
      <c r="C1077" t="s">
        <v>15</v>
      </c>
      <c r="D1077" t="s">
        <v>1539</v>
      </c>
    </row>
    <row r="1078" spans="1:5" x14ac:dyDescent="0.2">
      <c r="A1078" s="269">
        <v>45911.360775462963</v>
      </c>
      <c r="B1078" t="s">
        <v>1431</v>
      </c>
      <c r="C1078" t="s">
        <v>15</v>
      </c>
      <c r="D1078" t="s">
        <v>1540</v>
      </c>
      <c r="E1078" t="s">
        <v>352</v>
      </c>
    </row>
    <row r="1079" spans="1:5" x14ac:dyDescent="0.2">
      <c r="A1079" s="269">
        <v>45911.360775462963</v>
      </c>
      <c r="B1079" t="s">
        <v>1431</v>
      </c>
      <c r="C1079" t="s">
        <v>15</v>
      </c>
      <c r="D1079" t="s">
        <v>1541</v>
      </c>
      <c r="E1079" t="s">
        <v>352</v>
      </c>
    </row>
    <row r="1080" spans="1:5" x14ac:dyDescent="0.2">
      <c r="A1080" s="269">
        <v>45911.360775462963</v>
      </c>
      <c r="B1080" t="s">
        <v>1431</v>
      </c>
      <c r="C1080" t="s">
        <v>15</v>
      </c>
      <c r="D1080" t="s">
        <v>1542</v>
      </c>
      <c r="E1080" t="s">
        <v>352</v>
      </c>
    </row>
    <row r="1081" spans="1:5" x14ac:dyDescent="0.2">
      <c r="A1081" s="269">
        <v>45911.36078703704</v>
      </c>
      <c r="B1081" t="s">
        <v>1431</v>
      </c>
      <c r="C1081" t="s">
        <v>15</v>
      </c>
      <c r="D1081" t="s">
        <v>1543</v>
      </c>
      <c r="E1081" t="s">
        <v>352</v>
      </c>
    </row>
    <row r="1082" spans="1:5" x14ac:dyDescent="0.2">
      <c r="A1082" s="269">
        <v>45911.36078703704</v>
      </c>
      <c r="B1082" t="s">
        <v>1431</v>
      </c>
      <c r="C1082" t="s">
        <v>15</v>
      </c>
      <c r="D1082" t="s">
        <v>1544</v>
      </c>
      <c r="E1082" t="s">
        <v>352</v>
      </c>
    </row>
    <row r="1083" spans="1:5" x14ac:dyDescent="0.2">
      <c r="A1083" s="269">
        <v>45911.360798611109</v>
      </c>
      <c r="B1083" t="s">
        <v>1431</v>
      </c>
      <c r="C1083" t="s">
        <v>15</v>
      </c>
      <c r="D1083" t="s">
        <v>1545</v>
      </c>
      <c r="E1083" t="s">
        <v>352</v>
      </c>
    </row>
    <row r="1084" spans="1:5" x14ac:dyDescent="0.2">
      <c r="A1084" s="269">
        <v>45911.361076388886</v>
      </c>
      <c r="B1084" t="s">
        <v>1431</v>
      </c>
      <c r="C1084" t="s">
        <v>15</v>
      </c>
      <c r="D1084" t="s">
        <v>1547</v>
      </c>
      <c r="E1084" t="s">
        <v>1546</v>
      </c>
    </row>
    <row r="1085" spans="1:5" x14ac:dyDescent="0.2">
      <c r="A1085" s="269">
        <v>45911.36109953704</v>
      </c>
      <c r="B1085" t="s">
        <v>1431</v>
      </c>
      <c r="C1085" t="s">
        <v>15</v>
      </c>
      <c r="D1085" t="s">
        <v>1548</v>
      </c>
      <c r="E1085" t="s">
        <v>1546</v>
      </c>
    </row>
    <row r="1086" spans="1:5" x14ac:dyDescent="0.2">
      <c r="A1086" s="269">
        <v>45911.361111111109</v>
      </c>
      <c r="B1086" t="s">
        <v>1431</v>
      </c>
      <c r="C1086" t="s">
        <v>15</v>
      </c>
      <c r="D1086" t="s">
        <v>1549</v>
      </c>
      <c r="E1086" t="s">
        <v>1546</v>
      </c>
    </row>
    <row r="1087" spans="1:5" x14ac:dyDescent="0.2">
      <c r="A1087" s="269">
        <v>45911.361111111109</v>
      </c>
      <c r="B1087" t="s">
        <v>1431</v>
      </c>
      <c r="C1087" t="s">
        <v>15</v>
      </c>
      <c r="D1087" t="s">
        <v>1550</v>
      </c>
      <c r="E1087" t="s">
        <v>1546</v>
      </c>
    </row>
    <row r="1088" spans="1:5" x14ac:dyDescent="0.2">
      <c r="A1088" s="269">
        <v>45911.361122685186</v>
      </c>
      <c r="B1088" t="s">
        <v>1431</v>
      </c>
      <c r="C1088" t="s">
        <v>15</v>
      </c>
      <c r="D1088" t="s">
        <v>1551</v>
      </c>
      <c r="E1088" t="s">
        <v>1546</v>
      </c>
    </row>
    <row r="1089" spans="1:5" x14ac:dyDescent="0.2">
      <c r="A1089" s="269">
        <v>45911.361122685186</v>
      </c>
      <c r="B1089" t="s">
        <v>1431</v>
      </c>
      <c r="C1089" t="s">
        <v>15</v>
      </c>
      <c r="D1089" t="s">
        <v>1552</v>
      </c>
      <c r="E1089" t="s">
        <v>1546</v>
      </c>
    </row>
    <row r="1090" spans="1:5" x14ac:dyDescent="0.2">
      <c r="A1090" s="269">
        <v>45911.361134259256</v>
      </c>
      <c r="B1090" t="s">
        <v>1431</v>
      </c>
      <c r="C1090" t="s">
        <v>15</v>
      </c>
      <c r="D1090" t="s">
        <v>1553</v>
      </c>
      <c r="E1090" t="s">
        <v>1546</v>
      </c>
    </row>
    <row r="1091" spans="1:5" x14ac:dyDescent="0.2">
      <c r="A1091" s="269">
        <v>45911.363287037035</v>
      </c>
      <c r="B1091" t="s">
        <v>1431</v>
      </c>
      <c r="C1091" t="s">
        <v>15</v>
      </c>
      <c r="D1091" t="s">
        <v>1554</v>
      </c>
      <c r="E1091" t="s">
        <v>339</v>
      </c>
    </row>
    <row r="1092" spans="1:5" x14ac:dyDescent="0.2">
      <c r="A1092" s="269">
        <v>45911.36546296296</v>
      </c>
      <c r="B1092" t="s">
        <v>1431</v>
      </c>
      <c r="C1092" t="s">
        <v>58</v>
      </c>
      <c r="D1092" t="s">
        <v>937</v>
      </c>
      <c r="E1092">
        <v>152.18</v>
      </c>
    </row>
    <row r="1093" spans="1:5" x14ac:dyDescent="0.2">
      <c r="A1093" s="269">
        <v>45911.365532407406</v>
      </c>
      <c r="B1093" t="s">
        <v>1431</v>
      </c>
      <c r="C1093" t="s">
        <v>58</v>
      </c>
      <c r="D1093" t="s">
        <v>1555</v>
      </c>
      <c r="E1093">
        <v>1188</v>
      </c>
    </row>
    <row r="1094" spans="1:5" x14ac:dyDescent="0.2">
      <c r="A1094" s="269">
        <v>45911.365648148145</v>
      </c>
      <c r="B1094" t="s">
        <v>1431</v>
      </c>
      <c r="C1094" t="s">
        <v>58</v>
      </c>
      <c r="D1094" t="s">
        <v>926</v>
      </c>
      <c r="E1094">
        <v>130.85</v>
      </c>
    </row>
    <row r="1095" spans="1:5" x14ac:dyDescent="0.2">
      <c r="A1095" s="269">
        <v>45911.365717592591</v>
      </c>
      <c r="B1095" t="s">
        <v>1431</v>
      </c>
      <c r="C1095" t="s">
        <v>58</v>
      </c>
      <c r="D1095" t="s">
        <v>975</v>
      </c>
      <c r="E1095">
        <v>1210</v>
      </c>
    </row>
    <row r="1096" spans="1:5" x14ac:dyDescent="0.2">
      <c r="A1096" s="269">
        <v>45911.365983796299</v>
      </c>
      <c r="B1096" t="s">
        <v>1431</v>
      </c>
      <c r="C1096" t="s">
        <v>58</v>
      </c>
      <c r="D1096" t="s">
        <v>1556</v>
      </c>
      <c r="E1096">
        <v>79</v>
      </c>
    </row>
    <row r="1097" spans="1:5" x14ac:dyDescent="0.2">
      <c r="A1097" s="269">
        <v>45911.366030092591</v>
      </c>
      <c r="B1097" t="s">
        <v>1431</v>
      </c>
      <c r="C1097" t="s">
        <v>58</v>
      </c>
      <c r="D1097" t="s">
        <v>1557</v>
      </c>
      <c r="E1097">
        <v>751</v>
      </c>
    </row>
    <row r="1098" spans="1:5" x14ac:dyDescent="0.2">
      <c r="A1098" s="269">
        <v>45911.36613425926</v>
      </c>
      <c r="B1098" t="s">
        <v>1431</v>
      </c>
      <c r="C1098" t="s">
        <v>58</v>
      </c>
      <c r="D1098" t="s">
        <v>1540</v>
      </c>
      <c r="E1098">
        <v>154</v>
      </c>
    </row>
    <row r="1099" spans="1:5" x14ac:dyDescent="0.2">
      <c r="A1099" s="269">
        <v>45911.366168981483</v>
      </c>
      <c r="B1099" t="s">
        <v>1431</v>
      </c>
      <c r="C1099" t="s">
        <v>58</v>
      </c>
      <c r="D1099" t="s">
        <v>1558</v>
      </c>
      <c r="E1099">
        <v>1454</v>
      </c>
    </row>
    <row r="1100" spans="1:5" x14ac:dyDescent="0.2">
      <c r="A1100" s="269">
        <v>45911.366238425922</v>
      </c>
      <c r="B1100" t="s">
        <v>1431</v>
      </c>
      <c r="C1100" t="s">
        <v>58</v>
      </c>
      <c r="D1100" t="s">
        <v>1541</v>
      </c>
      <c r="E1100">
        <v>171</v>
      </c>
    </row>
    <row r="1101" spans="1:5" x14ac:dyDescent="0.2">
      <c r="A1101" s="269">
        <v>45911.366273148145</v>
      </c>
      <c r="B1101" t="s">
        <v>1431</v>
      </c>
      <c r="C1101" t="s">
        <v>58</v>
      </c>
      <c r="D1101" t="s">
        <v>1559</v>
      </c>
      <c r="E1101">
        <v>1764</v>
      </c>
    </row>
    <row r="1102" spans="1:5" x14ac:dyDescent="0.2">
      <c r="A1102" s="269">
        <v>45911.366377314815</v>
      </c>
      <c r="B1102" t="s">
        <v>1431</v>
      </c>
      <c r="C1102" t="s">
        <v>58</v>
      </c>
      <c r="D1102" t="s">
        <v>1560</v>
      </c>
      <c r="E1102">
        <v>89.12</v>
      </c>
    </row>
    <row r="1103" spans="1:5" x14ac:dyDescent="0.2">
      <c r="A1103" s="269">
        <v>45911.366423611114</v>
      </c>
      <c r="B1103" t="s">
        <v>1431</v>
      </c>
      <c r="C1103" t="s">
        <v>58</v>
      </c>
      <c r="D1103" t="s">
        <v>1561</v>
      </c>
      <c r="E1103">
        <v>572</v>
      </c>
    </row>
    <row r="1104" spans="1:5" x14ac:dyDescent="0.2">
      <c r="A1104" s="269">
        <v>45911.366493055553</v>
      </c>
      <c r="B1104" t="s">
        <v>1431</v>
      </c>
      <c r="C1104" t="s">
        <v>58</v>
      </c>
      <c r="D1104" t="s">
        <v>1562</v>
      </c>
      <c r="E1104">
        <v>111.37</v>
      </c>
    </row>
    <row r="1105" spans="1:5" x14ac:dyDescent="0.2">
      <c r="A1105" s="269">
        <v>45911.366527777776</v>
      </c>
      <c r="B1105" t="s">
        <v>1431</v>
      </c>
      <c r="C1105" t="s">
        <v>58</v>
      </c>
      <c r="D1105" t="s">
        <v>1563</v>
      </c>
      <c r="E1105">
        <v>926</v>
      </c>
    </row>
    <row r="1106" spans="1:5" x14ac:dyDescent="0.2">
      <c r="A1106" s="269">
        <v>45911.366620370369</v>
      </c>
      <c r="B1106" t="s">
        <v>1431</v>
      </c>
      <c r="C1106" t="s">
        <v>58</v>
      </c>
      <c r="D1106" t="s">
        <v>1564</v>
      </c>
      <c r="E1106">
        <v>290.7</v>
      </c>
    </row>
    <row r="1107" spans="1:5" x14ac:dyDescent="0.2">
      <c r="A1107" s="269">
        <v>45911.366678240738</v>
      </c>
      <c r="B1107" t="s">
        <v>1431</v>
      </c>
      <c r="C1107" t="s">
        <v>58</v>
      </c>
      <c r="D1107" t="s">
        <v>1565</v>
      </c>
      <c r="E1107">
        <v>3525</v>
      </c>
    </row>
    <row r="1108" spans="1:5" x14ac:dyDescent="0.2">
      <c r="A1108" s="269">
        <v>45911.368206018517</v>
      </c>
      <c r="B1108" t="s">
        <v>1431</v>
      </c>
      <c r="C1108" t="s">
        <v>597</v>
      </c>
      <c r="D1108" t="s">
        <v>1507</v>
      </c>
      <c r="E1108" t="s">
        <v>39</v>
      </c>
    </row>
    <row r="1109" spans="1:5" x14ac:dyDescent="0.2">
      <c r="A1109" s="269">
        <v>45916.922546296293</v>
      </c>
      <c r="B1109" t="s">
        <v>596</v>
      </c>
      <c r="C1109" t="s">
        <v>597</v>
      </c>
      <c r="D1109" t="s">
        <v>1507</v>
      </c>
      <c r="E1109" t="s">
        <v>39</v>
      </c>
    </row>
    <row r="1110" spans="1:5" x14ac:dyDescent="0.2">
      <c r="A1110" s="269">
        <v>45916.922719907408</v>
      </c>
      <c r="B1110" t="s">
        <v>596</v>
      </c>
      <c r="C1110" t="s">
        <v>27</v>
      </c>
      <c r="D1110" t="s">
        <v>1566</v>
      </c>
      <c r="E1110" t="s">
        <v>53</v>
      </c>
    </row>
    <row r="1111" spans="1:5" x14ac:dyDescent="0.2">
      <c r="A1111" s="269">
        <v>45916.922858796293</v>
      </c>
      <c r="B1111" t="s">
        <v>596</v>
      </c>
      <c r="C1111" t="s">
        <v>27</v>
      </c>
      <c r="D1111" t="s">
        <v>1567</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2025-09-16T14:08:55Z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