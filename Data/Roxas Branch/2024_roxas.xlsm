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Roxas Branch/"/>
    </mc:Choice>
  </mc:AlternateContent>
  <xr:revisionPtr revIDLastSave="0" documentId="13_ncr:1_{0B129042-1C1C-AE4D-B004-AA9D097193EA}"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871" r:id="rId19"/>
    <pivotCache cacheId="872" r:id="rId20"/>
    <pivotCache cacheId="873" r:id="rId21"/>
    <pivotCache cacheId="874" r:id="rId22"/>
    <pivotCache cacheId="875" r:id="rId23"/>
    <pivotCache cacheId="883"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34" l="1"/>
  <c r="N9" i="34"/>
  <c r="N10" i="34"/>
  <c r="N11" i="34"/>
  <c r="N12"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3" i="40"/>
  <c r="I54" i="40" s="1"/>
  <c r="I55" i="40" s="1"/>
  <c r="I52" i="40"/>
  <c r="I49" i="40"/>
  <c r="I50" i="40" s="1"/>
  <c r="I51" i="40" s="1"/>
  <c r="I48" i="40"/>
  <c r="I45" i="40"/>
  <c r="I46" i="40" s="1"/>
  <c r="I47" i="40" s="1"/>
  <c r="I44" i="40"/>
  <c r="I41" i="40"/>
  <c r="I42" i="40" s="1"/>
  <c r="I43" i="40" s="1"/>
  <c r="I40" i="40"/>
  <c r="I37" i="40"/>
  <c r="I38" i="40" s="1"/>
  <c r="I39" i="40" s="1"/>
  <c r="I36" i="40"/>
  <c r="I33" i="40"/>
  <c r="I34" i="40" s="1"/>
  <c r="I35" i="40" s="1"/>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1" i="38" l="1"/>
  <c r="D11" i="38"/>
  <c r="E11" i="38"/>
  <c r="F11" i="38"/>
  <c r="G12" i="38"/>
  <c r="E12" i="38"/>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2" i="34" l="1"/>
  <c r="E12" i="34"/>
  <c r="F12" i="34"/>
  <c r="D12" i="34"/>
  <c r="D14" i="34"/>
  <c r="G14" i="34"/>
  <c r="E14" i="34"/>
  <c r="F14" i="34"/>
  <c r="F13" i="34"/>
  <c r="G13" i="34"/>
  <c r="D13" i="34"/>
  <c r="E13" i="34"/>
  <c r="G11" i="34"/>
  <c r="F11" i="34"/>
  <c r="E11" i="34"/>
  <c r="D11" i="34"/>
  <c r="D15" i="34"/>
  <c r="G15" i="34"/>
  <c r="E15" i="34"/>
  <c r="F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<sst xmlns="http://schemas.openxmlformats.org/spreadsheetml/2006/main" count="9386" uniqueCount="1885">
  <si>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</si>
  <si>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</si>
  <si>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</si>
  <si>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</si>
  <si>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</si>
  <si>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</si>
  <si>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</si>
  <si>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</si>
  <si>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</si>
  <si>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</si>
  <si>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</si>
  <si>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</si>
  <si>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</si>
  <si>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</si>
  <si>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</si>
  <si>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</si>
  <si>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</si>
  <si>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</si>
  <si>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</si>
  <si>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</si>
  <si>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</si>
  <si>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</si>
  <si>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</si>
  <si>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</si>
  <si>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</si>
  <si>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</si>
  <si>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</si>
  <si>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</si>
  <si>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</si>
  <si>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</si>
  <si>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</si>
  <si>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</si>
  <si>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</si>
  <si>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</si>
  <si>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</si>
  <si>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</si>
  <si>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</si>
  <si>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</si>
  <si>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</si>
  <si>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</si>
  <si>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</si>
  <si>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</si>
  <si>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</si>
  <si>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</si>
  <si>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</si>
  <si>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</si>
  <si>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</si>
  <si>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</si>
  <si>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</si>
  <si>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</si>
  <si>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</si>
  <si>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</si>
  <si>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</si>
  <si>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</si>
  <si>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</si>
  <si>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</si>
  <si>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</si>
  <si>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</si>
  <si>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</si>
  <si>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</si>
  <si>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</si>
  <si>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</si>
  <si>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</si>
  <si>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</si>
  <si>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</si>
  <si>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</si>
  <si>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</si>
  <si>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</si>
  <si>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</si>
  <si>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</si>
  <si>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</si>
  <si>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</si>
  <si>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</si>
  <si>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</si>
  <si>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</si>
  <si>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</si>
  <si>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</si>
  <si>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</si>
  <si>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</si>
  <si>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</si>
  <si>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</si>
  <si>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</si>
  <si>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</si>
  <si>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</si>
  <si>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</si>
  <si>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</si>
  <si>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</si>
  <si>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</si>
  <si>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</si>
  <si>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</si>
  <si>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</si>
  <si>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</si>
  <si>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</si>
  <si>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</si>
  <si>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</si>
  <si>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</si>
  <si>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</si>
  <si>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</si>
  <si>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</si>
  <si>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</si>
  <si>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</si>
  <si>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</si>
  <si>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</si>
  <si>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</si>
  <si>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</si>
  <si>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</si>
  <si>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</si>
  <si>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</si>
  <si>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</si>
  <si>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</si>
  <si>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</si>
  <si>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</si>
  <si>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</si>
  <si>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</si>
  <si>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</si>
  <si>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</si>
  <si>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</si>
  <si>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</si>
  <si>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</si>
  <si>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</si>
  <si>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</si>
  <si>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</si>
  <si>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</si>
  <si>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</si>
  <si>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</si>
  <si>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</si>
  <si>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</si>
  <si>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</si>
  <si>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</si>
  <si>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</si>
  <si>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</si>
  <si>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</si>
  <si>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</si>
  <si>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</si>
  <si>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</si>
  <si>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</si>
  <si>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</si>
  <si>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</si>
  <si>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</si>
  <si>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</si>
  <si>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</si>
  <si>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</si>
  <si>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</si>
  <si>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</si>
  <si>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</si>
  <si>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</si>
  <si>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</si>
  <si>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</si>
  <si>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</si>
  <si>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</si>
  <si>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</si>
  <si>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</si>
  <si>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</si>
  <si>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</si>
  <si>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</si>
  <si>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</si>
  <si>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</si>
  <si>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</si>
  <si>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</si>
  <si>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</si>
  <si>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</si>
  <si>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</si>
  <si>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</si>
  <si>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</si>
  <si>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</si>
  <si>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</si>
  <si>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</si>
  <si>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</si>
  <si>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</si>
  <si>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</si>
  <si>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</si>
  <si>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</si>
  <si>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</si>
  <si>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</si>
  <si>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</si>
  <si>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</si>
  <si>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</si>
  <si>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</si>
  <si>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</si>
  <si>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</si>
  <si>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</si>
  <si>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</si>
  <si>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</si>
  <si>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</si>
  <si>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</si>
  <si>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</si>
  <si>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</si>
  <si>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</si>
  <si>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</si>
  <si>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</si>
  <si>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</si>
  <si>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</si>
  <si>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</si>
  <si>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</si>
  <si>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</si>
  <si>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</si>
  <si>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</si>
  <si>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</si>
  <si>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</si>
  <si>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</si>
  <si>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</si>
  <si>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</si>
  <si>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</si>
  <si>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</si>
  <si>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</si>
  <si>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</si>
  <si>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</si>
  <si>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</si>
  <si>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</si>
  <si>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</si>
  <si>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</si>
  <si>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</si>
  <si>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</si>
  <si>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</si>
  <si>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</si>
  <si>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</si>
  <si>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</si>
  <si>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</si>
  <si>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</si>
  <si>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</si>
  <si>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</si>
  <si>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</si>
  <si>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</si>
  <si>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</si>
  <si>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</si>
  <si>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</si>
  <si>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</si>
  <si>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</si>
  <si>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</si>
  <si>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</si>
  <si>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</si>
  <si>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</si>
  <si>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</si>
  <si>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</si>
  <si>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</si>
  <si>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</si>
  <si>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</si>
  <si>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</si>
  <si>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</si>
  <si>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</si>
  <si>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</si>
  <si>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</si>
  <si>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</si>
  <si>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</si>
  <si>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</si>
  <si>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</si>
  <si>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</si>
  <si>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</si>
  <si>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</si>
  <si>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</si>
  <si>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</si>
  <si>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</si>
  <si>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</si>
  <si>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</si>
  <si>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</si>
  <si>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</si>
  <si>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</si>
  <si>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</si>
  <si>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</si>
  <si>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</si>
  <si>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</si>
  <si>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</si>
  <si>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</si>
  <si>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</si>
  <si>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</si>
  <si>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</si>
  <si>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</si>
  <si>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</si>
  <si>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</si>
  <si>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</si>
  <si>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</si>
  <si>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</si>
  <si>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</si>
  <si>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</si>
  <si>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</si>
  <si>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</si>
  <si>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</si>
  <si>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</si>
  <si>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</si>
  <si>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</si>
  <si>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</si>
  <si>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</si>
  <si>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</si>
  <si>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</si>
  <si>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</si>
  <si>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</si>
  <si>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</si>
  <si>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</si>
  <si>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</si>
  <si>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</si>
  <si>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</si>
  <si>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</si>
  <si>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</si>
  <si>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</si>
  <si>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</si>
  <si>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</si>
  <si>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</si>
  <si>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</si>
  <si>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</si>
  <si>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</si>
  <si>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</si>
  <si>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</si>
  <si>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</si>
  <si>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</si>
  <si>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</si>
  <si>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</si>
  <si>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</si>
  <si>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</si>
  <si>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</si>
  <si>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</si>
  <si>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</si>
  <si>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</si>
  <si>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</si>
  <si>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</si>
  <si>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</si>
  <si>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</si>
  <si>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</si>
  <si>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</si>
  <si>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</si>
  <si>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</si>
  <si>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</si>
  <si>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</si>
  <si>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</si>
  <si>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</si>
  <si>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</si>
  <si>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</si>
  <si>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</si>
  <si>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</si>
  <si>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</si>
  <si>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</si>
  <si>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</si>
  <si>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</si>
  <si>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</si>
  <si>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</si>
  <si>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</si>
  <si>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</si>
  <si>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</si>
  <si>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</si>
  <si>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</si>
  <si>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</si>
  <si>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</si>
  <si>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</si>
  <si>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</si>
  <si>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</si>
  <si>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</si>
  <si>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</si>
  <si>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</si>
  <si>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</si>
  <si>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</si>
  <si>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</si>
  <si>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</si>
  <si>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</si>
  <si>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</si>
  <si>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</si>
  <si>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</si>
  <si>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</si>
  <si>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</si>
  <si>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</si>
  <si>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</si>
  <si>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</si>
  <si>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</si>
  <si>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</si>
  <si>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</si>
  <si>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</si>
  <si>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</si>
  <si>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</si>
  <si>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</si>
  <si>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</si>
  <si>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</si>
  <si>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</si>
  <si>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</si>
  <si>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</si>
  <si>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</si>
  <si>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</si>
  <si>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</si>
  <si>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</si>
  <si>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</si>
  <si>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</si>
  <si>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</si>
  <si>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</si>
  <si>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</si>
  <si>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</si>
  <si>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</si>
  <si>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</si>
  <si>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</si>
  <si>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</si>
  <si>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</si>
  <si>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</si>
  <si>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</si>
  <si>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</si>
  <si>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</si>
  <si>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</si>
  <si>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</si>
  <si>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</si>
  <si>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</si>
  <si>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</si>
  <si>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</si>
  <si>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</si>
  <si>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</si>
  <si>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</si>
  <si>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</si>
  <si>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</si>
  <si>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</si>
  <si>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</si>
  <si>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</si>
  <si>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</si>
  <si>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</si>
  <si>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</si>
  <si>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</si>
  <si>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</si>
  <si>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</si>
  <si>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</si>
  <si>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</si>
  <si>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</si>
  <si>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</si>
  <si>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</si>
  <si>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</si>
  <si>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</si>
  <si>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</si>
  <si>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</si>
  <si>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</si>
  <si>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</si>
  <si>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</si>
  <si>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</si>
  <si>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</si>
  <si>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</si>
  <si>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</si>
  <si>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</si>
  <si>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</si>
  <si>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</si>
  <si>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</si>
  <si>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</si>
  <si>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</si>
  <si>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</si>
  <si>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</si>
  <si>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</si>
  <si>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</si>
  <si>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</si>
  <si>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</si>
  <si>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</si>
  <si>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</si>
  <si>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</si>
  <si>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</si>
  <si>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</si>
  <si>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</si>
  <si>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</si>
  <si>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</si>
  <si>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</si>
  <si>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</si>
  <si>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</si>
  <si>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</si>
  <si>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</si>
  <si>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</si>
  <si>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</si>
  <si>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</si>
  <si>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</si>
  <si>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</si>
  <si>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</si>
  <si>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</si>
  <si>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</si>
  <si>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</si>
  <si>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</si>
  <si>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</si>
  <si>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</si>
  <si>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</si>
  <si>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</si>
  <si>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</si>
  <si>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</si>
  <si>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</si>
  <si>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</si>
  <si>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</si>
  <si>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</si>
  <si>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</si>
  <si>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</si>
  <si>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</si>
  <si>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</si>
  <si>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</si>
  <si>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</si>
  <si>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</si>
  <si>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</si>
  <si>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</si>
  <si>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</si>
  <si>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</si>
  <si>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</si>
  <si>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</si>
  <si>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</si>
  <si>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</si>
  <si>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</si>
  <si>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</si>
  <si>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</si>
  <si>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</si>
  <si>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</si>
  <si>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</si>
  <si>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</si>
  <si>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</si>
  <si>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</si>
  <si>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</si>
  <si>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</si>
  <si>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</si>
  <si>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</si>
  <si>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</si>
  <si>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</si>
  <si>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</si>
  <si>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</si>
  <si>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</si>
  <si>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</si>
  <si>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</si>
  <si>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</si>
  <si>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</si>
  <si>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</si>
  <si>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</si>
  <si>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</si>
  <si>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</si>
  <si>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</si>
  <si>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</si>
  <si>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</si>
  <si>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</si>
  <si>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</si>
  <si>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</si>
  <si>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</si>
  <si>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</si>
  <si>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</si>
  <si>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</si>
  <si>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</si>
  <si>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</si>
  <si>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</si>
  <si>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</si>
  <si>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</si>
  <si>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</si>
  <si>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</si>
  <si>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</si>
  <si>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</si>
  <si>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</si>
  <si>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</si>
  <si>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</si>
  <si>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</si>
  <si>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</si>
  <si>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</si>
  <si>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</si>
  <si>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</si>
  <si>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</si>
  <si>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</si>
  <si>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</si>
  <si>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</si>
  <si>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</si>
  <si>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</si>
  <si>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</si>
  <si>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</si>
  <si>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</si>
  <si>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</si>
  <si>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</si>
  <si>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</si>
  <si>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</si>
  <si>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</si>
  <si>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</si>
  <si>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</si>
  <si>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</si>
  <si>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</si>
  <si>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</si>
  <si>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</si>
  <si>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</si>
  <si>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</si>
  <si>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</si>
  <si>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</si>
  <si>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</si>
  <si>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</si>
  <si>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</si>
  <si>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</si>
  <si>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</si>
  <si>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</si>
  <si>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</si>
  <si>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</si>
  <si>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</si>
  <si>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</si>
  <si>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</si>
  <si>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</si>
  <si>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</si>
  <si>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</si>
  <si>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</si>
  <si>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</si>
  <si>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</si>
  <si>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</si>
  <si>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</si>
  <si>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</si>
  <si>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</si>
  <si>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</si>
  <si>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</si>
  <si>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</si>
  <si>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</si>
  <si>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</si>
  <si>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</si>
  <si>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</si>
  <si>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</si>
  <si>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</si>
  <si>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</si>
  <si>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</si>
  <si>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</si>
  <si>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</si>
  <si>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</si>
  <si>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</si>
  <si>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</si>
  <si>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</si>
  <si>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</si>
  <si>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</si>
  <si>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</si>
  <si>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</si>
  <si>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</si>
  <si>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</si>
  <si>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</si>
  <si>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</si>
  <si>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</si>
  <si>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</si>
  <si>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</si>
  <si>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</si>
  <si>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</si>
  <si>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</si>
  <si>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</si>
  <si>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</si>
  <si>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</si>
  <si>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</si>
  <si>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</si>
  <si>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</si>
  <si>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</si>
  <si>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</si>
  <si>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</si>
  <si>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</si>
  <si>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</si>
  <si>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</si>
  <si>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</si>
  <si>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</si>
  <si>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</si>
  <si>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</si>
  <si>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</si>
  <si>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</si>
  <si>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</si>
  <si>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</si>
  <si>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</si>
  <si>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</si>
  <si>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</si>
  <si>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</si>
  <si>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</si>
  <si>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</si>
  <si>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</si>
  <si>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</si>
  <si>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</si>
  <si>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</si>
  <si>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</si>
  <si>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</si>
  <si>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</si>
  <si>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</si>
  <si>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</si>
  <si>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</si>
  <si>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</si>
  <si>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</si>
  <si>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</si>
  <si>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</si>
  <si>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</si>
  <si>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</si>
  <si>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</si>
  <si>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</si>
  <si>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</si>
  <si>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</si>
  <si>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</si>
  <si>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</si>
  <si>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</si>
  <si>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</si>
  <si>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</si>
  <si>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</si>
  <si>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</si>
  <si>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</si>
  <si>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</si>
  <si>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</si>
  <si>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</si>
  <si>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</si>
  <si>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</si>
  <si>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</si>
  <si>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</si>
  <si>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</si>
  <si>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</si>
  <si>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</si>
  <si>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</si>
  <si>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</si>
  <si>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</si>
  <si>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</si>
  <si>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</si>
  <si>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</si>
  <si>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</si>
  <si>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</si>
  <si>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</si>
  <si>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</si>
  <si>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</si>
  <si>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</si>
  <si>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</si>
  <si>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</si>
  <si>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</si>
  <si>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</si>
  <si>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</si>
  <si>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</si>
  <si>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</si>
  <si>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</si>
  <si>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</si>
  <si>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</si>
  <si>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</si>
  <si>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</si>
  <si>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</si>
  <si>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</si>
  <si>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</si>
  <si>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</si>
  <si>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</si>
  <si>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</si>
  <si>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</si>
  <si>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</si>
  <si>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</si>
  <si>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</si>
  <si>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</si>
  <si>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</si>
  <si>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</si>
  <si>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</si>
  <si>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</si>
  <si>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</si>
  <si>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</si>
  <si>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</si>
  <si>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</si>
  <si>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</si>
  <si>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</si>
  <si>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</si>
  <si>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</si>
  <si>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</si>
  <si>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</si>
  <si>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</si>
  <si>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</si>
  <si>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</si>
  <si>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</si>
  <si>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</si>
  <si>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</si>
  <si>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</si>
  <si>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</si>
  <si>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</si>
  <si>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</si>
  <si>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</si>
  <si>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</si>
  <si>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</si>
  <si>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</si>
  <si>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</si>
  <si>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</si>
  <si>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</si>
  <si>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</si>
  <si>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</si>
  <si>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</si>
  <si>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</si>
  <si>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</si>
  <si>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</si>
  <si>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</si>
  <si>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</si>
  <si>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</si>
  <si>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</si>
  <si>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</si>
  <si>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</si>
  <si>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</si>
  <si>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</si>
  <si>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</si>
  <si>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</si>
  <si>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</si>
  <si>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</si>
  <si>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</si>
  <si>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</si>
  <si>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</si>
  <si>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</si>
  <si>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</si>
  <si>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</si>
  <si>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</si>
  <si>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</si>
  <si>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</si>
  <si>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</si>
  <si>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</si>
  <si>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</si>
  <si>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</si>
  <si>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</si>
  <si>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</si>
  <si>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</si>
  <si>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</si>
  <si>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</si>
  <si>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</si>
  <si>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</si>
  <si>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</si>
  <si>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</si>
  <si>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</si>
  <si>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</si>
  <si>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</si>
  <si>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</si>
  <si>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</si>
  <si>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</si>
  <si>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</si>
  <si>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</si>
  <si>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</si>
  <si>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</si>
  <si>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</si>
  <si>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</si>
  <si>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</si>
  <si>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</si>
  <si>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</si>
  <si>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</si>
  <si>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</si>
  <si>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</si>
  <si>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</si>
  <si>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</si>
  <si>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</si>
  <si>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</si>
  <si>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</si>
  <si>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</si>
  <si>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</si>
  <si>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</si>
  <si>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</si>
  <si>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</si>
  <si>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</si>
  <si>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</si>
  <si>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</si>
  <si>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</si>
  <si>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</si>
  <si>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</si>
  <si>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</si>
  <si>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</si>
  <si>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</si>
  <si>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</si>
  <si>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</si>
  <si>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</si>
  <si>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</si>
  <si>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</si>
  <si>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</si>
  <si>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</si>
  <si>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</si>
  <si>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</si>
  <si>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</si>
  <si>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</si>
  <si>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</si>
  <si>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</si>
  <si>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</si>
  <si>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</si>
  <si>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</si>
  <si>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</si>
  <si>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</si>
  <si>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</si>
  <si>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</si>
  <si>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</si>
  <si>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</si>
  <si>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</si>
  <si>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</si>
  <si>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</si>
  <si>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</si>
  <si>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</si>
  <si>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</si>
  <si>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</si>
  <si>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</si>
  <si>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</si>
  <si>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</si>
  <si>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</si>
  <si>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</si>
  <si>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</si>
  <si>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</si>
  <si>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</si>
  <si>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</si>
  <si>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</si>
  <si>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</si>
  <si>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</si>
  <si>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</si>
  <si>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</si>
  <si>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</si>
  <si>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</si>
  <si>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</si>
  <si>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</si>
  <si>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</si>
  <si>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</si>
  <si>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</si>
  <si>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</si>
  <si>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</si>
  <si>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</si>
  <si>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</si>
  <si>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</si>
  <si>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</si>
  <si>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</si>
  <si>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</si>
  <si>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</si>
  <si>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</si>
  <si>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</si>
  <si>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</si>
  <si>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</si>
  <si>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</si>
  <si>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</si>
  <si>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</si>
  <si>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</si>
  <si>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</si>
  <si>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</si>
  <si>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</si>
  <si>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</si>
  <si>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</si>
  <si>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</si>
  <si>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</si>
  <si>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</si>
  <si>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</si>
  <si>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</si>
  <si>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</si>
  <si>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</si>
  <si>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</si>
  <si>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</si>
  <si>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</si>
  <si>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</si>
  <si>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</si>
  <si>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</si>
  <si>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</si>
  <si>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</si>
  <si>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</si>
  <si>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</si>
  <si>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</si>
  <si>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</si>
  <si>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</si>
  <si>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</si>
  <si>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</si>
  <si>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</si>
  <si>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</si>
  <si>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</si>
  <si>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</si>
  <si>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</si>
  <si>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</si>
  <si>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</si>
  <si>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</si>
  <si>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</si>
  <si>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</si>
  <si>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</si>
  <si>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</si>
  <si>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</si>
  <si>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</si>
  <si>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</si>
  <si>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</si>
  <si>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</si>
  <si>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</si>
  <si>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</si>
  <si>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</si>
  <si>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</si>
  <si>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</si>
  <si>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</si>
  <si>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</si>
  <si>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</si>
  <si>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</si>
  <si>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</si>
  <si>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</si>
  <si>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</si>
  <si>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</si>
  <si>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</si>
  <si>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</si>
  <si>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</si>
  <si>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</si>
  <si>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</si>
  <si>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</si>
  <si>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</si>
  <si>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</si>
  <si>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</si>
  <si>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</si>
  <si>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</si>
  <si>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</si>
  <si>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</si>
  <si>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</si>
  <si>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</si>
  <si>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</si>
  <si>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</si>
  <si>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</si>
  <si>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</si>
  <si>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</si>
  <si>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</si>
  <si>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</si>
  <si>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</si>
  <si>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</si>
  <si>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</si>
  <si>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</si>
  <si>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</si>
  <si>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</si>
  <si>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</si>
  <si>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</si>
  <si>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</si>
  <si>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</si>
  <si>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</si>
  <si>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</si>
  <si>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</si>
  <si>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</si>
  <si>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</si>
  <si>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</si>
  <si>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</si>
  <si>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</si>
  <si>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</si>
  <si>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</si>
  <si>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</si>
  <si>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</si>
  <si>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</si>
  <si>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</si>
  <si>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</si>
  <si>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</si>
  <si>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</si>
  <si>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</si>
  <si>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</si>
  <si>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</si>
  <si>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</si>
  <si>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</si>
  <si>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</si>
  <si>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</si>
  <si>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</si>
  <si>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</si>
  <si>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</si>
  <si>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</si>
  <si>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</si>
  <si>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</si>
  <si>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</si>
  <si>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</si>
  <si>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</si>
  <si>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</si>
  <si>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</si>
  <si>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</si>
  <si>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</si>
  <si>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</si>
  <si>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</si>
  <si>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</si>
  <si>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</si>
  <si>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</si>
  <si>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</si>
  <si>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</si>
  <si>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</si>
  <si>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</si>
  <si>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</si>
  <si>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</si>
  <si>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</si>
  <si>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</si>
  <si>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</si>
  <si>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</si>
  <si>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</si>
  <si>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</si>
  <si>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</si>
  <si>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</si>
  <si>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</si>
  <si>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</si>
  <si>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</si>
  <si>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</si>
  <si>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</si>
  <si>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</si>
  <si>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</si>
  <si>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</si>
  <si>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</si>
  <si>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</si>
  <si>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</si>
  <si>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</si>
  <si>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</si>
  <si>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</si>
  <si>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</si>
  <si>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</si>
  <si>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</si>
  <si>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</si>
  <si>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</si>
  <si>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</si>
  <si>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</si>
  <si>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</si>
  <si>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</si>
  <si>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</si>
  <si>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</si>
  <si>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</si>
  <si>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</si>
  <si>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</si>
  <si>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</si>
  <si>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</si>
  <si>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</si>
  <si>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</si>
  <si>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</si>
  <si>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</si>
  <si>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</si>
  <si>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</si>
  <si>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</si>
  <si>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</si>
  <si>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</si>
  <si>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</si>
  <si>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</si>
  <si>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</si>
  <si>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</si>
  <si>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</si>
  <si>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</si>
  <si>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</si>
  <si>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</si>
  <si>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</si>
  <si>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</si>
  <si>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</si>
  <si>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</si>
  <si>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</si>
  <si>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</si>
  <si>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</si>
  <si>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</si>
  <si>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</si>
  <si>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</si>
  <si>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</si>
  <si>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</si>
  <si>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</si>
  <si>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</si>
  <si>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</si>
  <si>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</si>
  <si>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</si>
  <si>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</si>
  <si>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</si>
  <si>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</si>
  <si>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</si>
  <si>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</si>
  <si>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</si>
  <si>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</si>
  <si>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</si>
  <si>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</si>
  <si>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</si>
  <si>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</si>
  <si>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</si>
  <si>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</si>
  <si>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</si>
  <si>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</si>
  <si>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</si>
  <si>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</si>
  <si>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</si>
  <si>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</si>
  <si>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</si>
  <si>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</si>
  <si>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</si>
  <si>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</si>
  <si>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</si>
  <si>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</si>
  <si>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</si>
  <si>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</si>
  <si>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</si>
  <si>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</si>
  <si>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</si>
  <si>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</si>
  <si>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</si>
  <si>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</si>
  <si>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</si>
  <si>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</si>
  <si>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</si>
  <si>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</si>
  <si>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</si>
  <si>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</si>
  <si>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</si>
  <si>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</si>
  <si>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</si>
  <si>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</si>
  <si>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</si>
  <si>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</si>
  <si>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</si>
  <si>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</si>
  <si>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</si>
  <si>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</si>
  <si>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</si>
  <si>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</si>
  <si>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</si>
  <si>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</si>
  <si>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</si>
  <si>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</si>
  <si>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</si>
  <si>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</si>
  <si>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</si>
  <si>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</si>
  <si>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</si>
  <si>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</si>
  <si>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</si>
  <si>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</si>
  <si>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</si>
  <si>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</si>
  <si>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</si>
  <si>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</si>
  <si>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</si>
  <si>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</si>
  <si>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</si>
  <si>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</si>
  <si>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</si>
  <si>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</si>
  <si>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</si>
  <si>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</si>
  <si>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</si>
  <si>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</si>
  <si>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</si>
  <si>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</si>
  <si>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</si>
  <si>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</si>
  <si>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</si>
  <si>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</si>
  <si>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</si>
  <si>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</si>
  <si>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</si>
  <si>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</si>
  <si>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</si>
  <si>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</si>
  <si>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</si>
  <si>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</si>
  <si>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</si>
  <si>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</si>
  <si>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</si>
  <si>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</si>
  <si>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</si>
  <si>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</si>
  <si>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</si>
  <si>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</si>
  <si>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</si>
  <si>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</si>
  <si>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</si>
  <si>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</si>
  <si>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</si>
  <si>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</si>
  <si>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</si>
  <si>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</si>
  <si>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</si>
  <si>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</si>
  <si>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</si>
  <si>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</si>
  <si>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</si>
  <si>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</si>
  <si>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</si>
  <si>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</si>
  <si>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</si>
  <si>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</si>
  <si>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</si>
  <si>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</si>
  <si>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</si>
  <si>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</si>
  <si>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</si>
  <si>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</si>
  <si>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</si>
  <si>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</si>
  <si>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</si>
  <si>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</si>
  <si>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</si>
  <si>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</si>
  <si>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</si>
  <si>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</si>
  <si>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</si>
  <si>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</si>
  <si>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</si>
  <si>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</si>
  <si>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</si>
  <si>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</si>
  <si>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</si>
  <si>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</si>
  <si>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</si>
  <si>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</si>
  <si>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</si>
  <si>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</si>
  <si>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</si>
  <si>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</si>
  <si>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</si>
  <si>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</si>
  <si>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</si>
  <si>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</si>
  <si>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</si>
  <si>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</si>
  <si>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</si>
  <si>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</si>
  <si>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</si>
  <si>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</si>
  <si>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</si>
  <si>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</si>
  <si>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</si>
  <si>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</si>
  <si>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</si>
  <si>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</si>
  <si>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</si>
  <si>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</si>
  <si>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</si>
  <si>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</si>
  <si>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</si>
  <si>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</si>
  <si>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</si>
  <si>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</si>
  <si>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</si>
  <si>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</si>
  <si>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</si>
  <si>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</si>
  <si>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</si>
  <si>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</si>
  <si>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</si>
  <si>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</si>
  <si>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</si>
  <si>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</si>
  <si>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</si>
  <si>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</si>
  <si>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</si>
  <si>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</si>
  <si>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</si>
  <si>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</si>
  <si>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</si>
  <si>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</si>
  <si>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</si>
  <si>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</si>
  <si>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</si>
  <si>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</si>
  <si>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</si>
  <si>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</si>
  <si>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</si>
  <si>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</si>
  <si>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</si>
  <si>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</si>
  <si>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</si>
  <si>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</si>
  <si>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</si>
  <si>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</si>
  <si>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</si>
  <si>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</si>
  <si>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</si>
  <si>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</si>
  <si>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</si>
  <si>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</si>
  <si>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</si>
  <si>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</si>
  <si>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</si>
  <si>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</si>
  <si>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</si>
  <si>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</si>
  <si>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</si>
  <si>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</si>
  <si>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</si>
  <si>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</si>
  <si>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</si>
  <si>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</si>
  <si>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</si>
  <si>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</si>
  <si>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</si>
  <si>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</si>
  <si>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</si>
  <si>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</si>
  <si>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</si>
  <si>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</si>
  <si>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</si>
  <si>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</si>
  <si>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</si>
  <si>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</si>
  <si>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</si>
  <si>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</si>
  <si>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</si>
  <si>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</si>
  <si>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</si>
  <si>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</si>
  <si>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</si>
  <si>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</si>
  <si>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</si>
  <si>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</si>
  <si>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</si>
  <si>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</si>
  <si>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</si>
  <si>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</si>
  <si>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</si>
  <si>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</si>
  <si>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</si>
  <si>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</si>
  <si>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</si>
  <si>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</si>
  <si>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</si>
  <si>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</si>
  <si>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</si>
  <si>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</si>
  <si>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</si>
  <si>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</si>
  <si>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</si>
  <si>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</si>
  <si>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</si>
  <si>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</si>
  <si>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</si>
  <si>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</si>
  <si>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</si>
  <si>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</si>
  <si>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</si>
  <si>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</si>
  <si>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</si>
  <si>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</si>
  <si>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</si>
  <si>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</si>
  <si>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</si>
  <si>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</si>
  <si>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</si>
  <si>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</si>
  <si>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</si>
  <si>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</si>
  <si>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</si>
  <si>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</si>
  <si>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</si>
  <si>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</si>
  <si>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</si>
  <si>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</si>
  <si>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</si>
  <si>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</si>
  <si>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</si>
  <si>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</si>
  <si>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</si>
  <si>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</si>
  <si>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</si>
  <si>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</si>
  <si>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</si>
  <si>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</si>
  <si>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</si>
  <si>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</si>
  <si>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</si>
  <si>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</si>
  <si>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</si>
  <si>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</si>
  <si>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</si>
  <si>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</si>
  <si>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</si>
  <si>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</si>
  <si>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</si>
  <si>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</si>
  <si>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</si>
  <si>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</si>
  <si>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</si>
  <si>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</si>
  <si>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</si>
  <si>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</si>
  <si>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</si>
  <si>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</si>
  <si>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</si>
  <si>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</si>
  <si>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</si>
  <si>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</si>
  <si>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</si>
  <si>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</si>
  <si>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</si>
  <si>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</si>
  <si>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</si>
  <si>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</si>
  <si>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</si>
  <si>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</si>
  <si>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</si>
  <si>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</si>
  <si>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</si>
  <si>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</si>
  <si>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</si>
  <si>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</si>
  <si>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</si>
  <si>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Jaepy D. Avelino</t>
  </si>
  <si>
    <t>$D$3</t>
  </si>
  <si>
    <t>$D$2</t>
  </si>
  <si>
    <t>$J$8</t>
  </si>
  <si>
    <t>$K$8</t>
  </si>
  <si>
    <t>$M$8</t>
  </si>
  <si>
    <t>$J$13</t>
  </si>
  <si>
    <t>$K$13</t>
  </si>
  <si>
    <t>$J$14</t>
  </si>
  <si>
    <t>$K$14</t>
  </si>
  <si>
    <t>$J$15</t>
  </si>
  <si>
    <t>$K$15</t>
  </si>
  <si>
    <t>$M$15</t>
  </si>
  <si>
    <t>$K$16</t>
  </si>
  <si>
    <t>$K$17</t>
  </si>
  <si>
    <t>$M$17</t>
  </si>
  <si>
    <t>$K$18</t>
  </si>
  <si>
    <t>$M$18</t>
  </si>
  <si>
    <t>Refuel of Genset No.1 (Cummins 360kW)</t>
  </si>
  <si>
    <t>$O$15</t>
  </si>
  <si>
    <t>Refueling of Genset No.1 (Cummins 360kW)</t>
  </si>
  <si>
    <t>$O$16</t>
  </si>
  <si>
    <t>$O$18</t>
  </si>
  <si>
    <t>$N$7</t>
  </si>
  <si>
    <t>Dec. 17, 2023 to Jan. 16, 2024</t>
  </si>
  <si>
    <t>Period Covered: Dec. 17, 2023 to Jan. 16, 2024</t>
  </si>
  <si>
    <t>$O$9</t>
  </si>
  <si>
    <t>Period Covered: Jan. 17 to Feb. 16, 2024</t>
  </si>
  <si>
    <t>$L$15</t>
  </si>
  <si>
    <t>$L$16</t>
  </si>
  <si>
    <t>$L$17</t>
  </si>
  <si>
    <t>$L$18</t>
  </si>
  <si>
    <t>$L$19</t>
  </si>
  <si>
    <t>$M$19</t>
  </si>
  <si>
    <t>$N$10:$N$19</t>
  </si>
  <si>
    <t>$O$10:$O$19</t>
  </si>
  <si>
    <t>Period Covered: Feb. 17 to Mar. 16, 2024</t>
  </si>
  <si>
    <t>Period Covered: Mar. 17 to Apr. 16, 2024</t>
  </si>
  <si>
    <t>$O$11</t>
  </si>
  <si>
    <t>Period Covered: May 17 to Jun. 16, 2024</t>
  </si>
  <si>
    <t>Period Covered: Jul. 17 to Feb. 16, 2024</t>
  </si>
  <si>
    <t>$O$13</t>
  </si>
  <si>
    <t>Period Covered: Apr. 17 to May 16, 2024</t>
  </si>
  <si>
    <t>Period Covered: Jun. 17 to Jul. 16, 2024</t>
  </si>
  <si>
    <t>$O$14</t>
  </si>
  <si>
    <t>Period Covered: Jul. 17 to Aug. 16, 2024</t>
  </si>
  <si>
    <t>Period Covered: Aug. 17 to Sep. 16, 2024</t>
  </si>
  <si>
    <t>Period Covered: Sep. 17 to Oct. 16, 2024</t>
  </si>
  <si>
    <t>$O$17</t>
  </si>
  <si>
    <t>Period Covered: Oct. 17 to Nov. 16, 2024</t>
  </si>
  <si>
    <t>Period Covered: Nov. 17 to Dec. 16, 2024</t>
  </si>
  <si>
    <t>$O$19</t>
  </si>
  <si>
    <t>Estimated volume of water discharge.</t>
  </si>
  <si>
    <t>$U$8</t>
  </si>
  <si>
    <t>$U$9:$U$19</t>
  </si>
  <si>
    <t>$U$17</t>
  </si>
  <si>
    <t>$U$18</t>
  </si>
  <si>
    <t>$U$19</t>
  </si>
  <si>
    <t>$Q$9</t>
  </si>
  <si>
    <t>$Q$10</t>
  </si>
  <si>
    <t>$Q$11</t>
  </si>
  <si>
    <t>$Q$12</t>
  </si>
  <si>
    <t>$Q$13</t>
  </si>
  <si>
    <t>$Q$14</t>
  </si>
  <si>
    <t>$Q$15</t>
  </si>
  <si>
    <t>$Q$16</t>
  </si>
  <si>
    <t>$Q$17</t>
  </si>
  <si>
    <t>$Q$18</t>
  </si>
  <si>
    <t>$Q$19</t>
  </si>
  <si>
    <t>$S$9:$S$19</t>
  </si>
  <si>
    <t>Jan. 3</t>
  </si>
  <si>
    <t>Jan. 3 to Feb. 5, 2024</t>
  </si>
  <si>
    <t>Jan. 3 to Feb. 1, 2024</t>
  </si>
  <si>
    <t>Feb. 2 to Mar. 1, 2024</t>
  </si>
  <si>
    <t>Mar. 2 to Apr. 1, 2024</t>
  </si>
  <si>
    <t>Apr. 2 to May 2, 2024</t>
  </si>
  <si>
    <t>$N$11</t>
  </si>
  <si>
    <t>May 3 to Jun. 2, 2024</t>
  </si>
  <si>
    <t>$N$12</t>
  </si>
  <si>
    <t>Jun. 3 to Jul. 1, 2024</t>
  </si>
  <si>
    <t>$N$13</t>
  </si>
  <si>
    <t>Jul. 2 to Aug. 1, 2024</t>
  </si>
  <si>
    <t>$N$14</t>
  </si>
  <si>
    <t>Aug. 2 to Sep. 2, 2024</t>
  </si>
  <si>
    <t>$N$15</t>
  </si>
  <si>
    <t>Sep. 3 to Oct. 1, 2024</t>
  </si>
  <si>
    <t>$N$16</t>
  </si>
  <si>
    <t>Oct. 2 - Nov. 3, 2024</t>
  </si>
  <si>
    <t>$N$17</t>
  </si>
  <si>
    <t>Nov. 4 to Dec. 2, 2024</t>
  </si>
  <si>
    <t>$N$18</t>
  </si>
  <si>
    <t>Dec. 3, 2024 to Jan. 2, 2025</t>
  </si>
  <si>
    <t>$N$19</t>
  </si>
  <si>
    <t>Oct. 2 to Nov. 3, 2024</t>
  </si>
  <si>
    <t>Period covered: Jan. 3 to Feb. 1, 2024</t>
  </si>
  <si>
    <t>Period covered: Feb. 2 to Mar. 1, 2024</t>
  </si>
  <si>
    <t>Period covered: Mar. 2 to Apr. 1, 2024</t>
  </si>
  <si>
    <t>Period covered: Apr. 2 to May 2, 2024</t>
  </si>
  <si>
    <t>Period covered: May 3 to Jun. 2, 2024</t>
  </si>
  <si>
    <t>Period covered: Jun. 3 to Jul. 1, 2024</t>
  </si>
  <si>
    <t>Period covered: Jul. 2 to Aug. 1, 2024</t>
  </si>
  <si>
    <t>Period covered: Aug. 2 to Sep. 2, 2024</t>
  </si>
  <si>
    <t>Period covered: Sep. 3 to Oct. 1, 2024</t>
  </si>
  <si>
    <t>Period covered: Oct. 2 to Nov. 3, 2024</t>
  </si>
  <si>
    <t>Period covered: Nov. 4 to Dec. 2, 2024</t>
  </si>
  <si>
    <t>Period covered: Dec. 3, 2024 to Jan. 2, 2025</t>
  </si>
  <si>
    <t>$T$10</t>
  </si>
  <si>
    <t>$T$11</t>
  </si>
  <si>
    <t>$T$12</t>
  </si>
  <si>
    <t>$T$13</t>
  </si>
  <si>
    <t>$T$14</t>
  </si>
  <si>
    <t>$T$15</t>
  </si>
  <si>
    <t>$T$17</t>
  </si>
  <si>
    <t>$T$18</t>
  </si>
  <si>
    <t>$T$19</t>
  </si>
  <si>
    <t>Estimated weight</t>
  </si>
  <si>
    <t>Actual weight</t>
  </si>
  <si>
    <t>$N$12:$N$15</t>
  </si>
  <si>
    <t>$O$12:$O$15</t>
  </si>
  <si>
    <t>$J$22</t>
  </si>
  <si>
    <t>$J$23</t>
  </si>
  <si>
    <t>$J$24</t>
  </si>
  <si>
    <t>$J$25</t>
  </si>
  <si>
    <t>$J$26</t>
  </si>
  <si>
    <t>$J$27</t>
  </si>
  <si>
    <t>$J$28</t>
  </si>
  <si>
    <t>$J$29</t>
  </si>
  <si>
    <t>$J$30</t>
  </si>
  <si>
    <t>$J$31</t>
  </si>
  <si>
    <t>$J$32</t>
  </si>
  <si>
    <t>$J$33:$J$35</t>
  </si>
  <si>
    <t>$J$36</t>
  </si>
  <si>
    <t>$J$37:$J$39</t>
  </si>
  <si>
    <t>$J$40</t>
  </si>
  <si>
    <t>$J$41:$J$43</t>
  </si>
  <si>
    <t>$J$44</t>
  </si>
  <si>
    <t>$J$45:$J$47</t>
  </si>
  <si>
    <t>$J$48</t>
  </si>
  <si>
    <t>$J$49:$J$51</t>
  </si>
  <si>
    <t>$J$52</t>
  </si>
  <si>
    <t>$J$53:$J$55</t>
  </si>
  <si>
    <t>$L$16:$L$55</t>
  </si>
  <si>
    <t>$O$16:$O$55</t>
  </si>
  <si>
    <t>$N$16:$N$55</t>
  </si>
  <si>
    <t>$M$20</t>
  </si>
  <si>
    <t>$M$21</t>
  </si>
  <si>
    <t>$M$24</t>
  </si>
  <si>
    <t>$M$25</t>
  </si>
  <si>
    <t>$M$28</t>
  </si>
  <si>
    <t>$M$29</t>
  </si>
  <si>
    <t>$M$32</t>
  </si>
  <si>
    <t>$M$33</t>
  </si>
  <si>
    <t>$M$36</t>
  </si>
  <si>
    <t>$M$37</t>
  </si>
  <si>
    <t>$M$40</t>
  </si>
  <si>
    <t>$M$41</t>
  </si>
  <si>
    <t>$M$44</t>
  </si>
  <si>
    <t>$M$45</t>
  </si>
  <si>
    <t>$M$48</t>
  </si>
  <si>
    <t>$M$49</t>
  </si>
  <si>
    <t>$M$52</t>
  </si>
  <si>
    <t>$M$53</t>
  </si>
  <si>
    <t>$M$22</t>
  </si>
  <si>
    <t>$M$26</t>
  </si>
  <si>
    <t>$M$30</t>
  </si>
  <si>
    <t>$M$34</t>
  </si>
  <si>
    <t>$M$38</t>
  </si>
  <si>
    <t>$M$42</t>
  </si>
  <si>
    <t>$M$46</t>
  </si>
  <si>
    <t>$M$50</t>
  </si>
  <si>
    <t>$M$54</t>
  </si>
  <si>
    <t>$M$23</t>
  </si>
  <si>
    <t>$M$27</t>
  </si>
  <si>
    <t>$M$31</t>
  </si>
  <si>
    <t>$M$35</t>
  </si>
  <si>
    <t>$M$39</t>
  </si>
  <si>
    <t>$M$43</t>
  </si>
  <si>
    <t>$M$47</t>
  </si>
  <si>
    <t>$M$51</t>
  </si>
  <si>
    <t>$M$55</t>
  </si>
  <si>
    <t>Cosumption is based on the actual refueling for the month</t>
  </si>
  <si>
    <t>Cosumption is based on the actual amount refueled for the month</t>
  </si>
  <si>
    <t>$R$8:$R$11</t>
  </si>
  <si>
    <t>$P$8</t>
  </si>
  <si>
    <t>Consumption is based on the actual amount refueled for the month</t>
  </si>
  <si>
    <t>Consumption is based on the actual amount refueled for the month of Toyota Rush</t>
  </si>
  <si>
    <t>Consumption is based on the actual amount refueled for the month of Toyota Grandia</t>
  </si>
  <si>
    <t>Cosumption is based on the actual amount refueled for the month of Armored Truck SED 127</t>
  </si>
  <si>
    <t>Consumption is based on the actual amount refueled for the month of Armored Truck SED 127</t>
  </si>
  <si>
    <t>$R$10</t>
  </si>
  <si>
    <t>Consumption is based on the actual amount refueled for the month of armored Truck SED 148</t>
  </si>
  <si>
    <t>Consumption is based on the actual amount refueled for the month of armored truck 131210</t>
  </si>
  <si>
    <t>$P$11</t>
  </si>
  <si>
    <t>$J$12:$J$16</t>
  </si>
  <si>
    <t>$K$12:$K$16</t>
  </si>
  <si>
    <t>$L$13:$L$16</t>
  </si>
  <si>
    <t>$R$12:$R$16</t>
  </si>
  <si>
    <t>$P$15</t>
  </si>
  <si>
    <t>$P$14</t>
  </si>
  <si>
    <t>$P$12</t>
  </si>
  <si>
    <t>$J$17:$J$21</t>
  </si>
  <si>
    <t>$J$22:$J$26</t>
  </si>
  <si>
    <t>$J$27:$J$31</t>
  </si>
  <si>
    <t>$J$32:$J$36</t>
  </si>
  <si>
    <t>$J$37:$J$41</t>
  </si>
  <si>
    <t>$J$42:$J$46</t>
  </si>
  <si>
    <t>$J$47:$J$51</t>
  </si>
  <si>
    <t>$J$52:$J$56</t>
  </si>
  <si>
    <t>$J$57:$J$61</t>
  </si>
  <si>
    <t>$J$62:$J$66</t>
  </si>
  <si>
    <t>$K$17:$K$66</t>
  </si>
  <si>
    <t>$R$17:$R$66</t>
  </si>
  <si>
    <t>$L$22</t>
  </si>
  <si>
    <t>$L$27</t>
  </si>
  <si>
    <t>$L$32</t>
  </si>
  <si>
    <t>$L$37</t>
  </si>
  <si>
    <t>$L$42</t>
  </si>
  <si>
    <t>$L$47</t>
  </si>
  <si>
    <t>$L$52</t>
  </si>
  <si>
    <t>$L$57</t>
  </si>
  <si>
    <t>$L$62</t>
  </si>
  <si>
    <t>$N$22</t>
  </si>
  <si>
    <t>$N$27</t>
  </si>
  <si>
    <t>$N$32</t>
  </si>
  <si>
    <t>$P$17</t>
  </si>
  <si>
    <t>$P$18</t>
  </si>
  <si>
    <t>$P$19</t>
  </si>
  <si>
    <t>$P$22</t>
  </si>
  <si>
    <t>$P$27</t>
  </si>
  <si>
    <t>$P$32</t>
  </si>
  <si>
    <t>$N$62</t>
  </si>
  <si>
    <t>$P$62</t>
  </si>
  <si>
    <t>$L$63:$L$66</t>
  </si>
  <si>
    <t>$N$63</t>
  </si>
  <si>
    <t>$P$63</t>
  </si>
  <si>
    <t>$N$64</t>
  </si>
  <si>
    <t>$P$64</t>
  </si>
  <si>
    <t>$N$65</t>
  </si>
  <si>
    <t>$P$65</t>
  </si>
  <si>
    <t>$N$66</t>
  </si>
  <si>
    <t>$P$66</t>
  </si>
  <si>
    <t>$L$58:$L$61</t>
  </si>
  <si>
    <t>$L$53:$L$56</t>
  </si>
  <si>
    <t>$N$52</t>
  </si>
  <si>
    <t>$P$52</t>
  </si>
  <si>
    <t>$N$57</t>
  </si>
  <si>
    <t>$P$57</t>
  </si>
  <si>
    <t>$N$53</t>
  </si>
  <si>
    <t>$P$53</t>
  </si>
  <si>
    <t>$N$58</t>
  </si>
  <si>
    <t>$P$58</t>
  </si>
  <si>
    <t>$N$54</t>
  </si>
  <si>
    <t>$P$54</t>
  </si>
  <si>
    <t>$N$55</t>
  </si>
  <si>
    <t>$N$59</t>
  </si>
  <si>
    <t>$P$59</t>
  </si>
  <si>
    <t>$P$55</t>
  </si>
  <si>
    <t>$N$60</t>
  </si>
  <si>
    <t>$P$60</t>
  </si>
  <si>
    <t>$N$56</t>
  </si>
  <si>
    <t>$P$56</t>
  </si>
  <si>
    <t>$N$61</t>
  </si>
  <si>
    <t>$P$61</t>
  </si>
  <si>
    <t>$L$48:$L$51</t>
  </si>
  <si>
    <t>$N$47</t>
  </si>
  <si>
    <t>$P$47</t>
  </si>
  <si>
    <t>$N$48</t>
  </si>
  <si>
    <t>$P$48</t>
  </si>
  <si>
    <t>$N$49</t>
  </si>
  <si>
    <t>$P$49</t>
  </si>
  <si>
    <t>$N$50</t>
  </si>
  <si>
    <t>$P$50</t>
  </si>
  <si>
    <t>$N$51</t>
  </si>
  <si>
    <t>$P$51</t>
  </si>
  <si>
    <t>$L$43:$L$46</t>
  </si>
  <si>
    <t>$N$42</t>
  </si>
  <si>
    <t>$P$42</t>
  </si>
  <si>
    <t>$N$43</t>
  </si>
  <si>
    <t>$P$43</t>
  </si>
  <si>
    <t>$N$44</t>
  </si>
  <si>
    <t>$P$44</t>
  </si>
  <si>
    <t>$N$45</t>
  </si>
  <si>
    <t>$P$45</t>
  </si>
  <si>
    <t>$N$46</t>
  </si>
  <si>
    <t>$P$46</t>
  </si>
  <si>
    <t>$L$38:$L$41</t>
  </si>
  <si>
    <t>$N$37</t>
  </si>
  <si>
    <t>$P$37</t>
  </si>
  <si>
    <t>$N$38</t>
  </si>
  <si>
    <t>$P$38</t>
  </si>
  <si>
    <t>$N$39</t>
  </si>
  <si>
    <t>$P$39</t>
  </si>
  <si>
    <t>$N$40</t>
  </si>
  <si>
    <t>$P$40</t>
  </si>
  <si>
    <t>$N$41</t>
  </si>
  <si>
    <t>$P$41</t>
  </si>
  <si>
    <t>$L$23</t>
  </si>
  <si>
    <t>$N$23</t>
  </si>
  <si>
    <t>$P$23</t>
  </si>
  <si>
    <t>$L$28</t>
  </si>
  <si>
    <t>$N$28</t>
  </si>
  <si>
    <t>$P$28</t>
  </si>
  <si>
    <t>$L$33</t>
  </si>
  <si>
    <t>$N$33</t>
  </si>
  <si>
    <t>$P$33</t>
  </si>
  <si>
    <t>$L$24</t>
  </si>
  <si>
    <t>$N$24</t>
  </si>
  <si>
    <t>$P$24</t>
  </si>
  <si>
    <t>$L$29</t>
  </si>
  <si>
    <t>$N$29</t>
  </si>
  <si>
    <t>$P$29</t>
  </si>
  <si>
    <t>$L$34</t>
  </si>
  <si>
    <t>$N$34</t>
  </si>
  <si>
    <t>$P$34</t>
  </si>
  <si>
    <t>$L$20</t>
  </si>
  <si>
    <t>$N$20</t>
  </si>
  <si>
    <t>$P$20</t>
  </si>
  <si>
    <t>$L$25</t>
  </si>
  <si>
    <t>$N$25</t>
  </si>
  <si>
    <t>$P$25</t>
  </si>
  <si>
    <t>$L$30</t>
  </si>
  <si>
    <t>$N$30</t>
  </si>
  <si>
    <t>$P$30</t>
  </si>
  <si>
    <t>$L$35</t>
  </si>
  <si>
    <t>$N$35</t>
  </si>
  <si>
    <t>$P$35</t>
  </si>
  <si>
    <t>$L$21</t>
  </si>
  <si>
    <t>$N$21</t>
  </si>
  <si>
    <t>$P$21</t>
  </si>
  <si>
    <t>$L$26</t>
  </si>
  <si>
    <t>$N$26</t>
  </si>
  <si>
    <t>$P$26</t>
  </si>
  <si>
    <t>$L$31</t>
  </si>
  <si>
    <t>$N$31</t>
  </si>
  <si>
    <t>$P$31</t>
  </si>
  <si>
    <t>$L$36</t>
  </si>
  <si>
    <t>$N$36</t>
  </si>
  <si>
    <t>$P$36</t>
  </si>
  <si>
    <t>$C$6</t>
  </si>
  <si>
    <t>$C$7</t>
  </si>
  <si>
    <t>EFLC</t>
  </si>
  <si>
    <t>eEFLC</t>
  </si>
  <si>
    <t>$J$9:$J$10</t>
  </si>
  <si>
    <t>COA Office</t>
  </si>
  <si>
    <t>G/F Hallway</t>
  </si>
  <si>
    <t>Split-type ACU</t>
  </si>
  <si>
    <t>$W$10:$W$12</t>
  </si>
  <si>
    <t>Multi-purpose Room</t>
  </si>
  <si>
    <t>$J$14:$J$15</t>
  </si>
  <si>
    <t>$K$13:$K$15</t>
  </si>
  <si>
    <t>Security Office</t>
  </si>
  <si>
    <t>CCTV Room</t>
  </si>
  <si>
    <t>$M$13:$M$17</t>
  </si>
  <si>
    <t>$N$13:$N$17</t>
  </si>
  <si>
    <t>$R$13</t>
  </si>
  <si>
    <t>$R$14</t>
  </si>
  <si>
    <t>$R$15</t>
  </si>
  <si>
    <t>$R$17</t>
  </si>
  <si>
    <t>$R$16</t>
  </si>
  <si>
    <t>$W$13:$W$17</t>
  </si>
  <si>
    <t>Main Lobby</t>
  </si>
  <si>
    <t>$K$19</t>
  </si>
  <si>
    <t>$R$18</t>
  </si>
  <si>
    <t>$R$19</t>
  </si>
  <si>
    <t>$W$18:$W$19</t>
  </si>
  <si>
    <t>$K$20</t>
  </si>
  <si>
    <t>$O$20</t>
  </si>
  <si>
    <t>$W$20</t>
  </si>
  <si>
    <t>Medical Clinic</t>
  </si>
  <si>
    <t>$K$21</t>
  </si>
  <si>
    <t>$O$21</t>
  </si>
  <si>
    <t>$W$21</t>
  </si>
  <si>
    <t>Maintenance Office</t>
  </si>
  <si>
    <t>$K$22</t>
  </si>
  <si>
    <t>$R$22</t>
  </si>
  <si>
    <t>$W$22</t>
  </si>
  <si>
    <t>Data Room</t>
  </si>
  <si>
    <t>$K$23</t>
  </si>
  <si>
    <t>$K$24</t>
  </si>
  <si>
    <t>$R$23</t>
  </si>
  <si>
    <t>$R$24</t>
  </si>
  <si>
    <t>$W$23:$W$24</t>
  </si>
  <si>
    <t>COD Check-in Counter</t>
  </si>
  <si>
    <t>$K$25</t>
  </si>
  <si>
    <t>$R$25</t>
  </si>
  <si>
    <t>$W$25</t>
  </si>
  <si>
    <t>PSD Locker Room</t>
  </si>
  <si>
    <t>$K$26</t>
  </si>
  <si>
    <t>$R$26</t>
  </si>
  <si>
    <t>$W$26</t>
  </si>
  <si>
    <t>Gate 1 Guardhouse</t>
  </si>
  <si>
    <t>$K$27</t>
  </si>
  <si>
    <t>$R$27</t>
  </si>
  <si>
    <t>$W$27</t>
  </si>
  <si>
    <t>$K$28</t>
  </si>
  <si>
    <t>Pantry</t>
  </si>
  <si>
    <t>$R$28</t>
  </si>
  <si>
    <t>Refrigerator</t>
  </si>
  <si>
    <t>$W$28</t>
  </si>
  <si>
    <t>Toyota Rush</t>
  </si>
  <si>
    <t>Toyota Randia</t>
  </si>
  <si>
    <t>Toyota Grandia</t>
  </si>
  <si>
    <t>$J$28:$J$30</t>
  </si>
  <si>
    <t>VRF ACU</t>
  </si>
  <si>
    <t>ACCU Dec</t>
  </si>
  <si>
    <t>ACCU Deck</t>
  </si>
  <si>
    <t>$J$33</t>
  </si>
  <si>
    <t>$K$29</t>
  </si>
  <si>
    <t>$K$30</t>
  </si>
  <si>
    <t>$K$31</t>
  </si>
  <si>
    <t>$K$32</t>
  </si>
  <si>
    <t>$K$33</t>
  </si>
  <si>
    <t>VRF ACCU</t>
  </si>
  <si>
    <t>$W$29:$W$33</t>
  </si>
  <si>
    <t>$R$29</t>
  </si>
  <si>
    <t>$R$30</t>
  </si>
  <si>
    <t>$R$31</t>
  </si>
  <si>
    <t>$R$32</t>
  </si>
  <si>
    <t>$R$33</t>
  </si>
  <si>
    <t>$J$34</t>
  </si>
  <si>
    <t>$K$34</t>
  </si>
  <si>
    <t>$R$34</t>
  </si>
  <si>
    <t>$W$34</t>
  </si>
  <si>
    <t>Motor Vehicle</t>
  </si>
  <si>
    <t>$J$35</t>
  </si>
  <si>
    <t>$J$37</t>
  </si>
  <si>
    <t>$J$38</t>
  </si>
  <si>
    <t>$J$39</t>
  </si>
  <si>
    <t>$K$35</t>
  </si>
  <si>
    <t>$K$36</t>
  </si>
  <si>
    <t>$K$37</t>
  </si>
  <si>
    <t>$K$38</t>
  </si>
  <si>
    <t>$K$39</t>
  </si>
  <si>
    <t>$L$38</t>
  </si>
  <si>
    <t>$L$39</t>
  </si>
  <si>
    <t>$L$40</t>
  </si>
  <si>
    <t>$M$36:$M$39</t>
  </si>
  <si>
    <t>$N$35:$N$39</t>
  </si>
  <si>
    <t>$R$39</t>
  </si>
  <si>
    <t>$R$38</t>
  </si>
  <si>
    <t>$R$37</t>
  </si>
  <si>
    <t>$R$36</t>
  </si>
  <si>
    <t>$R$35</t>
  </si>
  <si>
    <t>$W$35</t>
  </si>
  <si>
    <t>$W$36</t>
  </si>
  <si>
    <t>SED 127</t>
  </si>
  <si>
    <t>$W$37</t>
  </si>
  <si>
    <t>SED 148</t>
  </si>
  <si>
    <t>$W$38</t>
  </si>
  <si>
    <t>Escort Van 131210</t>
  </si>
  <si>
    <t>$W$39</t>
  </si>
  <si>
    <t>$A$27:$G$39</t>
  </si>
  <si>
    <t>$N$7:$N$12</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</si>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</sst>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2">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3291759259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60"/>
    </cacheField>
    <cacheField name="Vehicle Type" numFmtId="0">
      <sharedItems containsBlank="1" count="11">
        <s v="Multi-Purpose Vehicle"/>
        <s v="Van  "/>
        <s v="Armored Vehicle"/>
        <m/>
        <s v="Armored Vehicles" u="1"/>
        <s v="Motorbike" u="1"/>
        <s v="Passenger Car" u="1"/>
        <s v="Service Vehicles" u="1"/>
        <s v="Large Truck" u="1"/>
        <s v="Small Truck" u="1"/>
        <s v="Large Bus" u="1"/>
      </sharedItems>
    </cacheField>
    <cacheField name="Fuel Type" numFmtId="0">
      <sharedItems containsBlank="1" count="4">
        <s v="Gasoline - Transport vehicles"/>
        <s v="Diesel - Transport vehicles"/>
        <m/>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132.66"/>
    </cacheField>
    <cacheField name="Unit" numFmtId="0">
      <sharedItems containsBlank="1"/>
    </cacheField>
    <cacheField name="Total kilometers travelled (all vehicles)" numFmtId="4">
      <sharedItems containsString="0" containsBlank="1" containsNumber="1" containsInteger="1" minValue="0" maxValue="1307"/>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0"/>
    <s v="Liters"/>
    <n v="117"/>
    <s v="Kilometers"/>
    <s v="Consumption is based on the actual amount refueled for the month of Toyota Rush"/>
  </r>
  <r>
    <n v="2"/>
    <x v="1"/>
    <x v="1"/>
    <x v="0"/>
    <x v="0"/>
    <n v="0"/>
    <m/>
    <n v="444"/>
    <s v="Kilometers"/>
    <s v="Consumption is based on the actual amount refueled for the month of Toyota Grandia"/>
  </r>
  <r>
    <n v="3"/>
    <x v="2"/>
    <x v="1"/>
    <x v="0"/>
    <x v="0"/>
    <n v="0"/>
    <s v="Liters"/>
    <n v="9"/>
    <s v="Kilometers"/>
    <s v="Consumption is based on the actual amount refueled for the month of Armored Truck SED 127"/>
  </r>
  <r>
    <n v="4"/>
    <x v="2"/>
    <x v="1"/>
    <x v="0"/>
    <x v="0"/>
    <n v="0"/>
    <s v="Liters"/>
    <n v="9"/>
    <s v="Kilometers"/>
    <s v="Consumption is based on the actual amount refueled for the month of armored Truck SED 148"/>
  </r>
  <r>
    <n v="5"/>
    <x v="2"/>
    <x v="1"/>
    <x v="0"/>
    <x v="0"/>
    <n v="0"/>
    <s v="Liters"/>
    <n v="9"/>
    <s v="Kilometers"/>
    <s v="Consumption is based on the actual amount refueled for the month of armored truck 131210"/>
  </r>
  <r>
    <n v="6"/>
    <x v="0"/>
    <x v="0"/>
    <x v="1"/>
    <x v="0"/>
    <n v="114.96"/>
    <s v="Liters"/>
    <n v="680"/>
    <s v="Kilometers"/>
    <s v="Consumption is based on the actual amount refueled for the month of Toyota Rush"/>
  </r>
  <r>
    <n v="7"/>
    <x v="1"/>
    <x v="1"/>
    <x v="1"/>
    <x v="0"/>
    <n v="54.77"/>
    <s v="Liters"/>
    <n v="698"/>
    <s v="Kilometers"/>
    <s v="Consumption is based on the actual amount refueled for the month of Toyota Grandia"/>
  </r>
  <r>
    <n v="8"/>
    <x v="2"/>
    <x v="1"/>
    <x v="1"/>
    <x v="0"/>
    <n v="0"/>
    <s v="Liters"/>
    <n v="26"/>
    <s v="Kilometers"/>
    <s v="Consumption is based on the actual amount refueled for the month of Armored Truck SED 127"/>
  </r>
  <r>
    <n v="9"/>
    <x v="2"/>
    <x v="1"/>
    <x v="1"/>
    <x v="0"/>
    <n v="0"/>
    <s v="Liters"/>
    <n v="12"/>
    <s v="Kilometers"/>
    <s v="Consumption is based on the actual amount refueled for the month of armored Truck SED 148"/>
  </r>
  <r>
    <n v="10"/>
    <x v="2"/>
    <x v="1"/>
    <x v="1"/>
    <x v="0"/>
    <n v="0"/>
    <s v="Liters"/>
    <n v="9"/>
    <s v="Kilometers"/>
    <s v="Consumption is based on the actual amount refueled for the month of armored truck 131210"/>
  </r>
  <r>
    <n v="11"/>
    <x v="0"/>
    <x v="0"/>
    <x v="2"/>
    <x v="0"/>
    <n v="44.37"/>
    <s v="Liters"/>
    <n v="265"/>
    <s v="Kilometers"/>
    <s v="Consumption is based on the actual amount refueled for the month of Toyota Rush"/>
  </r>
  <r>
    <n v="12"/>
    <x v="1"/>
    <x v="1"/>
    <x v="2"/>
    <x v="0"/>
    <n v="39.659999999999997"/>
    <s v="Liters"/>
    <n v="93"/>
    <s v="Kilometers"/>
    <s v="Consumption is based on the actual amount refueled for the month of Toyota Grandia"/>
  </r>
  <r>
    <n v="13"/>
    <x v="2"/>
    <x v="1"/>
    <x v="2"/>
    <x v="0"/>
    <n v="0"/>
    <s v="Liters"/>
    <n v="242"/>
    <s v="Kilometers"/>
    <s v="Consumption is based on the actual amount refueled for the month of Armored Truck SED 127"/>
  </r>
  <r>
    <n v="14"/>
    <x v="2"/>
    <x v="1"/>
    <x v="2"/>
    <x v="0"/>
    <n v="0"/>
    <s v="Liters"/>
    <n v="3"/>
    <s v="Kilometers"/>
    <s v="Consumption is based on the actual amount refueled for the month of armored Truck SED 148"/>
  </r>
  <r>
    <n v="15"/>
    <x v="2"/>
    <x v="1"/>
    <x v="2"/>
    <x v="0"/>
    <n v="0"/>
    <s v="Liters"/>
    <n v="242"/>
    <s v="Kilometers"/>
    <s v="Consumption is based on the actual amount refueled for the month of armored truck 131210"/>
  </r>
  <r>
    <n v="16"/>
    <x v="0"/>
    <x v="0"/>
    <x v="3"/>
    <x v="1"/>
    <n v="50.74"/>
    <s v="Liters"/>
    <n v="439"/>
    <s v="Kilometers"/>
    <s v="Consumption is based on the actual amount refueled for the month of Toyota Rush"/>
  </r>
  <r>
    <n v="17"/>
    <x v="1"/>
    <x v="1"/>
    <x v="3"/>
    <x v="1"/>
    <n v="0"/>
    <s v="Liters"/>
    <n v="166"/>
    <s v="Kilometers"/>
    <s v="Consumption is based on the actual amount refueled for the month of Toyota Grandia"/>
  </r>
  <r>
    <n v="18"/>
    <x v="2"/>
    <x v="1"/>
    <x v="3"/>
    <x v="1"/>
    <n v="0"/>
    <s v="Liters"/>
    <n v="43"/>
    <s v="Kilometers"/>
    <s v="Consumption is based on the actual amount refueled for the month of Armored Truck SED 127"/>
  </r>
  <r>
    <n v="19"/>
    <x v="2"/>
    <x v="1"/>
    <x v="3"/>
    <x v="1"/>
    <n v="0"/>
    <s v="Liters"/>
    <n v="3"/>
    <s v="Kilometers"/>
    <s v="Consumption is based on the actual amount refueled for the month of armored Truck SED 148"/>
  </r>
  <r>
    <n v="20"/>
    <x v="2"/>
    <x v="1"/>
    <x v="3"/>
    <x v="1"/>
    <n v="100"/>
    <s v="Liters"/>
    <n v="16"/>
    <s v="Kilometers"/>
    <s v="Consumption is based on the actual amount refueled for the month of armored truck 131210"/>
  </r>
  <r>
    <n v="21"/>
    <x v="0"/>
    <x v="0"/>
    <x v="4"/>
    <x v="1"/>
    <n v="76.33"/>
    <s v="Liters"/>
    <n v="809"/>
    <s v="Kilometers"/>
    <s v="Consumption is based on the actual amount refueled for the month of Toyota Rush"/>
  </r>
  <r>
    <n v="22"/>
    <x v="1"/>
    <x v="1"/>
    <x v="4"/>
    <x v="1"/>
    <n v="97.23"/>
    <s v="Liters"/>
    <n v="1102"/>
    <s v="Kilometers"/>
    <s v="Consumption is based on the actual amount refueled for the month of Toyota Grandia"/>
  </r>
  <r>
    <n v="23"/>
    <x v="2"/>
    <x v="1"/>
    <x v="4"/>
    <x v="1"/>
    <n v="0"/>
    <s v="Liters"/>
    <n v="3"/>
    <s v="Kilometers"/>
    <s v="Consumption is based on the actual amount refueled for the month of Armored Truck SED 127"/>
  </r>
  <r>
    <n v="24"/>
    <x v="2"/>
    <x v="1"/>
    <x v="4"/>
    <x v="1"/>
    <n v="96"/>
    <s v="Liters"/>
    <n v="87"/>
    <s v="Kilometers"/>
    <s v="Consumption is based on the actual amount refueled for the month of armored Truck SED 148"/>
  </r>
  <r>
    <n v="25"/>
    <x v="2"/>
    <x v="1"/>
    <x v="4"/>
    <x v="1"/>
    <n v="0"/>
    <s v="Liters"/>
    <n v="3"/>
    <s v="Kilometers"/>
    <s v="Consumption is based on the actual amount refueled for the month of armored truck 131210"/>
  </r>
  <r>
    <n v="26"/>
    <x v="0"/>
    <x v="0"/>
    <x v="5"/>
    <x v="1"/>
    <n v="82.18"/>
    <s v="Liters"/>
    <n v="668"/>
    <s v="Kilometers"/>
    <s v="Consumption is based on the actual amount refueled for the month of Toyota Rush"/>
  </r>
  <r>
    <n v="27"/>
    <x v="1"/>
    <x v="1"/>
    <x v="5"/>
    <x v="1"/>
    <n v="58.88"/>
    <s v="Liters"/>
    <n v="690"/>
    <s v="Kilometers"/>
    <s v="Consumption is based on the actual amount refueled for the month of Toyota Grandia"/>
  </r>
  <r>
    <n v="28"/>
    <x v="2"/>
    <x v="1"/>
    <x v="5"/>
    <x v="1"/>
    <n v="0"/>
    <s v="Liters"/>
    <n v="132"/>
    <s v="Kilometers"/>
    <s v="Consumption is based on the actual amount refueled for the month of Armored Truck SED 127"/>
  </r>
  <r>
    <n v="29"/>
    <x v="2"/>
    <x v="1"/>
    <x v="5"/>
    <x v="1"/>
    <n v="0"/>
    <s v="Liters"/>
    <n v="0"/>
    <s v="Kilometers"/>
    <s v="Consumption is based on the actual amount refueled for the month of armored Truck SED 148"/>
  </r>
  <r>
    <n v="30"/>
    <x v="2"/>
    <x v="1"/>
    <x v="5"/>
    <x v="1"/>
    <n v="0"/>
    <s v="Liters"/>
    <n v="3"/>
    <s v="Kilometers"/>
    <s v="Consumption is based on the actual amount refueled for the month of armored truck 131210"/>
  </r>
  <r>
    <n v="31"/>
    <x v="0"/>
    <x v="0"/>
    <x v="6"/>
    <x v="2"/>
    <n v="88.1"/>
    <s v="Liters"/>
    <n v="770"/>
    <s v="Kilometers"/>
    <s v="Consumption is based on the actual amount refueled for the month of Toyota Rush"/>
  </r>
  <r>
    <n v="32"/>
    <x v="1"/>
    <x v="1"/>
    <x v="6"/>
    <x v="2"/>
    <n v="85.26"/>
    <s v="Liters"/>
    <n v="357"/>
    <s v="Kilometers"/>
    <s v="Consumption is based on the actual amount refueled for the month of Toyota Grandia"/>
  </r>
  <r>
    <n v="33"/>
    <x v="2"/>
    <x v="1"/>
    <x v="6"/>
    <x v="2"/>
    <n v="100"/>
    <s v="Liters"/>
    <n v="250"/>
    <s v="Kilometers"/>
    <s v="Consumption is based on the actual amount refueled for the month of Armored Truck SED 127"/>
  </r>
  <r>
    <n v="34"/>
    <x v="2"/>
    <x v="1"/>
    <x v="6"/>
    <x v="2"/>
    <n v="100"/>
    <s v="Liters"/>
    <n v="97"/>
    <s v="Kilometers"/>
    <s v="Consumption is based on the actual amount refueled for the month of armored Truck SED 148"/>
  </r>
  <r>
    <n v="35"/>
    <x v="2"/>
    <x v="1"/>
    <x v="6"/>
    <x v="2"/>
    <n v="97.27"/>
    <s v="Liters"/>
    <n v="250"/>
    <s v="Kilometers"/>
    <s v="Consumption is based on the actual amount refueled for the month of armored truck 131210"/>
  </r>
  <r>
    <n v="36"/>
    <x v="0"/>
    <x v="0"/>
    <x v="7"/>
    <x v="2"/>
    <n v="95.75"/>
    <s v="Liters"/>
    <n v="981"/>
    <s v="Kilometers"/>
    <s v="Consumption is based on the actual amount refueled for the month of Toyota Rush"/>
  </r>
  <r>
    <n v="37"/>
    <x v="1"/>
    <x v="1"/>
    <x v="7"/>
    <x v="2"/>
    <n v="72.819999999999993"/>
    <s v="Liters"/>
    <n v="756"/>
    <s v="Kilometers"/>
    <s v="Consumption is based on the actual amount refueled for the month of Toyota Grandia"/>
  </r>
  <r>
    <n v="38"/>
    <x v="2"/>
    <x v="1"/>
    <x v="7"/>
    <x v="2"/>
    <n v="100"/>
    <s v="Liters"/>
    <n v="12"/>
    <s v="Kilometers"/>
    <s v="Consumption is based on the actual amount refueled for the month of Armored Truck SED 127"/>
  </r>
  <r>
    <n v="39"/>
    <x v="2"/>
    <x v="1"/>
    <x v="7"/>
    <x v="2"/>
    <n v="0"/>
    <s v="Liters"/>
    <n v="0"/>
    <s v="Kilometers"/>
    <s v="Consumption is based on the actual amount refueled for the month of armored Truck SED 148"/>
  </r>
  <r>
    <n v="40"/>
    <x v="2"/>
    <x v="1"/>
    <x v="7"/>
    <x v="2"/>
    <n v="0"/>
    <s v="Liters"/>
    <n v="0"/>
    <s v="Kilometers"/>
    <s v="Consumption is based on the actual amount refueled for the month of armored truck 131210"/>
  </r>
  <r>
    <n v="41"/>
    <x v="0"/>
    <x v="0"/>
    <x v="8"/>
    <x v="2"/>
    <n v="75.430000000000007"/>
    <s v="Liters"/>
    <n v="706"/>
    <s v="Kilometers"/>
    <s v="Consumption is based on the actual amount refueled for the month of Toyota Rush"/>
  </r>
  <r>
    <n v="42"/>
    <x v="1"/>
    <x v="1"/>
    <x v="8"/>
    <x v="2"/>
    <n v="46.05"/>
    <s v="Liters"/>
    <n v="323"/>
    <s v="Kilometers"/>
    <s v="Consumption is based on the actual amount refueled for the month of Toyota Grandia"/>
  </r>
  <r>
    <n v="43"/>
    <x v="2"/>
    <x v="1"/>
    <x v="8"/>
    <x v="2"/>
    <n v="110.26"/>
    <s v="Liters"/>
    <n v="306"/>
    <s v="Kilometers"/>
    <s v="Consumption is based on the actual amount refueled for the month of Armored Truck SED 127"/>
  </r>
  <r>
    <n v="44"/>
    <x v="2"/>
    <x v="1"/>
    <x v="8"/>
    <x v="2"/>
    <n v="0"/>
    <s v="Liters"/>
    <n v="56"/>
    <s v="Kilometers"/>
    <s v="Consumption is based on the actual amount refueled for the month of armored Truck SED 148"/>
  </r>
  <r>
    <n v="45"/>
    <x v="2"/>
    <x v="1"/>
    <x v="8"/>
    <x v="2"/>
    <n v="65.989999999999995"/>
    <s v="Liters"/>
    <n v="250"/>
    <s v="Kilometers"/>
    <s v="Consumption is based on the actual amount refueled for the month of armored truck 131210"/>
  </r>
  <r>
    <n v="46"/>
    <x v="0"/>
    <x v="0"/>
    <x v="9"/>
    <x v="3"/>
    <n v="132.66"/>
    <s v="Liters"/>
    <n v="1307"/>
    <s v="Kilometers"/>
    <s v="Consumption is based on the actual amount refueled for the month of Toyota Rush"/>
  </r>
  <r>
    <n v="47"/>
    <x v="1"/>
    <x v="1"/>
    <x v="9"/>
    <x v="3"/>
    <n v="113.11"/>
    <s v="Liters"/>
    <n v="802"/>
    <s v="Kilometers"/>
    <s v="Consumption is based on the actual amount refueled for the month of Toyota Grandia"/>
  </r>
  <r>
    <n v="48"/>
    <x v="2"/>
    <x v="1"/>
    <x v="9"/>
    <x v="3"/>
    <n v="0"/>
    <s v="Liters"/>
    <n v="23"/>
    <s v="Kilometers"/>
    <s v="Consumption is based on the actual amount refueled for the month of Armored Truck SED 127"/>
  </r>
  <r>
    <n v="49"/>
    <x v="2"/>
    <x v="1"/>
    <x v="9"/>
    <x v="3"/>
    <n v="0"/>
    <s v="Liters"/>
    <n v="0"/>
    <s v="Kilometers"/>
    <s v="Consumption is based on the actual amount refueled for the month of armored Truck SED 148"/>
  </r>
  <r>
    <n v="50"/>
    <x v="2"/>
    <x v="1"/>
    <x v="9"/>
    <x v="3"/>
    <n v="0"/>
    <s v="Liters"/>
    <n v="176"/>
    <s v="Kilometers"/>
    <s v="Consumption is based on the actual amount refueled for the month of armored truck 131210"/>
  </r>
  <r>
    <n v="51"/>
    <x v="0"/>
    <x v="0"/>
    <x v="10"/>
    <x v="3"/>
    <n v="59.42"/>
    <s v="Liters"/>
    <n v="193"/>
    <s v="Kilometers"/>
    <s v="Consumption is based on the actual amount refueled for the month of Toyota Rush"/>
  </r>
  <r>
    <n v="52"/>
    <x v="1"/>
    <x v="1"/>
    <x v="10"/>
    <x v="3"/>
    <n v="45.61"/>
    <s v="Liters"/>
    <n v="319"/>
    <s v="Kilometers"/>
    <s v="Consumption is based on the actual amount refueled for the month of Toyota Grandia"/>
  </r>
  <r>
    <n v="53"/>
    <x v="2"/>
    <x v="1"/>
    <x v="10"/>
    <x v="3"/>
    <n v="0"/>
    <s v="Liters"/>
    <n v="243"/>
    <s v="Kilometers"/>
    <s v="Consumption is based on the actual amount refueled for the month of Armored Truck SED 127"/>
  </r>
  <r>
    <n v="54"/>
    <x v="2"/>
    <x v="1"/>
    <x v="10"/>
    <x v="3"/>
    <n v="0"/>
    <s v="Liters"/>
    <n v="0"/>
    <s v="Kilometers"/>
    <s v="Consumption is based on the actual amount refueled for the month of armored Truck SED 148"/>
  </r>
  <r>
    <n v="55"/>
    <x v="2"/>
    <x v="1"/>
    <x v="10"/>
    <x v="3"/>
    <n v="0"/>
    <s v="Liters"/>
    <n v="263"/>
    <s v="Kilometers"/>
    <s v="Consumption is based on the actual amount refueled for the month of armored truck 131210"/>
  </r>
  <r>
    <n v="56"/>
    <x v="0"/>
    <x v="0"/>
    <x v="11"/>
    <x v="3"/>
    <n v="0"/>
    <s v="Liters"/>
    <n v="523"/>
    <s v="Kilometers"/>
    <s v="Consumption is based on the actual amount refueled for the month of Toyota Rush"/>
  </r>
  <r>
    <n v="57"/>
    <x v="1"/>
    <x v="1"/>
    <x v="11"/>
    <x v="3"/>
    <n v="0"/>
    <s v="Liters"/>
    <n v="139"/>
    <s v="Kilometers"/>
    <s v="Consumption is based on the actual amount refueled for the month of Toyota Grandia"/>
  </r>
  <r>
    <n v="58"/>
    <x v="2"/>
    <x v="1"/>
    <x v="11"/>
    <x v="3"/>
    <n v="81.239999999999995"/>
    <s v="Liters"/>
    <n v="8"/>
    <s v="Kilometers"/>
    <s v="Consumption is based on the actual amount refueled for the month of Armored Truck SED 127"/>
  </r>
  <r>
    <n v="59"/>
    <x v="2"/>
    <x v="1"/>
    <x v="11"/>
    <x v="3"/>
    <n v="0"/>
    <s v="Liters"/>
    <n v="0"/>
    <s v="Kilometers"/>
    <s v="Consumption is based on the actual amount refueled for the month of armored Truck SED 148"/>
  </r>
  <r>
    <n v="60"/>
    <x v="2"/>
    <x v="1"/>
    <x v="11"/>
    <x v="3"/>
    <n v="115.97"/>
    <s v="Liters"/>
    <n v="15"/>
    <s v="Kilometers"/>
    <s v="Consumption is based on the actual amount refueled for the month of armored truck 131210"/>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87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8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87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8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8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8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8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4"/>
        <item m="1" x="7"/>
        <item x="3"/>
        <item m="1" x="6"/>
        <item m="1" x="9"/>
        <item m="1" x="10"/>
        <item m="1" x="8"/>
        <item m="1" x="5"/>
        <item x="2"/>
        <item x="0"/>
        <item x="1"/>
        <item t="default"/>
      </items>
    </pivotField>
    <pivotField axis="axisRow" showAll="0">
      <items count="5">
        <item x="1"/>
        <item x="0"/>
        <item x="2"/>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v="1"/>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4" s="1" nd="1"/>
        <i x="10" s="1" nd="1"/>
        <i x="8" s="1" nd="1"/>
        <i x="5" s="1" nd="1"/>
        <i x="6" s="1" nd="1"/>
        <i x="7" s="1" nd="1"/>
        <i x="9"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1" s="1"/>
        <i x="0" s="1"/>
        <i x="3" s="1" nd="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736" totalsRowShown="0" headerRowDxfId="8">
  <autoFilter ref="A1:E1736"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16" zoomScale="80" zoomScaleNormal="80" workbookViewId="0">
      <selection activeCell="E50" sqref="E50"/>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5" t="s">
        <v>2</v>
      </c>
      <c r="D5" s="153" t="s">
        <v>3</v>
      </c>
      <c r="E5" s="154" t="s">
        <v>4</v>
      </c>
      <c r="F5" s="155" t="s">
        <v>5</v>
      </c>
      <c r="G5" s="154" t="s">
        <v>6</v>
      </c>
      <c r="H5" s="156" t="s">
        <v>7</v>
      </c>
    </row>
    <row r="6" spans="2:8" ht="16" x14ac:dyDescent="0.2">
      <c r="B6" s="436" t="s">
        <v>27</v>
      </c>
      <c r="D6" s="86">
        <v>1</v>
      </c>
      <c r="E6" s="90" t="s">
        <v>8</v>
      </c>
      <c r="F6" s="91" t="s">
        <v>9</v>
      </c>
      <c r="G6" s="92" t="s">
        <v>10</v>
      </c>
      <c r="H6" s="93" t="s">
        <v>11</v>
      </c>
    </row>
    <row r="7" spans="2:8" ht="16" x14ac:dyDescent="0.2">
      <c r="B7" s="436" t="s">
        <v>58</v>
      </c>
      <c r="D7" s="86">
        <f>D6+1</f>
        <v>2</v>
      </c>
      <c r="E7" s="90" t="s">
        <v>12</v>
      </c>
      <c r="F7" s="91" t="s">
        <v>13</v>
      </c>
      <c r="G7" s="92" t="s">
        <v>14</v>
      </c>
      <c r="H7" s="93">
        <v>2024</v>
      </c>
    </row>
    <row r="8" spans="2:8" ht="16" x14ac:dyDescent="0.2">
      <c r="B8" s="437" t="s">
        <v>15</v>
      </c>
      <c r="D8" s="383">
        <f>D7+1</f>
        <v>3</v>
      </c>
      <c r="E8" s="389" t="s">
        <v>16</v>
      </c>
      <c r="F8" s="390" t="s">
        <v>17</v>
      </c>
      <c r="G8" s="384" t="s">
        <v>18</v>
      </c>
      <c r="H8" s="385" t="s">
        <v>19</v>
      </c>
    </row>
    <row r="9" spans="2:8" ht="16" x14ac:dyDescent="0.2">
      <c r="B9" s="438" t="s">
        <v>20</v>
      </c>
      <c r="D9" s="86">
        <f>D8+1</f>
        <v>4</v>
      </c>
      <c r="E9" s="91" t="s">
        <v>21</v>
      </c>
      <c r="F9" s="91" t="s">
        <v>22</v>
      </c>
      <c r="G9" s="158" t="s">
        <v>23</v>
      </c>
      <c r="H9" s="159" t="s">
        <v>24</v>
      </c>
    </row>
    <row r="10" spans="2:8" x14ac:dyDescent="0.2">
      <c r="B10" s="438" t="s">
        <v>25</v>
      </c>
      <c r="D10" s="386"/>
      <c r="E10" s="387"/>
      <c r="F10" s="387"/>
      <c r="G10" s="174"/>
      <c r="H10" s="388"/>
    </row>
    <row r="11" spans="2:8" ht="16" x14ac:dyDescent="0.2">
      <c r="B11" s="439" t="s">
        <v>26</v>
      </c>
      <c r="D11" s="84" t="s">
        <v>27</v>
      </c>
      <c r="E11" s="96"/>
      <c r="F11" s="97"/>
      <c r="G11" s="96"/>
      <c r="H11" s="98"/>
    </row>
    <row r="12" spans="2:8" ht="16" x14ac:dyDescent="0.2">
      <c r="B12" s="440"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40" zoomScale="88" zoomScaleNormal="60" workbookViewId="0">
      <selection activeCell="I10" sqref="I10"/>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2" t="s">
        <v>423</v>
      </c>
      <c r="E2" s="443"/>
      <c r="F2" s="443"/>
      <c r="G2" s="444"/>
    </row>
    <row r="3" spans="3:7" x14ac:dyDescent="0.2">
      <c r="C3" s="117" t="s">
        <v>12</v>
      </c>
      <c r="D3" s="442">
        <v>2024</v>
      </c>
      <c r="E3" s="443"/>
      <c r="F3" s="443"/>
      <c r="G3" s="444"/>
    </row>
    <row r="5" spans="3:7" ht="19" customHeight="1" x14ac:dyDescent="0.2">
      <c r="C5" s="441" t="s">
        <v>148</v>
      </c>
      <c r="D5" s="441"/>
      <c r="E5" s="441"/>
      <c r="F5" s="441"/>
      <c r="G5" s="441"/>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
      </c>
      <c r="E8" s="181" t="str" cm="1">
        <f t="array" ref="E8">IF(SUMPRODUCT(--('2.1a Fuel - Buildings'!E11:E15&gt;0))&gt;0, "x", "")</f>
        <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x</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1290</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1580.12</v>
      </c>
    </row>
    <row r="27" spans="3:5" x14ac:dyDescent="0.2">
      <c r="C27" s="189" t="str">
        <f>'2.1b Fuel - Vehicles'!B12</f>
        <v>Gasoline - Transport vehicles</v>
      </c>
      <c r="D27" s="189" t="str">
        <f>'2.1b Fuel - Vehicles'!C12</f>
        <v>Liters</v>
      </c>
      <c r="E27" s="191">
        <f>SUM('2.1b Fuel - Vehicles'!$D12:$G12)</f>
        <v>819.93999999999983</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255710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1127</v>
      </c>
    </row>
    <row r="40" spans="3:5" x14ac:dyDescent="0.2">
      <c r="C40" s="189" t="str">
        <f>'2.4 Water'!B12</f>
        <v>Water Discharge</v>
      </c>
      <c r="D40" s="189" t="str">
        <f>'2.4 Water'!C12</f>
        <v>Cubic meters</v>
      </c>
      <c r="E40" s="190">
        <f>SUM('2.4 Water'!$D$12:$G$12)</f>
        <v>901.59999999999991</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624</v>
      </c>
    </row>
    <row r="45" spans="3:5" x14ac:dyDescent="0.2">
      <c r="C45" s="189" t="str">
        <f>'2.5 Waste'!B12</f>
        <v>Recyclable</v>
      </c>
      <c r="D45" s="189" t="str">
        <f>'2.5 Waste'!C12</f>
        <v>Kilograms</v>
      </c>
      <c r="E45" s="191">
        <f>SUM('2.5 Waste'!$D$12:$G$12)</f>
        <v>624</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L22" sqref="L22"/>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Roxas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5"/>
      <c r="D6" s="446"/>
      <c r="E6" s="446"/>
      <c r="F6" s="446"/>
      <c r="G6" s="447"/>
      <c r="I6" s="209" t="s">
        <v>173</v>
      </c>
      <c r="J6" s="209" t="s">
        <v>35</v>
      </c>
      <c r="K6" s="209" t="s">
        <v>39</v>
      </c>
      <c r="L6" s="209" t="s">
        <v>43</v>
      </c>
      <c r="M6" s="209" t="s">
        <v>47</v>
      </c>
      <c r="N6" s="209" t="s">
        <v>51</v>
      </c>
      <c r="O6" s="209" t="s">
        <v>54</v>
      </c>
      <c r="P6" s="20"/>
    </row>
    <row r="7" spans="2:16" x14ac:dyDescent="0.2">
      <c r="B7" s="278" t="s">
        <v>174</v>
      </c>
      <c r="C7" s="445"/>
      <c r="D7" s="446"/>
      <c r="E7" s="446"/>
      <c r="F7" s="446"/>
      <c r="G7" s="447"/>
      <c r="I7" s="194">
        <f>IF($M7="","",1)</f>
        <v>1</v>
      </c>
      <c r="J7" s="57" t="s">
        <v>37</v>
      </c>
      <c r="K7" s="58" t="s">
        <v>338</v>
      </c>
      <c r="L7" s="18" t="str">
        <f>IF(Fuel_Blg[[#This Row],[Month]]&lt;&gt;"",VLOOKUP(Fuel_Blg[[#This Row],[Month]], dropdown!$S$4:$T$15, 2, FALSE),"")</f>
        <v>Q1</v>
      </c>
      <c r="M7" s="29">
        <v>0</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0</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0</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0</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0</v>
      </c>
      <c r="E11" s="41">
        <f>SUMIFS(Fuel_Blg[Consumption],Fuel_Blg[Quarter],E$10,Fuel_Blg[Fuel Type],$B$11)</f>
        <v>0</v>
      </c>
      <c r="F11" s="41">
        <f>SUMIFS(Fuel_Blg[Consumption],Fuel_Blg[Quarter],F$10,Fuel_Blg[Fuel Type],$B$11)</f>
        <v>220</v>
      </c>
      <c r="G11" s="41">
        <f>SUMIFS(Fuel_Blg[Consumption],Fuel_Blg[Quarter],G$10,Fuel_Blg[Fuel Type],$B$11)</f>
        <v>1070</v>
      </c>
      <c r="I11" s="194">
        <f t="shared" si="0"/>
        <v>2</v>
      </c>
      <c r="J11" s="57" t="s">
        <v>37</v>
      </c>
      <c r="K11" s="58" t="s">
        <v>379</v>
      </c>
      <c r="L11" s="18" t="str">
        <f>IF(Fuel_Blg[[#This Row],[Month]]&lt;&gt;"",VLOOKUP(Fuel_Blg[[#This Row],[Month]], dropdown!$S$4:$T$15, 2, FALSE),"")</f>
        <v>Q2</v>
      </c>
      <c r="M11" s="29">
        <v>0</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0</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0</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0</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220</v>
      </c>
      <c r="N15" s="17" t="str">
        <f>IF($J15="","",VLOOKUP($J15,dropdown!$P$3:$Q$8,2,FALSE))</f>
        <v>Liters</v>
      </c>
      <c r="O15" s="195" t="s">
        <v>1451</v>
      </c>
      <c r="P15" s="20"/>
    </row>
    <row r="16" spans="2:16" x14ac:dyDescent="0.2">
      <c r="I16" s="194">
        <f t="shared" si="0"/>
        <v>7</v>
      </c>
      <c r="J16" s="57" t="s">
        <v>37</v>
      </c>
      <c r="K16" s="58" t="s">
        <v>400</v>
      </c>
      <c r="L16" s="18" t="str">
        <f>IF(Fuel_Blg[[#This Row],[Month]]&lt;&gt;"",VLOOKUP(Fuel_Blg[[#This Row],[Month]], dropdown!$S$4:$T$15, 2, FALSE),"")</f>
        <v>Q4</v>
      </c>
      <c r="M16" s="29">
        <v>120</v>
      </c>
      <c r="N16" s="17" t="str">
        <f>IF($J16="","",VLOOKUP($J16,dropdown!$P$3:$Q$8,2,FALSE))</f>
        <v>Liters</v>
      </c>
      <c r="O16" s="195" t="s">
        <v>1451</v>
      </c>
      <c r="P16" s="20"/>
    </row>
    <row r="17" spans="2:16" x14ac:dyDescent="0.2">
      <c r="B17" s="267" t="s">
        <v>38</v>
      </c>
      <c r="I17" s="194">
        <f t="shared" si="0"/>
        <v>8</v>
      </c>
      <c r="J17" s="57" t="s">
        <v>37</v>
      </c>
      <c r="K17" s="58" t="s">
        <v>404</v>
      </c>
      <c r="L17" s="18" t="str">
        <f>IF(Fuel_Blg[[#This Row],[Month]]&lt;&gt;"",VLOOKUP(Fuel_Blg[[#This Row],[Month]], dropdown!$S$4:$T$15, 2, FALSE),"")</f>
        <v>Q4</v>
      </c>
      <c r="M17" s="29">
        <v>0</v>
      </c>
      <c r="N17" s="17" t="str">
        <f>IF($J17="","",VLOOKUP($J17,dropdown!$P$3:$Q$8,2,FALSE))</f>
        <v>Liters</v>
      </c>
      <c r="O17" s="195"/>
      <c r="P17" s="20"/>
    </row>
    <row r="18" spans="2:16" x14ac:dyDescent="0.2">
      <c r="B18" s="268" t="s">
        <v>175</v>
      </c>
      <c r="I18" s="194">
        <f t="shared" si="0"/>
        <v>9</v>
      </c>
      <c r="J18" s="57" t="s">
        <v>37</v>
      </c>
      <c r="K18" s="58" t="s">
        <v>407</v>
      </c>
      <c r="L18" s="18" t="str">
        <f>IF(Fuel_Blg[[#This Row],[Month]]&lt;&gt;"",VLOOKUP(Fuel_Blg[[#This Row],[Month]], dropdown!$S$4:$T$15, 2, FALSE),"")</f>
        <v>Q4</v>
      </c>
      <c r="M18" s="29">
        <v>950</v>
      </c>
      <c r="N18" s="17" t="str">
        <f>IF($J18="","",VLOOKUP($J18,dropdown!$P$3:$Q$8,2,FALSE))</f>
        <v>Liters</v>
      </c>
      <c r="O18" s="195" t="s">
        <v>1451</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C7" sqref="C7:G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Roxas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5"/>
      <c r="D6" s="446"/>
      <c r="E6" s="446"/>
      <c r="F6" s="446"/>
      <c r="G6" s="447"/>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5"/>
      <c r="D7" s="446"/>
      <c r="E7" s="446"/>
      <c r="F7" s="446"/>
      <c r="G7" s="447"/>
      <c r="I7" s="194">
        <f>IF($J7="","",1)</f>
        <v>1</v>
      </c>
      <c r="J7" s="57" t="s">
        <v>365</v>
      </c>
      <c r="K7" s="57" t="s">
        <v>411</v>
      </c>
      <c r="L7" s="58" t="s">
        <v>338</v>
      </c>
      <c r="M7" s="18" t="str">
        <f>IF(Fuel_Veh[[#This Row],[Month]]&lt;&gt;"",VLOOKUP(Fuel_Veh[[#This Row],[Month]], dropdown!$S$4:$T$15, 2, FALSE),"")</f>
        <v>Q1</v>
      </c>
      <c r="N7" s="29">
        <v>0</v>
      </c>
      <c r="O7" s="17" t="str">
        <f>IF($K7="","",VLOOKUP($K7,dropdown!$P$14:$Q$18,2,FALSE))</f>
        <v>Liters</v>
      </c>
      <c r="P7" s="29">
        <v>117</v>
      </c>
      <c r="Q7" s="17" t="str">
        <f t="shared" ref="Q7:Q70" si="0">IF($P7="","","Kilometers")</f>
        <v>Kilometers</v>
      </c>
      <c r="R7" s="195" t="s">
        <v>1616</v>
      </c>
    </row>
    <row r="8" spans="2:18" x14ac:dyDescent="0.2">
      <c r="I8" s="194">
        <f>IF($J8="","",$I7+1)</f>
        <v>2</v>
      </c>
      <c r="J8" s="57" t="s">
        <v>381</v>
      </c>
      <c r="K8" s="57" t="s">
        <v>63</v>
      </c>
      <c r="L8" s="58" t="s">
        <v>338</v>
      </c>
      <c r="M8" s="18" t="str">
        <f>IF(Fuel_Veh[[#This Row],[Month]]&lt;&gt;"",VLOOKUP(Fuel_Veh[[#This Row],[Month]], dropdown!$S$4:$T$15, 2, FALSE),"")</f>
        <v>Q1</v>
      </c>
      <c r="N8" s="29">
        <v>0</v>
      </c>
      <c r="O8" s="17"/>
      <c r="P8" s="29">
        <v>444</v>
      </c>
      <c r="Q8" s="17" t="str">
        <f t="shared" si="0"/>
        <v>Kilometers</v>
      </c>
      <c r="R8" s="195" t="s">
        <v>1617</v>
      </c>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0</v>
      </c>
      <c r="O9" s="17" t="str">
        <f>IF($K9="","",VLOOKUP($K9,dropdown!$P$14:$Q$18,2,FALSE))</f>
        <v>Liters</v>
      </c>
      <c r="P9" s="29">
        <v>9</v>
      </c>
      <c r="Q9" s="17" t="str">
        <f t="shared" si="0"/>
        <v>Kilometers</v>
      </c>
      <c r="R9" s="195" t="s">
        <v>1619</v>
      </c>
    </row>
    <row r="10" spans="2:18" x14ac:dyDescent="0.2">
      <c r="B10" s="13" t="s">
        <v>35</v>
      </c>
      <c r="C10" s="13" t="s">
        <v>51</v>
      </c>
      <c r="D10" s="40" t="s">
        <v>45</v>
      </c>
      <c r="E10" s="40" t="s">
        <v>149</v>
      </c>
      <c r="F10" s="40" t="s">
        <v>150</v>
      </c>
      <c r="G10" s="40" t="s">
        <v>151</v>
      </c>
      <c r="I10" s="194">
        <f>IF($J10="","",$I9+1)</f>
        <v>4</v>
      </c>
      <c r="J10" s="57" t="s">
        <v>343</v>
      </c>
      <c r="K10" s="57" t="s">
        <v>63</v>
      </c>
      <c r="L10" s="58" t="s">
        <v>338</v>
      </c>
      <c r="M10" s="18" t="str">
        <f>IF(Fuel_Veh[[#This Row],[Month]]&lt;&gt;"",VLOOKUP(Fuel_Veh[[#This Row],[Month]], dropdown!$S$4:$T$15, 2, FALSE),"")</f>
        <v>Q1</v>
      </c>
      <c r="N10" s="29">
        <v>0</v>
      </c>
      <c r="O10" s="17" t="str">
        <f>IF($K10="","",VLOOKUP($K10,dropdown!$P$14:$Q$18,2,FALSE))</f>
        <v>Liters</v>
      </c>
      <c r="P10" s="29">
        <v>9</v>
      </c>
      <c r="Q10" s="17" t="str">
        <f t="shared" si="0"/>
        <v>Kilometers</v>
      </c>
      <c r="R10" s="195" t="s">
        <v>1621</v>
      </c>
    </row>
    <row r="11" spans="2:18" x14ac:dyDescent="0.2">
      <c r="B11" s="17" t="str">
        <f>dropdown!$P15</f>
        <v>Diesel - Transport vehicles</v>
      </c>
      <c r="C11" s="17" t="str">
        <f>dropdown!$Q15</f>
        <v>Liters</v>
      </c>
      <c r="D11" s="41">
        <f>SUMIFS(Fuel_Veh[Consumption],Fuel_Veh[Quarter],D$10,Fuel_Veh[Fuel Type],$B$11)</f>
        <v>94.43</v>
      </c>
      <c r="E11" s="41">
        <f>SUMIFS(Fuel_Veh[Consumption],Fuel_Veh[Quarter],E$10,Fuel_Veh[Fuel Type],$B$11)</f>
        <v>352.11</v>
      </c>
      <c r="F11" s="41">
        <f>SUMIFS(Fuel_Veh[Consumption],Fuel_Veh[Quarter],F$10,Fuel_Veh[Fuel Type],$B$11)</f>
        <v>777.64999999999986</v>
      </c>
      <c r="G11" s="41">
        <f>SUMIFS(Fuel_Veh[Consumption],Fuel_Veh[Quarter],G$10,Fuel_Veh[Fuel Type],$B$11)</f>
        <v>355.92999999999995</v>
      </c>
      <c r="I11" s="194">
        <f>IF($J11="","",$I10+1)</f>
        <v>5</v>
      </c>
      <c r="J11" s="57" t="s">
        <v>343</v>
      </c>
      <c r="K11" s="57" t="s">
        <v>63</v>
      </c>
      <c r="L11" s="58" t="s">
        <v>338</v>
      </c>
      <c r="M11" s="18" t="str">
        <f>IF(Fuel_Veh[[#This Row],[Month]]&lt;&gt;"",VLOOKUP(Fuel_Veh[[#This Row],[Month]], dropdown!$S$4:$T$15, 2, FALSE),"")</f>
        <v>Q1</v>
      </c>
      <c r="N11" s="29">
        <v>0</v>
      </c>
      <c r="O11" s="17" t="str">
        <f>IF($K11="","",VLOOKUP($K11,dropdown!$P$14:$Q$18,2,FALSE))</f>
        <v>Liters</v>
      </c>
      <c r="P11" s="29">
        <v>9</v>
      </c>
      <c r="Q11" s="17" t="str">
        <f t="shared" si="0"/>
        <v>Kilometers</v>
      </c>
      <c r="R11" s="195" t="s">
        <v>1622</v>
      </c>
    </row>
    <row r="12" spans="2:18" x14ac:dyDescent="0.2">
      <c r="B12" s="17" t="str">
        <f>dropdown!$P16</f>
        <v>Gasoline - Transport vehicles</v>
      </c>
      <c r="C12" s="17" t="str">
        <f>dropdown!$Q16</f>
        <v>Liters</v>
      </c>
      <c r="D12" s="41">
        <f>SUMIFS(Fuel_Veh[Consumption],Fuel_Veh[Quarter],D$10,Fuel_Veh[Fuel Type],$B$12)</f>
        <v>159.32999999999998</v>
      </c>
      <c r="E12" s="41">
        <f>SUMIFS(Fuel_Veh[Consumption],Fuel_Veh[Quarter],E$10,Fuel_Veh[Fuel Type],$B$12)</f>
        <v>209.25</v>
      </c>
      <c r="F12" s="41">
        <f>SUMIFS(Fuel_Veh[Consumption],Fuel_Veh[Quarter],F$10,Fuel_Veh[Fuel Type],$B$12)</f>
        <v>259.27999999999997</v>
      </c>
      <c r="G12" s="41">
        <f>SUMIFS(Fuel_Veh[Consumption],Fuel_Veh[Quarter],G$10,Fuel_Veh[Fuel Type],$B$12)</f>
        <v>192.07999999999998</v>
      </c>
      <c r="I12" s="194">
        <f t="shared" ref="I12:I75" si="1">IF($J12="","",$I11+1)</f>
        <v>6</v>
      </c>
      <c r="J12" s="57" t="s">
        <v>365</v>
      </c>
      <c r="K12" s="57" t="s">
        <v>411</v>
      </c>
      <c r="L12" s="58" t="s">
        <v>89</v>
      </c>
      <c r="M12" s="18" t="str">
        <f>IF(Fuel_Veh[[#This Row],[Month]]&lt;&gt;"",VLOOKUP(Fuel_Veh[[#This Row],[Month]], dropdown!$S$4:$T$15, 2, FALSE),"")</f>
        <v>Q1</v>
      </c>
      <c r="N12" s="29">
        <v>114.96</v>
      </c>
      <c r="O12" s="17" t="str">
        <f>IF($K12="","",VLOOKUP($K12,dropdown!$P$14:$Q$18,2,FALSE))</f>
        <v>Liters</v>
      </c>
      <c r="P12" s="29">
        <v>680</v>
      </c>
      <c r="Q12" s="17" t="str">
        <f t="shared" si="0"/>
        <v>Kilometers</v>
      </c>
      <c r="R12" s="195" t="s">
        <v>1616</v>
      </c>
    </row>
    <row r="13" spans="2:18" ht="14" customHeight="1" x14ac:dyDescent="0.2">
      <c r="I13" s="194">
        <f t="shared" si="1"/>
        <v>7</v>
      </c>
      <c r="J13" s="57" t="s">
        <v>381</v>
      </c>
      <c r="K13" s="57" t="s">
        <v>63</v>
      </c>
      <c r="L13" s="58" t="s">
        <v>89</v>
      </c>
      <c r="M13" s="18" t="str">
        <f>IF(Fuel_Veh[[#This Row],[Month]]&lt;&gt;"",VLOOKUP(Fuel_Veh[[#This Row],[Month]], dropdown!$S$4:$T$15, 2, FALSE),"")</f>
        <v>Q1</v>
      </c>
      <c r="N13" s="29">
        <v>54.77</v>
      </c>
      <c r="O13" s="17" t="str">
        <f>IF($K13="","",VLOOKUP($K13,dropdown!$P$14:$Q$18,2,FALSE))</f>
        <v>Liters</v>
      </c>
      <c r="P13" s="29">
        <v>698</v>
      </c>
      <c r="Q13" s="17" t="str">
        <f t="shared" si="0"/>
        <v>Kilometers</v>
      </c>
      <c r="R13" s="195" t="s">
        <v>1617</v>
      </c>
    </row>
    <row r="14" spans="2:18" x14ac:dyDescent="0.2">
      <c r="B14" s="267" t="s">
        <v>38</v>
      </c>
      <c r="I14" s="194">
        <f t="shared" si="1"/>
        <v>8</v>
      </c>
      <c r="J14" s="57" t="s">
        <v>343</v>
      </c>
      <c r="K14" s="57" t="s">
        <v>63</v>
      </c>
      <c r="L14" s="58" t="s">
        <v>89</v>
      </c>
      <c r="M14" s="18" t="str">
        <f>IF(Fuel_Veh[[#This Row],[Month]]&lt;&gt;"",VLOOKUP(Fuel_Veh[[#This Row],[Month]], dropdown!$S$4:$T$15, 2, FALSE),"")</f>
        <v>Q1</v>
      </c>
      <c r="N14" s="29">
        <v>0</v>
      </c>
      <c r="O14" s="17" t="str">
        <f>IF($K14="","",VLOOKUP($K14,dropdown!$P$14:$Q$18,2,FALSE))</f>
        <v>Liters</v>
      </c>
      <c r="P14" s="29">
        <v>26</v>
      </c>
      <c r="Q14" s="17" t="str">
        <f t="shared" si="0"/>
        <v>Kilometers</v>
      </c>
      <c r="R14" s="195" t="s">
        <v>1619</v>
      </c>
    </row>
    <row r="15" spans="2:18" x14ac:dyDescent="0.2">
      <c r="B15" s="268" t="s">
        <v>175</v>
      </c>
      <c r="I15" s="194">
        <f t="shared" si="1"/>
        <v>9</v>
      </c>
      <c r="J15" s="57" t="s">
        <v>343</v>
      </c>
      <c r="K15" s="57" t="s">
        <v>63</v>
      </c>
      <c r="L15" s="58" t="s">
        <v>89</v>
      </c>
      <c r="M15" s="18" t="str">
        <f>IF(Fuel_Veh[[#This Row],[Month]]&lt;&gt;"",VLOOKUP(Fuel_Veh[[#This Row],[Month]], dropdown!$S$4:$T$15, 2, FALSE),"")</f>
        <v>Q1</v>
      </c>
      <c r="N15" s="29">
        <v>0</v>
      </c>
      <c r="O15" s="17" t="str">
        <f>IF($K15="","",VLOOKUP($K15,dropdown!$P$14:$Q$18,2,FALSE))</f>
        <v>Liters</v>
      </c>
      <c r="P15" s="29">
        <v>12</v>
      </c>
      <c r="Q15" s="17" t="str">
        <f t="shared" si="0"/>
        <v>Kilometers</v>
      </c>
      <c r="R15" s="195" t="s">
        <v>1621</v>
      </c>
    </row>
    <row r="16" spans="2:18" x14ac:dyDescent="0.2">
      <c r="B16" s="266" t="s">
        <v>176</v>
      </c>
      <c r="I16" s="194">
        <f t="shared" si="1"/>
        <v>10</v>
      </c>
      <c r="J16" s="57" t="s">
        <v>343</v>
      </c>
      <c r="K16" s="57" t="s">
        <v>63</v>
      </c>
      <c r="L16" s="58" t="s">
        <v>89</v>
      </c>
      <c r="M16" s="18" t="str">
        <f>IF(Fuel_Veh[[#This Row],[Month]]&lt;&gt;"",VLOOKUP(Fuel_Veh[[#This Row],[Month]], dropdown!$S$4:$T$15, 2, FALSE),"")</f>
        <v>Q1</v>
      </c>
      <c r="N16" s="29">
        <v>0</v>
      </c>
      <c r="O16" s="17" t="str">
        <f>IF($K16="","",VLOOKUP($K16,dropdown!$P$14:$Q$18,2,FALSE))</f>
        <v>Liters</v>
      </c>
      <c r="P16" s="29">
        <v>9</v>
      </c>
      <c r="Q16" s="17" t="str">
        <f t="shared" si="0"/>
        <v>Kilometers</v>
      </c>
      <c r="R16" s="195" t="s">
        <v>1622</v>
      </c>
    </row>
    <row r="17" spans="2:18" x14ac:dyDescent="0.2">
      <c r="B17" s="17" t="s">
        <v>177</v>
      </c>
      <c r="I17" s="194">
        <f t="shared" si="1"/>
        <v>11</v>
      </c>
      <c r="J17" s="57" t="s">
        <v>365</v>
      </c>
      <c r="K17" s="57" t="s">
        <v>411</v>
      </c>
      <c r="L17" s="58" t="s">
        <v>362</v>
      </c>
      <c r="M17" s="18" t="str">
        <f>IF(Fuel_Veh[[#This Row],[Month]]&lt;&gt;"",VLOOKUP(Fuel_Veh[[#This Row],[Month]], dropdown!$S$4:$T$15, 2, FALSE),"")</f>
        <v>Q1</v>
      </c>
      <c r="N17" s="29">
        <v>44.37</v>
      </c>
      <c r="O17" s="17" t="str">
        <f>IF($K17="","",VLOOKUP($K17,dropdown!$P$14:$Q$18,2,FALSE))</f>
        <v>Liters</v>
      </c>
      <c r="P17" s="29">
        <v>265</v>
      </c>
      <c r="Q17" s="17" t="str">
        <f t="shared" si="0"/>
        <v>Kilometers</v>
      </c>
      <c r="R17" s="195" t="s">
        <v>1616</v>
      </c>
    </row>
    <row r="18" spans="2:18" x14ac:dyDescent="0.2">
      <c r="I18" s="194">
        <f t="shared" si="1"/>
        <v>12</v>
      </c>
      <c r="J18" s="57" t="s">
        <v>381</v>
      </c>
      <c r="K18" s="57" t="s">
        <v>63</v>
      </c>
      <c r="L18" s="58" t="s">
        <v>362</v>
      </c>
      <c r="M18" s="18" t="str">
        <f>IF(Fuel_Veh[[#This Row],[Month]]&lt;&gt;"",VLOOKUP(Fuel_Veh[[#This Row],[Month]], dropdown!$S$4:$T$15, 2, FALSE),"")</f>
        <v>Q1</v>
      </c>
      <c r="N18" s="29">
        <v>39.659999999999997</v>
      </c>
      <c r="O18" s="17" t="str">
        <f>IF($K18="","",VLOOKUP($K18,dropdown!$P$14:$Q$18,2,FALSE))</f>
        <v>Liters</v>
      </c>
      <c r="P18" s="29">
        <v>93</v>
      </c>
      <c r="Q18" s="17" t="str">
        <f t="shared" si="0"/>
        <v>Kilometers</v>
      </c>
      <c r="R18" s="195" t="s">
        <v>1617</v>
      </c>
    </row>
    <row r="19" spans="2:18" x14ac:dyDescent="0.2">
      <c r="I19" s="194">
        <f t="shared" si="1"/>
        <v>13</v>
      </c>
      <c r="J19" s="57" t="s">
        <v>343</v>
      </c>
      <c r="K19" s="57" t="s">
        <v>63</v>
      </c>
      <c r="L19" s="58" t="s">
        <v>362</v>
      </c>
      <c r="M19" s="18" t="str">
        <f>IF(Fuel_Veh[[#This Row],[Month]]&lt;&gt;"",VLOOKUP(Fuel_Veh[[#This Row],[Month]], dropdown!$S$4:$T$15, 2, FALSE),"")</f>
        <v>Q1</v>
      </c>
      <c r="N19" s="29">
        <v>0</v>
      </c>
      <c r="O19" s="17" t="str">
        <f>IF($K19="","",VLOOKUP($K19,dropdown!$P$14:$Q$18,2,FALSE))</f>
        <v>Liters</v>
      </c>
      <c r="P19" s="29">
        <v>242</v>
      </c>
      <c r="Q19" s="17" t="str">
        <f t="shared" si="0"/>
        <v>Kilometers</v>
      </c>
      <c r="R19" s="195" t="s">
        <v>1619</v>
      </c>
    </row>
    <row r="20" spans="2:18" x14ac:dyDescent="0.2">
      <c r="I20" s="194">
        <f t="shared" si="1"/>
        <v>14</v>
      </c>
      <c r="J20" s="57" t="s">
        <v>343</v>
      </c>
      <c r="K20" s="57" t="s">
        <v>63</v>
      </c>
      <c r="L20" s="58" t="s">
        <v>362</v>
      </c>
      <c r="M20" s="18" t="str">
        <f>IF(Fuel_Veh[[#This Row],[Month]]&lt;&gt;"",VLOOKUP(Fuel_Veh[[#This Row],[Month]], dropdown!$S$4:$T$15, 2, FALSE),"")</f>
        <v>Q1</v>
      </c>
      <c r="N20" s="29">
        <v>0</v>
      </c>
      <c r="O20" s="17" t="str">
        <f>IF($K20="","",VLOOKUP($K20,dropdown!$P$14:$Q$18,2,FALSE))</f>
        <v>Liters</v>
      </c>
      <c r="P20" s="29">
        <v>3</v>
      </c>
      <c r="Q20" s="17" t="str">
        <f t="shared" si="0"/>
        <v>Kilometers</v>
      </c>
      <c r="R20" s="195" t="s">
        <v>1621</v>
      </c>
    </row>
    <row r="21" spans="2:18" x14ac:dyDescent="0.2">
      <c r="I21" s="194">
        <f t="shared" si="1"/>
        <v>15</v>
      </c>
      <c r="J21" s="57" t="s">
        <v>343</v>
      </c>
      <c r="K21" s="57" t="s">
        <v>63</v>
      </c>
      <c r="L21" s="58" t="s">
        <v>362</v>
      </c>
      <c r="M21" s="18" t="str">
        <f>IF(Fuel_Veh[[#This Row],[Month]]&lt;&gt;"",VLOOKUP(Fuel_Veh[[#This Row],[Month]], dropdown!$S$4:$T$15, 2, FALSE),"")</f>
        <v>Q1</v>
      </c>
      <c r="N21" s="29">
        <v>0</v>
      </c>
      <c r="O21" s="17" t="str">
        <f>IF($K21="","",VLOOKUP($K21,dropdown!$P$14:$Q$18,2,FALSE))</f>
        <v>Liters</v>
      </c>
      <c r="P21" s="29">
        <v>242</v>
      </c>
      <c r="Q21" s="17" t="str">
        <f t="shared" si="0"/>
        <v>Kilometers</v>
      </c>
      <c r="R21" s="195" t="s">
        <v>1622</v>
      </c>
    </row>
    <row r="22" spans="2:18" x14ac:dyDescent="0.2">
      <c r="I22" s="194">
        <f t="shared" si="1"/>
        <v>16</v>
      </c>
      <c r="J22" s="57" t="s">
        <v>365</v>
      </c>
      <c r="K22" s="57" t="s">
        <v>411</v>
      </c>
      <c r="L22" s="58" t="s">
        <v>371</v>
      </c>
      <c r="M22" s="18" t="str">
        <f>IF(Fuel_Veh[[#This Row],[Month]]&lt;&gt;"",VLOOKUP(Fuel_Veh[[#This Row],[Month]], dropdown!$S$4:$T$15, 2, FALSE),"")</f>
        <v>Q2</v>
      </c>
      <c r="N22" s="29">
        <v>50.74</v>
      </c>
      <c r="O22" s="17" t="str">
        <f>IF($K22="","",VLOOKUP($K22,dropdown!$P$14:$Q$18,2,FALSE))</f>
        <v>Liters</v>
      </c>
      <c r="P22" s="29">
        <v>439</v>
      </c>
      <c r="Q22" s="17" t="str">
        <f t="shared" si="0"/>
        <v>Kilometers</v>
      </c>
      <c r="R22" s="195" t="s">
        <v>1616</v>
      </c>
    </row>
    <row r="23" spans="2:18" x14ac:dyDescent="0.2">
      <c r="I23" s="194">
        <f t="shared" si="1"/>
        <v>17</v>
      </c>
      <c r="J23" s="57" t="s">
        <v>381</v>
      </c>
      <c r="K23" s="57" t="s">
        <v>63</v>
      </c>
      <c r="L23" s="58" t="s">
        <v>371</v>
      </c>
      <c r="M23" s="18" t="str">
        <f>IF(Fuel_Veh[[#This Row],[Month]]&lt;&gt;"",VLOOKUP(Fuel_Veh[[#This Row],[Month]], dropdown!$S$4:$T$15, 2, FALSE),"")</f>
        <v>Q2</v>
      </c>
      <c r="N23" s="29">
        <v>0</v>
      </c>
      <c r="O23" s="17" t="str">
        <f>IF($K23="","",VLOOKUP($K23,dropdown!$P$14:$Q$18,2,FALSE))</f>
        <v>Liters</v>
      </c>
      <c r="P23" s="29">
        <v>166</v>
      </c>
      <c r="Q23" s="17" t="str">
        <f t="shared" si="0"/>
        <v>Kilometers</v>
      </c>
      <c r="R23" s="195" t="s">
        <v>1617</v>
      </c>
    </row>
    <row r="24" spans="2:18" x14ac:dyDescent="0.2">
      <c r="I24" s="194">
        <f t="shared" si="1"/>
        <v>18</v>
      </c>
      <c r="J24" s="57" t="s">
        <v>343</v>
      </c>
      <c r="K24" s="57" t="s">
        <v>63</v>
      </c>
      <c r="L24" s="58" t="s">
        <v>371</v>
      </c>
      <c r="M24" s="18" t="str">
        <f>IF(Fuel_Veh[[#This Row],[Month]]&lt;&gt;"",VLOOKUP(Fuel_Veh[[#This Row],[Month]], dropdown!$S$4:$T$15, 2, FALSE),"")</f>
        <v>Q2</v>
      </c>
      <c r="N24" s="29">
        <v>0</v>
      </c>
      <c r="O24" s="17" t="str">
        <f>IF($K24="","",VLOOKUP($K24,dropdown!$P$14:$Q$18,2,FALSE))</f>
        <v>Liters</v>
      </c>
      <c r="P24" s="29">
        <v>43</v>
      </c>
      <c r="Q24" s="17" t="str">
        <f t="shared" si="0"/>
        <v>Kilometers</v>
      </c>
      <c r="R24" s="195" t="s">
        <v>1619</v>
      </c>
    </row>
    <row r="25" spans="2:18" x14ac:dyDescent="0.2">
      <c r="I25" s="194">
        <f t="shared" si="1"/>
        <v>19</v>
      </c>
      <c r="J25" s="57" t="s">
        <v>343</v>
      </c>
      <c r="K25" s="57" t="s">
        <v>63</v>
      </c>
      <c r="L25" s="58" t="s">
        <v>371</v>
      </c>
      <c r="M25" s="18" t="str">
        <f>IF(Fuel_Veh[[#This Row],[Month]]&lt;&gt;"",VLOOKUP(Fuel_Veh[[#This Row],[Month]], dropdown!$S$4:$T$15, 2, FALSE),"")</f>
        <v>Q2</v>
      </c>
      <c r="N25" s="29">
        <v>0</v>
      </c>
      <c r="O25" s="17" t="str">
        <f>IF($K25="","",VLOOKUP($K25,dropdown!$P$14:$Q$18,2,FALSE))</f>
        <v>Liters</v>
      </c>
      <c r="P25" s="29">
        <v>3</v>
      </c>
      <c r="Q25" s="17" t="str">
        <f t="shared" si="0"/>
        <v>Kilometers</v>
      </c>
      <c r="R25" s="195" t="s">
        <v>1621</v>
      </c>
    </row>
    <row r="26" spans="2:18" x14ac:dyDescent="0.2">
      <c r="I26" s="194">
        <f t="shared" si="1"/>
        <v>20</v>
      </c>
      <c r="J26" s="57" t="s">
        <v>343</v>
      </c>
      <c r="K26" s="57" t="s">
        <v>63</v>
      </c>
      <c r="L26" s="196" t="s">
        <v>371</v>
      </c>
      <c r="M26" s="18" t="str">
        <f>IF(Fuel_Veh[[#This Row],[Month]]&lt;&gt;"",VLOOKUP(Fuel_Veh[[#This Row],[Month]], dropdown!$S$4:$T$15, 2, FALSE),"")</f>
        <v>Q2</v>
      </c>
      <c r="N26" s="197">
        <v>100</v>
      </c>
      <c r="O26" s="198" t="str">
        <f>IF($K26="","",VLOOKUP($K26,dropdown!$P$14:$Q$18,2,FALSE))</f>
        <v>Liters</v>
      </c>
      <c r="P26" s="197">
        <v>16</v>
      </c>
      <c r="Q26" s="17" t="str">
        <f t="shared" si="0"/>
        <v>Kilometers</v>
      </c>
      <c r="R26" s="195" t="s">
        <v>1622</v>
      </c>
    </row>
    <row r="27" spans="2:18" x14ac:dyDescent="0.2">
      <c r="I27" s="194">
        <f t="shared" si="1"/>
        <v>21</v>
      </c>
      <c r="J27" s="57" t="s">
        <v>365</v>
      </c>
      <c r="K27" s="57" t="s">
        <v>411</v>
      </c>
      <c r="L27" s="58" t="s">
        <v>379</v>
      </c>
      <c r="M27" s="18" t="str">
        <f>IF(Fuel_Veh[[#This Row],[Month]]&lt;&gt;"",VLOOKUP(Fuel_Veh[[#This Row],[Month]], dropdown!$S$4:$T$15, 2, FALSE),"")</f>
        <v>Q2</v>
      </c>
      <c r="N27" s="29">
        <v>76.33</v>
      </c>
      <c r="O27" s="17" t="str">
        <f>IF($K27="","",VLOOKUP($K27,dropdown!$P$14:$Q$18,2,FALSE))</f>
        <v>Liters</v>
      </c>
      <c r="P27" s="29">
        <v>809</v>
      </c>
      <c r="Q27" s="17" t="str">
        <f t="shared" si="0"/>
        <v>Kilometers</v>
      </c>
      <c r="R27" s="195" t="s">
        <v>1616</v>
      </c>
    </row>
    <row r="28" spans="2:18" x14ac:dyDescent="0.2">
      <c r="I28" s="194">
        <f t="shared" si="1"/>
        <v>22</v>
      </c>
      <c r="J28" s="57" t="s">
        <v>381</v>
      </c>
      <c r="K28" s="57" t="s">
        <v>63</v>
      </c>
      <c r="L28" s="58" t="s">
        <v>379</v>
      </c>
      <c r="M28" s="18" t="str">
        <f>IF(Fuel_Veh[[#This Row],[Month]]&lt;&gt;"",VLOOKUP(Fuel_Veh[[#This Row],[Month]], dropdown!$S$4:$T$15, 2, FALSE),"")</f>
        <v>Q2</v>
      </c>
      <c r="N28" s="29">
        <v>97.23</v>
      </c>
      <c r="O28" s="17" t="str">
        <f>IF($K28="","",VLOOKUP($K28,dropdown!$P$14:$Q$18,2,FALSE))</f>
        <v>Liters</v>
      </c>
      <c r="P28" s="29">
        <v>1102</v>
      </c>
      <c r="Q28" s="17" t="str">
        <f t="shared" si="0"/>
        <v>Kilometers</v>
      </c>
      <c r="R28" s="195" t="s">
        <v>1617</v>
      </c>
    </row>
    <row r="29" spans="2:18" x14ac:dyDescent="0.2">
      <c r="I29" s="194">
        <f t="shared" si="1"/>
        <v>23</v>
      </c>
      <c r="J29" s="57" t="s">
        <v>343</v>
      </c>
      <c r="K29" s="57" t="s">
        <v>63</v>
      </c>
      <c r="L29" s="58" t="s">
        <v>379</v>
      </c>
      <c r="M29" s="18" t="str">
        <f>IF(Fuel_Veh[[#This Row],[Month]]&lt;&gt;"",VLOOKUP(Fuel_Veh[[#This Row],[Month]], dropdown!$S$4:$T$15, 2, FALSE),"")</f>
        <v>Q2</v>
      </c>
      <c r="N29" s="29">
        <v>0</v>
      </c>
      <c r="O29" s="17" t="str">
        <f>IF($K29="","",VLOOKUP($K29,dropdown!$P$14:$Q$18,2,FALSE))</f>
        <v>Liters</v>
      </c>
      <c r="P29" s="29">
        <v>3</v>
      </c>
      <c r="Q29" s="17" t="str">
        <f t="shared" si="0"/>
        <v>Kilometers</v>
      </c>
      <c r="R29" s="195" t="s">
        <v>1619</v>
      </c>
    </row>
    <row r="30" spans="2:18" x14ac:dyDescent="0.2">
      <c r="I30" s="194">
        <f t="shared" si="1"/>
        <v>24</v>
      </c>
      <c r="J30" s="57" t="s">
        <v>343</v>
      </c>
      <c r="K30" s="57" t="s">
        <v>63</v>
      </c>
      <c r="L30" s="196" t="s">
        <v>379</v>
      </c>
      <c r="M30" s="18" t="str">
        <f>IF(Fuel_Veh[[#This Row],[Month]]&lt;&gt;"",VLOOKUP(Fuel_Veh[[#This Row],[Month]], dropdown!$S$4:$T$15, 2, FALSE),"")</f>
        <v>Q2</v>
      </c>
      <c r="N30" s="197">
        <v>96</v>
      </c>
      <c r="O30" s="198" t="str">
        <f>IF($K30="","",VLOOKUP($K30,dropdown!$P$14:$Q$18,2,FALSE))</f>
        <v>Liters</v>
      </c>
      <c r="P30" s="197">
        <v>87</v>
      </c>
      <c r="Q30" s="17" t="str">
        <f t="shared" si="0"/>
        <v>Kilometers</v>
      </c>
      <c r="R30" s="195" t="s">
        <v>1621</v>
      </c>
    </row>
    <row r="31" spans="2:18" x14ac:dyDescent="0.2">
      <c r="I31" s="194">
        <f t="shared" si="1"/>
        <v>25</v>
      </c>
      <c r="J31" s="57" t="s">
        <v>343</v>
      </c>
      <c r="K31" s="57" t="s">
        <v>63</v>
      </c>
      <c r="L31" s="58" t="s">
        <v>379</v>
      </c>
      <c r="M31" s="18" t="str">
        <f>IF(Fuel_Veh[[#This Row],[Month]]&lt;&gt;"",VLOOKUP(Fuel_Veh[[#This Row],[Month]], dropdown!$S$4:$T$15, 2, FALSE),"")</f>
        <v>Q2</v>
      </c>
      <c r="N31" s="29">
        <v>0</v>
      </c>
      <c r="O31" s="17" t="str">
        <f>IF($K31="","",VLOOKUP($K31,dropdown!$P$14:$Q$18,2,FALSE))</f>
        <v>Liters</v>
      </c>
      <c r="P31" s="29">
        <v>3</v>
      </c>
      <c r="Q31" s="17" t="str">
        <f t="shared" si="0"/>
        <v>Kilometers</v>
      </c>
      <c r="R31" s="195" t="s">
        <v>1622</v>
      </c>
    </row>
    <row r="32" spans="2:18" x14ac:dyDescent="0.2">
      <c r="I32" s="194">
        <f t="shared" si="1"/>
        <v>26</v>
      </c>
      <c r="J32" s="57" t="s">
        <v>365</v>
      </c>
      <c r="K32" s="57" t="s">
        <v>411</v>
      </c>
      <c r="L32" s="58" t="s">
        <v>386</v>
      </c>
      <c r="M32" s="18" t="str">
        <f>IF(Fuel_Veh[[#This Row],[Month]]&lt;&gt;"",VLOOKUP(Fuel_Veh[[#This Row],[Month]], dropdown!$S$4:$T$15, 2, FALSE),"")</f>
        <v>Q2</v>
      </c>
      <c r="N32" s="29">
        <v>82.18</v>
      </c>
      <c r="O32" s="17" t="str">
        <f>IF($K32="","",VLOOKUP($K32,dropdown!$P$14:$Q$18,2,FALSE))</f>
        <v>Liters</v>
      </c>
      <c r="P32" s="29">
        <v>668</v>
      </c>
      <c r="Q32" s="17" t="str">
        <f t="shared" si="0"/>
        <v>Kilometers</v>
      </c>
      <c r="R32" s="195" t="s">
        <v>1616</v>
      </c>
    </row>
    <row r="33" spans="9:18" x14ac:dyDescent="0.2">
      <c r="I33" s="194">
        <f t="shared" si="1"/>
        <v>27</v>
      </c>
      <c r="J33" s="57" t="s">
        <v>381</v>
      </c>
      <c r="K33" s="57" t="s">
        <v>63</v>
      </c>
      <c r="L33" s="58" t="s">
        <v>386</v>
      </c>
      <c r="M33" s="18" t="str">
        <f>IF(Fuel_Veh[[#This Row],[Month]]&lt;&gt;"",VLOOKUP(Fuel_Veh[[#This Row],[Month]], dropdown!$S$4:$T$15, 2, FALSE),"")</f>
        <v>Q2</v>
      </c>
      <c r="N33" s="29">
        <v>58.88</v>
      </c>
      <c r="O33" s="17" t="str">
        <f>IF($K33="","",VLOOKUP($K33,dropdown!$P$14:$Q$18,2,FALSE))</f>
        <v>Liters</v>
      </c>
      <c r="P33" s="29">
        <v>690</v>
      </c>
      <c r="Q33" s="17" t="str">
        <f t="shared" si="0"/>
        <v>Kilometers</v>
      </c>
      <c r="R33" s="195" t="s">
        <v>1617</v>
      </c>
    </row>
    <row r="34" spans="9:18" x14ac:dyDescent="0.2">
      <c r="I34" s="194">
        <f t="shared" si="1"/>
        <v>28</v>
      </c>
      <c r="J34" s="57" t="s">
        <v>343</v>
      </c>
      <c r="K34" s="57" t="s">
        <v>63</v>
      </c>
      <c r="L34" s="58" t="s">
        <v>386</v>
      </c>
      <c r="M34" s="18" t="str">
        <f>IF(Fuel_Veh[[#This Row],[Month]]&lt;&gt;"",VLOOKUP(Fuel_Veh[[#This Row],[Month]], dropdown!$S$4:$T$15, 2, FALSE),"")</f>
        <v>Q2</v>
      </c>
      <c r="N34" s="29">
        <v>0</v>
      </c>
      <c r="O34" s="17" t="str">
        <f>IF($K34="","",VLOOKUP($K34,dropdown!$P$14:$Q$18,2,FALSE))</f>
        <v>Liters</v>
      </c>
      <c r="P34" s="29">
        <v>132</v>
      </c>
      <c r="Q34" s="17" t="str">
        <f t="shared" si="0"/>
        <v>Kilometers</v>
      </c>
      <c r="R34" s="195" t="s">
        <v>1619</v>
      </c>
    </row>
    <row r="35" spans="9:18" x14ac:dyDescent="0.2">
      <c r="I35" s="194">
        <f t="shared" si="1"/>
        <v>29</v>
      </c>
      <c r="J35" s="57" t="s">
        <v>343</v>
      </c>
      <c r="K35" s="57" t="s">
        <v>63</v>
      </c>
      <c r="L35" s="58" t="s">
        <v>386</v>
      </c>
      <c r="M35" s="18" t="str">
        <f>IF(Fuel_Veh[[#This Row],[Month]]&lt;&gt;"",VLOOKUP(Fuel_Veh[[#This Row],[Month]], dropdown!$S$4:$T$15, 2, FALSE),"")</f>
        <v>Q2</v>
      </c>
      <c r="N35" s="29">
        <v>0</v>
      </c>
      <c r="O35" s="17" t="str">
        <f>IF($K35="","",VLOOKUP($K35,dropdown!$P$14:$Q$18,2,FALSE))</f>
        <v>Liters</v>
      </c>
      <c r="P35" s="29">
        <v>0</v>
      </c>
      <c r="Q35" s="17" t="str">
        <f t="shared" si="0"/>
        <v>Kilometers</v>
      </c>
      <c r="R35" s="195" t="s">
        <v>1621</v>
      </c>
    </row>
    <row r="36" spans="9:18" x14ac:dyDescent="0.2">
      <c r="I36" s="194">
        <f t="shared" si="1"/>
        <v>30</v>
      </c>
      <c r="J36" s="57" t="s">
        <v>343</v>
      </c>
      <c r="K36" s="57" t="s">
        <v>63</v>
      </c>
      <c r="L36" s="58" t="s">
        <v>386</v>
      </c>
      <c r="M36" s="18" t="str">
        <f>IF(Fuel_Veh[[#This Row],[Month]]&lt;&gt;"",VLOOKUP(Fuel_Veh[[#This Row],[Month]], dropdown!$S$4:$T$15, 2, FALSE),"")</f>
        <v>Q2</v>
      </c>
      <c r="N36" s="29">
        <v>0</v>
      </c>
      <c r="O36" s="17" t="str">
        <f>IF($K36="","",VLOOKUP($K36,dropdown!$P$14:$Q$18,2,FALSE))</f>
        <v>Liters</v>
      </c>
      <c r="P36" s="29">
        <v>3</v>
      </c>
      <c r="Q36" s="17" t="str">
        <f t="shared" si="0"/>
        <v>Kilometers</v>
      </c>
      <c r="R36" s="195" t="s">
        <v>1622</v>
      </c>
    </row>
    <row r="37" spans="9:18" x14ac:dyDescent="0.2">
      <c r="I37" s="194">
        <f t="shared" si="1"/>
        <v>31</v>
      </c>
      <c r="J37" s="57" t="s">
        <v>365</v>
      </c>
      <c r="K37" s="57" t="s">
        <v>411</v>
      </c>
      <c r="L37" s="58" t="s">
        <v>390</v>
      </c>
      <c r="M37" s="18" t="str">
        <f>IF(Fuel_Veh[[#This Row],[Month]]&lt;&gt;"",VLOOKUP(Fuel_Veh[[#This Row],[Month]], dropdown!$S$4:$T$15, 2, FALSE),"")</f>
        <v>Q3</v>
      </c>
      <c r="N37" s="29">
        <v>88.1</v>
      </c>
      <c r="O37" s="17" t="str">
        <f>IF($K37="","",VLOOKUP($K37,dropdown!$P$14:$Q$18,2,FALSE))</f>
        <v>Liters</v>
      </c>
      <c r="P37" s="29">
        <v>770</v>
      </c>
      <c r="Q37" s="17" t="str">
        <f t="shared" si="0"/>
        <v>Kilometers</v>
      </c>
      <c r="R37" s="195" t="s">
        <v>1616</v>
      </c>
    </row>
    <row r="38" spans="9:18" x14ac:dyDescent="0.2">
      <c r="I38" s="194">
        <f t="shared" si="1"/>
        <v>32</v>
      </c>
      <c r="J38" s="57" t="s">
        <v>381</v>
      </c>
      <c r="K38" s="57" t="s">
        <v>63</v>
      </c>
      <c r="L38" s="58" t="s">
        <v>390</v>
      </c>
      <c r="M38" s="18" t="str">
        <f>IF(Fuel_Veh[[#This Row],[Month]]&lt;&gt;"",VLOOKUP(Fuel_Veh[[#This Row],[Month]], dropdown!$S$4:$T$15, 2, FALSE),"")</f>
        <v>Q3</v>
      </c>
      <c r="N38" s="29">
        <v>85.26</v>
      </c>
      <c r="O38" s="17" t="str">
        <f>IF($K38="","",VLOOKUP($K38,dropdown!$P$14:$Q$18,2,FALSE))</f>
        <v>Liters</v>
      </c>
      <c r="P38" s="29">
        <v>357</v>
      </c>
      <c r="Q38" s="17" t="str">
        <f t="shared" si="0"/>
        <v>Kilometers</v>
      </c>
      <c r="R38" s="195" t="s">
        <v>1617</v>
      </c>
    </row>
    <row r="39" spans="9:18" x14ac:dyDescent="0.2">
      <c r="I39" s="194">
        <f t="shared" si="1"/>
        <v>33</v>
      </c>
      <c r="J39" s="57" t="s">
        <v>343</v>
      </c>
      <c r="K39" s="57" t="s">
        <v>63</v>
      </c>
      <c r="L39" s="58" t="s">
        <v>390</v>
      </c>
      <c r="M39" s="18" t="str">
        <f>IF(Fuel_Veh[[#This Row],[Month]]&lt;&gt;"",VLOOKUP(Fuel_Veh[[#This Row],[Month]], dropdown!$S$4:$T$15, 2, FALSE),"")</f>
        <v>Q3</v>
      </c>
      <c r="N39" s="29">
        <v>100</v>
      </c>
      <c r="O39" s="17" t="str">
        <f>IF($K39="","",VLOOKUP($K39,dropdown!$P$14:$Q$18,2,FALSE))</f>
        <v>Liters</v>
      </c>
      <c r="P39" s="29">
        <v>250</v>
      </c>
      <c r="Q39" s="17" t="str">
        <f t="shared" si="0"/>
        <v>Kilometers</v>
      </c>
      <c r="R39" s="195" t="s">
        <v>1619</v>
      </c>
    </row>
    <row r="40" spans="9:18" x14ac:dyDescent="0.2">
      <c r="I40" s="194">
        <f t="shared" si="1"/>
        <v>34</v>
      </c>
      <c r="J40" s="57" t="s">
        <v>343</v>
      </c>
      <c r="K40" s="57" t="s">
        <v>63</v>
      </c>
      <c r="L40" s="58" t="s">
        <v>390</v>
      </c>
      <c r="M40" s="18" t="str">
        <f>IF(Fuel_Veh[[#This Row],[Month]]&lt;&gt;"",VLOOKUP(Fuel_Veh[[#This Row],[Month]], dropdown!$S$4:$T$15, 2, FALSE),"")</f>
        <v>Q3</v>
      </c>
      <c r="N40" s="29">
        <v>100</v>
      </c>
      <c r="O40" s="17" t="str">
        <f>IF($K40="","",VLOOKUP($K40,dropdown!$P$14:$Q$18,2,FALSE))</f>
        <v>Liters</v>
      </c>
      <c r="P40" s="29">
        <v>97</v>
      </c>
      <c r="Q40" s="17" t="str">
        <f t="shared" si="0"/>
        <v>Kilometers</v>
      </c>
      <c r="R40" s="195" t="s">
        <v>1621</v>
      </c>
    </row>
    <row r="41" spans="9:18" x14ac:dyDescent="0.2">
      <c r="I41" s="194">
        <f t="shared" si="1"/>
        <v>35</v>
      </c>
      <c r="J41" s="57" t="s">
        <v>343</v>
      </c>
      <c r="K41" s="57" t="s">
        <v>63</v>
      </c>
      <c r="L41" s="58" t="s">
        <v>390</v>
      </c>
      <c r="M41" s="18" t="str">
        <f>IF(Fuel_Veh[[#This Row],[Month]]&lt;&gt;"",VLOOKUP(Fuel_Veh[[#This Row],[Month]], dropdown!$S$4:$T$15, 2, FALSE),"")</f>
        <v>Q3</v>
      </c>
      <c r="N41" s="29">
        <v>97.27</v>
      </c>
      <c r="O41" s="17" t="str">
        <f>IF($K41="","",VLOOKUP($K41,dropdown!$P$14:$Q$18,2,FALSE))</f>
        <v>Liters</v>
      </c>
      <c r="P41" s="29">
        <v>250</v>
      </c>
      <c r="Q41" s="17" t="str">
        <f t="shared" si="0"/>
        <v>Kilometers</v>
      </c>
      <c r="R41" s="195" t="s">
        <v>1622</v>
      </c>
    </row>
    <row r="42" spans="9:18" x14ac:dyDescent="0.2">
      <c r="I42" s="194">
        <f t="shared" si="1"/>
        <v>36</v>
      </c>
      <c r="J42" s="57" t="s">
        <v>365</v>
      </c>
      <c r="K42" s="57" t="s">
        <v>411</v>
      </c>
      <c r="L42" s="58" t="s">
        <v>41</v>
      </c>
      <c r="M42" s="18" t="str">
        <f>IF(Fuel_Veh[[#This Row],[Month]]&lt;&gt;"",VLOOKUP(Fuel_Veh[[#This Row],[Month]], dropdown!$S$4:$T$15, 2, FALSE),"")</f>
        <v>Q3</v>
      </c>
      <c r="N42" s="29">
        <v>95.75</v>
      </c>
      <c r="O42" s="17" t="str">
        <f>IF($K42="","",VLOOKUP($K42,dropdown!$P$14:$Q$18,2,FALSE))</f>
        <v>Liters</v>
      </c>
      <c r="P42" s="29">
        <v>981</v>
      </c>
      <c r="Q42" s="17" t="str">
        <f t="shared" si="0"/>
        <v>Kilometers</v>
      </c>
      <c r="R42" s="195" t="s">
        <v>1616</v>
      </c>
    </row>
    <row r="43" spans="9:18" x14ac:dyDescent="0.2">
      <c r="I43" s="194">
        <f t="shared" si="1"/>
        <v>37</v>
      </c>
      <c r="J43" s="57" t="s">
        <v>381</v>
      </c>
      <c r="K43" s="57" t="s">
        <v>63</v>
      </c>
      <c r="L43" s="58" t="s">
        <v>41</v>
      </c>
      <c r="M43" s="18" t="str">
        <f>IF(Fuel_Veh[[#This Row],[Month]]&lt;&gt;"",VLOOKUP(Fuel_Veh[[#This Row],[Month]], dropdown!$S$4:$T$15, 2, FALSE),"")</f>
        <v>Q3</v>
      </c>
      <c r="N43" s="29">
        <v>72.819999999999993</v>
      </c>
      <c r="O43" s="17" t="str">
        <f>IF($K43="","",VLOOKUP($K43,dropdown!$P$14:$Q$18,2,FALSE))</f>
        <v>Liters</v>
      </c>
      <c r="P43" s="29">
        <v>756</v>
      </c>
      <c r="Q43" s="17" t="str">
        <f t="shared" si="0"/>
        <v>Kilometers</v>
      </c>
      <c r="R43" s="195" t="s">
        <v>1617</v>
      </c>
    </row>
    <row r="44" spans="9:18" x14ac:dyDescent="0.2">
      <c r="I44" s="194">
        <f t="shared" si="1"/>
        <v>38</v>
      </c>
      <c r="J44" s="57" t="s">
        <v>343</v>
      </c>
      <c r="K44" s="57" t="s">
        <v>63</v>
      </c>
      <c r="L44" s="58" t="s">
        <v>41</v>
      </c>
      <c r="M44" s="18" t="str">
        <f>IF(Fuel_Veh[[#This Row],[Month]]&lt;&gt;"",VLOOKUP(Fuel_Veh[[#This Row],[Month]], dropdown!$S$4:$T$15, 2, FALSE),"")</f>
        <v>Q3</v>
      </c>
      <c r="N44" s="29">
        <v>100</v>
      </c>
      <c r="O44" s="17" t="str">
        <f>IF($K44="","",VLOOKUP($K44,dropdown!$P$14:$Q$18,2,FALSE))</f>
        <v>Liters</v>
      </c>
      <c r="P44" s="29">
        <v>12</v>
      </c>
      <c r="Q44" s="17" t="str">
        <f t="shared" si="0"/>
        <v>Kilometers</v>
      </c>
      <c r="R44" s="195" t="s">
        <v>1619</v>
      </c>
    </row>
    <row r="45" spans="9:18" x14ac:dyDescent="0.2">
      <c r="I45" s="194">
        <f t="shared" si="1"/>
        <v>39</v>
      </c>
      <c r="J45" s="57" t="s">
        <v>343</v>
      </c>
      <c r="K45" s="57" t="s">
        <v>63</v>
      </c>
      <c r="L45" s="58" t="s">
        <v>41</v>
      </c>
      <c r="M45" s="18" t="str">
        <f>IF(Fuel_Veh[[#This Row],[Month]]&lt;&gt;"",VLOOKUP(Fuel_Veh[[#This Row],[Month]], dropdown!$S$4:$T$15, 2, FALSE),"")</f>
        <v>Q3</v>
      </c>
      <c r="N45" s="29">
        <v>0</v>
      </c>
      <c r="O45" s="17" t="str">
        <f>IF($K45="","",VLOOKUP($K45,dropdown!$P$14:$Q$18,2,FALSE))</f>
        <v>Liters</v>
      </c>
      <c r="P45" s="29">
        <v>0</v>
      </c>
      <c r="Q45" s="17" t="str">
        <f t="shared" si="0"/>
        <v>Kilometers</v>
      </c>
      <c r="R45" s="195" t="s">
        <v>1621</v>
      </c>
    </row>
    <row r="46" spans="9:18" x14ac:dyDescent="0.2">
      <c r="I46" s="194">
        <f t="shared" si="1"/>
        <v>40</v>
      </c>
      <c r="J46" s="57" t="s">
        <v>343</v>
      </c>
      <c r="K46" s="57" t="s">
        <v>63</v>
      </c>
      <c r="L46" s="58" t="s">
        <v>41</v>
      </c>
      <c r="M46" s="18" t="str">
        <f>IF(Fuel_Veh[[#This Row],[Month]]&lt;&gt;"",VLOOKUP(Fuel_Veh[[#This Row],[Month]], dropdown!$S$4:$T$15, 2, FALSE),"")</f>
        <v>Q3</v>
      </c>
      <c r="N46" s="29">
        <v>0</v>
      </c>
      <c r="O46" s="17" t="str">
        <f>IF($K46="","",VLOOKUP($K46,dropdown!$P$14:$Q$18,2,FALSE))</f>
        <v>Liters</v>
      </c>
      <c r="P46" s="29">
        <v>0</v>
      </c>
      <c r="Q46" s="17" t="str">
        <f t="shared" si="0"/>
        <v>Kilometers</v>
      </c>
      <c r="R46" s="195" t="s">
        <v>1622</v>
      </c>
    </row>
    <row r="47" spans="9:18" x14ac:dyDescent="0.2">
      <c r="I47" s="194">
        <f t="shared" si="1"/>
        <v>41</v>
      </c>
      <c r="J47" s="57" t="s">
        <v>365</v>
      </c>
      <c r="K47" s="57" t="s">
        <v>411</v>
      </c>
      <c r="L47" s="58" t="s">
        <v>397</v>
      </c>
      <c r="M47" s="18" t="str">
        <f>IF(Fuel_Veh[[#This Row],[Month]]&lt;&gt;"",VLOOKUP(Fuel_Veh[[#This Row],[Month]], dropdown!$S$4:$T$15, 2, FALSE),"")</f>
        <v>Q3</v>
      </c>
      <c r="N47" s="29">
        <v>75.430000000000007</v>
      </c>
      <c r="O47" s="17" t="str">
        <f>IF($K47="","",VLOOKUP($K47,dropdown!$P$14:$Q$18,2,FALSE))</f>
        <v>Liters</v>
      </c>
      <c r="P47" s="29">
        <v>706</v>
      </c>
      <c r="Q47" s="17" t="str">
        <f t="shared" si="0"/>
        <v>Kilometers</v>
      </c>
      <c r="R47" s="195" t="s">
        <v>1616</v>
      </c>
    </row>
    <row r="48" spans="9:18" x14ac:dyDescent="0.2">
      <c r="I48" s="194">
        <f t="shared" si="1"/>
        <v>42</v>
      </c>
      <c r="J48" s="57" t="s">
        <v>381</v>
      </c>
      <c r="K48" s="57" t="s">
        <v>63</v>
      </c>
      <c r="L48" s="58" t="s">
        <v>397</v>
      </c>
      <c r="M48" s="18" t="str">
        <f>IF(Fuel_Veh[[#This Row],[Month]]&lt;&gt;"",VLOOKUP(Fuel_Veh[[#This Row],[Month]], dropdown!$S$4:$T$15, 2, FALSE),"")</f>
        <v>Q3</v>
      </c>
      <c r="N48" s="29">
        <v>46.05</v>
      </c>
      <c r="O48" s="17" t="str">
        <f>IF($K48="","",VLOOKUP($K48,dropdown!$P$14:$Q$18,2,FALSE))</f>
        <v>Liters</v>
      </c>
      <c r="P48" s="29">
        <v>323</v>
      </c>
      <c r="Q48" s="17" t="str">
        <f t="shared" si="0"/>
        <v>Kilometers</v>
      </c>
      <c r="R48" s="195" t="s">
        <v>1617</v>
      </c>
    </row>
    <row r="49" spans="9:18" x14ac:dyDescent="0.2">
      <c r="I49" s="194">
        <f t="shared" si="1"/>
        <v>43</v>
      </c>
      <c r="J49" s="57" t="s">
        <v>343</v>
      </c>
      <c r="K49" s="57" t="s">
        <v>63</v>
      </c>
      <c r="L49" s="58" t="s">
        <v>397</v>
      </c>
      <c r="M49" s="18" t="str">
        <f>IF(Fuel_Veh[[#This Row],[Month]]&lt;&gt;"",VLOOKUP(Fuel_Veh[[#This Row],[Month]], dropdown!$S$4:$T$15, 2, FALSE),"")</f>
        <v>Q3</v>
      </c>
      <c r="N49" s="29">
        <v>110.26</v>
      </c>
      <c r="O49" s="17" t="str">
        <f>IF($K49="","",VLOOKUP($K49,dropdown!$P$14:$Q$18,2,FALSE))</f>
        <v>Liters</v>
      </c>
      <c r="P49" s="29">
        <v>306</v>
      </c>
      <c r="Q49" s="17" t="str">
        <f t="shared" si="0"/>
        <v>Kilometers</v>
      </c>
      <c r="R49" s="195" t="s">
        <v>1619</v>
      </c>
    </row>
    <row r="50" spans="9:18" x14ac:dyDescent="0.2">
      <c r="I50" s="194">
        <f t="shared" si="1"/>
        <v>44</v>
      </c>
      <c r="J50" s="57" t="s">
        <v>343</v>
      </c>
      <c r="K50" s="57" t="s">
        <v>63</v>
      </c>
      <c r="L50" s="58" t="s">
        <v>397</v>
      </c>
      <c r="M50" s="18" t="str">
        <f>IF(Fuel_Veh[[#This Row],[Month]]&lt;&gt;"",VLOOKUP(Fuel_Veh[[#This Row],[Month]], dropdown!$S$4:$T$15, 2, FALSE),"")</f>
        <v>Q3</v>
      </c>
      <c r="N50" s="29">
        <v>0</v>
      </c>
      <c r="O50" s="17" t="str">
        <f>IF($K50="","",VLOOKUP($K50,dropdown!$P$14:$Q$18,2,FALSE))</f>
        <v>Liters</v>
      </c>
      <c r="P50" s="29">
        <v>56</v>
      </c>
      <c r="Q50" s="17" t="str">
        <f t="shared" si="0"/>
        <v>Kilometers</v>
      </c>
      <c r="R50" s="195" t="s">
        <v>1621</v>
      </c>
    </row>
    <row r="51" spans="9:18" x14ac:dyDescent="0.2">
      <c r="I51" s="194">
        <f t="shared" si="1"/>
        <v>45</v>
      </c>
      <c r="J51" s="57" t="s">
        <v>343</v>
      </c>
      <c r="K51" s="57" t="s">
        <v>63</v>
      </c>
      <c r="L51" s="58" t="s">
        <v>397</v>
      </c>
      <c r="M51" s="18" t="str">
        <f>IF(Fuel_Veh[[#This Row],[Month]]&lt;&gt;"",VLOOKUP(Fuel_Veh[[#This Row],[Month]], dropdown!$S$4:$T$15, 2, FALSE),"")</f>
        <v>Q3</v>
      </c>
      <c r="N51" s="29">
        <v>65.989999999999995</v>
      </c>
      <c r="O51" s="17" t="str">
        <f>IF($K51="","",VLOOKUP($K51,dropdown!$P$14:$Q$18,2,FALSE))</f>
        <v>Liters</v>
      </c>
      <c r="P51" s="29">
        <v>250</v>
      </c>
      <c r="Q51" s="17" t="str">
        <f t="shared" si="0"/>
        <v>Kilometers</v>
      </c>
      <c r="R51" s="195" t="s">
        <v>1622</v>
      </c>
    </row>
    <row r="52" spans="9:18" x14ac:dyDescent="0.2">
      <c r="I52" s="194">
        <f t="shared" si="1"/>
        <v>46</v>
      </c>
      <c r="J52" s="57" t="s">
        <v>365</v>
      </c>
      <c r="K52" s="57" t="s">
        <v>411</v>
      </c>
      <c r="L52" s="58" t="s">
        <v>400</v>
      </c>
      <c r="M52" s="18" t="str">
        <f>IF(Fuel_Veh[[#This Row],[Month]]&lt;&gt;"",VLOOKUP(Fuel_Veh[[#This Row],[Month]], dropdown!$S$4:$T$15, 2, FALSE),"")</f>
        <v>Q4</v>
      </c>
      <c r="N52" s="29">
        <v>132.66</v>
      </c>
      <c r="O52" s="17" t="str">
        <f>IF($K52="","",VLOOKUP($K52,dropdown!$P$14:$Q$18,2,FALSE))</f>
        <v>Liters</v>
      </c>
      <c r="P52" s="29">
        <v>1307</v>
      </c>
      <c r="Q52" s="17" t="str">
        <f t="shared" si="0"/>
        <v>Kilometers</v>
      </c>
      <c r="R52" s="195" t="s">
        <v>1616</v>
      </c>
    </row>
    <row r="53" spans="9:18" x14ac:dyDescent="0.2">
      <c r="I53" s="194">
        <f t="shared" si="1"/>
        <v>47</v>
      </c>
      <c r="J53" s="57" t="s">
        <v>381</v>
      </c>
      <c r="K53" s="57" t="s">
        <v>63</v>
      </c>
      <c r="L53" s="58" t="s">
        <v>400</v>
      </c>
      <c r="M53" s="18" t="str">
        <f>IF(Fuel_Veh[[#This Row],[Month]]&lt;&gt;"",VLOOKUP(Fuel_Veh[[#This Row],[Month]], dropdown!$S$4:$T$15, 2, FALSE),"")</f>
        <v>Q4</v>
      </c>
      <c r="N53" s="29">
        <v>113.11</v>
      </c>
      <c r="O53" s="17" t="str">
        <f>IF($K53="","",VLOOKUP($K53,dropdown!$P$14:$Q$18,2,FALSE))</f>
        <v>Liters</v>
      </c>
      <c r="P53" s="29">
        <v>802</v>
      </c>
      <c r="Q53" s="17" t="str">
        <f t="shared" si="0"/>
        <v>Kilometers</v>
      </c>
      <c r="R53" s="195" t="s">
        <v>1617</v>
      </c>
    </row>
    <row r="54" spans="9:18" x14ac:dyDescent="0.2">
      <c r="I54" s="194">
        <f t="shared" si="1"/>
        <v>48</v>
      </c>
      <c r="J54" s="57" t="s">
        <v>343</v>
      </c>
      <c r="K54" s="57" t="s">
        <v>63</v>
      </c>
      <c r="L54" s="58" t="s">
        <v>400</v>
      </c>
      <c r="M54" s="18" t="str">
        <f>IF(Fuel_Veh[[#This Row],[Month]]&lt;&gt;"",VLOOKUP(Fuel_Veh[[#This Row],[Month]], dropdown!$S$4:$T$15, 2, FALSE),"")</f>
        <v>Q4</v>
      </c>
      <c r="N54" s="29">
        <v>0</v>
      </c>
      <c r="O54" s="17" t="str">
        <f>IF($K54="","",VLOOKUP($K54,dropdown!$P$14:$Q$18,2,FALSE))</f>
        <v>Liters</v>
      </c>
      <c r="P54" s="29">
        <v>23</v>
      </c>
      <c r="Q54" s="17" t="str">
        <f t="shared" si="0"/>
        <v>Kilometers</v>
      </c>
      <c r="R54" s="195" t="s">
        <v>1619</v>
      </c>
    </row>
    <row r="55" spans="9:18" x14ac:dyDescent="0.2">
      <c r="I55" s="194">
        <f t="shared" si="1"/>
        <v>49</v>
      </c>
      <c r="J55" s="57" t="s">
        <v>343</v>
      </c>
      <c r="K55" s="57" t="s">
        <v>63</v>
      </c>
      <c r="L55" s="58" t="s">
        <v>400</v>
      </c>
      <c r="M55" s="18" t="str">
        <f>IF(Fuel_Veh[[#This Row],[Month]]&lt;&gt;"",VLOOKUP(Fuel_Veh[[#This Row],[Month]], dropdown!$S$4:$T$15, 2, FALSE),"")</f>
        <v>Q4</v>
      </c>
      <c r="N55" s="29">
        <v>0</v>
      </c>
      <c r="O55" s="17" t="str">
        <f>IF($K55="","",VLOOKUP($K55,dropdown!$P$14:$Q$18,2,FALSE))</f>
        <v>Liters</v>
      </c>
      <c r="P55" s="29">
        <v>0</v>
      </c>
      <c r="Q55" s="17" t="str">
        <f t="shared" si="0"/>
        <v>Kilometers</v>
      </c>
      <c r="R55" s="195" t="s">
        <v>1621</v>
      </c>
    </row>
    <row r="56" spans="9:18" x14ac:dyDescent="0.2">
      <c r="I56" s="194">
        <f t="shared" si="1"/>
        <v>50</v>
      </c>
      <c r="J56" s="57" t="s">
        <v>343</v>
      </c>
      <c r="K56" s="57" t="s">
        <v>63</v>
      </c>
      <c r="L56" s="58" t="s">
        <v>400</v>
      </c>
      <c r="M56" s="18" t="str">
        <f>IF(Fuel_Veh[[#This Row],[Month]]&lt;&gt;"",VLOOKUP(Fuel_Veh[[#This Row],[Month]], dropdown!$S$4:$T$15, 2, FALSE),"")</f>
        <v>Q4</v>
      </c>
      <c r="N56" s="29">
        <v>0</v>
      </c>
      <c r="O56" s="17" t="str">
        <f>IF($K56="","",VLOOKUP($K56,dropdown!$P$14:$Q$18,2,FALSE))</f>
        <v>Liters</v>
      </c>
      <c r="P56" s="29">
        <v>176</v>
      </c>
      <c r="Q56" s="17" t="str">
        <f t="shared" si="0"/>
        <v>Kilometers</v>
      </c>
      <c r="R56" s="195" t="s">
        <v>1622</v>
      </c>
    </row>
    <row r="57" spans="9:18" x14ac:dyDescent="0.2">
      <c r="I57" s="194">
        <f t="shared" si="1"/>
        <v>51</v>
      </c>
      <c r="J57" s="57" t="s">
        <v>365</v>
      </c>
      <c r="K57" s="57" t="s">
        <v>411</v>
      </c>
      <c r="L57" s="58" t="s">
        <v>404</v>
      </c>
      <c r="M57" s="18" t="str">
        <f>IF(Fuel_Veh[[#This Row],[Month]]&lt;&gt;"",VLOOKUP(Fuel_Veh[[#This Row],[Month]], dropdown!$S$4:$T$15, 2, FALSE),"")</f>
        <v>Q4</v>
      </c>
      <c r="N57" s="29">
        <v>59.42</v>
      </c>
      <c r="O57" s="17" t="str">
        <f>IF($K57="","",VLOOKUP($K57,dropdown!$P$14:$Q$18,2,FALSE))</f>
        <v>Liters</v>
      </c>
      <c r="P57" s="29">
        <v>193</v>
      </c>
      <c r="Q57" s="17" t="str">
        <f t="shared" si="0"/>
        <v>Kilometers</v>
      </c>
      <c r="R57" s="195" t="s">
        <v>1616</v>
      </c>
    </row>
    <row r="58" spans="9:18" x14ac:dyDescent="0.2">
      <c r="I58" s="194">
        <f t="shared" si="1"/>
        <v>52</v>
      </c>
      <c r="J58" s="57" t="s">
        <v>381</v>
      </c>
      <c r="K58" s="57" t="s">
        <v>63</v>
      </c>
      <c r="L58" s="58" t="s">
        <v>404</v>
      </c>
      <c r="M58" s="18" t="str">
        <f>IF(Fuel_Veh[[#This Row],[Month]]&lt;&gt;"",VLOOKUP(Fuel_Veh[[#This Row],[Month]], dropdown!$S$4:$T$15, 2, FALSE),"")</f>
        <v>Q4</v>
      </c>
      <c r="N58" s="29">
        <v>45.61</v>
      </c>
      <c r="O58" s="17" t="str">
        <f>IF($K58="","",VLOOKUP($K58,dropdown!$P$14:$Q$18,2,FALSE))</f>
        <v>Liters</v>
      </c>
      <c r="P58" s="29">
        <v>319</v>
      </c>
      <c r="Q58" s="17" t="str">
        <f t="shared" si="0"/>
        <v>Kilometers</v>
      </c>
      <c r="R58" s="195" t="s">
        <v>1617</v>
      </c>
    </row>
    <row r="59" spans="9:18" x14ac:dyDescent="0.2">
      <c r="I59" s="194">
        <f t="shared" si="1"/>
        <v>53</v>
      </c>
      <c r="J59" s="57" t="s">
        <v>343</v>
      </c>
      <c r="K59" s="57" t="s">
        <v>63</v>
      </c>
      <c r="L59" s="58" t="s">
        <v>404</v>
      </c>
      <c r="M59" s="18" t="str">
        <f>IF(Fuel_Veh[[#This Row],[Month]]&lt;&gt;"",VLOOKUP(Fuel_Veh[[#This Row],[Month]], dropdown!$S$4:$T$15, 2, FALSE),"")</f>
        <v>Q4</v>
      </c>
      <c r="N59" s="29">
        <v>0</v>
      </c>
      <c r="O59" s="17" t="str">
        <f>IF($K59="","",VLOOKUP($K59,dropdown!$P$14:$Q$18,2,FALSE))</f>
        <v>Liters</v>
      </c>
      <c r="P59" s="29">
        <v>243</v>
      </c>
      <c r="Q59" s="17" t="str">
        <f t="shared" si="0"/>
        <v>Kilometers</v>
      </c>
      <c r="R59" s="195" t="s">
        <v>1619</v>
      </c>
    </row>
    <row r="60" spans="9:18" x14ac:dyDescent="0.2">
      <c r="I60" s="194">
        <f t="shared" si="1"/>
        <v>54</v>
      </c>
      <c r="J60" s="57" t="s">
        <v>343</v>
      </c>
      <c r="K60" s="57" t="s">
        <v>63</v>
      </c>
      <c r="L60" s="58" t="s">
        <v>404</v>
      </c>
      <c r="M60" s="18" t="str">
        <f>IF(Fuel_Veh[[#This Row],[Month]]&lt;&gt;"",VLOOKUP(Fuel_Veh[[#This Row],[Month]], dropdown!$S$4:$T$15, 2, FALSE),"")</f>
        <v>Q4</v>
      </c>
      <c r="N60" s="29">
        <v>0</v>
      </c>
      <c r="O60" s="17" t="str">
        <f>IF($K60="","",VLOOKUP($K60,dropdown!$P$14:$Q$18,2,FALSE))</f>
        <v>Liters</v>
      </c>
      <c r="P60" s="29">
        <v>0</v>
      </c>
      <c r="Q60" s="17" t="str">
        <f t="shared" si="0"/>
        <v>Kilometers</v>
      </c>
      <c r="R60" s="195" t="s">
        <v>1621</v>
      </c>
    </row>
    <row r="61" spans="9:18" x14ac:dyDescent="0.2">
      <c r="I61" s="194">
        <f t="shared" si="1"/>
        <v>55</v>
      </c>
      <c r="J61" s="57" t="s">
        <v>343</v>
      </c>
      <c r="K61" s="57" t="s">
        <v>63</v>
      </c>
      <c r="L61" s="58" t="s">
        <v>404</v>
      </c>
      <c r="M61" s="18" t="str">
        <f>IF(Fuel_Veh[[#This Row],[Month]]&lt;&gt;"",VLOOKUP(Fuel_Veh[[#This Row],[Month]], dropdown!$S$4:$T$15, 2, FALSE),"")</f>
        <v>Q4</v>
      </c>
      <c r="N61" s="29">
        <v>0</v>
      </c>
      <c r="O61" s="17" t="str">
        <f>IF($K61="","",VLOOKUP($K61,dropdown!$P$14:$Q$18,2,FALSE))</f>
        <v>Liters</v>
      </c>
      <c r="P61" s="29">
        <v>263</v>
      </c>
      <c r="Q61" s="17" t="str">
        <f t="shared" si="0"/>
        <v>Kilometers</v>
      </c>
      <c r="R61" s="195" t="s">
        <v>1622</v>
      </c>
    </row>
    <row r="62" spans="9:18" x14ac:dyDescent="0.2">
      <c r="I62" s="194">
        <f t="shared" si="1"/>
        <v>56</v>
      </c>
      <c r="J62" s="57" t="s">
        <v>365</v>
      </c>
      <c r="K62" s="57" t="s">
        <v>411</v>
      </c>
      <c r="L62" s="58" t="s">
        <v>407</v>
      </c>
      <c r="M62" s="18" t="str">
        <f>IF(Fuel_Veh[[#This Row],[Month]]&lt;&gt;"",VLOOKUP(Fuel_Veh[[#This Row],[Month]], dropdown!$S$4:$T$15, 2, FALSE),"")</f>
        <v>Q4</v>
      </c>
      <c r="N62" s="29">
        <v>0</v>
      </c>
      <c r="O62" s="17" t="str">
        <f>IF($K62="","",VLOOKUP($K62,dropdown!$P$14:$Q$18,2,FALSE))</f>
        <v>Liters</v>
      </c>
      <c r="P62" s="29">
        <v>523</v>
      </c>
      <c r="Q62" s="17" t="str">
        <f t="shared" si="0"/>
        <v>Kilometers</v>
      </c>
      <c r="R62" s="195" t="s">
        <v>1616</v>
      </c>
    </row>
    <row r="63" spans="9:18" x14ac:dyDescent="0.2">
      <c r="I63" s="194">
        <f t="shared" si="1"/>
        <v>57</v>
      </c>
      <c r="J63" s="57" t="s">
        <v>381</v>
      </c>
      <c r="K63" s="57" t="s">
        <v>63</v>
      </c>
      <c r="L63" s="58" t="s">
        <v>407</v>
      </c>
      <c r="M63" s="18" t="str">
        <f>IF(Fuel_Veh[[#This Row],[Month]]&lt;&gt;"",VLOOKUP(Fuel_Veh[[#This Row],[Month]], dropdown!$S$4:$T$15, 2, FALSE),"")</f>
        <v>Q4</v>
      </c>
      <c r="N63" s="29">
        <v>0</v>
      </c>
      <c r="O63" s="17" t="str">
        <f>IF($K63="","",VLOOKUP($K63,dropdown!$P$14:$Q$18,2,FALSE))</f>
        <v>Liters</v>
      </c>
      <c r="P63" s="29">
        <v>139</v>
      </c>
      <c r="Q63" s="17" t="str">
        <f t="shared" si="0"/>
        <v>Kilometers</v>
      </c>
      <c r="R63" s="195" t="s">
        <v>1617</v>
      </c>
    </row>
    <row r="64" spans="9:18" x14ac:dyDescent="0.2">
      <c r="I64" s="194">
        <f t="shared" si="1"/>
        <v>58</v>
      </c>
      <c r="J64" s="57" t="s">
        <v>343</v>
      </c>
      <c r="K64" s="57" t="s">
        <v>63</v>
      </c>
      <c r="L64" s="58" t="s">
        <v>407</v>
      </c>
      <c r="M64" s="18" t="str">
        <f>IF(Fuel_Veh[[#This Row],[Month]]&lt;&gt;"",VLOOKUP(Fuel_Veh[[#This Row],[Month]], dropdown!$S$4:$T$15, 2, FALSE),"")</f>
        <v>Q4</v>
      </c>
      <c r="N64" s="29">
        <v>81.239999999999995</v>
      </c>
      <c r="O64" s="17" t="str">
        <f>IF($K64="","",VLOOKUP($K64,dropdown!$P$14:$Q$18,2,FALSE))</f>
        <v>Liters</v>
      </c>
      <c r="P64" s="29">
        <v>8</v>
      </c>
      <c r="Q64" s="17" t="str">
        <f t="shared" si="0"/>
        <v>Kilometers</v>
      </c>
      <c r="R64" s="195" t="s">
        <v>1619</v>
      </c>
    </row>
    <row r="65" spans="9:18" x14ac:dyDescent="0.2">
      <c r="I65" s="194">
        <f t="shared" si="1"/>
        <v>59</v>
      </c>
      <c r="J65" s="57" t="s">
        <v>343</v>
      </c>
      <c r="K65" s="57" t="s">
        <v>63</v>
      </c>
      <c r="L65" s="58" t="s">
        <v>407</v>
      </c>
      <c r="M65" s="18" t="str">
        <f>IF(Fuel_Veh[[#This Row],[Month]]&lt;&gt;"",VLOOKUP(Fuel_Veh[[#This Row],[Month]], dropdown!$S$4:$T$15, 2, FALSE),"")</f>
        <v>Q4</v>
      </c>
      <c r="N65" s="29">
        <v>0</v>
      </c>
      <c r="O65" s="17" t="str">
        <f>IF($K65="","",VLOOKUP($K65,dropdown!$P$14:$Q$18,2,FALSE))</f>
        <v>Liters</v>
      </c>
      <c r="P65" s="29">
        <v>0</v>
      </c>
      <c r="Q65" s="17" t="str">
        <f t="shared" si="0"/>
        <v>Kilometers</v>
      </c>
      <c r="R65" s="195" t="s">
        <v>1621</v>
      </c>
    </row>
    <row r="66" spans="9:18" x14ac:dyDescent="0.2">
      <c r="I66" s="194">
        <f t="shared" si="1"/>
        <v>60</v>
      </c>
      <c r="J66" s="57" t="s">
        <v>343</v>
      </c>
      <c r="K66" s="57" t="s">
        <v>63</v>
      </c>
      <c r="L66" s="58" t="s">
        <v>407</v>
      </c>
      <c r="M66" s="18" t="str">
        <f>IF(Fuel_Veh[[#This Row],[Month]]&lt;&gt;"",VLOOKUP(Fuel_Veh[[#This Row],[Month]], dropdown!$S$4:$T$15, 2, FALSE),"")</f>
        <v>Q4</v>
      </c>
      <c r="N66" s="29">
        <v>115.97</v>
      </c>
      <c r="O66" s="17" t="str">
        <f>IF($K66="","",VLOOKUP($K66,dropdown!$P$14:$Q$18,2,FALSE))</f>
        <v>Liters</v>
      </c>
      <c r="P66" s="29">
        <v>15</v>
      </c>
      <c r="Q66" s="17" t="str">
        <f t="shared" si="0"/>
        <v>Kilometers</v>
      </c>
      <c r="R66" s="195" t="s">
        <v>1622</v>
      </c>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W37" sqref="W3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Roxas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5"/>
      <c r="D6" s="446"/>
      <c r="E6" s="446"/>
      <c r="F6" s="446"/>
      <c r="G6" s="447"/>
      <c r="I6" s="298"/>
      <c r="J6" s="298"/>
      <c r="K6" s="298"/>
      <c r="L6" s="298"/>
      <c r="M6" s="298"/>
      <c r="N6" s="298"/>
      <c r="O6" s="298"/>
      <c r="P6" s="298"/>
      <c r="Q6" s="298"/>
      <c r="R6" s="298"/>
      <c r="S6" s="298"/>
      <c r="T6" s="298"/>
      <c r="U6" s="298"/>
      <c r="V6" s="298"/>
    </row>
    <row r="7" spans="2:31" ht="15" customHeight="1" x14ac:dyDescent="0.2">
      <c r="B7" s="278" t="s">
        <v>174</v>
      </c>
      <c r="C7" s="445"/>
      <c r="D7" s="446"/>
      <c r="E7" s="446"/>
      <c r="F7" s="446"/>
      <c r="G7" s="447"/>
      <c r="I7" s="418" t="s">
        <v>154</v>
      </c>
      <c r="J7" s="417"/>
      <c r="K7" s="415"/>
      <c r="L7" s="415"/>
      <c r="M7" s="415"/>
      <c r="N7" s="415"/>
      <c r="O7" s="448" t="s">
        <v>183</v>
      </c>
      <c r="P7" s="448"/>
      <c r="Q7" s="449" t="s">
        <v>184</v>
      </c>
      <c r="R7" s="450"/>
      <c r="S7" s="451" t="s">
        <v>86</v>
      </c>
      <c r="T7" s="452"/>
      <c r="U7" s="452"/>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1771</v>
      </c>
      <c r="K9" s="391" t="s">
        <v>200</v>
      </c>
      <c r="L9" s="392">
        <v>1</v>
      </c>
      <c r="M9" s="393" t="s">
        <v>372</v>
      </c>
      <c r="N9" s="419" t="s">
        <v>188</v>
      </c>
      <c r="O9" s="397" t="s">
        <v>386</v>
      </c>
      <c r="P9" s="398">
        <v>1.1499999999999999</v>
      </c>
      <c r="Q9" s="397"/>
      <c r="R9" s="399"/>
      <c r="S9" s="397"/>
      <c r="T9" s="399"/>
      <c r="U9" s="399"/>
      <c r="V9" s="430" t="str">
        <f>IFERROR(VLOOKUP($O9, dropdown!$S$4:$T$15, 2, FALSE),
 IFERROR(VLOOKUP($Q9, dropdown!$S$4:$T$15, 2, FALSE),
 IFERROR(VLOOKUP($S9, dropdown!$S$4:$T$15, 2, FALSE),
 "")))</f>
        <v>Q2</v>
      </c>
      <c r="W9" s="392" t="s">
        <v>1776</v>
      </c>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4" t="s">
        <v>1771</v>
      </c>
      <c r="K10" s="57" t="s">
        <v>200</v>
      </c>
      <c r="L10" s="28">
        <v>1</v>
      </c>
      <c r="M10" s="264" t="s">
        <v>372</v>
      </c>
      <c r="N10" s="401" t="s">
        <v>188</v>
      </c>
      <c r="O10" s="397" t="s">
        <v>386</v>
      </c>
      <c r="P10" s="398">
        <v>1.1499999999999999</v>
      </c>
      <c r="Q10" s="397"/>
      <c r="R10" s="399"/>
      <c r="S10" s="397"/>
      <c r="T10" s="399"/>
      <c r="U10" s="399"/>
      <c r="V10" s="430" t="str">
        <f>IFERROR(VLOOKUP($O10, dropdown!$S$4:$T$15, 2, FALSE),
 IFERROR(VLOOKUP($Q10, dropdown!$S$4:$T$15, 2, FALSE),
 IFERROR(VLOOKUP($S10, dropdown!$S$4:$T$15, 2, FALSE),
 "")))</f>
        <v>Q2</v>
      </c>
      <c r="W10" s="392" t="s">
        <v>1776</v>
      </c>
      <c r="X10" s="56"/>
      <c r="AB10" s="11"/>
      <c r="AE10" s="11"/>
    </row>
    <row r="11" spans="2:31" ht="14" x14ac:dyDescent="0.2">
      <c r="B11" s="41" t="s">
        <v>188</v>
      </c>
      <c r="C11" s="17" t="s">
        <v>189</v>
      </c>
      <c r="D11" s="176">
        <f>SUMIFS($L$9:$L$107,$N$9:$N$107,$B11,$V$9:$V$107,$D$10)</f>
        <v>0</v>
      </c>
      <c r="E11" s="176">
        <f>SUMIFS($L$9:$L$107,$N$9:$N$107,$B11,$V$9:$V$107,$E$10)</f>
        <v>6</v>
      </c>
      <c r="F11" s="176">
        <f>SUMIFS($L$9:$L$107,$N$9:$N$107,$B11,$V$9:$V$107,$F$10)</f>
        <v>0</v>
      </c>
      <c r="G11" s="176">
        <f>SUMIFS($L$9:$L$107,$N$9:$N$107,$B11,$V$9:$V$107,$G$10)</f>
        <v>0</v>
      </c>
      <c r="I11" s="18">
        <f t="shared" si="0"/>
        <v>3</v>
      </c>
      <c r="J11" s="434" t="s">
        <v>1774</v>
      </c>
      <c r="K11" s="57" t="s">
        <v>200</v>
      </c>
      <c r="L11" s="28">
        <v>1</v>
      </c>
      <c r="M11" s="264" t="s">
        <v>380</v>
      </c>
      <c r="N11" s="401" t="s">
        <v>352</v>
      </c>
      <c r="O11" s="397"/>
      <c r="P11" s="398"/>
      <c r="Q11" s="397"/>
      <c r="R11" s="399">
        <v>0</v>
      </c>
      <c r="S11" s="397"/>
      <c r="T11" s="399"/>
      <c r="U11" s="399"/>
      <c r="V11" s="430" t="str">
        <f>IFERROR(VLOOKUP($O11, dropdown!$S$4:$T$15, 2, FALSE),
 IFERROR(VLOOKUP($Q11, dropdown!$S$4:$T$15, 2, FALSE),
 IFERROR(VLOOKUP($S11, dropdown!$S$4:$T$15, 2, FALSE),
 "")))</f>
        <v/>
      </c>
      <c r="W11" s="392" t="s">
        <v>1776</v>
      </c>
      <c r="X11" s="56"/>
      <c r="AB11" s="11"/>
      <c r="AE11" s="11"/>
    </row>
    <row r="12" spans="2:31" ht="14" x14ac:dyDescent="0.2">
      <c r="B12" s="17" t="s">
        <v>184</v>
      </c>
      <c r="C12" s="17" t="s">
        <v>189</v>
      </c>
      <c r="D12" s="176">
        <f>SUMIFS($L$9:$L$107,$N$9:$N$107,$B12,$V$9:$V$107,$D$10)</f>
        <v>0</v>
      </c>
      <c r="E12" s="176">
        <f>SUMIFS($L$9:$L$107,$N$9:$N$107,$B12,$V$9:$V$107,$E$10)</f>
        <v>0</v>
      </c>
      <c r="F12" s="176">
        <f>SUMIFS($L$9:$L$107,$N$9:$N$107,$B12,$V$9:$V$107,$F$10)</f>
        <v>1</v>
      </c>
      <c r="G12" s="176">
        <f>SUMIFS($L$9:$L$107,$N$9:$N$107,$B12,$V$9:$V$107,$G$10)</f>
        <v>0</v>
      </c>
      <c r="I12" s="18">
        <f t="shared" si="0"/>
        <v>4</v>
      </c>
      <c r="J12" s="434" t="s">
        <v>1775</v>
      </c>
      <c r="K12" s="57" t="s">
        <v>200</v>
      </c>
      <c r="L12" s="28">
        <v>1</v>
      </c>
      <c r="M12" s="264" t="s">
        <v>380</v>
      </c>
      <c r="N12" s="401" t="s">
        <v>188</v>
      </c>
      <c r="O12" s="397" t="s">
        <v>386</v>
      </c>
      <c r="P12" s="398">
        <v>2.2999999999999998</v>
      </c>
      <c r="Q12" s="397"/>
      <c r="R12" s="399"/>
      <c r="S12" s="397"/>
      <c r="T12" s="399"/>
      <c r="U12" s="399"/>
      <c r="V12" s="430" t="str">
        <f>IFERROR(VLOOKUP($O12, dropdown!$S$4:$T$15, 2, FALSE),
 IFERROR(VLOOKUP($Q12, dropdown!$S$4:$T$15, 2, FALSE),
 IFERROR(VLOOKUP($S12, dropdown!$S$4:$T$15, 2, FALSE),
 "")))</f>
        <v>Q2</v>
      </c>
      <c r="W12" s="392" t="s">
        <v>1776</v>
      </c>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4" t="s">
        <v>1778</v>
      </c>
      <c r="K13" s="57" t="s">
        <v>200</v>
      </c>
      <c r="L13" s="28">
        <v>1</v>
      </c>
      <c r="M13" s="264" t="s">
        <v>380</v>
      </c>
      <c r="N13" s="401" t="s">
        <v>188</v>
      </c>
      <c r="O13" s="397" t="s">
        <v>386</v>
      </c>
      <c r="P13" s="398">
        <v>2.2999999999999998</v>
      </c>
      <c r="Q13" s="397"/>
      <c r="R13" s="399">
        <v>0</v>
      </c>
      <c r="S13" s="397"/>
      <c r="T13" s="399"/>
      <c r="U13" s="399"/>
      <c r="V13" s="430" t="str">
        <f>IFERROR(VLOOKUP($O13, dropdown!$S$4:$T$15, 2, FALSE),
 IFERROR(VLOOKUP($Q13, dropdown!$S$4:$T$15, 2, FALSE),
 IFERROR(VLOOKUP($S13, dropdown!$S$4:$T$15, 2, FALSE),
 "")))</f>
        <v>Q2</v>
      </c>
      <c r="W13" s="392" t="s">
        <v>1776</v>
      </c>
      <c r="AB13" s="11"/>
      <c r="AE13" s="11"/>
    </row>
    <row r="14" spans="2:31" ht="17" customHeight="1" x14ac:dyDescent="0.2">
      <c r="D14" s="177" t="str">
        <f>IF(SUM(D$11:D$13)&gt;0,"x","")</f>
        <v/>
      </c>
      <c r="E14" s="177" t="str">
        <f t="shared" ref="E14:G14" si="1">IF(SUM(E$11:E$13)&gt;0,"x","")</f>
        <v>x</v>
      </c>
      <c r="F14" s="177" t="str">
        <f t="shared" si="1"/>
        <v>x</v>
      </c>
      <c r="G14" s="177" t="str">
        <f t="shared" si="1"/>
        <v/>
      </c>
      <c r="I14" s="18">
        <f t="shared" si="0"/>
        <v>6</v>
      </c>
      <c r="J14" s="434" t="s">
        <v>1778</v>
      </c>
      <c r="K14" s="57" t="s">
        <v>200</v>
      </c>
      <c r="L14" s="28">
        <v>1</v>
      </c>
      <c r="M14" s="264" t="s">
        <v>380</v>
      </c>
      <c r="N14" s="401" t="s">
        <v>352</v>
      </c>
      <c r="O14" s="397"/>
      <c r="P14" s="398"/>
      <c r="Q14" s="397"/>
      <c r="R14" s="399">
        <v>0</v>
      </c>
      <c r="S14" s="397"/>
      <c r="T14" s="399"/>
      <c r="U14" s="399"/>
      <c r="V14" s="430" t="str">
        <f>IFERROR(VLOOKUP($O14, dropdown!$S$4:$T$15, 2, FALSE),
 IFERROR(VLOOKUP($Q14, dropdown!$S$4:$T$15, 2, FALSE),
 IFERROR(VLOOKUP($S14, dropdown!$S$4:$T$15, 2, FALSE),
 "")))</f>
        <v/>
      </c>
      <c r="W14" s="392" t="s">
        <v>1776</v>
      </c>
      <c r="AB14" s="11"/>
      <c r="AE14" s="11"/>
    </row>
    <row r="15" spans="2:31" ht="17" customHeight="1" x14ac:dyDescent="0.2">
      <c r="B15" s="119" t="s">
        <v>38</v>
      </c>
      <c r="I15" s="18">
        <f t="shared" si="0"/>
        <v>7</v>
      </c>
      <c r="J15" s="434" t="s">
        <v>1778</v>
      </c>
      <c r="K15" s="57" t="s">
        <v>200</v>
      </c>
      <c r="L15" s="28">
        <v>1</v>
      </c>
      <c r="M15" s="264" t="s">
        <v>380</v>
      </c>
      <c r="N15" s="401" t="s">
        <v>352</v>
      </c>
      <c r="O15" s="397"/>
      <c r="P15" s="398"/>
      <c r="Q15" s="397"/>
      <c r="R15" s="399">
        <v>0</v>
      </c>
      <c r="S15" s="397"/>
      <c r="T15" s="399"/>
      <c r="U15" s="399"/>
      <c r="V15" s="430" t="str">
        <f>IFERROR(VLOOKUP($O15, dropdown!$S$4:$T$15, 2, FALSE),
 IFERROR(VLOOKUP($Q15, dropdown!$S$4:$T$15, 2, FALSE),
 IFERROR(VLOOKUP($S15, dropdown!$S$4:$T$15, 2, FALSE),
 "")))</f>
        <v/>
      </c>
      <c r="W15" s="392" t="s">
        <v>1776</v>
      </c>
      <c r="AB15" s="11"/>
      <c r="AE15" s="11"/>
    </row>
    <row r="16" spans="2:31" ht="14" x14ac:dyDescent="0.2">
      <c r="B16" s="120" t="s">
        <v>175</v>
      </c>
      <c r="I16" s="18">
        <f t="shared" si="0"/>
        <v>8</v>
      </c>
      <c r="J16" s="434" t="s">
        <v>1781</v>
      </c>
      <c r="K16" s="57" t="s">
        <v>200</v>
      </c>
      <c r="L16" s="28">
        <v>1</v>
      </c>
      <c r="M16" s="264" t="s">
        <v>380</v>
      </c>
      <c r="N16" s="401" t="s">
        <v>352</v>
      </c>
      <c r="O16" s="397"/>
      <c r="P16" s="398"/>
      <c r="Q16" s="397"/>
      <c r="R16" s="399">
        <v>0</v>
      </c>
      <c r="S16" s="397"/>
      <c r="T16" s="399"/>
      <c r="U16" s="399"/>
      <c r="V16" s="430" t="str">
        <f>IFERROR(VLOOKUP($O16, dropdown!$S$4:$T$15, 2, FALSE),
 IFERROR(VLOOKUP($Q16, dropdown!$S$4:$T$15, 2, FALSE),
 IFERROR(VLOOKUP($S16, dropdown!$S$4:$T$15, 2, FALSE),
 "")))</f>
        <v/>
      </c>
      <c r="W16" s="392" t="s">
        <v>1776</v>
      </c>
      <c r="AB16" s="11"/>
      <c r="AE16" s="11"/>
    </row>
    <row r="17" spans="2:31" ht="15" customHeight="1" x14ac:dyDescent="0.2">
      <c r="B17" s="121" t="s">
        <v>176</v>
      </c>
      <c r="I17" s="18">
        <f t="shared" si="0"/>
        <v>9</v>
      </c>
      <c r="J17" s="434" t="s">
        <v>1782</v>
      </c>
      <c r="K17" s="57" t="s">
        <v>200</v>
      </c>
      <c r="L17" s="28">
        <v>1</v>
      </c>
      <c r="M17" s="264" t="s">
        <v>380</v>
      </c>
      <c r="N17" s="401" t="s">
        <v>352</v>
      </c>
      <c r="O17" s="397"/>
      <c r="P17" s="398"/>
      <c r="Q17" s="397" t="s">
        <v>397</v>
      </c>
      <c r="R17" s="399">
        <v>3.8</v>
      </c>
      <c r="S17" s="397"/>
      <c r="T17" s="399"/>
      <c r="U17" s="399"/>
      <c r="V17" s="430" t="str">
        <f>IFERROR(VLOOKUP($O17, dropdown!$S$4:$T$15, 2, FALSE),
 IFERROR(VLOOKUP($Q17, dropdown!$S$4:$T$15, 2, FALSE),
 IFERROR(VLOOKUP($S17, dropdown!$S$4:$T$15, 2, FALSE),
 "")))</f>
        <v>Q3</v>
      </c>
      <c r="W17" s="392" t="s">
        <v>1776</v>
      </c>
      <c r="AB17" s="11"/>
      <c r="AE17" s="11"/>
    </row>
    <row r="18" spans="2:31" ht="15" customHeight="1" x14ac:dyDescent="0.2">
      <c r="B18" s="122" t="s">
        <v>177</v>
      </c>
      <c r="I18" s="18">
        <f t="shared" si="0"/>
        <v>10</v>
      </c>
      <c r="J18" s="434" t="s">
        <v>1791</v>
      </c>
      <c r="K18" s="57" t="s">
        <v>200</v>
      </c>
      <c r="L18" s="28">
        <v>1</v>
      </c>
      <c r="M18" s="264" t="s">
        <v>372</v>
      </c>
      <c r="N18" s="401" t="s">
        <v>352</v>
      </c>
      <c r="O18" s="397"/>
      <c r="P18" s="398"/>
      <c r="Q18" s="397"/>
      <c r="R18" s="399">
        <v>0</v>
      </c>
      <c r="S18" s="397"/>
      <c r="T18" s="399"/>
      <c r="U18" s="399"/>
      <c r="V18" s="430" t="str">
        <f>IFERROR(VLOOKUP($O18, dropdown!$S$4:$T$15, 2, FALSE),
 IFERROR(VLOOKUP($Q18, dropdown!$S$4:$T$15, 2, FALSE),
 IFERROR(VLOOKUP($S18, dropdown!$S$4:$T$15, 2, FALSE),
 "")))</f>
        <v/>
      </c>
      <c r="W18" s="392" t="s">
        <v>1776</v>
      </c>
      <c r="AB18" s="11"/>
      <c r="AE18" s="11"/>
    </row>
    <row r="19" spans="2:31" ht="27" x14ac:dyDescent="0.2">
      <c r="B19" s="382" t="s">
        <v>190</v>
      </c>
      <c r="I19" s="18">
        <f t="shared" si="0"/>
        <v>11</v>
      </c>
      <c r="J19" s="434" t="s">
        <v>1791</v>
      </c>
      <c r="K19" s="57" t="s">
        <v>200</v>
      </c>
      <c r="L19" s="28">
        <v>1</v>
      </c>
      <c r="M19" s="264" t="s">
        <v>372</v>
      </c>
      <c r="N19" s="401" t="s">
        <v>352</v>
      </c>
      <c r="O19" s="397"/>
      <c r="P19" s="398"/>
      <c r="Q19" s="397"/>
      <c r="R19" s="399">
        <v>0</v>
      </c>
      <c r="S19" s="397"/>
      <c r="T19" s="399"/>
      <c r="U19" s="399"/>
      <c r="V19" s="430" t="str">
        <f>IFERROR(VLOOKUP($O19, dropdown!$S$4:$T$15, 2, FALSE),
 IFERROR(VLOOKUP($Q19, dropdown!$S$4:$T$15, 2, FALSE),
 IFERROR(VLOOKUP($S19, dropdown!$S$4:$T$15, 2, FALSE),
 "")))</f>
        <v/>
      </c>
      <c r="W19" s="392" t="s">
        <v>1776</v>
      </c>
      <c r="AB19" s="11"/>
      <c r="AE19" s="11"/>
    </row>
    <row r="20" spans="2:31" ht="14" x14ac:dyDescent="0.2">
      <c r="I20" s="18">
        <f t="shared" si="0"/>
        <v>12</v>
      </c>
      <c r="J20" s="434" t="s">
        <v>1782</v>
      </c>
      <c r="K20" s="57" t="s">
        <v>200</v>
      </c>
      <c r="L20" s="28">
        <v>1</v>
      </c>
      <c r="M20" s="264" t="s">
        <v>380</v>
      </c>
      <c r="N20" s="401" t="s">
        <v>188</v>
      </c>
      <c r="O20" s="397" t="s">
        <v>386</v>
      </c>
      <c r="P20" s="398">
        <v>2.2999999999999998</v>
      </c>
      <c r="Q20" s="397"/>
      <c r="R20" s="399"/>
      <c r="S20" s="397"/>
      <c r="T20" s="399"/>
      <c r="U20" s="399"/>
      <c r="V20" s="430" t="str">
        <f>IFERROR(VLOOKUP($O20, dropdown!$S$4:$T$15, 2, FALSE),
 IFERROR(VLOOKUP($Q20, dropdown!$S$4:$T$15, 2, FALSE),
 IFERROR(VLOOKUP($S20, dropdown!$S$4:$T$15, 2, FALSE),
 "")))</f>
        <v>Q2</v>
      </c>
      <c r="W20" s="392" t="s">
        <v>1776</v>
      </c>
      <c r="AB20" s="11"/>
      <c r="AE20" s="11"/>
    </row>
    <row r="21" spans="2:31" ht="14" x14ac:dyDescent="0.2">
      <c r="B21" s="166" t="s">
        <v>191</v>
      </c>
      <c r="I21" s="18">
        <f t="shared" si="0"/>
        <v>13</v>
      </c>
      <c r="J21" s="434" t="s">
        <v>1799</v>
      </c>
      <c r="K21" s="57" t="s">
        <v>200</v>
      </c>
      <c r="L21" s="28">
        <v>1</v>
      </c>
      <c r="M21" s="264" t="s">
        <v>372</v>
      </c>
      <c r="N21" s="401" t="s">
        <v>188</v>
      </c>
      <c r="O21" s="397" t="s">
        <v>386</v>
      </c>
      <c r="P21" s="398">
        <v>1.05</v>
      </c>
      <c r="Q21" s="397"/>
      <c r="R21" s="399"/>
      <c r="S21" s="397"/>
      <c r="T21" s="399"/>
      <c r="U21" s="399"/>
      <c r="V21" s="430" t="str">
        <f>IFERROR(VLOOKUP($O21, dropdown!$S$4:$T$15, 2, FALSE),
 IFERROR(VLOOKUP($Q21, dropdown!$S$4:$T$15, 2, FALSE),
 IFERROR(VLOOKUP($S21, dropdown!$S$4:$T$15, 2, FALSE),
 "")))</f>
        <v>Q2</v>
      </c>
      <c r="W21" s="392" t="s">
        <v>1776</v>
      </c>
      <c r="AB21" s="11"/>
      <c r="AE21" s="11"/>
    </row>
    <row r="22" spans="2:31" ht="14" x14ac:dyDescent="0.2">
      <c r="B22" s="454" t="s">
        <v>192</v>
      </c>
      <c r="C22" s="456" t="s">
        <v>5</v>
      </c>
      <c r="D22" s="457"/>
      <c r="E22" s="456" t="s">
        <v>193</v>
      </c>
      <c r="F22" s="458"/>
      <c r="G22" s="458"/>
      <c r="I22" s="18">
        <f t="shared" si="0"/>
        <v>14</v>
      </c>
      <c r="J22" s="434" t="s">
        <v>1803</v>
      </c>
      <c r="K22" s="57" t="s">
        <v>200</v>
      </c>
      <c r="L22" s="28">
        <v>1</v>
      </c>
      <c r="M22" s="264" t="s">
        <v>380</v>
      </c>
      <c r="N22" s="401" t="s">
        <v>352</v>
      </c>
      <c r="O22" s="397"/>
      <c r="P22" s="398"/>
      <c r="Q22" s="397"/>
      <c r="R22" s="399">
        <v>0</v>
      </c>
      <c r="S22" s="397"/>
      <c r="T22" s="399"/>
      <c r="U22" s="399"/>
      <c r="V22" s="430" t="str">
        <f>IFERROR(VLOOKUP($O22, dropdown!$S$4:$T$15, 2, FALSE),
 IFERROR(VLOOKUP($Q22, dropdown!$S$4:$T$15, 2, FALSE),
 IFERROR(VLOOKUP($S22, dropdown!$S$4:$T$15, 2, FALSE),
 "")))</f>
        <v/>
      </c>
      <c r="W22" s="392" t="s">
        <v>1776</v>
      </c>
      <c r="AB22" s="11"/>
      <c r="AE22" s="11"/>
    </row>
    <row r="23" spans="2:31" ht="14" x14ac:dyDescent="0.2">
      <c r="B23" s="455"/>
      <c r="C23" s="456"/>
      <c r="D23" s="457"/>
      <c r="E23" s="456"/>
      <c r="F23" s="458"/>
      <c r="G23" s="458"/>
      <c r="I23" s="18">
        <f t="shared" si="0"/>
        <v>15</v>
      </c>
      <c r="J23" s="434" t="s">
        <v>1807</v>
      </c>
      <c r="K23" s="57" t="s">
        <v>200</v>
      </c>
      <c r="L23" s="28">
        <v>1</v>
      </c>
      <c r="M23" s="264" t="s">
        <v>372</v>
      </c>
      <c r="N23" s="401" t="s">
        <v>352</v>
      </c>
      <c r="O23" s="397"/>
      <c r="P23" s="398"/>
      <c r="Q23" s="397"/>
      <c r="R23" s="399">
        <v>0</v>
      </c>
      <c r="S23" s="397"/>
      <c r="T23" s="399"/>
      <c r="U23" s="399"/>
      <c r="V23" s="430" t="str">
        <f>IFERROR(VLOOKUP($O23, dropdown!$S$4:$T$15, 2, FALSE),
 IFERROR(VLOOKUP($Q23, dropdown!$S$4:$T$15, 2, FALSE),
 IFERROR(VLOOKUP($S23, dropdown!$S$4:$T$15, 2, FALSE),
 "")))</f>
        <v/>
      </c>
      <c r="W23" s="392" t="s">
        <v>1776</v>
      </c>
      <c r="AB23" s="11"/>
      <c r="AE23" s="11"/>
    </row>
    <row r="24" spans="2:31" ht="14" x14ac:dyDescent="0.2">
      <c r="B24" s="453" t="s">
        <v>194</v>
      </c>
      <c r="C24" s="453" t="s">
        <v>195</v>
      </c>
      <c r="D24" s="453"/>
      <c r="E24" s="453" t="s">
        <v>196</v>
      </c>
      <c r="F24" s="453"/>
      <c r="G24" s="453"/>
      <c r="I24" s="18">
        <f t="shared" si="0"/>
        <v>16</v>
      </c>
      <c r="J24" s="434" t="s">
        <v>1807</v>
      </c>
      <c r="K24" s="57" t="s">
        <v>200</v>
      </c>
      <c r="L24" s="28">
        <v>1</v>
      </c>
      <c r="M24" s="264" t="s">
        <v>372</v>
      </c>
      <c r="N24" s="401" t="s">
        <v>352</v>
      </c>
      <c r="O24" s="397"/>
      <c r="P24" s="398"/>
      <c r="Q24" s="397"/>
      <c r="R24" s="399">
        <v>0</v>
      </c>
      <c r="S24" s="397"/>
      <c r="T24" s="399"/>
      <c r="U24" s="399"/>
      <c r="V24" s="430" t="str">
        <f>IFERROR(VLOOKUP($O24, dropdown!$S$4:$T$15, 2, FALSE),
 IFERROR(VLOOKUP($Q24, dropdown!$S$4:$T$15, 2, FALSE),
 IFERROR(VLOOKUP($S24, dropdown!$S$4:$T$15, 2, FALSE),
 "")))</f>
        <v/>
      </c>
      <c r="W24" s="392" t="s">
        <v>1776</v>
      </c>
      <c r="X24" s="56"/>
      <c r="AB24" s="11"/>
      <c r="AE24" s="11"/>
    </row>
    <row r="25" spans="2:31" ht="14" x14ac:dyDescent="0.2">
      <c r="B25" s="453"/>
      <c r="C25" s="453"/>
      <c r="D25" s="453"/>
      <c r="E25" s="453"/>
      <c r="F25" s="453"/>
      <c r="G25" s="453"/>
      <c r="I25" s="18">
        <f t="shared" si="0"/>
        <v>17</v>
      </c>
      <c r="J25" s="434" t="s">
        <v>1813</v>
      </c>
      <c r="K25" s="57" t="s">
        <v>200</v>
      </c>
      <c r="L25" s="28">
        <v>1</v>
      </c>
      <c r="M25" s="264" t="s">
        <v>372</v>
      </c>
      <c r="N25" s="401" t="s">
        <v>352</v>
      </c>
      <c r="O25" s="397"/>
      <c r="P25" s="398"/>
      <c r="Q25" s="397"/>
      <c r="R25" s="399">
        <v>0</v>
      </c>
      <c r="S25" s="397"/>
      <c r="T25" s="399"/>
      <c r="U25" s="399"/>
      <c r="V25" s="430" t="str">
        <f>IFERROR(VLOOKUP($O25, dropdown!$S$4:$T$15, 2, FALSE),
 IFERROR(VLOOKUP($Q25, dropdown!$S$4:$T$15, 2, FALSE),
 IFERROR(VLOOKUP($S25, dropdown!$S$4:$T$15, 2, FALSE),
 "")))</f>
        <v/>
      </c>
      <c r="W25" s="392" t="s">
        <v>1776</v>
      </c>
      <c r="X25" s="56"/>
      <c r="AB25" s="11"/>
      <c r="AE25" s="11"/>
    </row>
    <row r="26" spans="2:31" ht="14" x14ac:dyDescent="0.2">
      <c r="B26" s="453" t="s">
        <v>197</v>
      </c>
      <c r="C26" s="453" t="s">
        <v>198</v>
      </c>
      <c r="D26" s="453"/>
      <c r="E26" s="453" t="s">
        <v>199</v>
      </c>
      <c r="F26" s="453"/>
      <c r="G26" s="453"/>
      <c r="I26" s="18">
        <f t="shared" si="0"/>
        <v>18</v>
      </c>
      <c r="J26" s="434" t="s">
        <v>1817</v>
      </c>
      <c r="K26" s="57" t="s">
        <v>200</v>
      </c>
      <c r="L26" s="28">
        <v>1</v>
      </c>
      <c r="M26" s="264" t="s">
        <v>372</v>
      </c>
      <c r="N26" s="401" t="s">
        <v>352</v>
      </c>
      <c r="O26" s="397"/>
      <c r="P26" s="398"/>
      <c r="Q26" s="397"/>
      <c r="R26" s="399">
        <v>0</v>
      </c>
      <c r="S26" s="397"/>
      <c r="T26" s="399"/>
      <c r="U26" s="399"/>
      <c r="V26" s="430" t="str">
        <f>IFERROR(VLOOKUP($O26, dropdown!$S$4:$T$15, 2, FALSE),
 IFERROR(VLOOKUP($Q26, dropdown!$S$4:$T$15, 2, FALSE),
 IFERROR(VLOOKUP($S26, dropdown!$S$4:$T$15, 2, FALSE),
 "")))</f>
        <v/>
      </c>
      <c r="W26" s="392" t="s">
        <v>1776</v>
      </c>
      <c r="X26" s="56"/>
      <c r="AB26" s="11"/>
      <c r="AE26" s="11"/>
    </row>
    <row r="27" spans="2:31" ht="14" x14ac:dyDescent="0.2">
      <c r="B27" s="453"/>
      <c r="C27" s="453"/>
      <c r="D27" s="453"/>
      <c r="E27" s="453"/>
      <c r="F27" s="453"/>
      <c r="G27" s="453"/>
      <c r="I27" s="18">
        <f t="shared" si="0"/>
        <v>19</v>
      </c>
      <c r="J27" s="434" t="s">
        <v>1821</v>
      </c>
      <c r="K27" s="57" t="s">
        <v>200</v>
      </c>
      <c r="L27" s="28">
        <v>1</v>
      </c>
      <c r="M27" s="264" t="s">
        <v>372</v>
      </c>
      <c r="N27" s="401" t="s">
        <v>352</v>
      </c>
      <c r="O27" s="397"/>
      <c r="P27" s="398"/>
      <c r="Q27" s="397"/>
      <c r="R27" s="399">
        <v>0</v>
      </c>
      <c r="S27" s="397"/>
      <c r="T27" s="399"/>
      <c r="U27" s="399"/>
      <c r="V27" s="430" t="str">
        <f>IFERROR(VLOOKUP($O27, dropdown!$S$4:$T$15, 2, FALSE),
 IFERROR(VLOOKUP($Q27, dropdown!$S$4:$T$15, 2, FALSE),
 IFERROR(VLOOKUP($S27, dropdown!$S$4:$T$15, 2, FALSE),
 "")))</f>
        <v/>
      </c>
      <c r="W27" s="392" t="s">
        <v>1776</v>
      </c>
      <c r="X27" s="56"/>
      <c r="AB27" s="11"/>
      <c r="AE27" s="11"/>
    </row>
    <row r="28" spans="2:31" ht="14" x14ac:dyDescent="0.2">
      <c r="B28" s="453" t="s">
        <v>200</v>
      </c>
      <c r="C28" s="453" t="s">
        <v>201</v>
      </c>
      <c r="D28" s="453"/>
      <c r="E28" s="453" t="s">
        <v>202</v>
      </c>
      <c r="F28" s="453"/>
      <c r="G28" s="453"/>
      <c r="I28" s="18">
        <f t="shared" si="0"/>
        <v>20</v>
      </c>
      <c r="J28" s="434" t="s">
        <v>1836</v>
      </c>
      <c r="K28" s="57" t="s">
        <v>200</v>
      </c>
      <c r="L28" s="28">
        <v>1</v>
      </c>
      <c r="M28" s="264" t="s">
        <v>380</v>
      </c>
      <c r="N28" s="401" t="s">
        <v>352</v>
      </c>
      <c r="O28" s="397"/>
      <c r="P28" s="398"/>
      <c r="Q28" s="397"/>
      <c r="R28" s="399">
        <v>0</v>
      </c>
      <c r="S28" s="397"/>
      <c r="T28" s="399"/>
      <c r="U28" s="399"/>
      <c r="V28" s="430" t="str">
        <f>IFERROR(VLOOKUP($O28, dropdown!$S$4:$T$15, 2, FALSE),
 IFERROR(VLOOKUP($Q28, dropdown!$S$4:$T$15, 2, FALSE),
 IFERROR(VLOOKUP($S28, dropdown!$S$4:$T$15, 2, FALSE),
 "")))</f>
        <v/>
      </c>
      <c r="W28" s="28" t="s">
        <v>1843</v>
      </c>
      <c r="X28" s="56"/>
      <c r="AB28" s="11"/>
      <c r="AE28" s="11"/>
    </row>
    <row r="29" spans="2:31" ht="14" x14ac:dyDescent="0.2">
      <c r="B29" s="453"/>
      <c r="C29" s="453"/>
      <c r="D29" s="453"/>
      <c r="E29" s="453"/>
      <c r="F29" s="453"/>
      <c r="G29" s="453"/>
      <c r="I29" s="18">
        <f t="shared" si="0"/>
        <v>21</v>
      </c>
      <c r="J29" s="434" t="s">
        <v>1836</v>
      </c>
      <c r="K29" s="57" t="s">
        <v>200</v>
      </c>
      <c r="L29" s="28">
        <v>1</v>
      </c>
      <c r="M29" s="264" t="s">
        <v>380</v>
      </c>
      <c r="N29" s="401" t="s">
        <v>352</v>
      </c>
      <c r="O29" s="397"/>
      <c r="P29" s="398"/>
      <c r="Q29" s="397"/>
      <c r="R29" s="399">
        <v>0</v>
      </c>
      <c r="S29" s="397"/>
      <c r="T29" s="399"/>
      <c r="U29" s="399"/>
      <c r="V29" s="430" t="str">
        <f>IFERROR(VLOOKUP($O29, dropdown!$S$4:$T$15, 2, FALSE),
 IFERROR(VLOOKUP($Q29, dropdown!$S$4:$T$15, 2, FALSE),
 IFERROR(VLOOKUP($S29, dropdown!$S$4:$T$15, 2, FALSE),
 "")))</f>
        <v/>
      </c>
      <c r="W29" s="28" t="s">
        <v>1843</v>
      </c>
      <c r="X29" s="56"/>
      <c r="AB29" s="11"/>
      <c r="AE29" s="11"/>
    </row>
    <row r="30" spans="2:31" ht="14" x14ac:dyDescent="0.2">
      <c r="B30" s="453" t="s">
        <v>203</v>
      </c>
      <c r="C30" s="453" t="s">
        <v>204</v>
      </c>
      <c r="D30" s="453"/>
      <c r="E30" s="453" t="s">
        <v>205</v>
      </c>
      <c r="F30" s="453"/>
      <c r="G30" s="453"/>
      <c r="I30" s="18">
        <f t="shared" si="0"/>
        <v>22</v>
      </c>
      <c r="J30" s="434" t="s">
        <v>1836</v>
      </c>
      <c r="K30" s="57" t="s">
        <v>200</v>
      </c>
      <c r="L30" s="28">
        <v>1</v>
      </c>
      <c r="M30" s="264" t="s">
        <v>380</v>
      </c>
      <c r="N30" s="401" t="s">
        <v>352</v>
      </c>
      <c r="O30" s="397"/>
      <c r="P30" s="398"/>
      <c r="Q30" s="397"/>
      <c r="R30" s="399">
        <v>0</v>
      </c>
      <c r="S30" s="397"/>
      <c r="T30" s="399"/>
      <c r="U30" s="399"/>
      <c r="V30" s="430" t="str">
        <f>IFERROR(VLOOKUP($O30, dropdown!$S$4:$T$15, 2, FALSE),
 IFERROR(VLOOKUP($Q30, dropdown!$S$4:$T$15, 2, FALSE),
 IFERROR(VLOOKUP($S30, dropdown!$S$4:$T$15, 2, FALSE),
 "")))</f>
        <v/>
      </c>
      <c r="W30" s="28" t="s">
        <v>1843</v>
      </c>
      <c r="X30" s="56"/>
      <c r="AB30" s="11"/>
      <c r="AE30" s="11"/>
    </row>
    <row r="31" spans="2:31" ht="14" x14ac:dyDescent="0.2">
      <c r="B31" s="453"/>
      <c r="C31" s="453"/>
      <c r="D31" s="453"/>
      <c r="E31" s="453"/>
      <c r="F31" s="453"/>
      <c r="G31" s="453"/>
      <c r="I31" s="18">
        <f t="shared" si="0"/>
        <v>23</v>
      </c>
      <c r="J31" s="434" t="s">
        <v>1836</v>
      </c>
      <c r="K31" s="57" t="s">
        <v>200</v>
      </c>
      <c r="L31" s="28">
        <v>1</v>
      </c>
      <c r="M31" s="264" t="s">
        <v>380</v>
      </c>
      <c r="N31" s="401" t="s">
        <v>352</v>
      </c>
      <c r="O31" s="397"/>
      <c r="P31" s="398"/>
      <c r="Q31" s="397"/>
      <c r="R31" s="399">
        <v>0</v>
      </c>
      <c r="S31" s="397"/>
      <c r="T31" s="399"/>
      <c r="U31" s="399"/>
      <c r="V31" s="430" t="str">
        <f>IFERROR(VLOOKUP($O31, dropdown!$S$4:$T$15, 2, FALSE),
 IFERROR(VLOOKUP($Q31, dropdown!$S$4:$T$15, 2, FALSE),
 IFERROR(VLOOKUP($S31, dropdown!$S$4:$T$15, 2, FALSE),
 "")))</f>
        <v/>
      </c>
      <c r="W31" s="28" t="s">
        <v>1843</v>
      </c>
      <c r="X31" s="56"/>
      <c r="AB31" s="11"/>
      <c r="AE31" s="11"/>
    </row>
    <row r="32" spans="2:31" ht="22.5" customHeight="1" x14ac:dyDescent="0.2">
      <c r="I32" s="18">
        <f t="shared" si="0"/>
        <v>24</v>
      </c>
      <c r="J32" s="434" t="s">
        <v>1836</v>
      </c>
      <c r="K32" s="57" t="s">
        <v>200</v>
      </c>
      <c r="L32" s="28">
        <v>1</v>
      </c>
      <c r="M32" s="264" t="s">
        <v>380</v>
      </c>
      <c r="N32" s="401" t="s">
        <v>352</v>
      </c>
      <c r="O32" s="397"/>
      <c r="P32" s="398"/>
      <c r="Q32" s="397"/>
      <c r="R32" s="399">
        <v>0</v>
      </c>
      <c r="S32" s="397"/>
      <c r="T32" s="399"/>
      <c r="U32" s="399"/>
      <c r="V32" s="430" t="str">
        <f>IFERROR(VLOOKUP($O32, dropdown!$S$4:$T$15, 2, FALSE),
 IFERROR(VLOOKUP($Q32, dropdown!$S$4:$T$15, 2, FALSE),
 IFERROR(VLOOKUP($S32, dropdown!$S$4:$T$15, 2, FALSE),
 "")))</f>
        <v/>
      </c>
      <c r="W32" s="28" t="s">
        <v>1843</v>
      </c>
      <c r="X32" s="56"/>
      <c r="AB32" s="11"/>
      <c r="AE32" s="11"/>
    </row>
    <row r="33" spans="9:31" ht="14" x14ac:dyDescent="0.2">
      <c r="I33" s="18">
        <f t="shared" si="0"/>
        <v>25</v>
      </c>
      <c r="J33" s="434" t="s">
        <v>1836</v>
      </c>
      <c r="K33" s="57" t="s">
        <v>200</v>
      </c>
      <c r="L33" s="28">
        <v>1</v>
      </c>
      <c r="M33" s="264" t="s">
        <v>380</v>
      </c>
      <c r="N33" s="401" t="s">
        <v>352</v>
      </c>
      <c r="O33" s="397"/>
      <c r="P33" s="398"/>
      <c r="Q33" s="397"/>
      <c r="R33" s="399">
        <v>0</v>
      </c>
      <c r="S33" s="397"/>
      <c r="T33" s="399"/>
      <c r="U33" s="399"/>
      <c r="V33" s="430" t="str">
        <f>IFERROR(VLOOKUP($O33, dropdown!$S$4:$T$15, 2, FALSE),
 IFERROR(VLOOKUP($Q33, dropdown!$S$4:$T$15, 2, FALSE),
 IFERROR(VLOOKUP($S33, dropdown!$S$4:$T$15, 2, FALSE),
 "")))</f>
        <v/>
      </c>
      <c r="W33" s="28" t="s">
        <v>1843</v>
      </c>
      <c r="X33" s="56"/>
      <c r="AB33" s="11"/>
      <c r="AE33" s="11"/>
    </row>
    <row r="34" spans="9:31" ht="15" customHeight="1" x14ac:dyDescent="0.2">
      <c r="I34" s="18">
        <f t="shared" si="0"/>
        <v>26</v>
      </c>
      <c r="J34" s="434" t="s">
        <v>1826</v>
      </c>
      <c r="K34" s="57" t="s">
        <v>194</v>
      </c>
      <c r="L34" s="28">
        <v>1</v>
      </c>
      <c r="M34" s="264" t="s">
        <v>364</v>
      </c>
      <c r="N34" s="401" t="s">
        <v>352</v>
      </c>
      <c r="O34" s="397"/>
      <c r="P34" s="398"/>
      <c r="Q34" s="397"/>
      <c r="R34" s="399">
        <v>0</v>
      </c>
      <c r="S34" s="397"/>
      <c r="T34" s="399"/>
      <c r="U34" s="399"/>
      <c r="V34" s="430" t="str">
        <f>IFERROR(VLOOKUP($O34, dropdown!$S$4:$T$15, 2, FALSE),
 IFERROR(VLOOKUP($Q34, dropdown!$S$4:$T$15, 2, FALSE),
 IFERROR(VLOOKUP($S34, dropdown!$S$4:$T$15, 2, FALSE),
 "")))</f>
        <v/>
      </c>
      <c r="W34" s="28" t="s">
        <v>1828</v>
      </c>
      <c r="X34" s="56"/>
      <c r="AB34" s="11"/>
      <c r="AE34" s="11"/>
    </row>
    <row r="35" spans="9:31" ht="14" x14ac:dyDescent="0.2">
      <c r="I35" s="18">
        <f t="shared" si="0"/>
        <v>27</v>
      </c>
      <c r="J35" s="434" t="s">
        <v>1854</v>
      </c>
      <c r="K35" s="57" t="s">
        <v>203</v>
      </c>
      <c r="L35" s="28">
        <v>1</v>
      </c>
      <c r="M35" s="264" t="s">
        <v>339</v>
      </c>
      <c r="N35" s="401" t="s">
        <v>352</v>
      </c>
      <c r="O35" s="397"/>
      <c r="P35" s="398"/>
      <c r="Q35" s="397"/>
      <c r="R35" s="399">
        <v>0</v>
      </c>
      <c r="S35" s="397"/>
      <c r="T35" s="399"/>
      <c r="U35" s="399"/>
      <c r="V35" s="430" t="str">
        <f>IFERROR(VLOOKUP($O35, dropdown!$S$4:$T$15, 2, FALSE),
 IFERROR(VLOOKUP($Q35, dropdown!$S$4:$T$15, 2, FALSE),
 IFERROR(VLOOKUP($S35, dropdown!$S$4:$T$15, 2, FALSE),
 "")))</f>
        <v/>
      </c>
      <c r="W35" s="28" t="s">
        <v>1830</v>
      </c>
      <c r="X35" s="56"/>
      <c r="AB35" s="11"/>
      <c r="AE35" s="11"/>
    </row>
    <row r="36" spans="9:31" ht="14" x14ac:dyDescent="0.2">
      <c r="I36" s="18">
        <f t="shared" si="0"/>
        <v>28</v>
      </c>
      <c r="J36" s="434" t="s">
        <v>1854</v>
      </c>
      <c r="K36" s="57" t="s">
        <v>203</v>
      </c>
      <c r="L36" s="28">
        <v>1</v>
      </c>
      <c r="M36" s="264" t="s">
        <v>339</v>
      </c>
      <c r="N36" s="401" t="s">
        <v>352</v>
      </c>
      <c r="O36" s="397"/>
      <c r="P36" s="398"/>
      <c r="Q36" s="397"/>
      <c r="R36" s="399">
        <v>0</v>
      </c>
      <c r="S36" s="397"/>
      <c r="T36" s="399"/>
      <c r="U36" s="399"/>
      <c r="V36" s="430" t="str">
        <f>IFERROR(VLOOKUP($O36, dropdown!$S$4:$T$15, 2, FALSE),
 IFERROR(VLOOKUP($Q36, dropdown!$S$4:$T$15, 2, FALSE),
 IFERROR(VLOOKUP($S36, dropdown!$S$4:$T$15, 2, FALSE),
 "")))</f>
        <v/>
      </c>
      <c r="W36" s="28" t="s">
        <v>1832</v>
      </c>
      <c r="X36" s="56"/>
      <c r="AB36" s="11"/>
      <c r="AE36" s="11"/>
    </row>
    <row r="37" spans="9:31" ht="14" x14ac:dyDescent="0.2">
      <c r="I37" s="18">
        <f t="shared" si="0"/>
        <v>29</v>
      </c>
      <c r="J37" s="434" t="s">
        <v>343</v>
      </c>
      <c r="K37" s="57" t="s">
        <v>203</v>
      </c>
      <c r="L37" s="28">
        <v>1</v>
      </c>
      <c r="M37" s="264" t="s">
        <v>339</v>
      </c>
      <c r="N37" s="401" t="s">
        <v>352</v>
      </c>
      <c r="O37" s="397"/>
      <c r="P37" s="398"/>
      <c r="Q37" s="397"/>
      <c r="R37" s="399">
        <v>0</v>
      </c>
      <c r="S37" s="397"/>
      <c r="T37" s="399"/>
      <c r="U37" s="399"/>
      <c r="V37" s="430" t="str">
        <f>IFERROR(VLOOKUP($O37, dropdown!$S$4:$T$15, 2, FALSE),
 IFERROR(VLOOKUP($Q37, dropdown!$S$4:$T$15, 2, FALSE),
 IFERROR(VLOOKUP($S37, dropdown!$S$4:$T$15, 2, FALSE),
 "")))</f>
        <v/>
      </c>
      <c r="W37" s="28" t="s">
        <v>1876</v>
      </c>
      <c r="X37" s="56"/>
      <c r="AB37" s="11"/>
      <c r="AE37" s="11"/>
    </row>
    <row r="38" spans="9:31" ht="14" x14ac:dyDescent="0.2">
      <c r="I38" s="18">
        <f t="shared" si="0"/>
        <v>30</v>
      </c>
      <c r="J38" s="434" t="s">
        <v>343</v>
      </c>
      <c r="K38" s="57" t="s">
        <v>203</v>
      </c>
      <c r="L38" s="28">
        <v>1</v>
      </c>
      <c r="M38" s="264" t="s">
        <v>339</v>
      </c>
      <c r="N38" s="401" t="s">
        <v>352</v>
      </c>
      <c r="O38" s="397"/>
      <c r="P38" s="398"/>
      <c r="Q38" s="397"/>
      <c r="R38" s="399">
        <v>0</v>
      </c>
      <c r="S38" s="397"/>
      <c r="T38" s="399"/>
      <c r="U38" s="399"/>
      <c r="V38" s="430" t="str">
        <f>IFERROR(VLOOKUP($O38, dropdown!$S$4:$T$15, 2, FALSE),
 IFERROR(VLOOKUP($Q38, dropdown!$S$4:$T$15, 2, FALSE),
 IFERROR(VLOOKUP($S38, dropdown!$S$4:$T$15, 2, FALSE),
 "")))</f>
        <v/>
      </c>
      <c r="W38" s="28" t="s">
        <v>1878</v>
      </c>
      <c r="X38" s="56"/>
      <c r="AB38" s="11"/>
      <c r="AE38" s="11"/>
    </row>
    <row r="39" spans="9:31" ht="14" x14ac:dyDescent="0.2">
      <c r="I39" s="18">
        <f t="shared" si="0"/>
        <v>31</v>
      </c>
      <c r="J39" s="434" t="s">
        <v>343</v>
      </c>
      <c r="K39" s="57" t="s">
        <v>203</v>
      </c>
      <c r="L39" s="28">
        <v>1</v>
      </c>
      <c r="M39" s="264" t="s">
        <v>339</v>
      </c>
      <c r="N39" s="401" t="s">
        <v>352</v>
      </c>
      <c r="O39" s="397"/>
      <c r="P39" s="398"/>
      <c r="Q39" s="397"/>
      <c r="R39" s="399">
        <v>0</v>
      </c>
      <c r="S39" s="397"/>
      <c r="T39" s="399"/>
      <c r="U39" s="399"/>
      <c r="V39" s="430" t="str">
        <f>IFERROR(VLOOKUP($O39, dropdown!$S$4:$T$15, 2, FALSE),
 IFERROR(VLOOKUP($Q39, dropdown!$S$4:$T$15, 2, FALSE),
 IFERROR(VLOOKUP($S39, dropdown!$S$4:$T$15, 2, FALSE),
 "")))</f>
        <v/>
      </c>
      <c r="W39" s="28" t="s">
        <v>1880</v>
      </c>
      <c r="X39" s="56"/>
      <c r="AB39" s="11"/>
      <c r="AE39" s="11"/>
    </row>
    <row r="40" spans="9:31" ht="14" x14ac:dyDescent="0.2">
      <c r="I40" s="18" t="str">
        <f t="shared" si="0"/>
        <v/>
      </c>
      <c r="J40" s="434"/>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4"/>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4"/>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4"/>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4"/>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4"/>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4"/>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4"/>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4"/>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4"/>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4"/>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4"/>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4"/>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4"/>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4"/>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4"/>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4"/>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4"/>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4"/>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4"/>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4"/>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4"/>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4"/>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4"/>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4"/>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4"/>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4"/>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4"/>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4"/>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4"/>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4"/>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4"/>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4"/>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4"/>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4"/>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4"/>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4"/>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4"/>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4"/>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4"/>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4"/>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4"/>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4"/>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4"/>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4"/>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4"/>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4"/>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4"/>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4"/>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4"/>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4"/>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4"/>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4"/>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4"/>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4"/>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4"/>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4"/>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4"/>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4"/>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4"/>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4"/>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4"/>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4"/>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4"/>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4"/>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4"/>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4"/>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4"/>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C1" zoomScaleNormal="100" workbookViewId="0">
      <selection activeCell="O21" sqref="O21"/>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Roxas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5"/>
      <c r="D6" s="446"/>
      <c r="E6" s="446"/>
      <c r="F6" s="446"/>
      <c r="G6" s="447"/>
    </row>
    <row r="7" spans="2:17" ht="12.75" customHeight="1" x14ac:dyDescent="0.2">
      <c r="B7" s="278" t="s">
        <v>174</v>
      </c>
      <c r="C7" s="445"/>
      <c r="D7" s="446"/>
      <c r="E7" s="446"/>
      <c r="F7" s="446"/>
      <c r="G7" s="447"/>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19425</v>
      </c>
      <c r="M8" s="47">
        <v>254091.49</v>
      </c>
      <c r="N8" s="165" t="s">
        <v>439</v>
      </c>
      <c r="O8" s="195" t="s">
        <v>1456</v>
      </c>
      <c r="P8" s="48"/>
      <c r="Q8" s="20"/>
    </row>
    <row r="9" spans="2:17" x14ac:dyDescent="0.2">
      <c r="I9" s="194"/>
      <c r="J9" s="58" t="s">
        <v>89</v>
      </c>
      <c r="K9" s="426" t="str">
        <f>IF(Electricity[[#This Row],[Month]]&lt;&gt;"",VLOOKUP(Electricity[[#This Row],[Month]], dropdown!$S$4:$T$15, 2, FALSE),"")</f>
        <v>Q1</v>
      </c>
      <c r="L9" s="29">
        <v>19005</v>
      </c>
      <c r="M9" s="47">
        <v>261725.43</v>
      </c>
      <c r="N9" s="165" t="s">
        <v>439</v>
      </c>
      <c r="O9" s="195" t="s">
        <v>1458</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19495</v>
      </c>
      <c r="M10" s="47">
        <v>231022.33</v>
      </c>
      <c r="N10" s="165" t="s">
        <v>439</v>
      </c>
      <c r="O10" s="195" t="s">
        <v>1467</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19075</v>
      </c>
      <c r="M11" s="47">
        <v>256910.62</v>
      </c>
      <c r="N11" s="165" t="s">
        <v>439</v>
      </c>
      <c r="O11" s="195" t="s">
        <v>1468</v>
      </c>
      <c r="P11" s="48"/>
      <c r="Q11" s="20"/>
    </row>
    <row r="12" spans="2:17" x14ac:dyDescent="0.2">
      <c r="B12" s="17" t="s">
        <v>207</v>
      </c>
      <c r="C12" s="17" t="s">
        <v>208</v>
      </c>
      <c r="D12" s="41">
        <f>SUMIFS(Electricity[Consumption (kWh)],Electricity[Quarter],D$11)</f>
        <v>57925</v>
      </c>
      <c r="E12" s="41">
        <f>SUMIFS(Electricity[Consumption (kWh)],Electricity[Quarter],E$11)</f>
        <v>64820</v>
      </c>
      <c r="F12" s="41">
        <f>SUMIFS(Electricity[Consumption (kWh)],Electricity[Quarter],F$11)</f>
        <v>64925</v>
      </c>
      <c r="G12" s="41">
        <f>SUMIFS(Electricity[Consumption (kWh)],Electricity[Quarter],G$11)</f>
        <v>68040</v>
      </c>
      <c r="I12" s="194"/>
      <c r="J12" s="58" t="s">
        <v>379</v>
      </c>
      <c r="K12" s="426" t="str">
        <f>IF(Electricity[[#This Row],[Month]]&lt;&gt;"",VLOOKUP(Electricity[[#This Row],[Month]], dropdown!$S$4:$T$15, 2, FALSE),"")</f>
        <v>Q2</v>
      </c>
      <c r="L12" s="29">
        <v>22470</v>
      </c>
      <c r="M12" s="47">
        <v>326635.09999999998</v>
      </c>
      <c r="N12" s="165" t="s">
        <v>439</v>
      </c>
      <c r="O12" s="195" t="s">
        <v>1473</v>
      </c>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23275</v>
      </c>
      <c r="M13" s="47">
        <v>315216.89</v>
      </c>
      <c r="N13" s="165" t="s">
        <v>439</v>
      </c>
      <c r="O13" s="195" t="s">
        <v>1470</v>
      </c>
      <c r="P13" s="48"/>
      <c r="Q13" s="20"/>
    </row>
    <row r="14" spans="2:17" x14ac:dyDescent="0.2">
      <c r="B14" s="119" t="s">
        <v>38</v>
      </c>
      <c r="D14" s="168"/>
      <c r="I14" s="194"/>
      <c r="J14" s="58" t="s">
        <v>390</v>
      </c>
      <c r="K14" s="426" t="str">
        <f>IF(Electricity[[#This Row],[Month]]&lt;&gt;"",VLOOKUP(Electricity[[#This Row],[Month]], dropdown!$S$4:$T$15, 2, FALSE),"")</f>
        <v>Q3</v>
      </c>
      <c r="L14" s="29">
        <v>21140</v>
      </c>
      <c r="M14" s="47">
        <v>302571.98</v>
      </c>
      <c r="N14" s="165" t="s">
        <v>439</v>
      </c>
      <c r="O14" s="195" t="s">
        <v>1474</v>
      </c>
      <c r="P14" s="48"/>
      <c r="Q14" s="20"/>
    </row>
    <row r="15" spans="2:17" x14ac:dyDescent="0.2">
      <c r="B15" s="120" t="s">
        <v>175</v>
      </c>
      <c r="D15" s="168"/>
      <c r="I15" s="194"/>
      <c r="J15" s="58" t="s">
        <v>41</v>
      </c>
      <c r="K15" s="426" t="str">
        <f>IF(Electricity[[#This Row],[Month]]&lt;&gt;"",VLOOKUP(Electricity[[#This Row],[Month]], dropdown!$S$4:$T$15, 2, FALSE),"")</f>
        <v>Q3</v>
      </c>
      <c r="L15" s="29">
        <v>21945</v>
      </c>
      <c r="M15" s="47">
        <v>321865.45</v>
      </c>
      <c r="N15" s="165" t="s">
        <v>439</v>
      </c>
      <c r="O15" s="195" t="s">
        <v>1476</v>
      </c>
      <c r="P15" s="48"/>
      <c r="Q15" s="20"/>
    </row>
    <row r="16" spans="2:17" x14ac:dyDescent="0.2">
      <c r="B16" s="121" t="s">
        <v>176</v>
      </c>
      <c r="I16" s="194"/>
      <c r="J16" s="58" t="s">
        <v>397</v>
      </c>
      <c r="K16" s="426" t="str">
        <f>IF(Electricity[[#This Row],[Month]]&lt;&gt;"",VLOOKUP(Electricity[[#This Row],[Month]], dropdown!$S$4:$T$15, 2, FALSE),"")</f>
        <v>Q3</v>
      </c>
      <c r="L16" s="29">
        <v>21840</v>
      </c>
      <c r="M16" s="47">
        <v>301582.90000000002</v>
      </c>
      <c r="N16" s="165" t="s">
        <v>439</v>
      </c>
      <c r="O16" s="195" t="s">
        <v>1477</v>
      </c>
      <c r="P16" s="48"/>
      <c r="Q16" s="20"/>
    </row>
    <row r="17" spans="2:17" x14ac:dyDescent="0.2">
      <c r="B17" s="122" t="s">
        <v>177</v>
      </c>
      <c r="I17" s="194"/>
      <c r="J17" s="58" t="s">
        <v>400</v>
      </c>
      <c r="K17" s="426" t="str">
        <f>IF(Electricity[[#This Row],[Month]]&lt;&gt;"",VLOOKUP(Electricity[[#This Row],[Month]], dropdown!$S$4:$T$15, 2, FALSE),"")</f>
        <v>Q4</v>
      </c>
      <c r="L17" s="29">
        <v>22155</v>
      </c>
      <c r="M17" s="47">
        <v>286234.84999999998</v>
      </c>
      <c r="N17" s="165" t="s">
        <v>439</v>
      </c>
      <c r="O17" s="195" t="s">
        <v>1478</v>
      </c>
      <c r="P17" s="48"/>
      <c r="Q17" s="20"/>
    </row>
    <row r="18" spans="2:17" x14ac:dyDescent="0.2">
      <c r="I18" s="194">
        <f t="shared" ref="I18:I49" si="0">IF($L18="","",$I17+1)</f>
        <v>1</v>
      </c>
      <c r="J18" s="58" t="s">
        <v>404</v>
      </c>
      <c r="K18" s="426" t="str">
        <f>IF(Electricity[[#This Row],[Month]]&lt;&gt;"",VLOOKUP(Electricity[[#This Row],[Month]], dropdown!$S$4:$T$15, 2, FALSE),"")</f>
        <v>Q4</v>
      </c>
      <c r="L18" s="29">
        <v>22645</v>
      </c>
      <c r="M18" s="47">
        <v>302942.8</v>
      </c>
      <c r="N18" s="165" t="s">
        <v>439</v>
      </c>
      <c r="O18" s="195" t="s">
        <v>1480</v>
      </c>
      <c r="P18" s="48"/>
      <c r="Q18" s="20"/>
    </row>
    <row r="19" spans="2:17" x14ac:dyDescent="0.2">
      <c r="I19" s="194">
        <f t="shared" si="0"/>
        <v>2</v>
      </c>
      <c r="J19" s="58" t="s">
        <v>407</v>
      </c>
      <c r="K19" s="426" t="str">
        <f>IF(Electricity[[#This Row],[Month]]&lt;&gt;"",VLOOKUP(Electricity[[#This Row],[Month]], dropdown!$S$4:$T$15, 2, FALSE),"")</f>
        <v>Q4</v>
      </c>
      <c r="L19" s="29">
        <v>23240</v>
      </c>
      <c r="M19" s="47">
        <v>307179.44</v>
      </c>
      <c r="N19" s="165" t="s">
        <v>439</v>
      </c>
      <c r="O19" s="195" t="s">
        <v>1481</v>
      </c>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Roxas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5"/>
      <c r="D6" s="446"/>
      <c r="E6" s="446"/>
      <c r="F6" s="446"/>
      <c r="G6" s="447"/>
      <c r="I6" s="248" t="s">
        <v>173</v>
      </c>
      <c r="J6" s="249" t="s">
        <v>39</v>
      </c>
      <c r="K6" s="249" t="s">
        <v>43</v>
      </c>
      <c r="L6" s="250" t="s">
        <v>115</v>
      </c>
      <c r="M6" s="352" t="s">
        <v>212</v>
      </c>
      <c r="N6" s="253" t="s">
        <v>54</v>
      </c>
      <c r="O6" s="349"/>
    </row>
    <row r="7" spans="2:16" x14ac:dyDescent="0.2">
      <c r="B7" s="278" t="s">
        <v>174</v>
      </c>
      <c r="C7" s="445"/>
      <c r="D7" s="446"/>
      <c r="E7" s="446"/>
      <c r="F7" s="446"/>
      <c r="G7" s="447"/>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T20" sqref="T20"/>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Roxas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5"/>
      <c r="D6" s="446"/>
      <c r="E6" s="446"/>
      <c r="F6" s="446"/>
      <c r="G6" s="447"/>
      <c r="I6" s="134" t="s">
        <v>120</v>
      </c>
      <c r="J6" s="65"/>
      <c r="K6" s="65"/>
      <c r="L6" s="65"/>
      <c r="M6" s="65"/>
      <c r="N6" s="66"/>
      <c r="P6" s="134" t="s">
        <v>128</v>
      </c>
      <c r="Q6" s="65"/>
      <c r="R6" s="65"/>
      <c r="S6" s="65"/>
      <c r="T6" s="66"/>
      <c r="U6" s="66"/>
      <c r="W6" s="20"/>
    </row>
    <row r="7" spans="2:23" ht="12.75" customHeight="1" x14ac:dyDescent="0.2">
      <c r="B7" s="278" t="s">
        <v>174</v>
      </c>
      <c r="C7" s="445"/>
      <c r="D7" s="446"/>
      <c r="E7" s="446"/>
      <c r="F7" s="446"/>
      <c r="G7" s="447"/>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91</v>
      </c>
      <c r="N8" s="195" t="s">
        <v>1525</v>
      </c>
      <c r="O8" s="44"/>
      <c r="P8" s="194">
        <f>IF($T8="","",1)</f>
        <v>1</v>
      </c>
      <c r="Q8" s="58" t="s">
        <v>338</v>
      </c>
      <c r="R8" s="18" t="str">
        <f>IF(water_out[[#This Row],[Month]]&lt;&gt;"",VLOOKUP(water_out[[#This Row],[Month]], dropdown!$S$4:$T$15, 2, FALSE),"")</f>
        <v>Q1</v>
      </c>
      <c r="S8" s="60" t="s">
        <v>341</v>
      </c>
      <c r="T8" s="29">
        <v>72.8</v>
      </c>
      <c r="U8" s="195" t="s">
        <v>1483</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98</v>
      </c>
      <c r="N9" s="195" t="s">
        <v>1526</v>
      </c>
      <c r="O9" s="44"/>
      <c r="P9" s="194">
        <f>IF($T9="","",$P8+1)</f>
        <v>2</v>
      </c>
      <c r="Q9" s="58" t="s">
        <v>89</v>
      </c>
      <c r="R9" s="18" t="str">
        <f>IF(water_out[[#This Row],[Month]]&lt;&gt;"",VLOOKUP(water_out[[#This Row],[Month]], dropdown!$S$4:$T$15, 2, FALSE),"")</f>
        <v>Q1</v>
      </c>
      <c r="S9" s="60" t="s">
        <v>341</v>
      </c>
      <c r="T9" s="29">
        <v>78.400000000000006</v>
      </c>
      <c r="U9" s="195" t="s">
        <v>1483</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130</v>
      </c>
      <c r="N10" s="195" t="s">
        <v>1527</v>
      </c>
      <c r="O10" s="44"/>
      <c r="P10" s="194">
        <f t="shared" ref="P10:P73" si="1">IF($T10="","",$P9+1)</f>
        <v>3</v>
      </c>
      <c r="Q10" s="58" t="s">
        <v>362</v>
      </c>
      <c r="R10" s="18" t="str">
        <f>IF(water_out[[#This Row],[Month]]&lt;&gt;"",VLOOKUP(water_out[[#This Row],[Month]], dropdown!$S$4:$T$15, 2, FALSE),"")</f>
        <v>Q1</v>
      </c>
      <c r="S10" s="60" t="s">
        <v>341</v>
      </c>
      <c r="T10" s="29">
        <v>104</v>
      </c>
      <c r="U10" s="195" t="s">
        <v>1483</v>
      </c>
      <c r="W10" s="20"/>
    </row>
    <row r="11" spans="2:23" ht="14" x14ac:dyDescent="0.2">
      <c r="B11" s="17" t="s">
        <v>120</v>
      </c>
      <c r="C11" s="17" t="s">
        <v>220</v>
      </c>
      <c r="D11" s="41">
        <f>SUMIFS(water_in[Volume (m3)],water_in[Quarter],D$10)</f>
        <v>319</v>
      </c>
      <c r="E11" s="41">
        <f>SUMIFS(water_in[Volume (m3)],water_in[Quarter],E$10)</f>
        <v>332</v>
      </c>
      <c r="F11" s="41">
        <f>SUMIFS(water_in[Volume (m3)],water_in[Quarter],F$10)</f>
        <v>255</v>
      </c>
      <c r="G11" s="41">
        <f>SUMIFS(water_in[Volume (m3)],water_in[Quarter],G$10)</f>
        <v>221</v>
      </c>
      <c r="I11" s="194">
        <f t="shared" si="0"/>
        <v>4</v>
      </c>
      <c r="J11" s="58" t="s">
        <v>371</v>
      </c>
      <c r="K11" s="426" t="str">
        <f>IF(water_in[[#This Row],[Month]]&lt;&gt;"",VLOOKUP(water_in[[#This Row],[Month]], dropdown!$S$4:$T$15, 2, FALSE),"")</f>
        <v>Q2</v>
      </c>
      <c r="L11" s="58" t="s">
        <v>124</v>
      </c>
      <c r="M11" s="29">
        <v>116</v>
      </c>
      <c r="N11" s="195" t="s">
        <v>1528</v>
      </c>
      <c r="O11" s="44"/>
      <c r="P11" s="194">
        <f t="shared" si="1"/>
        <v>4</v>
      </c>
      <c r="Q11" s="58" t="s">
        <v>371</v>
      </c>
      <c r="R11" s="18" t="str">
        <f>IF(water_out[[#This Row],[Month]]&lt;&gt;"",VLOOKUP(water_out[[#This Row],[Month]], dropdown!$S$4:$T$15, 2, FALSE),"")</f>
        <v>Q2</v>
      </c>
      <c r="S11" s="60" t="s">
        <v>341</v>
      </c>
      <c r="T11" s="29">
        <v>92.8</v>
      </c>
      <c r="U11" s="195" t="s">
        <v>1483</v>
      </c>
      <c r="W11" s="20"/>
    </row>
    <row r="12" spans="2:23" ht="14" x14ac:dyDescent="0.2">
      <c r="B12" s="17" t="s">
        <v>128</v>
      </c>
      <c r="C12" s="17" t="s">
        <v>220</v>
      </c>
      <c r="D12" s="41">
        <f>SUMIFS(water_out[Volume2 (m3)],water_out[Quarter],D$10)</f>
        <v>255.2</v>
      </c>
      <c r="E12" s="41">
        <f>SUMIFS(water_out[Volume2 (m3)],water_out[Quarter],E$10)</f>
        <v>265.60000000000002</v>
      </c>
      <c r="F12" s="41">
        <f>SUMIFS(water_out[Volume2 (m3)],water_out[Quarter],F$10)</f>
        <v>204</v>
      </c>
      <c r="G12" s="41">
        <f>SUMIFS(water_out[Volume2 (m3)],water_out[Quarter],G$10)</f>
        <v>176.8</v>
      </c>
      <c r="I12" s="194">
        <f t="shared" si="0"/>
        <v>5</v>
      </c>
      <c r="J12" s="58" t="s">
        <v>379</v>
      </c>
      <c r="K12" s="426" t="str">
        <f>IF(water_in[[#This Row],[Month]]&lt;&gt;"",VLOOKUP(water_in[[#This Row],[Month]], dropdown!$S$4:$T$15, 2, FALSE),"")</f>
        <v>Q2</v>
      </c>
      <c r="L12" s="58" t="s">
        <v>124</v>
      </c>
      <c r="M12" s="29">
        <v>124</v>
      </c>
      <c r="N12" s="195" t="s">
        <v>1529</v>
      </c>
      <c r="O12" s="44" t="str">
        <f>IF(J12="","",VLOOKUP($J12,dropdown!$S$3:$T$15,2,FALSE))</f>
        <v>Q2</v>
      </c>
      <c r="P12" s="194">
        <f t="shared" si="1"/>
        <v>5</v>
      </c>
      <c r="Q12" s="58" t="s">
        <v>379</v>
      </c>
      <c r="R12" s="18" t="str">
        <f>IF(water_out[[#This Row],[Month]]&lt;&gt;"",VLOOKUP(water_out[[#This Row],[Month]], dropdown!$S$4:$T$15, 2, FALSE),"")</f>
        <v>Q2</v>
      </c>
      <c r="S12" s="60" t="s">
        <v>341</v>
      </c>
      <c r="T12" s="29">
        <v>99.2</v>
      </c>
      <c r="U12" s="195" t="s">
        <v>1483</v>
      </c>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92</v>
      </c>
      <c r="N13" s="195" t="s">
        <v>1530</v>
      </c>
      <c r="O13" s="44" t="str">
        <f>IF(J13="","",VLOOKUP($J13,dropdown!$S$3:$T$15,2,FALSE))</f>
        <v>Q2</v>
      </c>
      <c r="P13" s="194">
        <f t="shared" si="1"/>
        <v>6</v>
      </c>
      <c r="Q13" s="58" t="s">
        <v>386</v>
      </c>
      <c r="R13" s="18" t="str">
        <f>IF(water_out[[#This Row],[Month]]&lt;&gt;"",VLOOKUP(water_out[[#This Row],[Month]], dropdown!$S$4:$T$15, 2, FALSE),"")</f>
        <v>Q2</v>
      </c>
      <c r="S13" s="60" t="s">
        <v>341</v>
      </c>
      <c r="T13" s="29">
        <v>73.599999999999994</v>
      </c>
      <c r="U13" s="195" t="s">
        <v>1483</v>
      </c>
      <c r="W13" s="20"/>
    </row>
    <row r="14" spans="2:23" ht="14" x14ac:dyDescent="0.2">
      <c r="B14" s="119" t="s">
        <v>38</v>
      </c>
      <c r="I14" s="194">
        <f t="shared" si="0"/>
        <v>7</v>
      </c>
      <c r="J14" s="58" t="s">
        <v>390</v>
      </c>
      <c r="K14" s="426" t="str">
        <f>IF(water_in[[#This Row],[Month]]&lt;&gt;"",VLOOKUP(water_in[[#This Row],[Month]], dropdown!$S$4:$T$15, 2, FALSE),"")</f>
        <v>Q3</v>
      </c>
      <c r="L14" s="58" t="s">
        <v>124</v>
      </c>
      <c r="M14" s="29">
        <v>110</v>
      </c>
      <c r="N14" s="195" t="s">
        <v>1531</v>
      </c>
      <c r="O14" s="44" t="str">
        <f>IF(J14="","",VLOOKUP($J14,dropdown!$S$3:$T$15,2,FALSE))</f>
        <v>Q3</v>
      </c>
      <c r="P14" s="194">
        <f t="shared" si="1"/>
        <v>7</v>
      </c>
      <c r="Q14" s="58" t="s">
        <v>390</v>
      </c>
      <c r="R14" s="18" t="str">
        <f>IF(water_out[[#This Row],[Month]]&lt;&gt;"",VLOOKUP(water_out[[#This Row],[Month]], dropdown!$S$4:$T$15, 2, FALSE),"")</f>
        <v>Q3</v>
      </c>
      <c r="S14" s="60" t="s">
        <v>341</v>
      </c>
      <c r="T14" s="29">
        <v>88</v>
      </c>
      <c r="U14" s="195" t="s">
        <v>1483</v>
      </c>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75</v>
      </c>
      <c r="N15" s="195" t="s">
        <v>1532</v>
      </c>
      <c r="O15" s="44" t="str">
        <f>IF(J15="","",VLOOKUP($J15,dropdown!$S$3:$T$15,2,FALSE))</f>
        <v>Q3</v>
      </c>
      <c r="P15" s="194">
        <f t="shared" si="1"/>
        <v>8</v>
      </c>
      <c r="Q15" s="58" t="s">
        <v>41</v>
      </c>
      <c r="R15" s="18" t="str">
        <f>IF(water_out[[#This Row],[Month]]&lt;&gt;"",VLOOKUP(water_out[[#This Row],[Month]], dropdown!$S$4:$T$15, 2, FALSE),"")</f>
        <v>Q3</v>
      </c>
      <c r="S15" s="60" t="s">
        <v>341</v>
      </c>
      <c r="T15" s="29">
        <v>60</v>
      </c>
      <c r="U15" s="195" t="s">
        <v>1483</v>
      </c>
      <c r="W15" s="20"/>
    </row>
    <row r="16" spans="2:23" ht="14" x14ac:dyDescent="0.2">
      <c r="B16" s="121" t="s">
        <v>176</v>
      </c>
      <c r="I16" s="194">
        <f t="shared" si="0"/>
        <v>9</v>
      </c>
      <c r="J16" s="58" t="s">
        <v>397</v>
      </c>
      <c r="K16" s="426" t="str">
        <f>IF(water_in[[#This Row],[Month]]&lt;&gt;"",VLOOKUP(water_in[[#This Row],[Month]], dropdown!$S$4:$T$15, 2, FALSE),"")</f>
        <v>Q3</v>
      </c>
      <c r="L16" s="58" t="s">
        <v>124</v>
      </c>
      <c r="M16" s="29">
        <v>70</v>
      </c>
      <c r="N16" s="195" t="s">
        <v>1533</v>
      </c>
      <c r="O16" s="44" t="str">
        <f>IF(J16="","",VLOOKUP($J16,dropdown!$S$3:$T$15,2,FALSE))</f>
        <v>Q3</v>
      </c>
      <c r="P16" s="194">
        <f t="shared" si="1"/>
        <v>9</v>
      </c>
      <c r="Q16" s="58" t="s">
        <v>397</v>
      </c>
      <c r="R16" s="18" t="str">
        <f>IF(water_out[[#This Row],[Month]]&lt;&gt;"",VLOOKUP(water_out[[#This Row],[Month]], dropdown!$S$4:$T$15, 2, FALSE),"")</f>
        <v>Q3</v>
      </c>
      <c r="S16" s="60" t="s">
        <v>341</v>
      </c>
      <c r="T16" s="29">
        <v>56</v>
      </c>
      <c r="U16" s="195" t="s">
        <v>1483</v>
      </c>
      <c r="W16" s="20"/>
    </row>
    <row r="17" spans="2:23" ht="14" x14ac:dyDescent="0.2">
      <c r="B17" s="122" t="s">
        <v>177</v>
      </c>
      <c r="I17" s="194">
        <f t="shared" si="0"/>
        <v>10</v>
      </c>
      <c r="J17" s="58" t="s">
        <v>400</v>
      </c>
      <c r="K17" s="426" t="str">
        <f>IF(water_in[[#This Row],[Month]]&lt;&gt;"",VLOOKUP(water_in[[#This Row],[Month]], dropdown!$S$4:$T$15, 2, FALSE),"")</f>
        <v>Q4</v>
      </c>
      <c r="L17" s="58" t="s">
        <v>124</v>
      </c>
      <c r="M17" s="29">
        <v>71</v>
      </c>
      <c r="N17" s="195" t="s">
        <v>1534</v>
      </c>
      <c r="O17" s="44" t="str">
        <f>IF(J17="","",VLOOKUP($J17,dropdown!$S$3:$T$15,2,FALSE))</f>
        <v>Q4</v>
      </c>
      <c r="P17" s="194">
        <f t="shared" si="1"/>
        <v>10</v>
      </c>
      <c r="Q17" s="58" t="s">
        <v>400</v>
      </c>
      <c r="R17" s="18" t="str">
        <f>IF(water_out[[#This Row],[Month]]&lt;&gt;"",VLOOKUP(water_out[[#This Row],[Month]], dropdown!$S$4:$T$15, 2, FALSE),"")</f>
        <v>Q4</v>
      </c>
      <c r="S17" s="60" t="s">
        <v>341</v>
      </c>
      <c r="T17" s="29">
        <v>56.8</v>
      </c>
      <c r="U17" s="195" t="s">
        <v>1483</v>
      </c>
      <c r="V17" s="44" t="s">
        <v>43</v>
      </c>
      <c r="W17" s="20"/>
    </row>
    <row r="18" spans="2:23" ht="14" x14ac:dyDescent="0.2">
      <c r="I18" s="194">
        <f t="shared" si="0"/>
        <v>11</v>
      </c>
      <c r="J18" s="58" t="s">
        <v>404</v>
      </c>
      <c r="K18" s="426" t="str">
        <f>IF(water_in[[#This Row],[Month]]&lt;&gt;"",VLOOKUP(water_in[[#This Row],[Month]], dropdown!$S$4:$T$15, 2, FALSE),"")</f>
        <v>Q4</v>
      </c>
      <c r="L18" s="58" t="s">
        <v>124</v>
      </c>
      <c r="M18" s="29">
        <v>77</v>
      </c>
      <c r="N18" s="195" t="s">
        <v>1535</v>
      </c>
      <c r="O18" s="44" t="str">
        <f>IF(J18="","",VLOOKUP($J18,dropdown!$S$3:$T$15,2,FALSE))</f>
        <v>Q4</v>
      </c>
      <c r="P18" s="194">
        <f t="shared" si="1"/>
        <v>11</v>
      </c>
      <c r="Q18" s="58" t="s">
        <v>404</v>
      </c>
      <c r="R18" s="18" t="str">
        <f>IF(water_out[[#This Row],[Month]]&lt;&gt;"",VLOOKUP(water_out[[#This Row],[Month]], dropdown!$S$4:$T$15, 2, FALSE),"")</f>
        <v>Q4</v>
      </c>
      <c r="S18" s="60" t="s">
        <v>341</v>
      </c>
      <c r="T18" s="29">
        <v>61.6</v>
      </c>
      <c r="U18" s="195" t="s">
        <v>1483</v>
      </c>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73</v>
      </c>
      <c r="N19" s="195" t="s">
        <v>1536</v>
      </c>
      <c r="O19" s="44" t="str">
        <f>IF(J19="","",VLOOKUP($J19,dropdown!$S$3:$T$15,2,FALSE))</f>
        <v>Q4</v>
      </c>
      <c r="P19" s="194">
        <f t="shared" si="1"/>
        <v>12</v>
      </c>
      <c r="Q19" s="58" t="s">
        <v>407</v>
      </c>
      <c r="R19" s="18" t="str">
        <f>IF(water_out[[#This Row],[Month]]&lt;&gt;"",VLOOKUP(water_out[[#This Row],[Month]], dropdown!$S$4:$T$15, 2, FALSE),"")</f>
        <v>Q4</v>
      </c>
      <c r="S19" s="60" t="s">
        <v>341</v>
      </c>
      <c r="T19" s="29">
        <v>58.4</v>
      </c>
      <c r="U19" s="195" t="s">
        <v>1483</v>
      </c>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Roxas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M56" sqref="M56"/>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Roxas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5"/>
      <c r="D6" s="446"/>
      <c r="E6" s="446"/>
      <c r="F6" s="446"/>
      <c r="G6" s="447"/>
      <c r="I6" s="409" t="s">
        <v>282</v>
      </c>
      <c r="J6" s="407"/>
      <c r="K6" s="407"/>
      <c r="L6" s="407"/>
      <c r="M6" s="408"/>
      <c r="N6" s="407"/>
      <c r="O6" s="407"/>
      <c r="Q6" s="44"/>
    </row>
    <row r="7" spans="2:17" ht="25.5" customHeight="1" x14ac:dyDescent="0.2">
      <c r="B7" s="278" t="s">
        <v>174</v>
      </c>
      <c r="C7" s="445"/>
      <c r="D7" s="446"/>
      <c r="E7" s="446"/>
      <c r="F7" s="446"/>
      <c r="G7" s="447"/>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52</v>
      </c>
      <c r="N8" s="57" t="s">
        <v>313</v>
      </c>
      <c r="O8" s="195" t="s">
        <v>1546</v>
      </c>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318</v>
      </c>
      <c r="M9" s="29">
        <v>52</v>
      </c>
      <c r="N9" s="57" t="s">
        <v>376</v>
      </c>
      <c r="O9" s="195" t="s">
        <v>1546</v>
      </c>
      <c r="Q9" s="44"/>
    </row>
    <row r="10" spans="2:17" x14ac:dyDescent="0.2">
      <c r="B10" s="13" t="s">
        <v>137</v>
      </c>
      <c r="C10" s="13" t="s">
        <v>51</v>
      </c>
      <c r="D10" s="40" t="s">
        <v>45</v>
      </c>
      <c r="E10" s="40" t="s">
        <v>149</v>
      </c>
      <c r="F10" s="40" t="s">
        <v>150</v>
      </c>
      <c r="G10" s="40" t="s">
        <v>151</v>
      </c>
      <c r="I10" s="194">
        <f t="shared" si="0"/>
        <v>3</v>
      </c>
      <c r="J10" s="58" t="s">
        <v>338</v>
      </c>
      <c r="K10" s="194" t="str">
        <f>IF(Waste[[#This Row],[Month]]&lt;&gt;"",VLOOKUP(Waste[[#This Row],[Month]], dropdown!$S$4:$T$15, 2, FALSE),"")</f>
        <v>Q1</v>
      </c>
      <c r="L10" s="57" t="s">
        <v>317</v>
      </c>
      <c r="M10" s="29">
        <v>59.6</v>
      </c>
      <c r="N10" s="57" t="s">
        <v>345</v>
      </c>
      <c r="O10" s="195" t="s">
        <v>1547</v>
      </c>
      <c r="Q10" s="44"/>
    </row>
    <row r="11" spans="2:17" x14ac:dyDescent="0.2">
      <c r="B11" s="17" t="str">
        <f>dropdown!$B4</f>
        <v>Compostable</v>
      </c>
      <c r="C11" s="17" t="s">
        <v>283</v>
      </c>
      <c r="D11" s="41">
        <f>SUMIFS(Waste[Weight (kg)],Waste[Quarter],D$10,Waste[Waste Composition],$B$11)</f>
        <v>156</v>
      </c>
      <c r="E11" s="41">
        <f>SUMIFS(Waste[Weight (kg)],Waste[Quarter],E$10,Waste[Waste Composition],$B11)</f>
        <v>156</v>
      </c>
      <c r="F11" s="41">
        <f>SUMIFS(Waste[Weight (kg)],Waste[Quarter],F$10,Waste[Waste Composition],$B11)</f>
        <v>156</v>
      </c>
      <c r="G11" s="41">
        <f>SUMIFS(Waste[Weight (kg)],Waste[Quarter],G$10,Waste[Waste Composition],$B11)</f>
        <v>156</v>
      </c>
      <c r="I11" s="194">
        <f t="shared" si="0"/>
        <v>4</v>
      </c>
      <c r="J11" s="58" t="s">
        <v>338</v>
      </c>
      <c r="K11" s="194" t="str">
        <f>IF(Waste[[#This Row],[Month]]&lt;&gt;"",VLOOKUP(Waste[[#This Row],[Month]], dropdown!$S$4:$T$15, 2, FALSE),"")</f>
        <v>Q1</v>
      </c>
      <c r="L11" s="57" t="s">
        <v>383</v>
      </c>
      <c r="M11" s="29">
        <v>416</v>
      </c>
      <c r="N11" s="57" t="s">
        <v>313</v>
      </c>
      <c r="O11" s="195" t="s">
        <v>1546</v>
      </c>
      <c r="Q11" s="44"/>
    </row>
    <row r="12" spans="2:17" x14ac:dyDescent="0.2">
      <c r="B12" s="17" t="str">
        <f>dropdown!$B5</f>
        <v>Recyclable</v>
      </c>
      <c r="C12" s="17" t="s">
        <v>283</v>
      </c>
      <c r="D12" s="41">
        <f>SUMIFS(Waste[Weight (kg)],Waste[Quarter],D$10,Waste[Waste Composition],$B12)</f>
        <v>156</v>
      </c>
      <c r="E12" s="41">
        <f>SUMIFS(Waste[Weight (kg)],Waste[Quarter],E$10,Waste[Waste Composition],$B12)</f>
        <v>156</v>
      </c>
      <c r="F12" s="41">
        <f>SUMIFS(Waste[Weight (kg)],Waste[Quarter],F$10,Waste[Waste Composition],$B12)</f>
        <v>156</v>
      </c>
      <c r="G12" s="41">
        <f>SUMIFS(Waste[Weight (kg)],Waste[Quarter],G$10,Waste[Waste Composition],$B12)</f>
        <v>156</v>
      </c>
      <c r="I12" s="194">
        <f t="shared" si="0"/>
        <v>5</v>
      </c>
      <c r="J12" s="58" t="s">
        <v>89</v>
      </c>
      <c r="K12" s="194" t="str">
        <f>IF(Waste[[#This Row],[Month]]&lt;&gt;"",VLOOKUP(Waste[[#This Row],[Month]], dropdown!$S$4:$T$15, 2, FALSE),"")</f>
        <v>Q1</v>
      </c>
      <c r="L12" s="57" t="s">
        <v>139</v>
      </c>
      <c r="M12" s="29">
        <v>52</v>
      </c>
      <c r="N12" s="57" t="s">
        <v>313</v>
      </c>
      <c r="O12" s="195" t="s">
        <v>1546</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318</v>
      </c>
      <c r="M13" s="29">
        <v>52</v>
      </c>
      <c r="N13" s="57" t="s">
        <v>376</v>
      </c>
      <c r="O13" s="195" t="s">
        <v>1546</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89</v>
      </c>
      <c r="K14" s="194" t="str">
        <f>IF(Waste[[#This Row],[Month]]&lt;&gt;"",VLOOKUP(Waste[[#This Row],[Month]], dropdown!$S$4:$T$15, 2, FALSE),"")</f>
        <v>Q1</v>
      </c>
      <c r="L14" s="57" t="s">
        <v>317</v>
      </c>
      <c r="M14" s="29">
        <v>0</v>
      </c>
      <c r="N14" s="57" t="s">
        <v>345</v>
      </c>
      <c r="O14" s="195" t="s">
        <v>1547</v>
      </c>
      <c r="Q14" s="44"/>
    </row>
    <row r="15" spans="2:17" ht="15" customHeight="1" x14ac:dyDescent="0.2">
      <c r="B15" s="17" t="str">
        <f>dropdown!$B8</f>
        <v>Hazardous</v>
      </c>
      <c r="C15" s="17" t="s">
        <v>283</v>
      </c>
      <c r="D15" s="41">
        <f>SUMIFS(Waste[Weight (kg)],Waste[Quarter],D$10,Waste[Waste Composition],$B15)</f>
        <v>87.4</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383</v>
      </c>
      <c r="M15" s="29">
        <v>2216</v>
      </c>
      <c r="N15" s="57" t="s">
        <v>313</v>
      </c>
      <c r="O15" s="195" t="s">
        <v>1546</v>
      </c>
    </row>
    <row r="16" spans="2:17" x14ac:dyDescent="0.2">
      <c r="B16" s="17" t="str">
        <f>dropdown!$B9</f>
        <v>Residual/Landfill</v>
      </c>
      <c r="C16" s="17" t="s">
        <v>283</v>
      </c>
      <c r="D16" s="41">
        <f>SUMIFS(Waste[Weight (kg)],Waste[Quarter],D$10,Waste[Waste Composition],$B16)</f>
        <v>4773</v>
      </c>
      <c r="E16" s="41">
        <f>SUMIFS(Waste[Weight (kg)],Waste[Quarter],E$10,Waste[Waste Composition],$B16)</f>
        <v>5943</v>
      </c>
      <c r="F16" s="41">
        <f>SUMIFS(Waste[Weight (kg)],Waste[Quarter],F$10,Waste[Waste Composition],$B16)</f>
        <v>6243</v>
      </c>
      <c r="G16" s="41">
        <f>SUMIFS(Waste[Weight (kg)],Waste[Quarter],G$10,Waste[Waste Composition],$B16)</f>
        <v>5748</v>
      </c>
      <c r="I16" s="194">
        <f t="shared" si="0"/>
        <v>9</v>
      </c>
      <c r="J16" s="58" t="s">
        <v>362</v>
      </c>
      <c r="K16" s="194" t="str">
        <f>IF(Waste[[#This Row],[Month]]&lt;&gt;"",VLOOKUP(Waste[[#This Row],[Month]], dropdown!$S$4:$T$15, 2, FALSE),"")</f>
        <v>Q1</v>
      </c>
      <c r="L16" s="57" t="s">
        <v>139</v>
      </c>
      <c r="M16" s="29">
        <v>52</v>
      </c>
      <c r="N16" s="57" t="s">
        <v>313</v>
      </c>
      <c r="O16" s="195" t="s">
        <v>1546</v>
      </c>
    </row>
    <row r="17" spans="2:15" x14ac:dyDescent="0.2">
      <c r="I17" s="194">
        <f t="shared" si="0"/>
        <v>10</v>
      </c>
      <c r="J17" s="58" t="s">
        <v>362</v>
      </c>
      <c r="K17" s="194" t="str">
        <f>IF(Waste[[#This Row],[Month]]&lt;&gt;"",VLOOKUP(Waste[[#This Row],[Month]], dropdown!$S$4:$T$15, 2, FALSE),"")</f>
        <v>Q1</v>
      </c>
      <c r="L17" s="57" t="s">
        <v>318</v>
      </c>
      <c r="M17" s="29">
        <v>52</v>
      </c>
      <c r="N17" s="57" t="s">
        <v>376</v>
      </c>
      <c r="O17" s="195" t="s">
        <v>1546</v>
      </c>
    </row>
    <row r="18" spans="2:15" x14ac:dyDescent="0.2">
      <c r="B18" s="267" t="s">
        <v>38</v>
      </c>
      <c r="I18" s="194">
        <f t="shared" si="0"/>
        <v>11</v>
      </c>
      <c r="J18" s="58" t="s">
        <v>362</v>
      </c>
      <c r="K18" s="194" t="str">
        <f>IF(Waste[[#This Row],[Month]]&lt;&gt;"",VLOOKUP(Waste[[#This Row],[Month]], dropdown!$S$4:$T$15, 2, FALSE),"")</f>
        <v>Q1</v>
      </c>
      <c r="L18" s="57" t="s">
        <v>317</v>
      </c>
      <c r="M18" s="29">
        <v>27.8</v>
      </c>
      <c r="N18" s="57" t="s">
        <v>345</v>
      </c>
      <c r="O18" s="195" t="s">
        <v>1547</v>
      </c>
    </row>
    <row r="19" spans="2:15" x14ac:dyDescent="0.2">
      <c r="B19" s="268" t="s">
        <v>175</v>
      </c>
      <c r="I19" s="194">
        <f t="shared" ref="I19" si="1">IF($J19="","",$I18+1)</f>
        <v>12</v>
      </c>
      <c r="J19" s="58" t="s">
        <v>362</v>
      </c>
      <c r="K19" s="194" t="str">
        <f>IF(Waste[[#This Row],[Month]]&lt;&gt;"",VLOOKUP(Waste[[#This Row],[Month]], dropdown!$S$4:$T$15, 2, FALSE),"")</f>
        <v>Q1</v>
      </c>
      <c r="L19" s="57" t="s">
        <v>383</v>
      </c>
      <c r="M19" s="29">
        <v>2141</v>
      </c>
      <c r="N19" s="57" t="s">
        <v>313</v>
      </c>
      <c r="O19" s="195" t="s">
        <v>1546</v>
      </c>
    </row>
    <row r="20" spans="2:15" x14ac:dyDescent="0.2">
      <c r="B20" s="266" t="s">
        <v>176</v>
      </c>
      <c r="I20" s="194">
        <f t="shared" si="0"/>
        <v>13</v>
      </c>
      <c r="J20" s="58" t="s">
        <v>371</v>
      </c>
      <c r="K20" s="194" t="str">
        <f>IF(Waste[[#This Row],[Month]]&lt;&gt;"",VLOOKUP(Waste[[#This Row],[Month]], dropdown!$S$4:$T$15, 2, FALSE),"")</f>
        <v>Q2</v>
      </c>
      <c r="L20" s="57" t="s">
        <v>139</v>
      </c>
      <c r="M20" s="29">
        <v>52</v>
      </c>
      <c r="N20" s="57" t="s">
        <v>313</v>
      </c>
      <c r="O20" s="195" t="s">
        <v>1546</v>
      </c>
    </row>
    <row r="21" spans="2:15" x14ac:dyDescent="0.2">
      <c r="B21" s="17" t="s">
        <v>177</v>
      </c>
      <c r="I21" s="194">
        <f t="shared" si="0"/>
        <v>14</v>
      </c>
      <c r="J21" s="58" t="s">
        <v>371</v>
      </c>
      <c r="K21" s="194" t="str">
        <f>IF(Waste[[#This Row],[Month]]&lt;&gt;"",VLOOKUP(Waste[[#This Row],[Month]], dropdown!$S$4:$T$15, 2, FALSE),"")</f>
        <v>Q2</v>
      </c>
      <c r="L21" s="57" t="s">
        <v>318</v>
      </c>
      <c r="M21" s="29">
        <v>52</v>
      </c>
      <c r="N21" s="57" t="s">
        <v>376</v>
      </c>
      <c r="O21" s="195" t="s">
        <v>1546</v>
      </c>
    </row>
    <row r="22" spans="2:15" x14ac:dyDescent="0.2">
      <c r="I22" s="194">
        <f t="shared" si="0"/>
        <v>15</v>
      </c>
      <c r="J22" s="58" t="s">
        <v>371</v>
      </c>
      <c r="K22" s="194" t="str">
        <f>IF(Waste[[#This Row],[Month]]&lt;&gt;"",VLOOKUP(Waste[[#This Row],[Month]], dropdown!$S$4:$T$15, 2, FALSE),"")</f>
        <v>Q2</v>
      </c>
      <c r="L22" s="57" t="s">
        <v>317</v>
      </c>
      <c r="M22" s="29">
        <v>0</v>
      </c>
      <c r="N22" s="57" t="s">
        <v>345</v>
      </c>
      <c r="O22" s="195" t="s">
        <v>1547</v>
      </c>
    </row>
    <row r="23" spans="2:15" x14ac:dyDescent="0.2">
      <c r="I23" s="194">
        <f t="shared" si="0"/>
        <v>16</v>
      </c>
      <c r="J23" s="58" t="s">
        <v>371</v>
      </c>
      <c r="K23" s="194" t="str">
        <f>IF(Waste[[#This Row],[Month]]&lt;&gt;"",VLOOKUP(Waste[[#This Row],[Month]], dropdown!$S$4:$T$15, 2, FALSE),"")</f>
        <v>Q2</v>
      </c>
      <c r="L23" s="57" t="s">
        <v>383</v>
      </c>
      <c r="M23" s="29">
        <v>1931</v>
      </c>
      <c r="N23" s="57" t="s">
        <v>313</v>
      </c>
      <c r="O23" s="195" t="s">
        <v>1546</v>
      </c>
    </row>
    <row r="24" spans="2:15" x14ac:dyDescent="0.2">
      <c r="I24" s="194">
        <f t="shared" si="0"/>
        <v>17</v>
      </c>
      <c r="J24" s="58" t="s">
        <v>379</v>
      </c>
      <c r="K24" s="194" t="str">
        <f>IF(Waste[[#This Row],[Month]]&lt;&gt;"",VLOOKUP(Waste[[#This Row],[Month]], dropdown!$S$4:$T$15, 2, FALSE),"")</f>
        <v>Q2</v>
      </c>
      <c r="L24" s="57" t="s">
        <v>139</v>
      </c>
      <c r="M24" s="29">
        <v>52</v>
      </c>
      <c r="N24" s="57" t="s">
        <v>313</v>
      </c>
      <c r="O24" s="195" t="s">
        <v>1546</v>
      </c>
    </row>
    <row r="25" spans="2:15" x14ac:dyDescent="0.2">
      <c r="I25" s="194">
        <f t="shared" si="0"/>
        <v>18</v>
      </c>
      <c r="J25" s="58" t="s">
        <v>379</v>
      </c>
      <c r="K25" s="194" t="str">
        <f>IF(Waste[[#This Row],[Month]]&lt;&gt;"",VLOOKUP(Waste[[#This Row],[Month]], dropdown!$S$4:$T$15, 2, FALSE),"")</f>
        <v>Q2</v>
      </c>
      <c r="L25" s="57" t="s">
        <v>318</v>
      </c>
      <c r="M25" s="29">
        <v>52</v>
      </c>
      <c r="N25" s="57" t="s">
        <v>376</v>
      </c>
      <c r="O25" s="195" t="s">
        <v>1546</v>
      </c>
    </row>
    <row r="26" spans="2:15" x14ac:dyDescent="0.2">
      <c r="I26" s="194">
        <f t="shared" si="0"/>
        <v>19</v>
      </c>
      <c r="J26" s="58" t="s">
        <v>379</v>
      </c>
      <c r="K26" s="194" t="str">
        <f>IF(Waste[[#This Row],[Month]]&lt;&gt;"",VLOOKUP(Waste[[#This Row],[Month]], dropdown!$S$4:$T$15, 2, FALSE),"")</f>
        <v>Q2</v>
      </c>
      <c r="L26" s="57" t="s">
        <v>317</v>
      </c>
      <c r="M26" s="29">
        <v>0</v>
      </c>
      <c r="N26" s="57" t="s">
        <v>345</v>
      </c>
      <c r="O26" s="195" t="s">
        <v>1547</v>
      </c>
    </row>
    <row r="27" spans="2:15" x14ac:dyDescent="0.2">
      <c r="I27" s="194">
        <f t="shared" si="0"/>
        <v>20</v>
      </c>
      <c r="J27" s="58" t="s">
        <v>379</v>
      </c>
      <c r="K27" s="194" t="str">
        <f>IF(Waste[[#This Row],[Month]]&lt;&gt;"",VLOOKUP(Waste[[#This Row],[Month]], dropdown!$S$4:$T$15, 2, FALSE),"")</f>
        <v>Q2</v>
      </c>
      <c r="L27" s="57" t="s">
        <v>383</v>
      </c>
      <c r="M27" s="29">
        <v>1916</v>
      </c>
      <c r="N27" s="57" t="s">
        <v>313</v>
      </c>
      <c r="O27" s="195" t="s">
        <v>1546</v>
      </c>
    </row>
    <row r="28" spans="2:15" x14ac:dyDescent="0.2">
      <c r="I28" s="194">
        <f t="shared" si="0"/>
        <v>21</v>
      </c>
      <c r="J28" s="58" t="s">
        <v>386</v>
      </c>
      <c r="K28" s="194" t="str">
        <f>IF(Waste[[#This Row],[Month]]&lt;&gt;"",VLOOKUP(Waste[[#This Row],[Month]], dropdown!$S$4:$T$15, 2, FALSE),"")</f>
        <v>Q2</v>
      </c>
      <c r="L28" s="57" t="s">
        <v>139</v>
      </c>
      <c r="M28" s="29">
        <v>52</v>
      </c>
      <c r="N28" s="57" t="s">
        <v>313</v>
      </c>
      <c r="O28" s="195" t="s">
        <v>1546</v>
      </c>
    </row>
    <row r="29" spans="2:15" x14ac:dyDescent="0.2">
      <c r="I29" s="194">
        <f t="shared" si="0"/>
        <v>22</v>
      </c>
      <c r="J29" s="58" t="s">
        <v>386</v>
      </c>
      <c r="K29" s="194" t="str">
        <f>IF(Waste[[#This Row],[Month]]&lt;&gt;"",VLOOKUP(Waste[[#This Row],[Month]], dropdown!$S$4:$T$15, 2, FALSE),"")</f>
        <v>Q2</v>
      </c>
      <c r="L29" s="57" t="s">
        <v>318</v>
      </c>
      <c r="M29" s="29">
        <v>52</v>
      </c>
      <c r="N29" s="57" t="s">
        <v>376</v>
      </c>
      <c r="O29" s="195" t="s">
        <v>1546</v>
      </c>
    </row>
    <row r="30" spans="2:15" x14ac:dyDescent="0.2">
      <c r="I30" s="194">
        <f t="shared" si="0"/>
        <v>23</v>
      </c>
      <c r="J30" s="58" t="s">
        <v>386</v>
      </c>
      <c r="K30" s="194" t="str">
        <f>IF(Waste[[#This Row],[Month]]&lt;&gt;"",VLOOKUP(Waste[[#This Row],[Month]], dropdown!$S$4:$T$15, 2, FALSE),"")</f>
        <v>Q2</v>
      </c>
      <c r="L30" s="57" t="s">
        <v>317</v>
      </c>
      <c r="M30" s="29">
        <v>0</v>
      </c>
      <c r="N30" s="57" t="s">
        <v>345</v>
      </c>
      <c r="O30" s="195" t="s">
        <v>1547</v>
      </c>
    </row>
    <row r="31" spans="2:15" x14ac:dyDescent="0.2">
      <c r="I31" s="194">
        <f t="shared" si="0"/>
        <v>24</v>
      </c>
      <c r="J31" s="58" t="s">
        <v>386</v>
      </c>
      <c r="K31" s="194" t="str">
        <f>IF(Waste[[#This Row],[Month]]&lt;&gt;"",VLOOKUP(Waste[[#This Row],[Month]], dropdown!$S$4:$T$15, 2, FALSE),"")</f>
        <v>Q2</v>
      </c>
      <c r="L31" s="57" t="s">
        <v>383</v>
      </c>
      <c r="M31" s="29">
        <v>2096</v>
      </c>
      <c r="N31" s="57" t="s">
        <v>313</v>
      </c>
      <c r="O31" s="195" t="s">
        <v>1546</v>
      </c>
    </row>
    <row r="32" spans="2:15" x14ac:dyDescent="0.2">
      <c r="I32" s="194">
        <f t="shared" si="0"/>
        <v>25</v>
      </c>
      <c r="J32" s="58" t="s">
        <v>390</v>
      </c>
      <c r="K32" s="194" t="str">
        <f>IF(Waste[[#This Row],[Month]]&lt;&gt;"",VLOOKUP(Waste[[#This Row],[Month]], dropdown!$S$4:$T$15, 2, FALSE),"")</f>
        <v>Q3</v>
      </c>
      <c r="L32" s="57" t="s">
        <v>139</v>
      </c>
      <c r="M32" s="29">
        <v>52</v>
      </c>
      <c r="N32" s="57" t="s">
        <v>313</v>
      </c>
      <c r="O32" s="195" t="s">
        <v>1546</v>
      </c>
    </row>
    <row r="33" spans="9:15" x14ac:dyDescent="0.2">
      <c r="I33" s="194">
        <f t="shared" si="0"/>
        <v>26</v>
      </c>
      <c r="J33" s="58" t="s">
        <v>390</v>
      </c>
      <c r="K33" s="194" t="str">
        <f>IF(Waste[[#This Row],[Month]]&lt;&gt;"",VLOOKUP(Waste[[#This Row],[Month]], dropdown!$S$4:$T$15, 2, FALSE),"")</f>
        <v>Q3</v>
      </c>
      <c r="L33" s="57" t="s">
        <v>318</v>
      </c>
      <c r="M33" s="29">
        <v>52</v>
      </c>
      <c r="N33" s="57" t="s">
        <v>376</v>
      </c>
      <c r="O33" s="195" t="s">
        <v>1546</v>
      </c>
    </row>
    <row r="34" spans="9:15" x14ac:dyDescent="0.2">
      <c r="I34" s="194">
        <f t="shared" si="0"/>
        <v>27</v>
      </c>
      <c r="J34" s="58" t="s">
        <v>390</v>
      </c>
      <c r="K34" s="194" t="str">
        <f>IF(Waste[[#This Row],[Month]]&lt;&gt;"",VLOOKUP(Waste[[#This Row],[Month]], dropdown!$S$4:$T$15, 2, FALSE),"")</f>
        <v>Q3</v>
      </c>
      <c r="L34" s="57" t="s">
        <v>317</v>
      </c>
      <c r="M34" s="29">
        <v>0</v>
      </c>
      <c r="N34" s="57" t="s">
        <v>345</v>
      </c>
      <c r="O34" s="195" t="s">
        <v>1547</v>
      </c>
    </row>
    <row r="35" spans="9:15" x14ac:dyDescent="0.2">
      <c r="I35" s="194">
        <f t="shared" si="0"/>
        <v>28</v>
      </c>
      <c r="J35" s="58" t="s">
        <v>390</v>
      </c>
      <c r="K35" s="194" t="str">
        <f>IF(Waste[[#This Row],[Month]]&lt;&gt;"",VLOOKUP(Waste[[#This Row],[Month]], dropdown!$S$4:$T$15, 2, FALSE),"")</f>
        <v>Q3</v>
      </c>
      <c r="L35" s="57" t="s">
        <v>383</v>
      </c>
      <c r="M35" s="29">
        <v>2066</v>
      </c>
      <c r="N35" s="57" t="s">
        <v>313</v>
      </c>
      <c r="O35" s="195" t="s">
        <v>1546</v>
      </c>
    </row>
    <row r="36" spans="9:15" x14ac:dyDescent="0.2">
      <c r="I36" s="194">
        <f t="shared" si="0"/>
        <v>29</v>
      </c>
      <c r="J36" s="58" t="s">
        <v>41</v>
      </c>
      <c r="K36" s="194" t="str">
        <f>IF(Waste[[#This Row],[Month]]&lt;&gt;"",VLOOKUP(Waste[[#This Row],[Month]], dropdown!$S$4:$T$15, 2, FALSE),"")</f>
        <v>Q3</v>
      </c>
      <c r="L36" s="57" t="s">
        <v>139</v>
      </c>
      <c r="M36" s="29">
        <v>52</v>
      </c>
      <c r="N36" s="57" t="s">
        <v>313</v>
      </c>
      <c r="O36" s="195" t="s">
        <v>1546</v>
      </c>
    </row>
    <row r="37" spans="9:15" x14ac:dyDescent="0.2">
      <c r="I37" s="194">
        <f t="shared" si="0"/>
        <v>30</v>
      </c>
      <c r="J37" s="58" t="s">
        <v>41</v>
      </c>
      <c r="K37" s="194" t="str">
        <f>IF(Waste[[#This Row],[Month]]&lt;&gt;"",VLOOKUP(Waste[[#This Row],[Month]], dropdown!$S$4:$T$15, 2, FALSE),"")</f>
        <v>Q3</v>
      </c>
      <c r="L37" s="57" t="s">
        <v>318</v>
      </c>
      <c r="M37" s="29">
        <v>52</v>
      </c>
      <c r="N37" s="57" t="s">
        <v>376</v>
      </c>
      <c r="O37" s="195" t="s">
        <v>1546</v>
      </c>
    </row>
    <row r="38" spans="9:15" x14ac:dyDescent="0.2">
      <c r="I38" s="194">
        <f t="shared" si="0"/>
        <v>31</v>
      </c>
      <c r="J38" s="58" t="s">
        <v>41</v>
      </c>
      <c r="K38" s="194" t="str">
        <f>IF(Waste[[#This Row],[Month]]&lt;&gt;"",VLOOKUP(Waste[[#This Row],[Month]], dropdown!$S$4:$T$15, 2, FALSE),"")</f>
        <v>Q3</v>
      </c>
      <c r="L38" s="57" t="s">
        <v>317</v>
      </c>
      <c r="M38" s="29">
        <v>0</v>
      </c>
      <c r="N38" s="57" t="s">
        <v>345</v>
      </c>
      <c r="O38" s="195" t="s">
        <v>1547</v>
      </c>
    </row>
    <row r="39" spans="9:15" x14ac:dyDescent="0.2">
      <c r="I39" s="194">
        <f t="shared" si="0"/>
        <v>32</v>
      </c>
      <c r="J39" s="58" t="s">
        <v>41</v>
      </c>
      <c r="K39" s="194" t="str">
        <f>IF(Waste[[#This Row],[Month]]&lt;&gt;"",VLOOKUP(Waste[[#This Row],[Month]], dropdown!$S$4:$T$15, 2, FALSE),"")</f>
        <v>Q3</v>
      </c>
      <c r="L39" s="57" t="s">
        <v>383</v>
      </c>
      <c r="M39" s="29">
        <v>2036</v>
      </c>
      <c r="N39" s="57" t="s">
        <v>313</v>
      </c>
      <c r="O39" s="195" t="s">
        <v>1546</v>
      </c>
    </row>
    <row r="40" spans="9:15" x14ac:dyDescent="0.2">
      <c r="I40" s="194">
        <f t="shared" si="0"/>
        <v>33</v>
      </c>
      <c r="J40" s="58" t="s">
        <v>397</v>
      </c>
      <c r="K40" s="194" t="str">
        <f>IF(Waste[[#This Row],[Month]]&lt;&gt;"",VLOOKUP(Waste[[#This Row],[Month]], dropdown!$S$4:$T$15, 2, FALSE),"")</f>
        <v>Q3</v>
      </c>
      <c r="L40" s="57" t="s">
        <v>139</v>
      </c>
      <c r="M40" s="29">
        <v>52</v>
      </c>
      <c r="N40" s="57" t="s">
        <v>313</v>
      </c>
      <c r="O40" s="195" t="s">
        <v>1546</v>
      </c>
    </row>
    <row r="41" spans="9:15" x14ac:dyDescent="0.2">
      <c r="I41" s="194">
        <f t="shared" si="0"/>
        <v>34</v>
      </c>
      <c r="J41" s="58" t="s">
        <v>397</v>
      </c>
      <c r="K41" s="194" t="str">
        <f>IF(Waste[[#This Row],[Month]]&lt;&gt;"",VLOOKUP(Waste[[#This Row],[Month]], dropdown!$S$4:$T$15, 2, FALSE),"")</f>
        <v>Q3</v>
      </c>
      <c r="L41" s="57" t="s">
        <v>318</v>
      </c>
      <c r="M41" s="29">
        <v>52</v>
      </c>
      <c r="N41" s="57" t="s">
        <v>376</v>
      </c>
      <c r="O41" s="195" t="s">
        <v>1546</v>
      </c>
    </row>
    <row r="42" spans="9:15" x14ac:dyDescent="0.2">
      <c r="I42" s="194">
        <f t="shared" si="0"/>
        <v>35</v>
      </c>
      <c r="J42" s="58" t="s">
        <v>397</v>
      </c>
      <c r="K42" s="194" t="str">
        <f>IF(Waste[[#This Row],[Month]]&lt;&gt;"",VLOOKUP(Waste[[#This Row],[Month]], dropdown!$S$4:$T$15, 2, FALSE),"")</f>
        <v>Q3</v>
      </c>
      <c r="L42" s="57" t="s">
        <v>317</v>
      </c>
      <c r="M42" s="29">
        <v>0</v>
      </c>
      <c r="N42" s="57" t="s">
        <v>345</v>
      </c>
      <c r="O42" s="195" t="s">
        <v>1547</v>
      </c>
    </row>
    <row r="43" spans="9:15" x14ac:dyDescent="0.2">
      <c r="I43" s="194">
        <f t="shared" si="0"/>
        <v>36</v>
      </c>
      <c r="J43" s="58" t="s">
        <v>397</v>
      </c>
      <c r="K43" s="194" t="str">
        <f>IF(Waste[[#This Row],[Month]]&lt;&gt;"",VLOOKUP(Waste[[#This Row],[Month]], dropdown!$S$4:$T$15, 2, FALSE),"")</f>
        <v>Q3</v>
      </c>
      <c r="L43" s="57" t="s">
        <v>383</v>
      </c>
      <c r="M43" s="29">
        <v>2141</v>
      </c>
      <c r="N43" s="57" t="s">
        <v>313</v>
      </c>
      <c r="O43" s="195" t="s">
        <v>1546</v>
      </c>
    </row>
    <row r="44" spans="9:15" x14ac:dyDescent="0.2">
      <c r="I44" s="194">
        <f t="shared" si="0"/>
        <v>37</v>
      </c>
      <c r="J44" s="58" t="s">
        <v>400</v>
      </c>
      <c r="K44" s="194" t="str">
        <f>IF(Waste[[#This Row],[Month]]&lt;&gt;"",VLOOKUP(Waste[[#This Row],[Month]], dropdown!$S$4:$T$15, 2, FALSE),"")</f>
        <v>Q4</v>
      </c>
      <c r="L44" s="57" t="s">
        <v>139</v>
      </c>
      <c r="M44" s="29">
        <v>52</v>
      </c>
      <c r="N44" s="57" t="s">
        <v>313</v>
      </c>
      <c r="O44" s="195" t="s">
        <v>1546</v>
      </c>
    </row>
    <row r="45" spans="9:15" x14ac:dyDescent="0.2">
      <c r="I45" s="194">
        <f t="shared" si="0"/>
        <v>38</v>
      </c>
      <c r="J45" s="58" t="s">
        <v>400</v>
      </c>
      <c r="K45" s="194" t="str">
        <f>IF(Waste[[#This Row],[Month]]&lt;&gt;"",VLOOKUP(Waste[[#This Row],[Month]], dropdown!$S$4:$T$15, 2, FALSE),"")</f>
        <v>Q4</v>
      </c>
      <c r="L45" s="57" t="s">
        <v>318</v>
      </c>
      <c r="M45" s="29">
        <v>52</v>
      </c>
      <c r="N45" s="57" t="s">
        <v>376</v>
      </c>
      <c r="O45" s="195" t="s">
        <v>1546</v>
      </c>
    </row>
    <row r="46" spans="9:15" x14ac:dyDescent="0.2">
      <c r="I46" s="194">
        <f t="shared" si="0"/>
        <v>39</v>
      </c>
      <c r="J46" s="58" t="s">
        <v>400</v>
      </c>
      <c r="K46" s="194" t="str">
        <f>IF(Waste[[#This Row],[Month]]&lt;&gt;"",VLOOKUP(Waste[[#This Row],[Month]], dropdown!$S$4:$T$15, 2, FALSE),"")</f>
        <v>Q4</v>
      </c>
      <c r="L46" s="57" t="s">
        <v>317</v>
      </c>
      <c r="M46" s="29">
        <v>0</v>
      </c>
      <c r="N46" s="57" t="s">
        <v>345</v>
      </c>
      <c r="O46" s="195" t="s">
        <v>1547</v>
      </c>
    </row>
    <row r="47" spans="9:15" x14ac:dyDescent="0.2">
      <c r="I47" s="194">
        <f t="shared" si="0"/>
        <v>40</v>
      </c>
      <c r="J47" s="58" t="s">
        <v>400</v>
      </c>
      <c r="K47" s="194" t="str">
        <f>IF(Waste[[#This Row],[Month]]&lt;&gt;"",VLOOKUP(Waste[[#This Row],[Month]], dropdown!$S$4:$T$15, 2, FALSE),"")</f>
        <v>Q4</v>
      </c>
      <c r="L47" s="57" t="s">
        <v>383</v>
      </c>
      <c r="M47" s="29">
        <v>1286</v>
      </c>
      <c r="N47" s="57" t="s">
        <v>313</v>
      </c>
      <c r="O47" s="195" t="s">
        <v>1546</v>
      </c>
    </row>
    <row r="48" spans="9:15" x14ac:dyDescent="0.2">
      <c r="I48" s="194">
        <f t="shared" si="0"/>
        <v>41</v>
      </c>
      <c r="J48" s="58" t="s">
        <v>404</v>
      </c>
      <c r="K48" s="194" t="str">
        <f>IF(Waste[[#This Row],[Month]]&lt;&gt;"",VLOOKUP(Waste[[#This Row],[Month]], dropdown!$S$4:$T$15, 2, FALSE),"")</f>
        <v>Q4</v>
      </c>
      <c r="L48" s="57" t="s">
        <v>139</v>
      </c>
      <c r="M48" s="29">
        <v>52</v>
      </c>
      <c r="N48" s="57" t="s">
        <v>313</v>
      </c>
      <c r="O48" s="195" t="s">
        <v>1546</v>
      </c>
    </row>
    <row r="49" spans="9:15" x14ac:dyDescent="0.2">
      <c r="I49" s="194">
        <f t="shared" si="0"/>
        <v>42</v>
      </c>
      <c r="J49" s="58" t="s">
        <v>404</v>
      </c>
      <c r="K49" s="194" t="str">
        <f>IF(Waste[[#This Row],[Month]]&lt;&gt;"",VLOOKUP(Waste[[#This Row],[Month]], dropdown!$S$4:$T$15, 2, FALSE),"")</f>
        <v>Q4</v>
      </c>
      <c r="L49" s="57" t="s">
        <v>318</v>
      </c>
      <c r="M49" s="29">
        <v>52</v>
      </c>
      <c r="N49" s="57" t="s">
        <v>376</v>
      </c>
      <c r="O49" s="195" t="s">
        <v>1546</v>
      </c>
    </row>
    <row r="50" spans="9:15" x14ac:dyDescent="0.2">
      <c r="I50" s="194">
        <f t="shared" si="0"/>
        <v>43</v>
      </c>
      <c r="J50" s="58" t="s">
        <v>404</v>
      </c>
      <c r="K50" s="194" t="str">
        <f>IF(Waste[[#This Row],[Month]]&lt;&gt;"",VLOOKUP(Waste[[#This Row],[Month]], dropdown!$S$4:$T$15, 2, FALSE),"")</f>
        <v>Q4</v>
      </c>
      <c r="L50" s="57" t="s">
        <v>317</v>
      </c>
      <c r="M50" s="29">
        <v>0</v>
      </c>
      <c r="N50" s="57" t="s">
        <v>345</v>
      </c>
      <c r="O50" s="195" t="s">
        <v>1547</v>
      </c>
    </row>
    <row r="51" spans="9:15" x14ac:dyDescent="0.2">
      <c r="I51" s="194">
        <f t="shared" si="0"/>
        <v>44</v>
      </c>
      <c r="J51" s="58" t="s">
        <v>404</v>
      </c>
      <c r="K51" s="194" t="str">
        <f>IF(Waste[[#This Row],[Month]]&lt;&gt;"",VLOOKUP(Waste[[#This Row],[Month]], dropdown!$S$4:$T$15, 2, FALSE),"")</f>
        <v>Q4</v>
      </c>
      <c r="L51" s="57" t="s">
        <v>383</v>
      </c>
      <c r="M51" s="29">
        <v>2396</v>
      </c>
      <c r="N51" s="57" t="s">
        <v>313</v>
      </c>
      <c r="O51" s="195" t="s">
        <v>1546</v>
      </c>
    </row>
    <row r="52" spans="9:15" x14ac:dyDescent="0.2">
      <c r="I52" s="194">
        <f t="shared" si="0"/>
        <v>45</v>
      </c>
      <c r="J52" s="58" t="s">
        <v>407</v>
      </c>
      <c r="K52" s="194" t="str">
        <f>IF(Waste[[#This Row],[Month]]&lt;&gt;"",VLOOKUP(Waste[[#This Row],[Month]], dropdown!$S$4:$T$15, 2, FALSE),"")</f>
        <v>Q4</v>
      </c>
      <c r="L52" s="57" t="s">
        <v>139</v>
      </c>
      <c r="M52" s="29">
        <v>52</v>
      </c>
      <c r="N52" s="57" t="s">
        <v>313</v>
      </c>
      <c r="O52" s="195" t="s">
        <v>1546</v>
      </c>
    </row>
    <row r="53" spans="9:15" x14ac:dyDescent="0.2">
      <c r="I53" s="194">
        <f t="shared" si="0"/>
        <v>46</v>
      </c>
      <c r="J53" s="58" t="s">
        <v>407</v>
      </c>
      <c r="K53" s="194" t="str">
        <f>IF(Waste[[#This Row],[Month]]&lt;&gt;"",VLOOKUP(Waste[[#This Row],[Month]], dropdown!$S$4:$T$15, 2, FALSE),"")</f>
        <v>Q4</v>
      </c>
      <c r="L53" s="57" t="s">
        <v>318</v>
      </c>
      <c r="M53" s="29">
        <v>52</v>
      </c>
      <c r="N53" s="57" t="s">
        <v>376</v>
      </c>
      <c r="O53" s="195" t="s">
        <v>1546</v>
      </c>
    </row>
    <row r="54" spans="9:15" x14ac:dyDescent="0.2">
      <c r="I54" s="194">
        <f t="shared" si="0"/>
        <v>47</v>
      </c>
      <c r="J54" s="58" t="s">
        <v>407</v>
      </c>
      <c r="K54" s="194" t="str">
        <f>IF(Waste[[#This Row],[Month]]&lt;&gt;"",VLOOKUP(Waste[[#This Row],[Month]], dropdown!$S$4:$T$15, 2, FALSE),"")</f>
        <v>Q4</v>
      </c>
      <c r="L54" s="57" t="s">
        <v>317</v>
      </c>
      <c r="M54" s="29">
        <v>0</v>
      </c>
      <c r="N54" s="57" t="s">
        <v>345</v>
      </c>
      <c r="O54" s="195" t="s">
        <v>1547</v>
      </c>
    </row>
    <row r="55" spans="9:15" x14ac:dyDescent="0.2">
      <c r="I55" s="194">
        <f t="shared" si="0"/>
        <v>48</v>
      </c>
      <c r="J55" s="58" t="s">
        <v>407</v>
      </c>
      <c r="K55" s="194" t="str">
        <f>IF(Waste[[#This Row],[Month]]&lt;&gt;"",VLOOKUP(Waste[[#This Row],[Month]], dropdown!$S$4:$T$15, 2, FALSE),"")</f>
        <v>Q4</v>
      </c>
      <c r="L55" s="57" t="s">
        <v>383</v>
      </c>
      <c r="M55" s="29">
        <v>2066</v>
      </c>
      <c r="N55" s="57" t="s">
        <v>313</v>
      </c>
      <c r="O55" s="195" t="s">
        <v>1546</v>
      </c>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Roxas Branch</v>
      </c>
      <c r="E6" s="459" t="s">
        <v>284</v>
      </c>
      <c r="F6" s="459"/>
      <c r="G6" s="459"/>
      <c r="H6" s="459"/>
      <c r="I6" s="459"/>
      <c r="J6" s="459"/>
      <c r="K6" s="459"/>
      <c r="L6" s="459"/>
      <c r="M6" s="459"/>
      <c r="N6" s="459"/>
      <c r="O6" s="459"/>
      <c r="P6" s="459"/>
      <c r="Q6" s="459"/>
    </row>
    <row r="7" spans="2:17" ht="20" customHeight="1" x14ac:dyDescent="0.2">
      <c r="B7" s="70" t="s">
        <v>12</v>
      </c>
      <c r="C7" s="59">
        <f>'1. Data Info and Summary'!$D$3</f>
        <v>2024</v>
      </c>
      <c r="E7" s="459"/>
      <c r="F7" s="459"/>
      <c r="G7" s="459"/>
      <c r="H7" s="459"/>
      <c r="I7" s="459"/>
      <c r="J7" s="459"/>
      <c r="K7" s="459"/>
      <c r="L7" s="459"/>
      <c r="M7" s="459"/>
      <c r="N7" s="459"/>
      <c r="O7" s="459"/>
      <c r="P7" s="459"/>
      <c r="Q7" s="459"/>
    </row>
    <row r="8" spans="2:17" ht="20" customHeight="1" x14ac:dyDescent="0.2">
      <c r="B8" s="71"/>
    </row>
    <row r="9" spans="2:17" x14ac:dyDescent="0.2">
      <c r="C9" s="53"/>
      <c r="E9" s="461" t="s">
        <v>285</v>
      </c>
      <c r="F9" s="461"/>
      <c r="G9" s="461"/>
      <c r="H9" s="461"/>
      <c r="I9" s="461"/>
      <c r="J9" s="461"/>
      <c r="L9" s="461" t="s">
        <v>286</v>
      </c>
      <c r="M9" s="461"/>
      <c r="N9" s="461"/>
      <c r="O9" s="461"/>
      <c r="P9" s="461"/>
      <c r="Q9" s="461"/>
    </row>
    <row r="10" spans="2:17" ht="8" customHeight="1" x14ac:dyDescent="0.2">
      <c r="B10" s="71"/>
    </row>
    <row r="11" spans="2:17" x14ac:dyDescent="0.2">
      <c r="E11" s="460" t="s">
        <v>287</v>
      </c>
      <c r="F11" s="460"/>
      <c r="G11" s="460"/>
      <c r="H11" s="460"/>
      <c r="I11" s="460"/>
      <c r="J11" s="460"/>
      <c r="L11" s="460" t="s">
        <v>288</v>
      </c>
      <c r="M11" s="460"/>
      <c r="N11" s="460"/>
      <c r="O11" s="460"/>
      <c r="P11" s="460"/>
      <c r="Q11" s="460"/>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1290</v>
      </c>
      <c r="G13" s="73" t="str">
        <f>'1. Data Info and Summary'!$D18</f>
        <v>Liters</v>
      </c>
      <c r="I13" s="76">
        <f>VLOOKUP($E13,Emission_Factors!$A$1:$G$20,5,FALSE)</f>
        <v>2.68</v>
      </c>
      <c r="J13" s="141">
        <f>F13*I13</f>
        <v>3457.2000000000003</v>
      </c>
      <c r="L13" s="73" t="s">
        <v>155</v>
      </c>
      <c r="M13" s="78">
        <f>SUM('2.3a Electricity'!$D$12:$G$12)</f>
        <v>255710</v>
      </c>
      <c r="N13" s="73" t="str">
        <f>'2.3a Electricity'!$C$12</f>
        <v>Kilowatt-hour</v>
      </c>
      <c r="P13" s="76">
        <f>VLOOKUP($L13,Emission_Factors!$A$1:$G$20,5,FALSE)</f>
        <v>0.56000000000000005</v>
      </c>
      <c r="Q13" s="141">
        <f>M13*P13</f>
        <v>143197.6</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3457.2000000000003</v>
      </c>
    </row>
    <row r="20" spans="5:10" x14ac:dyDescent="0.2">
      <c r="E20" s="460" t="s">
        <v>293</v>
      </c>
      <c r="F20" s="460"/>
      <c r="G20" s="460"/>
      <c r="H20" s="460"/>
      <c r="I20" s="460"/>
      <c r="J20" s="460"/>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1580.12</v>
      </c>
      <c r="G22" s="73" t="str">
        <f>'1. Data Info and Summary'!$D26</f>
        <v>Liters</v>
      </c>
      <c r="I22" s="76">
        <f>VLOOKUP($E22,Emission_Factors!$A$1:$G$20,5,FALSE)</f>
        <v>2.68</v>
      </c>
      <c r="J22" s="141">
        <f>F22*I22</f>
        <v>4234.7215999999999</v>
      </c>
    </row>
    <row r="23" spans="5:10" x14ac:dyDescent="0.2">
      <c r="E23" s="73" t="str">
        <f>'1. Data Info and Summary'!$C27</f>
        <v>Gasoline - Transport vehicles</v>
      </c>
      <c r="F23" s="78">
        <f>'1. Data Info and Summary'!$E27</f>
        <v>819.93999999999983</v>
      </c>
      <c r="G23" s="73" t="str">
        <f>'1. Data Info and Summary'!$D27</f>
        <v>Liters</v>
      </c>
      <c r="I23" s="76">
        <f>VLOOKUP($E23,Emission_Factors!$A$1:$G$20,5,FALSE)</f>
        <v>2.3199999999999998</v>
      </c>
      <c r="J23" s="141">
        <f t="shared" ref="J23" si="1">F23*I23</f>
        <v>1902.2607999999996</v>
      </c>
    </row>
    <row r="24" spans="5:10" x14ac:dyDescent="0.2">
      <c r="E24" s="147" t="s">
        <v>292</v>
      </c>
      <c r="F24" s="78"/>
      <c r="G24" s="73"/>
      <c r="I24" s="76"/>
      <c r="J24" s="148">
        <f>SUM(J22:J23)</f>
        <v>6136.982399999999</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6" bestFit="1" customWidth="1"/>
    <col min="2" max="2" width="14.83203125" bestFit="1" customWidth="1"/>
    <col min="3" max="5" width="6.6640625" bestFit="1" customWidth="1"/>
    <col min="6" max="6" width="7.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0</v>
      </c>
      <c r="D33" s="337">
        <v>197.20999999999998</v>
      </c>
      <c r="E33" s="337">
        <v>196</v>
      </c>
      <c r="F33" s="337">
        <v>573.52</v>
      </c>
      <c r="G33" s="337">
        <v>966.73</v>
      </c>
      <c r="I33" s="20"/>
      <c r="J33" s="20"/>
      <c r="K33" s="21"/>
      <c r="L33" s="21"/>
      <c r="M33" s="22"/>
      <c r="N33" s="22"/>
      <c r="O33" s="11"/>
      <c r="P33" s="22"/>
      <c r="Q33" s="20"/>
      <c r="R33" s="20"/>
      <c r="S33" s="44"/>
    </row>
    <row r="34" spans="1:19" outlineLevel="1" x14ac:dyDescent="0.2">
      <c r="A34" s="203" t="s">
        <v>63</v>
      </c>
      <c r="B34" s="337"/>
      <c r="C34" s="337">
        <v>0</v>
      </c>
      <c r="D34" s="337">
        <v>197.20999999999998</v>
      </c>
      <c r="E34" s="337">
        <v>196</v>
      </c>
      <c r="F34" s="337">
        <v>573.52</v>
      </c>
      <c r="G34" s="337">
        <v>966.73</v>
      </c>
      <c r="I34" s="20"/>
      <c r="J34" s="20"/>
      <c r="K34" s="21"/>
      <c r="L34" s="21"/>
      <c r="M34" s="22"/>
      <c r="N34" s="22"/>
      <c r="O34" s="11"/>
      <c r="P34" s="22"/>
      <c r="Q34" s="20"/>
      <c r="R34" s="20"/>
      <c r="S34" s="44"/>
    </row>
    <row r="35" spans="1:19" outlineLevel="1" x14ac:dyDescent="0.2">
      <c r="A35" s="19" t="s">
        <v>365</v>
      </c>
      <c r="B35" s="337"/>
      <c r="C35" s="337">
        <v>159.32999999999998</v>
      </c>
      <c r="D35" s="337">
        <v>192.07999999999998</v>
      </c>
      <c r="E35" s="337">
        <v>209.25</v>
      </c>
      <c r="F35" s="337">
        <v>259.27999999999997</v>
      </c>
      <c r="G35" s="337">
        <v>819.93999999999994</v>
      </c>
      <c r="I35" s="20"/>
      <c r="J35" s="20"/>
      <c r="K35" s="21"/>
      <c r="L35" s="21"/>
      <c r="M35" s="22"/>
      <c r="N35" s="22"/>
      <c r="O35" s="11"/>
      <c r="P35" s="22"/>
      <c r="Q35" s="20"/>
      <c r="R35" s="20"/>
      <c r="S35" s="44"/>
    </row>
    <row r="36" spans="1:19" outlineLevel="1" x14ac:dyDescent="0.2">
      <c r="A36" s="203" t="s">
        <v>411</v>
      </c>
      <c r="B36" s="337"/>
      <c r="C36" s="337">
        <v>159.32999999999998</v>
      </c>
      <c r="D36" s="337">
        <v>192.07999999999998</v>
      </c>
      <c r="E36" s="337">
        <v>209.25</v>
      </c>
      <c r="F36" s="337">
        <v>259.27999999999997</v>
      </c>
      <c r="G36" s="337">
        <v>819.93999999999994</v>
      </c>
      <c r="H36" s="12"/>
      <c r="I36" s="20"/>
      <c r="J36" s="20"/>
      <c r="K36" s="21"/>
      <c r="L36" s="21"/>
      <c r="M36" s="22"/>
      <c r="N36" s="22"/>
      <c r="O36" s="11"/>
      <c r="P36" s="22"/>
      <c r="Q36" s="20"/>
      <c r="R36" s="20"/>
      <c r="S36" s="44"/>
    </row>
    <row r="37" spans="1:19" outlineLevel="1" x14ac:dyDescent="0.2">
      <c r="A37" s="19" t="s">
        <v>381</v>
      </c>
      <c r="B37" s="337"/>
      <c r="C37" s="337">
        <v>94.43</v>
      </c>
      <c r="D37" s="337">
        <v>158.72</v>
      </c>
      <c r="E37" s="337">
        <v>156.11000000000001</v>
      </c>
      <c r="F37" s="337">
        <v>204.13</v>
      </c>
      <c r="G37" s="337">
        <v>613.39</v>
      </c>
      <c r="H37" s="12"/>
      <c r="I37" s="20"/>
      <c r="J37" s="20"/>
      <c r="K37" s="21"/>
      <c r="L37" s="21"/>
      <c r="M37" s="22"/>
      <c r="N37" s="22"/>
      <c r="O37" s="11"/>
      <c r="P37" s="22"/>
      <c r="Q37" s="20"/>
      <c r="R37" s="20"/>
      <c r="S37" s="44"/>
    </row>
    <row r="38" spans="1:19" outlineLevel="1" x14ac:dyDescent="0.2">
      <c r="A38" s="203" t="s">
        <v>63</v>
      </c>
      <c r="B38" s="337"/>
      <c r="C38" s="337">
        <v>94.43</v>
      </c>
      <c r="D38" s="337">
        <v>158.72</v>
      </c>
      <c r="E38" s="337">
        <v>156.11000000000001</v>
      </c>
      <c r="F38" s="337">
        <v>204.13</v>
      </c>
      <c r="G38" s="337">
        <v>613.39</v>
      </c>
      <c r="H38" s="12"/>
      <c r="I38" s="20"/>
      <c r="J38" s="20"/>
      <c r="K38" s="21"/>
      <c r="L38" s="21"/>
      <c r="M38" s="22"/>
      <c r="N38" s="22"/>
      <c r="O38" s="11"/>
      <c r="P38" s="22"/>
      <c r="Q38" s="20"/>
      <c r="R38" s="20"/>
      <c r="S38" s="44"/>
    </row>
    <row r="39" spans="1:19" outlineLevel="1" x14ac:dyDescent="0.2">
      <c r="A39" s="19" t="s">
        <v>297</v>
      </c>
      <c r="B39" s="337"/>
      <c r="C39" s="337">
        <v>253.76</v>
      </c>
      <c r="D39" s="337">
        <v>548.01</v>
      </c>
      <c r="E39" s="337">
        <v>561.36</v>
      </c>
      <c r="F39" s="337">
        <v>1036.9299999999998</v>
      </c>
      <c r="G39" s="337">
        <v>2400.06</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736"/>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45909.400405092594</v>
      </c>
      <c r="B927" t="s">
        <v>1431</v>
      </c>
      <c r="C927" t="s">
        <v>597</v>
      </c>
      <c r="D927" t="s">
        <v>1230</v>
      </c>
      <c r="E927" t="s">
        <v>39</v>
      </c>
    </row>
    <row r="928" spans="1:5" x14ac:dyDescent="0.2">
      <c r="A928" s="269">
        <v>45909.400879629633</v>
      </c>
      <c r="B928" t="s">
        <v>1431</v>
      </c>
      <c r="C928" t="s">
        <v>2</v>
      </c>
      <c r="D928" t="s">
        <v>1432</v>
      </c>
      <c r="E928">
        <v>2024</v>
      </c>
    </row>
    <row r="929" spans="1:5" x14ac:dyDescent="0.2">
      <c r="A929" s="269">
        <v>45909.400983796295</v>
      </c>
      <c r="B929" t="s">
        <v>1431</v>
      </c>
      <c r="C929" t="s">
        <v>2</v>
      </c>
      <c r="D929" t="s">
        <v>1433</v>
      </c>
      <c r="E929" t="s">
        <v>423</v>
      </c>
    </row>
    <row r="930" spans="1:5" x14ac:dyDescent="0.2">
      <c r="A930" s="269">
        <v>45909.418113425927</v>
      </c>
      <c r="B930" t="s">
        <v>1431</v>
      </c>
      <c r="C930" t="s">
        <v>27</v>
      </c>
      <c r="D930" t="s">
        <v>946</v>
      </c>
      <c r="E930" t="s">
        <v>37</v>
      </c>
    </row>
    <row r="931" spans="1:5" x14ac:dyDescent="0.2">
      <c r="A931" s="269">
        <v>45909.418182870373</v>
      </c>
      <c r="B931" t="s">
        <v>1431</v>
      </c>
      <c r="C931" t="s">
        <v>27</v>
      </c>
      <c r="D931" t="s">
        <v>950</v>
      </c>
      <c r="E931" t="s">
        <v>338</v>
      </c>
    </row>
    <row r="932" spans="1:5" x14ac:dyDescent="0.2">
      <c r="A932" s="269">
        <v>45909.419282407405</v>
      </c>
      <c r="B932" t="s">
        <v>1431</v>
      </c>
      <c r="C932" t="s">
        <v>27</v>
      </c>
      <c r="D932" t="s">
        <v>777</v>
      </c>
      <c r="E932">
        <v>0</v>
      </c>
    </row>
    <row r="933" spans="1:5" x14ac:dyDescent="0.2">
      <c r="A933" s="269">
        <v>45909.419328703705</v>
      </c>
      <c r="B933" t="s">
        <v>1431</v>
      </c>
      <c r="C933" t="s">
        <v>27</v>
      </c>
      <c r="D933" t="s">
        <v>1434</v>
      </c>
      <c r="E933" t="s">
        <v>37</v>
      </c>
    </row>
    <row r="934" spans="1:5" x14ac:dyDescent="0.2">
      <c r="A934" s="269">
        <v>45909.419363425928</v>
      </c>
      <c r="B934" t="s">
        <v>1431</v>
      </c>
      <c r="C934" t="s">
        <v>27</v>
      </c>
      <c r="D934" t="s">
        <v>1435</v>
      </c>
      <c r="E934" t="s">
        <v>89</v>
      </c>
    </row>
    <row r="935" spans="1:5" x14ac:dyDescent="0.2">
      <c r="A935" s="269">
        <v>45909.419409722221</v>
      </c>
      <c r="B935" t="s">
        <v>1431</v>
      </c>
      <c r="C935" t="s">
        <v>27</v>
      </c>
      <c r="D935" t="s">
        <v>1435</v>
      </c>
      <c r="E935" t="s">
        <v>89</v>
      </c>
    </row>
    <row r="936" spans="1:5" x14ac:dyDescent="0.2">
      <c r="A936" s="269">
        <v>45909.419479166667</v>
      </c>
      <c r="B936" t="s">
        <v>1431</v>
      </c>
      <c r="C936" t="s">
        <v>27</v>
      </c>
      <c r="D936" t="s">
        <v>1436</v>
      </c>
      <c r="E936">
        <v>0</v>
      </c>
    </row>
    <row r="937" spans="1:5" x14ac:dyDescent="0.2">
      <c r="A937" s="269">
        <v>45909.419733796298</v>
      </c>
      <c r="B937" t="s">
        <v>1431</v>
      </c>
      <c r="C937" t="s">
        <v>27</v>
      </c>
      <c r="D937" t="s">
        <v>1191</v>
      </c>
      <c r="E937" t="s">
        <v>37</v>
      </c>
    </row>
    <row r="938" spans="1:5" x14ac:dyDescent="0.2">
      <c r="A938" s="269">
        <v>45909.419768518521</v>
      </c>
      <c r="B938" t="s">
        <v>1431</v>
      </c>
      <c r="C938" t="s">
        <v>27</v>
      </c>
      <c r="D938" t="s">
        <v>1010</v>
      </c>
      <c r="E938" t="s">
        <v>362</v>
      </c>
    </row>
    <row r="939" spans="1:5" x14ac:dyDescent="0.2">
      <c r="A939" s="269">
        <v>45909.419791666667</v>
      </c>
      <c r="B939" t="s">
        <v>1431</v>
      </c>
      <c r="C939" t="s">
        <v>27</v>
      </c>
      <c r="D939" t="s">
        <v>973</v>
      </c>
      <c r="E939">
        <v>0</v>
      </c>
    </row>
    <row r="940" spans="1:5" x14ac:dyDescent="0.2">
      <c r="A940" s="269">
        <v>45909.419895833336</v>
      </c>
      <c r="B940" t="s">
        <v>1431</v>
      </c>
      <c r="C940" t="s">
        <v>27</v>
      </c>
      <c r="D940" t="s">
        <v>1010</v>
      </c>
    </row>
    <row r="941" spans="1:5" x14ac:dyDescent="0.2">
      <c r="A941" s="269">
        <v>45909.419942129629</v>
      </c>
      <c r="B941" t="s">
        <v>1431</v>
      </c>
      <c r="C941" t="s">
        <v>27</v>
      </c>
      <c r="D941" t="s">
        <v>950</v>
      </c>
    </row>
    <row r="942" spans="1:5" x14ac:dyDescent="0.2">
      <c r="A942" s="269">
        <v>45909.419942129629</v>
      </c>
      <c r="B942" t="s">
        <v>1431</v>
      </c>
      <c r="C942" t="s">
        <v>27</v>
      </c>
      <c r="D942" t="s">
        <v>946</v>
      </c>
    </row>
    <row r="943" spans="1:5" x14ac:dyDescent="0.2">
      <c r="A943" s="269">
        <v>45909.420034722221</v>
      </c>
      <c r="B943" t="s">
        <v>1431</v>
      </c>
      <c r="C943" t="s">
        <v>27</v>
      </c>
      <c r="D943" t="s">
        <v>946</v>
      </c>
      <c r="E943" t="s">
        <v>37</v>
      </c>
    </row>
    <row r="944" spans="1:5" x14ac:dyDescent="0.2">
      <c r="A944" s="269">
        <v>45909.420104166667</v>
      </c>
      <c r="B944" t="s">
        <v>1431</v>
      </c>
      <c r="C944" t="s">
        <v>27</v>
      </c>
      <c r="D944" t="s">
        <v>950</v>
      </c>
      <c r="E944" t="s">
        <v>338</v>
      </c>
    </row>
    <row r="945" spans="1:5" x14ac:dyDescent="0.2">
      <c r="A945" s="269">
        <v>45909.420162037037</v>
      </c>
      <c r="B945" t="s">
        <v>1431</v>
      </c>
      <c r="C945" t="s">
        <v>27</v>
      </c>
      <c r="D945" t="s">
        <v>1010</v>
      </c>
      <c r="E945" t="s">
        <v>362</v>
      </c>
    </row>
    <row r="946" spans="1:5" x14ac:dyDescent="0.2">
      <c r="A946" s="269">
        <v>45909.420243055552</v>
      </c>
      <c r="B946" t="s">
        <v>1431</v>
      </c>
      <c r="C946" t="s">
        <v>27</v>
      </c>
      <c r="D946" t="s">
        <v>795</v>
      </c>
      <c r="E946" t="s">
        <v>37</v>
      </c>
    </row>
    <row r="947" spans="1:5" x14ac:dyDescent="0.2">
      <c r="A947" s="269">
        <v>45909.420324074075</v>
      </c>
      <c r="B947" t="s">
        <v>1431</v>
      </c>
      <c r="C947" t="s">
        <v>27</v>
      </c>
      <c r="D947" t="s">
        <v>995</v>
      </c>
      <c r="E947" t="s">
        <v>371</v>
      </c>
    </row>
    <row r="948" spans="1:5" x14ac:dyDescent="0.2">
      <c r="A948" s="269">
        <v>45909.420370370368</v>
      </c>
      <c r="B948" t="s">
        <v>1431</v>
      </c>
      <c r="C948" t="s">
        <v>27</v>
      </c>
      <c r="D948" t="s">
        <v>976</v>
      </c>
      <c r="E948">
        <v>0</v>
      </c>
    </row>
    <row r="949" spans="1:5" x14ac:dyDescent="0.2">
      <c r="A949" s="269">
        <v>45909.451967592591</v>
      </c>
      <c r="B949" t="s">
        <v>1431</v>
      </c>
      <c r="C949" t="s">
        <v>27</v>
      </c>
      <c r="D949" t="s">
        <v>1013</v>
      </c>
      <c r="E949" t="s">
        <v>37</v>
      </c>
    </row>
    <row r="950" spans="1:5" x14ac:dyDescent="0.2">
      <c r="A950" s="269">
        <v>45909.452013888891</v>
      </c>
      <c r="B950" t="s">
        <v>1431</v>
      </c>
      <c r="C950" t="s">
        <v>27</v>
      </c>
      <c r="D950" t="s">
        <v>1014</v>
      </c>
      <c r="E950" t="s">
        <v>379</v>
      </c>
    </row>
    <row r="951" spans="1:5" x14ac:dyDescent="0.2">
      <c r="A951" s="269">
        <v>45909.454409722224</v>
      </c>
      <c r="B951" t="s">
        <v>1431</v>
      </c>
      <c r="C951" t="s">
        <v>27</v>
      </c>
      <c r="D951" t="s">
        <v>747</v>
      </c>
      <c r="E951" t="s">
        <v>37</v>
      </c>
    </row>
    <row r="952" spans="1:5" x14ac:dyDescent="0.2">
      <c r="A952" s="269">
        <v>45909.454456018517</v>
      </c>
      <c r="B952" t="s">
        <v>1431</v>
      </c>
      <c r="C952" t="s">
        <v>27</v>
      </c>
      <c r="D952" t="s">
        <v>1017</v>
      </c>
      <c r="E952" t="s">
        <v>390</v>
      </c>
    </row>
    <row r="953" spans="1:5" x14ac:dyDescent="0.2">
      <c r="A953" s="269">
        <v>45909.454502314817</v>
      </c>
      <c r="B953" t="s">
        <v>1431</v>
      </c>
      <c r="C953" t="s">
        <v>27</v>
      </c>
      <c r="D953" t="s">
        <v>1017</v>
      </c>
      <c r="E953" t="s">
        <v>386</v>
      </c>
    </row>
    <row r="954" spans="1:5" x14ac:dyDescent="0.2">
      <c r="A954" s="269">
        <v>45909.455648148149</v>
      </c>
      <c r="B954" t="s">
        <v>1431</v>
      </c>
      <c r="C954" t="s">
        <v>27</v>
      </c>
      <c r="D954" t="s">
        <v>977</v>
      </c>
      <c r="E954">
        <v>0</v>
      </c>
    </row>
    <row r="955" spans="1:5" x14ac:dyDescent="0.2">
      <c r="A955" s="269">
        <v>45909.455682870372</v>
      </c>
      <c r="B955" t="s">
        <v>1431</v>
      </c>
      <c r="C955" t="s">
        <v>27</v>
      </c>
      <c r="D955" t="s">
        <v>923</v>
      </c>
      <c r="E955">
        <v>0</v>
      </c>
    </row>
    <row r="956" spans="1:5" x14ac:dyDescent="0.2">
      <c r="A956" s="269">
        <v>45909.455879629626</v>
      </c>
      <c r="B956" t="s">
        <v>1431</v>
      </c>
      <c r="C956" t="s">
        <v>27</v>
      </c>
      <c r="D956" t="s">
        <v>1437</v>
      </c>
      <c r="E956" t="s">
        <v>37</v>
      </c>
    </row>
    <row r="957" spans="1:5" x14ac:dyDescent="0.2">
      <c r="A957" s="269">
        <v>45909.455937500003</v>
      </c>
      <c r="B957" t="s">
        <v>1431</v>
      </c>
      <c r="C957" t="s">
        <v>27</v>
      </c>
      <c r="D957" t="s">
        <v>1438</v>
      </c>
      <c r="E957" t="s">
        <v>390</v>
      </c>
    </row>
    <row r="958" spans="1:5" x14ac:dyDescent="0.2">
      <c r="A958" s="269">
        <v>45909.455972222226</v>
      </c>
      <c r="B958" t="s">
        <v>1431</v>
      </c>
      <c r="C958" t="s">
        <v>27</v>
      </c>
      <c r="D958" t="s">
        <v>918</v>
      </c>
      <c r="E958">
        <v>0</v>
      </c>
    </row>
    <row r="959" spans="1:5" x14ac:dyDescent="0.2">
      <c r="A959" s="269">
        <v>45909.456516203703</v>
      </c>
      <c r="B959" t="s">
        <v>1431</v>
      </c>
      <c r="C959" t="s">
        <v>27</v>
      </c>
      <c r="D959" t="s">
        <v>1439</v>
      </c>
      <c r="E959" t="s">
        <v>37</v>
      </c>
    </row>
    <row r="960" spans="1:5" x14ac:dyDescent="0.2">
      <c r="A960" s="269">
        <v>45909.456562500003</v>
      </c>
      <c r="B960" t="s">
        <v>1431</v>
      </c>
      <c r="C960" t="s">
        <v>27</v>
      </c>
      <c r="D960" t="s">
        <v>1440</v>
      </c>
      <c r="E960" t="s">
        <v>41</v>
      </c>
    </row>
    <row r="961" spans="1:5" x14ac:dyDescent="0.2">
      <c r="A961" s="269">
        <v>45909.456585648149</v>
      </c>
      <c r="B961" t="s">
        <v>1431</v>
      </c>
      <c r="C961" t="s">
        <v>27</v>
      </c>
      <c r="D961" t="s">
        <v>924</v>
      </c>
      <c r="E961">
        <v>0</v>
      </c>
    </row>
    <row r="962" spans="1:5" x14ac:dyDescent="0.2">
      <c r="A962" s="269">
        <v>45909.456631944442</v>
      </c>
      <c r="B962" t="s">
        <v>1431</v>
      </c>
      <c r="C962" t="s">
        <v>27</v>
      </c>
      <c r="D962" t="s">
        <v>1441</v>
      </c>
      <c r="E962" t="s">
        <v>37</v>
      </c>
    </row>
    <row r="963" spans="1:5" x14ac:dyDescent="0.2">
      <c r="A963" s="269">
        <v>45909.456701388888</v>
      </c>
      <c r="B963" t="s">
        <v>1431</v>
      </c>
      <c r="C963" t="s">
        <v>27</v>
      </c>
      <c r="D963" t="s">
        <v>1442</v>
      </c>
      <c r="E963" t="s">
        <v>397</v>
      </c>
    </row>
    <row r="964" spans="1:5" x14ac:dyDescent="0.2">
      <c r="A964" s="269">
        <v>45909.462152777778</v>
      </c>
      <c r="B964" t="s">
        <v>1431</v>
      </c>
      <c r="C964" t="s">
        <v>27</v>
      </c>
      <c r="D964" t="s">
        <v>1443</v>
      </c>
      <c r="E964">
        <v>220</v>
      </c>
    </row>
    <row r="965" spans="1:5" x14ac:dyDescent="0.2">
      <c r="A965" s="269">
        <v>45909.462245370371</v>
      </c>
      <c r="B965" t="s">
        <v>1431</v>
      </c>
      <c r="C965" t="s">
        <v>27</v>
      </c>
      <c r="D965" t="s">
        <v>672</v>
      </c>
      <c r="E965" t="s">
        <v>37</v>
      </c>
    </row>
    <row r="966" spans="1:5" x14ac:dyDescent="0.2">
      <c r="A966" s="269">
        <v>45909.462326388886</v>
      </c>
      <c r="B966" t="s">
        <v>1431</v>
      </c>
      <c r="C966" t="s">
        <v>27</v>
      </c>
      <c r="D966" t="s">
        <v>1444</v>
      </c>
      <c r="E966" t="s">
        <v>400</v>
      </c>
    </row>
    <row r="967" spans="1:5" x14ac:dyDescent="0.2">
      <c r="A967" s="269">
        <v>45909.462384259263</v>
      </c>
      <c r="B967" t="s">
        <v>1431</v>
      </c>
      <c r="C967" t="s">
        <v>27</v>
      </c>
      <c r="D967" t="s">
        <v>981</v>
      </c>
      <c r="E967">
        <v>120</v>
      </c>
    </row>
    <row r="968" spans="1:5" x14ac:dyDescent="0.2">
      <c r="A968" s="269">
        <v>45909.462511574071</v>
      </c>
      <c r="B968" t="s">
        <v>1431</v>
      </c>
      <c r="C968" t="s">
        <v>27</v>
      </c>
      <c r="D968" t="s">
        <v>674</v>
      </c>
      <c r="E968" t="s">
        <v>37</v>
      </c>
    </row>
    <row r="969" spans="1:5" x14ac:dyDescent="0.2">
      <c r="A969" s="269">
        <v>45909.462581018517</v>
      </c>
      <c r="B969" t="s">
        <v>1431</v>
      </c>
      <c r="C969" t="s">
        <v>27</v>
      </c>
      <c r="D969" t="s">
        <v>1445</v>
      </c>
      <c r="E969" t="s">
        <v>404</v>
      </c>
    </row>
    <row r="970" spans="1:5" x14ac:dyDescent="0.2">
      <c r="A970" s="269">
        <v>45909.46261574074</v>
      </c>
      <c r="B970" t="s">
        <v>1431</v>
      </c>
      <c r="C970" t="s">
        <v>27</v>
      </c>
      <c r="D970" t="s">
        <v>1446</v>
      </c>
      <c r="E970">
        <v>0</v>
      </c>
    </row>
    <row r="971" spans="1:5" x14ac:dyDescent="0.2">
      <c r="A971" s="269">
        <v>45909.46266203704</v>
      </c>
      <c r="B971" t="s">
        <v>1431</v>
      </c>
      <c r="C971" t="s">
        <v>27</v>
      </c>
      <c r="D971" t="s">
        <v>675</v>
      </c>
      <c r="E971" t="s">
        <v>37</v>
      </c>
    </row>
    <row r="972" spans="1:5" x14ac:dyDescent="0.2">
      <c r="A972" s="269">
        <v>45909.462719907409</v>
      </c>
      <c r="B972" t="s">
        <v>1431</v>
      </c>
      <c r="C972" t="s">
        <v>27</v>
      </c>
      <c r="D972" t="s">
        <v>1447</v>
      </c>
      <c r="E972" t="s">
        <v>407</v>
      </c>
    </row>
    <row r="973" spans="1:5" x14ac:dyDescent="0.2">
      <c r="A973" s="269">
        <v>45909.462800925925</v>
      </c>
      <c r="B973" t="s">
        <v>1431</v>
      </c>
      <c r="C973" t="s">
        <v>27</v>
      </c>
      <c r="D973" t="s">
        <v>1448</v>
      </c>
      <c r="E973">
        <v>950</v>
      </c>
    </row>
    <row r="974" spans="1:5" x14ac:dyDescent="0.2">
      <c r="A974" s="269">
        <v>45909.46303240741</v>
      </c>
      <c r="B974" t="s">
        <v>1431</v>
      </c>
      <c r="C974" t="s">
        <v>27</v>
      </c>
      <c r="D974" t="s">
        <v>1435</v>
      </c>
      <c r="E974" t="s">
        <v>89</v>
      </c>
    </row>
    <row r="975" spans="1:5" x14ac:dyDescent="0.2">
      <c r="A975" s="269">
        <v>45909.464965277781</v>
      </c>
      <c r="B975" t="s">
        <v>1431</v>
      </c>
      <c r="C975" t="s">
        <v>27</v>
      </c>
      <c r="D975" t="s">
        <v>1450</v>
      </c>
      <c r="E975" t="s">
        <v>1449</v>
      </c>
    </row>
    <row r="976" spans="1:5" x14ac:dyDescent="0.2">
      <c r="A976" s="269">
        <v>45909.466469907406</v>
      </c>
      <c r="B976" t="s">
        <v>1431</v>
      </c>
      <c r="C976" t="s">
        <v>27</v>
      </c>
      <c r="D976" t="s">
        <v>1450</v>
      </c>
      <c r="E976" t="s">
        <v>1451</v>
      </c>
    </row>
    <row r="977" spans="1:5" x14ac:dyDescent="0.2">
      <c r="A977" s="269">
        <v>45909.466585648152</v>
      </c>
      <c r="B977" t="s">
        <v>1431</v>
      </c>
      <c r="C977" t="s">
        <v>27</v>
      </c>
      <c r="D977" t="s">
        <v>1452</v>
      </c>
      <c r="E977" t="s">
        <v>1451</v>
      </c>
    </row>
    <row r="978" spans="1:5" x14ac:dyDescent="0.2">
      <c r="A978" s="269">
        <v>45909.466620370367</v>
      </c>
      <c r="B978" t="s">
        <v>1431</v>
      </c>
      <c r="C978" t="s">
        <v>27</v>
      </c>
      <c r="D978" t="s">
        <v>1453</v>
      </c>
      <c r="E978" t="s">
        <v>1451</v>
      </c>
    </row>
    <row r="979" spans="1:5" x14ac:dyDescent="0.2">
      <c r="A979" s="269">
        <v>45909.471770833334</v>
      </c>
      <c r="B979" t="s">
        <v>1431</v>
      </c>
      <c r="C979" t="s">
        <v>58</v>
      </c>
      <c r="D979" t="s">
        <v>946</v>
      </c>
      <c r="E979" t="s">
        <v>365</v>
      </c>
    </row>
    <row r="980" spans="1:5" x14ac:dyDescent="0.2">
      <c r="A980" s="269">
        <v>45909.471863425926</v>
      </c>
      <c r="B980" t="s">
        <v>1431</v>
      </c>
      <c r="C980" t="s">
        <v>58</v>
      </c>
      <c r="D980" t="s">
        <v>950</v>
      </c>
      <c r="E980" t="s">
        <v>411</v>
      </c>
    </row>
    <row r="981" spans="1:5" x14ac:dyDescent="0.2">
      <c r="A981" s="269">
        <v>45909.471956018519</v>
      </c>
      <c r="B981" t="s">
        <v>1431</v>
      </c>
      <c r="C981" t="s">
        <v>58</v>
      </c>
      <c r="D981" t="s">
        <v>951</v>
      </c>
      <c r="E981" t="s">
        <v>338</v>
      </c>
    </row>
    <row r="982" spans="1:5" x14ac:dyDescent="0.2">
      <c r="A982" s="269">
        <v>45909.472233796296</v>
      </c>
      <c r="B982" t="s">
        <v>1431</v>
      </c>
      <c r="C982" t="s">
        <v>58</v>
      </c>
      <c r="D982" t="s">
        <v>1454</v>
      </c>
      <c r="E982">
        <v>9</v>
      </c>
    </row>
    <row r="983" spans="1:5" x14ac:dyDescent="0.2">
      <c r="A983" s="269">
        <v>45909.472314814811</v>
      </c>
      <c r="B983" t="s">
        <v>1431</v>
      </c>
      <c r="C983" t="s">
        <v>58</v>
      </c>
      <c r="D983" t="s">
        <v>958</v>
      </c>
      <c r="E983">
        <v>9</v>
      </c>
    </row>
    <row r="984" spans="1:5" x14ac:dyDescent="0.2">
      <c r="A984" s="269">
        <v>45909.473692129628</v>
      </c>
      <c r="B984" t="s">
        <v>1431</v>
      </c>
      <c r="C984" t="s">
        <v>58</v>
      </c>
      <c r="D984" t="s">
        <v>946</v>
      </c>
    </row>
    <row r="985" spans="1:5" x14ac:dyDescent="0.2">
      <c r="A985" s="269">
        <v>45909.473703703705</v>
      </c>
      <c r="B985" t="s">
        <v>1431</v>
      </c>
      <c r="C985" t="s">
        <v>58</v>
      </c>
      <c r="D985" t="s">
        <v>950</v>
      </c>
    </row>
    <row r="986" spans="1:5" x14ac:dyDescent="0.2">
      <c r="A986" s="269">
        <v>45909.473715277774</v>
      </c>
      <c r="B986" t="s">
        <v>1431</v>
      </c>
      <c r="C986" t="s">
        <v>58</v>
      </c>
      <c r="D986" t="s">
        <v>951</v>
      </c>
    </row>
    <row r="987" spans="1:5" x14ac:dyDescent="0.2">
      <c r="A987" s="269">
        <v>45909.473715277774</v>
      </c>
      <c r="B987" t="s">
        <v>1431</v>
      </c>
      <c r="C987" t="s">
        <v>58</v>
      </c>
      <c r="D987" t="s">
        <v>1454</v>
      </c>
    </row>
    <row r="988" spans="1:5" x14ac:dyDescent="0.2">
      <c r="A988" s="269">
        <v>45909.473726851851</v>
      </c>
      <c r="B988" t="s">
        <v>1431</v>
      </c>
      <c r="C988" t="s">
        <v>58</v>
      </c>
      <c r="D988" t="s">
        <v>958</v>
      </c>
    </row>
    <row r="989" spans="1:5" x14ac:dyDescent="0.2">
      <c r="A989" s="269">
        <v>45909.485497685186</v>
      </c>
      <c r="B989" t="s">
        <v>1431</v>
      </c>
      <c r="C989" t="s">
        <v>103</v>
      </c>
      <c r="D989" t="s">
        <v>1434</v>
      </c>
      <c r="E989" t="s">
        <v>338</v>
      </c>
    </row>
    <row r="990" spans="1:5" x14ac:dyDescent="0.2">
      <c r="A990" s="269">
        <v>45909.485590277778</v>
      </c>
      <c r="B990" t="s">
        <v>1431</v>
      </c>
      <c r="C990" t="s">
        <v>103</v>
      </c>
      <c r="D990" t="s">
        <v>983</v>
      </c>
      <c r="E990">
        <v>19425</v>
      </c>
    </row>
    <row r="991" spans="1:5" x14ac:dyDescent="0.2">
      <c r="A991" s="269">
        <v>45909.486400462964</v>
      </c>
      <c r="B991" t="s">
        <v>1431</v>
      </c>
      <c r="C991" t="s">
        <v>103</v>
      </c>
      <c r="D991" t="s">
        <v>1436</v>
      </c>
      <c r="E991">
        <v>254091.49</v>
      </c>
    </row>
    <row r="992" spans="1:5" x14ac:dyDescent="0.2">
      <c r="A992" s="269">
        <v>45909.486516203702</v>
      </c>
      <c r="B992" t="s">
        <v>1431</v>
      </c>
      <c r="C992" t="s">
        <v>103</v>
      </c>
      <c r="D992" t="s">
        <v>937</v>
      </c>
      <c r="E992" t="s">
        <v>439</v>
      </c>
    </row>
    <row r="993" spans="1:5" x14ac:dyDescent="0.2">
      <c r="A993" s="269">
        <v>45909.487233796295</v>
      </c>
      <c r="B993" t="s">
        <v>1431</v>
      </c>
      <c r="C993" t="s">
        <v>103</v>
      </c>
      <c r="D993" t="s">
        <v>658</v>
      </c>
      <c r="E993" t="s">
        <v>1455</v>
      </c>
    </row>
    <row r="994" spans="1:5" x14ac:dyDescent="0.2">
      <c r="A994" s="269">
        <v>45909.487488425926</v>
      </c>
      <c r="B994" t="s">
        <v>1431</v>
      </c>
      <c r="C994" t="s">
        <v>103</v>
      </c>
      <c r="D994" t="s">
        <v>658</v>
      </c>
      <c r="E994" t="s">
        <v>1456</v>
      </c>
    </row>
    <row r="995" spans="1:5" x14ac:dyDescent="0.2">
      <c r="A995" s="269">
        <v>45909.487627314818</v>
      </c>
      <c r="B995" t="s">
        <v>1431</v>
      </c>
      <c r="C995" t="s">
        <v>103</v>
      </c>
      <c r="D995" t="s">
        <v>1457</v>
      </c>
      <c r="E995" t="s">
        <v>1456</v>
      </c>
    </row>
    <row r="996" spans="1:5" x14ac:dyDescent="0.2">
      <c r="A996" s="269">
        <v>45909.487905092596</v>
      </c>
      <c r="B996" t="s">
        <v>1431</v>
      </c>
      <c r="C996" t="s">
        <v>103</v>
      </c>
      <c r="D996" t="s">
        <v>1457</v>
      </c>
      <c r="E996" t="s">
        <v>1458</v>
      </c>
    </row>
    <row r="997" spans="1:5" x14ac:dyDescent="0.2">
      <c r="A997" s="269">
        <v>45909.487986111111</v>
      </c>
      <c r="B997" t="s">
        <v>1431</v>
      </c>
      <c r="C997" t="s">
        <v>103</v>
      </c>
      <c r="D997" t="s">
        <v>926</v>
      </c>
      <c r="E997" t="s">
        <v>439</v>
      </c>
    </row>
    <row r="998" spans="1:5" x14ac:dyDescent="0.2">
      <c r="A998" s="269">
        <v>45909.488020833334</v>
      </c>
      <c r="B998" t="s">
        <v>1431</v>
      </c>
      <c r="C998" t="s">
        <v>103</v>
      </c>
      <c r="D998" t="s">
        <v>1191</v>
      </c>
      <c r="E998" t="s">
        <v>89</v>
      </c>
    </row>
    <row r="999" spans="1:5" x14ac:dyDescent="0.2">
      <c r="A999" s="269">
        <v>45909.488125000003</v>
      </c>
      <c r="B999" t="s">
        <v>1431</v>
      </c>
      <c r="C999" t="s">
        <v>103</v>
      </c>
      <c r="D999" t="s">
        <v>1066</v>
      </c>
      <c r="E999">
        <v>19005</v>
      </c>
    </row>
    <row r="1000" spans="1:5" x14ac:dyDescent="0.2">
      <c r="A1000" s="269">
        <v>45909.488263888888</v>
      </c>
      <c r="B1000" t="s">
        <v>1431</v>
      </c>
      <c r="C1000" t="s">
        <v>103</v>
      </c>
      <c r="D1000" t="s">
        <v>973</v>
      </c>
      <c r="E1000">
        <v>261725.43</v>
      </c>
    </row>
    <row r="1001" spans="1:5" x14ac:dyDescent="0.2">
      <c r="A1001" s="269">
        <v>45909.488321759258</v>
      </c>
      <c r="B1001" t="s">
        <v>1431</v>
      </c>
      <c r="C1001" t="s">
        <v>103</v>
      </c>
      <c r="D1001" t="s">
        <v>795</v>
      </c>
      <c r="E1001" t="s">
        <v>362</v>
      </c>
    </row>
    <row r="1002" spans="1:5" x14ac:dyDescent="0.2">
      <c r="A1002" s="269">
        <v>45909.48841435185</v>
      </c>
      <c r="B1002" t="s">
        <v>1431</v>
      </c>
      <c r="C1002" t="s">
        <v>103</v>
      </c>
      <c r="D1002" t="s">
        <v>994</v>
      </c>
      <c r="E1002">
        <v>19495</v>
      </c>
    </row>
    <row r="1003" spans="1:5" x14ac:dyDescent="0.2">
      <c r="A1003" s="269">
        <v>45909.488576388889</v>
      </c>
      <c r="B1003" t="s">
        <v>1431</v>
      </c>
      <c r="C1003" t="s">
        <v>103</v>
      </c>
      <c r="D1003" t="s">
        <v>976</v>
      </c>
      <c r="E1003">
        <v>231022.33</v>
      </c>
    </row>
    <row r="1004" spans="1:5" x14ac:dyDescent="0.2">
      <c r="A1004" s="269">
        <v>45909.488819444443</v>
      </c>
      <c r="B1004" t="s">
        <v>1431</v>
      </c>
      <c r="C1004" t="s">
        <v>103</v>
      </c>
      <c r="D1004" t="s">
        <v>1013</v>
      </c>
      <c r="E1004" t="s">
        <v>371</v>
      </c>
    </row>
    <row r="1005" spans="1:5" x14ac:dyDescent="0.2">
      <c r="A1005" s="269">
        <v>45909.488865740743</v>
      </c>
      <c r="B1005" t="s">
        <v>1431</v>
      </c>
      <c r="C1005" t="s">
        <v>103</v>
      </c>
      <c r="D1005" t="s">
        <v>747</v>
      </c>
      <c r="E1005" t="s">
        <v>379</v>
      </c>
    </row>
    <row r="1006" spans="1:5" x14ac:dyDescent="0.2">
      <c r="A1006" s="269">
        <v>45909.488900462966</v>
      </c>
      <c r="B1006" t="s">
        <v>1431</v>
      </c>
      <c r="C1006" t="s">
        <v>103</v>
      </c>
      <c r="D1006" t="s">
        <v>1437</v>
      </c>
      <c r="E1006" t="s">
        <v>386</v>
      </c>
    </row>
    <row r="1007" spans="1:5" x14ac:dyDescent="0.2">
      <c r="A1007" s="269">
        <v>45909.488935185182</v>
      </c>
      <c r="B1007" t="s">
        <v>1431</v>
      </c>
      <c r="C1007" t="s">
        <v>103</v>
      </c>
      <c r="D1007" t="s">
        <v>1439</v>
      </c>
      <c r="E1007" t="s">
        <v>390</v>
      </c>
    </row>
    <row r="1008" spans="1:5" x14ac:dyDescent="0.2">
      <c r="A1008" s="269">
        <v>45909.488969907405</v>
      </c>
      <c r="B1008" t="s">
        <v>1431</v>
      </c>
      <c r="C1008" t="s">
        <v>103</v>
      </c>
      <c r="D1008" t="s">
        <v>1441</v>
      </c>
      <c r="E1008" t="s">
        <v>41</v>
      </c>
    </row>
    <row r="1009" spans="1:5" x14ac:dyDescent="0.2">
      <c r="A1009" s="269">
        <v>45909.489016203705</v>
      </c>
      <c r="B1009" t="s">
        <v>1431</v>
      </c>
      <c r="C1009" t="s">
        <v>103</v>
      </c>
      <c r="D1009" t="s">
        <v>672</v>
      </c>
      <c r="E1009" t="s">
        <v>397</v>
      </c>
    </row>
    <row r="1010" spans="1:5" x14ac:dyDescent="0.2">
      <c r="A1010" s="269">
        <v>45909.489062499997</v>
      </c>
      <c r="B1010" t="s">
        <v>1431</v>
      </c>
      <c r="C1010" t="s">
        <v>103</v>
      </c>
      <c r="D1010" t="s">
        <v>674</v>
      </c>
      <c r="E1010" t="s">
        <v>400</v>
      </c>
    </row>
    <row r="1011" spans="1:5" x14ac:dyDescent="0.2">
      <c r="A1011" s="269">
        <v>45909.489108796297</v>
      </c>
      <c r="B1011" t="s">
        <v>1431</v>
      </c>
      <c r="C1011" t="s">
        <v>103</v>
      </c>
      <c r="D1011" t="s">
        <v>675</v>
      </c>
      <c r="E1011" t="s">
        <v>404</v>
      </c>
    </row>
    <row r="1012" spans="1:5" x14ac:dyDescent="0.2">
      <c r="A1012" s="269">
        <v>45909.489166666666</v>
      </c>
      <c r="B1012" t="s">
        <v>1431</v>
      </c>
      <c r="C1012" t="s">
        <v>103</v>
      </c>
      <c r="D1012" t="s">
        <v>676</v>
      </c>
      <c r="E1012" t="s">
        <v>407</v>
      </c>
    </row>
    <row r="1013" spans="1:5" x14ac:dyDescent="0.2">
      <c r="A1013" s="269">
        <v>45909.489236111112</v>
      </c>
      <c r="B1013" t="s">
        <v>1431</v>
      </c>
      <c r="C1013" t="s">
        <v>103</v>
      </c>
      <c r="D1013" t="s">
        <v>1015</v>
      </c>
      <c r="E1013">
        <v>19075</v>
      </c>
    </row>
    <row r="1014" spans="1:5" x14ac:dyDescent="0.2">
      <c r="A1014" s="269">
        <v>45909.489305555559</v>
      </c>
      <c r="B1014" t="s">
        <v>1431</v>
      </c>
      <c r="C1014" t="s">
        <v>103</v>
      </c>
      <c r="D1014" t="s">
        <v>1018</v>
      </c>
      <c r="E1014">
        <v>22470</v>
      </c>
    </row>
    <row r="1015" spans="1:5" x14ac:dyDescent="0.2">
      <c r="A1015" s="269">
        <v>45909.489386574074</v>
      </c>
      <c r="B1015" t="s">
        <v>1431</v>
      </c>
      <c r="C1015" t="s">
        <v>103</v>
      </c>
      <c r="D1015" t="s">
        <v>1068</v>
      </c>
      <c r="E1015">
        <v>23275</v>
      </c>
    </row>
    <row r="1016" spans="1:5" x14ac:dyDescent="0.2">
      <c r="A1016" s="269">
        <v>45909.489525462966</v>
      </c>
      <c r="B1016" t="s">
        <v>1431</v>
      </c>
      <c r="C1016" t="s">
        <v>103</v>
      </c>
      <c r="D1016" t="s">
        <v>1069</v>
      </c>
      <c r="E1016">
        <v>21140</v>
      </c>
    </row>
    <row r="1017" spans="1:5" x14ac:dyDescent="0.2">
      <c r="A1017" s="269">
        <v>45909.489618055559</v>
      </c>
      <c r="B1017" t="s">
        <v>1431</v>
      </c>
      <c r="C1017" t="s">
        <v>103</v>
      </c>
      <c r="D1017" t="s">
        <v>1459</v>
      </c>
      <c r="E1017">
        <v>21945</v>
      </c>
    </row>
    <row r="1018" spans="1:5" x14ac:dyDescent="0.2">
      <c r="A1018" s="269">
        <v>45909.489722222221</v>
      </c>
      <c r="B1018" t="s">
        <v>1431</v>
      </c>
      <c r="C1018" t="s">
        <v>103</v>
      </c>
      <c r="D1018" t="s">
        <v>1460</v>
      </c>
      <c r="E1018">
        <v>21840</v>
      </c>
    </row>
    <row r="1019" spans="1:5" x14ac:dyDescent="0.2">
      <c r="A1019" s="269">
        <v>45909.489814814813</v>
      </c>
      <c r="B1019" t="s">
        <v>1431</v>
      </c>
      <c r="C1019" t="s">
        <v>103</v>
      </c>
      <c r="D1019" t="s">
        <v>1461</v>
      </c>
      <c r="E1019">
        <v>22155</v>
      </c>
    </row>
    <row r="1020" spans="1:5" x14ac:dyDescent="0.2">
      <c r="A1020" s="269">
        <v>45909.489895833336</v>
      </c>
      <c r="B1020" t="s">
        <v>1431</v>
      </c>
      <c r="C1020" t="s">
        <v>103</v>
      </c>
      <c r="D1020" t="s">
        <v>1462</v>
      </c>
      <c r="E1020">
        <v>22645</v>
      </c>
    </row>
    <row r="1021" spans="1:5" x14ac:dyDescent="0.2">
      <c r="A1021" s="269">
        <v>45909.49</v>
      </c>
      <c r="B1021" t="s">
        <v>1431</v>
      </c>
      <c r="C1021" t="s">
        <v>103</v>
      </c>
      <c r="D1021" t="s">
        <v>1463</v>
      </c>
      <c r="E1021">
        <v>23240</v>
      </c>
    </row>
    <row r="1022" spans="1:5" x14ac:dyDescent="0.2">
      <c r="A1022" s="269">
        <v>45909.490266203706</v>
      </c>
      <c r="B1022" t="s">
        <v>1431</v>
      </c>
      <c r="C1022" t="s">
        <v>103</v>
      </c>
      <c r="D1022" t="s">
        <v>977</v>
      </c>
      <c r="E1022">
        <v>256910.62</v>
      </c>
    </row>
    <row r="1023" spans="1:5" x14ac:dyDescent="0.2">
      <c r="A1023" s="269">
        <v>45909.490405092591</v>
      </c>
      <c r="B1023" t="s">
        <v>1431</v>
      </c>
      <c r="C1023" t="s">
        <v>103</v>
      </c>
      <c r="D1023" t="s">
        <v>923</v>
      </c>
      <c r="E1023">
        <v>326635.09999999998</v>
      </c>
    </row>
    <row r="1024" spans="1:5" x14ac:dyDescent="0.2">
      <c r="A1024" s="269">
        <v>45909.490543981483</v>
      </c>
      <c r="B1024" t="s">
        <v>1431</v>
      </c>
      <c r="C1024" t="s">
        <v>103</v>
      </c>
      <c r="D1024" t="s">
        <v>918</v>
      </c>
      <c r="E1024">
        <v>315216.89</v>
      </c>
    </row>
    <row r="1025" spans="1:5" x14ac:dyDescent="0.2">
      <c r="A1025" s="269">
        <v>45909.490648148145</v>
      </c>
      <c r="B1025" t="s">
        <v>1431</v>
      </c>
      <c r="C1025" t="s">
        <v>103</v>
      </c>
      <c r="D1025" t="s">
        <v>924</v>
      </c>
      <c r="E1025">
        <v>302571.98</v>
      </c>
    </row>
    <row r="1026" spans="1:5" x14ac:dyDescent="0.2">
      <c r="A1026" s="269">
        <v>45909.490763888891</v>
      </c>
      <c r="B1026" t="s">
        <v>1431</v>
      </c>
      <c r="C1026" t="s">
        <v>103</v>
      </c>
      <c r="D1026" t="s">
        <v>1443</v>
      </c>
      <c r="E1026">
        <v>321865.45</v>
      </c>
    </row>
    <row r="1027" spans="1:5" x14ac:dyDescent="0.2">
      <c r="A1027" s="269">
        <v>45909.490879629629</v>
      </c>
      <c r="B1027" t="s">
        <v>1431</v>
      </c>
      <c r="C1027" t="s">
        <v>103</v>
      </c>
      <c r="D1027" t="s">
        <v>981</v>
      </c>
      <c r="E1027">
        <v>301582.90000000002</v>
      </c>
    </row>
    <row r="1028" spans="1:5" x14ac:dyDescent="0.2">
      <c r="A1028" s="269">
        <v>45909.491018518522</v>
      </c>
      <c r="B1028" t="s">
        <v>1431</v>
      </c>
      <c r="C1028" t="s">
        <v>103</v>
      </c>
      <c r="D1028" t="s">
        <v>1446</v>
      </c>
      <c r="E1028">
        <v>286234.84999999998</v>
      </c>
    </row>
    <row r="1029" spans="1:5" x14ac:dyDescent="0.2">
      <c r="A1029" s="269">
        <v>45909.491122685184</v>
      </c>
      <c r="B1029" t="s">
        <v>1431</v>
      </c>
      <c r="C1029" t="s">
        <v>103</v>
      </c>
      <c r="D1029" t="s">
        <v>1448</v>
      </c>
      <c r="E1029">
        <v>302942.8</v>
      </c>
    </row>
    <row r="1030" spans="1:5" x14ac:dyDescent="0.2">
      <c r="A1030" s="269">
        <v>45909.491226851853</v>
      </c>
      <c r="B1030" t="s">
        <v>1431</v>
      </c>
      <c r="C1030" t="s">
        <v>103</v>
      </c>
      <c r="D1030" t="s">
        <v>1464</v>
      </c>
      <c r="E1030">
        <v>307179.44</v>
      </c>
    </row>
    <row r="1031" spans="1:5" x14ac:dyDescent="0.2">
      <c r="A1031" s="269">
        <v>45909.491435185184</v>
      </c>
      <c r="B1031" t="s">
        <v>1431</v>
      </c>
      <c r="C1031" t="s">
        <v>103</v>
      </c>
      <c r="D1031" t="s">
        <v>1465</v>
      </c>
      <c r="E1031" t="s">
        <v>439</v>
      </c>
    </row>
    <row r="1032" spans="1:5" x14ac:dyDescent="0.2">
      <c r="A1032" s="269">
        <v>45909.491736111115</v>
      </c>
      <c r="B1032" t="s">
        <v>1431</v>
      </c>
      <c r="C1032" t="s">
        <v>15</v>
      </c>
      <c r="D1032" t="s">
        <v>1066</v>
      </c>
    </row>
    <row r="1033" spans="1:5" x14ac:dyDescent="0.2">
      <c r="A1033" s="269">
        <v>45909.492800925924</v>
      </c>
      <c r="B1033" t="s">
        <v>1431</v>
      </c>
      <c r="C1033" t="s">
        <v>103</v>
      </c>
      <c r="D1033" t="s">
        <v>1466</v>
      </c>
      <c r="E1033" t="s">
        <v>1458</v>
      </c>
    </row>
    <row r="1034" spans="1:5" x14ac:dyDescent="0.2">
      <c r="A1034" s="269">
        <v>45909.493078703701</v>
      </c>
      <c r="B1034" t="s">
        <v>1431</v>
      </c>
      <c r="C1034" t="s">
        <v>103</v>
      </c>
      <c r="D1034" t="s">
        <v>996</v>
      </c>
      <c r="E1034" t="s">
        <v>1467</v>
      </c>
    </row>
    <row r="1035" spans="1:5" x14ac:dyDescent="0.2">
      <c r="A1035" s="269">
        <v>45909.493310185186</v>
      </c>
      <c r="B1035" t="s">
        <v>1431</v>
      </c>
      <c r="C1035" t="s">
        <v>103</v>
      </c>
      <c r="D1035" t="s">
        <v>1469</v>
      </c>
      <c r="E1035" t="s">
        <v>1468</v>
      </c>
    </row>
    <row r="1036" spans="1:5" x14ac:dyDescent="0.2">
      <c r="A1036" s="269">
        <v>45909.496828703705</v>
      </c>
      <c r="B1036" t="s">
        <v>1431</v>
      </c>
      <c r="C1036" t="s">
        <v>103</v>
      </c>
      <c r="D1036" t="s">
        <v>1019</v>
      </c>
      <c r="E1036" t="s">
        <v>1470</v>
      </c>
    </row>
    <row r="1037" spans="1:5" x14ac:dyDescent="0.2">
      <c r="A1037" s="269">
        <v>45909.497118055559</v>
      </c>
      <c r="B1037" t="s">
        <v>1431</v>
      </c>
      <c r="C1037" t="s">
        <v>103</v>
      </c>
      <c r="D1037" t="s">
        <v>1472</v>
      </c>
      <c r="E1037" t="s">
        <v>1471</v>
      </c>
    </row>
    <row r="1038" spans="1:5" x14ac:dyDescent="0.2">
      <c r="A1038" s="269">
        <v>45909.497256944444</v>
      </c>
      <c r="B1038" t="s">
        <v>1431</v>
      </c>
      <c r="C1038" t="s">
        <v>103</v>
      </c>
      <c r="D1038" t="s">
        <v>1019</v>
      </c>
      <c r="E1038" t="s">
        <v>1473</v>
      </c>
    </row>
    <row r="1039" spans="1:5" x14ac:dyDescent="0.2">
      <c r="A1039" s="269">
        <v>45909.497511574074</v>
      </c>
      <c r="B1039" t="s">
        <v>1431</v>
      </c>
      <c r="C1039" t="s">
        <v>103</v>
      </c>
      <c r="D1039" t="s">
        <v>1472</v>
      </c>
      <c r="E1039" t="s">
        <v>1470</v>
      </c>
    </row>
    <row r="1040" spans="1:5" x14ac:dyDescent="0.2">
      <c r="A1040" s="269">
        <v>45909.49763888889</v>
      </c>
      <c r="B1040" t="s">
        <v>1431</v>
      </c>
      <c r="C1040" t="s">
        <v>103</v>
      </c>
      <c r="D1040" t="s">
        <v>1475</v>
      </c>
      <c r="E1040" t="s">
        <v>1474</v>
      </c>
    </row>
    <row r="1041" spans="1:5" x14ac:dyDescent="0.2">
      <c r="A1041" s="269">
        <v>45909.497777777775</v>
      </c>
      <c r="B1041" t="s">
        <v>1431</v>
      </c>
      <c r="C1041" t="s">
        <v>103</v>
      </c>
      <c r="D1041" t="s">
        <v>1450</v>
      </c>
      <c r="E1041" t="s">
        <v>1476</v>
      </c>
    </row>
    <row r="1042" spans="1:5" x14ac:dyDescent="0.2">
      <c r="A1042" s="269">
        <v>45909.497986111113</v>
      </c>
      <c r="B1042" t="s">
        <v>1431</v>
      </c>
      <c r="C1042" t="s">
        <v>103</v>
      </c>
      <c r="D1042" t="s">
        <v>1452</v>
      </c>
      <c r="E1042" t="s">
        <v>1477</v>
      </c>
    </row>
    <row r="1043" spans="1:5" x14ac:dyDescent="0.2">
      <c r="A1043" s="269">
        <v>45909.498217592591</v>
      </c>
      <c r="B1043" t="s">
        <v>1431</v>
      </c>
      <c r="C1043" t="s">
        <v>103</v>
      </c>
      <c r="D1043" t="s">
        <v>1479</v>
      </c>
      <c r="E1043" t="s">
        <v>1478</v>
      </c>
    </row>
    <row r="1044" spans="1:5" x14ac:dyDescent="0.2">
      <c r="A1044" s="269">
        <v>45909.498368055552</v>
      </c>
      <c r="B1044" t="s">
        <v>1431</v>
      </c>
      <c r="C1044" t="s">
        <v>103</v>
      </c>
      <c r="D1044" t="s">
        <v>1453</v>
      </c>
      <c r="E1044" t="s">
        <v>1480</v>
      </c>
    </row>
    <row r="1045" spans="1:5" x14ac:dyDescent="0.2">
      <c r="A1045" s="269">
        <v>45909.498564814814</v>
      </c>
      <c r="B1045" t="s">
        <v>1431</v>
      </c>
      <c r="C1045" t="s">
        <v>103</v>
      </c>
      <c r="D1045" t="s">
        <v>1482</v>
      </c>
      <c r="E1045" t="s">
        <v>1481</v>
      </c>
    </row>
    <row r="1046" spans="1:5" x14ac:dyDescent="0.2">
      <c r="A1046" s="269">
        <v>45909.540902777779</v>
      </c>
      <c r="B1046" t="s">
        <v>1431</v>
      </c>
      <c r="C1046" t="s">
        <v>15</v>
      </c>
      <c r="D1046" t="s">
        <v>1010</v>
      </c>
      <c r="E1046" t="s">
        <v>200</v>
      </c>
    </row>
    <row r="1047" spans="1:5" x14ac:dyDescent="0.2">
      <c r="A1047" s="269">
        <v>45909.541041666664</v>
      </c>
      <c r="B1047" t="s">
        <v>1431</v>
      </c>
      <c r="C1047" t="s">
        <v>15</v>
      </c>
      <c r="D1047" t="s">
        <v>1066</v>
      </c>
      <c r="E1047">
        <v>2</v>
      </c>
    </row>
    <row r="1048" spans="1:5" x14ac:dyDescent="0.2">
      <c r="A1048" s="269">
        <v>45909.541134259256</v>
      </c>
      <c r="B1048" t="s">
        <v>1431</v>
      </c>
      <c r="C1048" t="s">
        <v>15</v>
      </c>
      <c r="D1048" t="s">
        <v>1010</v>
      </c>
      <c r="E1048" t="s">
        <v>200</v>
      </c>
    </row>
    <row r="1049" spans="1:5" x14ac:dyDescent="0.2">
      <c r="A1049" s="269">
        <v>45909.54115740741</v>
      </c>
      <c r="B1049" t="s">
        <v>1431</v>
      </c>
      <c r="C1049" t="s">
        <v>15</v>
      </c>
      <c r="D1049" t="s">
        <v>1066</v>
      </c>
    </row>
    <row r="1050" spans="1:5" x14ac:dyDescent="0.2">
      <c r="A1050" s="269">
        <v>45909.542060185187</v>
      </c>
      <c r="B1050" t="s">
        <v>1431</v>
      </c>
      <c r="C1050" t="s">
        <v>15</v>
      </c>
      <c r="D1050" t="s">
        <v>1010</v>
      </c>
    </row>
    <row r="1051" spans="1:5" x14ac:dyDescent="0.2">
      <c r="A1051" s="269">
        <v>45909.542951388888</v>
      </c>
      <c r="B1051" t="s">
        <v>1431</v>
      </c>
      <c r="C1051" t="s">
        <v>26</v>
      </c>
      <c r="D1051" t="s">
        <v>1434</v>
      </c>
      <c r="E1051" t="s">
        <v>338</v>
      </c>
    </row>
    <row r="1052" spans="1:5" x14ac:dyDescent="0.2">
      <c r="A1052" s="269">
        <v>45909.542986111112</v>
      </c>
      <c r="B1052" t="s">
        <v>1431</v>
      </c>
      <c r="C1052" t="s">
        <v>26</v>
      </c>
      <c r="D1052" t="s">
        <v>1191</v>
      </c>
      <c r="E1052" t="s">
        <v>89</v>
      </c>
    </row>
    <row r="1053" spans="1:5" x14ac:dyDescent="0.2">
      <c r="A1053" s="269">
        <v>45909.543009259258</v>
      </c>
      <c r="B1053" t="s">
        <v>1431</v>
      </c>
      <c r="C1053" t="s">
        <v>26</v>
      </c>
      <c r="D1053" t="s">
        <v>795</v>
      </c>
      <c r="E1053" t="s">
        <v>362</v>
      </c>
    </row>
    <row r="1054" spans="1:5" x14ac:dyDescent="0.2">
      <c r="A1054" s="269">
        <v>45909.543043981481</v>
      </c>
      <c r="B1054" t="s">
        <v>1431</v>
      </c>
      <c r="C1054" t="s">
        <v>26</v>
      </c>
      <c r="D1054" t="s">
        <v>1013</v>
      </c>
      <c r="E1054" t="s">
        <v>371</v>
      </c>
    </row>
    <row r="1055" spans="1:5" x14ac:dyDescent="0.2">
      <c r="A1055" s="269">
        <v>45909.543090277781</v>
      </c>
      <c r="B1055" t="s">
        <v>1431</v>
      </c>
      <c r="C1055" t="s">
        <v>26</v>
      </c>
      <c r="D1055" t="s">
        <v>747</v>
      </c>
      <c r="E1055" t="s">
        <v>379</v>
      </c>
    </row>
    <row r="1056" spans="1:5" x14ac:dyDescent="0.2">
      <c r="A1056" s="269">
        <v>45909.543124999997</v>
      </c>
      <c r="B1056" t="s">
        <v>1431</v>
      </c>
      <c r="C1056" t="s">
        <v>26</v>
      </c>
      <c r="D1056" t="s">
        <v>1437</v>
      </c>
      <c r="E1056" t="s">
        <v>386</v>
      </c>
    </row>
    <row r="1057" spans="1:5" x14ac:dyDescent="0.2">
      <c r="A1057" s="269">
        <v>45909.54315972222</v>
      </c>
      <c r="B1057" t="s">
        <v>1431</v>
      </c>
      <c r="C1057" t="s">
        <v>26</v>
      </c>
      <c r="D1057" t="s">
        <v>1439</v>
      </c>
      <c r="E1057" t="s">
        <v>390</v>
      </c>
    </row>
    <row r="1058" spans="1:5" x14ac:dyDescent="0.2">
      <c r="A1058" s="269">
        <v>45909.543182870373</v>
      </c>
      <c r="B1058" t="s">
        <v>1431</v>
      </c>
      <c r="C1058" t="s">
        <v>26</v>
      </c>
      <c r="D1058" t="s">
        <v>1441</v>
      </c>
      <c r="E1058" t="s">
        <v>41</v>
      </c>
    </row>
    <row r="1059" spans="1:5" x14ac:dyDescent="0.2">
      <c r="A1059" s="269">
        <v>45909.543240740742</v>
      </c>
      <c r="B1059" t="s">
        <v>1431</v>
      </c>
      <c r="C1059" t="s">
        <v>26</v>
      </c>
      <c r="D1059" t="s">
        <v>672</v>
      </c>
      <c r="E1059" t="s">
        <v>397</v>
      </c>
    </row>
    <row r="1060" spans="1:5" x14ac:dyDescent="0.2">
      <c r="A1060" s="269">
        <v>45909.543275462966</v>
      </c>
      <c r="B1060" t="s">
        <v>1431</v>
      </c>
      <c r="C1060" t="s">
        <v>26</v>
      </c>
      <c r="D1060" t="s">
        <v>674</v>
      </c>
      <c r="E1060" t="s">
        <v>400</v>
      </c>
    </row>
    <row r="1061" spans="1:5" x14ac:dyDescent="0.2">
      <c r="A1061" s="269">
        <v>45909.543287037035</v>
      </c>
      <c r="B1061" t="s">
        <v>1431</v>
      </c>
      <c r="C1061" t="s">
        <v>26</v>
      </c>
      <c r="D1061" t="s">
        <v>674</v>
      </c>
      <c r="E1061" t="s">
        <v>379</v>
      </c>
    </row>
    <row r="1062" spans="1:5" x14ac:dyDescent="0.2">
      <c r="A1062" s="269">
        <v>45909.543333333335</v>
      </c>
      <c r="B1062" t="s">
        <v>1431</v>
      </c>
      <c r="C1062" t="s">
        <v>26</v>
      </c>
      <c r="D1062" t="s">
        <v>674</v>
      </c>
      <c r="E1062" t="s">
        <v>400</v>
      </c>
    </row>
    <row r="1063" spans="1:5" x14ac:dyDescent="0.2">
      <c r="A1063" s="269">
        <v>45909.543402777781</v>
      </c>
      <c r="B1063" t="s">
        <v>1431</v>
      </c>
      <c r="C1063" t="s">
        <v>26</v>
      </c>
      <c r="D1063" t="s">
        <v>675</v>
      </c>
      <c r="E1063" t="s">
        <v>404</v>
      </c>
    </row>
    <row r="1064" spans="1:5" x14ac:dyDescent="0.2">
      <c r="A1064" s="269">
        <v>45909.543449074074</v>
      </c>
      <c r="B1064" t="s">
        <v>1431</v>
      </c>
      <c r="C1064" t="s">
        <v>26</v>
      </c>
      <c r="D1064" t="s">
        <v>676</v>
      </c>
      <c r="E1064" t="s">
        <v>407</v>
      </c>
    </row>
    <row r="1065" spans="1:5" x14ac:dyDescent="0.2">
      <c r="A1065" s="269">
        <v>45909.543634259258</v>
      </c>
      <c r="B1065" t="s">
        <v>1431</v>
      </c>
      <c r="C1065" t="s">
        <v>26</v>
      </c>
      <c r="D1065" t="s">
        <v>983</v>
      </c>
      <c r="E1065" t="s">
        <v>124</v>
      </c>
    </row>
    <row r="1066" spans="1:5" x14ac:dyDescent="0.2">
      <c r="A1066" s="269">
        <v>45909.543680555558</v>
      </c>
      <c r="B1066" t="s">
        <v>1431</v>
      </c>
      <c r="C1066" t="s">
        <v>26</v>
      </c>
      <c r="D1066" t="s">
        <v>983</v>
      </c>
      <c r="E1066" t="s">
        <v>124</v>
      </c>
    </row>
    <row r="1067" spans="1:5" x14ac:dyDescent="0.2">
      <c r="A1067" s="269">
        <v>45909.543692129628</v>
      </c>
      <c r="B1067" t="s">
        <v>1431</v>
      </c>
      <c r="C1067" t="s">
        <v>26</v>
      </c>
      <c r="D1067" t="s">
        <v>983</v>
      </c>
      <c r="E1067" t="s">
        <v>124</v>
      </c>
    </row>
    <row r="1068" spans="1:5" x14ac:dyDescent="0.2">
      <c r="A1068" s="269">
        <v>45909.543726851851</v>
      </c>
      <c r="B1068" t="s">
        <v>1431</v>
      </c>
      <c r="C1068" t="s">
        <v>26</v>
      </c>
      <c r="D1068" t="s">
        <v>1066</v>
      </c>
      <c r="E1068" t="s">
        <v>124</v>
      </c>
    </row>
    <row r="1069" spans="1:5" x14ac:dyDescent="0.2">
      <c r="A1069" s="269">
        <v>45909.543796296297</v>
      </c>
      <c r="B1069" t="s">
        <v>1431</v>
      </c>
      <c r="C1069" t="s">
        <v>26</v>
      </c>
      <c r="D1069" t="s">
        <v>994</v>
      </c>
      <c r="E1069" t="s">
        <v>124</v>
      </c>
    </row>
    <row r="1070" spans="1:5" x14ac:dyDescent="0.2">
      <c r="A1070" s="269">
        <v>45909.543819444443</v>
      </c>
      <c r="B1070" t="s">
        <v>1431</v>
      </c>
      <c r="C1070" t="s">
        <v>26</v>
      </c>
      <c r="D1070" t="s">
        <v>1015</v>
      </c>
      <c r="E1070" t="s">
        <v>124</v>
      </c>
    </row>
    <row r="1071" spans="1:5" x14ac:dyDescent="0.2">
      <c r="A1071" s="269">
        <v>45909.543842592589</v>
      </c>
      <c r="B1071" t="s">
        <v>1431</v>
      </c>
      <c r="C1071" t="s">
        <v>26</v>
      </c>
      <c r="D1071" t="s">
        <v>1018</v>
      </c>
      <c r="E1071" t="s">
        <v>124</v>
      </c>
    </row>
    <row r="1072" spans="1:5" x14ac:dyDescent="0.2">
      <c r="A1072" s="269">
        <v>45909.543865740743</v>
      </c>
      <c r="B1072" t="s">
        <v>1431</v>
      </c>
      <c r="C1072" t="s">
        <v>26</v>
      </c>
      <c r="D1072" t="s">
        <v>1068</v>
      </c>
      <c r="E1072" t="s">
        <v>124</v>
      </c>
    </row>
    <row r="1073" spans="1:5" x14ac:dyDescent="0.2">
      <c r="A1073" s="269">
        <v>45909.543877314813</v>
      </c>
      <c r="B1073" t="s">
        <v>1431</v>
      </c>
      <c r="C1073" t="s">
        <v>26</v>
      </c>
      <c r="D1073" t="s">
        <v>1068</v>
      </c>
      <c r="E1073" t="s">
        <v>124</v>
      </c>
    </row>
    <row r="1074" spans="1:5" x14ac:dyDescent="0.2">
      <c r="A1074" s="269">
        <v>45909.543900462966</v>
      </c>
      <c r="B1074" t="s">
        <v>1431</v>
      </c>
      <c r="C1074" t="s">
        <v>26</v>
      </c>
      <c r="D1074" t="s">
        <v>1069</v>
      </c>
      <c r="E1074" t="s">
        <v>124</v>
      </c>
    </row>
    <row r="1075" spans="1:5" x14ac:dyDescent="0.2">
      <c r="A1075" s="269">
        <v>45909.543935185182</v>
      </c>
      <c r="B1075" t="s">
        <v>1431</v>
      </c>
      <c r="C1075" t="s">
        <v>26</v>
      </c>
      <c r="D1075" t="s">
        <v>1459</v>
      </c>
      <c r="E1075" t="s">
        <v>124</v>
      </c>
    </row>
    <row r="1076" spans="1:5" x14ac:dyDescent="0.2">
      <c r="A1076" s="269">
        <v>45909.543958333335</v>
      </c>
      <c r="B1076" t="s">
        <v>1431</v>
      </c>
      <c r="C1076" t="s">
        <v>26</v>
      </c>
      <c r="D1076" t="s">
        <v>1460</v>
      </c>
      <c r="E1076" t="s">
        <v>124</v>
      </c>
    </row>
    <row r="1077" spans="1:5" x14ac:dyDescent="0.2">
      <c r="A1077" s="269">
        <v>45909.543993055559</v>
      </c>
      <c r="B1077" t="s">
        <v>1431</v>
      </c>
      <c r="C1077" t="s">
        <v>26</v>
      </c>
      <c r="D1077" t="s">
        <v>1461</v>
      </c>
      <c r="E1077" t="s">
        <v>124</v>
      </c>
    </row>
    <row r="1078" spans="1:5" x14ac:dyDescent="0.2">
      <c r="A1078" s="269">
        <v>45909.544016203705</v>
      </c>
      <c r="B1078" t="s">
        <v>1431</v>
      </c>
      <c r="C1078" t="s">
        <v>26</v>
      </c>
      <c r="D1078" t="s">
        <v>1462</v>
      </c>
      <c r="E1078" t="s">
        <v>124</v>
      </c>
    </row>
    <row r="1079" spans="1:5" x14ac:dyDescent="0.2">
      <c r="A1079" s="269">
        <v>45909.544039351851</v>
      </c>
      <c r="B1079" t="s">
        <v>1431</v>
      </c>
      <c r="C1079" t="s">
        <v>26</v>
      </c>
      <c r="D1079" t="s">
        <v>1463</v>
      </c>
      <c r="E1079" t="s">
        <v>124</v>
      </c>
    </row>
    <row r="1080" spans="1:5" x14ac:dyDescent="0.2">
      <c r="A1080" s="269">
        <v>45909.545127314814</v>
      </c>
      <c r="B1080" t="s">
        <v>1431</v>
      </c>
      <c r="C1080" t="s">
        <v>26</v>
      </c>
      <c r="D1080" t="s">
        <v>1436</v>
      </c>
      <c r="E1080">
        <v>91</v>
      </c>
    </row>
    <row r="1081" spans="1:5" x14ac:dyDescent="0.2">
      <c r="A1081" s="269">
        <v>45909.54515046296</v>
      </c>
      <c r="B1081" t="s">
        <v>1431</v>
      </c>
      <c r="C1081" t="s">
        <v>26</v>
      </c>
      <c r="D1081" t="s">
        <v>973</v>
      </c>
      <c r="E1081">
        <v>98</v>
      </c>
    </row>
    <row r="1082" spans="1:5" x14ac:dyDescent="0.2">
      <c r="A1082" s="269">
        <v>45909.545185185183</v>
      </c>
      <c r="B1082" t="s">
        <v>1431</v>
      </c>
      <c r="C1082" t="s">
        <v>26</v>
      </c>
      <c r="D1082" t="s">
        <v>976</v>
      </c>
      <c r="E1082">
        <v>130</v>
      </c>
    </row>
    <row r="1083" spans="1:5" x14ac:dyDescent="0.2">
      <c r="A1083" s="269">
        <v>45909.545219907406</v>
      </c>
      <c r="B1083" t="s">
        <v>1431</v>
      </c>
      <c r="C1083" t="s">
        <v>26</v>
      </c>
      <c r="D1083" t="s">
        <v>977</v>
      </c>
      <c r="E1083">
        <v>116</v>
      </c>
    </row>
    <row r="1084" spans="1:5" x14ac:dyDescent="0.2">
      <c r="A1084" s="269">
        <v>45909.545266203706</v>
      </c>
      <c r="B1084" t="s">
        <v>1431</v>
      </c>
      <c r="C1084" t="s">
        <v>26</v>
      </c>
      <c r="D1084" t="s">
        <v>923</v>
      </c>
      <c r="E1084">
        <v>124</v>
      </c>
    </row>
    <row r="1085" spans="1:5" x14ac:dyDescent="0.2">
      <c r="A1085" s="269">
        <v>45909.545300925929</v>
      </c>
      <c r="B1085" t="s">
        <v>1431</v>
      </c>
      <c r="C1085" t="s">
        <v>26</v>
      </c>
      <c r="D1085" t="s">
        <v>918</v>
      </c>
      <c r="E1085">
        <v>92</v>
      </c>
    </row>
    <row r="1086" spans="1:5" x14ac:dyDescent="0.2">
      <c r="A1086" s="269">
        <v>45909.545347222222</v>
      </c>
      <c r="B1086" t="s">
        <v>1431</v>
      </c>
      <c r="C1086" t="s">
        <v>26</v>
      </c>
      <c r="D1086" t="s">
        <v>924</v>
      </c>
      <c r="E1086">
        <v>110</v>
      </c>
    </row>
    <row r="1087" spans="1:5" x14ac:dyDescent="0.2">
      <c r="A1087" s="269">
        <v>45909.545381944445</v>
      </c>
      <c r="B1087" t="s">
        <v>1431</v>
      </c>
      <c r="C1087" t="s">
        <v>26</v>
      </c>
      <c r="D1087" t="s">
        <v>1443</v>
      </c>
      <c r="E1087">
        <v>75</v>
      </c>
    </row>
    <row r="1088" spans="1:5" x14ac:dyDescent="0.2">
      <c r="A1088" s="269">
        <v>45909.545416666668</v>
      </c>
      <c r="B1088" t="s">
        <v>1431</v>
      </c>
      <c r="C1088" t="s">
        <v>26</v>
      </c>
      <c r="D1088" t="s">
        <v>981</v>
      </c>
      <c r="E1088">
        <v>70</v>
      </c>
    </row>
    <row r="1089" spans="1:5" x14ac:dyDescent="0.2">
      <c r="A1089" s="269">
        <v>45909.54546296296</v>
      </c>
      <c r="B1089" t="s">
        <v>1431</v>
      </c>
      <c r="C1089" t="s">
        <v>26</v>
      </c>
      <c r="D1089" t="s">
        <v>1446</v>
      </c>
      <c r="E1089">
        <v>71</v>
      </c>
    </row>
    <row r="1090" spans="1:5" x14ac:dyDescent="0.2">
      <c r="A1090" s="269">
        <v>45909.545486111114</v>
      </c>
      <c r="B1090" t="s">
        <v>1431</v>
      </c>
      <c r="C1090" t="s">
        <v>26</v>
      </c>
      <c r="D1090" t="s">
        <v>1448</v>
      </c>
      <c r="E1090">
        <v>77</v>
      </c>
    </row>
    <row r="1091" spans="1:5" x14ac:dyDescent="0.2">
      <c r="A1091" s="269">
        <v>45909.545567129629</v>
      </c>
      <c r="B1091" t="s">
        <v>1431</v>
      </c>
      <c r="C1091" t="s">
        <v>26</v>
      </c>
      <c r="D1091" t="s">
        <v>1464</v>
      </c>
      <c r="E1091">
        <v>73</v>
      </c>
    </row>
    <row r="1092" spans="1:5" x14ac:dyDescent="0.2">
      <c r="A1092" s="269">
        <v>45909.54619212963</v>
      </c>
      <c r="B1092" t="s">
        <v>1431</v>
      </c>
      <c r="C1092" t="s">
        <v>26</v>
      </c>
      <c r="D1092" t="s">
        <v>1484</v>
      </c>
      <c r="E1092" t="s">
        <v>1483</v>
      </c>
    </row>
    <row r="1093" spans="1:5" x14ac:dyDescent="0.2">
      <c r="A1093" s="269">
        <v>45909.546331018515</v>
      </c>
      <c r="B1093" t="s">
        <v>1431</v>
      </c>
      <c r="C1093" t="s">
        <v>26</v>
      </c>
      <c r="D1093" t="s">
        <v>1485</v>
      </c>
      <c r="E1093" t="s">
        <v>1483</v>
      </c>
    </row>
    <row r="1094" spans="1:5" x14ac:dyDescent="0.2">
      <c r="A1094" s="269">
        <v>45909.546388888892</v>
      </c>
      <c r="B1094" t="s">
        <v>1431</v>
      </c>
      <c r="C1094" t="s">
        <v>26</v>
      </c>
      <c r="D1094" t="s">
        <v>1486</v>
      </c>
      <c r="E1094" t="s">
        <v>1483</v>
      </c>
    </row>
    <row r="1095" spans="1:5" x14ac:dyDescent="0.2">
      <c r="A1095" s="269">
        <v>45909.546388888892</v>
      </c>
      <c r="B1095" t="s">
        <v>1431</v>
      </c>
      <c r="C1095" t="s">
        <v>26</v>
      </c>
      <c r="D1095" t="s">
        <v>1487</v>
      </c>
      <c r="E1095" t="s">
        <v>1483</v>
      </c>
    </row>
    <row r="1096" spans="1:5" x14ac:dyDescent="0.2">
      <c r="A1096" s="269">
        <v>45909.546412037038</v>
      </c>
      <c r="B1096" t="s">
        <v>1431</v>
      </c>
      <c r="C1096" t="s">
        <v>26</v>
      </c>
      <c r="D1096" t="s">
        <v>1488</v>
      </c>
      <c r="E1096" t="s">
        <v>1483</v>
      </c>
    </row>
    <row r="1097" spans="1:5" x14ac:dyDescent="0.2">
      <c r="A1097" s="269">
        <v>45909.546539351853</v>
      </c>
      <c r="B1097" t="s">
        <v>1431</v>
      </c>
      <c r="C1097" t="s">
        <v>26</v>
      </c>
      <c r="D1097" t="s">
        <v>1133</v>
      </c>
      <c r="E1097" t="s">
        <v>338</v>
      </c>
    </row>
    <row r="1098" spans="1:5" x14ac:dyDescent="0.2">
      <c r="A1098" s="269">
        <v>45909.546574074076</v>
      </c>
      <c r="B1098" t="s">
        <v>1431</v>
      </c>
      <c r="C1098" t="s">
        <v>26</v>
      </c>
      <c r="D1098" t="s">
        <v>1489</v>
      </c>
      <c r="E1098" t="s">
        <v>89</v>
      </c>
    </row>
    <row r="1099" spans="1:5" x14ac:dyDescent="0.2">
      <c r="A1099" s="269">
        <v>45909.5466087963</v>
      </c>
      <c r="B1099" t="s">
        <v>1431</v>
      </c>
      <c r="C1099" t="s">
        <v>26</v>
      </c>
      <c r="D1099" t="s">
        <v>1490</v>
      </c>
      <c r="E1099" t="s">
        <v>362</v>
      </c>
    </row>
    <row r="1100" spans="1:5" x14ac:dyDescent="0.2">
      <c r="A1100" s="269">
        <v>45909.546631944446</v>
      </c>
      <c r="B1100" t="s">
        <v>1431</v>
      </c>
      <c r="C1100" t="s">
        <v>26</v>
      </c>
      <c r="D1100" t="s">
        <v>1491</v>
      </c>
      <c r="E1100" t="s">
        <v>371</v>
      </c>
    </row>
    <row r="1101" spans="1:5" x14ac:dyDescent="0.2">
      <c r="A1101" s="269">
        <v>45909.546666666669</v>
      </c>
      <c r="B1101" t="s">
        <v>1431</v>
      </c>
      <c r="C1101" t="s">
        <v>26</v>
      </c>
      <c r="D1101" t="s">
        <v>1492</v>
      </c>
      <c r="E1101" t="s">
        <v>379</v>
      </c>
    </row>
    <row r="1102" spans="1:5" x14ac:dyDescent="0.2">
      <c r="A1102" s="269">
        <v>45909.546701388892</v>
      </c>
      <c r="B1102" t="s">
        <v>1431</v>
      </c>
      <c r="C1102" t="s">
        <v>26</v>
      </c>
      <c r="D1102" t="s">
        <v>1493</v>
      </c>
      <c r="E1102" t="s">
        <v>386</v>
      </c>
    </row>
    <row r="1103" spans="1:5" x14ac:dyDescent="0.2">
      <c r="A1103" s="269">
        <v>45909.546736111108</v>
      </c>
      <c r="B1103" t="s">
        <v>1431</v>
      </c>
      <c r="C1103" t="s">
        <v>26</v>
      </c>
      <c r="D1103" t="s">
        <v>1494</v>
      </c>
      <c r="E1103" t="s">
        <v>390</v>
      </c>
    </row>
    <row r="1104" spans="1:5" x14ac:dyDescent="0.2">
      <c r="A1104" s="269">
        <v>45909.546770833331</v>
      </c>
      <c r="B1104" t="s">
        <v>1431</v>
      </c>
      <c r="C1104" t="s">
        <v>26</v>
      </c>
      <c r="D1104" t="s">
        <v>1495</v>
      </c>
      <c r="E1104" t="s">
        <v>41</v>
      </c>
    </row>
    <row r="1105" spans="1:5" x14ac:dyDescent="0.2">
      <c r="A1105" s="269">
        <v>45909.546817129631</v>
      </c>
      <c r="B1105" t="s">
        <v>1431</v>
      </c>
      <c r="C1105" t="s">
        <v>26</v>
      </c>
      <c r="D1105" t="s">
        <v>1496</v>
      </c>
      <c r="E1105" t="s">
        <v>397</v>
      </c>
    </row>
    <row r="1106" spans="1:5" x14ac:dyDescent="0.2">
      <c r="A1106" s="269">
        <v>45909.546875</v>
      </c>
      <c r="B1106" t="s">
        <v>1431</v>
      </c>
      <c r="C1106" t="s">
        <v>26</v>
      </c>
      <c r="D1106" t="s">
        <v>1497</v>
      </c>
      <c r="E1106" t="s">
        <v>400</v>
      </c>
    </row>
    <row r="1107" spans="1:5" x14ac:dyDescent="0.2">
      <c r="A1107" s="269">
        <v>45909.546909722223</v>
      </c>
      <c r="B1107" t="s">
        <v>1431</v>
      </c>
      <c r="C1107" t="s">
        <v>26</v>
      </c>
      <c r="D1107" t="s">
        <v>1498</v>
      </c>
      <c r="E1107" t="s">
        <v>404</v>
      </c>
    </row>
    <row r="1108" spans="1:5" x14ac:dyDescent="0.2">
      <c r="A1108" s="269">
        <v>45909.546956018516</v>
      </c>
      <c r="B1108" t="s">
        <v>1431</v>
      </c>
      <c r="C1108" t="s">
        <v>26</v>
      </c>
      <c r="D1108" t="s">
        <v>1499</v>
      </c>
      <c r="E1108" t="s">
        <v>407</v>
      </c>
    </row>
    <row r="1109" spans="1:5" x14ac:dyDescent="0.2">
      <c r="A1109" s="269">
        <v>45909.547060185185</v>
      </c>
      <c r="B1109" t="s">
        <v>1431</v>
      </c>
      <c r="C1109" t="s">
        <v>26</v>
      </c>
      <c r="D1109" t="s">
        <v>1134</v>
      </c>
      <c r="E1109" t="s">
        <v>341</v>
      </c>
    </row>
    <row r="1110" spans="1:5" x14ac:dyDescent="0.2">
      <c r="A1110" s="269">
        <v>45909.547071759262</v>
      </c>
      <c r="B1110" t="s">
        <v>1431</v>
      </c>
      <c r="C1110" t="s">
        <v>26</v>
      </c>
      <c r="D1110" t="s">
        <v>1134</v>
      </c>
      <c r="E1110" t="s">
        <v>341</v>
      </c>
    </row>
    <row r="1111" spans="1:5" x14ac:dyDescent="0.2">
      <c r="A1111" s="269">
        <v>45909.547152777777</v>
      </c>
      <c r="B1111" t="s">
        <v>1431</v>
      </c>
      <c r="C1111" t="s">
        <v>26</v>
      </c>
      <c r="D1111" t="s">
        <v>1500</v>
      </c>
      <c r="E1111" t="s">
        <v>341</v>
      </c>
    </row>
    <row r="1112" spans="1:5" x14ac:dyDescent="0.2">
      <c r="A1112" s="269">
        <v>45909.552974537037</v>
      </c>
      <c r="B1112" t="s">
        <v>1431</v>
      </c>
      <c r="C1112" t="s">
        <v>26</v>
      </c>
      <c r="D1112" t="s">
        <v>937</v>
      </c>
      <c r="E1112" t="s">
        <v>1501</v>
      </c>
    </row>
    <row r="1113" spans="1:5" x14ac:dyDescent="0.2">
      <c r="A1113" s="269">
        <v>45909.553171296298</v>
      </c>
      <c r="B1113" t="s">
        <v>1431</v>
      </c>
      <c r="C1113" t="s">
        <v>26</v>
      </c>
      <c r="D1113" t="s">
        <v>937</v>
      </c>
      <c r="E1113" t="s">
        <v>1502</v>
      </c>
    </row>
    <row r="1114" spans="1:5" x14ac:dyDescent="0.2">
      <c r="A1114" s="269">
        <v>45909.55327546296</v>
      </c>
      <c r="B1114" t="s">
        <v>1431</v>
      </c>
      <c r="C1114" t="s">
        <v>26</v>
      </c>
      <c r="D1114" t="s">
        <v>937</v>
      </c>
      <c r="E1114" t="s">
        <v>1503</v>
      </c>
    </row>
    <row r="1115" spans="1:5" x14ac:dyDescent="0.2">
      <c r="A1115" s="269">
        <v>45909.553414351853</v>
      </c>
      <c r="B1115" t="s">
        <v>1431</v>
      </c>
      <c r="C1115" t="s">
        <v>26</v>
      </c>
      <c r="D1115" t="s">
        <v>926</v>
      </c>
      <c r="E1115" t="s">
        <v>1504</v>
      </c>
    </row>
    <row r="1116" spans="1:5" x14ac:dyDescent="0.2">
      <c r="A1116" s="269">
        <v>45909.553564814814</v>
      </c>
      <c r="B1116" t="s">
        <v>1431</v>
      </c>
      <c r="C1116" t="s">
        <v>26</v>
      </c>
      <c r="D1116" t="s">
        <v>874</v>
      </c>
      <c r="E1116" t="s">
        <v>1505</v>
      </c>
    </row>
    <row r="1117" spans="1:5" x14ac:dyDescent="0.2">
      <c r="A1117" s="269">
        <v>45909.553773148145</v>
      </c>
      <c r="B1117" t="s">
        <v>1431</v>
      </c>
      <c r="C1117" t="s">
        <v>26</v>
      </c>
      <c r="D1117" t="s">
        <v>1507</v>
      </c>
      <c r="E1117" t="s">
        <v>1506</v>
      </c>
    </row>
    <row r="1118" spans="1:5" x14ac:dyDescent="0.2">
      <c r="A1118" s="269">
        <v>45909.553981481484</v>
      </c>
      <c r="B1118" t="s">
        <v>1431</v>
      </c>
      <c r="C1118" t="s">
        <v>26</v>
      </c>
      <c r="D1118" t="s">
        <v>1509</v>
      </c>
      <c r="E1118" t="s">
        <v>1508</v>
      </c>
    </row>
    <row r="1119" spans="1:5" x14ac:dyDescent="0.2">
      <c r="A1119" s="269">
        <v>45909.554282407407</v>
      </c>
      <c r="B1119" t="s">
        <v>1431</v>
      </c>
      <c r="C1119" t="s">
        <v>26</v>
      </c>
      <c r="D1119" t="s">
        <v>1511</v>
      </c>
      <c r="E1119" t="s">
        <v>1510</v>
      </c>
    </row>
    <row r="1120" spans="1:5" x14ac:dyDescent="0.2">
      <c r="A1120" s="269">
        <v>45909.554768518516</v>
      </c>
      <c r="B1120" t="s">
        <v>1431</v>
      </c>
      <c r="C1120" t="s">
        <v>26</v>
      </c>
      <c r="D1120" t="s">
        <v>1513</v>
      </c>
      <c r="E1120" t="s">
        <v>1512</v>
      </c>
    </row>
    <row r="1121" spans="1:5" x14ac:dyDescent="0.2">
      <c r="A1121" s="269">
        <v>45909.554965277777</v>
      </c>
      <c r="B1121" t="s">
        <v>1431</v>
      </c>
      <c r="C1121" t="s">
        <v>26</v>
      </c>
      <c r="D1121" t="s">
        <v>1515</v>
      </c>
      <c r="E1121" t="s">
        <v>1514</v>
      </c>
    </row>
    <row r="1122" spans="1:5" x14ac:dyDescent="0.2">
      <c r="A1122" s="269">
        <v>45909.555277777778</v>
      </c>
      <c r="B1122" t="s">
        <v>1431</v>
      </c>
      <c r="C1122" t="s">
        <v>26</v>
      </c>
      <c r="D1122" t="s">
        <v>1517</v>
      </c>
      <c r="E1122" t="s">
        <v>1516</v>
      </c>
    </row>
    <row r="1123" spans="1:5" x14ac:dyDescent="0.2">
      <c r="A1123" s="269">
        <v>45909.556076388886</v>
      </c>
      <c r="B1123" t="s">
        <v>1431</v>
      </c>
      <c r="C1123" t="s">
        <v>26</v>
      </c>
      <c r="D1123" t="s">
        <v>1519</v>
      </c>
      <c r="E1123" t="s">
        <v>1518</v>
      </c>
    </row>
    <row r="1124" spans="1:5" x14ac:dyDescent="0.2">
      <c r="A1124" s="269">
        <v>45909.556770833333</v>
      </c>
      <c r="B1124" t="s">
        <v>1431</v>
      </c>
      <c r="C1124" t="s">
        <v>26</v>
      </c>
      <c r="D1124" t="s">
        <v>1521</v>
      </c>
      <c r="E1124" t="s">
        <v>1520</v>
      </c>
    </row>
    <row r="1125" spans="1:5" x14ac:dyDescent="0.2">
      <c r="A1125" s="269">
        <v>45909.557037037041</v>
      </c>
      <c r="B1125" t="s">
        <v>1431</v>
      </c>
      <c r="C1125" t="s">
        <v>26</v>
      </c>
      <c r="D1125" t="s">
        <v>1523</v>
      </c>
      <c r="E1125" t="s">
        <v>1522</v>
      </c>
    </row>
    <row r="1126" spans="1:5" x14ac:dyDescent="0.2">
      <c r="A1126" s="269">
        <v>45909.557118055556</v>
      </c>
      <c r="B1126" t="s">
        <v>1431</v>
      </c>
      <c r="C1126" t="s">
        <v>26</v>
      </c>
      <c r="D1126" t="s">
        <v>1519</v>
      </c>
      <c r="E1126" t="s">
        <v>1524</v>
      </c>
    </row>
    <row r="1127" spans="1:5" x14ac:dyDescent="0.2">
      <c r="A1127" s="269">
        <v>45909.55736111111</v>
      </c>
      <c r="B1127" t="s">
        <v>1431</v>
      </c>
      <c r="C1127" t="s">
        <v>26</v>
      </c>
      <c r="D1127" t="s">
        <v>937</v>
      </c>
      <c r="E1127" t="s">
        <v>1525</v>
      </c>
    </row>
    <row r="1128" spans="1:5" x14ac:dyDescent="0.2">
      <c r="A1128" s="269">
        <v>45909.557442129626</v>
      </c>
      <c r="B1128" t="s">
        <v>1431</v>
      </c>
      <c r="C1128" t="s">
        <v>26</v>
      </c>
      <c r="D1128" t="s">
        <v>937</v>
      </c>
      <c r="E1128" t="s">
        <v>1525</v>
      </c>
    </row>
    <row r="1129" spans="1:5" x14ac:dyDescent="0.2">
      <c r="A1129" s="269">
        <v>45909.557488425926</v>
      </c>
      <c r="B1129" t="s">
        <v>1431</v>
      </c>
      <c r="C1129" t="s">
        <v>26</v>
      </c>
      <c r="D1129" t="s">
        <v>926</v>
      </c>
      <c r="E1129" t="s">
        <v>1526</v>
      </c>
    </row>
    <row r="1130" spans="1:5" x14ac:dyDescent="0.2">
      <c r="A1130" s="269">
        <v>45909.557534722226</v>
      </c>
      <c r="B1130" t="s">
        <v>1431</v>
      </c>
      <c r="C1130" t="s">
        <v>26</v>
      </c>
      <c r="D1130" t="s">
        <v>874</v>
      </c>
      <c r="E1130" t="s">
        <v>1527</v>
      </c>
    </row>
    <row r="1131" spans="1:5" x14ac:dyDescent="0.2">
      <c r="A1131" s="269">
        <v>45909.557581018518</v>
      </c>
      <c r="B1131" t="s">
        <v>1431</v>
      </c>
      <c r="C1131" t="s">
        <v>26</v>
      </c>
      <c r="D1131" t="s">
        <v>1507</v>
      </c>
      <c r="E1131" t="s">
        <v>1528</v>
      </c>
    </row>
    <row r="1132" spans="1:5" x14ac:dyDescent="0.2">
      <c r="A1132" s="269">
        <v>45909.557627314818</v>
      </c>
      <c r="B1132" t="s">
        <v>1431</v>
      </c>
      <c r="C1132" t="s">
        <v>26</v>
      </c>
      <c r="D1132" t="s">
        <v>1509</v>
      </c>
      <c r="E1132" t="s">
        <v>1529</v>
      </c>
    </row>
    <row r="1133" spans="1:5" x14ac:dyDescent="0.2">
      <c r="A1133" s="269">
        <v>45909.557673611111</v>
      </c>
      <c r="B1133" t="s">
        <v>1431</v>
      </c>
      <c r="C1133" t="s">
        <v>26</v>
      </c>
      <c r="D1133" t="s">
        <v>1511</v>
      </c>
      <c r="E1133" t="s">
        <v>1530</v>
      </c>
    </row>
    <row r="1134" spans="1:5" x14ac:dyDescent="0.2">
      <c r="A1134" s="269">
        <v>45909.557719907411</v>
      </c>
      <c r="B1134" t="s">
        <v>1431</v>
      </c>
      <c r="C1134" t="s">
        <v>26</v>
      </c>
      <c r="D1134" t="s">
        <v>1513</v>
      </c>
      <c r="E1134" t="s">
        <v>1531</v>
      </c>
    </row>
    <row r="1135" spans="1:5" x14ac:dyDescent="0.2">
      <c r="A1135" s="269">
        <v>45909.557766203703</v>
      </c>
      <c r="B1135" t="s">
        <v>1431</v>
      </c>
      <c r="C1135" t="s">
        <v>26</v>
      </c>
      <c r="D1135" t="s">
        <v>1515</v>
      </c>
      <c r="E1135" t="s">
        <v>1532</v>
      </c>
    </row>
    <row r="1136" spans="1:5" x14ac:dyDescent="0.2">
      <c r="A1136" s="269">
        <v>45909.557835648149</v>
      </c>
      <c r="B1136" t="s">
        <v>1431</v>
      </c>
      <c r="C1136" t="s">
        <v>26</v>
      </c>
      <c r="D1136" t="s">
        <v>1517</v>
      </c>
      <c r="E1136" t="s">
        <v>1533</v>
      </c>
    </row>
    <row r="1137" spans="1:5" x14ac:dyDescent="0.2">
      <c r="A1137" s="269">
        <v>45909.557881944442</v>
      </c>
      <c r="B1137" t="s">
        <v>1431</v>
      </c>
      <c r="C1137" t="s">
        <v>26</v>
      </c>
      <c r="D1137" t="s">
        <v>1519</v>
      </c>
      <c r="E1137" t="s">
        <v>1534</v>
      </c>
    </row>
    <row r="1138" spans="1:5" x14ac:dyDescent="0.2">
      <c r="A1138" s="269">
        <v>45909.557928240742</v>
      </c>
      <c r="B1138" t="s">
        <v>1431</v>
      </c>
      <c r="C1138" t="s">
        <v>26</v>
      </c>
      <c r="D1138" t="s">
        <v>1521</v>
      </c>
      <c r="E1138" t="s">
        <v>1535</v>
      </c>
    </row>
    <row r="1139" spans="1:5" x14ac:dyDescent="0.2">
      <c r="A1139" s="269">
        <v>45909.557974537034</v>
      </c>
      <c r="B1139" t="s">
        <v>1431</v>
      </c>
      <c r="C1139" t="s">
        <v>26</v>
      </c>
      <c r="D1139" t="s">
        <v>1523</v>
      </c>
      <c r="E1139" t="s">
        <v>1536</v>
      </c>
    </row>
    <row r="1140" spans="1:5" x14ac:dyDescent="0.2">
      <c r="A1140" s="269">
        <v>45909.558657407404</v>
      </c>
      <c r="B1140" t="s">
        <v>1431</v>
      </c>
      <c r="C1140" t="s">
        <v>26</v>
      </c>
      <c r="D1140" t="s">
        <v>1025</v>
      </c>
      <c r="E1140">
        <v>72.8</v>
      </c>
    </row>
    <row r="1141" spans="1:5" x14ac:dyDescent="0.2">
      <c r="A1141" s="269">
        <v>45909.55878472222</v>
      </c>
      <c r="B1141" t="s">
        <v>1431</v>
      </c>
      <c r="C1141" t="s">
        <v>26</v>
      </c>
      <c r="D1141" t="s">
        <v>978</v>
      </c>
      <c r="E1141">
        <v>78.400000000000006</v>
      </c>
    </row>
    <row r="1142" spans="1:5" x14ac:dyDescent="0.2">
      <c r="A1142" s="269">
        <v>45909.558888888889</v>
      </c>
      <c r="B1142" t="s">
        <v>1431</v>
      </c>
      <c r="C1142" t="s">
        <v>26</v>
      </c>
      <c r="D1142" t="s">
        <v>1537</v>
      </c>
      <c r="E1142">
        <v>104</v>
      </c>
    </row>
    <row r="1143" spans="1:5" x14ac:dyDescent="0.2">
      <c r="A1143" s="269">
        <v>45909.559016203704</v>
      </c>
      <c r="B1143" t="s">
        <v>1431</v>
      </c>
      <c r="C1143" t="s">
        <v>26</v>
      </c>
      <c r="D1143" t="s">
        <v>1538</v>
      </c>
      <c r="E1143">
        <v>92.8</v>
      </c>
    </row>
    <row r="1144" spans="1:5" x14ac:dyDescent="0.2">
      <c r="A1144" s="269">
        <v>45909.559178240743</v>
      </c>
      <c r="B1144" t="s">
        <v>1431</v>
      </c>
      <c r="C1144" t="s">
        <v>26</v>
      </c>
      <c r="D1144" t="s">
        <v>1539</v>
      </c>
      <c r="E1144">
        <v>99.2</v>
      </c>
    </row>
    <row r="1145" spans="1:5" x14ac:dyDescent="0.2">
      <c r="A1145" s="269">
        <v>45909.559340277781</v>
      </c>
      <c r="B1145" t="s">
        <v>1431</v>
      </c>
      <c r="C1145" t="s">
        <v>26</v>
      </c>
      <c r="D1145" t="s">
        <v>1540</v>
      </c>
      <c r="E1145">
        <v>73.599999999999994</v>
      </c>
    </row>
    <row r="1146" spans="1:5" x14ac:dyDescent="0.2">
      <c r="A1146" s="269">
        <v>45909.559421296297</v>
      </c>
      <c r="B1146" t="s">
        <v>1431</v>
      </c>
      <c r="C1146" t="s">
        <v>26</v>
      </c>
      <c r="D1146" t="s">
        <v>1541</v>
      </c>
      <c r="E1146">
        <v>88</v>
      </c>
    </row>
    <row r="1147" spans="1:5" x14ac:dyDescent="0.2">
      <c r="A1147" s="269">
        <v>45909.559513888889</v>
      </c>
      <c r="B1147" t="s">
        <v>1431</v>
      </c>
      <c r="C1147" t="s">
        <v>26</v>
      </c>
      <c r="D1147" t="s">
        <v>1542</v>
      </c>
      <c r="E1147">
        <v>60</v>
      </c>
    </row>
    <row r="1148" spans="1:5" x14ac:dyDescent="0.2">
      <c r="A1148" s="269">
        <v>45909.559594907405</v>
      </c>
      <c r="B1148" t="s">
        <v>1431</v>
      </c>
      <c r="C1148" t="s">
        <v>26</v>
      </c>
      <c r="D1148" t="s">
        <v>986</v>
      </c>
      <c r="E1148">
        <v>56</v>
      </c>
    </row>
    <row r="1149" spans="1:5" x14ac:dyDescent="0.2">
      <c r="A1149" s="269">
        <v>45909.559710648151</v>
      </c>
      <c r="B1149" t="s">
        <v>1431</v>
      </c>
      <c r="C1149" t="s">
        <v>26</v>
      </c>
      <c r="D1149" t="s">
        <v>1543</v>
      </c>
      <c r="E1149">
        <v>56.8</v>
      </c>
    </row>
    <row r="1150" spans="1:5" x14ac:dyDescent="0.2">
      <c r="A1150" s="269">
        <v>45909.559965277775</v>
      </c>
      <c r="B1150" t="s">
        <v>1431</v>
      </c>
      <c r="C1150" t="s">
        <v>26</v>
      </c>
      <c r="D1150" t="s">
        <v>1544</v>
      </c>
      <c r="E1150">
        <v>61.6</v>
      </c>
    </row>
    <row r="1151" spans="1:5" x14ac:dyDescent="0.2">
      <c r="A1151" s="269">
        <v>45909.56009259259</v>
      </c>
      <c r="B1151" t="s">
        <v>1431</v>
      </c>
      <c r="C1151" t="s">
        <v>26</v>
      </c>
      <c r="D1151" t="s">
        <v>1545</v>
      </c>
      <c r="E1151">
        <v>58.4</v>
      </c>
    </row>
    <row r="1152" spans="1:5" x14ac:dyDescent="0.2">
      <c r="A1152" s="269">
        <v>45909.566307870373</v>
      </c>
      <c r="B1152" t="s">
        <v>1431</v>
      </c>
      <c r="C1152" t="s">
        <v>28</v>
      </c>
      <c r="D1152" t="s">
        <v>1434</v>
      </c>
      <c r="E1152" t="s">
        <v>338</v>
      </c>
    </row>
    <row r="1153" spans="1:5" x14ac:dyDescent="0.2">
      <c r="A1153" s="269">
        <v>45909.566388888888</v>
      </c>
      <c r="B1153" t="s">
        <v>1431</v>
      </c>
      <c r="C1153" t="s">
        <v>28</v>
      </c>
      <c r="D1153" t="s">
        <v>1434</v>
      </c>
    </row>
    <row r="1154" spans="1:5" x14ac:dyDescent="0.2">
      <c r="A1154" s="269">
        <v>45909.567349537036</v>
      </c>
      <c r="B1154" t="s">
        <v>1431</v>
      </c>
      <c r="C1154" t="s">
        <v>28</v>
      </c>
      <c r="D1154" t="s">
        <v>1434</v>
      </c>
      <c r="E1154" t="s">
        <v>338</v>
      </c>
    </row>
    <row r="1155" spans="1:5" x14ac:dyDescent="0.2">
      <c r="A1155" s="269">
        <v>45909.567511574074</v>
      </c>
      <c r="B1155" t="s">
        <v>1431</v>
      </c>
      <c r="C1155" t="s">
        <v>28</v>
      </c>
      <c r="D1155" t="s">
        <v>983</v>
      </c>
      <c r="E1155" t="s">
        <v>139</v>
      </c>
    </row>
    <row r="1156" spans="1:5" x14ac:dyDescent="0.2">
      <c r="A1156" s="269">
        <v>45909.567685185182</v>
      </c>
      <c r="B1156" t="s">
        <v>1431</v>
      </c>
      <c r="C1156" t="s">
        <v>28</v>
      </c>
      <c r="D1156" t="s">
        <v>937</v>
      </c>
      <c r="E1156" t="s">
        <v>313</v>
      </c>
    </row>
    <row r="1157" spans="1:5" x14ac:dyDescent="0.2">
      <c r="A1157" s="269">
        <v>45909.568599537037</v>
      </c>
      <c r="B1157" t="s">
        <v>1431</v>
      </c>
      <c r="C1157" t="s">
        <v>28</v>
      </c>
      <c r="D1157" t="s">
        <v>1436</v>
      </c>
      <c r="E1157">
        <v>52</v>
      </c>
    </row>
    <row r="1158" spans="1:5" x14ac:dyDescent="0.2">
      <c r="A1158" s="269">
        <v>45909.568680555552</v>
      </c>
      <c r="B1158" t="s">
        <v>1431</v>
      </c>
      <c r="C1158" t="s">
        <v>28</v>
      </c>
      <c r="D1158" t="s">
        <v>1191</v>
      </c>
      <c r="E1158" t="s">
        <v>338</v>
      </c>
    </row>
    <row r="1159" spans="1:5" x14ac:dyDescent="0.2">
      <c r="A1159" s="269">
        <v>45909.568726851852</v>
      </c>
      <c r="B1159" t="s">
        <v>1431</v>
      </c>
      <c r="C1159" t="s">
        <v>28</v>
      </c>
      <c r="D1159" t="s">
        <v>1066</v>
      </c>
      <c r="E1159" t="s">
        <v>318</v>
      </c>
    </row>
    <row r="1160" spans="1:5" x14ac:dyDescent="0.2">
      <c r="A1160" s="269">
        <v>45909.568761574075</v>
      </c>
      <c r="B1160" t="s">
        <v>1431</v>
      </c>
      <c r="C1160" t="s">
        <v>28</v>
      </c>
      <c r="D1160" t="s">
        <v>973</v>
      </c>
      <c r="E1160">
        <v>52</v>
      </c>
    </row>
    <row r="1161" spans="1:5" x14ac:dyDescent="0.2">
      <c r="A1161" s="269">
        <v>45909.568877314814</v>
      </c>
      <c r="B1161" t="s">
        <v>1431</v>
      </c>
      <c r="C1161" t="s">
        <v>28</v>
      </c>
      <c r="D1161" t="s">
        <v>926</v>
      </c>
      <c r="E1161" t="s">
        <v>376</v>
      </c>
    </row>
    <row r="1162" spans="1:5" x14ac:dyDescent="0.2">
      <c r="A1162" s="269">
        <v>45909.569212962961</v>
      </c>
      <c r="B1162" t="s">
        <v>1431</v>
      </c>
      <c r="C1162" t="s">
        <v>28</v>
      </c>
      <c r="D1162" t="s">
        <v>795</v>
      </c>
      <c r="E1162" t="s">
        <v>338</v>
      </c>
    </row>
    <row r="1163" spans="1:5" x14ac:dyDescent="0.2">
      <c r="A1163" s="269">
        <v>45909.569456018522</v>
      </c>
      <c r="B1163" t="s">
        <v>1431</v>
      </c>
      <c r="C1163" t="s">
        <v>28</v>
      </c>
      <c r="D1163" t="s">
        <v>994</v>
      </c>
      <c r="E1163" t="s">
        <v>317</v>
      </c>
    </row>
    <row r="1164" spans="1:5" x14ac:dyDescent="0.2">
      <c r="A1164" s="269">
        <v>45909.569594907407</v>
      </c>
      <c r="B1164" t="s">
        <v>1431</v>
      </c>
      <c r="C1164" t="s">
        <v>28</v>
      </c>
      <c r="D1164" t="s">
        <v>874</v>
      </c>
      <c r="E1164" t="s">
        <v>345</v>
      </c>
    </row>
    <row r="1165" spans="1:5" x14ac:dyDescent="0.2">
      <c r="A1165" s="269">
        <v>45909.569768518515</v>
      </c>
      <c r="B1165" t="s">
        <v>1431</v>
      </c>
      <c r="C1165" t="s">
        <v>28</v>
      </c>
      <c r="D1165" t="s">
        <v>1013</v>
      </c>
      <c r="E1165" t="s">
        <v>338</v>
      </c>
    </row>
    <row r="1166" spans="1:5" x14ac:dyDescent="0.2">
      <c r="A1166" s="269">
        <v>45909.569872685184</v>
      </c>
      <c r="B1166" t="s">
        <v>1431</v>
      </c>
      <c r="C1166" t="s">
        <v>28</v>
      </c>
      <c r="D1166" t="s">
        <v>1015</v>
      </c>
      <c r="E1166" t="s">
        <v>383</v>
      </c>
    </row>
    <row r="1167" spans="1:5" x14ac:dyDescent="0.2">
      <c r="A1167" s="269">
        <v>45909.569907407407</v>
      </c>
      <c r="B1167" t="s">
        <v>1431</v>
      </c>
      <c r="C1167" t="s">
        <v>28</v>
      </c>
      <c r="D1167" t="s">
        <v>1507</v>
      </c>
      <c r="E1167" t="s">
        <v>313</v>
      </c>
    </row>
    <row r="1168" spans="1:5" x14ac:dyDescent="0.2">
      <c r="A1168" s="269">
        <v>45909.570023148146</v>
      </c>
      <c r="B1168" t="s">
        <v>1431</v>
      </c>
      <c r="C1168" t="s">
        <v>28</v>
      </c>
      <c r="D1168" t="s">
        <v>977</v>
      </c>
      <c r="E1168">
        <v>416</v>
      </c>
    </row>
    <row r="1169" spans="1:5" x14ac:dyDescent="0.2">
      <c r="A1169" s="269">
        <v>45909.570763888885</v>
      </c>
      <c r="B1169" t="s">
        <v>1431</v>
      </c>
      <c r="C1169" t="s">
        <v>28</v>
      </c>
      <c r="D1169" t="s">
        <v>976</v>
      </c>
      <c r="E1169">
        <v>59.6</v>
      </c>
    </row>
    <row r="1170" spans="1:5" x14ac:dyDescent="0.2">
      <c r="A1170" s="269">
        <v>45909.570960648147</v>
      </c>
      <c r="B1170" t="s">
        <v>1431</v>
      </c>
      <c r="C1170" t="s">
        <v>28</v>
      </c>
      <c r="D1170" t="s">
        <v>658</v>
      </c>
      <c r="E1170" t="s">
        <v>1546</v>
      </c>
    </row>
    <row r="1171" spans="1:5" x14ac:dyDescent="0.2">
      <c r="A1171" s="269">
        <v>45909.57104166667</v>
      </c>
      <c r="B1171" t="s">
        <v>1431</v>
      </c>
      <c r="C1171" t="s">
        <v>28</v>
      </c>
      <c r="D1171" t="s">
        <v>1457</v>
      </c>
      <c r="E1171" t="s">
        <v>1546</v>
      </c>
    </row>
    <row r="1172" spans="1:5" x14ac:dyDescent="0.2">
      <c r="A1172" s="269">
        <v>45909.571064814816</v>
      </c>
      <c r="B1172" t="s">
        <v>1431</v>
      </c>
      <c r="C1172" t="s">
        <v>28</v>
      </c>
      <c r="D1172" t="s">
        <v>1469</v>
      </c>
      <c r="E1172" t="s">
        <v>1546</v>
      </c>
    </row>
    <row r="1173" spans="1:5" x14ac:dyDescent="0.2">
      <c r="A1173" s="269">
        <v>45909.571192129632</v>
      </c>
      <c r="B1173" t="s">
        <v>1431</v>
      </c>
      <c r="C1173" t="s">
        <v>28</v>
      </c>
      <c r="D1173" t="s">
        <v>996</v>
      </c>
      <c r="E1173" t="s">
        <v>1547</v>
      </c>
    </row>
    <row r="1174" spans="1:5" x14ac:dyDescent="0.2">
      <c r="A1174" s="269">
        <v>45909.571400462963</v>
      </c>
      <c r="B1174" t="s">
        <v>1431</v>
      </c>
      <c r="C1174" t="s">
        <v>28</v>
      </c>
      <c r="D1174" t="s">
        <v>747</v>
      </c>
      <c r="E1174" t="s">
        <v>89</v>
      </c>
    </row>
    <row r="1175" spans="1:5" x14ac:dyDescent="0.2">
      <c r="A1175" s="269">
        <v>45909.571423611109</v>
      </c>
      <c r="B1175" t="s">
        <v>1431</v>
      </c>
      <c r="C1175" t="s">
        <v>28</v>
      </c>
      <c r="D1175" t="s">
        <v>1437</v>
      </c>
      <c r="E1175" t="s">
        <v>89</v>
      </c>
    </row>
    <row r="1176" spans="1:5" x14ac:dyDescent="0.2">
      <c r="A1176" s="269">
        <v>45909.571446759262</v>
      </c>
      <c r="B1176" t="s">
        <v>1431</v>
      </c>
      <c r="C1176" t="s">
        <v>28</v>
      </c>
      <c r="D1176" t="s">
        <v>1439</v>
      </c>
      <c r="E1176" t="s">
        <v>89</v>
      </c>
    </row>
    <row r="1177" spans="1:5" x14ac:dyDescent="0.2">
      <c r="A1177" s="269">
        <v>45909.571469907409</v>
      </c>
      <c r="B1177" t="s">
        <v>1431</v>
      </c>
      <c r="C1177" t="s">
        <v>28</v>
      </c>
      <c r="D1177" t="s">
        <v>1441</v>
      </c>
      <c r="E1177" t="s">
        <v>89</v>
      </c>
    </row>
    <row r="1178" spans="1:5" x14ac:dyDescent="0.2">
      <c r="A1178" s="269">
        <v>45909.571527777778</v>
      </c>
      <c r="B1178" t="s">
        <v>1431</v>
      </c>
      <c r="C1178" t="s">
        <v>28</v>
      </c>
      <c r="D1178" t="s">
        <v>1018</v>
      </c>
      <c r="E1178" t="s">
        <v>139</v>
      </c>
    </row>
    <row r="1179" spans="1:5" x14ac:dyDescent="0.2">
      <c r="A1179" s="269">
        <v>45909.571562500001</v>
      </c>
      <c r="B1179" t="s">
        <v>1431</v>
      </c>
      <c r="C1179" t="s">
        <v>28</v>
      </c>
      <c r="D1179" t="s">
        <v>1068</v>
      </c>
      <c r="E1179" t="s">
        <v>318</v>
      </c>
    </row>
    <row r="1180" spans="1:5" x14ac:dyDescent="0.2">
      <c r="A1180" s="269">
        <v>45909.571597222224</v>
      </c>
      <c r="B1180" t="s">
        <v>1431</v>
      </c>
      <c r="C1180" t="s">
        <v>28</v>
      </c>
      <c r="D1180" t="s">
        <v>1069</v>
      </c>
      <c r="E1180" t="s">
        <v>317</v>
      </c>
    </row>
    <row r="1181" spans="1:5" x14ac:dyDescent="0.2">
      <c r="A1181" s="269">
        <v>45909.571620370371</v>
      </c>
      <c r="B1181" t="s">
        <v>1431</v>
      </c>
      <c r="C1181" t="s">
        <v>28</v>
      </c>
      <c r="D1181" t="s">
        <v>1459</v>
      </c>
      <c r="E1181" t="s">
        <v>383</v>
      </c>
    </row>
    <row r="1182" spans="1:5" x14ac:dyDescent="0.2">
      <c r="A1182" s="269">
        <v>45909.571782407409</v>
      </c>
      <c r="B1182" t="s">
        <v>1431</v>
      </c>
      <c r="C1182" t="s">
        <v>28</v>
      </c>
      <c r="D1182" t="s">
        <v>1548</v>
      </c>
      <c r="E1182" t="s">
        <v>313</v>
      </c>
    </row>
    <row r="1183" spans="1:5" x14ac:dyDescent="0.2">
      <c r="A1183" s="269">
        <v>45909.571863425925</v>
      </c>
      <c r="B1183" t="s">
        <v>1431</v>
      </c>
      <c r="C1183" t="s">
        <v>28</v>
      </c>
      <c r="D1183" t="s">
        <v>1549</v>
      </c>
      <c r="E1183" t="s">
        <v>1546</v>
      </c>
    </row>
    <row r="1184" spans="1:5" x14ac:dyDescent="0.2">
      <c r="A1184" s="269">
        <v>45909.576493055552</v>
      </c>
      <c r="B1184" t="s">
        <v>1431</v>
      </c>
      <c r="C1184" t="s">
        <v>28</v>
      </c>
      <c r="D1184" t="s">
        <v>924</v>
      </c>
      <c r="E1184">
        <v>0</v>
      </c>
    </row>
    <row r="1185" spans="1:5" x14ac:dyDescent="0.2">
      <c r="A1185" s="269">
        <v>45909.576585648145</v>
      </c>
      <c r="B1185" t="s">
        <v>1431</v>
      </c>
      <c r="C1185" t="s">
        <v>28</v>
      </c>
      <c r="D1185" t="s">
        <v>923</v>
      </c>
      <c r="E1185">
        <v>52</v>
      </c>
    </row>
    <row r="1186" spans="1:5" x14ac:dyDescent="0.2">
      <c r="A1186" s="269">
        <v>45909.576631944445</v>
      </c>
      <c r="B1186" t="s">
        <v>1431</v>
      </c>
      <c r="C1186" t="s">
        <v>28</v>
      </c>
      <c r="D1186" t="s">
        <v>918</v>
      </c>
      <c r="E1186">
        <v>52</v>
      </c>
    </row>
    <row r="1187" spans="1:5" x14ac:dyDescent="0.2">
      <c r="A1187" s="269">
        <v>45909.577118055553</v>
      </c>
      <c r="B1187" t="s">
        <v>1431</v>
      </c>
      <c r="C1187" t="s">
        <v>28</v>
      </c>
      <c r="D1187" t="s">
        <v>1443</v>
      </c>
      <c r="E1187">
        <v>2216</v>
      </c>
    </row>
    <row r="1188" spans="1:5" x14ac:dyDescent="0.2">
      <c r="A1188" s="269">
        <v>45909.577430555553</v>
      </c>
      <c r="B1188" t="s">
        <v>1431</v>
      </c>
      <c r="C1188" t="s">
        <v>28</v>
      </c>
      <c r="D1188" t="s">
        <v>672</v>
      </c>
    </row>
    <row r="1189" spans="1:5" x14ac:dyDescent="0.2">
      <c r="A1189" s="269">
        <v>45909.577465277776</v>
      </c>
      <c r="B1189" t="s">
        <v>1431</v>
      </c>
      <c r="C1189" t="s">
        <v>28</v>
      </c>
      <c r="D1189" t="s">
        <v>672</v>
      </c>
      <c r="E1189" t="s">
        <v>362</v>
      </c>
    </row>
    <row r="1190" spans="1:5" x14ac:dyDescent="0.2">
      <c r="A1190" s="269">
        <v>45909.577511574076</v>
      </c>
      <c r="B1190" t="s">
        <v>1431</v>
      </c>
      <c r="C1190" t="s">
        <v>28</v>
      </c>
      <c r="D1190" t="s">
        <v>674</v>
      </c>
      <c r="E1190" t="s">
        <v>362</v>
      </c>
    </row>
    <row r="1191" spans="1:5" x14ac:dyDescent="0.2">
      <c r="A1191" s="269">
        <v>45909.577534722222</v>
      </c>
      <c r="B1191" t="s">
        <v>1431</v>
      </c>
      <c r="C1191" t="s">
        <v>28</v>
      </c>
      <c r="D1191" t="s">
        <v>675</v>
      </c>
      <c r="E1191" t="s">
        <v>362</v>
      </c>
    </row>
    <row r="1192" spans="1:5" x14ac:dyDescent="0.2">
      <c r="A1192" s="269">
        <v>45909.577557870369</v>
      </c>
      <c r="B1192" t="s">
        <v>1431</v>
      </c>
      <c r="C1192" t="s">
        <v>28</v>
      </c>
      <c r="D1192" t="s">
        <v>676</v>
      </c>
      <c r="E1192" t="s">
        <v>362</v>
      </c>
    </row>
    <row r="1193" spans="1:5" x14ac:dyDescent="0.2">
      <c r="A1193" s="269">
        <v>45909.577592592592</v>
      </c>
      <c r="B1193" t="s">
        <v>1431</v>
      </c>
      <c r="C1193" t="s">
        <v>28</v>
      </c>
      <c r="D1193" t="s">
        <v>677</v>
      </c>
      <c r="E1193" t="s">
        <v>371</v>
      </c>
    </row>
    <row r="1194" spans="1:5" x14ac:dyDescent="0.2">
      <c r="A1194" s="269">
        <v>45909.577627314815</v>
      </c>
      <c r="B1194" t="s">
        <v>1431</v>
      </c>
      <c r="C1194" t="s">
        <v>28</v>
      </c>
      <c r="D1194" t="s">
        <v>678</v>
      </c>
      <c r="E1194" t="s">
        <v>371</v>
      </c>
    </row>
    <row r="1195" spans="1:5" x14ac:dyDescent="0.2">
      <c r="A1195" s="269">
        <v>45909.577650462961</v>
      </c>
      <c r="B1195" t="s">
        <v>1431</v>
      </c>
      <c r="C1195" t="s">
        <v>28</v>
      </c>
      <c r="D1195" t="s">
        <v>1550</v>
      </c>
      <c r="E1195" t="s">
        <v>371</v>
      </c>
    </row>
    <row r="1196" spans="1:5" x14ac:dyDescent="0.2">
      <c r="A1196" s="269">
        <v>45909.577685185184</v>
      </c>
      <c r="B1196" t="s">
        <v>1431</v>
      </c>
      <c r="C1196" t="s">
        <v>28</v>
      </c>
      <c r="D1196" t="s">
        <v>1551</v>
      </c>
      <c r="E1196" t="s">
        <v>371</v>
      </c>
    </row>
    <row r="1197" spans="1:5" x14ac:dyDescent="0.2">
      <c r="A1197" s="269">
        <v>45909.577743055554</v>
      </c>
      <c r="B1197" t="s">
        <v>1431</v>
      </c>
      <c r="C1197" t="s">
        <v>28</v>
      </c>
      <c r="D1197" t="s">
        <v>1552</v>
      </c>
      <c r="E1197" t="s">
        <v>379</v>
      </c>
    </row>
    <row r="1198" spans="1:5" x14ac:dyDescent="0.2">
      <c r="A1198" s="269">
        <v>45909.577777777777</v>
      </c>
      <c r="B1198" t="s">
        <v>1431</v>
      </c>
      <c r="C1198" t="s">
        <v>28</v>
      </c>
      <c r="D1198" t="s">
        <v>1553</v>
      </c>
      <c r="E1198" t="s">
        <v>379</v>
      </c>
    </row>
    <row r="1199" spans="1:5" x14ac:dyDescent="0.2">
      <c r="A1199" s="269">
        <v>45909.5778125</v>
      </c>
      <c r="B1199" t="s">
        <v>1431</v>
      </c>
      <c r="C1199" t="s">
        <v>28</v>
      </c>
      <c r="D1199" t="s">
        <v>1554</v>
      </c>
      <c r="E1199" t="s">
        <v>379</v>
      </c>
    </row>
    <row r="1200" spans="1:5" x14ac:dyDescent="0.2">
      <c r="A1200" s="269">
        <v>45909.577835648146</v>
      </c>
      <c r="B1200" t="s">
        <v>1431</v>
      </c>
      <c r="C1200" t="s">
        <v>28</v>
      </c>
      <c r="D1200" t="s">
        <v>1555</v>
      </c>
      <c r="E1200" t="s">
        <v>379</v>
      </c>
    </row>
    <row r="1201" spans="1:5" x14ac:dyDescent="0.2">
      <c r="A1201" s="269">
        <v>45909.577881944446</v>
      </c>
      <c r="B1201" t="s">
        <v>1431</v>
      </c>
      <c r="C1201" t="s">
        <v>28</v>
      </c>
      <c r="D1201" t="s">
        <v>1556</v>
      </c>
      <c r="E1201" t="s">
        <v>386</v>
      </c>
    </row>
    <row r="1202" spans="1:5" x14ac:dyDescent="0.2">
      <c r="A1202" s="269">
        <v>45909.577916666669</v>
      </c>
      <c r="B1202" t="s">
        <v>1431</v>
      </c>
      <c r="C1202" t="s">
        <v>28</v>
      </c>
      <c r="D1202" t="s">
        <v>1557</v>
      </c>
      <c r="E1202" t="s">
        <v>386</v>
      </c>
    </row>
    <row r="1203" spans="1:5" x14ac:dyDescent="0.2">
      <c r="A1203" s="269">
        <v>45909.577939814815</v>
      </c>
      <c r="B1203" t="s">
        <v>1431</v>
      </c>
      <c r="C1203" t="s">
        <v>28</v>
      </c>
      <c r="D1203" t="s">
        <v>1558</v>
      </c>
      <c r="E1203" t="s">
        <v>386</v>
      </c>
    </row>
    <row r="1204" spans="1:5" x14ac:dyDescent="0.2">
      <c r="A1204" s="269">
        <v>45909.577962962961</v>
      </c>
      <c r="B1204" t="s">
        <v>1431</v>
      </c>
      <c r="C1204" t="s">
        <v>28</v>
      </c>
      <c r="D1204" t="s">
        <v>1559</v>
      </c>
      <c r="E1204" t="s">
        <v>386</v>
      </c>
    </row>
    <row r="1205" spans="1:5" x14ac:dyDescent="0.2">
      <c r="A1205" s="269">
        <v>45909.577997685185</v>
      </c>
      <c r="B1205" t="s">
        <v>1431</v>
      </c>
      <c r="C1205" t="s">
        <v>28</v>
      </c>
      <c r="D1205" t="s">
        <v>1560</v>
      </c>
      <c r="E1205" t="s">
        <v>390</v>
      </c>
    </row>
    <row r="1206" spans="1:5" x14ac:dyDescent="0.2">
      <c r="A1206" s="269">
        <v>45909.578090277777</v>
      </c>
      <c r="B1206" t="s">
        <v>1431</v>
      </c>
      <c r="C1206" t="s">
        <v>28</v>
      </c>
      <c r="D1206" t="s">
        <v>1561</v>
      </c>
      <c r="E1206" t="s">
        <v>390</v>
      </c>
    </row>
    <row r="1207" spans="1:5" x14ac:dyDescent="0.2">
      <c r="A1207" s="269">
        <v>45909.578136574077</v>
      </c>
      <c r="B1207" t="s">
        <v>1431</v>
      </c>
      <c r="C1207" t="s">
        <v>28</v>
      </c>
      <c r="D1207" t="s">
        <v>1562</v>
      </c>
      <c r="E1207" t="s">
        <v>41</v>
      </c>
    </row>
    <row r="1208" spans="1:5" x14ac:dyDescent="0.2">
      <c r="A1208" s="269">
        <v>45909.578182870369</v>
      </c>
      <c r="B1208" t="s">
        <v>1431</v>
      </c>
      <c r="C1208" t="s">
        <v>28</v>
      </c>
      <c r="D1208" t="s">
        <v>1562</v>
      </c>
      <c r="E1208" t="s">
        <v>379</v>
      </c>
    </row>
    <row r="1209" spans="1:5" x14ac:dyDescent="0.2">
      <c r="A1209" s="269">
        <v>45909.578240740739</v>
      </c>
      <c r="B1209" t="s">
        <v>1431</v>
      </c>
      <c r="C1209" t="s">
        <v>28</v>
      </c>
      <c r="D1209" t="s">
        <v>1562</v>
      </c>
      <c r="E1209" t="s">
        <v>379</v>
      </c>
    </row>
    <row r="1210" spans="1:5" x14ac:dyDescent="0.2">
      <c r="A1210" s="269">
        <v>45909.578275462962</v>
      </c>
      <c r="B1210" t="s">
        <v>1431</v>
      </c>
      <c r="C1210" t="s">
        <v>28</v>
      </c>
      <c r="D1210" t="s">
        <v>1562</v>
      </c>
      <c r="E1210" t="s">
        <v>41</v>
      </c>
    </row>
    <row r="1211" spans="1:5" x14ac:dyDescent="0.2">
      <c r="A1211" s="269">
        <v>45909.578356481485</v>
      </c>
      <c r="B1211" t="s">
        <v>1431</v>
      </c>
      <c r="C1211" t="s">
        <v>28</v>
      </c>
      <c r="D1211" t="s">
        <v>1563</v>
      </c>
      <c r="E1211" t="s">
        <v>41</v>
      </c>
    </row>
    <row r="1212" spans="1:5" x14ac:dyDescent="0.2">
      <c r="A1212" s="269">
        <v>45909.578460648147</v>
      </c>
      <c r="B1212" t="s">
        <v>1431</v>
      </c>
      <c r="C1212" t="s">
        <v>28</v>
      </c>
      <c r="D1212" t="s">
        <v>1564</v>
      </c>
      <c r="E1212" t="s">
        <v>397</v>
      </c>
    </row>
    <row r="1213" spans="1:5" x14ac:dyDescent="0.2">
      <c r="A1213" s="269">
        <v>45909.578541666669</v>
      </c>
      <c r="B1213" t="s">
        <v>1431</v>
      </c>
      <c r="C1213" t="s">
        <v>28</v>
      </c>
      <c r="D1213" t="s">
        <v>1565</v>
      </c>
      <c r="E1213" t="s">
        <v>397</v>
      </c>
    </row>
    <row r="1214" spans="1:5" x14ac:dyDescent="0.2">
      <c r="A1214" s="269">
        <v>45909.578611111108</v>
      </c>
      <c r="B1214" t="s">
        <v>1431</v>
      </c>
      <c r="C1214" t="s">
        <v>28</v>
      </c>
      <c r="D1214" t="s">
        <v>1566</v>
      </c>
      <c r="E1214" t="s">
        <v>400</v>
      </c>
    </row>
    <row r="1215" spans="1:5" x14ac:dyDescent="0.2">
      <c r="A1215" s="269">
        <v>45909.578692129631</v>
      </c>
      <c r="B1215" t="s">
        <v>1431</v>
      </c>
      <c r="C1215" t="s">
        <v>28</v>
      </c>
      <c r="D1215" t="s">
        <v>1567</v>
      </c>
      <c r="E1215" t="s">
        <v>400</v>
      </c>
    </row>
    <row r="1216" spans="1:5" x14ac:dyDescent="0.2">
      <c r="A1216" s="269">
        <v>45909.578784722224</v>
      </c>
      <c r="B1216" t="s">
        <v>1431</v>
      </c>
      <c r="C1216" t="s">
        <v>28</v>
      </c>
      <c r="D1216" t="s">
        <v>1568</v>
      </c>
      <c r="E1216" t="s">
        <v>404</v>
      </c>
    </row>
    <row r="1217" spans="1:5" x14ac:dyDescent="0.2">
      <c r="A1217" s="269">
        <v>45909.578877314816</v>
      </c>
      <c r="B1217" t="s">
        <v>1431</v>
      </c>
      <c r="C1217" t="s">
        <v>28</v>
      </c>
      <c r="D1217" t="s">
        <v>1569</v>
      </c>
      <c r="E1217" t="s">
        <v>404</v>
      </c>
    </row>
    <row r="1218" spans="1:5" x14ac:dyDescent="0.2">
      <c r="A1218" s="269">
        <v>45909.578969907408</v>
      </c>
      <c r="B1218" t="s">
        <v>1431</v>
      </c>
      <c r="C1218" t="s">
        <v>28</v>
      </c>
      <c r="D1218" t="s">
        <v>1570</v>
      </c>
      <c r="E1218" t="s">
        <v>407</v>
      </c>
    </row>
    <row r="1219" spans="1:5" x14ac:dyDescent="0.2">
      <c r="A1219" s="269">
        <v>45909.579062500001</v>
      </c>
      <c r="B1219" t="s">
        <v>1431</v>
      </c>
      <c r="C1219" t="s">
        <v>28</v>
      </c>
      <c r="D1219" t="s">
        <v>1571</v>
      </c>
      <c r="E1219" t="s">
        <v>407</v>
      </c>
    </row>
    <row r="1220" spans="1:5" x14ac:dyDescent="0.2">
      <c r="A1220" s="269">
        <v>45909.579282407409</v>
      </c>
      <c r="B1220" t="s">
        <v>1431</v>
      </c>
      <c r="C1220" t="s">
        <v>28</v>
      </c>
      <c r="D1220" t="s">
        <v>1572</v>
      </c>
      <c r="E1220" t="s">
        <v>139</v>
      </c>
    </row>
    <row r="1221" spans="1:5" x14ac:dyDescent="0.2">
      <c r="A1221" s="269">
        <v>45909.579629629632</v>
      </c>
      <c r="B1221" t="s">
        <v>1431</v>
      </c>
      <c r="C1221" t="s">
        <v>28</v>
      </c>
      <c r="D1221" t="s">
        <v>1573</v>
      </c>
      <c r="E1221" t="s">
        <v>1546</v>
      </c>
    </row>
    <row r="1222" spans="1:5" x14ac:dyDescent="0.2">
      <c r="A1222" s="269">
        <v>45909.579872685186</v>
      </c>
      <c r="B1222" t="s">
        <v>1431</v>
      </c>
      <c r="C1222" t="s">
        <v>28</v>
      </c>
      <c r="D1222" t="s">
        <v>1574</v>
      </c>
      <c r="E1222" t="s">
        <v>313</v>
      </c>
    </row>
    <row r="1223" spans="1:5" x14ac:dyDescent="0.2">
      <c r="A1223" s="269">
        <v>45909.580150462964</v>
      </c>
      <c r="B1223" t="s">
        <v>1431</v>
      </c>
      <c r="C1223" t="s">
        <v>28</v>
      </c>
      <c r="D1223" t="s">
        <v>981</v>
      </c>
      <c r="E1223">
        <v>52</v>
      </c>
    </row>
    <row r="1224" spans="1:5" x14ac:dyDescent="0.2">
      <c r="A1224" s="269">
        <v>45909.58016203704</v>
      </c>
      <c r="B1224" t="s">
        <v>1431</v>
      </c>
      <c r="C1224" t="s">
        <v>28</v>
      </c>
      <c r="D1224" t="s">
        <v>1446</v>
      </c>
      <c r="E1224">
        <v>52</v>
      </c>
    </row>
    <row r="1225" spans="1:5" x14ac:dyDescent="0.2">
      <c r="A1225" s="269">
        <v>45909.580254629633</v>
      </c>
      <c r="B1225" t="s">
        <v>1431</v>
      </c>
      <c r="C1225" t="s">
        <v>28</v>
      </c>
      <c r="D1225" t="s">
        <v>1575</v>
      </c>
      <c r="E1225">
        <v>52</v>
      </c>
    </row>
    <row r="1226" spans="1:5" x14ac:dyDescent="0.2">
      <c r="A1226" s="269">
        <v>45909.580277777779</v>
      </c>
      <c r="B1226" t="s">
        <v>1431</v>
      </c>
      <c r="C1226" t="s">
        <v>28</v>
      </c>
      <c r="D1226" t="s">
        <v>1576</v>
      </c>
      <c r="E1226">
        <v>52</v>
      </c>
    </row>
    <row r="1227" spans="1:5" x14ac:dyDescent="0.2">
      <c r="A1227" s="269">
        <v>45909.580358796295</v>
      </c>
      <c r="B1227" t="s">
        <v>1431</v>
      </c>
      <c r="C1227" t="s">
        <v>28</v>
      </c>
      <c r="D1227" t="s">
        <v>1577</v>
      </c>
      <c r="E1227">
        <v>52</v>
      </c>
    </row>
    <row r="1228" spans="1:5" x14ac:dyDescent="0.2">
      <c r="A1228" s="269">
        <v>45909.580381944441</v>
      </c>
      <c r="B1228" t="s">
        <v>1431</v>
      </c>
      <c r="C1228" t="s">
        <v>28</v>
      </c>
      <c r="D1228" t="s">
        <v>1578</v>
      </c>
      <c r="E1228">
        <v>52</v>
      </c>
    </row>
    <row r="1229" spans="1:5" x14ac:dyDescent="0.2">
      <c r="A1229" s="269">
        <v>45909.580439814818</v>
      </c>
      <c r="B1229" t="s">
        <v>1431</v>
      </c>
      <c r="C1229" t="s">
        <v>28</v>
      </c>
      <c r="D1229" t="s">
        <v>1579</v>
      </c>
      <c r="E1229">
        <v>52</v>
      </c>
    </row>
    <row r="1230" spans="1:5" x14ac:dyDescent="0.2">
      <c r="A1230" s="269">
        <v>45909.580462962964</v>
      </c>
      <c r="B1230" t="s">
        <v>1431</v>
      </c>
      <c r="C1230" t="s">
        <v>28</v>
      </c>
      <c r="D1230" t="s">
        <v>1580</v>
      </c>
      <c r="E1230">
        <v>52</v>
      </c>
    </row>
    <row r="1231" spans="1:5" x14ac:dyDescent="0.2">
      <c r="A1231" s="269">
        <v>45909.580509259256</v>
      </c>
      <c r="B1231" t="s">
        <v>1431</v>
      </c>
      <c r="C1231" t="s">
        <v>28</v>
      </c>
      <c r="D1231" t="s">
        <v>1581</v>
      </c>
      <c r="E1231">
        <v>52</v>
      </c>
    </row>
    <row r="1232" spans="1:5" x14ac:dyDescent="0.2">
      <c r="A1232" s="269">
        <v>45909.580520833333</v>
      </c>
      <c r="B1232" t="s">
        <v>1431</v>
      </c>
      <c r="C1232" t="s">
        <v>28</v>
      </c>
      <c r="D1232" t="s">
        <v>1582</v>
      </c>
      <c r="E1232">
        <v>52</v>
      </c>
    </row>
    <row r="1233" spans="1:5" x14ac:dyDescent="0.2">
      <c r="A1233" s="269">
        <v>45909.580636574072</v>
      </c>
      <c r="B1233" t="s">
        <v>1431</v>
      </c>
      <c r="C1233" t="s">
        <v>28</v>
      </c>
      <c r="D1233" t="s">
        <v>1583</v>
      </c>
      <c r="E1233">
        <v>52</v>
      </c>
    </row>
    <row r="1234" spans="1:5" x14ac:dyDescent="0.2">
      <c r="A1234" s="269">
        <v>45909.580659722225</v>
      </c>
      <c r="B1234" t="s">
        <v>1431</v>
      </c>
      <c r="C1234" t="s">
        <v>28</v>
      </c>
      <c r="D1234" t="s">
        <v>1584</v>
      </c>
      <c r="E1234">
        <v>52</v>
      </c>
    </row>
    <row r="1235" spans="1:5" x14ac:dyDescent="0.2">
      <c r="A1235" s="269">
        <v>45909.580717592595</v>
      </c>
      <c r="B1235" t="s">
        <v>1431</v>
      </c>
      <c r="C1235" t="s">
        <v>28</v>
      </c>
      <c r="D1235" t="s">
        <v>1585</v>
      </c>
      <c r="E1235">
        <v>52</v>
      </c>
    </row>
    <row r="1236" spans="1:5" x14ac:dyDescent="0.2">
      <c r="A1236" s="269">
        <v>45909.580740740741</v>
      </c>
      <c r="B1236" t="s">
        <v>1431</v>
      </c>
      <c r="C1236" t="s">
        <v>28</v>
      </c>
      <c r="D1236" t="s">
        <v>1586</v>
      </c>
      <c r="E1236">
        <v>52</v>
      </c>
    </row>
    <row r="1237" spans="1:5" x14ac:dyDescent="0.2">
      <c r="A1237" s="269">
        <v>45909.580821759257</v>
      </c>
      <c r="B1237" t="s">
        <v>1431</v>
      </c>
      <c r="C1237" t="s">
        <v>28</v>
      </c>
      <c r="D1237" t="s">
        <v>1587</v>
      </c>
      <c r="E1237">
        <v>52</v>
      </c>
    </row>
    <row r="1238" spans="1:5" x14ac:dyDescent="0.2">
      <c r="A1238" s="269">
        <v>45909.58084490741</v>
      </c>
      <c r="B1238" t="s">
        <v>1431</v>
      </c>
      <c r="C1238" t="s">
        <v>28</v>
      </c>
      <c r="D1238" t="s">
        <v>1588</v>
      </c>
      <c r="E1238">
        <v>52</v>
      </c>
    </row>
    <row r="1239" spans="1:5" x14ac:dyDescent="0.2">
      <c r="A1239" s="269">
        <v>45909.58090277778</v>
      </c>
      <c r="B1239" t="s">
        <v>1431</v>
      </c>
      <c r="C1239" t="s">
        <v>28</v>
      </c>
      <c r="D1239" t="s">
        <v>1589</v>
      </c>
      <c r="E1239">
        <v>52</v>
      </c>
    </row>
    <row r="1240" spans="1:5" x14ac:dyDescent="0.2">
      <c r="A1240" s="269">
        <v>45909.580914351849</v>
      </c>
      <c r="B1240" t="s">
        <v>1431</v>
      </c>
      <c r="C1240" t="s">
        <v>28</v>
      </c>
      <c r="D1240" t="s">
        <v>1590</v>
      </c>
      <c r="E1240">
        <v>52</v>
      </c>
    </row>
    <row r="1241" spans="1:5" x14ac:dyDescent="0.2">
      <c r="A1241" s="269">
        <v>45909.580972222226</v>
      </c>
      <c r="B1241" t="s">
        <v>1431</v>
      </c>
      <c r="C1241" t="s">
        <v>28</v>
      </c>
      <c r="D1241" t="s">
        <v>1591</v>
      </c>
      <c r="E1241">
        <v>52</v>
      </c>
    </row>
    <row r="1242" spans="1:5" x14ac:dyDescent="0.2">
      <c r="A1242" s="269">
        <v>45909.580995370372</v>
      </c>
      <c r="B1242" t="s">
        <v>1431</v>
      </c>
      <c r="C1242" t="s">
        <v>28</v>
      </c>
      <c r="D1242" t="s">
        <v>1592</v>
      </c>
      <c r="E1242">
        <v>52</v>
      </c>
    </row>
    <row r="1243" spans="1:5" x14ac:dyDescent="0.2">
      <c r="A1243" s="269">
        <v>45909.581643518519</v>
      </c>
      <c r="B1243" t="s">
        <v>1431</v>
      </c>
      <c r="C1243" t="s">
        <v>28</v>
      </c>
      <c r="D1243" t="s">
        <v>1448</v>
      </c>
      <c r="E1243">
        <v>27.8</v>
      </c>
    </row>
    <row r="1244" spans="1:5" x14ac:dyDescent="0.2">
      <c r="A1244" s="269">
        <v>45909.582546296297</v>
      </c>
      <c r="B1244" t="s">
        <v>1431</v>
      </c>
      <c r="C1244" t="s">
        <v>28</v>
      </c>
      <c r="D1244" t="s">
        <v>1593</v>
      </c>
      <c r="E1244">
        <v>0</v>
      </c>
    </row>
    <row r="1245" spans="1:5" x14ac:dyDescent="0.2">
      <c r="A1245" s="269">
        <v>45909.58258101852</v>
      </c>
      <c r="B1245" t="s">
        <v>1431</v>
      </c>
      <c r="C1245" t="s">
        <v>28</v>
      </c>
      <c r="D1245" t="s">
        <v>1594</v>
      </c>
      <c r="E1245">
        <v>0</v>
      </c>
    </row>
    <row r="1246" spans="1:5" x14ac:dyDescent="0.2">
      <c r="A1246" s="269">
        <v>45909.582627314812</v>
      </c>
      <c r="B1246" t="s">
        <v>1431</v>
      </c>
      <c r="C1246" t="s">
        <v>28</v>
      </c>
      <c r="D1246" t="s">
        <v>1595</v>
      </c>
      <c r="E1246">
        <v>0</v>
      </c>
    </row>
    <row r="1247" spans="1:5" x14ac:dyDescent="0.2">
      <c r="A1247" s="269">
        <v>45909.582673611112</v>
      </c>
      <c r="B1247" t="s">
        <v>1431</v>
      </c>
      <c r="C1247" t="s">
        <v>28</v>
      </c>
      <c r="D1247" t="s">
        <v>1596</v>
      </c>
      <c r="E1247">
        <v>0</v>
      </c>
    </row>
    <row r="1248" spans="1:5" x14ac:dyDescent="0.2">
      <c r="A1248" s="269">
        <v>45909.582708333335</v>
      </c>
      <c r="B1248" t="s">
        <v>1431</v>
      </c>
      <c r="C1248" t="s">
        <v>28</v>
      </c>
      <c r="D1248" t="s">
        <v>1597</v>
      </c>
      <c r="E1248">
        <v>0</v>
      </c>
    </row>
    <row r="1249" spans="1:5" x14ac:dyDescent="0.2">
      <c r="A1249" s="269">
        <v>45909.582754629628</v>
      </c>
      <c r="B1249" t="s">
        <v>1431</v>
      </c>
      <c r="C1249" t="s">
        <v>28</v>
      </c>
      <c r="D1249" t="s">
        <v>1598</v>
      </c>
      <c r="E1249">
        <v>0</v>
      </c>
    </row>
    <row r="1250" spans="1:5" x14ac:dyDescent="0.2">
      <c r="A1250" s="269">
        <v>45909.582777777781</v>
      </c>
      <c r="B1250" t="s">
        <v>1431</v>
      </c>
      <c r="C1250" t="s">
        <v>28</v>
      </c>
      <c r="D1250" t="s">
        <v>1599</v>
      </c>
      <c r="E1250">
        <v>0</v>
      </c>
    </row>
    <row r="1251" spans="1:5" x14ac:dyDescent="0.2">
      <c r="A1251" s="269">
        <v>45909.582812499997</v>
      </c>
      <c r="B1251" t="s">
        <v>1431</v>
      </c>
      <c r="C1251" t="s">
        <v>28</v>
      </c>
      <c r="D1251" t="s">
        <v>1600</v>
      </c>
      <c r="E1251">
        <v>0</v>
      </c>
    </row>
    <row r="1252" spans="1:5" x14ac:dyDescent="0.2">
      <c r="A1252" s="269">
        <v>45909.582870370374</v>
      </c>
      <c r="B1252" t="s">
        <v>1431</v>
      </c>
      <c r="C1252" t="s">
        <v>28</v>
      </c>
      <c r="D1252" t="s">
        <v>1601</v>
      </c>
      <c r="E1252">
        <v>0</v>
      </c>
    </row>
    <row r="1253" spans="1:5" x14ac:dyDescent="0.2">
      <c r="A1253" s="269">
        <v>45909.583738425928</v>
      </c>
      <c r="B1253" t="s">
        <v>1431</v>
      </c>
      <c r="C1253" t="s">
        <v>28</v>
      </c>
      <c r="D1253" t="s">
        <v>1464</v>
      </c>
      <c r="E1253">
        <v>2141</v>
      </c>
    </row>
    <row r="1254" spans="1:5" x14ac:dyDescent="0.2">
      <c r="A1254" s="269">
        <v>45909.583969907406</v>
      </c>
      <c r="B1254" t="s">
        <v>1431</v>
      </c>
      <c r="C1254" t="s">
        <v>28</v>
      </c>
      <c r="D1254" t="s">
        <v>1602</v>
      </c>
      <c r="E1254">
        <v>1931</v>
      </c>
    </row>
    <row r="1255" spans="1:5" x14ac:dyDescent="0.2">
      <c r="A1255" s="269">
        <v>45909.584201388891</v>
      </c>
      <c r="B1255" t="s">
        <v>1431</v>
      </c>
      <c r="C1255" t="s">
        <v>28</v>
      </c>
      <c r="D1255" t="s">
        <v>1603</v>
      </c>
      <c r="E1255">
        <v>1916</v>
      </c>
    </row>
    <row r="1256" spans="1:5" x14ac:dyDescent="0.2">
      <c r="A1256" s="269">
        <v>45909.584467592591</v>
      </c>
      <c r="B1256" t="s">
        <v>1431</v>
      </c>
      <c r="C1256" t="s">
        <v>28</v>
      </c>
      <c r="D1256" t="s">
        <v>1604</v>
      </c>
      <c r="E1256">
        <v>2096</v>
      </c>
    </row>
    <row r="1257" spans="1:5" x14ac:dyDescent="0.2">
      <c r="A1257" s="269">
        <v>45909.584710648145</v>
      </c>
      <c r="B1257" t="s">
        <v>1431</v>
      </c>
      <c r="C1257" t="s">
        <v>28</v>
      </c>
      <c r="D1257" t="s">
        <v>1605</v>
      </c>
      <c r="E1257">
        <v>2066</v>
      </c>
    </row>
    <row r="1258" spans="1:5" x14ac:dyDescent="0.2">
      <c r="A1258" s="269">
        <v>45909.584953703707</v>
      </c>
      <c r="B1258" t="s">
        <v>1431</v>
      </c>
      <c r="C1258" t="s">
        <v>28</v>
      </c>
      <c r="D1258" t="s">
        <v>1606</v>
      </c>
      <c r="E1258">
        <v>2036</v>
      </c>
    </row>
    <row r="1259" spans="1:5" x14ac:dyDescent="0.2">
      <c r="A1259" s="269">
        <v>45909.585185185184</v>
      </c>
      <c r="B1259" t="s">
        <v>1431</v>
      </c>
      <c r="C1259" t="s">
        <v>28</v>
      </c>
      <c r="D1259" t="s">
        <v>1607</v>
      </c>
      <c r="E1259">
        <v>2141</v>
      </c>
    </row>
    <row r="1260" spans="1:5" x14ac:dyDescent="0.2">
      <c r="A1260" s="269">
        <v>45909.585462962961</v>
      </c>
      <c r="B1260" t="s">
        <v>1431</v>
      </c>
      <c r="C1260" t="s">
        <v>28</v>
      </c>
      <c r="D1260" t="s">
        <v>1608</v>
      </c>
      <c r="E1260">
        <v>1286</v>
      </c>
    </row>
    <row r="1261" spans="1:5" x14ac:dyDescent="0.2">
      <c r="A1261" s="269">
        <v>45909.585682870369</v>
      </c>
      <c r="B1261" t="s">
        <v>1431</v>
      </c>
      <c r="C1261" t="s">
        <v>28</v>
      </c>
      <c r="D1261" t="s">
        <v>1609</v>
      </c>
      <c r="E1261">
        <v>2396</v>
      </c>
    </row>
    <row r="1262" spans="1:5" x14ac:dyDescent="0.2">
      <c r="A1262" s="269">
        <v>45909.585995370369</v>
      </c>
      <c r="B1262" t="s">
        <v>1431</v>
      </c>
      <c r="C1262" t="s">
        <v>28</v>
      </c>
      <c r="D1262" t="s">
        <v>1610</v>
      </c>
      <c r="E1262">
        <v>2066</v>
      </c>
    </row>
    <row r="1263" spans="1:5" x14ac:dyDescent="0.2">
      <c r="A1263" s="269">
        <v>45909.595995370371</v>
      </c>
      <c r="B1263" t="s">
        <v>1431</v>
      </c>
      <c r="C1263" t="s">
        <v>58</v>
      </c>
      <c r="D1263" t="s">
        <v>946</v>
      </c>
      <c r="E1263" t="s">
        <v>365</v>
      </c>
    </row>
    <row r="1264" spans="1:5" x14ac:dyDescent="0.2">
      <c r="A1264" s="269">
        <v>45909.596087962964</v>
      </c>
      <c r="B1264" t="s">
        <v>1431</v>
      </c>
      <c r="C1264" t="s">
        <v>58</v>
      </c>
      <c r="D1264" t="s">
        <v>1434</v>
      </c>
      <c r="E1264" t="s">
        <v>381</v>
      </c>
    </row>
    <row r="1265" spans="1:5" x14ac:dyDescent="0.2">
      <c r="A1265" s="269">
        <v>45909.596168981479</v>
      </c>
      <c r="B1265" t="s">
        <v>1431</v>
      </c>
      <c r="C1265" t="s">
        <v>58</v>
      </c>
      <c r="D1265" t="s">
        <v>1191</v>
      </c>
      <c r="E1265" t="s">
        <v>343</v>
      </c>
    </row>
    <row r="1266" spans="1:5" x14ac:dyDescent="0.2">
      <c r="A1266" s="269">
        <v>45909.596203703702</v>
      </c>
      <c r="B1266" t="s">
        <v>1431</v>
      </c>
      <c r="C1266" t="s">
        <v>58</v>
      </c>
      <c r="D1266" t="s">
        <v>795</v>
      </c>
      <c r="E1266" t="s">
        <v>343</v>
      </c>
    </row>
    <row r="1267" spans="1:5" x14ac:dyDescent="0.2">
      <c r="A1267" s="269">
        <v>45909.596250000002</v>
      </c>
      <c r="B1267" t="s">
        <v>1431</v>
      </c>
      <c r="C1267" t="s">
        <v>58</v>
      </c>
      <c r="D1267" t="s">
        <v>1013</v>
      </c>
      <c r="E1267" t="s">
        <v>343</v>
      </c>
    </row>
    <row r="1268" spans="1:5" x14ac:dyDescent="0.2">
      <c r="A1268" s="269">
        <v>45909.596331018518</v>
      </c>
      <c r="B1268" t="s">
        <v>1431</v>
      </c>
      <c r="C1268" t="s">
        <v>58</v>
      </c>
      <c r="D1268" t="s">
        <v>950</v>
      </c>
      <c r="E1268" t="s">
        <v>411</v>
      </c>
    </row>
    <row r="1269" spans="1:5" x14ac:dyDescent="0.2">
      <c r="A1269" s="269">
        <v>45909.596388888887</v>
      </c>
      <c r="B1269" t="s">
        <v>1431</v>
      </c>
      <c r="C1269" t="s">
        <v>58</v>
      </c>
      <c r="D1269" t="s">
        <v>1435</v>
      </c>
      <c r="E1269" t="s">
        <v>63</v>
      </c>
    </row>
    <row r="1270" spans="1:5" x14ac:dyDescent="0.2">
      <c r="A1270" s="269">
        <v>45909.596412037034</v>
      </c>
      <c r="B1270" t="s">
        <v>1431</v>
      </c>
      <c r="C1270" t="s">
        <v>58</v>
      </c>
      <c r="D1270" t="s">
        <v>1010</v>
      </c>
      <c r="E1270" t="s">
        <v>63</v>
      </c>
    </row>
    <row r="1271" spans="1:5" x14ac:dyDescent="0.2">
      <c r="A1271" s="269">
        <v>45909.59642361111</v>
      </c>
      <c r="B1271" t="s">
        <v>1431</v>
      </c>
      <c r="C1271" t="s">
        <v>58</v>
      </c>
      <c r="D1271" t="s">
        <v>1010</v>
      </c>
      <c r="E1271" t="s">
        <v>63</v>
      </c>
    </row>
    <row r="1272" spans="1:5" x14ac:dyDescent="0.2">
      <c r="A1272" s="269">
        <v>45909.596446759257</v>
      </c>
      <c r="B1272" t="s">
        <v>1431</v>
      </c>
      <c r="C1272" t="s">
        <v>58</v>
      </c>
      <c r="D1272" t="s">
        <v>995</v>
      </c>
      <c r="E1272" t="s">
        <v>63</v>
      </c>
    </row>
    <row r="1273" spans="1:5" x14ac:dyDescent="0.2">
      <c r="A1273" s="269">
        <v>45909.59648148148</v>
      </c>
      <c r="B1273" t="s">
        <v>1431</v>
      </c>
      <c r="C1273" t="s">
        <v>58</v>
      </c>
      <c r="D1273" t="s">
        <v>1014</v>
      </c>
      <c r="E1273" t="s">
        <v>63</v>
      </c>
    </row>
    <row r="1274" spans="1:5" x14ac:dyDescent="0.2">
      <c r="A1274" s="269">
        <v>45909.596979166665</v>
      </c>
      <c r="B1274" t="s">
        <v>1431</v>
      </c>
      <c r="C1274" t="s">
        <v>58</v>
      </c>
      <c r="D1274" t="s">
        <v>951</v>
      </c>
      <c r="E1274" t="s">
        <v>338</v>
      </c>
    </row>
    <row r="1275" spans="1:5" x14ac:dyDescent="0.2">
      <c r="A1275" s="269">
        <v>45909.597048611111</v>
      </c>
      <c r="B1275" t="s">
        <v>1431</v>
      </c>
      <c r="C1275" t="s">
        <v>58</v>
      </c>
      <c r="D1275" t="s">
        <v>1454</v>
      </c>
      <c r="E1275">
        <v>0</v>
      </c>
    </row>
    <row r="1276" spans="1:5" x14ac:dyDescent="0.2">
      <c r="A1276" s="269">
        <v>45909.59710648148</v>
      </c>
      <c r="B1276" t="s">
        <v>1431</v>
      </c>
      <c r="C1276" t="s">
        <v>58</v>
      </c>
      <c r="D1276" t="s">
        <v>958</v>
      </c>
      <c r="E1276">
        <v>117</v>
      </c>
    </row>
    <row r="1277" spans="1:5" x14ac:dyDescent="0.2">
      <c r="A1277" s="269">
        <v>45909.597800925927</v>
      </c>
      <c r="B1277" t="s">
        <v>1431</v>
      </c>
      <c r="C1277" t="s">
        <v>58</v>
      </c>
      <c r="D1277" t="s">
        <v>960</v>
      </c>
      <c r="E1277" t="s">
        <v>1611</v>
      </c>
    </row>
    <row r="1278" spans="1:5" x14ac:dyDescent="0.2">
      <c r="A1278" s="269">
        <v>45909.598090277781</v>
      </c>
      <c r="B1278" t="s">
        <v>1431</v>
      </c>
      <c r="C1278" t="s">
        <v>58</v>
      </c>
      <c r="D1278" t="s">
        <v>960</v>
      </c>
      <c r="E1278" t="s">
        <v>1612</v>
      </c>
    </row>
    <row r="1279" spans="1:5" x14ac:dyDescent="0.2">
      <c r="A1279" s="269">
        <v>45909.59815972222</v>
      </c>
      <c r="B1279" t="s">
        <v>1431</v>
      </c>
      <c r="C1279" t="s">
        <v>58</v>
      </c>
      <c r="D1279" t="s">
        <v>1613</v>
      </c>
      <c r="E1279" t="s">
        <v>1612</v>
      </c>
    </row>
    <row r="1280" spans="1:5" x14ac:dyDescent="0.2">
      <c r="A1280" s="269">
        <v>45909.599131944444</v>
      </c>
      <c r="B1280" t="s">
        <v>1431</v>
      </c>
      <c r="C1280" t="s">
        <v>58</v>
      </c>
      <c r="D1280" t="s">
        <v>983</v>
      </c>
      <c r="E1280" t="s">
        <v>338</v>
      </c>
    </row>
    <row r="1281" spans="1:5" x14ac:dyDescent="0.2">
      <c r="A1281" s="269">
        <v>45909.59915509259</v>
      </c>
      <c r="B1281" t="s">
        <v>1431</v>
      </c>
      <c r="C1281" t="s">
        <v>58</v>
      </c>
      <c r="D1281" t="s">
        <v>1066</v>
      </c>
      <c r="E1281" t="s">
        <v>338</v>
      </c>
    </row>
    <row r="1282" spans="1:5" x14ac:dyDescent="0.2">
      <c r="A1282" s="269">
        <v>45909.599178240744</v>
      </c>
      <c r="B1282" t="s">
        <v>1431</v>
      </c>
      <c r="C1282" t="s">
        <v>58</v>
      </c>
      <c r="D1282" t="s">
        <v>994</v>
      </c>
      <c r="E1282" t="s">
        <v>338</v>
      </c>
    </row>
    <row r="1283" spans="1:5" x14ac:dyDescent="0.2">
      <c r="A1283" s="269">
        <v>45909.59920138889</v>
      </c>
      <c r="B1283" t="s">
        <v>1431</v>
      </c>
      <c r="C1283" t="s">
        <v>58</v>
      </c>
      <c r="D1283" t="s">
        <v>1015</v>
      </c>
      <c r="E1283" t="s">
        <v>338</v>
      </c>
    </row>
    <row r="1284" spans="1:5" x14ac:dyDescent="0.2">
      <c r="A1284" s="269">
        <v>45909.599293981482</v>
      </c>
      <c r="B1284" t="s">
        <v>1431</v>
      </c>
      <c r="C1284" t="s">
        <v>58</v>
      </c>
      <c r="D1284" t="s">
        <v>937</v>
      </c>
      <c r="E1284">
        <v>0</v>
      </c>
    </row>
    <row r="1285" spans="1:5" x14ac:dyDescent="0.2">
      <c r="A1285" s="269">
        <v>45909.599386574075</v>
      </c>
      <c r="B1285" t="s">
        <v>1431</v>
      </c>
      <c r="C1285" t="s">
        <v>58</v>
      </c>
      <c r="D1285" t="s">
        <v>1614</v>
      </c>
      <c r="E1285">
        <v>444</v>
      </c>
    </row>
    <row r="1286" spans="1:5" x14ac:dyDescent="0.2">
      <c r="A1286" s="269">
        <v>45909.599768518521</v>
      </c>
      <c r="B1286" t="s">
        <v>1431</v>
      </c>
      <c r="C1286" t="s">
        <v>58</v>
      </c>
      <c r="D1286" t="s">
        <v>960</v>
      </c>
      <c r="E1286" t="s">
        <v>1615</v>
      </c>
    </row>
    <row r="1287" spans="1:5" x14ac:dyDescent="0.2">
      <c r="A1287" s="269">
        <v>45909.600868055553</v>
      </c>
      <c r="B1287" t="s">
        <v>1431</v>
      </c>
      <c r="C1287" t="s">
        <v>58</v>
      </c>
      <c r="D1287" t="s">
        <v>960</v>
      </c>
      <c r="E1287" t="s">
        <v>1616</v>
      </c>
    </row>
    <row r="1288" spans="1:5" x14ac:dyDescent="0.2">
      <c r="A1288" s="269">
        <v>45909.601087962961</v>
      </c>
      <c r="B1288" t="s">
        <v>1431</v>
      </c>
      <c r="C1288" t="s">
        <v>58</v>
      </c>
      <c r="D1288" t="s">
        <v>1024</v>
      </c>
      <c r="E1288" t="s">
        <v>1617</v>
      </c>
    </row>
    <row r="1289" spans="1:5" x14ac:dyDescent="0.2">
      <c r="A1289" s="269">
        <v>45909.601458333331</v>
      </c>
      <c r="B1289" t="s">
        <v>1431</v>
      </c>
      <c r="C1289" t="s">
        <v>58</v>
      </c>
      <c r="D1289" t="s">
        <v>972</v>
      </c>
      <c r="E1289" t="s">
        <v>1618</v>
      </c>
    </row>
    <row r="1290" spans="1:5" x14ac:dyDescent="0.2">
      <c r="A1290" s="269">
        <v>45909.6015625</v>
      </c>
      <c r="B1290" t="s">
        <v>1431</v>
      </c>
      <c r="C1290" t="s">
        <v>58</v>
      </c>
      <c r="D1290" t="s">
        <v>972</v>
      </c>
      <c r="E1290" t="s">
        <v>1619</v>
      </c>
    </row>
    <row r="1291" spans="1:5" x14ac:dyDescent="0.2">
      <c r="A1291" s="269">
        <v>45909.6016087963</v>
      </c>
      <c r="B1291" t="s">
        <v>1431</v>
      </c>
      <c r="C1291" t="s">
        <v>58</v>
      </c>
      <c r="D1291" t="s">
        <v>1620</v>
      </c>
      <c r="E1291" t="s">
        <v>1615</v>
      </c>
    </row>
    <row r="1292" spans="1:5" x14ac:dyDescent="0.2">
      <c r="A1292" s="269">
        <v>45909.601793981485</v>
      </c>
      <c r="B1292" t="s">
        <v>1431</v>
      </c>
      <c r="C1292" t="s">
        <v>58</v>
      </c>
      <c r="D1292" t="s">
        <v>1620</v>
      </c>
      <c r="E1292" t="s">
        <v>1621</v>
      </c>
    </row>
    <row r="1293" spans="1:5" x14ac:dyDescent="0.2">
      <c r="A1293" s="269">
        <v>45909.602187500001</v>
      </c>
      <c r="B1293" t="s">
        <v>1431</v>
      </c>
      <c r="C1293" t="s">
        <v>58</v>
      </c>
      <c r="D1293" t="s">
        <v>1016</v>
      </c>
      <c r="E1293" t="s">
        <v>1622</v>
      </c>
    </row>
    <row r="1294" spans="1:5" x14ac:dyDescent="0.2">
      <c r="A1294" s="269">
        <v>45909.602662037039</v>
      </c>
      <c r="B1294" t="s">
        <v>1431</v>
      </c>
      <c r="C1294" t="s">
        <v>58</v>
      </c>
      <c r="D1294" t="s">
        <v>926</v>
      </c>
      <c r="E1294">
        <v>0</v>
      </c>
    </row>
    <row r="1295" spans="1:5" x14ac:dyDescent="0.2">
      <c r="A1295" s="269">
        <v>45909.602696759262</v>
      </c>
      <c r="B1295" t="s">
        <v>1431</v>
      </c>
      <c r="C1295" t="s">
        <v>58</v>
      </c>
      <c r="D1295" t="s">
        <v>975</v>
      </c>
      <c r="E1295">
        <v>9</v>
      </c>
    </row>
    <row r="1296" spans="1:5" x14ac:dyDescent="0.2">
      <c r="A1296" s="269">
        <v>45909.602812500001</v>
      </c>
      <c r="B1296" t="s">
        <v>1431</v>
      </c>
      <c r="C1296" t="s">
        <v>58</v>
      </c>
      <c r="D1296" t="s">
        <v>874</v>
      </c>
      <c r="E1296">
        <v>0</v>
      </c>
    </row>
    <row r="1297" spans="1:5" x14ac:dyDescent="0.2">
      <c r="A1297" s="269">
        <v>45909.602858796294</v>
      </c>
      <c r="B1297" t="s">
        <v>1431</v>
      </c>
      <c r="C1297" t="s">
        <v>58</v>
      </c>
      <c r="D1297" t="s">
        <v>974</v>
      </c>
      <c r="E1297">
        <v>9</v>
      </c>
    </row>
    <row r="1298" spans="1:5" x14ac:dyDescent="0.2">
      <c r="A1298" s="269">
        <v>45909.602962962963</v>
      </c>
      <c r="B1298" t="s">
        <v>1431</v>
      </c>
      <c r="C1298" t="s">
        <v>58</v>
      </c>
      <c r="D1298" t="s">
        <v>1507</v>
      </c>
      <c r="E1298">
        <v>0</v>
      </c>
    </row>
    <row r="1299" spans="1:5" x14ac:dyDescent="0.2">
      <c r="A1299" s="269">
        <v>45909.603009259263</v>
      </c>
      <c r="B1299" t="s">
        <v>1431</v>
      </c>
      <c r="C1299" t="s">
        <v>58</v>
      </c>
      <c r="D1299" t="s">
        <v>1623</v>
      </c>
      <c r="E1299">
        <v>9</v>
      </c>
    </row>
    <row r="1300" spans="1:5" x14ac:dyDescent="0.2">
      <c r="A1300" s="269">
        <v>45909.603090277778</v>
      </c>
      <c r="B1300" t="s">
        <v>1431</v>
      </c>
      <c r="C1300" t="s">
        <v>58</v>
      </c>
      <c r="D1300" t="s">
        <v>1624</v>
      </c>
      <c r="E1300" t="s">
        <v>365</v>
      </c>
    </row>
    <row r="1301" spans="1:5" x14ac:dyDescent="0.2">
      <c r="A1301" s="269">
        <v>45909.603159722225</v>
      </c>
      <c r="B1301" t="s">
        <v>1431</v>
      </c>
      <c r="C1301" t="s">
        <v>58</v>
      </c>
      <c r="D1301" t="s">
        <v>1625</v>
      </c>
      <c r="E1301" t="s">
        <v>411</v>
      </c>
    </row>
    <row r="1302" spans="1:5" x14ac:dyDescent="0.2">
      <c r="A1302" s="269">
        <v>45909.603217592594</v>
      </c>
      <c r="B1302" t="s">
        <v>1431</v>
      </c>
      <c r="C1302" t="s">
        <v>58</v>
      </c>
      <c r="D1302" t="s">
        <v>1018</v>
      </c>
      <c r="E1302" t="s">
        <v>89</v>
      </c>
    </row>
    <row r="1303" spans="1:5" x14ac:dyDescent="0.2">
      <c r="A1303" s="269">
        <v>45909.603298611109</v>
      </c>
      <c r="B1303" t="s">
        <v>1431</v>
      </c>
      <c r="C1303" t="s">
        <v>58</v>
      </c>
      <c r="D1303" t="s">
        <v>1626</v>
      </c>
      <c r="E1303" t="s">
        <v>89</v>
      </c>
    </row>
    <row r="1304" spans="1:5" x14ac:dyDescent="0.2">
      <c r="A1304" s="269">
        <v>45909.603425925925</v>
      </c>
      <c r="B1304" t="s">
        <v>1431</v>
      </c>
      <c r="C1304" t="s">
        <v>58</v>
      </c>
      <c r="D1304" t="s">
        <v>1627</v>
      </c>
      <c r="E1304" t="s">
        <v>1616</v>
      </c>
    </row>
    <row r="1305" spans="1:5" x14ac:dyDescent="0.2">
      <c r="A1305" s="269">
        <v>45909.603576388887</v>
      </c>
      <c r="B1305" t="s">
        <v>1431</v>
      </c>
      <c r="C1305" t="s">
        <v>58</v>
      </c>
      <c r="D1305" t="s">
        <v>1517</v>
      </c>
      <c r="E1305">
        <v>0</v>
      </c>
    </row>
    <row r="1306" spans="1:5" x14ac:dyDescent="0.2">
      <c r="A1306" s="269">
        <v>45909.60359953704</v>
      </c>
      <c r="B1306" t="s">
        <v>1431</v>
      </c>
      <c r="C1306" t="s">
        <v>58</v>
      </c>
      <c r="D1306" t="s">
        <v>668</v>
      </c>
      <c r="E1306">
        <v>9</v>
      </c>
    </row>
    <row r="1307" spans="1:5" x14ac:dyDescent="0.2">
      <c r="A1307" s="269">
        <v>45909.603912037041</v>
      </c>
      <c r="B1307" t="s">
        <v>1431</v>
      </c>
      <c r="C1307" t="s">
        <v>58</v>
      </c>
      <c r="D1307" t="s">
        <v>1515</v>
      </c>
      <c r="E1307">
        <v>0</v>
      </c>
    </row>
    <row r="1308" spans="1:5" x14ac:dyDescent="0.2">
      <c r="A1308" s="269">
        <v>45909.603935185187</v>
      </c>
      <c r="B1308" t="s">
        <v>1431</v>
      </c>
      <c r="C1308" t="s">
        <v>58</v>
      </c>
      <c r="D1308" t="s">
        <v>1628</v>
      </c>
      <c r="E1308">
        <v>12</v>
      </c>
    </row>
    <row r="1309" spans="1:5" x14ac:dyDescent="0.2">
      <c r="A1309" s="269">
        <v>45909.604305555556</v>
      </c>
      <c r="B1309" t="s">
        <v>1431</v>
      </c>
      <c r="C1309" t="s">
        <v>58</v>
      </c>
      <c r="D1309" t="s">
        <v>1629</v>
      </c>
      <c r="E1309">
        <v>26</v>
      </c>
    </row>
    <row r="1310" spans="1:5" x14ac:dyDescent="0.2">
      <c r="A1310" s="269">
        <v>45909.604363425926</v>
      </c>
      <c r="B1310" t="s">
        <v>1431</v>
      </c>
      <c r="C1310" t="s">
        <v>58</v>
      </c>
      <c r="D1310" t="s">
        <v>1513</v>
      </c>
      <c r="E1310">
        <v>0</v>
      </c>
    </row>
    <row r="1311" spans="1:5" x14ac:dyDescent="0.2">
      <c r="A1311" s="269">
        <v>45909.60460648148</v>
      </c>
      <c r="B1311" t="s">
        <v>1431</v>
      </c>
      <c r="C1311" t="s">
        <v>58</v>
      </c>
      <c r="D1311" t="s">
        <v>1511</v>
      </c>
      <c r="E1311">
        <v>59.79</v>
      </c>
    </row>
    <row r="1312" spans="1:5" x14ac:dyDescent="0.2">
      <c r="A1312" s="269">
        <v>45909.604710648149</v>
      </c>
      <c r="B1312" t="s">
        <v>1431</v>
      </c>
      <c r="C1312" t="s">
        <v>58</v>
      </c>
      <c r="D1312" t="s">
        <v>925</v>
      </c>
      <c r="E1312">
        <v>698</v>
      </c>
    </row>
    <row r="1313" spans="1:5" x14ac:dyDescent="0.2">
      <c r="A1313" s="269">
        <v>45909.604930555557</v>
      </c>
      <c r="B1313" t="s">
        <v>1431</v>
      </c>
      <c r="C1313" t="s">
        <v>58</v>
      </c>
      <c r="D1313" t="s">
        <v>1630</v>
      </c>
      <c r="E1313">
        <v>680</v>
      </c>
    </row>
    <row r="1314" spans="1:5" x14ac:dyDescent="0.2">
      <c r="A1314" s="269">
        <v>45909.605092592596</v>
      </c>
      <c r="B1314" t="s">
        <v>1431</v>
      </c>
      <c r="C1314" t="s">
        <v>58</v>
      </c>
      <c r="D1314" t="s">
        <v>1509</v>
      </c>
      <c r="E1314">
        <v>64.94</v>
      </c>
    </row>
    <row r="1315" spans="1:5" x14ac:dyDescent="0.2">
      <c r="A1315" s="269">
        <v>45909.605312500003</v>
      </c>
      <c r="B1315" t="s">
        <v>1431</v>
      </c>
      <c r="C1315" t="s">
        <v>58</v>
      </c>
      <c r="D1315" t="s">
        <v>1631</v>
      </c>
      <c r="E1315" t="s">
        <v>365</v>
      </c>
    </row>
    <row r="1316" spans="1:5" x14ac:dyDescent="0.2">
      <c r="A1316" s="269">
        <v>45909.605358796296</v>
      </c>
      <c r="B1316" t="s">
        <v>1431</v>
      </c>
      <c r="C1316" t="s">
        <v>58</v>
      </c>
      <c r="D1316" t="s">
        <v>1632</v>
      </c>
      <c r="E1316" t="s">
        <v>365</v>
      </c>
    </row>
    <row r="1317" spans="1:5" x14ac:dyDescent="0.2">
      <c r="A1317" s="269">
        <v>45909.605451388888</v>
      </c>
      <c r="B1317" t="s">
        <v>1431</v>
      </c>
      <c r="C1317" t="s">
        <v>58</v>
      </c>
      <c r="D1317" t="s">
        <v>1633</v>
      </c>
      <c r="E1317" t="s">
        <v>365</v>
      </c>
    </row>
    <row r="1318" spans="1:5" x14ac:dyDescent="0.2">
      <c r="A1318" s="269">
        <v>45909.605497685188</v>
      </c>
      <c r="B1318" t="s">
        <v>1431</v>
      </c>
      <c r="C1318" t="s">
        <v>58</v>
      </c>
      <c r="D1318" t="s">
        <v>1634</v>
      </c>
      <c r="E1318" t="s">
        <v>365</v>
      </c>
    </row>
    <row r="1319" spans="1:5" x14ac:dyDescent="0.2">
      <c r="A1319" s="269">
        <v>45909.605543981481</v>
      </c>
      <c r="B1319" t="s">
        <v>1431</v>
      </c>
      <c r="C1319" t="s">
        <v>58</v>
      </c>
      <c r="D1319" t="s">
        <v>1635</v>
      </c>
      <c r="E1319" t="s">
        <v>365</v>
      </c>
    </row>
    <row r="1320" spans="1:5" x14ac:dyDescent="0.2">
      <c r="A1320" s="269">
        <v>45909.605578703704</v>
      </c>
      <c r="B1320" t="s">
        <v>1431</v>
      </c>
      <c r="C1320" t="s">
        <v>58</v>
      </c>
      <c r="D1320" t="s">
        <v>1636</v>
      </c>
      <c r="E1320" t="s">
        <v>365</v>
      </c>
    </row>
    <row r="1321" spans="1:5" x14ac:dyDescent="0.2">
      <c r="A1321" s="269">
        <v>45909.60564814815</v>
      </c>
      <c r="B1321" t="s">
        <v>1431</v>
      </c>
      <c r="C1321" t="s">
        <v>58</v>
      </c>
      <c r="D1321" t="s">
        <v>1637</v>
      </c>
      <c r="E1321" t="s">
        <v>365</v>
      </c>
    </row>
    <row r="1322" spans="1:5" x14ac:dyDescent="0.2">
      <c r="A1322" s="269">
        <v>45909.605694444443</v>
      </c>
      <c r="B1322" t="s">
        <v>1431</v>
      </c>
      <c r="C1322" t="s">
        <v>58</v>
      </c>
      <c r="D1322" t="s">
        <v>1638</v>
      </c>
      <c r="E1322" t="s">
        <v>365</v>
      </c>
    </row>
    <row r="1323" spans="1:5" x14ac:dyDescent="0.2">
      <c r="A1323" s="269">
        <v>45909.605740740742</v>
      </c>
      <c r="B1323" t="s">
        <v>1431</v>
      </c>
      <c r="C1323" t="s">
        <v>58</v>
      </c>
      <c r="D1323" t="s">
        <v>1639</v>
      </c>
      <c r="E1323" t="s">
        <v>365</v>
      </c>
    </row>
    <row r="1324" spans="1:5" x14ac:dyDescent="0.2">
      <c r="A1324" s="269">
        <v>45909.605787037035</v>
      </c>
      <c r="B1324" t="s">
        <v>1431</v>
      </c>
      <c r="C1324" t="s">
        <v>58</v>
      </c>
      <c r="D1324" t="s">
        <v>1640</v>
      </c>
      <c r="E1324" t="s">
        <v>365</v>
      </c>
    </row>
    <row r="1325" spans="1:5" x14ac:dyDescent="0.2">
      <c r="A1325" s="269">
        <v>45909.606111111112</v>
      </c>
      <c r="B1325" t="s">
        <v>1431</v>
      </c>
      <c r="C1325" t="s">
        <v>58</v>
      </c>
      <c r="D1325" t="s">
        <v>1641</v>
      </c>
      <c r="E1325" t="s">
        <v>411</v>
      </c>
    </row>
    <row r="1326" spans="1:5" x14ac:dyDescent="0.2">
      <c r="A1326" s="269">
        <v>45909.606388888889</v>
      </c>
      <c r="B1326" t="s">
        <v>1431</v>
      </c>
      <c r="C1326" t="s">
        <v>58</v>
      </c>
      <c r="D1326" t="s">
        <v>1642</v>
      </c>
      <c r="E1326" t="s">
        <v>1616</v>
      </c>
    </row>
    <row r="1327" spans="1:5" x14ac:dyDescent="0.2">
      <c r="A1327" s="269">
        <v>45909.607847222222</v>
      </c>
      <c r="B1327" t="s">
        <v>1431</v>
      </c>
      <c r="C1327" t="s">
        <v>58</v>
      </c>
      <c r="D1327" t="s">
        <v>1461</v>
      </c>
      <c r="E1327" t="s">
        <v>362</v>
      </c>
    </row>
    <row r="1328" spans="1:5" x14ac:dyDescent="0.2">
      <c r="A1328" s="269">
        <v>45909.607905092591</v>
      </c>
      <c r="B1328" t="s">
        <v>1431</v>
      </c>
      <c r="C1328" t="s">
        <v>58</v>
      </c>
      <c r="D1328" t="s">
        <v>1643</v>
      </c>
      <c r="E1328" t="s">
        <v>371</v>
      </c>
    </row>
    <row r="1329" spans="1:5" x14ac:dyDescent="0.2">
      <c r="A1329" s="269">
        <v>45909.607951388891</v>
      </c>
      <c r="B1329" t="s">
        <v>1431</v>
      </c>
      <c r="C1329" t="s">
        <v>58</v>
      </c>
      <c r="D1329" t="s">
        <v>1644</v>
      </c>
      <c r="E1329" t="s">
        <v>379</v>
      </c>
    </row>
    <row r="1330" spans="1:5" x14ac:dyDescent="0.2">
      <c r="A1330" s="269">
        <v>45909.608043981483</v>
      </c>
      <c r="B1330" t="s">
        <v>1431</v>
      </c>
      <c r="C1330" t="s">
        <v>58</v>
      </c>
      <c r="D1330" t="s">
        <v>1645</v>
      </c>
      <c r="E1330" t="s">
        <v>379</v>
      </c>
    </row>
    <row r="1331" spans="1:5" x14ac:dyDescent="0.2">
      <c r="A1331" s="269">
        <v>45909.608113425929</v>
      </c>
      <c r="B1331" t="s">
        <v>1431</v>
      </c>
      <c r="C1331" t="s">
        <v>58</v>
      </c>
      <c r="D1331" t="s">
        <v>1646</v>
      </c>
      <c r="E1331" t="s">
        <v>386</v>
      </c>
    </row>
    <row r="1332" spans="1:5" x14ac:dyDescent="0.2">
      <c r="A1332" s="269">
        <v>45909.608159722222</v>
      </c>
      <c r="B1332" t="s">
        <v>1431</v>
      </c>
      <c r="C1332" t="s">
        <v>58</v>
      </c>
      <c r="D1332" t="s">
        <v>1647</v>
      </c>
      <c r="E1332" t="s">
        <v>390</v>
      </c>
    </row>
    <row r="1333" spans="1:5" x14ac:dyDescent="0.2">
      <c r="A1333" s="269">
        <v>45909.608206018522</v>
      </c>
      <c r="B1333" t="s">
        <v>1431</v>
      </c>
      <c r="C1333" t="s">
        <v>58</v>
      </c>
      <c r="D1333" t="s">
        <v>1648</v>
      </c>
      <c r="E1333" t="s">
        <v>41</v>
      </c>
    </row>
    <row r="1334" spans="1:5" x14ac:dyDescent="0.2">
      <c r="A1334" s="269">
        <v>45909.608275462961</v>
      </c>
      <c r="B1334" t="s">
        <v>1431</v>
      </c>
      <c r="C1334" t="s">
        <v>58</v>
      </c>
      <c r="D1334" t="s">
        <v>1649</v>
      </c>
      <c r="E1334" t="s">
        <v>397</v>
      </c>
    </row>
    <row r="1335" spans="1:5" x14ac:dyDescent="0.2">
      <c r="A1335" s="269">
        <v>45909.60833333333</v>
      </c>
      <c r="B1335" t="s">
        <v>1431</v>
      </c>
      <c r="C1335" t="s">
        <v>58</v>
      </c>
      <c r="D1335" t="s">
        <v>1650</v>
      </c>
      <c r="E1335" t="s">
        <v>400</v>
      </c>
    </row>
    <row r="1336" spans="1:5" x14ac:dyDescent="0.2">
      <c r="A1336" s="269">
        <v>45909.608391203707</v>
      </c>
      <c r="B1336" t="s">
        <v>1431</v>
      </c>
      <c r="C1336" t="s">
        <v>58</v>
      </c>
      <c r="D1336" t="s">
        <v>1651</v>
      </c>
      <c r="E1336" t="s">
        <v>404</v>
      </c>
    </row>
    <row r="1337" spans="1:5" x14ac:dyDescent="0.2">
      <c r="A1337" s="269">
        <v>45909.608958333331</v>
      </c>
      <c r="B1337" t="s">
        <v>1431</v>
      </c>
      <c r="C1337" t="s">
        <v>58</v>
      </c>
      <c r="D1337" t="s">
        <v>1645</v>
      </c>
      <c r="E1337" t="s">
        <v>386</v>
      </c>
    </row>
    <row r="1338" spans="1:5" x14ac:dyDescent="0.2">
      <c r="A1338" s="269">
        <v>45909.608981481484</v>
      </c>
      <c r="B1338" t="s">
        <v>1431</v>
      </c>
      <c r="C1338" t="s">
        <v>58</v>
      </c>
      <c r="D1338" t="s">
        <v>1646</v>
      </c>
      <c r="E1338" t="s">
        <v>390</v>
      </c>
    </row>
    <row r="1339" spans="1:5" x14ac:dyDescent="0.2">
      <c r="A1339" s="269">
        <v>45909.609027777777</v>
      </c>
      <c r="B1339" t="s">
        <v>1431</v>
      </c>
      <c r="C1339" t="s">
        <v>58</v>
      </c>
      <c r="D1339" t="s">
        <v>1647</v>
      </c>
      <c r="E1339" t="s">
        <v>390</v>
      </c>
    </row>
    <row r="1340" spans="1:5" x14ac:dyDescent="0.2">
      <c r="A1340" s="269">
        <v>45909.6090625</v>
      </c>
      <c r="B1340" t="s">
        <v>1431</v>
      </c>
      <c r="C1340" t="s">
        <v>58</v>
      </c>
      <c r="D1340" t="s">
        <v>1647</v>
      </c>
      <c r="E1340" t="s">
        <v>41</v>
      </c>
    </row>
    <row r="1341" spans="1:5" x14ac:dyDescent="0.2">
      <c r="A1341" s="269">
        <v>45909.609097222223</v>
      </c>
      <c r="B1341" t="s">
        <v>1431</v>
      </c>
      <c r="C1341" t="s">
        <v>58</v>
      </c>
      <c r="D1341" t="s">
        <v>1648</v>
      </c>
      <c r="E1341" t="s">
        <v>397</v>
      </c>
    </row>
    <row r="1342" spans="1:5" x14ac:dyDescent="0.2">
      <c r="A1342" s="269">
        <v>45909.609143518515</v>
      </c>
      <c r="B1342" t="s">
        <v>1431</v>
      </c>
      <c r="C1342" t="s">
        <v>58</v>
      </c>
      <c r="D1342" t="s">
        <v>1649</v>
      </c>
      <c r="E1342" t="s">
        <v>400</v>
      </c>
    </row>
    <row r="1343" spans="1:5" x14ac:dyDescent="0.2">
      <c r="A1343" s="269">
        <v>45909.609178240738</v>
      </c>
      <c r="B1343" t="s">
        <v>1431</v>
      </c>
      <c r="C1343" t="s">
        <v>58</v>
      </c>
      <c r="D1343" t="s">
        <v>1650</v>
      </c>
      <c r="E1343" t="s">
        <v>404</v>
      </c>
    </row>
    <row r="1344" spans="1:5" x14ac:dyDescent="0.2">
      <c r="A1344" s="269">
        <v>45909.609224537038</v>
      </c>
      <c r="B1344" t="s">
        <v>1431</v>
      </c>
      <c r="C1344" t="s">
        <v>58</v>
      </c>
      <c r="D1344" t="s">
        <v>1651</v>
      </c>
      <c r="E1344" t="s">
        <v>407</v>
      </c>
    </row>
    <row r="1345" spans="1:5" x14ac:dyDescent="0.2">
      <c r="A1345" s="269">
        <v>45909.609675925924</v>
      </c>
      <c r="B1345" t="s">
        <v>1431</v>
      </c>
      <c r="C1345" t="s">
        <v>58</v>
      </c>
      <c r="D1345" t="s">
        <v>1509</v>
      </c>
      <c r="E1345">
        <v>0</v>
      </c>
    </row>
    <row r="1346" spans="1:5" x14ac:dyDescent="0.2">
      <c r="A1346" s="269">
        <v>45909.6096875</v>
      </c>
      <c r="B1346" t="s">
        <v>1431</v>
      </c>
      <c r="C1346" t="s">
        <v>58</v>
      </c>
      <c r="D1346" t="s">
        <v>1511</v>
      </c>
      <c r="E1346">
        <v>0</v>
      </c>
    </row>
    <row r="1347" spans="1:5" x14ac:dyDescent="0.2">
      <c r="A1347" s="269">
        <v>45909.609780092593</v>
      </c>
      <c r="B1347" t="s">
        <v>1431</v>
      </c>
      <c r="C1347" t="s">
        <v>58</v>
      </c>
      <c r="D1347" t="s">
        <v>1454</v>
      </c>
      <c r="E1347">
        <v>0</v>
      </c>
    </row>
    <row r="1348" spans="1:5" x14ac:dyDescent="0.2">
      <c r="A1348" s="269">
        <v>45909.609942129631</v>
      </c>
      <c r="B1348" t="s">
        <v>1431</v>
      </c>
      <c r="C1348" t="s">
        <v>58</v>
      </c>
      <c r="D1348" t="s">
        <v>1509</v>
      </c>
      <c r="E1348">
        <v>114.96</v>
      </c>
    </row>
    <row r="1349" spans="1:5" x14ac:dyDescent="0.2">
      <c r="A1349" s="269">
        <v>45909.610196759262</v>
      </c>
      <c r="B1349" t="s">
        <v>1431</v>
      </c>
      <c r="C1349" t="s">
        <v>58</v>
      </c>
      <c r="D1349" t="s">
        <v>1511</v>
      </c>
    </row>
    <row r="1350" spans="1:5" x14ac:dyDescent="0.2">
      <c r="A1350" s="269">
        <v>45909.610243055555</v>
      </c>
      <c r="B1350" t="s">
        <v>1431</v>
      </c>
      <c r="C1350" t="s">
        <v>58</v>
      </c>
      <c r="D1350" t="s">
        <v>1511</v>
      </c>
      <c r="E1350">
        <v>0</v>
      </c>
    </row>
    <row r="1351" spans="1:5" x14ac:dyDescent="0.2">
      <c r="A1351" s="269">
        <v>45909.610347222224</v>
      </c>
      <c r="B1351" t="s">
        <v>1431</v>
      </c>
      <c r="C1351" t="s">
        <v>58</v>
      </c>
      <c r="D1351" t="s">
        <v>1519</v>
      </c>
      <c r="E1351">
        <v>44.37</v>
      </c>
    </row>
    <row r="1352" spans="1:5" x14ac:dyDescent="0.2">
      <c r="A1352" s="269">
        <v>45909.610439814816</v>
      </c>
      <c r="B1352" t="s">
        <v>1431</v>
      </c>
      <c r="C1352" t="s">
        <v>58</v>
      </c>
      <c r="D1352" t="s">
        <v>1652</v>
      </c>
      <c r="E1352">
        <v>50.74</v>
      </c>
    </row>
    <row r="1353" spans="1:5" x14ac:dyDescent="0.2">
      <c r="A1353" s="269">
        <v>45909.610532407409</v>
      </c>
      <c r="B1353" t="s">
        <v>1431</v>
      </c>
      <c r="C1353" t="s">
        <v>58</v>
      </c>
      <c r="D1353" t="s">
        <v>1653</v>
      </c>
      <c r="E1353">
        <v>76.33</v>
      </c>
    </row>
    <row r="1354" spans="1:5" x14ac:dyDescent="0.2">
      <c r="A1354" s="269">
        <v>45909.610636574071</v>
      </c>
      <c r="B1354" t="s">
        <v>1431</v>
      </c>
      <c r="C1354" t="s">
        <v>58</v>
      </c>
      <c r="D1354" t="s">
        <v>1654</v>
      </c>
      <c r="E1354">
        <v>82.18</v>
      </c>
    </row>
    <row r="1355" spans="1:5" x14ac:dyDescent="0.2">
      <c r="A1355" s="269">
        <v>45909.610914351855</v>
      </c>
      <c r="B1355" t="s">
        <v>1431</v>
      </c>
      <c r="C1355" t="s">
        <v>58</v>
      </c>
      <c r="D1355" t="s">
        <v>1655</v>
      </c>
      <c r="E1355">
        <v>265</v>
      </c>
    </row>
    <row r="1356" spans="1:5" x14ac:dyDescent="0.2">
      <c r="A1356" s="269">
        <v>45909.610983796294</v>
      </c>
      <c r="B1356" t="s">
        <v>1431</v>
      </c>
      <c r="C1356" t="s">
        <v>58</v>
      </c>
      <c r="D1356" t="s">
        <v>1656</v>
      </c>
      <c r="E1356">
        <v>439</v>
      </c>
    </row>
    <row r="1357" spans="1:5" x14ac:dyDescent="0.2">
      <c r="A1357" s="269">
        <v>45909.611041666663</v>
      </c>
      <c r="B1357" t="s">
        <v>1431</v>
      </c>
      <c r="C1357" t="s">
        <v>58</v>
      </c>
      <c r="D1357" t="s">
        <v>1657</v>
      </c>
      <c r="E1357">
        <v>809</v>
      </c>
    </row>
    <row r="1358" spans="1:5" x14ac:dyDescent="0.2">
      <c r="A1358" s="269">
        <v>45909.611145833333</v>
      </c>
      <c r="B1358" t="s">
        <v>1431</v>
      </c>
      <c r="C1358" t="s">
        <v>58</v>
      </c>
      <c r="D1358" t="s">
        <v>1656</v>
      </c>
    </row>
    <row r="1359" spans="1:5" x14ac:dyDescent="0.2">
      <c r="A1359" s="269">
        <v>45909.611180555556</v>
      </c>
      <c r="B1359" t="s">
        <v>1431</v>
      </c>
      <c r="C1359" t="s">
        <v>58</v>
      </c>
      <c r="D1359" t="s">
        <v>1657</v>
      </c>
    </row>
    <row r="1360" spans="1:5" x14ac:dyDescent="0.2">
      <c r="A1360" s="269">
        <v>45909.612256944441</v>
      </c>
      <c r="B1360" t="s">
        <v>1431</v>
      </c>
      <c r="C1360" t="s">
        <v>58</v>
      </c>
      <c r="D1360" t="s">
        <v>1658</v>
      </c>
      <c r="E1360">
        <v>439</v>
      </c>
    </row>
    <row r="1361" spans="1:5" x14ac:dyDescent="0.2">
      <c r="A1361" s="269">
        <v>45909.612337962964</v>
      </c>
      <c r="B1361" t="s">
        <v>1431</v>
      </c>
      <c r="C1361" t="s">
        <v>58</v>
      </c>
      <c r="D1361" t="s">
        <v>1659</v>
      </c>
      <c r="E1361">
        <v>809</v>
      </c>
    </row>
    <row r="1362" spans="1:5" x14ac:dyDescent="0.2">
      <c r="A1362" s="269">
        <v>45909.612430555557</v>
      </c>
      <c r="B1362" t="s">
        <v>1431</v>
      </c>
      <c r="C1362" t="s">
        <v>58</v>
      </c>
      <c r="D1362" t="s">
        <v>1660</v>
      </c>
      <c r="E1362">
        <v>668</v>
      </c>
    </row>
    <row r="1363" spans="1:5" x14ac:dyDescent="0.2">
      <c r="A1363" s="269">
        <v>45909.616180555553</v>
      </c>
      <c r="B1363" t="s">
        <v>1431</v>
      </c>
      <c r="C1363" t="s">
        <v>58</v>
      </c>
      <c r="D1363" t="s">
        <v>1661</v>
      </c>
      <c r="E1363">
        <v>0</v>
      </c>
    </row>
    <row r="1364" spans="1:5" x14ac:dyDescent="0.2">
      <c r="A1364" s="269">
        <v>45909.616481481484</v>
      </c>
      <c r="B1364" t="s">
        <v>1431</v>
      </c>
      <c r="C1364" t="s">
        <v>58</v>
      </c>
      <c r="D1364" t="s">
        <v>1662</v>
      </c>
      <c r="E1364">
        <v>523</v>
      </c>
    </row>
    <row r="1365" spans="1:5" x14ac:dyDescent="0.2">
      <c r="A1365" s="269">
        <v>45909.616643518515</v>
      </c>
      <c r="B1365" t="s">
        <v>1431</v>
      </c>
      <c r="C1365" t="s">
        <v>58</v>
      </c>
      <c r="D1365" t="s">
        <v>1663</v>
      </c>
      <c r="E1365" t="s">
        <v>407</v>
      </c>
    </row>
    <row r="1366" spans="1:5" x14ac:dyDescent="0.2">
      <c r="A1366" s="269">
        <v>45909.616979166669</v>
      </c>
      <c r="B1366" t="s">
        <v>1431</v>
      </c>
      <c r="C1366" t="s">
        <v>58</v>
      </c>
      <c r="D1366" t="s">
        <v>1664</v>
      </c>
      <c r="E1366">
        <v>0</v>
      </c>
    </row>
    <row r="1367" spans="1:5" x14ac:dyDescent="0.2">
      <c r="A1367" s="269">
        <v>45909.617048611108</v>
      </c>
      <c r="B1367" t="s">
        <v>1431</v>
      </c>
      <c r="C1367" t="s">
        <v>58</v>
      </c>
      <c r="D1367" t="s">
        <v>1665</v>
      </c>
      <c r="E1367">
        <v>139</v>
      </c>
    </row>
    <row r="1368" spans="1:5" x14ac:dyDescent="0.2">
      <c r="A1368" s="269">
        <v>45909.6171875</v>
      </c>
      <c r="B1368" t="s">
        <v>1431</v>
      </c>
      <c r="C1368" t="s">
        <v>58</v>
      </c>
      <c r="D1368" t="s">
        <v>1666</v>
      </c>
      <c r="E1368">
        <v>81.239999999999995</v>
      </c>
    </row>
    <row r="1369" spans="1:5" x14ac:dyDescent="0.2">
      <c r="A1369" s="269">
        <v>45909.617256944446</v>
      </c>
      <c r="B1369" t="s">
        <v>1431</v>
      </c>
      <c r="C1369" t="s">
        <v>58</v>
      </c>
      <c r="D1369" t="s">
        <v>1667</v>
      </c>
      <c r="E1369">
        <v>8</v>
      </c>
    </row>
    <row r="1370" spans="1:5" x14ac:dyDescent="0.2">
      <c r="A1370" s="269">
        <v>45909.617430555554</v>
      </c>
      <c r="B1370" t="s">
        <v>1431</v>
      </c>
      <c r="C1370" t="s">
        <v>58</v>
      </c>
      <c r="D1370" t="s">
        <v>1668</v>
      </c>
      <c r="E1370">
        <v>0</v>
      </c>
    </row>
    <row r="1371" spans="1:5" x14ac:dyDescent="0.2">
      <c r="A1371" s="269">
        <v>45909.617465277777</v>
      </c>
      <c r="B1371" t="s">
        <v>1431</v>
      </c>
      <c r="C1371" t="s">
        <v>58</v>
      </c>
      <c r="D1371" t="s">
        <v>1669</v>
      </c>
      <c r="E1371">
        <v>0</v>
      </c>
    </row>
    <row r="1372" spans="1:5" x14ac:dyDescent="0.2">
      <c r="A1372" s="269">
        <v>45909.617685185185</v>
      </c>
      <c r="B1372" t="s">
        <v>1431</v>
      </c>
      <c r="C1372" t="s">
        <v>58</v>
      </c>
      <c r="D1372" t="s">
        <v>1670</v>
      </c>
      <c r="E1372">
        <v>115.97</v>
      </c>
    </row>
    <row r="1373" spans="1:5" x14ac:dyDescent="0.2">
      <c r="A1373" s="269">
        <v>45909.617708333331</v>
      </c>
      <c r="B1373" t="s">
        <v>1431</v>
      </c>
      <c r="C1373" t="s">
        <v>58</v>
      </c>
      <c r="D1373" t="s">
        <v>1671</v>
      </c>
      <c r="E1373">
        <v>15</v>
      </c>
    </row>
    <row r="1374" spans="1:5" x14ac:dyDescent="0.2">
      <c r="A1374" s="269">
        <v>45909.618645833332</v>
      </c>
      <c r="B1374" t="s">
        <v>1431</v>
      </c>
      <c r="C1374" t="s">
        <v>58</v>
      </c>
      <c r="D1374" t="s">
        <v>1672</v>
      </c>
      <c r="E1374" t="s">
        <v>404</v>
      </c>
    </row>
    <row r="1375" spans="1:5" x14ac:dyDescent="0.2">
      <c r="A1375" s="269">
        <v>45909.618715277778</v>
      </c>
      <c r="B1375" t="s">
        <v>1431</v>
      </c>
      <c r="C1375" t="s">
        <v>58</v>
      </c>
      <c r="D1375" t="s">
        <v>1673</v>
      </c>
      <c r="E1375" t="s">
        <v>400</v>
      </c>
    </row>
    <row r="1376" spans="1:5" x14ac:dyDescent="0.2">
      <c r="A1376" s="269">
        <v>45909.618969907409</v>
      </c>
      <c r="B1376" t="s">
        <v>1431</v>
      </c>
      <c r="C1376" t="s">
        <v>58</v>
      </c>
      <c r="D1376" t="s">
        <v>1674</v>
      </c>
      <c r="E1376">
        <v>132.66</v>
      </c>
    </row>
    <row r="1377" spans="1:5" x14ac:dyDescent="0.2">
      <c r="A1377" s="269">
        <v>45909.619050925925</v>
      </c>
      <c r="B1377" t="s">
        <v>1431</v>
      </c>
      <c r="C1377" t="s">
        <v>58</v>
      </c>
      <c r="D1377" t="s">
        <v>1675</v>
      </c>
      <c r="E1377">
        <v>1307</v>
      </c>
    </row>
    <row r="1378" spans="1:5" x14ac:dyDescent="0.2">
      <c r="A1378" s="269">
        <v>45909.619247685187</v>
      </c>
      <c r="B1378" t="s">
        <v>1431</v>
      </c>
      <c r="C1378" t="s">
        <v>58</v>
      </c>
      <c r="D1378" t="s">
        <v>1676</v>
      </c>
      <c r="E1378">
        <v>59.42</v>
      </c>
    </row>
    <row r="1379" spans="1:5" x14ac:dyDescent="0.2">
      <c r="A1379" s="269">
        <v>45909.619340277779</v>
      </c>
      <c r="B1379" t="s">
        <v>1431</v>
      </c>
      <c r="C1379" t="s">
        <v>58</v>
      </c>
      <c r="D1379" t="s">
        <v>1677</v>
      </c>
      <c r="E1379">
        <v>193</v>
      </c>
    </row>
    <row r="1380" spans="1:5" x14ac:dyDescent="0.2">
      <c r="A1380" s="269">
        <v>45909.619490740741</v>
      </c>
      <c r="B1380" t="s">
        <v>1431</v>
      </c>
      <c r="C1380" t="s">
        <v>58</v>
      </c>
      <c r="D1380" t="s">
        <v>1678</v>
      </c>
      <c r="E1380">
        <v>113.11</v>
      </c>
    </row>
    <row r="1381" spans="1:5" x14ac:dyDescent="0.2">
      <c r="A1381" s="269">
        <v>45909.61954861111</v>
      </c>
      <c r="B1381" t="s">
        <v>1431</v>
      </c>
      <c r="C1381" t="s">
        <v>58</v>
      </c>
      <c r="D1381" t="s">
        <v>1679</v>
      </c>
      <c r="E1381">
        <v>802</v>
      </c>
    </row>
    <row r="1382" spans="1:5" x14ac:dyDescent="0.2">
      <c r="A1382" s="269">
        <v>45909.619699074072</v>
      </c>
      <c r="B1382" t="s">
        <v>1431</v>
      </c>
      <c r="C1382" t="s">
        <v>58</v>
      </c>
      <c r="D1382" t="s">
        <v>1680</v>
      </c>
      <c r="E1382">
        <v>45.61</v>
      </c>
    </row>
    <row r="1383" spans="1:5" x14ac:dyDescent="0.2">
      <c r="A1383" s="269">
        <v>45909.619768518518</v>
      </c>
      <c r="B1383" t="s">
        <v>1431</v>
      </c>
      <c r="C1383" t="s">
        <v>58</v>
      </c>
      <c r="D1383" t="s">
        <v>1681</v>
      </c>
      <c r="E1383">
        <v>319</v>
      </c>
    </row>
    <row r="1384" spans="1:5" x14ac:dyDescent="0.2">
      <c r="A1384" s="269">
        <v>45909.61991898148</v>
      </c>
      <c r="B1384" t="s">
        <v>1431</v>
      </c>
      <c r="C1384" t="s">
        <v>58</v>
      </c>
      <c r="D1384" t="s">
        <v>1682</v>
      </c>
      <c r="E1384">
        <v>0</v>
      </c>
    </row>
    <row r="1385" spans="1:5" x14ac:dyDescent="0.2">
      <c r="A1385" s="269">
        <v>45909.619976851849</v>
      </c>
      <c r="B1385" t="s">
        <v>1431</v>
      </c>
      <c r="C1385" t="s">
        <v>58</v>
      </c>
      <c r="D1385" t="s">
        <v>1683</v>
      </c>
      <c r="E1385">
        <v>23</v>
      </c>
    </row>
    <row r="1386" spans="1:5" x14ac:dyDescent="0.2">
      <c r="A1386" s="269">
        <v>45909.620138888888</v>
      </c>
      <c r="B1386" t="s">
        <v>1431</v>
      </c>
      <c r="C1386" t="s">
        <v>58</v>
      </c>
      <c r="D1386" t="s">
        <v>1684</v>
      </c>
    </row>
    <row r="1387" spans="1:5" x14ac:dyDescent="0.2">
      <c r="A1387" s="269">
        <v>45909.620150462964</v>
      </c>
      <c r="B1387" t="s">
        <v>1431</v>
      </c>
      <c r="C1387" t="s">
        <v>58</v>
      </c>
      <c r="D1387" t="s">
        <v>1685</v>
      </c>
      <c r="E1387">
        <v>0</v>
      </c>
    </row>
    <row r="1388" spans="1:5" x14ac:dyDescent="0.2">
      <c r="A1388" s="269">
        <v>45909.620208333334</v>
      </c>
      <c r="B1388" t="s">
        <v>1431</v>
      </c>
      <c r="C1388" t="s">
        <v>58</v>
      </c>
      <c r="D1388" t="s">
        <v>1686</v>
      </c>
      <c r="E1388">
        <v>243</v>
      </c>
    </row>
    <row r="1389" spans="1:5" x14ac:dyDescent="0.2">
      <c r="A1389" s="269">
        <v>45909.620312500003</v>
      </c>
      <c r="B1389" t="s">
        <v>1431</v>
      </c>
      <c r="C1389" t="s">
        <v>58</v>
      </c>
      <c r="D1389" t="s">
        <v>1684</v>
      </c>
      <c r="E1389">
        <v>0</v>
      </c>
    </row>
    <row r="1390" spans="1:5" x14ac:dyDescent="0.2">
      <c r="A1390" s="269">
        <v>45909.620370370372</v>
      </c>
      <c r="B1390" t="s">
        <v>1431</v>
      </c>
      <c r="C1390" t="s">
        <v>58</v>
      </c>
      <c r="D1390" t="s">
        <v>1687</v>
      </c>
      <c r="E1390">
        <v>0</v>
      </c>
    </row>
    <row r="1391" spans="1:5" x14ac:dyDescent="0.2">
      <c r="A1391" s="269">
        <v>45909.620520833334</v>
      </c>
      <c r="B1391" t="s">
        <v>1431</v>
      </c>
      <c r="C1391" t="s">
        <v>58</v>
      </c>
      <c r="D1391" t="s">
        <v>1688</v>
      </c>
      <c r="E1391">
        <v>0</v>
      </c>
    </row>
    <row r="1392" spans="1:5" x14ac:dyDescent="0.2">
      <c r="A1392" s="269">
        <v>45909.62054398148</v>
      </c>
      <c r="B1392" t="s">
        <v>1431</v>
      </c>
      <c r="C1392" t="s">
        <v>58</v>
      </c>
      <c r="D1392" t="s">
        <v>1689</v>
      </c>
      <c r="E1392">
        <v>0</v>
      </c>
    </row>
    <row r="1393" spans="1:5" x14ac:dyDescent="0.2">
      <c r="A1393" s="269">
        <v>45909.620752314811</v>
      </c>
      <c r="B1393" t="s">
        <v>1431</v>
      </c>
      <c r="C1393" t="s">
        <v>58</v>
      </c>
      <c r="D1393" t="s">
        <v>1690</v>
      </c>
      <c r="E1393">
        <v>0</v>
      </c>
    </row>
    <row r="1394" spans="1:5" x14ac:dyDescent="0.2">
      <c r="A1394" s="269">
        <v>45909.620798611111</v>
      </c>
      <c r="B1394" t="s">
        <v>1431</v>
      </c>
      <c r="C1394" t="s">
        <v>58</v>
      </c>
      <c r="D1394" t="s">
        <v>1691</v>
      </c>
      <c r="E1394">
        <v>176</v>
      </c>
    </row>
    <row r="1395" spans="1:5" x14ac:dyDescent="0.2">
      <c r="A1395" s="269">
        <v>45909.620925925927</v>
      </c>
      <c r="B1395" t="s">
        <v>1431</v>
      </c>
      <c r="C1395" t="s">
        <v>58</v>
      </c>
      <c r="D1395" t="s">
        <v>1692</v>
      </c>
      <c r="E1395">
        <v>0</v>
      </c>
    </row>
    <row r="1396" spans="1:5" x14ac:dyDescent="0.2">
      <c r="A1396" s="269">
        <v>45909.62096064815</v>
      </c>
      <c r="B1396" t="s">
        <v>1431</v>
      </c>
      <c r="C1396" t="s">
        <v>58</v>
      </c>
      <c r="D1396" t="s">
        <v>1693</v>
      </c>
      <c r="E1396">
        <v>263</v>
      </c>
    </row>
    <row r="1397" spans="1:5" x14ac:dyDescent="0.2">
      <c r="A1397" s="269">
        <v>45909.62190972222</v>
      </c>
      <c r="B1397" t="s">
        <v>1431</v>
      </c>
      <c r="C1397" t="s">
        <v>58</v>
      </c>
      <c r="D1397" t="s">
        <v>1694</v>
      </c>
      <c r="E1397" t="s">
        <v>397</v>
      </c>
    </row>
    <row r="1398" spans="1:5" x14ac:dyDescent="0.2">
      <c r="A1398" s="269">
        <v>45909.622187499997</v>
      </c>
      <c r="B1398" t="s">
        <v>1431</v>
      </c>
      <c r="C1398" t="s">
        <v>58</v>
      </c>
      <c r="D1398" t="s">
        <v>1695</v>
      </c>
      <c r="E1398">
        <v>75.430000000000007</v>
      </c>
    </row>
    <row r="1399" spans="1:5" x14ac:dyDescent="0.2">
      <c r="A1399" s="269">
        <v>45909.62222222222</v>
      </c>
      <c r="B1399" t="s">
        <v>1431</v>
      </c>
      <c r="C1399" t="s">
        <v>58</v>
      </c>
      <c r="D1399" t="s">
        <v>1696</v>
      </c>
      <c r="E1399">
        <v>706</v>
      </c>
    </row>
    <row r="1400" spans="1:5" x14ac:dyDescent="0.2">
      <c r="A1400" s="269">
        <v>45909.622349537036</v>
      </c>
      <c r="B1400" t="s">
        <v>1431</v>
      </c>
      <c r="C1400" t="s">
        <v>58</v>
      </c>
      <c r="D1400" t="s">
        <v>1697</v>
      </c>
      <c r="E1400">
        <v>46.05</v>
      </c>
    </row>
    <row r="1401" spans="1:5" x14ac:dyDescent="0.2">
      <c r="A1401" s="269">
        <v>45909.622418981482</v>
      </c>
      <c r="B1401" t="s">
        <v>1431</v>
      </c>
      <c r="C1401" t="s">
        <v>58</v>
      </c>
      <c r="D1401" t="s">
        <v>1698</v>
      </c>
      <c r="E1401">
        <v>323</v>
      </c>
    </row>
    <row r="1402" spans="1:5" x14ac:dyDescent="0.2">
      <c r="A1402" s="269">
        <v>45909.622546296298</v>
      </c>
      <c r="B1402" t="s">
        <v>1431</v>
      </c>
      <c r="C1402" t="s">
        <v>58</v>
      </c>
      <c r="D1402" t="s">
        <v>1699</v>
      </c>
      <c r="E1402">
        <v>110.26</v>
      </c>
    </row>
    <row r="1403" spans="1:5" x14ac:dyDescent="0.2">
      <c r="A1403" s="269">
        <v>45909.622627314813</v>
      </c>
      <c r="B1403" t="s">
        <v>1431</v>
      </c>
      <c r="C1403" t="s">
        <v>58</v>
      </c>
      <c r="D1403" t="s">
        <v>1700</v>
      </c>
      <c r="E1403">
        <v>306</v>
      </c>
    </row>
    <row r="1404" spans="1:5" x14ac:dyDescent="0.2">
      <c r="A1404" s="269">
        <v>45909.622789351852</v>
      </c>
      <c r="B1404" t="s">
        <v>1431</v>
      </c>
      <c r="C1404" t="s">
        <v>58</v>
      </c>
      <c r="D1404" t="s">
        <v>1701</v>
      </c>
      <c r="E1404">
        <v>0</v>
      </c>
    </row>
    <row r="1405" spans="1:5" x14ac:dyDescent="0.2">
      <c r="A1405" s="269">
        <v>45909.622812499998</v>
      </c>
      <c r="B1405" t="s">
        <v>1431</v>
      </c>
      <c r="C1405" t="s">
        <v>58</v>
      </c>
      <c r="D1405" t="s">
        <v>1702</v>
      </c>
      <c r="E1405">
        <v>56</v>
      </c>
    </row>
    <row r="1406" spans="1:5" x14ac:dyDescent="0.2">
      <c r="A1406" s="269">
        <v>45909.622928240744</v>
      </c>
      <c r="B1406" t="s">
        <v>1431</v>
      </c>
      <c r="C1406" t="s">
        <v>58</v>
      </c>
      <c r="D1406" t="s">
        <v>1703</v>
      </c>
      <c r="E1406">
        <v>65.989999999999995</v>
      </c>
    </row>
    <row r="1407" spans="1:5" x14ac:dyDescent="0.2">
      <c r="A1407" s="269">
        <v>45909.62300925926</v>
      </c>
      <c r="B1407" t="s">
        <v>1431</v>
      </c>
      <c r="C1407" t="s">
        <v>58</v>
      </c>
      <c r="D1407" t="s">
        <v>1704</v>
      </c>
      <c r="E1407">
        <v>250</v>
      </c>
    </row>
    <row r="1408" spans="1:5" x14ac:dyDescent="0.2">
      <c r="A1408" s="269">
        <v>45909.623668981483</v>
      </c>
      <c r="B1408" t="s">
        <v>1431</v>
      </c>
      <c r="C1408" t="s">
        <v>58</v>
      </c>
      <c r="D1408" t="s">
        <v>1705</v>
      </c>
      <c r="E1408" t="s">
        <v>41</v>
      </c>
    </row>
    <row r="1409" spans="1:5" x14ac:dyDescent="0.2">
      <c r="A1409" s="269">
        <v>45909.624328703707</v>
      </c>
      <c r="B1409" t="s">
        <v>1431</v>
      </c>
      <c r="C1409" t="s">
        <v>58</v>
      </c>
      <c r="D1409" t="s">
        <v>1706</v>
      </c>
      <c r="E1409">
        <v>95.75</v>
      </c>
    </row>
    <row r="1410" spans="1:5" x14ac:dyDescent="0.2">
      <c r="A1410" s="269">
        <v>45909.624398148146</v>
      </c>
      <c r="B1410" t="s">
        <v>1431</v>
      </c>
      <c r="C1410" t="s">
        <v>58</v>
      </c>
      <c r="D1410" t="s">
        <v>1707</v>
      </c>
      <c r="E1410">
        <v>981</v>
      </c>
    </row>
    <row r="1411" spans="1:5" x14ac:dyDescent="0.2">
      <c r="A1411" s="269">
        <v>45909.624641203707</v>
      </c>
      <c r="B1411" t="s">
        <v>1431</v>
      </c>
      <c r="C1411" t="s">
        <v>58</v>
      </c>
      <c r="D1411" t="s">
        <v>1708</v>
      </c>
      <c r="E1411">
        <v>100</v>
      </c>
    </row>
    <row r="1412" spans="1:5" x14ac:dyDescent="0.2">
      <c r="A1412" s="269">
        <v>45909.6246875</v>
      </c>
      <c r="B1412" t="s">
        <v>1431</v>
      </c>
      <c r="C1412" t="s">
        <v>58</v>
      </c>
      <c r="D1412" t="s">
        <v>1709</v>
      </c>
      <c r="E1412">
        <v>12</v>
      </c>
    </row>
    <row r="1413" spans="1:5" x14ac:dyDescent="0.2">
      <c r="A1413" s="269">
        <v>45909.624745370369</v>
      </c>
      <c r="B1413" t="s">
        <v>1431</v>
      </c>
      <c r="C1413" t="s">
        <v>58</v>
      </c>
      <c r="D1413" t="s">
        <v>1710</v>
      </c>
      <c r="E1413">
        <v>100</v>
      </c>
    </row>
    <row r="1414" spans="1:5" x14ac:dyDescent="0.2">
      <c r="A1414" s="269">
        <v>45909.624768518515</v>
      </c>
      <c r="B1414" t="s">
        <v>1431</v>
      </c>
      <c r="C1414" t="s">
        <v>58</v>
      </c>
      <c r="D1414" t="s">
        <v>1711</v>
      </c>
      <c r="E1414">
        <v>12</v>
      </c>
    </row>
    <row r="1415" spans="1:5" x14ac:dyDescent="0.2">
      <c r="A1415" s="269">
        <v>45909.624814814815</v>
      </c>
      <c r="B1415" t="s">
        <v>1431</v>
      </c>
      <c r="C1415" t="s">
        <v>58</v>
      </c>
      <c r="D1415" t="s">
        <v>1708</v>
      </c>
    </row>
    <row r="1416" spans="1:5" x14ac:dyDescent="0.2">
      <c r="A1416" s="269">
        <v>45909.624837962961</v>
      </c>
      <c r="B1416" t="s">
        <v>1431</v>
      </c>
      <c r="C1416" t="s">
        <v>58</v>
      </c>
      <c r="D1416" t="s">
        <v>1709</v>
      </c>
    </row>
    <row r="1417" spans="1:5" x14ac:dyDescent="0.2">
      <c r="A1417" s="269">
        <v>45909.624976851854</v>
      </c>
      <c r="B1417" t="s">
        <v>1431</v>
      </c>
      <c r="C1417" t="s">
        <v>58</v>
      </c>
      <c r="D1417" t="s">
        <v>1708</v>
      </c>
      <c r="E1417">
        <v>72.819999999999993</v>
      </c>
    </row>
    <row r="1418" spans="1:5" x14ac:dyDescent="0.2">
      <c r="A1418" s="269">
        <v>45909.625081018516</v>
      </c>
      <c r="B1418" t="s">
        <v>1431</v>
      </c>
      <c r="C1418" t="s">
        <v>58</v>
      </c>
      <c r="D1418" t="s">
        <v>1709</v>
      </c>
      <c r="E1418">
        <v>756</v>
      </c>
    </row>
    <row r="1419" spans="1:5" x14ac:dyDescent="0.2">
      <c r="A1419" s="269">
        <v>45909.6253125</v>
      </c>
      <c r="B1419" t="s">
        <v>1431</v>
      </c>
      <c r="C1419" t="s">
        <v>58</v>
      </c>
      <c r="D1419" t="s">
        <v>1712</v>
      </c>
      <c r="E1419">
        <v>0</v>
      </c>
    </row>
    <row r="1420" spans="1:5" x14ac:dyDescent="0.2">
      <c r="A1420" s="269">
        <v>45909.625335648147</v>
      </c>
      <c r="B1420" t="s">
        <v>1431</v>
      </c>
      <c r="C1420" t="s">
        <v>58</v>
      </c>
      <c r="D1420" t="s">
        <v>1713</v>
      </c>
      <c r="E1420">
        <v>0</v>
      </c>
    </row>
    <row r="1421" spans="1:5" x14ac:dyDescent="0.2">
      <c r="A1421" s="269">
        <v>45909.625462962962</v>
      </c>
      <c r="B1421" t="s">
        <v>1431</v>
      </c>
      <c r="C1421" t="s">
        <v>58</v>
      </c>
      <c r="D1421" t="s">
        <v>1714</v>
      </c>
      <c r="E1421">
        <v>0</v>
      </c>
    </row>
    <row r="1422" spans="1:5" x14ac:dyDescent="0.2">
      <c r="A1422" s="269">
        <v>45909.625497685185</v>
      </c>
      <c r="B1422" t="s">
        <v>1431</v>
      </c>
      <c r="C1422" t="s">
        <v>58</v>
      </c>
      <c r="D1422" t="s">
        <v>1715</v>
      </c>
      <c r="E1422">
        <v>0</v>
      </c>
    </row>
    <row r="1423" spans="1:5" x14ac:dyDescent="0.2">
      <c r="A1423" s="269">
        <v>45909.626168981478</v>
      </c>
      <c r="B1423" t="s">
        <v>1431</v>
      </c>
      <c r="C1423" t="s">
        <v>58</v>
      </c>
      <c r="D1423" t="s">
        <v>1716</v>
      </c>
      <c r="E1423" t="s">
        <v>390</v>
      </c>
    </row>
    <row r="1424" spans="1:5" x14ac:dyDescent="0.2">
      <c r="A1424" s="269">
        <v>45909.628333333334</v>
      </c>
      <c r="B1424" t="s">
        <v>1431</v>
      </c>
      <c r="C1424" t="s">
        <v>58</v>
      </c>
      <c r="D1424" t="s">
        <v>1717</v>
      </c>
      <c r="E1424">
        <v>88.1</v>
      </c>
    </row>
    <row r="1425" spans="1:5" x14ac:dyDescent="0.2">
      <c r="A1425" s="269">
        <v>45909.62841435185</v>
      </c>
      <c r="B1425" t="s">
        <v>1431</v>
      </c>
      <c r="C1425" t="s">
        <v>58</v>
      </c>
      <c r="D1425" t="s">
        <v>1718</v>
      </c>
      <c r="E1425">
        <v>770</v>
      </c>
    </row>
    <row r="1426" spans="1:5" x14ac:dyDescent="0.2">
      <c r="A1426" s="269">
        <v>45909.628634259258</v>
      </c>
      <c r="B1426" t="s">
        <v>1431</v>
      </c>
      <c r="C1426" t="s">
        <v>58</v>
      </c>
      <c r="D1426" t="s">
        <v>1719</v>
      </c>
      <c r="E1426">
        <v>85.26</v>
      </c>
    </row>
    <row r="1427" spans="1:5" x14ac:dyDescent="0.2">
      <c r="A1427" s="269">
        <v>45909.62871527778</v>
      </c>
      <c r="B1427" t="s">
        <v>1431</v>
      </c>
      <c r="C1427" t="s">
        <v>58</v>
      </c>
      <c r="D1427" t="s">
        <v>1720</v>
      </c>
      <c r="E1427">
        <v>357</v>
      </c>
    </row>
    <row r="1428" spans="1:5" x14ac:dyDescent="0.2">
      <c r="A1428" s="269">
        <v>45909.628842592596</v>
      </c>
      <c r="B1428" t="s">
        <v>1431</v>
      </c>
      <c r="C1428" t="s">
        <v>58</v>
      </c>
      <c r="D1428" t="s">
        <v>1721</v>
      </c>
      <c r="E1428">
        <v>100</v>
      </c>
    </row>
    <row r="1429" spans="1:5" x14ac:dyDescent="0.2">
      <c r="A1429" s="269">
        <v>45909.628900462965</v>
      </c>
      <c r="B1429" t="s">
        <v>1431</v>
      </c>
      <c r="C1429" t="s">
        <v>58</v>
      </c>
      <c r="D1429" t="s">
        <v>1722</v>
      </c>
      <c r="E1429">
        <v>250</v>
      </c>
    </row>
    <row r="1430" spans="1:5" x14ac:dyDescent="0.2">
      <c r="A1430" s="269">
        <v>45909.62908564815</v>
      </c>
      <c r="B1430" t="s">
        <v>1431</v>
      </c>
      <c r="C1430" t="s">
        <v>58</v>
      </c>
      <c r="D1430" t="s">
        <v>1723</v>
      </c>
      <c r="E1430">
        <v>100</v>
      </c>
    </row>
    <row r="1431" spans="1:5" x14ac:dyDescent="0.2">
      <c r="A1431" s="269">
        <v>45909.629131944443</v>
      </c>
      <c r="B1431" t="s">
        <v>1431</v>
      </c>
      <c r="C1431" t="s">
        <v>58</v>
      </c>
      <c r="D1431" t="s">
        <v>1724</v>
      </c>
      <c r="E1431">
        <v>97</v>
      </c>
    </row>
    <row r="1432" spans="1:5" x14ac:dyDescent="0.2">
      <c r="A1432" s="269">
        <v>45909.629247685189</v>
      </c>
      <c r="B1432" t="s">
        <v>1431</v>
      </c>
      <c r="C1432" t="s">
        <v>58</v>
      </c>
      <c r="D1432" t="s">
        <v>1725</v>
      </c>
      <c r="E1432">
        <v>97.27</v>
      </c>
    </row>
    <row r="1433" spans="1:5" x14ac:dyDescent="0.2">
      <c r="A1433" s="269">
        <v>45909.629328703704</v>
      </c>
      <c r="B1433" t="s">
        <v>1431</v>
      </c>
      <c r="C1433" t="s">
        <v>58</v>
      </c>
      <c r="D1433" t="s">
        <v>1726</v>
      </c>
      <c r="E1433">
        <v>250</v>
      </c>
    </row>
    <row r="1434" spans="1:5" x14ac:dyDescent="0.2">
      <c r="A1434" s="269">
        <v>45909.631979166668</v>
      </c>
      <c r="B1434" t="s">
        <v>1431</v>
      </c>
      <c r="C1434" t="s">
        <v>58</v>
      </c>
      <c r="D1434" t="s">
        <v>1511</v>
      </c>
      <c r="E1434">
        <v>53.77</v>
      </c>
    </row>
    <row r="1435" spans="1:5" x14ac:dyDescent="0.2">
      <c r="A1435" s="269">
        <v>45909.632071759261</v>
      </c>
      <c r="B1435" t="s">
        <v>1431</v>
      </c>
      <c r="C1435" t="s">
        <v>58</v>
      </c>
      <c r="D1435" t="s">
        <v>1511</v>
      </c>
      <c r="E1435">
        <v>54.77</v>
      </c>
    </row>
    <row r="1436" spans="1:5" x14ac:dyDescent="0.2">
      <c r="A1436" s="269">
        <v>45909.632187499999</v>
      </c>
      <c r="B1436" t="s">
        <v>1431</v>
      </c>
      <c r="C1436" t="s">
        <v>58</v>
      </c>
      <c r="D1436" t="s">
        <v>1462</v>
      </c>
      <c r="E1436" t="s">
        <v>362</v>
      </c>
    </row>
    <row r="1437" spans="1:5" x14ac:dyDescent="0.2">
      <c r="A1437" s="269">
        <v>45909.632303240738</v>
      </c>
      <c r="B1437" t="s">
        <v>1431</v>
      </c>
      <c r="C1437" t="s">
        <v>58</v>
      </c>
      <c r="D1437" t="s">
        <v>1521</v>
      </c>
      <c r="E1437">
        <v>39.659999999999997</v>
      </c>
    </row>
    <row r="1438" spans="1:5" x14ac:dyDescent="0.2">
      <c r="A1438" s="269">
        <v>45909.632384259261</v>
      </c>
      <c r="B1438" t="s">
        <v>1431</v>
      </c>
      <c r="C1438" t="s">
        <v>58</v>
      </c>
      <c r="D1438" t="s">
        <v>1656</v>
      </c>
      <c r="E1438">
        <v>93</v>
      </c>
    </row>
    <row r="1439" spans="1:5" x14ac:dyDescent="0.2">
      <c r="A1439" s="269">
        <v>45909.632511574076</v>
      </c>
      <c r="B1439" t="s">
        <v>1431</v>
      </c>
      <c r="C1439" t="s">
        <v>58</v>
      </c>
      <c r="D1439" t="s">
        <v>1727</v>
      </c>
      <c r="E1439" t="s">
        <v>371</v>
      </c>
    </row>
    <row r="1440" spans="1:5" x14ac:dyDescent="0.2">
      <c r="A1440" s="269">
        <v>45909.632581018515</v>
      </c>
      <c r="B1440" t="s">
        <v>1431</v>
      </c>
      <c r="C1440" t="s">
        <v>58</v>
      </c>
      <c r="D1440" t="s">
        <v>1728</v>
      </c>
      <c r="E1440">
        <v>0</v>
      </c>
    </row>
    <row r="1441" spans="1:5" x14ac:dyDescent="0.2">
      <c r="A1441" s="269">
        <v>45909.632650462961</v>
      </c>
      <c r="B1441" t="s">
        <v>1431</v>
      </c>
      <c r="C1441" t="s">
        <v>58</v>
      </c>
      <c r="D1441" t="s">
        <v>1729</v>
      </c>
      <c r="E1441">
        <v>166</v>
      </c>
    </row>
    <row r="1442" spans="1:5" x14ac:dyDescent="0.2">
      <c r="A1442" s="269">
        <v>45909.632754629631</v>
      </c>
      <c r="B1442" t="s">
        <v>1431</v>
      </c>
      <c r="C1442" t="s">
        <v>58</v>
      </c>
      <c r="D1442" t="s">
        <v>1730</v>
      </c>
      <c r="E1442" t="s">
        <v>379</v>
      </c>
    </row>
    <row r="1443" spans="1:5" x14ac:dyDescent="0.2">
      <c r="A1443" s="269">
        <v>45909.632824074077</v>
      </c>
      <c r="B1443" t="s">
        <v>1431</v>
      </c>
      <c r="C1443" t="s">
        <v>58</v>
      </c>
      <c r="D1443" t="s">
        <v>1731</v>
      </c>
      <c r="E1443">
        <v>97.23</v>
      </c>
    </row>
    <row r="1444" spans="1:5" x14ac:dyDescent="0.2">
      <c r="A1444" s="269">
        <v>45909.633043981485</v>
      </c>
      <c r="B1444" t="s">
        <v>1431</v>
      </c>
      <c r="C1444" t="s">
        <v>58</v>
      </c>
      <c r="D1444" t="s">
        <v>1732</v>
      </c>
      <c r="E1444">
        <v>1102</v>
      </c>
    </row>
    <row r="1445" spans="1:5" x14ac:dyDescent="0.2">
      <c r="A1445" s="269">
        <v>45909.642500000002</v>
      </c>
      <c r="B1445" t="s">
        <v>1431</v>
      </c>
      <c r="C1445" t="s">
        <v>58</v>
      </c>
      <c r="D1445" t="s">
        <v>1733</v>
      </c>
      <c r="E1445" t="s">
        <v>386</v>
      </c>
    </row>
    <row r="1446" spans="1:5" x14ac:dyDescent="0.2">
      <c r="A1446" s="269">
        <v>45909.642592592594</v>
      </c>
      <c r="B1446" t="s">
        <v>1431</v>
      </c>
      <c r="C1446" t="s">
        <v>58</v>
      </c>
      <c r="D1446" t="s">
        <v>1734</v>
      </c>
      <c r="E1446">
        <v>58.88</v>
      </c>
    </row>
    <row r="1447" spans="1:5" x14ac:dyDescent="0.2">
      <c r="A1447" s="269">
        <v>45909.642685185187</v>
      </c>
      <c r="B1447" t="s">
        <v>1431</v>
      </c>
      <c r="C1447" t="s">
        <v>58</v>
      </c>
      <c r="D1447" t="s">
        <v>1735</v>
      </c>
      <c r="E1447">
        <v>690</v>
      </c>
    </row>
    <row r="1448" spans="1:5" x14ac:dyDescent="0.2">
      <c r="A1448" s="269">
        <v>45909.644618055558</v>
      </c>
      <c r="B1448" t="s">
        <v>1431</v>
      </c>
      <c r="C1448" t="s">
        <v>58</v>
      </c>
      <c r="D1448" t="s">
        <v>1463</v>
      </c>
      <c r="E1448" t="s">
        <v>362</v>
      </c>
    </row>
    <row r="1449" spans="1:5" x14ac:dyDescent="0.2">
      <c r="A1449" s="269">
        <v>45909.644884259258</v>
      </c>
      <c r="B1449" t="s">
        <v>1431</v>
      </c>
      <c r="C1449" t="s">
        <v>58</v>
      </c>
      <c r="D1449" t="s">
        <v>1523</v>
      </c>
      <c r="E1449">
        <v>0</v>
      </c>
    </row>
    <row r="1450" spans="1:5" x14ac:dyDescent="0.2">
      <c r="A1450" s="269">
        <v>45909.644988425927</v>
      </c>
      <c r="B1450" t="s">
        <v>1431</v>
      </c>
      <c r="C1450" t="s">
        <v>58</v>
      </c>
      <c r="D1450" t="s">
        <v>1657</v>
      </c>
      <c r="E1450">
        <v>242</v>
      </c>
    </row>
    <row r="1451" spans="1:5" x14ac:dyDescent="0.2">
      <c r="A1451" s="269">
        <v>45909.645046296297</v>
      </c>
      <c r="B1451" t="s">
        <v>1431</v>
      </c>
      <c r="C1451" t="s">
        <v>58</v>
      </c>
      <c r="D1451" t="s">
        <v>1736</v>
      </c>
      <c r="E1451" t="s">
        <v>371</v>
      </c>
    </row>
    <row r="1452" spans="1:5" x14ac:dyDescent="0.2">
      <c r="A1452" s="269">
        <v>45909.645104166666</v>
      </c>
      <c r="B1452" t="s">
        <v>1431</v>
      </c>
      <c r="C1452" t="s">
        <v>58</v>
      </c>
      <c r="D1452" t="s">
        <v>1737</v>
      </c>
      <c r="E1452">
        <v>0</v>
      </c>
    </row>
    <row r="1453" spans="1:5" x14ac:dyDescent="0.2">
      <c r="A1453" s="269">
        <v>45909.645196759258</v>
      </c>
      <c r="B1453" t="s">
        <v>1431</v>
      </c>
      <c r="C1453" t="s">
        <v>58</v>
      </c>
      <c r="D1453" t="s">
        <v>1738</v>
      </c>
      <c r="E1453">
        <v>43</v>
      </c>
    </row>
    <row r="1454" spans="1:5" x14ac:dyDescent="0.2">
      <c r="A1454" s="269">
        <v>45909.645312499997</v>
      </c>
      <c r="B1454" t="s">
        <v>1431</v>
      </c>
      <c r="C1454" t="s">
        <v>58</v>
      </c>
      <c r="D1454" t="s">
        <v>1739</v>
      </c>
      <c r="E1454" t="s">
        <v>379</v>
      </c>
    </row>
    <row r="1455" spans="1:5" x14ac:dyDescent="0.2">
      <c r="A1455" s="269">
        <v>45909.645335648151</v>
      </c>
      <c r="B1455" t="s">
        <v>1431</v>
      </c>
      <c r="C1455" t="s">
        <v>58</v>
      </c>
      <c r="D1455" t="s">
        <v>1740</v>
      </c>
      <c r="E1455">
        <v>0</v>
      </c>
    </row>
    <row r="1456" spans="1:5" x14ac:dyDescent="0.2">
      <c r="A1456" s="269">
        <v>45909.645358796297</v>
      </c>
      <c r="B1456" t="s">
        <v>1431</v>
      </c>
      <c r="C1456" t="s">
        <v>58</v>
      </c>
      <c r="D1456" t="s">
        <v>1741</v>
      </c>
      <c r="E1456">
        <v>3</v>
      </c>
    </row>
    <row r="1457" spans="1:5" x14ac:dyDescent="0.2">
      <c r="A1457" s="269">
        <v>45909.645787037036</v>
      </c>
      <c r="B1457" t="s">
        <v>1431</v>
      </c>
      <c r="C1457" t="s">
        <v>58</v>
      </c>
      <c r="D1457" t="s">
        <v>1742</v>
      </c>
      <c r="E1457" t="s">
        <v>386</v>
      </c>
    </row>
    <row r="1458" spans="1:5" x14ac:dyDescent="0.2">
      <c r="A1458" s="269">
        <v>45909.645810185182</v>
      </c>
      <c r="B1458" t="s">
        <v>1431</v>
      </c>
      <c r="C1458" t="s">
        <v>58</v>
      </c>
      <c r="D1458" t="s">
        <v>1743</v>
      </c>
      <c r="E1458">
        <v>0</v>
      </c>
    </row>
    <row r="1459" spans="1:5" x14ac:dyDescent="0.2">
      <c r="A1459" s="269">
        <v>45909.645833333336</v>
      </c>
      <c r="B1459" t="s">
        <v>1431</v>
      </c>
      <c r="C1459" t="s">
        <v>58</v>
      </c>
      <c r="D1459" t="s">
        <v>1744</v>
      </c>
      <c r="E1459">
        <v>132</v>
      </c>
    </row>
    <row r="1460" spans="1:5" x14ac:dyDescent="0.2">
      <c r="A1460" s="269">
        <v>45909.649710648147</v>
      </c>
      <c r="B1460" t="s">
        <v>1431</v>
      </c>
      <c r="C1460" t="s">
        <v>58</v>
      </c>
      <c r="D1460" t="s">
        <v>1745</v>
      </c>
      <c r="E1460" t="s">
        <v>362</v>
      </c>
    </row>
    <row r="1461" spans="1:5" x14ac:dyDescent="0.2">
      <c r="A1461" s="269">
        <v>45909.649930555555</v>
      </c>
      <c r="B1461" t="s">
        <v>1431</v>
      </c>
      <c r="C1461" t="s">
        <v>58</v>
      </c>
      <c r="D1461" t="s">
        <v>1746</v>
      </c>
      <c r="E1461">
        <v>0</v>
      </c>
    </row>
    <row r="1462" spans="1:5" x14ac:dyDescent="0.2">
      <c r="A1462" s="269">
        <v>45909.650312500002</v>
      </c>
      <c r="B1462" t="s">
        <v>1431</v>
      </c>
      <c r="C1462" t="s">
        <v>58</v>
      </c>
      <c r="D1462" t="s">
        <v>1747</v>
      </c>
      <c r="E1462">
        <v>3</v>
      </c>
    </row>
    <row r="1463" spans="1:5" x14ac:dyDescent="0.2">
      <c r="A1463" s="269">
        <v>45909.650381944448</v>
      </c>
      <c r="B1463" t="s">
        <v>1431</v>
      </c>
      <c r="C1463" t="s">
        <v>58</v>
      </c>
      <c r="D1463" t="s">
        <v>1748</v>
      </c>
      <c r="E1463" t="s">
        <v>371</v>
      </c>
    </row>
    <row r="1464" spans="1:5" x14ac:dyDescent="0.2">
      <c r="A1464" s="269">
        <v>45909.65042824074</v>
      </c>
      <c r="B1464" t="s">
        <v>1431</v>
      </c>
      <c r="C1464" t="s">
        <v>58</v>
      </c>
      <c r="D1464" t="s">
        <v>1749</v>
      </c>
      <c r="E1464">
        <v>0</v>
      </c>
    </row>
    <row r="1465" spans="1:5" x14ac:dyDescent="0.2">
      <c r="A1465" s="269">
        <v>45909.65047453704</v>
      </c>
      <c r="B1465" t="s">
        <v>1431</v>
      </c>
      <c r="C1465" t="s">
        <v>58</v>
      </c>
      <c r="D1465" t="s">
        <v>1750</v>
      </c>
      <c r="E1465">
        <v>3</v>
      </c>
    </row>
    <row r="1466" spans="1:5" x14ac:dyDescent="0.2">
      <c r="A1466" s="269">
        <v>45909.650555555556</v>
      </c>
      <c r="B1466" t="s">
        <v>1431</v>
      </c>
      <c r="C1466" t="s">
        <v>58</v>
      </c>
      <c r="D1466" t="s">
        <v>1751</v>
      </c>
      <c r="E1466" t="s">
        <v>379</v>
      </c>
    </row>
    <row r="1467" spans="1:5" x14ac:dyDescent="0.2">
      <c r="A1467" s="269">
        <v>45909.650613425925</v>
      </c>
      <c r="B1467" t="s">
        <v>1431</v>
      </c>
      <c r="C1467" t="s">
        <v>58</v>
      </c>
      <c r="D1467" t="s">
        <v>1752</v>
      </c>
      <c r="E1467">
        <v>96</v>
      </c>
    </row>
    <row r="1468" spans="1:5" x14ac:dyDescent="0.2">
      <c r="A1468" s="269">
        <v>45909.650671296295</v>
      </c>
      <c r="B1468" t="s">
        <v>1431</v>
      </c>
      <c r="C1468" t="s">
        <v>58</v>
      </c>
      <c r="D1468" t="s">
        <v>1753</v>
      </c>
      <c r="E1468">
        <v>87</v>
      </c>
    </row>
    <row r="1469" spans="1:5" x14ac:dyDescent="0.2">
      <c r="A1469" s="269">
        <v>45909.650763888887</v>
      </c>
      <c r="B1469" t="s">
        <v>1431</v>
      </c>
      <c r="C1469" t="s">
        <v>58</v>
      </c>
      <c r="D1469" t="s">
        <v>1754</v>
      </c>
      <c r="E1469" t="s">
        <v>386</v>
      </c>
    </row>
    <row r="1470" spans="1:5" x14ac:dyDescent="0.2">
      <c r="A1470" s="269">
        <v>45909.650787037041</v>
      </c>
      <c r="B1470" t="s">
        <v>1431</v>
      </c>
      <c r="C1470" t="s">
        <v>58</v>
      </c>
      <c r="D1470" t="s">
        <v>1755</v>
      </c>
      <c r="E1470">
        <v>0</v>
      </c>
    </row>
    <row r="1471" spans="1:5" x14ac:dyDescent="0.2">
      <c r="A1471" s="269">
        <v>45909.650810185187</v>
      </c>
      <c r="B1471" t="s">
        <v>1431</v>
      </c>
      <c r="C1471" t="s">
        <v>58</v>
      </c>
      <c r="D1471" t="s">
        <v>1756</v>
      </c>
      <c r="E1471">
        <v>0</v>
      </c>
    </row>
    <row r="1472" spans="1:5" x14ac:dyDescent="0.2">
      <c r="A1472" s="269">
        <v>45909.651365740741</v>
      </c>
      <c r="B1472" t="s">
        <v>1431</v>
      </c>
      <c r="C1472" t="s">
        <v>58</v>
      </c>
      <c r="D1472" t="s">
        <v>1757</v>
      </c>
      <c r="E1472" t="s">
        <v>362</v>
      </c>
    </row>
    <row r="1473" spans="1:5" x14ac:dyDescent="0.2">
      <c r="A1473" s="269">
        <v>45909.65152777778</v>
      </c>
      <c r="B1473" t="s">
        <v>1431</v>
      </c>
      <c r="C1473" t="s">
        <v>58</v>
      </c>
      <c r="D1473" t="s">
        <v>1758</v>
      </c>
      <c r="E1473">
        <v>0</v>
      </c>
    </row>
    <row r="1474" spans="1:5" x14ac:dyDescent="0.2">
      <c r="A1474" s="269">
        <v>45909.651597222219</v>
      </c>
      <c r="B1474" t="s">
        <v>1431</v>
      </c>
      <c r="C1474" t="s">
        <v>58</v>
      </c>
      <c r="D1474" t="s">
        <v>1759</v>
      </c>
      <c r="E1474">
        <v>242</v>
      </c>
    </row>
    <row r="1475" spans="1:5" x14ac:dyDescent="0.2">
      <c r="A1475" s="269">
        <v>45909.651712962965</v>
      </c>
      <c r="B1475" t="s">
        <v>1431</v>
      </c>
      <c r="C1475" t="s">
        <v>58</v>
      </c>
      <c r="D1475" t="s">
        <v>1760</v>
      </c>
      <c r="E1475" t="s">
        <v>371</v>
      </c>
    </row>
    <row r="1476" spans="1:5" x14ac:dyDescent="0.2">
      <c r="A1476" s="269">
        <v>45909.651817129627</v>
      </c>
      <c r="B1476" t="s">
        <v>1431</v>
      </c>
      <c r="C1476" t="s">
        <v>58</v>
      </c>
      <c r="D1476" t="s">
        <v>1761</v>
      </c>
      <c r="E1476">
        <v>100</v>
      </c>
    </row>
    <row r="1477" spans="1:5" x14ac:dyDescent="0.2">
      <c r="A1477" s="269">
        <v>45909.654224537036</v>
      </c>
      <c r="B1477" t="s">
        <v>1431</v>
      </c>
      <c r="C1477" t="s">
        <v>58</v>
      </c>
      <c r="D1477" t="s">
        <v>1762</v>
      </c>
      <c r="E1477">
        <v>16</v>
      </c>
    </row>
    <row r="1478" spans="1:5" x14ac:dyDescent="0.2">
      <c r="A1478" s="269">
        <v>45909.660555555558</v>
      </c>
      <c r="B1478" t="s">
        <v>1431</v>
      </c>
      <c r="C1478" t="s">
        <v>58</v>
      </c>
      <c r="D1478" t="s">
        <v>1763</v>
      </c>
      <c r="E1478" t="s">
        <v>379</v>
      </c>
    </row>
    <row r="1479" spans="1:5" x14ac:dyDescent="0.2">
      <c r="A1479" s="269">
        <v>45909.66065972222</v>
      </c>
      <c r="B1479" t="s">
        <v>1431</v>
      </c>
      <c r="C1479" t="s">
        <v>58</v>
      </c>
      <c r="D1479" t="s">
        <v>1764</v>
      </c>
      <c r="E1479">
        <v>0</v>
      </c>
    </row>
    <row r="1480" spans="1:5" x14ac:dyDescent="0.2">
      <c r="A1480" s="269">
        <v>45909.66070601852</v>
      </c>
      <c r="B1480" t="s">
        <v>1431</v>
      </c>
      <c r="C1480" t="s">
        <v>58</v>
      </c>
      <c r="D1480" t="s">
        <v>1765</v>
      </c>
      <c r="E1480">
        <v>3</v>
      </c>
    </row>
    <row r="1481" spans="1:5" x14ac:dyDescent="0.2">
      <c r="A1481" s="269">
        <v>45909.660833333335</v>
      </c>
      <c r="B1481" t="s">
        <v>1431</v>
      </c>
      <c r="C1481" t="s">
        <v>58</v>
      </c>
      <c r="D1481" t="s">
        <v>1766</v>
      </c>
      <c r="E1481" t="s">
        <v>386</v>
      </c>
    </row>
    <row r="1482" spans="1:5" x14ac:dyDescent="0.2">
      <c r="A1482" s="269">
        <v>45909.660879629628</v>
      </c>
      <c r="B1482" t="s">
        <v>1431</v>
      </c>
      <c r="C1482" t="s">
        <v>58</v>
      </c>
      <c r="D1482" t="s">
        <v>1767</v>
      </c>
      <c r="E1482">
        <v>0</v>
      </c>
    </row>
    <row r="1483" spans="1:5" x14ac:dyDescent="0.2">
      <c r="A1483" s="269">
        <v>45909.660949074074</v>
      </c>
      <c r="B1483" t="s">
        <v>1431</v>
      </c>
      <c r="C1483" t="s">
        <v>58</v>
      </c>
      <c r="D1483" t="s">
        <v>1768</v>
      </c>
      <c r="E1483">
        <v>3</v>
      </c>
    </row>
    <row r="1484" spans="1:5" x14ac:dyDescent="0.2">
      <c r="A1484" s="269">
        <v>45909.66134259259</v>
      </c>
      <c r="B1484" t="s">
        <v>1431</v>
      </c>
      <c r="C1484" t="s">
        <v>58</v>
      </c>
      <c r="D1484" t="s">
        <v>1769</v>
      </c>
    </row>
    <row r="1485" spans="1:5" x14ac:dyDescent="0.2">
      <c r="A1485" s="269">
        <v>45909.661354166667</v>
      </c>
      <c r="B1485" t="s">
        <v>1431</v>
      </c>
      <c r="C1485" t="s">
        <v>58</v>
      </c>
      <c r="D1485" t="s">
        <v>1770</v>
      </c>
    </row>
    <row r="1486" spans="1:5" x14ac:dyDescent="0.2">
      <c r="A1486" s="269">
        <v>45909.661932870367</v>
      </c>
      <c r="B1486" t="s">
        <v>1431</v>
      </c>
      <c r="C1486" t="s">
        <v>15</v>
      </c>
      <c r="D1486" t="s">
        <v>1191</v>
      </c>
    </row>
    <row r="1487" spans="1:5" x14ac:dyDescent="0.2">
      <c r="A1487" s="269">
        <v>45909.662476851852</v>
      </c>
      <c r="B1487" t="s">
        <v>1431</v>
      </c>
      <c r="C1487" t="s">
        <v>15</v>
      </c>
      <c r="D1487" t="s">
        <v>1066</v>
      </c>
    </row>
    <row r="1488" spans="1:5" x14ac:dyDescent="0.2">
      <c r="A1488" s="269">
        <v>45909.66269675926</v>
      </c>
      <c r="B1488" t="s">
        <v>1431</v>
      </c>
      <c r="C1488" t="s">
        <v>15</v>
      </c>
      <c r="D1488" t="s">
        <v>1191</v>
      </c>
      <c r="E1488" t="s">
        <v>1771</v>
      </c>
    </row>
    <row r="1489" spans="1:5" x14ac:dyDescent="0.2">
      <c r="A1489" s="269">
        <v>45909.662754629629</v>
      </c>
      <c r="B1489" t="s">
        <v>1431</v>
      </c>
      <c r="C1489" t="s">
        <v>15</v>
      </c>
      <c r="D1489" t="s">
        <v>1010</v>
      </c>
      <c r="E1489" t="s">
        <v>200</v>
      </c>
    </row>
    <row r="1490" spans="1:5" x14ac:dyDescent="0.2">
      <c r="A1490" s="269">
        <v>45909.662812499999</v>
      </c>
      <c r="B1490" t="s">
        <v>1431</v>
      </c>
      <c r="C1490" t="s">
        <v>15</v>
      </c>
      <c r="D1490" t="s">
        <v>1066</v>
      </c>
      <c r="E1490">
        <v>1</v>
      </c>
    </row>
    <row r="1491" spans="1:5" x14ac:dyDescent="0.2">
      <c r="A1491" s="269">
        <v>45909.662858796299</v>
      </c>
      <c r="B1491" t="s">
        <v>1431</v>
      </c>
      <c r="C1491" t="s">
        <v>15</v>
      </c>
      <c r="D1491" t="s">
        <v>973</v>
      </c>
      <c r="E1491" t="s">
        <v>372</v>
      </c>
    </row>
    <row r="1492" spans="1:5" x14ac:dyDescent="0.2">
      <c r="A1492" s="269">
        <v>45909.662928240738</v>
      </c>
      <c r="B1492" t="s">
        <v>1431</v>
      </c>
      <c r="C1492" t="s">
        <v>15</v>
      </c>
      <c r="D1492" t="s">
        <v>926</v>
      </c>
      <c r="E1492" t="s">
        <v>352</v>
      </c>
    </row>
    <row r="1493" spans="1:5" x14ac:dyDescent="0.2">
      <c r="A1493" s="269">
        <v>45909.66337962963</v>
      </c>
      <c r="B1493" t="s">
        <v>1431</v>
      </c>
      <c r="C1493" t="s">
        <v>15</v>
      </c>
      <c r="D1493" t="s">
        <v>795</v>
      </c>
      <c r="E1493" t="s">
        <v>1772</v>
      </c>
    </row>
    <row r="1494" spans="1:5" x14ac:dyDescent="0.2">
      <c r="A1494" s="269">
        <v>45909.663437499999</v>
      </c>
      <c r="B1494" t="s">
        <v>1431</v>
      </c>
      <c r="C1494" t="s">
        <v>15</v>
      </c>
      <c r="D1494" t="s">
        <v>795</v>
      </c>
      <c r="E1494" t="s">
        <v>1771</v>
      </c>
    </row>
    <row r="1495" spans="1:5" x14ac:dyDescent="0.2">
      <c r="A1495" s="269">
        <v>45909.663495370369</v>
      </c>
      <c r="B1495" t="s">
        <v>1431</v>
      </c>
      <c r="C1495" t="s">
        <v>15</v>
      </c>
      <c r="D1495" t="s">
        <v>795</v>
      </c>
    </row>
    <row r="1496" spans="1:5" x14ac:dyDescent="0.2">
      <c r="A1496" s="269">
        <v>45909.663518518515</v>
      </c>
      <c r="B1496" t="s">
        <v>1431</v>
      </c>
      <c r="C1496" t="s">
        <v>15</v>
      </c>
      <c r="D1496" t="s">
        <v>1191</v>
      </c>
      <c r="E1496" t="s">
        <v>1771</v>
      </c>
    </row>
    <row r="1497" spans="1:5" x14ac:dyDescent="0.2">
      <c r="A1497" s="269">
        <v>45909.663645833331</v>
      </c>
      <c r="B1497" t="s">
        <v>1431</v>
      </c>
      <c r="C1497" t="s">
        <v>15</v>
      </c>
      <c r="D1497" t="s">
        <v>795</v>
      </c>
    </row>
    <row r="1498" spans="1:5" x14ac:dyDescent="0.2">
      <c r="A1498" s="269">
        <v>45909.663657407407</v>
      </c>
      <c r="B1498" t="s">
        <v>1431</v>
      </c>
      <c r="C1498" t="s">
        <v>15</v>
      </c>
      <c r="D1498" t="s">
        <v>1013</v>
      </c>
    </row>
    <row r="1499" spans="1:5" x14ac:dyDescent="0.2">
      <c r="A1499" s="269">
        <v>45909.663726851853</v>
      </c>
      <c r="B1499" t="s">
        <v>1431</v>
      </c>
      <c r="C1499" t="s">
        <v>15</v>
      </c>
      <c r="D1499" t="s">
        <v>795</v>
      </c>
      <c r="E1499" t="s">
        <v>1771</v>
      </c>
    </row>
    <row r="1500" spans="1:5" x14ac:dyDescent="0.2">
      <c r="A1500" s="269">
        <v>45909.663761574076</v>
      </c>
      <c r="B1500" t="s">
        <v>1431</v>
      </c>
      <c r="C1500" t="s">
        <v>15</v>
      </c>
      <c r="D1500" t="s">
        <v>1013</v>
      </c>
    </row>
    <row r="1501" spans="1:5" x14ac:dyDescent="0.2">
      <c r="A1501" s="269">
        <v>45909.663761574076</v>
      </c>
      <c r="B1501" t="s">
        <v>1431</v>
      </c>
      <c r="C1501" t="s">
        <v>15</v>
      </c>
      <c r="D1501" t="s">
        <v>1439</v>
      </c>
    </row>
    <row r="1502" spans="1:5" x14ac:dyDescent="0.2">
      <c r="A1502" s="269">
        <v>45909.663784722223</v>
      </c>
      <c r="B1502" t="s">
        <v>1431</v>
      </c>
      <c r="C1502" t="s">
        <v>15</v>
      </c>
      <c r="D1502" t="s">
        <v>672</v>
      </c>
    </row>
    <row r="1503" spans="1:5" x14ac:dyDescent="0.2">
      <c r="A1503" s="269">
        <v>45909.663819444446</v>
      </c>
      <c r="B1503" t="s">
        <v>1431</v>
      </c>
      <c r="C1503" t="s">
        <v>15</v>
      </c>
      <c r="D1503" t="s">
        <v>795</v>
      </c>
    </row>
    <row r="1504" spans="1:5" x14ac:dyDescent="0.2">
      <c r="A1504" s="269">
        <v>45909.663888888892</v>
      </c>
      <c r="B1504" t="s">
        <v>1431</v>
      </c>
      <c r="C1504" t="s">
        <v>15</v>
      </c>
      <c r="D1504" t="s">
        <v>1013</v>
      </c>
      <c r="E1504" t="s">
        <v>1771</v>
      </c>
    </row>
    <row r="1505" spans="1:5" x14ac:dyDescent="0.2">
      <c r="A1505" s="269">
        <v>45909.663935185185</v>
      </c>
      <c r="B1505" t="s">
        <v>1431</v>
      </c>
      <c r="C1505" t="s">
        <v>15</v>
      </c>
      <c r="D1505" t="s">
        <v>1773</v>
      </c>
      <c r="E1505" t="s">
        <v>1771</v>
      </c>
    </row>
    <row r="1506" spans="1:5" x14ac:dyDescent="0.2">
      <c r="A1506" s="269">
        <v>45909.663958333331</v>
      </c>
      <c r="B1506" t="s">
        <v>1431</v>
      </c>
      <c r="C1506" t="s">
        <v>15</v>
      </c>
      <c r="D1506" t="s">
        <v>1013</v>
      </c>
    </row>
    <row r="1507" spans="1:5" x14ac:dyDescent="0.2">
      <c r="A1507" s="269">
        <v>45909.663993055554</v>
      </c>
      <c r="B1507" t="s">
        <v>1431</v>
      </c>
      <c r="C1507" t="s">
        <v>15</v>
      </c>
      <c r="D1507" t="s">
        <v>995</v>
      </c>
      <c r="E1507" t="s">
        <v>200</v>
      </c>
    </row>
    <row r="1508" spans="1:5" x14ac:dyDescent="0.2">
      <c r="A1508" s="269">
        <v>45909.664039351854</v>
      </c>
      <c r="B1508" t="s">
        <v>1431</v>
      </c>
      <c r="C1508" t="s">
        <v>15</v>
      </c>
      <c r="D1508" t="s">
        <v>994</v>
      </c>
      <c r="E1508">
        <v>1</v>
      </c>
    </row>
    <row r="1509" spans="1:5" x14ac:dyDescent="0.2">
      <c r="A1509" s="269">
        <v>45909.664085648146</v>
      </c>
      <c r="B1509" t="s">
        <v>1431</v>
      </c>
      <c r="C1509" t="s">
        <v>15</v>
      </c>
      <c r="D1509" t="s">
        <v>976</v>
      </c>
      <c r="E1509" t="s">
        <v>372</v>
      </c>
    </row>
    <row r="1510" spans="1:5" x14ac:dyDescent="0.2">
      <c r="A1510" s="269">
        <v>45909.664143518516</v>
      </c>
      <c r="B1510" t="s">
        <v>1431</v>
      </c>
      <c r="C1510" t="s">
        <v>15</v>
      </c>
      <c r="D1510" t="s">
        <v>874</v>
      </c>
      <c r="E1510" t="s">
        <v>352</v>
      </c>
    </row>
    <row r="1511" spans="1:5" x14ac:dyDescent="0.2">
      <c r="A1511" s="269">
        <v>45909.664606481485</v>
      </c>
      <c r="B1511" t="s">
        <v>1431</v>
      </c>
      <c r="C1511" t="s">
        <v>15</v>
      </c>
      <c r="D1511" t="s">
        <v>1457</v>
      </c>
      <c r="E1511" t="s">
        <v>386</v>
      </c>
    </row>
    <row r="1512" spans="1:5" x14ac:dyDescent="0.2">
      <c r="A1512" s="269">
        <v>45909.664629629631</v>
      </c>
      <c r="B1512" t="s">
        <v>1431</v>
      </c>
      <c r="C1512" t="s">
        <v>15</v>
      </c>
      <c r="D1512" t="s">
        <v>1457</v>
      </c>
      <c r="E1512" t="s">
        <v>379</v>
      </c>
    </row>
    <row r="1513" spans="1:5" x14ac:dyDescent="0.2">
      <c r="A1513" s="269">
        <v>45909.664675925924</v>
      </c>
      <c r="B1513" t="s">
        <v>1431</v>
      </c>
      <c r="C1513" t="s">
        <v>15</v>
      </c>
      <c r="D1513" t="s">
        <v>1457</v>
      </c>
      <c r="E1513" t="s">
        <v>386</v>
      </c>
    </row>
    <row r="1514" spans="1:5" x14ac:dyDescent="0.2">
      <c r="A1514" s="269">
        <v>45909.664710648147</v>
      </c>
      <c r="B1514" t="s">
        <v>1431</v>
      </c>
      <c r="C1514" t="s">
        <v>15</v>
      </c>
      <c r="D1514" t="s">
        <v>996</v>
      </c>
      <c r="E1514" t="s">
        <v>386</v>
      </c>
    </row>
    <row r="1515" spans="1:5" x14ac:dyDescent="0.2">
      <c r="A1515" s="269">
        <v>45909.664872685185</v>
      </c>
      <c r="B1515" t="s">
        <v>1431</v>
      </c>
      <c r="C1515" t="s">
        <v>15</v>
      </c>
      <c r="D1515" t="s">
        <v>974</v>
      </c>
      <c r="E1515">
        <v>9</v>
      </c>
    </row>
    <row r="1516" spans="1:5" x14ac:dyDescent="0.2">
      <c r="A1516" s="269">
        <v>45909.664988425924</v>
      </c>
      <c r="B1516" t="s">
        <v>1431</v>
      </c>
      <c r="C1516" t="s">
        <v>15</v>
      </c>
      <c r="D1516" t="s">
        <v>974</v>
      </c>
    </row>
    <row r="1517" spans="1:5" x14ac:dyDescent="0.2">
      <c r="A1517" s="269">
        <v>45909.665034722224</v>
      </c>
      <c r="B1517" t="s">
        <v>1431</v>
      </c>
      <c r="C1517" t="s">
        <v>15</v>
      </c>
      <c r="D1517" t="s">
        <v>996</v>
      </c>
    </row>
    <row r="1518" spans="1:5" x14ac:dyDescent="0.2">
      <c r="A1518" s="269">
        <v>45909.66505787037</v>
      </c>
      <c r="B1518" t="s">
        <v>1431</v>
      </c>
      <c r="C1518" t="s">
        <v>15</v>
      </c>
      <c r="D1518" t="s">
        <v>1457</v>
      </c>
    </row>
    <row r="1519" spans="1:5" x14ac:dyDescent="0.2">
      <c r="A1519" s="269">
        <v>45909.66510416667</v>
      </c>
      <c r="B1519" t="s">
        <v>1431</v>
      </c>
      <c r="C1519" t="s">
        <v>15</v>
      </c>
      <c r="D1519" t="s">
        <v>926</v>
      </c>
      <c r="E1519" t="s">
        <v>188</v>
      </c>
    </row>
    <row r="1520" spans="1:5" x14ac:dyDescent="0.2">
      <c r="A1520" s="269">
        <v>45909.665127314816</v>
      </c>
      <c r="B1520" t="s">
        <v>1431</v>
      </c>
      <c r="C1520" t="s">
        <v>15</v>
      </c>
      <c r="D1520" t="s">
        <v>874</v>
      </c>
      <c r="E1520" t="s">
        <v>188</v>
      </c>
    </row>
    <row r="1521" spans="1:5" x14ac:dyDescent="0.2">
      <c r="A1521" s="269">
        <v>45910.4372337963</v>
      </c>
      <c r="B1521" t="s">
        <v>1431</v>
      </c>
      <c r="C1521" t="s">
        <v>15</v>
      </c>
      <c r="D1521" t="s">
        <v>1457</v>
      </c>
      <c r="E1521" t="s">
        <v>386</v>
      </c>
    </row>
    <row r="1522" spans="1:5" x14ac:dyDescent="0.2">
      <c r="A1522" s="269">
        <v>45910.437268518515</v>
      </c>
      <c r="B1522" t="s">
        <v>1431</v>
      </c>
      <c r="C1522" t="s">
        <v>15</v>
      </c>
      <c r="D1522" t="s">
        <v>996</v>
      </c>
      <c r="E1522" t="s">
        <v>386</v>
      </c>
    </row>
    <row r="1523" spans="1:5" x14ac:dyDescent="0.2">
      <c r="A1523" s="269">
        <v>45910.437754629631</v>
      </c>
      <c r="B1523" t="s">
        <v>1431</v>
      </c>
      <c r="C1523" t="s">
        <v>15</v>
      </c>
      <c r="D1523" t="s">
        <v>975</v>
      </c>
      <c r="E1523">
        <v>1.1499999999999999</v>
      </c>
    </row>
    <row r="1524" spans="1:5" x14ac:dyDescent="0.2">
      <c r="A1524" s="269">
        <v>45910.438310185185</v>
      </c>
      <c r="B1524" t="s">
        <v>1431</v>
      </c>
      <c r="C1524" t="s">
        <v>15</v>
      </c>
      <c r="D1524" t="s">
        <v>974</v>
      </c>
    </row>
    <row r="1525" spans="1:5" x14ac:dyDescent="0.2">
      <c r="A1525" s="269">
        <v>45910.438356481478</v>
      </c>
      <c r="B1525" t="s">
        <v>1431</v>
      </c>
      <c r="C1525" t="s">
        <v>15</v>
      </c>
      <c r="D1525" t="s">
        <v>974</v>
      </c>
      <c r="E1525">
        <v>1.1499999999999999</v>
      </c>
    </row>
    <row r="1526" spans="1:5" x14ac:dyDescent="0.2">
      <c r="A1526" s="269">
        <v>45910.438831018517</v>
      </c>
      <c r="B1526" t="s">
        <v>1431</v>
      </c>
      <c r="C1526" t="s">
        <v>15</v>
      </c>
      <c r="D1526" t="s">
        <v>1013</v>
      </c>
      <c r="E1526" t="s">
        <v>1774</v>
      </c>
    </row>
    <row r="1527" spans="1:5" x14ac:dyDescent="0.2">
      <c r="A1527" s="269">
        <v>45910.438877314817</v>
      </c>
      <c r="B1527" t="s">
        <v>1431</v>
      </c>
      <c r="C1527" t="s">
        <v>15</v>
      </c>
      <c r="D1527" t="s">
        <v>1014</v>
      </c>
      <c r="E1527" t="s">
        <v>200</v>
      </c>
    </row>
    <row r="1528" spans="1:5" x14ac:dyDescent="0.2">
      <c r="A1528" s="269">
        <v>45910.43891203704</v>
      </c>
      <c r="B1528" t="s">
        <v>1431</v>
      </c>
      <c r="C1528" t="s">
        <v>15</v>
      </c>
      <c r="D1528" t="s">
        <v>1015</v>
      </c>
      <c r="E1528">
        <v>1</v>
      </c>
    </row>
    <row r="1529" spans="1:5" x14ac:dyDescent="0.2">
      <c r="A1529" s="269">
        <v>45910.439016203702</v>
      </c>
      <c r="B1529" t="s">
        <v>1431</v>
      </c>
      <c r="C1529" t="s">
        <v>15</v>
      </c>
      <c r="D1529" t="s">
        <v>977</v>
      </c>
      <c r="E1529" t="s">
        <v>380</v>
      </c>
    </row>
    <row r="1530" spans="1:5" x14ac:dyDescent="0.2">
      <c r="A1530" s="269">
        <v>45910.439050925925</v>
      </c>
      <c r="B1530" t="s">
        <v>1431</v>
      </c>
      <c r="C1530" t="s">
        <v>15</v>
      </c>
      <c r="D1530" t="s">
        <v>1507</v>
      </c>
      <c r="E1530" t="s">
        <v>352</v>
      </c>
    </row>
    <row r="1531" spans="1:5" x14ac:dyDescent="0.2">
      <c r="A1531" s="269">
        <v>45910.439212962963</v>
      </c>
      <c r="B1531" t="s">
        <v>1431</v>
      </c>
      <c r="C1531" t="s">
        <v>15</v>
      </c>
      <c r="D1531" t="s">
        <v>1491</v>
      </c>
    </row>
    <row r="1532" spans="1:5" x14ac:dyDescent="0.2">
      <c r="A1532" s="269">
        <v>45910.439212962963</v>
      </c>
      <c r="B1532" t="s">
        <v>1431</v>
      </c>
      <c r="C1532" t="s">
        <v>15</v>
      </c>
      <c r="D1532" t="s">
        <v>1491</v>
      </c>
    </row>
    <row r="1533" spans="1:5" x14ac:dyDescent="0.2">
      <c r="A1533" s="269">
        <v>45910.439340277779</v>
      </c>
      <c r="B1533" t="s">
        <v>1431</v>
      </c>
      <c r="C1533" t="s">
        <v>15</v>
      </c>
      <c r="D1533" t="s">
        <v>1016</v>
      </c>
      <c r="E1533">
        <v>0</v>
      </c>
    </row>
    <row r="1534" spans="1:5" x14ac:dyDescent="0.2">
      <c r="A1534" s="269">
        <v>45910.439710648148</v>
      </c>
      <c r="B1534" t="s">
        <v>1431</v>
      </c>
      <c r="C1534" t="s">
        <v>15</v>
      </c>
      <c r="D1534" t="s">
        <v>1507</v>
      </c>
      <c r="E1534" t="s">
        <v>352</v>
      </c>
    </row>
    <row r="1535" spans="1:5" x14ac:dyDescent="0.2">
      <c r="A1535" s="269">
        <v>45910.44</v>
      </c>
      <c r="B1535" t="s">
        <v>1431</v>
      </c>
      <c r="C1535" t="s">
        <v>15</v>
      </c>
      <c r="D1535" t="s">
        <v>747</v>
      </c>
      <c r="E1535" t="s">
        <v>1775</v>
      </c>
    </row>
    <row r="1536" spans="1:5" x14ac:dyDescent="0.2">
      <c r="A1536" s="269">
        <v>45910.440057870372</v>
      </c>
      <c r="B1536" t="s">
        <v>1431</v>
      </c>
      <c r="C1536" t="s">
        <v>15</v>
      </c>
      <c r="D1536" t="s">
        <v>1017</v>
      </c>
      <c r="E1536" t="s">
        <v>200</v>
      </c>
    </row>
    <row r="1537" spans="1:5" x14ac:dyDescent="0.2">
      <c r="A1537" s="269">
        <v>45910.440092592595</v>
      </c>
      <c r="B1537" t="s">
        <v>1431</v>
      </c>
      <c r="C1537" t="s">
        <v>15</v>
      </c>
      <c r="D1537" t="s">
        <v>1018</v>
      </c>
      <c r="E1537">
        <v>1</v>
      </c>
    </row>
    <row r="1538" spans="1:5" x14ac:dyDescent="0.2">
      <c r="A1538" s="269">
        <v>45910.44091435185</v>
      </c>
      <c r="B1538" t="s">
        <v>1431</v>
      </c>
      <c r="C1538" t="s">
        <v>15</v>
      </c>
      <c r="D1538" t="s">
        <v>923</v>
      </c>
      <c r="E1538" t="s">
        <v>380</v>
      </c>
    </row>
    <row r="1539" spans="1:5" x14ac:dyDescent="0.2">
      <c r="A1539" s="269">
        <v>45910.440949074073</v>
      </c>
      <c r="B1539" t="s">
        <v>1431</v>
      </c>
      <c r="C1539" t="s">
        <v>15</v>
      </c>
      <c r="D1539" t="s">
        <v>1509</v>
      </c>
      <c r="E1539" t="s">
        <v>188</v>
      </c>
    </row>
    <row r="1540" spans="1:5" x14ac:dyDescent="0.2">
      <c r="A1540" s="269">
        <v>45910.440983796296</v>
      </c>
      <c r="B1540" t="s">
        <v>1431</v>
      </c>
      <c r="C1540" t="s">
        <v>15</v>
      </c>
      <c r="D1540" t="s">
        <v>1019</v>
      </c>
      <c r="E1540" t="s">
        <v>386</v>
      </c>
    </row>
    <row r="1541" spans="1:5" x14ac:dyDescent="0.2">
      <c r="A1541" s="269">
        <v>45910.441087962965</v>
      </c>
      <c r="B1541" t="s">
        <v>1431</v>
      </c>
      <c r="C1541" t="s">
        <v>15</v>
      </c>
      <c r="D1541" t="s">
        <v>1630</v>
      </c>
      <c r="E1541">
        <v>2.2999999999999998</v>
      </c>
    </row>
    <row r="1542" spans="1:5" x14ac:dyDescent="0.2">
      <c r="A1542" s="269">
        <v>45910.441562499997</v>
      </c>
      <c r="B1542" t="s">
        <v>1431</v>
      </c>
      <c r="C1542" t="s">
        <v>15</v>
      </c>
      <c r="D1542" t="s">
        <v>982</v>
      </c>
      <c r="E1542" t="s">
        <v>1776</v>
      </c>
    </row>
    <row r="1543" spans="1:5" x14ac:dyDescent="0.2">
      <c r="A1543" s="269">
        <v>45910.441631944443</v>
      </c>
      <c r="B1543" t="s">
        <v>1431</v>
      </c>
      <c r="C1543" t="s">
        <v>15</v>
      </c>
      <c r="D1543" t="s">
        <v>1777</v>
      </c>
      <c r="E1543" t="s">
        <v>1776</v>
      </c>
    </row>
    <row r="1544" spans="1:5" x14ac:dyDescent="0.2">
      <c r="A1544" s="269">
        <v>45910.442025462966</v>
      </c>
      <c r="B1544" t="s">
        <v>1431</v>
      </c>
      <c r="C1544" t="s">
        <v>15</v>
      </c>
      <c r="D1544" t="s">
        <v>1437</v>
      </c>
      <c r="E1544" t="s">
        <v>1778</v>
      </c>
    </row>
    <row r="1545" spans="1:5" x14ac:dyDescent="0.2">
      <c r="A1545" s="269">
        <v>45910.442233796297</v>
      </c>
      <c r="B1545" t="s">
        <v>1431</v>
      </c>
      <c r="C1545" t="s">
        <v>15</v>
      </c>
      <c r="D1545" t="s">
        <v>1779</v>
      </c>
      <c r="E1545" t="s">
        <v>1778</v>
      </c>
    </row>
    <row r="1546" spans="1:5" x14ac:dyDescent="0.2">
      <c r="A1546" s="269">
        <v>45910.442476851851</v>
      </c>
      <c r="B1546" t="s">
        <v>1431</v>
      </c>
      <c r="C1546" t="s">
        <v>15</v>
      </c>
      <c r="D1546" t="s">
        <v>1780</v>
      </c>
      <c r="E1546" t="s">
        <v>200</v>
      </c>
    </row>
    <row r="1547" spans="1:5" x14ac:dyDescent="0.2">
      <c r="A1547" s="269">
        <v>45910.44259259259</v>
      </c>
      <c r="B1547" t="s">
        <v>1431</v>
      </c>
      <c r="C1547" t="s">
        <v>15</v>
      </c>
      <c r="D1547" t="s">
        <v>672</v>
      </c>
      <c r="E1547" t="s">
        <v>1781</v>
      </c>
    </row>
    <row r="1548" spans="1:5" x14ac:dyDescent="0.2">
      <c r="A1548" s="269">
        <v>45910.442650462966</v>
      </c>
      <c r="B1548" t="s">
        <v>1431</v>
      </c>
      <c r="C1548" t="s">
        <v>15</v>
      </c>
      <c r="D1548" t="s">
        <v>674</v>
      </c>
      <c r="E1548" t="s">
        <v>1782</v>
      </c>
    </row>
    <row r="1549" spans="1:5" x14ac:dyDescent="0.2">
      <c r="A1549" s="269">
        <v>45910.442719907405</v>
      </c>
      <c r="B1549" t="s">
        <v>1431</v>
      </c>
      <c r="C1549" t="s">
        <v>15</v>
      </c>
      <c r="D1549" t="s">
        <v>1444</v>
      </c>
      <c r="E1549" t="s">
        <v>200</v>
      </c>
    </row>
    <row r="1550" spans="1:5" x14ac:dyDescent="0.2">
      <c r="A1550" s="269">
        <v>45910.442754629628</v>
      </c>
      <c r="B1550" t="s">
        <v>1431</v>
      </c>
      <c r="C1550" t="s">
        <v>15</v>
      </c>
      <c r="D1550" t="s">
        <v>1445</v>
      </c>
      <c r="E1550" t="s">
        <v>200</v>
      </c>
    </row>
    <row r="1551" spans="1:5" x14ac:dyDescent="0.2">
      <c r="A1551" s="269">
        <v>45910.442789351851</v>
      </c>
      <c r="B1551" t="s">
        <v>1431</v>
      </c>
      <c r="C1551" t="s">
        <v>15</v>
      </c>
      <c r="D1551" t="s">
        <v>1068</v>
      </c>
      <c r="E1551">
        <v>1</v>
      </c>
    </row>
    <row r="1552" spans="1:5" x14ac:dyDescent="0.2">
      <c r="A1552" s="269">
        <v>45910.442789351851</v>
      </c>
      <c r="B1552" t="s">
        <v>1431</v>
      </c>
      <c r="C1552" t="s">
        <v>15</v>
      </c>
      <c r="D1552" t="s">
        <v>1069</v>
      </c>
      <c r="E1552">
        <v>1</v>
      </c>
    </row>
    <row r="1553" spans="1:5" x14ac:dyDescent="0.2">
      <c r="A1553" s="269">
        <v>45910.442789351851</v>
      </c>
      <c r="B1553" t="s">
        <v>1431</v>
      </c>
      <c r="C1553" t="s">
        <v>15</v>
      </c>
      <c r="D1553" t="s">
        <v>1459</v>
      </c>
      <c r="E1553">
        <v>1</v>
      </c>
    </row>
    <row r="1554" spans="1:5" x14ac:dyDescent="0.2">
      <c r="A1554" s="269">
        <v>45910.442800925928</v>
      </c>
      <c r="B1554" t="s">
        <v>1431</v>
      </c>
      <c r="C1554" t="s">
        <v>15</v>
      </c>
      <c r="D1554" t="s">
        <v>1460</v>
      </c>
      <c r="E1554">
        <v>1</v>
      </c>
    </row>
    <row r="1555" spans="1:5" x14ac:dyDescent="0.2">
      <c r="A1555" s="269">
        <v>45910.442800925928</v>
      </c>
      <c r="B1555" t="s">
        <v>1431</v>
      </c>
      <c r="C1555" t="s">
        <v>15</v>
      </c>
      <c r="D1555" t="s">
        <v>1461</v>
      </c>
      <c r="E1555">
        <v>1</v>
      </c>
    </row>
    <row r="1556" spans="1:5" x14ac:dyDescent="0.2">
      <c r="A1556" s="269">
        <v>45910.442881944444</v>
      </c>
      <c r="B1556" t="s">
        <v>1431</v>
      </c>
      <c r="C1556" t="s">
        <v>15</v>
      </c>
      <c r="D1556" t="s">
        <v>1783</v>
      </c>
      <c r="E1556" t="s">
        <v>380</v>
      </c>
    </row>
    <row r="1557" spans="1:5" x14ac:dyDescent="0.2">
      <c r="A1557" s="269">
        <v>45910.443182870367</v>
      </c>
      <c r="B1557" t="s">
        <v>1431</v>
      </c>
      <c r="C1557" t="s">
        <v>15</v>
      </c>
      <c r="D1557" t="s">
        <v>1784</v>
      </c>
      <c r="E1557" t="s">
        <v>352</v>
      </c>
    </row>
    <row r="1558" spans="1:5" x14ac:dyDescent="0.2">
      <c r="A1558" s="269">
        <v>45910.443252314813</v>
      </c>
      <c r="B1558" t="s">
        <v>1431</v>
      </c>
      <c r="C1558" t="s">
        <v>15</v>
      </c>
      <c r="D1558" t="s">
        <v>1785</v>
      </c>
      <c r="E1558">
        <v>0</v>
      </c>
    </row>
    <row r="1559" spans="1:5" x14ac:dyDescent="0.2">
      <c r="A1559" s="269">
        <v>45910.443252314813</v>
      </c>
      <c r="B1559" t="s">
        <v>1431</v>
      </c>
      <c r="C1559" t="s">
        <v>15</v>
      </c>
      <c r="D1559" t="s">
        <v>1786</v>
      </c>
      <c r="E1559">
        <v>0</v>
      </c>
    </row>
    <row r="1560" spans="1:5" x14ac:dyDescent="0.2">
      <c r="A1560" s="269">
        <v>45910.44327546296</v>
      </c>
      <c r="B1560" t="s">
        <v>1431</v>
      </c>
      <c r="C1560" t="s">
        <v>15</v>
      </c>
      <c r="D1560" t="s">
        <v>1787</v>
      </c>
      <c r="E1560">
        <v>0</v>
      </c>
    </row>
    <row r="1561" spans="1:5" x14ac:dyDescent="0.2">
      <c r="A1561" s="269">
        <v>45910.443333333336</v>
      </c>
      <c r="B1561" t="s">
        <v>1431</v>
      </c>
      <c r="C1561" t="s">
        <v>15</v>
      </c>
      <c r="D1561" t="s">
        <v>1788</v>
      </c>
      <c r="E1561">
        <v>0</v>
      </c>
    </row>
    <row r="1562" spans="1:5" x14ac:dyDescent="0.2">
      <c r="A1562" s="269">
        <v>45910.443402777775</v>
      </c>
      <c r="B1562" t="s">
        <v>1431</v>
      </c>
      <c r="C1562" t="s">
        <v>15</v>
      </c>
      <c r="D1562" t="s">
        <v>1789</v>
      </c>
      <c r="E1562">
        <v>0</v>
      </c>
    </row>
    <row r="1563" spans="1:5" x14ac:dyDescent="0.2">
      <c r="A1563" s="269">
        <v>45910.444212962961</v>
      </c>
      <c r="B1563" t="s">
        <v>1431</v>
      </c>
      <c r="C1563" t="s">
        <v>15</v>
      </c>
      <c r="D1563" t="s">
        <v>1497</v>
      </c>
      <c r="E1563" t="s">
        <v>397</v>
      </c>
    </row>
    <row r="1564" spans="1:5" x14ac:dyDescent="0.2">
      <c r="A1564" s="269">
        <v>45910.444606481484</v>
      </c>
      <c r="B1564" t="s">
        <v>1431</v>
      </c>
      <c r="C1564" t="s">
        <v>15</v>
      </c>
      <c r="D1564" t="s">
        <v>1788</v>
      </c>
      <c r="E1564">
        <v>3.8</v>
      </c>
    </row>
    <row r="1565" spans="1:5" x14ac:dyDescent="0.2">
      <c r="A1565" s="269">
        <v>45910.444745370369</v>
      </c>
      <c r="B1565" t="s">
        <v>1431</v>
      </c>
      <c r="C1565" t="s">
        <v>15</v>
      </c>
      <c r="D1565" t="s">
        <v>1790</v>
      </c>
      <c r="E1565" t="s">
        <v>1776</v>
      </c>
    </row>
    <row r="1566" spans="1:5" x14ac:dyDescent="0.2">
      <c r="A1566" s="269">
        <v>45910.44672453704</v>
      </c>
      <c r="B1566" t="s">
        <v>1431</v>
      </c>
      <c r="C1566" t="s">
        <v>15</v>
      </c>
      <c r="D1566" t="s">
        <v>675</v>
      </c>
      <c r="E1566" t="s">
        <v>1791</v>
      </c>
    </row>
    <row r="1567" spans="1:5" x14ac:dyDescent="0.2">
      <c r="A1567" s="269">
        <v>45910.446782407409</v>
      </c>
      <c r="B1567" t="s">
        <v>1431</v>
      </c>
      <c r="C1567" t="s">
        <v>15</v>
      </c>
      <c r="D1567" t="s">
        <v>676</v>
      </c>
      <c r="E1567" t="s">
        <v>1791</v>
      </c>
    </row>
    <row r="1568" spans="1:5" x14ac:dyDescent="0.2">
      <c r="A1568" s="269">
        <v>45910.446817129632</v>
      </c>
      <c r="B1568" t="s">
        <v>1431</v>
      </c>
      <c r="C1568" t="s">
        <v>15</v>
      </c>
      <c r="D1568" t="s">
        <v>1447</v>
      </c>
      <c r="E1568" t="s">
        <v>200</v>
      </c>
    </row>
    <row r="1569" spans="1:5" x14ac:dyDescent="0.2">
      <c r="A1569" s="269">
        <v>45910.446851851855</v>
      </c>
      <c r="B1569" t="s">
        <v>1431</v>
      </c>
      <c r="C1569" t="s">
        <v>15</v>
      </c>
      <c r="D1569" t="s">
        <v>1792</v>
      </c>
      <c r="E1569" t="s">
        <v>200</v>
      </c>
    </row>
    <row r="1570" spans="1:5" x14ac:dyDescent="0.2">
      <c r="A1570" s="269">
        <v>45910.446875000001</v>
      </c>
      <c r="B1570" t="s">
        <v>1431</v>
      </c>
      <c r="C1570" t="s">
        <v>15</v>
      </c>
      <c r="D1570" t="s">
        <v>1462</v>
      </c>
      <c r="E1570">
        <v>1</v>
      </c>
    </row>
    <row r="1571" spans="1:5" x14ac:dyDescent="0.2">
      <c r="A1571" s="269">
        <v>45910.446875000001</v>
      </c>
      <c r="B1571" t="s">
        <v>1431</v>
      </c>
      <c r="C1571" t="s">
        <v>15</v>
      </c>
      <c r="D1571" t="s">
        <v>1463</v>
      </c>
      <c r="E1571">
        <v>1</v>
      </c>
    </row>
    <row r="1572" spans="1:5" x14ac:dyDescent="0.2">
      <c r="A1572" s="269">
        <v>45910.446909722225</v>
      </c>
      <c r="B1572" t="s">
        <v>1431</v>
      </c>
      <c r="C1572" t="s">
        <v>15</v>
      </c>
      <c r="D1572" t="s">
        <v>1448</v>
      </c>
      <c r="E1572" t="s">
        <v>372</v>
      </c>
    </row>
    <row r="1573" spans="1:5" x14ac:dyDescent="0.2">
      <c r="A1573" s="269">
        <v>45910.446944444448</v>
      </c>
      <c r="B1573" t="s">
        <v>1431</v>
      </c>
      <c r="C1573" t="s">
        <v>15</v>
      </c>
      <c r="D1573" t="s">
        <v>1464</v>
      </c>
      <c r="E1573" t="s">
        <v>372</v>
      </c>
    </row>
    <row r="1574" spans="1:5" x14ac:dyDescent="0.2">
      <c r="A1574" s="269">
        <v>45910.446967592594</v>
      </c>
      <c r="B1574" t="s">
        <v>1431</v>
      </c>
      <c r="C1574" t="s">
        <v>15</v>
      </c>
      <c r="D1574" t="s">
        <v>1521</v>
      </c>
      <c r="E1574" t="s">
        <v>352</v>
      </c>
    </row>
    <row r="1575" spans="1:5" x14ac:dyDescent="0.2">
      <c r="A1575" s="269">
        <v>45910.447002314817</v>
      </c>
      <c r="B1575" t="s">
        <v>1431</v>
      </c>
      <c r="C1575" t="s">
        <v>15</v>
      </c>
      <c r="D1575" t="s">
        <v>1523</v>
      </c>
      <c r="E1575" t="s">
        <v>352</v>
      </c>
    </row>
    <row r="1576" spans="1:5" x14ac:dyDescent="0.2">
      <c r="A1576" s="269">
        <v>45910.447118055556</v>
      </c>
      <c r="B1576" t="s">
        <v>1431</v>
      </c>
      <c r="C1576" t="s">
        <v>15</v>
      </c>
      <c r="D1576" t="s">
        <v>1793</v>
      </c>
      <c r="E1576">
        <v>0</v>
      </c>
    </row>
    <row r="1577" spans="1:5" x14ac:dyDescent="0.2">
      <c r="A1577" s="269">
        <v>45910.447129629632</v>
      </c>
      <c r="B1577" t="s">
        <v>1431</v>
      </c>
      <c r="C1577" t="s">
        <v>15</v>
      </c>
      <c r="D1577" t="s">
        <v>1794</v>
      </c>
      <c r="E1577">
        <v>0</v>
      </c>
    </row>
    <row r="1578" spans="1:5" x14ac:dyDescent="0.2">
      <c r="A1578" s="269">
        <v>45910.447314814817</v>
      </c>
      <c r="B1578" t="s">
        <v>1431</v>
      </c>
      <c r="C1578" t="s">
        <v>15</v>
      </c>
      <c r="D1578" t="s">
        <v>1795</v>
      </c>
      <c r="E1578" t="s">
        <v>1776</v>
      </c>
    </row>
    <row r="1579" spans="1:5" x14ac:dyDescent="0.2">
      <c r="A1579" s="269">
        <v>45910.447858796295</v>
      </c>
      <c r="B1579" t="s">
        <v>1431</v>
      </c>
      <c r="C1579" t="s">
        <v>15</v>
      </c>
      <c r="D1579" t="s">
        <v>677</v>
      </c>
      <c r="E1579" t="s">
        <v>1782</v>
      </c>
    </row>
    <row r="1580" spans="1:5" x14ac:dyDescent="0.2">
      <c r="A1580" s="269">
        <v>45910.447881944441</v>
      </c>
      <c r="B1580" t="s">
        <v>1431</v>
      </c>
      <c r="C1580" t="s">
        <v>15</v>
      </c>
      <c r="D1580" t="s">
        <v>1796</v>
      </c>
      <c r="E1580" t="s">
        <v>200</v>
      </c>
    </row>
    <row r="1581" spans="1:5" x14ac:dyDescent="0.2">
      <c r="A1581" s="269">
        <v>45910.447905092595</v>
      </c>
      <c r="B1581" t="s">
        <v>1431</v>
      </c>
      <c r="C1581" t="s">
        <v>15</v>
      </c>
      <c r="D1581" t="s">
        <v>1745</v>
      </c>
      <c r="E1581">
        <v>1</v>
      </c>
    </row>
    <row r="1582" spans="1:5" x14ac:dyDescent="0.2">
      <c r="A1582" s="269">
        <v>45910.44804398148</v>
      </c>
      <c r="B1582" t="s">
        <v>1431</v>
      </c>
      <c r="C1582" t="s">
        <v>15</v>
      </c>
      <c r="D1582" t="s">
        <v>1575</v>
      </c>
      <c r="E1582" t="s">
        <v>380</v>
      </c>
    </row>
    <row r="1583" spans="1:5" x14ac:dyDescent="0.2">
      <c r="A1583" s="269">
        <v>45910.448101851849</v>
      </c>
      <c r="B1583" t="s">
        <v>1431</v>
      </c>
      <c r="C1583" t="s">
        <v>15</v>
      </c>
      <c r="D1583" t="s">
        <v>1746</v>
      </c>
      <c r="E1583" t="s">
        <v>188</v>
      </c>
    </row>
    <row r="1584" spans="1:5" x14ac:dyDescent="0.2">
      <c r="A1584" s="269">
        <v>45910.448263888888</v>
      </c>
      <c r="B1584" t="s">
        <v>1431</v>
      </c>
      <c r="C1584" t="s">
        <v>15</v>
      </c>
      <c r="D1584" t="s">
        <v>1511</v>
      </c>
      <c r="E1584" t="s">
        <v>188</v>
      </c>
    </row>
    <row r="1585" spans="1:5" x14ac:dyDescent="0.2">
      <c r="A1585" s="269">
        <v>45910.44835648148</v>
      </c>
      <c r="B1585" t="s">
        <v>1431</v>
      </c>
      <c r="C1585" t="s">
        <v>15</v>
      </c>
      <c r="D1585" t="s">
        <v>1472</v>
      </c>
      <c r="E1585" t="s">
        <v>386</v>
      </c>
    </row>
    <row r="1586" spans="1:5" x14ac:dyDescent="0.2">
      <c r="A1586" s="269">
        <v>45910.448425925926</v>
      </c>
      <c r="B1586" t="s">
        <v>1431</v>
      </c>
      <c r="C1586" t="s">
        <v>15</v>
      </c>
      <c r="D1586" t="s">
        <v>925</v>
      </c>
      <c r="E1586">
        <v>2.2999999999999998</v>
      </c>
    </row>
    <row r="1587" spans="1:5" x14ac:dyDescent="0.2">
      <c r="A1587" s="269">
        <v>45910.448472222219</v>
      </c>
      <c r="B1587" t="s">
        <v>1431</v>
      </c>
      <c r="C1587" t="s">
        <v>15</v>
      </c>
      <c r="D1587" t="s">
        <v>1797</v>
      </c>
      <c r="E1587" t="s">
        <v>386</v>
      </c>
    </row>
    <row r="1588" spans="1:5" x14ac:dyDescent="0.2">
      <c r="A1588" s="269">
        <v>45910.448495370372</v>
      </c>
      <c r="B1588" t="s">
        <v>1431</v>
      </c>
      <c r="C1588" t="s">
        <v>15</v>
      </c>
      <c r="D1588" t="s">
        <v>1747</v>
      </c>
      <c r="E1588">
        <v>2.2999999999999998</v>
      </c>
    </row>
    <row r="1589" spans="1:5" x14ac:dyDescent="0.2">
      <c r="A1589" s="269">
        <v>45910.448634259257</v>
      </c>
      <c r="B1589" t="s">
        <v>1431</v>
      </c>
      <c r="C1589" t="s">
        <v>15</v>
      </c>
      <c r="D1589" t="s">
        <v>1798</v>
      </c>
      <c r="E1589" t="s">
        <v>1776</v>
      </c>
    </row>
    <row r="1590" spans="1:5" x14ac:dyDescent="0.2">
      <c r="A1590" s="269">
        <v>45910.448865740742</v>
      </c>
      <c r="B1590" t="s">
        <v>1431</v>
      </c>
      <c r="C1590" t="s">
        <v>15</v>
      </c>
      <c r="D1590" t="s">
        <v>678</v>
      </c>
      <c r="E1590" t="s">
        <v>1799</v>
      </c>
    </row>
    <row r="1591" spans="1:5" x14ac:dyDescent="0.2">
      <c r="A1591" s="269">
        <v>45910.448912037034</v>
      </c>
      <c r="B1591" t="s">
        <v>1431</v>
      </c>
      <c r="C1591" t="s">
        <v>15</v>
      </c>
      <c r="D1591" t="s">
        <v>1800</v>
      </c>
      <c r="E1591" t="s">
        <v>200</v>
      </c>
    </row>
    <row r="1592" spans="1:5" x14ac:dyDescent="0.2">
      <c r="A1592" s="269">
        <v>45910.448946759258</v>
      </c>
      <c r="B1592" t="s">
        <v>1431</v>
      </c>
      <c r="C1592" t="s">
        <v>15</v>
      </c>
      <c r="D1592" t="s">
        <v>1757</v>
      </c>
      <c r="E1592">
        <v>1</v>
      </c>
    </row>
    <row r="1593" spans="1:5" x14ac:dyDescent="0.2">
      <c r="A1593" s="269">
        <v>45910.449317129627</v>
      </c>
      <c r="B1593" t="s">
        <v>1431</v>
      </c>
      <c r="C1593" t="s">
        <v>15</v>
      </c>
      <c r="D1593" t="s">
        <v>1576</v>
      </c>
      <c r="E1593" t="s">
        <v>372</v>
      </c>
    </row>
    <row r="1594" spans="1:5" x14ac:dyDescent="0.2">
      <c r="A1594" s="269">
        <v>45910.44935185185</v>
      </c>
      <c r="B1594" t="s">
        <v>1431</v>
      </c>
      <c r="C1594" t="s">
        <v>15</v>
      </c>
      <c r="D1594" t="s">
        <v>1758</v>
      </c>
      <c r="E1594" t="s">
        <v>188</v>
      </c>
    </row>
    <row r="1595" spans="1:5" x14ac:dyDescent="0.2">
      <c r="A1595" s="269">
        <v>45910.449421296296</v>
      </c>
      <c r="B1595" t="s">
        <v>1431</v>
      </c>
      <c r="C1595" t="s">
        <v>15</v>
      </c>
      <c r="D1595" t="s">
        <v>1759</v>
      </c>
      <c r="E1595">
        <v>1.05</v>
      </c>
    </row>
    <row r="1596" spans="1:5" x14ac:dyDescent="0.2">
      <c r="A1596" s="269">
        <v>45910.449490740742</v>
      </c>
      <c r="B1596" t="s">
        <v>1431</v>
      </c>
      <c r="C1596" t="s">
        <v>15</v>
      </c>
      <c r="D1596" t="s">
        <v>1801</v>
      </c>
      <c r="E1596" t="s">
        <v>386</v>
      </c>
    </row>
    <row r="1597" spans="1:5" x14ac:dyDescent="0.2">
      <c r="A1597" s="269">
        <v>45910.449560185189</v>
      </c>
      <c r="B1597" t="s">
        <v>1431</v>
      </c>
      <c r="C1597" t="s">
        <v>15</v>
      </c>
      <c r="D1597" t="s">
        <v>1802</v>
      </c>
      <c r="E1597" t="s">
        <v>1776</v>
      </c>
    </row>
    <row r="1598" spans="1:5" x14ac:dyDescent="0.2">
      <c r="A1598" s="269">
        <v>45910.496747685182</v>
      </c>
      <c r="B1598" t="s">
        <v>1431</v>
      </c>
      <c r="C1598" t="s">
        <v>15</v>
      </c>
      <c r="D1598" t="s">
        <v>1550</v>
      </c>
      <c r="E1598" t="s">
        <v>1803</v>
      </c>
    </row>
    <row r="1599" spans="1:5" x14ac:dyDescent="0.2">
      <c r="A1599" s="269">
        <v>45910.497002314813</v>
      </c>
      <c r="B1599" t="s">
        <v>1431</v>
      </c>
      <c r="C1599" t="s">
        <v>15</v>
      </c>
      <c r="D1599" t="s">
        <v>1804</v>
      </c>
      <c r="E1599" t="s">
        <v>200</v>
      </c>
    </row>
    <row r="1600" spans="1:5" x14ac:dyDescent="0.2">
      <c r="A1600" s="269">
        <v>45910.497025462966</v>
      </c>
      <c r="B1600" t="s">
        <v>1431</v>
      </c>
      <c r="C1600" t="s">
        <v>15</v>
      </c>
      <c r="D1600" t="s">
        <v>1643</v>
      </c>
      <c r="E1600">
        <v>1</v>
      </c>
    </row>
    <row r="1601" spans="1:5" x14ac:dyDescent="0.2">
      <c r="A1601" s="269">
        <v>45910.497094907405</v>
      </c>
      <c r="B1601" t="s">
        <v>1431</v>
      </c>
      <c r="C1601" t="s">
        <v>15</v>
      </c>
      <c r="D1601" t="s">
        <v>1593</v>
      </c>
      <c r="E1601" t="s">
        <v>380</v>
      </c>
    </row>
    <row r="1602" spans="1:5" x14ac:dyDescent="0.2">
      <c r="A1602" s="269">
        <v>45910.497129629628</v>
      </c>
      <c r="B1602" t="s">
        <v>1431</v>
      </c>
      <c r="C1602" t="s">
        <v>15</v>
      </c>
      <c r="D1602" t="s">
        <v>1652</v>
      </c>
      <c r="E1602" t="s">
        <v>352</v>
      </c>
    </row>
    <row r="1603" spans="1:5" x14ac:dyDescent="0.2">
      <c r="A1603" s="269">
        <v>45910.497187499997</v>
      </c>
      <c r="B1603" t="s">
        <v>1431</v>
      </c>
      <c r="C1603" t="s">
        <v>15</v>
      </c>
      <c r="D1603" t="s">
        <v>1805</v>
      </c>
      <c r="E1603">
        <v>0</v>
      </c>
    </row>
    <row r="1604" spans="1:5" x14ac:dyDescent="0.2">
      <c r="A1604" s="269">
        <v>45910.497476851851</v>
      </c>
      <c r="B1604" t="s">
        <v>1431</v>
      </c>
      <c r="C1604" t="s">
        <v>15</v>
      </c>
      <c r="D1604" t="s">
        <v>1806</v>
      </c>
      <c r="E1604" t="s">
        <v>1776</v>
      </c>
    </row>
    <row r="1605" spans="1:5" x14ac:dyDescent="0.2">
      <c r="A1605" s="269">
        <v>45910.498391203706</v>
      </c>
      <c r="B1605" t="s">
        <v>1431</v>
      </c>
      <c r="C1605" t="s">
        <v>15</v>
      </c>
      <c r="D1605" t="s">
        <v>1551</v>
      </c>
      <c r="E1605" t="s">
        <v>1807</v>
      </c>
    </row>
    <row r="1606" spans="1:5" x14ac:dyDescent="0.2">
      <c r="A1606" s="269">
        <v>45910.498425925929</v>
      </c>
      <c r="B1606" t="s">
        <v>1431</v>
      </c>
      <c r="C1606" t="s">
        <v>15</v>
      </c>
      <c r="D1606" t="s">
        <v>1552</v>
      </c>
      <c r="E1606" t="s">
        <v>1807</v>
      </c>
    </row>
    <row r="1607" spans="1:5" x14ac:dyDescent="0.2">
      <c r="A1607" s="269">
        <v>45910.498460648145</v>
      </c>
      <c r="B1607" t="s">
        <v>1431</v>
      </c>
      <c r="C1607" t="s">
        <v>15</v>
      </c>
      <c r="D1607" t="s">
        <v>1808</v>
      </c>
      <c r="E1607" t="s">
        <v>200</v>
      </c>
    </row>
    <row r="1608" spans="1:5" x14ac:dyDescent="0.2">
      <c r="A1608" s="269">
        <v>45910.498483796298</v>
      </c>
      <c r="B1608" t="s">
        <v>1431</v>
      </c>
      <c r="C1608" t="s">
        <v>15</v>
      </c>
      <c r="D1608" t="s">
        <v>1809</v>
      </c>
      <c r="E1608" t="s">
        <v>200</v>
      </c>
    </row>
    <row r="1609" spans="1:5" x14ac:dyDescent="0.2">
      <c r="A1609" s="269">
        <v>45910.498506944445</v>
      </c>
      <c r="B1609" t="s">
        <v>1431</v>
      </c>
      <c r="C1609" t="s">
        <v>15</v>
      </c>
      <c r="D1609" t="s">
        <v>1727</v>
      </c>
      <c r="E1609">
        <v>1</v>
      </c>
    </row>
    <row r="1610" spans="1:5" x14ac:dyDescent="0.2">
      <c r="A1610" s="269">
        <v>45910.498518518521</v>
      </c>
      <c r="B1610" t="s">
        <v>1431</v>
      </c>
      <c r="C1610" t="s">
        <v>15</v>
      </c>
      <c r="D1610" t="s">
        <v>1736</v>
      </c>
      <c r="E1610">
        <v>1</v>
      </c>
    </row>
    <row r="1611" spans="1:5" x14ac:dyDescent="0.2">
      <c r="A1611" s="269">
        <v>45910.498888888891</v>
      </c>
      <c r="B1611" t="s">
        <v>1431</v>
      </c>
      <c r="C1611" t="s">
        <v>15</v>
      </c>
      <c r="D1611" t="s">
        <v>1602</v>
      </c>
      <c r="E1611" t="s">
        <v>372</v>
      </c>
    </row>
    <row r="1612" spans="1:5" x14ac:dyDescent="0.2">
      <c r="A1612" s="269">
        <v>45910.498935185184</v>
      </c>
      <c r="B1612" t="s">
        <v>1431</v>
      </c>
      <c r="C1612" t="s">
        <v>15</v>
      </c>
      <c r="D1612" t="s">
        <v>1577</v>
      </c>
      <c r="E1612" t="s">
        <v>372</v>
      </c>
    </row>
    <row r="1613" spans="1:5" x14ac:dyDescent="0.2">
      <c r="A1613" s="269">
        <v>45910.498969907407</v>
      </c>
      <c r="B1613" t="s">
        <v>1431</v>
      </c>
      <c r="C1613" t="s">
        <v>15</v>
      </c>
      <c r="D1613" t="s">
        <v>1728</v>
      </c>
      <c r="E1613" t="s">
        <v>352</v>
      </c>
    </row>
    <row r="1614" spans="1:5" x14ac:dyDescent="0.2">
      <c r="A1614" s="269">
        <v>45910.498981481483</v>
      </c>
      <c r="B1614" t="s">
        <v>1431</v>
      </c>
      <c r="C1614" t="s">
        <v>15</v>
      </c>
      <c r="D1614" t="s">
        <v>1728</v>
      </c>
      <c r="E1614" t="s">
        <v>188</v>
      </c>
    </row>
    <row r="1615" spans="1:5" x14ac:dyDescent="0.2">
      <c r="A1615" s="269">
        <v>45910.49900462963</v>
      </c>
      <c r="B1615" t="s">
        <v>1431</v>
      </c>
      <c r="C1615" t="s">
        <v>15</v>
      </c>
      <c r="D1615" t="s">
        <v>1728</v>
      </c>
      <c r="E1615" t="s">
        <v>352</v>
      </c>
    </row>
    <row r="1616" spans="1:5" x14ac:dyDescent="0.2">
      <c r="A1616" s="269">
        <v>45910.499039351853</v>
      </c>
      <c r="B1616" t="s">
        <v>1431</v>
      </c>
      <c r="C1616" t="s">
        <v>15</v>
      </c>
      <c r="D1616" t="s">
        <v>1737</v>
      </c>
      <c r="E1616" t="s">
        <v>352</v>
      </c>
    </row>
    <row r="1617" spans="1:5" x14ac:dyDescent="0.2">
      <c r="A1617" s="269">
        <v>45910.499074074076</v>
      </c>
      <c r="B1617" t="s">
        <v>1431</v>
      </c>
      <c r="C1617" t="s">
        <v>15</v>
      </c>
      <c r="D1617" t="s">
        <v>1810</v>
      </c>
      <c r="E1617">
        <v>0</v>
      </c>
    </row>
    <row r="1618" spans="1:5" x14ac:dyDescent="0.2">
      <c r="A1618" s="269">
        <v>45910.499085648145</v>
      </c>
      <c r="B1618" t="s">
        <v>1431</v>
      </c>
      <c r="C1618" t="s">
        <v>15</v>
      </c>
      <c r="D1618" t="s">
        <v>1811</v>
      </c>
      <c r="E1618">
        <v>0</v>
      </c>
    </row>
    <row r="1619" spans="1:5" x14ac:dyDescent="0.2">
      <c r="A1619" s="269">
        <v>45910.499224537038</v>
      </c>
      <c r="B1619" t="s">
        <v>1431</v>
      </c>
      <c r="C1619" t="s">
        <v>15</v>
      </c>
      <c r="D1619" t="s">
        <v>1812</v>
      </c>
      <c r="E1619" t="s">
        <v>1776</v>
      </c>
    </row>
    <row r="1620" spans="1:5" x14ac:dyDescent="0.2">
      <c r="A1620" s="269">
        <v>45910.555347222224</v>
      </c>
      <c r="B1620" t="s">
        <v>1431</v>
      </c>
      <c r="C1620" t="s">
        <v>15</v>
      </c>
      <c r="D1620" t="s">
        <v>1553</v>
      </c>
      <c r="E1620" t="s">
        <v>1813</v>
      </c>
    </row>
    <row r="1621" spans="1:5" x14ac:dyDescent="0.2">
      <c r="A1621" s="269">
        <v>45910.555393518516</v>
      </c>
      <c r="B1621" t="s">
        <v>1431</v>
      </c>
      <c r="C1621" t="s">
        <v>15</v>
      </c>
      <c r="D1621" t="s">
        <v>1814</v>
      </c>
      <c r="E1621" t="s">
        <v>200</v>
      </c>
    </row>
    <row r="1622" spans="1:5" x14ac:dyDescent="0.2">
      <c r="A1622" s="269">
        <v>45910.55541666667</v>
      </c>
      <c r="B1622" t="s">
        <v>1431</v>
      </c>
      <c r="C1622" t="s">
        <v>15</v>
      </c>
      <c r="D1622" t="s">
        <v>1748</v>
      </c>
      <c r="E1622">
        <v>1</v>
      </c>
    </row>
    <row r="1623" spans="1:5" x14ac:dyDescent="0.2">
      <c r="A1623" s="269">
        <v>45910.555601851855</v>
      </c>
      <c r="B1623" t="s">
        <v>1431</v>
      </c>
      <c r="C1623" t="s">
        <v>15</v>
      </c>
      <c r="D1623" t="s">
        <v>1578</v>
      </c>
      <c r="E1623" t="s">
        <v>372</v>
      </c>
    </row>
    <row r="1624" spans="1:5" x14ac:dyDescent="0.2">
      <c r="A1624" s="269">
        <v>45910.555636574078</v>
      </c>
      <c r="B1624" t="s">
        <v>1431</v>
      </c>
      <c r="C1624" t="s">
        <v>15</v>
      </c>
      <c r="D1624" t="s">
        <v>1749</v>
      </c>
      <c r="E1624" t="s">
        <v>352</v>
      </c>
    </row>
    <row r="1625" spans="1:5" x14ac:dyDescent="0.2">
      <c r="A1625" s="269">
        <v>45910.555717592593</v>
      </c>
      <c r="B1625" t="s">
        <v>1431</v>
      </c>
      <c r="C1625" t="s">
        <v>15</v>
      </c>
      <c r="D1625" t="s">
        <v>1815</v>
      </c>
      <c r="E1625">
        <v>0</v>
      </c>
    </row>
    <row r="1626" spans="1:5" x14ac:dyDescent="0.2">
      <c r="A1626" s="269">
        <v>45910.555868055555</v>
      </c>
      <c r="B1626" t="s">
        <v>1431</v>
      </c>
      <c r="C1626" t="s">
        <v>15</v>
      </c>
      <c r="D1626" t="s">
        <v>1816</v>
      </c>
      <c r="E1626" t="s">
        <v>1776</v>
      </c>
    </row>
    <row r="1627" spans="1:5" x14ac:dyDescent="0.2">
      <c r="A1627" s="269">
        <v>45910.556956018518</v>
      </c>
      <c r="B1627" t="s">
        <v>1431</v>
      </c>
      <c r="C1627" t="s">
        <v>15</v>
      </c>
      <c r="D1627" t="s">
        <v>1554</v>
      </c>
      <c r="E1627" t="s">
        <v>1817</v>
      </c>
    </row>
    <row r="1628" spans="1:5" x14ac:dyDescent="0.2">
      <c r="A1628" s="269">
        <v>45910.557037037041</v>
      </c>
      <c r="B1628" t="s">
        <v>1431</v>
      </c>
      <c r="C1628" t="s">
        <v>15</v>
      </c>
      <c r="D1628" t="s">
        <v>1818</v>
      </c>
      <c r="E1628" t="s">
        <v>200</v>
      </c>
    </row>
    <row r="1629" spans="1:5" x14ac:dyDescent="0.2">
      <c r="A1629" s="269">
        <v>45910.557060185187</v>
      </c>
      <c r="B1629" t="s">
        <v>1431</v>
      </c>
      <c r="C1629" t="s">
        <v>15</v>
      </c>
      <c r="D1629" t="s">
        <v>1760</v>
      </c>
      <c r="E1629">
        <v>1</v>
      </c>
    </row>
    <row r="1630" spans="1:5" x14ac:dyDescent="0.2">
      <c r="A1630" s="269">
        <v>45910.557129629633</v>
      </c>
      <c r="B1630" t="s">
        <v>1431</v>
      </c>
      <c r="C1630" t="s">
        <v>15</v>
      </c>
      <c r="D1630" t="s">
        <v>1594</v>
      </c>
      <c r="E1630" t="s">
        <v>372</v>
      </c>
    </row>
    <row r="1631" spans="1:5" x14ac:dyDescent="0.2">
      <c r="A1631" s="269">
        <v>45910.557152777779</v>
      </c>
      <c r="B1631" t="s">
        <v>1431</v>
      </c>
      <c r="C1631" t="s">
        <v>15</v>
      </c>
      <c r="D1631" t="s">
        <v>1761</v>
      </c>
      <c r="E1631" t="s">
        <v>352</v>
      </c>
    </row>
    <row r="1632" spans="1:5" x14ac:dyDescent="0.2">
      <c r="A1632" s="269">
        <v>45910.557210648149</v>
      </c>
      <c r="B1632" t="s">
        <v>1431</v>
      </c>
      <c r="C1632" t="s">
        <v>15</v>
      </c>
      <c r="D1632" t="s">
        <v>1819</v>
      </c>
      <c r="E1632">
        <v>0</v>
      </c>
    </row>
    <row r="1633" spans="1:5" x14ac:dyDescent="0.2">
      <c r="A1633" s="269">
        <v>45910.557291666664</v>
      </c>
      <c r="B1633" t="s">
        <v>1431</v>
      </c>
      <c r="C1633" t="s">
        <v>15</v>
      </c>
      <c r="D1633" t="s">
        <v>1820</v>
      </c>
      <c r="E1633" t="s">
        <v>1776</v>
      </c>
    </row>
    <row r="1634" spans="1:5" x14ac:dyDescent="0.2">
      <c r="A1634" s="269">
        <v>45910.557592592595</v>
      </c>
      <c r="B1634" t="s">
        <v>1431</v>
      </c>
      <c r="C1634" t="s">
        <v>15</v>
      </c>
      <c r="D1634" t="s">
        <v>1555</v>
      </c>
      <c r="E1634" t="s">
        <v>1821</v>
      </c>
    </row>
    <row r="1635" spans="1:5" x14ac:dyDescent="0.2">
      <c r="A1635" s="269">
        <v>45910.557615740741</v>
      </c>
      <c r="B1635" t="s">
        <v>1431</v>
      </c>
      <c r="C1635" t="s">
        <v>15</v>
      </c>
      <c r="D1635" t="s">
        <v>1818</v>
      </c>
      <c r="E1635" t="s">
        <v>194</v>
      </c>
    </row>
    <row r="1636" spans="1:5" x14ac:dyDescent="0.2">
      <c r="A1636" s="269">
        <v>45910.557662037034</v>
      </c>
      <c r="B1636" t="s">
        <v>1431</v>
      </c>
      <c r="C1636" t="s">
        <v>15</v>
      </c>
      <c r="D1636" t="s">
        <v>1818</v>
      </c>
      <c r="E1636" t="s">
        <v>200</v>
      </c>
    </row>
    <row r="1637" spans="1:5" x14ac:dyDescent="0.2">
      <c r="A1637" s="269">
        <v>45910.557685185187</v>
      </c>
      <c r="B1637" t="s">
        <v>1431</v>
      </c>
      <c r="C1637" t="s">
        <v>15</v>
      </c>
      <c r="D1637" t="s">
        <v>1822</v>
      </c>
      <c r="E1637" t="s">
        <v>200</v>
      </c>
    </row>
    <row r="1638" spans="1:5" x14ac:dyDescent="0.2">
      <c r="A1638" s="269">
        <v>45910.557708333334</v>
      </c>
      <c r="B1638" t="s">
        <v>1431</v>
      </c>
      <c r="C1638" t="s">
        <v>15</v>
      </c>
      <c r="D1638" t="s">
        <v>1644</v>
      </c>
      <c r="E1638">
        <v>1</v>
      </c>
    </row>
    <row r="1639" spans="1:5" x14ac:dyDescent="0.2">
      <c r="A1639" s="269">
        <v>45910.557743055557</v>
      </c>
      <c r="B1639" t="s">
        <v>1431</v>
      </c>
      <c r="C1639" t="s">
        <v>15</v>
      </c>
      <c r="D1639" t="s">
        <v>1603</v>
      </c>
      <c r="E1639" t="s">
        <v>372</v>
      </c>
    </row>
    <row r="1640" spans="1:5" x14ac:dyDescent="0.2">
      <c r="A1640" s="269">
        <v>45910.55777777778</v>
      </c>
      <c r="B1640" t="s">
        <v>1431</v>
      </c>
      <c r="C1640" t="s">
        <v>15</v>
      </c>
      <c r="D1640" t="s">
        <v>1653</v>
      </c>
      <c r="E1640" t="s">
        <v>352</v>
      </c>
    </row>
    <row r="1641" spans="1:5" x14ac:dyDescent="0.2">
      <c r="A1641" s="269">
        <v>45910.557835648149</v>
      </c>
      <c r="B1641" t="s">
        <v>1431</v>
      </c>
      <c r="C1641" t="s">
        <v>15</v>
      </c>
      <c r="D1641" t="s">
        <v>1823</v>
      </c>
      <c r="E1641">
        <v>0</v>
      </c>
    </row>
    <row r="1642" spans="1:5" x14ac:dyDescent="0.2">
      <c r="A1642" s="269">
        <v>45910.557939814818</v>
      </c>
      <c r="B1642" t="s">
        <v>1431</v>
      </c>
      <c r="C1642" t="s">
        <v>15</v>
      </c>
      <c r="D1642" t="s">
        <v>1824</v>
      </c>
      <c r="E1642" t="s">
        <v>1776</v>
      </c>
    </row>
    <row r="1643" spans="1:5" x14ac:dyDescent="0.2">
      <c r="A1643" s="269">
        <v>45910.563483796293</v>
      </c>
      <c r="B1643" t="s">
        <v>1431</v>
      </c>
      <c r="C1643" t="s">
        <v>15</v>
      </c>
      <c r="D1643" t="s">
        <v>1825</v>
      </c>
      <c r="E1643" t="s">
        <v>194</v>
      </c>
    </row>
    <row r="1644" spans="1:5" x14ac:dyDescent="0.2">
      <c r="A1644" s="269">
        <v>45910.563518518517</v>
      </c>
      <c r="B1644" t="s">
        <v>1431</v>
      </c>
      <c r="C1644" t="s">
        <v>15</v>
      </c>
      <c r="D1644" t="s">
        <v>1730</v>
      </c>
      <c r="E1644">
        <v>1</v>
      </c>
    </row>
    <row r="1645" spans="1:5" x14ac:dyDescent="0.2">
      <c r="A1645" s="269">
        <v>45910.563564814816</v>
      </c>
      <c r="B1645" t="s">
        <v>1431</v>
      </c>
      <c r="C1645" t="s">
        <v>15</v>
      </c>
      <c r="D1645" t="s">
        <v>1556</v>
      </c>
      <c r="E1645" t="s">
        <v>1826</v>
      </c>
    </row>
    <row r="1646" spans="1:5" x14ac:dyDescent="0.2">
      <c r="A1646" s="269">
        <v>45910.563645833332</v>
      </c>
      <c r="B1646" t="s">
        <v>1431</v>
      </c>
      <c r="C1646" t="s">
        <v>15</v>
      </c>
      <c r="D1646" t="s">
        <v>1579</v>
      </c>
      <c r="E1646" t="s">
        <v>364</v>
      </c>
    </row>
    <row r="1647" spans="1:5" x14ac:dyDescent="0.2">
      <c r="A1647" s="269">
        <v>45910.563692129632</v>
      </c>
      <c r="B1647" t="s">
        <v>1431</v>
      </c>
      <c r="C1647" t="s">
        <v>15</v>
      </c>
      <c r="D1647" t="s">
        <v>1731</v>
      </c>
      <c r="E1647" t="s">
        <v>352</v>
      </c>
    </row>
    <row r="1648" spans="1:5" x14ac:dyDescent="0.2">
      <c r="A1648" s="269">
        <v>45910.563761574071</v>
      </c>
      <c r="B1648" t="s">
        <v>1431</v>
      </c>
      <c r="C1648" t="s">
        <v>15</v>
      </c>
      <c r="D1648" t="s">
        <v>1827</v>
      </c>
      <c r="E1648">
        <v>0</v>
      </c>
    </row>
    <row r="1649" spans="1:5" x14ac:dyDescent="0.2">
      <c r="A1649" s="269">
        <v>45910.563842592594</v>
      </c>
      <c r="B1649" t="s">
        <v>1431</v>
      </c>
      <c r="C1649" t="s">
        <v>15</v>
      </c>
      <c r="D1649" t="s">
        <v>1829</v>
      </c>
      <c r="E1649" t="s">
        <v>1828</v>
      </c>
    </row>
    <row r="1650" spans="1:5" x14ac:dyDescent="0.2">
      <c r="A1650" s="269">
        <v>45910.564108796294</v>
      </c>
      <c r="B1650" t="s">
        <v>1431</v>
      </c>
      <c r="C1650" t="s">
        <v>15</v>
      </c>
      <c r="D1650" t="s">
        <v>1557</v>
      </c>
      <c r="E1650" t="s">
        <v>1830</v>
      </c>
    </row>
    <row r="1651" spans="1:5" x14ac:dyDescent="0.2">
      <c r="A1651" s="269">
        <v>45910.564398148148</v>
      </c>
      <c r="B1651" t="s">
        <v>1431</v>
      </c>
      <c r="C1651" t="s">
        <v>15</v>
      </c>
      <c r="D1651" t="s">
        <v>1558</v>
      </c>
      <c r="E1651" t="s">
        <v>1831</v>
      </c>
    </row>
    <row r="1652" spans="1:5" x14ac:dyDescent="0.2">
      <c r="A1652" s="269">
        <v>45910.564456018517</v>
      </c>
      <c r="B1652" t="s">
        <v>1431</v>
      </c>
      <c r="C1652" t="s">
        <v>15</v>
      </c>
      <c r="D1652" t="s">
        <v>1558</v>
      </c>
      <c r="E1652" t="s">
        <v>1832</v>
      </c>
    </row>
    <row r="1653" spans="1:5" x14ac:dyDescent="0.2">
      <c r="A1653" s="269">
        <v>45910.564502314817</v>
      </c>
      <c r="B1653" t="s">
        <v>1431</v>
      </c>
      <c r="C1653" t="s">
        <v>15</v>
      </c>
      <c r="D1653" t="s">
        <v>1833</v>
      </c>
    </row>
    <row r="1654" spans="1:5" x14ac:dyDescent="0.2">
      <c r="A1654" s="269">
        <v>45910.564513888887</v>
      </c>
      <c r="B1654" t="s">
        <v>1431</v>
      </c>
      <c r="C1654" t="s">
        <v>15</v>
      </c>
      <c r="D1654" t="s">
        <v>1730</v>
      </c>
    </row>
    <row r="1655" spans="1:5" x14ac:dyDescent="0.2">
      <c r="A1655" s="269">
        <v>45910.56459490741</v>
      </c>
      <c r="B1655" t="s">
        <v>1431</v>
      </c>
      <c r="C1655" t="s">
        <v>15</v>
      </c>
      <c r="D1655" t="s">
        <v>1829</v>
      </c>
    </row>
    <row r="1656" spans="1:5" x14ac:dyDescent="0.2">
      <c r="A1656" s="269">
        <v>45910.564687500002</v>
      </c>
      <c r="B1656" t="s">
        <v>1431</v>
      </c>
      <c r="C1656" t="s">
        <v>15</v>
      </c>
      <c r="D1656" t="s">
        <v>1829</v>
      </c>
      <c r="E1656" t="s">
        <v>1834</v>
      </c>
    </row>
    <row r="1657" spans="1:5" x14ac:dyDescent="0.2">
      <c r="A1657" s="269">
        <v>45910.564803240741</v>
      </c>
      <c r="B1657" t="s">
        <v>1431</v>
      </c>
      <c r="C1657" t="s">
        <v>15</v>
      </c>
      <c r="D1657" t="s">
        <v>1825</v>
      </c>
      <c r="E1657" t="s">
        <v>200</v>
      </c>
    </row>
    <row r="1658" spans="1:5" x14ac:dyDescent="0.2">
      <c r="A1658" s="269">
        <v>45910.564976851849</v>
      </c>
      <c r="B1658" t="s">
        <v>1431</v>
      </c>
      <c r="C1658" t="s">
        <v>15</v>
      </c>
      <c r="D1658" t="s">
        <v>1730</v>
      </c>
      <c r="E1658">
        <v>1</v>
      </c>
    </row>
    <row r="1659" spans="1:5" x14ac:dyDescent="0.2">
      <c r="A1659" s="269">
        <v>45910.565092592595</v>
      </c>
      <c r="B1659" t="s">
        <v>1431</v>
      </c>
      <c r="C1659" t="s">
        <v>15</v>
      </c>
      <c r="D1659" t="s">
        <v>1556</v>
      </c>
      <c r="E1659" t="s">
        <v>1835</v>
      </c>
    </row>
    <row r="1660" spans="1:5" x14ac:dyDescent="0.2">
      <c r="A1660" s="269">
        <v>45910.565138888887</v>
      </c>
      <c r="B1660" t="s">
        <v>1431</v>
      </c>
      <c r="C1660" t="s">
        <v>15</v>
      </c>
      <c r="D1660" t="s">
        <v>1556</v>
      </c>
      <c r="E1660" t="s">
        <v>1836</v>
      </c>
    </row>
    <row r="1661" spans="1:5" x14ac:dyDescent="0.2">
      <c r="A1661" s="269">
        <v>45910.565358796295</v>
      </c>
      <c r="B1661" t="s">
        <v>1431</v>
      </c>
      <c r="C1661" t="s">
        <v>15</v>
      </c>
      <c r="D1661" t="s">
        <v>1557</v>
      </c>
      <c r="E1661" t="s">
        <v>1836</v>
      </c>
    </row>
    <row r="1662" spans="1:5" x14ac:dyDescent="0.2">
      <c r="A1662" s="269">
        <v>45910.565370370372</v>
      </c>
      <c r="B1662" t="s">
        <v>1431</v>
      </c>
      <c r="C1662" t="s">
        <v>15</v>
      </c>
      <c r="D1662" t="s">
        <v>1558</v>
      </c>
      <c r="E1662" t="s">
        <v>1836</v>
      </c>
    </row>
    <row r="1663" spans="1:5" x14ac:dyDescent="0.2">
      <c r="A1663" s="269">
        <v>45910.565393518518</v>
      </c>
      <c r="B1663" t="s">
        <v>1431</v>
      </c>
      <c r="C1663" t="s">
        <v>15</v>
      </c>
      <c r="D1663" t="s">
        <v>1559</v>
      </c>
      <c r="E1663" t="s">
        <v>1836</v>
      </c>
    </row>
    <row r="1664" spans="1:5" x14ac:dyDescent="0.2">
      <c r="A1664" s="269">
        <v>45910.565416666665</v>
      </c>
      <c r="B1664" t="s">
        <v>1431</v>
      </c>
      <c r="C1664" t="s">
        <v>15</v>
      </c>
      <c r="D1664" t="s">
        <v>1560</v>
      </c>
      <c r="E1664" t="s">
        <v>1836</v>
      </c>
    </row>
    <row r="1665" spans="1:5" x14ac:dyDescent="0.2">
      <c r="A1665" s="269">
        <v>45910.565474537034</v>
      </c>
      <c r="B1665" t="s">
        <v>1431</v>
      </c>
      <c r="C1665" t="s">
        <v>15</v>
      </c>
      <c r="D1665" t="s">
        <v>1837</v>
      </c>
      <c r="E1665" t="s">
        <v>1836</v>
      </c>
    </row>
    <row r="1666" spans="1:5" x14ac:dyDescent="0.2">
      <c r="A1666" s="269">
        <v>45910.565555555557</v>
      </c>
      <c r="B1666" t="s">
        <v>1431</v>
      </c>
      <c r="C1666" t="s">
        <v>15</v>
      </c>
      <c r="D1666" t="s">
        <v>1825</v>
      </c>
      <c r="E1666" t="s">
        <v>194</v>
      </c>
    </row>
    <row r="1667" spans="1:5" x14ac:dyDescent="0.2">
      <c r="A1667" s="269">
        <v>45910.565578703703</v>
      </c>
      <c r="B1667" t="s">
        <v>1431</v>
      </c>
      <c r="C1667" t="s">
        <v>15</v>
      </c>
      <c r="D1667" t="s">
        <v>1825</v>
      </c>
      <c r="E1667" t="s">
        <v>200</v>
      </c>
    </row>
    <row r="1668" spans="1:5" x14ac:dyDescent="0.2">
      <c r="A1668" s="269">
        <v>45910.565601851849</v>
      </c>
      <c r="B1668" t="s">
        <v>1431</v>
      </c>
      <c r="C1668" t="s">
        <v>15</v>
      </c>
      <c r="D1668" t="s">
        <v>1838</v>
      </c>
      <c r="E1668" t="s">
        <v>200</v>
      </c>
    </row>
    <row r="1669" spans="1:5" x14ac:dyDescent="0.2">
      <c r="A1669" s="269">
        <v>45910.565636574072</v>
      </c>
      <c r="B1669" t="s">
        <v>1431</v>
      </c>
      <c r="C1669" t="s">
        <v>15</v>
      </c>
      <c r="D1669" t="s">
        <v>1839</v>
      </c>
      <c r="E1669" t="s">
        <v>200</v>
      </c>
    </row>
    <row r="1670" spans="1:5" x14ac:dyDescent="0.2">
      <c r="A1670" s="269">
        <v>45910.565659722219</v>
      </c>
      <c r="B1670" t="s">
        <v>1431</v>
      </c>
      <c r="C1670" t="s">
        <v>15</v>
      </c>
      <c r="D1670" t="s">
        <v>1840</v>
      </c>
      <c r="E1670" t="s">
        <v>200</v>
      </c>
    </row>
    <row r="1671" spans="1:5" x14ac:dyDescent="0.2">
      <c r="A1671" s="269">
        <v>45910.565682870372</v>
      </c>
      <c r="B1671" t="s">
        <v>1431</v>
      </c>
      <c r="C1671" t="s">
        <v>15</v>
      </c>
      <c r="D1671" t="s">
        <v>1841</v>
      </c>
      <c r="E1671" t="s">
        <v>200</v>
      </c>
    </row>
    <row r="1672" spans="1:5" x14ac:dyDescent="0.2">
      <c r="A1672" s="269">
        <v>45910.565706018519</v>
      </c>
      <c r="B1672" t="s">
        <v>1431</v>
      </c>
      <c r="C1672" t="s">
        <v>15</v>
      </c>
      <c r="D1672" t="s">
        <v>1842</v>
      </c>
      <c r="E1672" t="s">
        <v>200</v>
      </c>
    </row>
    <row r="1673" spans="1:5" x14ac:dyDescent="0.2">
      <c r="A1673" s="269">
        <v>45910.565740740742</v>
      </c>
      <c r="B1673" t="s">
        <v>1431</v>
      </c>
      <c r="C1673" t="s">
        <v>15</v>
      </c>
      <c r="D1673" t="s">
        <v>1739</v>
      </c>
      <c r="E1673">
        <v>1</v>
      </c>
    </row>
    <row r="1674" spans="1:5" x14ac:dyDescent="0.2">
      <c r="A1674" s="269">
        <v>45910.565752314818</v>
      </c>
      <c r="B1674" t="s">
        <v>1431</v>
      </c>
      <c r="C1674" t="s">
        <v>15</v>
      </c>
      <c r="D1674" t="s">
        <v>1751</v>
      </c>
      <c r="E1674">
        <v>1</v>
      </c>
    </row>
    <row r="1675" spans="1:5" x14ac:dyDescent="0.2">
      <c r="A1675" s="269">
        <v>45910.565752314818</v>
      </c>
      <c r="B1675" t="s">
        <v>1431</v>
      </c>
      <c r="C1675" t="s">
        <v>15</v>
      </c>
      <c r="D1675" t="s">
        <v>1763</v>
      </c>
      <c r="E1675">
        <v>1</v>
      </c>
    </row>
    <row r="1676" spans="1:5" x14ac:dyDescent="0.2">
      <c r="A1676" s="269">
        <v>45910.565752314818</v>
      </c>
      <c r="B1676" t="s">
        <v>1431</v>
      </c>
      <c r="C1676" t="s">
        <v>15</v>
      </c>
      <c r="D1676" t="s">
        <v>1645</v>
      </c>
      <c r="E1676">
        <v>1</v>
      </c>
    </row>
    <row r="1677" spans="1:5" x14ac:dyDescent="0.2">
      <c r="A1677" s="269">
        <v>45910.565763888888</v>
      </c>
      <c r="B1677" t="s">
        <v>1431</v>
      </c>
      <c r="C1677" t="s">
        <v>15</v>
      </c>
      <c r="D1677" t="s">
        <v>1733</v>
      </c>
      <c r="E1677">
        <v>1</v>
      </c>
    </row>
    <row r="1678" spans="1:5" x14ac:dyDescent="0.2">
      <c r="A1678" s="269">
        <v>45910.565844907411</v>
      </c>
      <c r="B1678" t="s">
        <v>1431</v>
      </c>
      <c r="C1678" t="s">
        <v>15</v>
      </c>
      <c r="D1678" t="s">
        <v>1579</v>
      </c>
      <c r="E1678" t="s">
        <v>380</v>
      </c>
    </row>
    <row r="1679" spans="1:5" x14ac:dyDescent="0.2">
      <c r="A1679" s="269">
        <v>45910.565879629627</v>
      </c>
      <c r="B1679" t="s">
        <v>1431</v>
      </c>
      <c r="C1679" t="s">
        <v>15</v>
      </c>
      <c r="D1679" t="s">
        <v>1580</v>
      </c>
      <c r="E1679" t="s">
        <v>380</v>
      </c>
    </row>
    <row r="1680" spans="1:5" x14ac:dyDescent="0.2">
      <c r="A1680" s="269">
        <v>45910.56590277778</v>
      </c>
      <c r="B1680" t="s">
        <v>1431</v>
      </c>
      <c r="C1680" t="s">
        <v>15</v>
      </c>
      <c r="D1680" t="s">
        <v>1595</v>
      </c>
      <c r="E1680" t="s">
        <v>380</v>
      </c>
    </row>
    <row r="1681" spans="1:5" x14ac:dyDescent="0.2">
      <c r="A1681" s="269">
        <v>45910.565937500003</v>
      </c>
      <c r="B1681" t="s">
        <v>1431</v>
      </c>
      <c r="C1681" t="s">
        <v>15</v>
      </c>
      <c r="D1681" t="s">
        <v>1604</v>
      </c>
      <c r="E1681" t="s">
        <v>380</v>
      </c>
    </row>
    <row r="1682" spans="1:5" x14ac:dyDescent="0.2">
      <c r="A1682" s="269">
        <v>45910.565960648149</v>
      </c>
      <c r="B1682" t="s">
        <v>1431</v>
      </c>
      <c r="C1682" t="s">
        <v>15</v>
      </c>
      <c r="D1682" t="s">
        <v>1581</v>
      </c>
      <c r="E1682" t="s">
        <v>380</v>
      </c>
    </row>
    <row r="1683" spans="1:5" x14ac:dyDescent="0.2">
      <c r="A1683" s="269">
        <v>45910.565995370373</v>
      </c>
      <c r="B1683" t="s">
        <v>1431</v>
      </c>
      <c r="C1683" t="s">
        <v>15</v>
      </c>
      <c r="D1683" t="s">
        <v>1582</v>
      </c>
      <c r="E1683" t="s">
        <v>380</v>
      </c>
    </row>
    <row r="1684" spans="1:5" x14ac:dyDescent="0.2">
      <c r="A1684" s="269">
        <v>45910.566886574074</v>
      </c>
      <c r="B1684" t="s">
        <v>1431</v>
      </c>
      <c r="C1684" t="s">
        <v>15</v>
      </c>
      <c r="D1684" t="s">
        <v>1829</v>
      </c>
      <c r="E1684" t="s">
        <v>1843</v>
      </c>
    </row>
    <row r="1685" spans="1:5" x14ac:dyDescent="0.2">
      <c r="A1685" s="269">
        <v>45910.566979166666</v>
      </c>
      <c r="B1685" t="s">
        <v>1431</v>
      </c>
      <c r="C1685" t="s">
        <v>15</v>
      </c>
      <c r="D1685" t="s">
        <v>1844</v>
      </c>
      <c r="E1685" t="s">
        <v>1843</v>
      </c>
    </row>
    <row r="1686" spans="1:5" x14ac:dyDescent="0.2">
      <c r="A1686" s="269">
        <v>45910.567071759258</v>
      </c>
      <c r="B1686" t="s">
        <v>1431</v>
      </c>
      <c r="C1686" t="s">
        <v>15</v>
      </c>
      <c r="D1686" t="s">
        <v>1740</v>
      </c>
      <c r="E1686" t="s">
        <v>352</v>
      </c>
    </row>
    <row r="1687" spans="1:5" x14ac:dyDescent="0.2">
      <c r="A1687" s="269">
        <v>45910.567083333335</v>
      </c>
      <c r="B1687" t="s">
        <v>1431</v>
      </c>
      <c r="C1687" t="s">
        <v>15</v>
      </c>
      <c r="D1687" t="s">
        <v>1740</v>
      </c>
      <c r="E1687" t="s">
        <v>188</v>
      </c>
    </row>
    <row r="1688" spans="1:5" x14ac:dyDescent="0.2">
      <c r="A1688" s="269">
        <v>45910.567106481481</v>
      </c>
      <c r="B1688" t="s">
        <v>1431</v>
      </c>
      <c r="C1688" t="s">
        <v>15</v>
      </c>
      <c r="D1688" t="s">
        <v>1752</v>
      </c>
      <c r="E1688" t="s">
        <v>352</v>
      </c>
    </row>
    <row r="1689" spans="1:5" x14ac:dyDescent="0.2">
      <c r="A1689" s="269">
        <v>45910.567129629628</v>
      </c>
      <c r="B1689" t="s">
        <v>1431</v>
      </c>
      <c r="C1689" t="s">
        <v>15</v>
      </c>
      <c r="D1689" t="s">
        <v>1764</v>
      </c>
      <c r="E1689" t="s">
        <v>352</v>
      </c>
    </row>
    <row r="1690" spans="1:5" x14ac:dyDescent="0.2">
      <c r="A1690" s="269">
        <v>45910.567256944443</v>
      </c>
      <c r="B1690" t="s">
        <v>1431</v>
      </c>
      <c r="C1690" t="s">
        <v>15</v>
      </c>
      <c r="D1690" t="s">
        <v>1740</v>
      </c>
      <c r="E1690" t="s">
        <v>352</v>
      </c>
    </row>
    <row r="1691" spans="1:5" x14ac:dyDescent="0.2">
      <c r="A1691" s="269">
        <v>45910.567418981482</v>
      </c>
      <c r="B1691" t="s">
        <v>1431</v>
      </c>
      <c r="C1691" t="s">
        <v>15</v>
      </c>
      <c r="D1691" t="s">
        <v>1654</v>
      </c>
      <c r="E1691" t="s">
        <v>352</v>
      </c>
    </row>
    <row r="1692" spans="1:5" x14ac:dyDescent="0.2">
      <c r="A1692" s="269">
        <v>45910.567442129628</v>
      </c>
      <c r="B1692" t="s">
        <v>1431</v>
      </c>
      <c r="C1692" t="s">
        <v>15</v>
      </c>
      <c r="D1692" t="s">
        <v>1734</v>
      </c>
      <c r="E1692" t="s">
        <v>352</v>
      </c>
    </row>
    <row r="1693" spans="1:5" x14ac:dyDescent="0.2">
      <c r="A1693" s="269">
        <v>45910.567604166667</v>
      </c>
      <c r="B1693" t="s">
        <v>1431</v>
      </c>
      <c r="C1693" t="s">
        <v>15</v>
      </c>
      <c r="D1693" t="s">
        <v>1845</v>
      </c>
      <c r="E1693">
        <v>0</v>
      </c>
    </row>
    <row r="1694" spans="1:5" x14ac:dyDescent="0.2">
      <c r="A1694" s="269">
        <v>45910.567615740743</v>
      </c>
      <c r="B1694" t="s">
        <v>1431</v>
      </c>
      <c r="C1694" t="s">
        <v>15</v>
      </c>
      <c r="D1694" t="s">
        <v>1846</v>
      </c>
      <c r="E1694">
        <v>0</v>
      </c>
    </row>
    <row r="1695" spans="1:5" x14ac:dyDescent="0.2">
      <c r="A1695" s="269">
        <v>45910.567835648151</v>
      </c>
      <c r="B1695" t="s">
        <v>1431</v>
      </c>
      <c r="C1695" t="s">
        <v>15</v>
      </c>
      <c r="D1695" t="s">
        <v>1847</v>
      </c>
      <c r="E1695">
        <v>0</v>
      </c>
    </row>
    <row r="1696" spans="1:5" x14ac:dyDescent="0.2">
      <c r="A1696" s="269">
        <v>45910.567847222221</v>
      </c>
      <c r="B1696" t="s">
        <v>1431</v>
      </c>
      <c r="C1696" t="s">
        <v>15</v>
      </c>
      <c r="D1696" t="s">
        <v>1848</v>
      </c>
      <c r="E1696">
        <v>0</v>
      </c>
    </row>
    <row r="1697" spans="1:5" x14ac:dyDescent="0.2">
      <c r="A1697" s="269">
        <v>45910.567858796298</v>
      </c>
      <c r="B1697" t="s">
        <v>1431</v>
      </c>
      <c r="C1697" t="s">
        <v>15</v>
      </c>
      <c r="D1697" t="s">
        <v>1849</v>
      </c>
      <c r="E1697">
        <v>0</v>
      </c>
    </row>
    <row r="1698" spans="1:5" x14ac:dyDescent="0.2">
      <c r="A1698" s="269">
        <v>45910.56827546296</v>
      </c>
      <c r="B1698" t="s">
        <v>1431</v>
      </c>
      <c r="C1698" t="s">
        <v>15</v>
      </c>
      <c r="D1698" t="s">
        <v>1850</v>
      </c>
      <c r="E1698" t="s">
        <v>1826</v>
      </c>
    </row>
    <row r="1699" spans="1:5" x14ac:dyDescent="0.2">
      <c r="A1699" s="269">
        <v>45910.56832175926</v>
      </c>
      <c r="B1699" t="s">
        <v>1431</v>
      </c>
      <c r="C1699" t="s">
        <v>15</v>
      </c>
      <c r="D1699" t="s">
        <v>1851</v>
      </c>
      <c r="E1699" t="s">
        <v>194</v>
      </c>
    </row>
    <row r="1700" spans="1:5" x14ac:dyDescent="0.2">
      <c r="A1700" s="269">
        <v>45910.568344907406</v>
      </c>
      <c r="B1700" t="s">
        <v>1431</v>
      </c>
      <c r="C1700" t="s">
        <v>15</v>
      </c>
      <c r="D1700" t="s">
        <v>1742</v>
      </c>
      <c r="E1700">
        <v>1</v>
      </c>
    </row>
    <row r="1701" spans="1:5" x14ac:dyDescent="0.2">
      <c r="A1701" s="269">
        <v>45910.568368055552</v>
      </c>
      <c r="B1701" t="s">
        <v>1431</v>
      </c>
      <c r="C1701" t="s">
        <v>15</v>
      </c>
      <c r="D1701" t="s">
        <v>1596</v>
      </c>
      <c r="E1701" t="s">
        <v>364</v>
      </c>
    </row>
    <row r="1702" spans="1:5" x14ac:dyDescent="0.2">
      <c r="A1702" s="269">
        <v>45910.568414351852</v>
      </c>
      <c r="B1702" t="s">
        <v>1431</v>
      </c>
      <c r="C1702" t="s">
        <v>15</v>
      </c>
      <c r="D1702" t="s">
        <v>1743</v>
      </c>
      <c r="E1702" t="s">
        <v>352</v>
      </c>
    </row>
    <row r="1703" spans="1:5" x14ac:dyDescent="0.2">
      <c r="A1703" s="269">
        <v>45910.568449074075</v>
      </c>
      <c r="B1703" t="s">
        <v>1431</v>
      </c>
      <c r="C1703" t="s">
        <v>15</v>
      </c>
      <c r="D1703" t="s">
        <v>1852</v>
      </c>
      <c r="E1703">
        <v>0</v>
      </c>
    </row>
    <row r="1704" spans="1:5" x14ac:dyDescent="0.2">
      <c r="A1704" s="269">
        <v>45910.568530092591</v>
      </c>
      <c r="B1704" t="s">
        <v>1431</v>
      </c>
      <c r="C1704" t="s">
        <v>15</v>
      </c>
      <c r="D1704" t="s">
        <v>1853</v>
      </c>
      <c r="E1704" t="s">
        <v>1828</v>
      </c>
    </row>
    <row r="1705" spans="1:5" x14ac:dyDescent="0.2">
      <c r="A1705" s="269">
        <v>45910.589988425927</v>
      </c>
      <c r="B1705" t="s">
        <v>1431</v>
      </c>
      <c r="C1705" t="s">
        <v>15</v>
      </c>
      <c r="D1705" t="s">
        <v>1855</v>
      </c>
      <c r="E1705" t="s">
        <v>1854</v>
      </c>
    </row>
    <row r="1706" spans="1:5" x14ac:dyDescent="0.2">
      <c r="A1706" s="269">
        <v>45910.59002314815</v>
      </c>
      <c r="B1706" t="s">
        <v>1431</v>
      </c>
      <c r="C1706" t="s">
        <v>15</v>
      </c>
      <c r="D1706" t="s">
        <v>1562</v>
      </c>
      <c r="E1706" t="s">
        <v>1854</v>
      </c>
    </row>
    <row r="1707" spans="1:5" x14ac:dyDescent="0.2">
      <c r="A1707" s="269">
        <v>45910.590115740742</v>
      </c>
      <c r="B1707" t="s">
        <v>1431</v>
      </c>
      <c r="C1707" t="s">
        <v>15</v>
      </c>
      <c r="D1707" t="s">
        <v>1856</v>
      </c>
      <c r="E1707" t="s">
        <v>343</v>
      </c>
    </row>
    <row r="1708" spans="1:5" x14ac:dyDescent="0.2">
      <c r="A1708" s="269">
        <v>45910.590162037035</v>
      </c>
      <c r="B1708" t="s">
        <v>1431</v>
      </c>
      <c r="C1708" t="s">
        <v>15</v>
      </c>
      <c r="D1708" t="s">
        <v>1857</v>
      </c>
      <c r="E1708" t="s">
        <v>343</v>
      </c>
    </row>
    <row r="1709" spans="1:5" x14ac:dyDescent="0.2">
      <c r="A1709" s="269">
        <v>45910.590185185189</v>
      </c>
      <c r="B1709" t="s">
        <v>1431</v>
      </c>
      <c r="C1709" t="s">
        <v>15</v>
      </c>
      <c r="D1709" t="s">
        <v>1858</v>
      </c>
      <c r="E1709" t="s">
        <v>343</v>
      </c>
    </row>
    <row r="1710" spans="1:5" x14ac:dyDescent="0.2">
      <c r="A1710" s="269">
        <v>45910.590231481481</v>
      </c>
      <c r="B1710" t="s">
        <v>1431</v>
      </c>
      <c r="C1710" t="s">
        <v>15</v>
      </c>
      <c r="D1710" t="s">
        <v>1859</v>
      </c>
      <c r="E1710" t="s">
        <v>203</v>
      </c>
    </row>
    <row r="1711" spans="1:5" x14ac:dyDescent="0.2">
      <c r="A1711" s="269">
        <v>45910.590266203704</v>
      </c>
      <c r="B1711" t="s">
        <v>1431</v>
      </c>
      <c r="C1711" t="s">
        <v>15</v>
      </c>
      <c r="D1711" t="s">
        <v>1860</v>
      </c>
      <c r="E1711" t="s">
        <v>203</v>
      </c>
    </row>
    <row r="1712" spans="1:5" x14ac:dyDescent="0.2">
      <c r="A1712" s="269">
        <v>45910.590300925927</v>
      </c>
      <c r="B1712" t="s">
        <v>1431</v>
      </c>
      <c r="C1712" t="s">
        <v>15</v>
      </c>
      <c r="D1712" t="s">
        <v>1861</v>
      </c>
      <c r="E1712" t="s">
        <v>203</v>
      </c>
    </row>
    <row r="1713" spans="1:5" x14ac:dyDescent="0.2">
      <c r="A1713" s="269">
        <v>45910.590324074074</v>
      </c>
      <c r="B1713" t="s">
        <v>1431</v>
      </c>
      <c r="C1713" t="s">
        <v>15</v>
      </c>
      <c r="D1713" t="s">
        <v>1862</v>
      </c>
      <c r="E1713" t="s">
        <v>203</v>
      </c>
    </row>
    <row r="1714" spans="1:5" x14ac:dyDescent="0.2">
      <c r="A1714" s="269">
        <v>45910.59034722222</v>
      </c>
      <c r="B1714" t="s">
        <v>1431</v>
      </c>
      <c r="C1714" t="s">
        <v>15</v>
      </c>
      <c r="D1714" t="s">
        <v>1863</v>
      </c>
      <c r="E1714" t="s">
        <v>203</v>
      </c>
    </row>
    <row r="1715" spans="1:5" x14ac:dyDescent="0.2">
      <c r="A1715" s="269">
        <v>45910.590381944443</v>
      </c>
      <c r="B1715" t="s">
        <v>1431</v>
      </c>
      <c r="C1715" t="s">
        <v>15</v>
      </c>
      <c r="D1715" t="s">
        <v>1754</v>
      </c>
      <c r="E1715">
        <v>1</v>
      </c>
    </row>
    <row r="1716" spans="1:5" x14ac:dyDescent="0.2">
      <c r="A1716" s="269">
        <v>45910.590381944443</v>
      </c>
      <c r="B1716" t="s">
        <v>1431</v>
      </c>
      <c r="C1716" t="s">
        <v>15</v>
      </c>
      <c r="D1716" t="s">
        <v>1766</v>
      </c>
      <c r="E1716">
        <v>1</v>
      </c>
    </row>
    <row r="1717" spans="1:5" x14ac:dyDescent="0.2">
      <c r="A1717" s="269">
        <v>45910.590381944443</v>
      </c>
      <c r="B1717" t="s">
        <v>1431</v>
      </c>
      <c r="C1717" t="s">
        <v>15</v>
      </c>
      <c r="D1717" t="s">
        <v>1646</v>
      </c>
      <c r="E1717">
        <v>1</v>
      </c>
    </row>
    <row r="1718" spans="1:5" x14ac:dyDescent="0.2">
      <c r="A1718" s="269">
        <v>45910.59039351852</v>
      </c>
      <c r="B1718" t="s">
        <v>1431</v>
      </c>
      <c r="C1718" t="s">
        <v>15</v>
      </c>
      <c r="D1718" t="s">
        <v>1864</v>
      </c>
      <c r="E1718">
        <v>1</v>
      </c>
    </row>
    <row r="1719" spans="1:5" x14ac:dyDescent="0.2">
      <c r="A1719" s="269">
        <v>45910.59039351852</v>
      </c>
      <c r="B1719" t="s">
        <v>1431</v>
      </c>
      <c r="C1719" t="s">
        <v>15</v>
      </c>
      <c r="D1719" t="s">
        <v>1865</v>
      </c>
      <c r="E1719">
        <v>1</v>
      </c>
    </row>
    <row r="1720" spans="1:5" x14ac:dyDescent="0.2">
      <c r="A1720" s="269">
        <v>45910.590428240743</v>
      </c>
      <c r="B1720" t="s">
        <v>1431</v>
      </c>
      <c r="C1720" t="s">
        <v>15</v>
      </c>
      <c r="D1720" t="s">
        <v>1866</v>
      </c>
    </row>
    <row r="1721" spans="1:5" x14ac:dyDescent="0.2">
      <c r="A1721" s="269">
        <v>45910.590451388889</v>
      </c>
      <c r="B1721" t="s">
        <v>1431</v>
      </c>
      <c r="C1721" t="s">
        <v>15</v>
      </c>
      <c r="D1721" t="s">
        <v>1605</v>
      </c>
      <c r="E1721" t="s">
        <v>339</v>
      </c>
    </row>
    <row r="1722" spans="1:5" x14ac:dyDescent="0.2">
      <c r="A1722" s="269">
        <v>45910.590532407405</v>
      </c>
      <c r="B1722" t="s">
        <v>1431</v>
      </c>
      <c r="C1722" t="s">
        <v>15</v>
      </c>
      <c r="D1722" t="s">
        <v>1867</v>
      </c>
      <c r="E1722" t="s">
        <v>339</v>
      </c>
    </row>
    <row r="1723" spans="1:5" x14ac:dyDescent="0.2">
      <c r="A1723" s="269">
        <v>45910.590636574074</v>
      </c>
      <c r="B1723" t="s">
        <v>1431</v>
      </c>
      <c r="C1723" t="s">
        <v>15</v>
      </c>
      <c r="D1723" t="s">
        <v>1868</v>
      </c>
      <c r="E1723" t="s">
        <v>352</v>
      </c>
    </row>
    <row r="1724" spans="1:5" x14ac:dyDescent="0.2">
      <c r="A1724" s="269">
        <v>45910.590717592589</v>
      </c>
      <c r="B1724" t="s">
        <v>1431</v>
      </c>
      <c r="C1724" t="s">
        <v>15</v>
      </c>
      <c r="D1724" t="s">
        <v>1869</v>
      </c>
      <c r="E1724">
        <v>0</v>
      </c>
    </row>
    <row r="1725" spans="1:5" x14ac:dyDescent="0.2">
      <c r="A1725" s="269">
        <v>45910.590729166666</v>
      </c>
      <c r="B1725" t="s">
        <v>1431</v>
      </c>
      <c r="C1725" t="s">
        <v>15</v>
      </c>
      <c r="D1725" t="s">
        <v>1870</v>
      </c>
      <c r="E1725">
        <v>0</v>
      </c>
    </row>
    <row r="1726" spans="1:5" x14ac:dyDescent="0.2">
      <c r="A1726" s="269">
        <v>45910.590729166666</v>
      </c>
      <c r="B1726" t="s">
        <v>1431</v>
      </c>
      <c r="C1726" t="s">
        <v>15</v>
      </c>
      <c r="D1726" t="s">
        <v>1871</v>
      </c>
      <c r="E1726">
        <v>0</v>
      </c>
    </row>
    <row r="1727" spans="1:5" x14ac:dyDescent="0.2">
      <c r="A1727" s="269">
        <v>45910.590740740743</v>
      </c>
      <c r="B1727" t="s">
        <v>1431</v>
      </c>
      <c r="C1727" t="s">
        <v>15</v>
      </c>
      <c r="D1727" t="s">
        <v>1872</v>
      </c>
      <c r="E1727">
        <v>0</v>
      </c>
    </row>
    <row r="1728" spans="1:5" x14ac:dyDescent="0.2">
      <c r="A1728" s="269">
        <v>45910.590752314813</v>
      </c>
      <c r="B1728" t="s">
        <v>1431</v>
      </c>
      <c r="C1728" t="s">
        <v>15</v>
      </c>
      <c r="D1728" t="s">
        <v>1873</v>
      </c>
      <c r="E1728">
        <v>0</v>
      </c>
    </row>
    <row r="1729" spans="1:5" x14ac:dyDescent="0.2">
      <c r="A1729" s="269">
        <v>45910.590960648151</v>
      </c>
      <c r="B1729" t="s">
        <v>1431</v>
      </c>
      <c r="C1729" t="s">
        <v>15</v>
      </c>
      <c r="D1729" t="s">
        <v>1874</v>
      </c>
      <c r="E1729" t="s">
        <v>1830</v>
      </c>
    </row>
    <row r="1730" spans="1:5" x14ac:dyDescent="0.2">
      <c r="A1730" s="269">
        <v>45910.59101851852</v>
      </c>
      <c r="B1730" t="s">
        <v>1431</v>
      </c>
      <c r="C1730" t="s">
        <v>15</v>
      </c>
      <c r="D1730" t="s">
        <v>1875</v>
      </c>
      <c r="E1730" t="s">
        <v>1832</v>
      </c>
    </row>
    <row r="1731" spans="1:5" x14ac:dyDescent="0.2">
      <c r="A1731" s="269">
        <v>45910.591099537036</v>
      </c>
      <c r="B1731" t="s">
        <v>1431</v>
      </c>
      <c r="C1731" t="s">
        <v>15</v>
      </c>
      <c r="D1731" t="s">
        <v>1877</v>
      </c>
      <c r="E1731" t="s">
        <v>1876</v>
      </c>
    </row>
    <row r="1732" spans="1:5" x14ac:dyDescent="0.2">
      <c r="A1732" s="269">
        <v>45910.591157407405</v>
      </c>
      <c r="B1732" t="s">
        <v>1431</v>
      </c>
      <c r="C1732" t="s">
        <v>15</v>
      </c>
      <c r="D1732" t="s">
        <v>1879</v>
      </c>
      <c r="E1732" t="s">
        <v>1878</v>
      </c>
    </row>
    <row r="1733" spans="1:5" x14ac:dyDescent="0.2">
      <c r="A1733" s="269">
        <v>45910.591365740744</v>
      </c>
      <c r="B1733" t="s">
        <v>1431</v>
      </c>
      <c r="C1733" t="s">
        <v>15</v>
      </c>
      <c r="D1733" t="s">
        <v>1881</v>
      </c>
      <c r="E1733" t="s">
        <v>1880</v>
      </c>
    </row>
    <row r="1734" spans="1:5" x14ac:dyDescent="0.2">
      <c r="A1734" s="269">
        <v>45916.932916666665</v>
      </c>
      <c r="B1734" t="s">
        <v>596</v>
      </c>
      <c r="C1734" t="s">
        <v>597</v>
      </c>
      <c r="D1734" t="s">
        <v>1882</v>
      </c>
      <c r="E1734" t="s">
        <v>39</v>
      </c>
    </row>
    <row r="1735" spans="1:5" x14ac:dyDescent="0.2">
      <c r="A1735" s="269">
        <v>45916.933125000003</v>
      </c>
      <c r="B1735" t="s">
        <v>596</v>
      </c>
      <c r="C1735" t="s">
        <v>27</v>
      </c>
      <c r="D1735" t="s">
        <v>1883</v>
      </c>
      <c r="E1735" t="s">
        <v>53</v>
      </c>
    </row>
    <row r="1736" spans="1:5" x14ac:dyDescent="0.2">
      <c r="A1736" s="269">
        <v>45916.933229166665</v>
      </c>
      <c r="B1736" t="s">
        <v>596</v>
      </c>
      <c r="C1736" t="s">
        <v>27</v>
      </c>
      <c r="D1736" t="s">
        <v>1884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2025-09-16T14:24:17Z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