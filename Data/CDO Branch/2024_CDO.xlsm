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Cagayan De Oro Branch/"/>
    </mc:Choice>
  </mc:AlternateContent>
  <xr:revisionPtr revIDLastSave="0" documentId="13_ncr:1_{2DCABA38-BA85-0A41-BC47-91EF296E5402}"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494" r:id="rId19"/>
    <pivotCache cacheId="495" r:id="rId20"/>
    <pivotCache cacheId="496" r:id="rId21"/>
    <pivotCache cacheId="497" r:id="rId22"/>
    <pivotCache cacheId="498" r:id="rId23"/>
    <pivotCache cacheId="506"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N11" i="34"/>
  <c r="P42" i="44"/>
  <c r="N42" i="44"/>
  <c r="P40" i="44"/>
  <c r="N40" i="44"/>
  <c r="P39" i="44"/>
  <c r="N39" i="44"/>
  <c r="P37" i="44"/>
  <c r="N37" i="44"/>
  <c r="N36" i="44"/>
  <c r="P36" i="44"/>
  <c r="P34" i="44"/>
  <c r="N34" i="44"/>
  <c r="P33" i="44"/>
  <c r="N33" i="44"/>
  <c r="P32" i="44"/>
  <c r="N32" i="44"/>
  <c r="P31" i="44"/>
  <c r="N31" i="44"/>
  <c r="P30" i="44"/>
  <c r="N30" i="44"/>
  <c r="P28" i="44"/>
  <c r="N28" i="44"/>
  <c r="P27" i="44"/>
  <c r="P25" i="44"/>
  <c r="N25" i="44"/>
  <c r="N27" i="44"/>
  <c r="P26" i="44"/>
  <c r="N26" i="44"/>
  <c r="P24" i="44"/>
  <c r="N24" i="44"/>
  <c r="P22" i="44"/>
  <c r="N22" i="44"/>
  <c r="P21" i="44"/>
  <c r="N21" i="44"/>
  <c r="P16" i="44"/>
  <c r="P19" i="44"/>
  <c r="N19" i="44"/>
  <c r="P18" i="44"/>
  <c r="N18" i="44"/>
  <c r="P17" i="44"/>
  <c r="N17" i="44"/>
  <c r="N16" i="44"/>
  <c r="P15" i="44"/>
  <c r="N15" i="44"/>
  <c r="P14" i="44"/>
  <c r="P13" i="44"/>
  <c r="N14" i="44"/>
  <c r="N13" i="44"/>
  <c r="P12" i="44"/>
  <c r="N12" i="44"/>
  <c r="P11" i="44"/>
  <c r="N11" i="44"/>
  <c r="P10" i="44"/>
  <c r="N10" i="44"/>
  <c r="P9" i="44"/>
  <c r="N9" i="44"/>
  <c r="P8" i="44"/>
  <c r="N8" i="44"/>
  <c r="P7" i="44"/>
  <c r="N7" i="44"/>
  <c r="I104" i="40" l="1"/>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56" i="40"/>
  <c r="I57" i="40" s="1"/>
  <c r="I58" i="40" s="1"/>
  <c r="I59" i="40" s="1"/>
  <c r="I60" i="40" s="1"/>
  <c r="I61" i="40" s="1"/>
  <c r="I62" i="40" s="1"/>
  <c r="I63" i="40" s="1"/>
  <c r="I64" i="40" s="1"/>
  <c r="I65" i="40" s="1"/>
  <c r="I66" i="40" s="1"/>
  <c r="I67" i="40" s="1"/>
  <c r="I44" i="40"/>
  <c r="I45" i="40" s="1"/>
  <c r="I46" i="40" s="1"/>
  <c r="I47" i="40" s="1"/>
  <c r="I48" i="40" s="1"/>
  <c r="I49" i="40" s="1"/>
  <c r="I50" i="40" s="1"/>
  <c r="I51" i="40" s="1"/>
  <c r="I52" i="40" s="1"/>
  <c r="I53" i="40" s="1"/>
  <c r="I54" i="40" s="1"/>
  <c r="I55" i="40" s="1"/>
  <c r="I33" i="40"/>
  <c r="I34" i="40" s="1"/>
  <c r="I35" i="40" s="1"/>
  <c r="I36" i="40" s="1"/>
  <c r="I37" i="40" s="1"/>
  <c r="I38" i="40" s="1"/>
  <c r="I39" i="40" s="1"/>
  <c r="I40" i="40" s="1"/>
  <c r="I41" i="40" s="1"/>
  <c r="I42" i="40" s="1"/>
  <c r="I43" i="40" s="1"/>
  <c r="I32" i="40"/>
  <c r="I20" i="40"/>
  <c r="I21" i="40" s="1"/>
  <c r="I22" i="40" s="1"/>
  <c r="I23" i="40" s="1"/>
  <c r="I24" i="40" s="1"/>
  <c r="I25" i="40" s="1"/>
  <c r="I26" i="40" s="1"/>
  <c r="I27" i="40" s="1"/>
  <c r="I28" i="40" s="1"/>
  <c r="I29" i="40" s="1"/>
  <c r="I30" i="40" s="1"/>
  <c r="I31" i="40" s="1"/>
  <c r="I8" i="40"/>
  <c r="I9" i="40" s="1"/>
  <c r="I10" i="40" s="1"/>
  <c r="I11" i="40" s="1"/>
  <c r="I12" i="40" s="1"/>
  <c r="I13" i="40" s="1"/>
  <c r="I14" i="40" s="1"/>
  <c r="I15" i="40" s="1"/>
  <c r="I16" i="40" s="1"/>
  <c r="I17" i="40" s="1"/>
  <c r="I18" i="40" s="1"/>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0" i="41"/>
  <c r="I11" i="41"/>
  <c r="I12" i="41"/>
  <c r="I13" i="41"/>
  <c r="I14" i="41"/>
  <c r="I15" i="41"/>
  <c r="I16" i="41" s="1"/>
  <c r="I17" i="41" s="1"/>
  <c r="I18" i="41" s="1"/>
  <c r="I19" i="41" s="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13" i="34" s="1"/>
  <c r="I14" i="34" s="1"/>
  <c r="I15" i="34" s="1"/>
  <c r="I16" i="34" s="1"/>
  <c r="I17" i="34" s="1"/>
  <c r="I18"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l="1"/>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3" i="34"/>
  <c r="N12"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G13" i="37"/>
  <c r="E13" i="37"/>
  <c r="F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F13" i="34" l="1"/>
  <c r="G13" i="34"/>
  <c r="D13" i="34"/>
  <c r="E13" i="34"/>
  <c r="D14" i="34"/>
  <c r="E14" i="34"/>
  <c r="G14" i="34"/>
  <c r="F14" i="34"/>
  <c r="F12" i="34"/>
  <c r="D12" i="34"/>
  <c r="G12" i="34"/>
  <c r="E12" i="34"/>
  <c r="G11" i="34"/>
  <c r="E11" i="34"/>
  <c r="F11" i="34"/>
  <c r="D11" i="34"/>
  <c r="D15" i="34"/>
  <c r="G15" i="34"/>
  <c r="E15" i="34"/>
  <c r="F15" i="34"/>
  <c r="E49" i="37"/>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<sst xmlns="http://schemas.openxmlformats.org/spreadsheetml/2006/main" count="6165" uniqueCount="1436">
  <si>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</si>
  <si>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</si>
  <si>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</si>
  <si>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</si>
  <si>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</si>
  <si>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</si>
  <si>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</si>
  <si>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</si>
  <si>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</si>
  <si>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</si>
  <si>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</si>
  <si>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</si>
  <si>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</si>
  <si>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</si>
  <si>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</si>
  <si>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</si>
  <si>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</si>
  <si>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</si>
  <si>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</si>
  <si>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</si>
  <si>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</si>
  <si>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</si>
  <si>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</si>
  <si>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</si>
  <si>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</si>
  <si>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</si>
  <si>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</si>
  <si>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</si>
  <si>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</si>
  <si>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</si>
  <si>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</si>
  <si>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</si>
  <si>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</si>
  <si>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</si>
  <si>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</si>
  <si>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</si>
  <si>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</si>
  <si>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</si>
  <si>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</si>
  <si>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</si>
  <si>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</si>
  <si>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</si>
  <si>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</si>
  <si>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</si>
  <si>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</si>
  <si>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</si>
  <si>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</si>
  <si>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</si>
  <si>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</si>
  <si>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</si>
  <si>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</si>
  <si>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</si>
  <si>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</si>
  <si>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</si>
  <si>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</si>
  <si>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</si>
  <si>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</si>
  <si>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</si>
  <si>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</si>
  <si>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</si>
  <si>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</si>
  <si>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</si>
  <si>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</si>
  <si>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</si>
  <si>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</si>
  <si>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</si>
  <si>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</si>
  <si>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</si>
  <si>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</si>
  <si>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</si>
  <si>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</si>
  <si>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</si>
  <si>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</si>
  <si>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</si>
  <si>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</si>
  <si>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</si>
  <si>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</si>
  <si>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</si>
  <si>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</si>
  <si>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</si>
  <si>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</si>
  <si>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</si>
  <si>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</si>
  <si>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</si>
  <si>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</si>
  <si>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</si>
  <si>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</si>
  <si>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</si>
  <si>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</si>
  <si>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</si>
  <si>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</si>
  <si>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</si>
  <si>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</si>
  <si>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</si>
  <si>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</si>
  <si>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</si>
  <si>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</si>
  <si>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</si>
  <si>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</si>
  <si>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</si>
  <si>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</si>
  <si>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</si>
  <si>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</si>
  <si>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</si>
  <si>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</si>
  <si>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</si>
  <si>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</si>
  <si>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</si>
  <si>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</si>
  <si>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</si>
  <si>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</si>
  <si>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</si>
  <si>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</si>
  <si>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</si>
  <si>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</si>
  <si>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</si>
  <si>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</si>
  <si>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</si>
  <si>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</si>
  <si>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</si>
  <si>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</si>
  <si>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</si>
  <si>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</si>
  <si>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</si>
  <si>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</si>
  <si>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</si>
  <si>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</si>
  <si>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</si>
  <si>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</si>
  <si>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</si>
  <si>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</si>
  <si>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</si>
  <si>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</si>
  <si>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</si>
  <si>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</si>
  <si>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</si>
  <si>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</si>
  <si>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</si>
  <si>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</si>
  <si>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</si>
  <si>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</si>
  <si>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</si>
  <si>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</si>
  <si>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</si>
  <si>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</si>
  <si>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</si>
  <si>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</si>
  <si>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</si>
  <si>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</si>
  <si>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</si>
  <si>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</si>
  <si>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</si>
  <si>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</si>
  <si>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</si>
  <si>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</si>
  <si>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</si>
  <si>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</si>
  <si>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</si>
  <si>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</si>
  <si>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</si>
  <si>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</si>
  <si>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</si>
  <si>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</si>
  <si>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</si>
  <si>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</si>
  <si>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</si>
  <si>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</si>
  <si>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</si>
  <si>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</si>
  <si>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</si>
  <si>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</si>
  <si>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</si>
  <si>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</si>
  <si>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</si>
  <si>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</si>
  <si>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</si>
  <si>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</si>
  <si>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</si>
  <si>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</si>
  <si>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</si>
  <si>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</si>
  <si>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</si>
  <si>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</si>
  <si>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</si>
  <si>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</si>
  <si>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</si>
  <si>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</si>
  <si>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</si>
  <si>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</si>
  <si>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</si>
  <si>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</si>
  <si>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</si>
  <si>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</si>
  <si>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</si>
  <si>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</si>
  <si>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</si>
  <si>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</si>
  <si>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</si>
  <si>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</si>
  <si>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</si>
  <si>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</si>
  <si>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</si>
  <si>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</si>
  <si>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</si>
  <si>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</si>
  <si>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</si>
  <si>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</si>
  <si>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</si>
  <si>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</si>
  <si>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</si>
  <si>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</si>
  <si>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</si>
  <si>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</si>
  <si>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</si>
  <si>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</si>
  <si>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</si>
  <si>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</si>
  <si>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</si>
  <si>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</si>
  <si>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</si>
  <si>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</si>
  <si>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</si>
  <si>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</si>
  <si>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</si>
  <si>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</si>
  <si>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</si>
  <si>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</si>
  <si>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</si>
  <si>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</si>
  <si>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</si>
  <si>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</si>
  <si>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</si>
  <si>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</si>
  <si>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</si>
  <si>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</si>
  <si>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</si>
  <si>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</si>
  <si>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</si>
  <si>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</si>
  <si>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</si>
  <si>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</si>
  <si>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</si>
  <si>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</si>
  <si>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</si>
  <si>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</si>
  <si>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</si>
  <si>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</si>
  <si>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</si>
  <si>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</si>
  <si>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</si>
  <si>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</si>
  <si>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</si>
  <si>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</si>
  <si>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</si>
  <si>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</si>
  <si>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</si>
  <si>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</si>
  <si>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</si>
  <si>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</si>
  <si>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</si>
  <si>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</si>
  <si>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</si>
  <si>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</si>
  <si>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</si>
  <si>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</si>
  <si>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</si>
  <si>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</si>
  <si>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</si>
  <si>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</si>
  <si>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</si>
  <si>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</si>
  <si>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</si>
  <si>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</si>
  <si>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</si>
  <si>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</si>
  <si>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</si>
  <si>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</si>
  <si>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</si>
  <si>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</si>
  <si>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</si>
  <si>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</si>
  <si>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</si>
  <si>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</si>
  <si>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</si>
  <si>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</si>
  <si>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</si>
  <si>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</si>
  <si>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</si>
  <si>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</si>
  <si>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</si>
  <si>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</si>
  <si>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</si>
  <si>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</si>
  <si>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</si>
  <si>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</si>
  <si>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</si>
  <si>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</si>
  <si>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</si>
  <si>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</si>
  <si>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</si>
  <si>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</si>
  <si>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</si>
  <si>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</si>
  <si>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</si>
  <si>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</si>
  <si>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</si>
  <si>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</si>
  <si>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</si>
  <si>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</si>
  <si>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</si>
  <si>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</si>
  <si>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</si>
  <si>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</si>
  <si>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</si>
  <si>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</si>
  <si>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</si>
  <si>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</si>
  <si>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</si>
  <si>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</si>
  <si>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</si>
  <si>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</si>
  <si>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</si>
  <si>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</si>
  <si>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</si>
  <si>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</si>
  <si>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</si>
  <si>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</si>
  <si>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</si>
  <si>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</si>
  <si>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</si>
  <si>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</si>
  <si>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</si>
  <si>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</si>
  <si>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</si>
  <si>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</si>
  <si>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</si>
  <si>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</si>
  <si>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</si>
  <si>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</si>
  <si>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</si>
  <si>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</si>
  <si>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</si>
  <si>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</si>
  <si>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</si>
  <si>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</si>
  <si>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</si>
  <si>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</si>
  <si>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</si>
  <si>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</si>
  <si>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</si>
  <si>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</si>
  <si>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</si>
  <si>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</si>
  <si>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</si>
  <si>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</si>
  <si>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</si>
  <si>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</si>
  <si>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</si>
  <si>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</si>
  <si>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</si>
  <si>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</si>
  <si>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</si>
  <si>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</si>
  <si>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</si>
  <si>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</si>
  <si>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</si>
  <si>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</si>
  <si>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</si>
  <si>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</si>
  <si>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</si>
  <si>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</si>
  <si>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</si>
  <si>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</si>
  <si>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</si>
  <si>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</si>
  <si>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</si>
  <si>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</si>
  <si>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</si>
  <si>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</si>
  <si>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</si>
  <si>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</si>
  <si>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</si>
  <si>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</si>
  <si>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</si>
  <si>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</si>
  <si>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</si>
  <si>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</si>
  <si>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</si>
  <si>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</si>
  <si>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</si>
  <si>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</si>
  <si>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</si>
  <si>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</si>
  <si>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</si>
  <si>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</si>
  <si>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</si>
  <si>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</si>
  <si>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</si>
  <si>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</si>
  <si>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</si>
  <si>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</si>
  <si>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</si>
  <si>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</si>
  <si>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</si>
  <si>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</si>
  <si>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</si>
  <si>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</si>
  <si>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</si>
  <si>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</si>
  <si>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</si>
  <si>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</si>
  <si>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</si>
  <si>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</si>
  <si>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</si>
  <si>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</si>
  <si>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</si>
  <si>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</si>
  <si>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</si>
  <si>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</si>
  <si>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</si>
  <si>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</si>
  <si>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</si>
  <si>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</si>
  <si>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</si>
  <si>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</si>
  <si>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</si>
  <si>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</si>
  <si>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</si>
  <si>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</si>
  <si>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</si>
  <si>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</si>
  <si>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</si>
  <si>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</si>
  <si>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</si>
  <si>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</si>
  <si>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</si>
  <si>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</si>
  <si>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</si>
  <si>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</si>
  <si>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</si>
  <si>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</si>
  <si>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</si>
  <si>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</si>
  <si>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</si>
  <si>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</si>
  <si>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</si>
  <si>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</si>
  <si>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</si>
  <si>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</si>
  <si>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</si>
  <si>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</si>
  <si>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</si>
  <si>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</si>
  <si>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</si>
  <si>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</si>
  <si>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</si>
  <si>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</si>
  <si>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</si>
  <si>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</si>
  <si>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</si>
  <si>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</si>
  <si>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</si>
  <si>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</si>
  <si>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</si>
  <si>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</si>
  <si>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</si>
  <si>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</si>
  <si>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</si>
  <si>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</si>
  <si>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</si>
  <si>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</si>
  <si>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</si>
  <si>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</si>
  <si>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</si>
  <si>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</si>
  <si>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</si>
  <si>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</si>
  <si>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</si>
  <si>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</si>
  <si>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</si>
  <si>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</si>
  <si>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</si>
  <si>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</si>
  <si>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</si>
  <si>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</si>
  <si>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</si>
  <si>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</si>
  <si>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</si>
  <si>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</si>
  <si>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</si>
  <si>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</si>
  <si>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</si>
  <si>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</si>
  <si>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</si>
  <si>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</si>
  <si>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</si>
  <si>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</si>
  <si>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</si>
  <si>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</si>
  <si>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</si>
  <si>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</si>
  <si>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</si>
  <si>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</si>
  <si>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</si>
  <si>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</si>
  <si>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</si>
  <si>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</si>
  <si>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</si>
  <si>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</si>
  <si>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</si>
  <si>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</si>
  <si>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</si>
  <si>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</si>
  <si>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</si>
  <si>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</si>
  <si>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</si>
  <si>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</si>
  <si>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</si>
  <si>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</si>
  <si>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</si>
  <si>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</si>
  <si>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</si>
  <si>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</si>
  <si>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</si>
  <si>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</si>
  <si>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</si>
  <si>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</si>
  <si>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</si>
  <si>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</si>
  <si>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</si>
  <si>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</si>
  <si>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</si>
  <si>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</si>
  <si>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</si>
  <si>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</si>
  <si>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</si>
  <si>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</si>
  <si>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</si>
  <si>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</si>
  <si>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</si>
  <si>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</si>
  <si>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</si>
  <si>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</si>
  <si>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</si>
  <si>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</si>
  <si>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</si>
  <si>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</si>
  <si>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</si>
  <si>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</si>
  <si>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</si>
  <si>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</si>
  <si>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</si>
  <si>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</si>
  <si>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</si>
  <si>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</si>
  <si>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</si>
  <si>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</si>
  <si>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</si>
  <si>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</si>
  <si>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</si>
  <si>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</si>
  <si>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</si>
  <si>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</si>
  <si>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</si>
  <si>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</si>
  <si>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</si>
  <si>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</si>
  <si>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</si>
  <si>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</si>
  <si>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</si>
  <si>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</si>
  <si>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</si>
  <si>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</si>
  <si>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</si>
  <si>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</si>
  <si>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</si>
  <si>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</si>
  <si>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</si>
  <si>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</si>
  <si>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</si>
  <si>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</si>
  <si>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</si>
  <si>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</si>
  <si>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</si>
  <si>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</si>
  <si>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</si>
  <si>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</si>
  <si>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</si>
  <si>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</si>
  <si>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</si>
  <si>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</si>
  <si>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</si>
  <si>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</si>
  <si>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</si>
  <si>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</si>
  <si>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</si>
  <si>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</si>
  <si>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</si>
  <si>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</si>
  <si>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</si>
  <si>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</si>
  <si>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</si>
  <si>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</si>
  <si>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</si>
  <si>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</si>
  <si>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</si>
  <si>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</si>
  <si>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</si>
  <si>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</si>
  <si>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</si>
  <si>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</si>
  <si>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</si>
  <si>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</si>
  <si>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</si>
  <si>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</si>
  <si>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</si>
  <si>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</si>
  <si>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</si>
  <si>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</si>
  <si>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</si>
  <si>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</si>
  <si>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</si>
  <si>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</si>
  <si>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</si>
  <si>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</si>
  <si>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</si>
  <si>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</si>
  <si>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</si>
  <si>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</si>
  <si>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</si>
  <si>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</si>
  <si>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</si>
  <si>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</si>
  <si>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</si>
  <si>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</si>
  <si>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</si>
  <si>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</si>
  <si>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</si>
  <si>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</si>
  <si>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</si>
  <si>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</si>
  <si>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</si>
  <si>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</si>
  <si>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</si>
  <si>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</si>
  <si>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</si>
  <si>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</si>
  <si>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</si>
  <si>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</si>
  <si>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</si>
  <si>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</si>
  <si>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</si>
  <si>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</si>
  <si>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</si>
  <si>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</si>
  <si>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</si>
  <si>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</si>
  <si>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</si>
  <si>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</si>
  <si>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</si>
  <si>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</si>
  <si>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</si>
  <si>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</si>
  <si>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</si>
  <si>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</si>
  <si>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</si>
  <si>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</si>
  <si>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</si>
  <si>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</si>
  <si>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</si>
  <si>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</si>
  <si>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</si>
  <si>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</si>
  <si>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</si>
  <si>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</si>
  <si>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</si>
  <si>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</si>
  <si>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</si>
  <si>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</si>
  <si>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</si>
  <si>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</si>
  <si>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</si>
  <si>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</si>
  <si>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</si>
  <si>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</si>
  <si>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</si>
  <si>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</si>
  <si>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</si>
  <si>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</si>
  <si>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</si>
  <si>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</si>
  <si>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</si>
  <si>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</si>
  <si>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</si>
  <si>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</si>
  <si>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</si>
  <si>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</si>
  <si>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</si>
  <si>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</si>
  <si>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</si>
  <si>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</si>
  <si>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</si>
  <si>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</si>
  <si>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</si>
  <si>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</si>
  <si>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</si>
  <si>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</si>
  <si>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</si>
  <si>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</si>
  <si>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</si>
  <si>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</si>
  <si>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</si>
  <si>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</si>
  <si>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</si>
  <si>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</si>
  <si>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</si>
  <si>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</si>
  <si>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</si>
  <si>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</si>
  <si>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</si>
  <si>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</si>
  <si>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</si>
  <si>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</si>
  <si>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</si>
  <si>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</si>
  <si>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</si>
  <si>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</si>
  <si>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</si>
  <si>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</si>
  <si>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</si>
  <si>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</si>
  <si>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</si>
  <si>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</si>
  <si>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</si>
  <si>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</si>
  <si>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</si>
  <si>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</si>
  <si>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</si>
  <si>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</si>
  <si>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</si>
  <si>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</si>
  <si>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</si>
  <si>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</si>
  <si>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</si>
  <si>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</si>
  <si>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</si>
  <si>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</si>
  <si>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</si>
  <si>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</si>
  <si>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</si>
  <si>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</si>
  <si>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</si>
  <si>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</si>
  <si>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</si>
  <si>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</si>
  <si>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</si>
  <si>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</si>
  <si>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</si>
  <si>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</si>
  <si>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</si>
  <si>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</si>
  <si>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</si>
  <si>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</si>
  <si>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</si>
  <si>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</si>
  <si>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</si>
  <si>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</si>
  <si>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</si>
  <si>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</si>
  <si>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</si>
  <si>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</si>
  <si>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</si>
  <si>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</si>
  <si>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</si>
  <si>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</si>
  <si>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</si>
  <si>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</si>
  <si>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</si>
  <si>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</si>
  <si>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</si>
  <si>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</si>
  <si>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</si>
  <si>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</si>
  <si>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</si>
  <si>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</si>
  <si>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</si>
  <si>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</si>
  <si>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</si>
  <si>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</si>
  <si>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</si>
  <si>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</si>
  <si>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</si>
  <si>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</si>
  <si>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</si>
  <si>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</si>
  <si>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</si>
  <si>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</si>
  <si>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</si>
  <si>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</si>
  <si>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</si>
  <si>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</si>
  <si>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</si>
  <si>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</si>
  <si>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</si>
  <si>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</si>
  <si>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</si>
  <si>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</si>
  <si>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</si>
  <si>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</si>
  <si>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</si>
  <si>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</si>
  <si>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</si>
  <si>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</si>
  <si>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</si>
  <si>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</si>
  <si>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</si>
  <si>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</si>
  <si>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</si>
  <si>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</si>
  <si>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</si>
  <si>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</si>
  <si>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</si>
  <si>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</si>
  <si>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</si>
  <si>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</si>
  <si>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</si>
  <si>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</si>
  <si>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</si>
  <si>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</si>
  <si>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</si>
  <si>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</si>
  <si>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</si>
  <si>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</si>
  <si>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</si>
  <si>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</si>
  <si>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</si>
  <si>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</si>
  <si>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</si>
  <si>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</si>
  <si>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</si>
  <si>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</si>
  <si>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</si>
  <si>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</si>
  <si>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</si>
  <si>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</si>
  <si>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</si>
  <si>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</si>
  <si>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</si>
  <si>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</si>
  <si>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</si>
  <si>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</si>
  <si>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</si>
  <si>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</si>
  <si>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</si>
  <si>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</si>
  <si>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</si>
  <si>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</si>
  <si>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</si>
  <si>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</si>
  <si>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</si>
  <si>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</si>
  <si>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</si>
  <si>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</si>
  <si>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</si>
  <si>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</si>
  <si>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</si>
  <si>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</si>
  <si>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</si>
  <si>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</si>
  <si>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</si>
  <si>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</si>
  <si>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</si>
  <si>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</si>
  <si>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</si>
  <si>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</si>
  <si>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</si>
  <si>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</si>
  <si>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</si>
  <si>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</si>
  <si>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</si>
  <si>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</si>
  <si>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</si>
  <si>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</si>
  <si>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</si>
  <si>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</si>
  <si>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</si>
  <si>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</si>
  <si>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</si>
  <si>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</si>
  <si>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</si>
  <si>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</si>
  <si>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</si>
  <si>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</si>
  <si>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</si>
  <si>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</si>
  <si>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</si>
  <si>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</si>
  <si>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</si>
  <si>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</si>
  <si>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</si>
  <si>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</si>
  <si>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</si>
  <si>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</si>
  <si>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</si>
  <si>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</si>
  <si>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</si>
  <si>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</si>
  <si>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</si>
  <si>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</si>
  <si>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</si>
  <si>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</si>
  <si>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</si>
  <si>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</si>
  <si>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</si>
  <si>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</si>
  <si>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</si>
  <si>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</si>
  <si>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</si>
  <si>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</si>
  <si>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</si>
  <si>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</si>
  <si>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</si>
  <si>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</si>
  <si>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</si>
  <si>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</si>
  <si>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</si>
  <si>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</si>
  <si>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</si>
  <si>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</si>
  <si>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</si>
  <si>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</si>
  <si>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</si>
  <si>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</si>
  <si>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</si>
  <si>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</si>
  <si>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</si>
  <si>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</si>
  <si>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</si>
  <si>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</si>
  <si>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</si>
  <si>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</si>
  <si>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</si>
  <si>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</si>
  <si>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</si>
  <si>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</si>
  <si>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</si>
  <si>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</si>
  <si>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</si>
  <si>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</si>
  <si>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</si>
  <si>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</si>
  <si>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</si>
  <si>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</si>
  <si>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</si>
  <si>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</si>
  <si>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</si>
  <si>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</si>
  <si>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</si>
  <si>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</si>
  <si>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</si>
  <si>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</si>
  <si>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</si>
  <si>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</si>
  <si>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</si>
  <si>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</si>
  <si>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</si>
  <si>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</si>
  <si>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</si>
  <si>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</si>
  <si>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</si>
  <si>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</si>
  <si>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</si>
  <si>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</si>
  <si>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</si>
  <si>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</si>
  <si>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</si>
  <si>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</si>
  <si>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</si>
  <si>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</si>
  <si>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</si>
  <si>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</si>
  <si>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</si>
  <si>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</si>
  <si>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</si>
  <si>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</si>
  <si>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</si>
  <si>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</si>
  <si>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</si>
  <si>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</si>
  <si>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</si>
  <si>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</si>
  <si>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</si>
  <si>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</si>
  <si>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</si>
  <si>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</si>
  <si>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</si>
  <si>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</si>
  <si>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</si>
  <si>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</si>
  <si>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</si>
  <si>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</si>
  <si>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</si>
  <si>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</si>
  <si>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</si>
  <si>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</si>
  <si>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</si>
  <si>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</si>
  <si>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</si>
  <si>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</si>
  <si>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</si>
  <si>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</si>
  <si>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</si>
  <si>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</si>
  <si>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</si>
  <si>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</si>
  <si>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</si>
  <si>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</si>
  <si>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</si>
  <si>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</si>
  <si>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</si>
  <si>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</si>
  <si>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</si>
  <si>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</si>
  <si>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</si>
  <si>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</si>
  <si>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</si>
  <si>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</si>
  <si>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</si>
  <si>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</si>
  <si>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</si>
  <si>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</si>
  <si>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</si>
  <si>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</si>
  <si>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</si>
  <si>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</si>
  <si>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</si>
  <si>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</si>
  <si>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</si>
  <si>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</si>
  <si>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</si>
  <si>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</si>
  <si>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</si>
  <si>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</si>
  <si>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</si>
  <si>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</si>
  <si>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</si>
  <si>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</si>
  <si>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</si>
  <si>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</si>
  <si>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</si>
  <si>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</si>
  <si>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</si>
  <si>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</si>
  <si>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</si>
  <si>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</si>
  <si>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</si>
  <si>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</si>
  <si>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</si>
  <si>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</si>
  <si>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</si>
  <si>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</si>
  <si>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</si>
  <si>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</si>
  <si>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</si>
  <si>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</si>
  <si>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</si>
  <si>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</si>
  <si>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</si>
  <si>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</si>
  <si>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</si>
  <si>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</si>
  <si>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</si>
  <si>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</si>
  <si>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</si>
  <si>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</si>
  <si>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</si>
  <si>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</si>
  <si>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</si>
  <si>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</si>
  <si>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</si>
  <si>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</si>
  <si>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</si>
  <si>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</si>
  <si>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</si>
  <si>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</si>
  <si>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</si>
  <si>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</si>
  <si>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</si>
  <si>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</si>
  <si>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</si>
  <si>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</si>
  <si>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</si>
  <si>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</si>
  <si>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</si>
  <si>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</si>
  <si>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</si>
  <si>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</si>
  <si>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</si>
  <si>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</si>
  <si>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</si>
  <si>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</si>
  <si>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</si>
  <si>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</si>
  <si>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</si>
  <si>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</si>
  <si>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</si>
  <si>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</si>
  <si>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</si>
  <si>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</si>
  <si>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</si>
  <si>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</si>
  <si>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</si>
  <si>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</si>
  <si>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</si>
  <si>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</si>
  <si>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</si>
  <si>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</si>
  <si>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</si>
  <si>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</si>
  <si>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</si>
  <si>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</si>
  <si>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</si>
  <si>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</si>
  <si>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</si>
  <si>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</si>
  <si>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</si>
  <si>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</si>
  <si>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</si>
  <si>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</si>
  <si>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</si>
  <si>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</si>
  <si>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</si>
  <si>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</si>
  <si>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</si>
  <si>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</si>
  <si>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</si>
  <si>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</si>
  <si>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</si>
  <si>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</si>
  <si>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</si>
  <si>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</si>
  <si>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</si>
  <si>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</si>
  <si>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</si>
  <si>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</si>
  <si>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</si>
  <si>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</si>
  <si>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</si>
  <si>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</si>
  <si>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</si>
  <si>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</si>
  <si>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</si>
  <si>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</si>
  <si>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</si>
  <si>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</si>
  <si>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</si>
  <si>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</si>
  <si>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</si>
  <si>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</si>
  <si>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</si>
  <si>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</si>
  <si>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</si>
  <si>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</si>
  <si>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</si>
  <si>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</si>
  <si>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</si>
  <si>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</si>
  <si>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</si>
  <si>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</si>
  <si>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</si>
  <si>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</si>
  <si>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</si>
  <si>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</si>
  <si>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</si>
  <si>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</si>
  <si>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</si>
  <si>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</si>
  <si>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</si>
  <si>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</si>
  <si>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</si>
  <si>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</si>
  <si>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</si>
  <si>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</si>
  <si>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</si>
  <si>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</si>
  <si>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</si>
  <si>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</si>
  <si>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</si>
  <si>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</si>
  <si>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</si>
  <si>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</si>
  <si>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</si>
  <si>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</si>
  <si>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</si>
  <si>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</si>
  <si>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</si>
  <si>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</si>
  <si>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</si>
  <si>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</si>
  <si>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</si>
  <si>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</si>
  <si>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</si>
  <si>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</si>
  <si>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</si>
  <si>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</si>
  <si>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</si>
  <si>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</si>
  <si>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</si>
  <si>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</si>
  <si>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</si>
  <si>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</si>
  <si>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</si>
  <si>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</si>
  <si>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</si>
  <si>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</si>
  <si>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</si>
  <si>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</si>
  <si>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</si>
  <si>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</si>
  <si>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</si>
  <si>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</si>
  <si>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</si>
  <si>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</si>
  <si>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</si>
  <si>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</si>
  <si>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</si>
  <si>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</si>
  <si>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</si>
  <si>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</si>
  <si>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</si>
  <si>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</si>
  <si>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</si>
  <si>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</si>
  <si>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</si>
  <si>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</si>
  <si>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</si>
  <si>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</si>
  <si>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</si>
  <si>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</si>
  <si>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</si>
  <si>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</si>
  <si>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</si>
  <si>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</si>
  <si>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</si>
  <si>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</si>
  <si>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</si>
  <si>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</si>
  <si>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</si>
  <si>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</si>
  <si>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</si>
  <si>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</si>
  <si>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</si>
  <si>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</si>
  <si>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</si>
  <si>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</si>
  <si>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</si>
  <si>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</si>
  <si>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</si>
  <si>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</si>
  <si>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</si>
  <si>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</si>
  <si>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</si>
  <si>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</si>
  <si>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</si>
  <si>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</si>
  <si>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</si>
  <si>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</si>
  <si>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</si>
  <si>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</si>
  <si>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</si>
  <si>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</si>
  <si>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</si>
  <si>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</si>
  <si>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</si>
  <si>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</si>
  <si>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</si>
  <si>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</si>
  <si>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</si>
  <si>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</si>
  <si>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</si>
  <si>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</si>
  <si>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</si>
  <si>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</si>
  <si>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</si>
  <si>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</si>
  <si>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</si>
  <si>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</si>
  <si>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</si>
  <si>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</si>
  <si>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</si>
  <si>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</si>
  <si>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</si>
  <si>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</si>
  <si>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</si>
  <si>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</si>
  <si>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</si>
  <si>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</si>
  <si>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</si>
  <si>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</si>
  <si>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</si>
  <si>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</si>
  <si>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</si>
  <si>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</si>
  <si>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</si>
  <si>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</si>
  <si>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</si>
  <si>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</si>
  <si>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</si>
  <si>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</si>
  <si>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</si>
  <si>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</si>
  <si>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</si>
  <si>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</si>
  <si>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</si>
  <si>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</si>
  <si>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</si>
  <si>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</si>
  <si>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</si>
  <si>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</si>
  <si>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</si>
  <si>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</si>
  <si>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</si>
  <si>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</si>
  <si>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</si>
  <si>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</si>
  <si>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</si>
  <si>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</si>
  <si>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</si>
  <si>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</si>
  <si>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</si>
  <si>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</si>
  <si>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</si>
  <si>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</si>
  <si>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</si>
  <si>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</si>
  <si>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</si>
  <si>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</si>
  <si>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</si>
  <si>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</si>
  <si>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</si>
  <si>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</si>
  <si>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</si>
  <si>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</si>
  <si>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</si>
  <si>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</si>
  <si>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</si>
  <si>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</si>
  <si>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</si>
  <si>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</si>
  <si>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</si>
  <si>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</si>
  <si>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</si>
  <si>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</si>
  <si>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</si>
  <si>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</si>
  <si>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</si>
  <si>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</si>
  <si>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</si>
  <si>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</si>
  <si>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</si>
  <si>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</si>
  <si>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</si>
  <si>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</si>
  <si>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</si>
  <si>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</si>
  <si>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</si>
  <si>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</si>
  <si>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</si>
  <si>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</si>
  <si>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</si>
  <si>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</si>
  <si>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</si>
  <si>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</si>
  <si>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</si>
  <si>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</si>
  <si>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</si>
  <si>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</si>
  <si>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</si>
  <si>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</si>
  <si>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</si>
  <si>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</si>
  <si>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</si>
  <si>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</si>
  <si>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</si>
  <si>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</si>
  <si>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</si>
  <si>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</si>
  <si>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</si>
  <si>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</si>
  <si>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</si>
  <si>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</si>
  <si>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</si>
  <si>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</si>
  <si>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</si>
  <si>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</si>
  <si>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</si>
  <si>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</si>
  <si>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</si>
  <si>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</si>
  <si>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</si>
  <si>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</si>
  <si>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</si>
  <si>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</si>
  <si>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</si>
  <si>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</si>
  <si>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</si>
  <si>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</si>
  <si>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</si>
  <si>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</si>
  <si>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</si>
  <si>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</si>
  <si>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</si>
  <si>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</si>
  <si>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</si>
  <si>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</si>
  <si>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</si>
  <si>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</si>
  <si>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</si>
  <si>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</si>
  <si>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</si>
  <si>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</si>
  <si>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</si>
  <si>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</si>
  <si>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</si>
  <si>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</si>
  <si>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</si>
  <si>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</si>
  <si>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</si>
  <si>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</si>
  <si>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</si>
  <si>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</si>
  <si>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Achiles B. Lagao</t>
  </si>
  <si>
    <t>12 Sep 2025</t>
  </si>
  <si>
    <t>$A$27:$G$39</t>
  </si>
  <si>
    <t>$N$7:$N$11</t>
  </si>
  <si>
    <t>$I$19:$O$106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</si>
</sst>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4">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16" fontId="8" fillId="3" borderId="4" xfId="0" quotePrefix="1" applyNumberFormat="1" applyFont="1" applyFill="1" applyBorder="1" applyAlignment="1" applyProtection="1">
      <alignment horizontal="center" vertical="center"/>
      <protection locked="0"/>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1">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81303240742"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6"/>
    </cacheField>
    <cacheField name="Vehicle Type" numFmtId="0">
      <sharedItems containsBlank="1" count="11">
        <s v="Armored Vehicle"/>
        <s v="Sport Utility Vehicle  (SUV)"/>
        <s v="Van  "/>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6.16" maxValue="1030"/>
    </cacheField>
    <cacheField name="Unit" numFmtId="0">
      <sharedItems containsBlank="1"/>
    </cacheField>
    <cacheField name="Total kilometers travelled (all vehicles)" numFmtId="4">
      <sharedItems containsString="0" containsBlank="1" containsNumber="1" minValue="0" maxValue="2349"/>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28.66"/>
    <s v="Liters"/>
    <n v="86.100000000000009"/>
    <s v="Kilometers"/>
    <m/>
  </r>
  <r>
    <n v="2"/>
    <x v="1"/>
    <x v="0"/>
    <x v="0"/>
    <x v="0"/>
    <n v="40.869999999999997"/>
    <m/>
    <n v="327"/>
    <s v="Kilometers"/>
    <m/>
  </r>
  <r>
    <n v="3"/>
    <x v="2"/>
    <x v="0"/>
    <x v="0"/>
    <x v="0"/>
    <n v="73.5"/>
    <s v="Liters"/>
    <n v="588"/>
    <s v="Kilometers"/>
    <m/>
  </r>
  <r>
    <n v="4"/>
    <x v="0"/>
    <x v="0"/>
    <x v="1"/>
    <x v="0"/>
    <n v="26.07"/>
    <s v="Liters"/>
    <n v="78.2"/>
    <s v="Kilometers"/>
    <m/>
  </r>
  <r>
    <n v="5"/>
    <x v="1"/>
    <x v="0"/>
    <x v="1"/>
    <x v="0"/>
    <n v="75.12"/>
    <s v="Liters"/>
    <n v="601"/>
    <s v="Kilometers"/>
    <m/>
  </r>
  <r>
    <n v="6"/>
    <x v="2"/>
    <x v="0"/>
    <x v="1"/>
    <x v="0"/>
    <n v="166.5"/>
    <s v="Liters"/>
    <n v="1332"/>
    <s v="Kilometers"/>
    <m/>
  </r>
  <r>
    <n v="7"/>
    <x v="0"/>
    <x v="0"/>
    <x v="2"/>
    <x v="0"/>
    <n v="108.53"/>
    <s v="Liters"/>
    <n v="325.60000000000002"/>
    <s v="Kilometers"/>
    <m/>
  </r>
  <r>
    <n v="8"/>
    <x v="1"/>
    <x v="0"/>
    <x v="2"/>
    <x v="0"/>
    <n v="101.45"/>
    <s v="Liters"/>
    <n v="811"/>
    <s v="Kilometers"/>
    <m/>
  </r>
  <r>
    <n v="9"/>
    <x v="2"/>
    <x v="0"/>
    <x v="2"/>
    <x v="0"/>
    <n v="51.489999999999995"/>
    <s v="Liters"/>
    <n v="412"/>
    <s v="Kilometers"/>
    <m/>
  </r>
  <r>
    <n v="10"/>
    <x v="0"/>
    <x v="0"/>
    <x v="3"/>
    <x v="1"/>
    <n v="73.400000000000006"/>
    <s v="Liters"/>
    <n v="220.2"/>
    <e v="#REF!"/>
    <m/>
  </r>
  <r>
    <n v="11"/>
    <x v="1"/>
    <x v="0"/>
    <x v="3"/>
    <x v="1"/>
    <n v="127.25"/>
    <s v="Liters"/>
    <n v="1018"/>
    <e v="#REF!"/>
    <m/>
  </r>
  <r>
    <n v="12"/>
    <x v="2"/>
    <x v="0"/>
    <x v="3"/>
    <x v="1"/>
    <n v="140.49"/>
    <s v="Liters"/>
    <n v="1124"/>
    <e v="#REF!"/>
    <m/>
  </r>
  <r>
    <n v="13"/>
    <x v="0"/>
    <x v="0"/>
    <x v="4"/>
    <x v="1"/>
    <n v="75.12"/>
    <s v="Liters"/>
    <n v="225.39999999999998"/>
    <s v="Kilometers"/>
    <m/>
  </r>
  <r>
    <n v="14"/>
    <x v="1"/>
    <x v="0"/>
    <x v="4"/>
    <x v="1"/>
    <n v="81.37"/>
    <s v="Liters"/>
    <n v="651"/>
    <s v="Kilometers"/>
    <m/>
  </r>
  <r>
    <n v="15"/>
    <x v="2"/>
    <x v="0"/>
    <x v="4"/>
    <x v="1"/>
    <n v="163.73000000000002"/>
    <s v="Liters"/>
    <n v="1251"/>
    <s v="Kilometers"/>
    <m/>
  </r>
  <r>
    <n v="16"/>
    <x v="0"/>
    <x v="0"/>
    <x v="5"/>
    <x v="1"/>
    <n v="6.16"/>
    <s v="Liters"/>
    <n v="18.5"/>
    <s v="Kilometers"/>
    <m/>
  </r>
  <r>
    <n v="17"/>
    <x v="1"/>
    <x v="0"/>
    <x v="5"/>
    <x v="1"/>
    <n v="134.5"/>
    <s v="Liters"/>
    <n v="1076"/>
    <s v="Kilometers"/>
    <m/>
  </r>
  <r>
    <n v="18"/>
    <x v="2"/>
    <x v="0"/>
    <x v="5"/>
    <x v="1"/>
    <n v="187.22"/>
    <s v="Liters"/>
    <n v="1419"/>
    <s v="Kilometers"/>
    <m/>
  </r>
  <r>
    <n v="19"/>
    <x v="0"/>
    <x v="0"/>
    <x v="6"/>
    <x v="2"/>
    <n v="46.88"/>
    <s v="Liters"/>
    <n v="140.69999999999999"/>
    <s v="Kilometers"/>
    <m/>
  </r>
  <r>
    <n v="20"/>
    <x v="1"/>
    <x v="0"/>
    <x v="6"/>
    <x v="2"/>
    <n v="108.57000000000001"/>
    <s v="Liters"/>
    <n v="1191"/>
    <s v="Kilometers"/>
    <m/>
  </r>
  <r>
    <n v="21"/>
    <x v="2"/>
    <x v="0"/>
    <x v="6"/>
    <x v="2"/>
    <n v="160.71"/>
    <s v="Liters"/>
    <n v="1667"/>
    <s v="Kilometers"/>
    <m/>
  </r>
  <r>
    <n v="22"/>
    <x v="0"/>
    <x v="0"/>
    <x v="7"/>
    <x v="2"/>
    <n v="31.23"/>
    <s v="Liters"/>
    <n v="90.7"/>
    <s v="Kilometers"/>
    <m/>
  </r>
  <r>
    <n v="23"/>
    <x v="1"/>
    <x v="0"/>
    <x v="7"/>
    <x v="2"/>
    <n v="68.64"/>
    <s v="Liters"/>
    <n v="755"/>
    <s v="Kilometers"/>
    <m/>
  </r>
  <r>
    <n v="24"/>
    <x v="2"/>
    <x v="0"/>
    <x v="7"/>
    <x v="2"/>
    <n v="73.81"/>
    <s v="Liters"/>
    <n v="731"/>
    <s v="Kilometers"/>
    <m/>
  </r>
  <r>
    <n v="25"/>
    <x v="0"/>
    <x v="0"/>
    <x v="8"/>
    <x v="2"/>
    <n v="63.289999999999992"/>
    <s v="Liters"/>
    <n v="190.1"/>
    <s v="Kilometers"/>
    <m/>
  </r>
  <r>
    <n v="26"/>
    <x v="1"/>
    <x v="0"/>
    <x v="8"/>
    <x v="2"/>
    <n v="63.3"/>
    <s v="Liters"/>
    <n v="693"/>
    <s v="Kilometers"/>
    <m/>
  </r>
  <r>
    <n v="27"/>
    <x v="2"/>
    <x v="0"/>
    <x v="8"/>
    <x v="2"/>
    <n v="90.68"/>
    <s v="Liters"/>
    <n v="881"/>
    <s v="Kilometers"/>
    <m/>
  </r>
  <r>
    <n v="28"/>
    <x v="0"/>
    <x v="0"/>
    <x v="9"/>
    <x v="3"/>
    <n v="53.120000000000005"/>
    <s v="Liters"/>
    <n v="159.4"/>
    <s v="Kilometers"/>
    <m/>
  </r>
  <r>
    <n v="29"/>
    <x v="1"/>
    <x v="0"/>
    <x v="9"/>
    <x v="3"/>
    <n v="85.27"/>
    <s v="Liters"/>
    <n v="0"/>
    <s v="Kilometers"/>
    <m/>
  </r>
  <r>
    <n v="30"/>
    <x v="2"/>
    <x v="0"/>
    <x v="9"/>
    <x v="3"/>
    <n v="1030"/>
    <s v="Liters"/>
    <n v="100.27000000000001"/>
    <s v="Kilometers"/>
    <m/>
  </r>
  <r>
    <n v="31"/>
    <x v="0"/>
    <x v="0"/>
    <x v="10"/>
    <x v="3"/>
    <n v="16"/>
    <s v="Liters"/>
    <n v="48"/>
    <s v="Kilometers"/>
    <m/>
  </r>
  <r>
    <n v="32"/>
    <x v="1"/>
    <x v="0"/>
    <x v="10"/>
    <x v="3"/>
    <n v="213.54"/>
    <s v="Liters"/>
    <n v="2349"/>
    <s v="Kilometers"/>
    <m/>
  </r>
  <r>
    <n v="33"/>
    <x v="2"/>
    <x v="0"/>
    <x v="10"/>
    <x v="3"/>
    <n v="42.02"/>
    <s v="Liters"/>
    <n v="343"/>
    <s v="Kilometers"/>
    <m/>
  </r>
  <r>
    <n v="34"/>
    <x v="0"/>
    <x v="0"/>
    <x v="11"/>
    <x v="3"/>
    <n v="40.370000000000005"/>
    <s v="Liters"/>
    <n v="221.7"/>
    <s v="Kilometers"/>
    <m/>
  </r>
  <r>
    <n v="35"/>
    <x v="1"/>
    <x v="0"/>
    <x v="11"/>
    <x v="3"/>
    <n v="48.18"/>
    <s v="Liters"/>
    <n v="530"/>
    <s v="Kilometers"/>
    <m/>
  </r>
  <r>
    <n v="36"/>
    <x v="2"/>
    <x v="0"/>
    <x v="11"/>
    <x v="3"/>
    <n v="36.14"/>
    <s v="Liters"/>
    <n v="309"/>
    <s v="Kilometers"/>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49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4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4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4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49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5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2">
        <item m="1" x="10"/>
        <item m="1" x="9"/>
        <item x="3"/>
        <item m="1" x="4"/>
        <item m="1" x="8"/>
        <item m="1" x="5"/>
        <item m="1" x="6"/>
        <item m="1" x="7"/>
        <item x="0"/>
        <item x="1"/>
        <item x="2"/>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49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1" s="1"/>
        <i x="2"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10" dataDxfId="108" headerRowBorderDxfId="109" tableBorderDxfId="107">
  <autoFilter ref="I6:O18" xr:uid="{5D54EA1C-BF56-1C41-A397-8FB104BB2C69}"/>
  <tableColumns count="7">
    <tableColumn id="1" xr3:uid="{0736B116-FD52-4F4F-884D-77C731445CFF}" name="No." dataDxfId="106">
      <calculatedColumnFormula>IF(#REF!="","",$I7+1)</calculatedColumnFormula>
    </tableColumn>
    <tableColumn id="5" xr3:uid="{C603CCC2-2764-574B-B616-B1F220EFF63F}" name="Fuel Type" dataDxfId="105"/>
    <tableColumn id="6" xr3:uid="{29E6127A-1BBD-4D42-8A5A-1FA1E160EC19}" name="Month" dataDxfId="104"/>
    <tableColumn id="7" xr3:uid="{AAB63BD1-C28A-2145-9671-756792E786E6}" name="Quarter" dataDxfId="103">
      <calculatedColumnFormula>IF(Fuel_Blg[[#This Row],[Month]]&lt;&gt;"",VLOOKUP(Fuel_Blg[[#This Row],[Month]], dropdown!$S$4:$T$15, 2, FALSE),"")</calculatedColumnFormula>
    </tableColumn>
    <tableColumn id="8" xr3:uid="{2659C633-FEE7-7446-91C8-0ACAADD03760}" name="Consumption" dataDxfId="102"/>
    <tableColumn id="9" xr3:uid="{83261790-77E9-A84F-890F-8F209571520F}" name="Unit" dataDxfId="101">
      <calculatedColumnFormula>IF($J7="","",VLOOKUP($J7,dropdown!$P$3:$Q$8,2,FALSE))</calculatedColumnFormula>
    </tableColumn>
    <tableColumn id="10" xr3:uid="{ADF20B56-6D74-6149-B0C0-FB9AA3F5AC8E}" name="Remarks" dataDxfId="1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9" dataDxfId="97" headerRowBorderDxfId="98" tableBorderDxfId="96" totalsRowBorderDxfId="95">
  <autoFilter ref="I6:R106" xr:uid="{A85D45EB-1572-A543-812E-815536D59C14}"/>
  <tableColumns count="10">
    <tableColumn id="1" xr3:uid="{CA340CBE-9D85-6C42-9CA1-DDAD368521C3}" name="No." dataDxfId="94">
      <calculatedColumnFormula>IF($J7="","",$I6+1)</calculatedColumnFormula>
    </tableColumn>
    <tableColumn id="2" xr3:uid="{CFAD3D96-F137-044A-AE4C-49E5188E1144}" name="Vehicle Type" dataDxfId="93"/>
    <tableColumn id="3" xr3:uid="{5A421D87-7A43-B14E-BA71-EABB4924A663}" name="Fuel Type" dataDxfId="92"/>
    <tableColumn id="4" xr3:uid="{9C4094CC-7613-9147-BAF8-A31087280A9A}" name="Month" dataDxfId="91"/>
    <tableColumn id="10" xr3:uid="{5211A67F-348D-494D-AD2E-AD4A362BCD78}" name="Quarter" dataDxfId="90">
      <calculatedColumnFormula>IF(Fuel_Veh[[#This Row],[Month]]&lt;&gt;"",VLOOKUP(Fuel_Veh[[#This Row],[Month]], dropdown!$S$4:$T$15, 2, FALSE),"")</calculatedColumnFormula>
    </tableColumn>
    <tableColumn id="5" xr3:uid="{6EDA12F9-55D0-694A-BAB9-B15BDE58CA76}" name="Consumption" dataDxfId="89"/>
    <tableColumn id="7" xr3:uid="{E7761959-51F4-954F-B8FB-F46DCC54C53F}" name="Unit" dataDxfId="88">
      <calculatedColumnFormula>IF($K7="","",VLOOKUP($K7,dropdown!$P$14:$Q$18,2,FALSE))</calculatedColumnFormula>
    </tableColumn>
    <tableColumn id="8" xr3:uid="{AD5D0247-3B56-D146-B22E-45D44E44A249}" name="Total kilometers travelled (all vehicles)" dataDxfId="87"/>
    <tableColumn id="6" xr3:uid="{7D9E5DFA-64C2-4B06-A40F-0BC8CB602574}" name="Unit2" dataDxfId="86">
      <calculatedColumnFormula>IF($P7="","","Kilometers")</calculatedColumnFormula>
    </tableColumn>
    <tableColumn id="9" xr3:uid="{3C24034E-2544-5447-B927-0F565A869F60}" name="Remarks" dataDxfId="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4" dataDxfId="83">
  <autoFilter ref="I8:W107" xr:uid="{4EA7077C-50F7-42D2-96F2-51568F67E7B2}"/>
  <tableColumns count="15">
    <tableColumn id="1" xr3:uid="{F5FCA22D-7063-431B-9399-42C43DB71411}" name="No." dataDxfId="82">
      <calculatedColumnFormula>IF($K9="","",$I8+1)</calculatedColumnFormula>
    </tableColumn>
    <tableColumn id="2" xr3:uid="{132030AD-4541-47EB-A337-EEE87637C1DE}" name="Location" dataDxfId="81"/>
    <tableColumn id="3" xr3:uid="{E38A8A42-DF98-463F-8F43-42FB3365C31D}" name="Equipment Category" dataDxfId="80"/>
    <tableColumn id="4" xr3:uid="{73A30FFB-A2D9-422E-811C-B1A1BA4CF2FF}" name="No. of Units" dataDxfId="79"/>
    <tableColumn id="5" xr3:uid="{C542C367-6C7C-4A2E-AFC0-70AA09658289}" name="Refrigerant" dataDxfId="78"/>
    <tableColumn id="6" xr3:uid="{A49CD649-8CDA-4BDE-9E6C-7CED9E0C5258}" name="Equipment Status" dataDxfId="77"/>
    <tableColumn id="7" xr3:uid="{496D94A5-FA4D-4CAE-BA86-0076C8252260}" name="Month Purchased" dataDxfId="76"/>
    <tableColumn id="8" xr3:uid="{C2C4A362-BE62-4AD9-8A32-0EE063613BFF}" name="Charge (kg)" dataDxfId="75"/>
    <tableColumn id="9" xr3:uid="{72FA09EB-82CD-4F9D-B0C6-9BC0E94D6119}" name="Month Recharged" dataDxfId="74"/>
    <tableColumn id="10" xr3:uid="{47F108D4-F5B0-471A-95AA-199B8E9D5D51}" name="Recharge (kg)" dataDxfId="73"/>
    <tableColumn id="11" xr3:uid="{7F5D579B-DB98-4EE1-9316-59541598F54B}" name="Month Disposed" dataDxfId="72"/>
    <tableColumn id="12" xr3:uid="{27D4DE6A-84A7-49EE-85CD-4A4C4CF0E9C1}" name="Capacity (kg)" dataDxfId="71"/>
    <tableColumn id="13" xr3:uid="{57B4A461-924D-48EC-A43C-5A1EEE91ED09}" name="Recovered (kg)" dataDxfId="70"/>
    <tableColumn id="14" xr3:uid="{4A88164E-A6C3-4FE4-8DE4-0C0950D809F0}" name="Quarter" dataDxfId="69">
      <calculatedColumnFormula>IFERROR(VLOOKUP($O9, dropdown!$S$4:$T$15, 2, FALSE),
 IFERROR(VLOOKUP($Q9, dropdown!$S$4:$T$15, 2, FALSE),
 IFERROR(VLOOKUP($S9, dropdown!$S$4:$T$15, 2, FALSE),
 "")))</calculatedColumnFormula>
    </tableColumn>
    <tableColumn id="15" xr3:uid="{D18D61D3-B9DB-40F4-9EBB-61DAFC976BF5}" name="Remarks" dataDxfId="68"/>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7" tableBorderDxfId="66">
  <autoFilter ref="I7:O107" xr:uid="{4E808252-F12F-E841-AB57-6A82E4759C1A}"/>
  <tableColumns count="7">
    <tableColumn id="1" xr3:uid="{D5D30AA3-E573-734B-B6AB-3BC327F8D967}" name="No." dataDxfId="65"/>
    <tableColumn id="3" xr3:uid="{E49E940C-A64E-A446-B958-9A58950DBA26}" name="Month" dataDxfId="64"/>
    <tableColumn id="8" xr3:uid="{A32745C6-53F1-AF48-B40D-2062538BA76C}" name="Quarter" dataDxfId="63">
      <calculatedColumnFormula>IF(Electricity[[#This Row],[Month]]&lt;&gt;"",VLOOKUP(Electricity[[#This Row],[Month]], dropdown!$S$4:$T$15, 2, FALSE),"")</calculatedColumnFormula>
    </tableColumn>
    <tableColumn id="4" xr3:uid="{7BDA3B9E-E331-A040-8D00-68C0D245C2DD}" name="Consumption (kWh)" dataDxfId="62"/>
    <tableColumn id="5" xr3:uid="{4597EC97-806C-4E41-8BA3-E789252B06C0}" name="Cost (PHP)" dataDxfId="61"/>
    <tableColumn id="6" xr3:uid="{4139C44D-830B-F247-8F9C-494AF4CBED3A}" name="Utility Provider" dataDxfId="60"/>
    <tableColumn id="7" xr3:uid="{A1E305CA-3F3B-AC45-B4A9-903D25ED562F}" name="Remarks" dataDxfId="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8" tableBorderDxfId="57">
  <autoFilter ref="I6:N106" xr:uid="{4E808252-F12F-E841-AB57-6A82E4759C1A}"/>
  <tableColumns count="6">
    <tableColumn id="1" xr3:uid="{96892042-DA4D-554E-B6C0-56CC2E778BE0}" name="No." dataDxfId="56">
      <calculatedColumnFormula>IF(Electricity6[[#This Row],[Month]]="","",1)</calculatedColumnFormula>
    </tableColumn>
    <tableColumn id="3" xr3:uid="{4D461598-2D62-B244-9F61-EF4079251355}" name="Month" dataDxfId="55"/>
    <tableColumn id="8" xr3:uid="{45DB6F9E-A541-A04C-BEB7-D0FD16821599}" name="Quarter" dataDxfId="54">
      <calculatedColumnFormula>IF(Electricity6[[#This Row],[Month]]&lt;&gt;"",VLOOKUP(Electricity6[[#This Row],[Month]], dropdown!$S$4:$T$15, 2, FALSE),"")</calculatedColumnFormula>
    </tableColumn>
    <tableColumn id="4" xr3:uid="{2384A887-6797-9D45-A82F-AD87B1CEA514}" name="Solar Energy Generated (kWh)" dataDxfId="53"/>
    <tableColumn id="6" xr3:uid="{C0C5600A-2A4F-42FA-A171-A7D77002B82E}" name="Operational Energy Demand - One Shift (kWH)" dataDxfId="52"/>
    <tableColumn id="7" xr3:uid="{0E49F2FA-DF95-494F-B55D-59E5FA7DFB31}" name="Remarks"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50" dataDxfId="48" headerRowBorderDxfId="49" tableBorderDxfId="47" totalsRowBorderDxfId="46">
  <autoFilter ref="I7:N107" xr:uid="{D1C0C9B2-779D-1649-AFF9-2DC747BD8D8E}"/>
  <tableColumns count="6">
    <tableColumn id="1" xr3:uid="{98251D21-9B72-FF46-855C-29CDFC3F8C49}" name="No." dataDxfId="45">
      <calculatedColumnFormula>IF(#REF!="","",$I7+1)</calculatedColumnFormula>
    </tableColumn>
    <tableColumn id="3" xr3:uid="{79584AA0-F1B7-3B41-BB42-77B2A9F16C14}" name="Month" dataDxfId="44"/>
    <tableColumn id="4" xr3:uid="{A3CA35C2-DBF2-C44A-8453-C1C3204D173D}" name="Quarter" dataDxfId="43">
      <calculatedColumnFormula>IF(water_in[[#This Row],[Month]]&lt;&gt;"",VLOOKUP(water_in[[#This Row],[Month]], dropdown!$S$4:$T$15, 2, FALSE),"")</calculatedColumnFormula>
    </tableColumn>
    <tableColumn id="5" xr3:uid="{94E41BA5-FE14-7A42-A566-007A23C80527}" name="Source" dataDxfId="42"/>
    <tableColumn id="6" xr3:uid="{06C9DE83-99A6-6E42-BFF6-BBB009F75383}" name="Volume (m3)" dataDxfId="41"/>
    <tableColumn id="7" xr3:uid="{76D3A7A4-7A71-A740-A5FE-E0978AE0D14C}" name="Remarks" dataDxfId="4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9" dataDxfId="37" headerRowBorderDxfId="38" tableBorderDxfId="36" totalsRowBorderDxfId="35">
  <autoFilter ref="P7:U107" xr:uid="{417FDA8E-3E35-E54B-B144-32DD667BE400}"/>
  <tableColumns count="6">
    <tableColumn id="1" xr3:uid="{C13D90C4-D898-7E42-BF11-5CEB6AE3F508}" name="No." dataDxfId="34">
      <calculatedColumnFormula>IF(#REF!="","",$P7+1)</calculatedColumnFormula>
    </tableColumn>
    <tableColumn id="3" xr3:uid="{FB4E4C5F-3555-F84A-866C-D2E830B01E5D}" name="Month" dataDxfId="33"/>
    <tableColumn id="4" xr3:uid="{619B28E5-6E0C-9445-94A5-CFE5B7E140CF}" name="Quarter" dataDxfId="32">
      <calculatedColumnFormula>IF(water_out[[#This Row],[Month]]&lt;&gt;"",VLOOKUP(water_out[[#This Row],[Month]], dropdown!$S$4:$T$15, 2, FALSE),"")</calculatedColumnFormula>
    </tableColumn>
    <tableColumn id="6" xr3:uid="{FC43882E-BF75-DA4D-B572-DC2FBD6873DC}" name="Water Destination" dataDxfId="31"/>
    <tableColumn id="2" xr3:uid="{10C062EB-B924-4DED-B867-1CB5A5574221}" name="Volume2 (m3)" dataDxfId="30"/>
    <tableColumn id="8" xr3:uid="{41D6224C-69B7-5E4A-8BC8-C342068A9656}" name="Remarks" dataDxfId="2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8" dataDxfId="27" tableBorderDxfId="26">
  <autoFilter ref="I12:O30" xr:uid="{644952C9-78B7-944D-8BFB-5F0BBB441E25}"/>
  <tableColumns count="7">
    <tableColumn id="1" xr3:uid="{905CBBCA-C4CE-E64F-8577-DD820D762EBE}" name="Component" dataDxfId="25"/>
    <tableColumn id="2" xr3:uid="{95B1D560-7606-8440-A263-1F3488DDCF60}" name="Chemical Formula" dataDxfId="24"/>
    <tableColumn id="3" xr3:uid="{BAFDD3D8-B5F1-0945-B68F-96F3F4D4E83A}" name="Molar Fraction (%)" dataDxfId="23"/>
    <tableColumn id="4" xr3:uid="{8ED09876-064B-5643-B346-8B9BE03FCA7C}" name="Total Moles (kg-mole/m3)" dataDxfId="22">
      <calculatedColumnFormula>IF(Waste_Gases[[#This Row],[Molar Fraction (%)]]=0,"",Waste_Gases[[#This Row],[Molar Fraction (%)]]*$D$15)</calculatedColumnFormula>
    </tableColumn>
    <tableColumn id="5" xr3:uid="{AF137C96-997B-0043-A824-BF6EB99BF204}" name="Molecular Weight" dataDxfId="21"/>
    <tableColumn id="6" xr3:uid="{45DE64DD-9AEC-7A47-BFD6-46841261F085}" name="Percent Carbon (%)" dataDxfId="20">
      <calculatedColumnFormula>Emission_Factors!$B$17/Waste_Gases[[#This Row],[Molecular Weight]]</calculatedColumnFormula>
    </tableColumn>
    <tableColumn id="7" xr3:uid="{2A4C64A5-A239-5A46-9E95-F45AEE05D934}" name="Carbon Content(kg/m3)" dataDxfId="19">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8" tableBorderDxfId="17">
  <autoFilter ref="I7:O104" xr:uid="{0230B550-3160-A24C-BB39-D77FBA7436E1}"/>
  <tableColumns count="7">
    <tableColumn id="1" xr3:uid="{E1E9FF9D-27E3-7D49-AEA6-2B1729AB118D}" name="No." dataDxfId="16"/>
    <tableColumn id="2" xr3:uid="{8380DC80-2805-C14F-AD3B-7C45100601CB}" name="Month" dataDxfId="15"/>
    <tableColumn id="3" xr3:uid="{8B50C8B1-2B60-7D48-8932-B0CD897CE645}" name="Quarter" dataDxfId="14">
      <calculatedColumnFormula>IF(Waste[[#This Row],[Month]]&lt;&gt;"",VLOOKUP(Waste[[#This Row],[Month]], dropdown!$S$4:$T$15, 2, FALSE),"")</calculatedColumnFormula>
    </tableColumn>
    <tableColumn id="4" xr3:uid="{1D0A3C03-9904-E148-8A78-B82195B0EA5C}" name="Waste Composition" dataDxfId="13"/>
    <tableColumn id="5" xr3:uid="{93373184-794D-CF48-B2C6-609884108023}" name="Weight (kg)" dataDxfId="12"/>
    <tableColumn id="6" xr3:uid="{AEA2ECE1-073B-3E43-BACD-0EDC33C61465}" name="Disposal/Recovery Method" dataDxfId="11"/>
    <tableColumn id="7" xr3:uid="{5D0BB89C-B4C6-D54A-A767-64E8AE7DDBFE}" name="Remarks"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929" totalsRowShown="0" headerRowDxfId="9">
  <autoFilter ref="A1:E929" xr:uid="{76DE87AF-814A-AB4A-8281-B0E5A4C74319}"/>
  <tableColumns count="5">
    <tableColumn id="1" xr3:uid="{26002ACD-4A1E-4D49-89F1-047F359822D0}" name="Timestamp" dataDxfId="8"/>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D28" zoomScaleNormal="130" workbookViewId="0">
      <selection activeCell="H91" sqref="E91:H91"/>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H14" sqref="H14"/>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3" t="s">
        <v>377</v>
      </c>
      <c r="E2" s="444"/>
      <c r="F2" s="444"/>
      <c r="G2" s="445"/>
    </row>
    <row r="3" spans="3:7" x14ac:dyDescent="0.2">
      <c r="C3" s="117" t="s">
        <v>12</v>
      </c>
      <c r="D3" s="443">
        <v>2024</v>
      </c>
      <c r="E3" s="444"/>
      <c r="F3" s="444"/>
      <c r="G3" s="445"/>
    </row>
    <row r="5" spans="3:7" ht="19" customHeight="1" x14ac:dyDescent="0.2">
      <c r="C5" s="442" t="s">
        <v>148</v>
      </c>
      <c r="D5" s="442"/>
      <c r="E5" s="442"/>
      <c r="F5" s="442"/>
      <c r="G5" s="442"/>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271.52999999999997</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3933.18</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331864</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5.64</v>
      </c>
    </row>
    <row r="40" spans="3:5" x14ac:dyDescent="0.2">
      <c r="C40" s="189" t="str">
        <f>'2.4 Water'!B12</f>
        <v>Water Discharge</v>
      </c>
      <c r="D40" s="189" t="str">
        <f>'2.4 Water'!C12</f>
        <v>Cubic meters</v>
      </c>
      <c r="E40" s="190">
        <f>SUM('2.4 Water'!$D$12:$G$12)</f>
        <v>1037</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720</v>
      </c>
    </row>
    <row r="45" spans="3:5" x14ac:dyDescent="0.2">
      <c r="C45" s="189" t="str">
        <f>'2.5 Waste'!B12</f>
        <v>Recyclable</v>
      </c>
      <c r="D45" s="189" t="str">
        <f>'2.5 Waste'!C12</f>
        <v>Kilograms</v>
      </c>
      <c r="E45" s="191">
        <f>SUM('2.5 Waste'!$D$12:$G$12)</f>
        <v>480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72600</v>
      </c>
    </row>
    <row r="48" spans="3:5" x14ac:dyDescent="0.2">
      <c r="C48" s="189" t="str">
        <f>'2.5 Waste'!B15</f>
        <v>Hazardous</v>
      </c>
      <c r="D48" s="189" t="str">
        <f>'2.5 Waste'!C15</f>
        <v>Kilograms</v>
      </c>
      <c r="E48" s="191">
        <f>SUM('2.5 Waste'!$D$14:$G$14)</f>
        <v>72600</v>
      </c>
    </row>
    <row r="49" spans="3:5" x14ac:dyDescent="0.2">
      <c r="C49" s="189" t="str">
        <f>'2.5 Waste'!B16</f>
        <v>Residual/Landfill</v>
      </c>
      <c r="D49" s="189" t="str">
        <f>'2.5 Waste'!C16</f>
        <v>Kilograms</v>
      </c>
      <c r="E49" s="191">
        <f>SUM('2.5 Waste'!$D$14:$G$14)</f>
        <v>72600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K19" sqref="K19"/>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Cagayan De Oro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6"/>
      <c r="D6" s="447"/>
      <c r="E6" s="447"/>
      <c r="F6" s="447"/>
      <c r="G6" s="448"/>
      <c r="I6" s="209" t="s">
        <v>173</v>
      </c>
      <c r="J6" s="209" t="s">
        <v>35</v>
      </c>
      <c r="K6" s="209" t="s">
        <v>39</v>
      </c>
      <c r="L6" s="209" t="s">
        <v>43</v>
      </c>
      <c r="M6" s="209" t="s">
        <v>47</v>
      </c>
      <c r="N6" s="209" t="s">
        <v>51</v>
      </c>
      <c r="O6" s="209" t="s">
        <v>54</v>
      </c>
      <c r="P6" s="20"/>
    </row>
    <row r="7" spans="2:16" x14ac:dyDescent="0.2">
      <c r="B7" s="278" t="s">
        <v>174</v>
      </c>
      <c r="C7" s="446"/>
      <c r="D7" s="447"/>
      <c r="E7" s="447"/>
      <c r="F7" s="447"/>
      <c r="G7" s="448"/>
      <c r="I7" s="194">
        <f>IF($M7="","",1)</f>
        <v>1</v>
      </c>
      <c r="J7" s="57" t="s">
        <v>37</v>
      </c>
      <c r="K7" s="58" t="s">
        <v>338</v>
      </c>
      <c r="L7" s="18" t="str">
        <f>IF(Fuel_Blg[[#This Row],[Month]]&lt;&gt;"",VLOOKUP(Fuel_Blg[[#This Row],[Month]], dropdown!$S$4:$T$15, 2, FALSE),"")</f>
        <v>Q1</v>
      </c>
      <c r="M7" s="29">
        <v>18.7</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18.7</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18.7</v>
      </c>
      <c r="N9" s="17" t="str">
        <f>IF($J9="","",VLOOKUP($J9,dropdown!$P$3:$Q$8,2,FALSE))</f>
        <v>Liters</v>
      </c>
      <c r="O9" s="195"/>
      <c r="P9" s="20"/>
    </row>
    <row r="10" spans="2:16" x14ac:dyDescent="0.2">
      <c r="B10" s="13" t="s">
        <v>35</v>
      </c>
      <c r="C10" s="13" t="s">
        <v>51</v>
      </c>
      <c r="D10" s="40" t="s">
        <v>45</v>
      </c>
      <c r="E10" s="40" t="s">
        <v>149</v>
      </c>
      <c r="F10" s="40" t="s">
        <v>150</v>
      </c>
      <c r="G10" s="40" t="s">
        <v>151</v>
      </c>
      <c r="I10" s="194">
        <f t="shared" ref="I10:I18" si="0">IF($M10="","",$I9+1)</f>
        <v>1</v>
      </c>
      <c r="J10" s="57" t="s">
        <v>37</v>
      </c>
      <c r="K10" s="58" t="s">
        <v>371</v>
      </c>
      <c r="L10" s="18" t="str">
        <f>IF(Fuel_Blg[[#This Row],[Month]]&lt;&gt;"",VLOOKUP(Fuel_Blg[[#This Row],[Month]], dropdown!$S$4:$T$15, 2, FALSE),"")</f>
        <v>Q2</v>
      </c>
      <c r="M10" s="29">
        <v>49.01</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56.099999999999994</v>
      </c>
      <c r="E11" s="41">
        <f>SUMIFS(Fuel_Blg[Consumption],Fuel_Blg[Quarter],E$10,Fuel_Blg[Fuel Type],$B$11)</f>
        <v>147.03</v>
      </c>
      <c r="F11" s="41">
        <f>SUMIFS(Fuel_Blg[Consumption],Fuel_Blg[Quarter],F$10,Fuel_Blg[Fuel Type],$B$11)</f>
        <v>31.5</v>
      </c>
      <c r="G11" s="41">
        <f>SUMIFS(Fuel_Blg[Consumption],Fuel_Blg[Quarter],G$10,Fuel_Blg[Fuel Type],$B$11)</f>
        <v>36.900000000000006</v>
      </c>
      <c r="I11" s="194">
        <f t="shared" si="0"/>
        <v>2</v>
      </c>
      <c r="J11" s="57" t="s">
        <v>37</v>
      </c>
      <c r="K11" s="58" t="s">
        <v>379</v>
      </c>
      <c r="L11" s="18" t="str">
        <f>IF(Fuel_Blg[[#This Row],[Month]]&lt;&gt;"",VLOOKUP(Fuel_Blg[[#This Row],[Month]], dropdown!$S$4:$T$15, 2, FALSE),"")</f>
        <v>Q2</v>
      </c>
      <c r="M11" s="29">
        <v>49.01</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49.01</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10.5</v>
      </c>
      <c r="N13" s="17" t="str">
        <f>IF($J13="","",VLOOKUP($J13,dropdown!$P$3:$Q$8,2,FALSE))</f>
        <v>Liters</v>
      </c>
      <c r="O13" s="195"/>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41</v>
      </c>
      <c r="L14" s="18" t="str">
        <f>IF(Fuel_Blg[[#This Row],[Month]]&lt;&gt;"",VLOOKUP(Fuel_Blg[[#This Row],[Month]], dropdown!$S$4:$T$15, 2, FALSE),"")</f>
        <v>Q3</v>
      </c>
      <c r="M14" s="29">
        <v>10.5</v>
      </c>
      <c r="N14" s="17" t="str">
        <f>IF($J14="","",VLOOKUP($J14,dropdown!$P$3:$Q$8,2,FALSE))</f>
        <v>Liters</v>
      </c>
      <c r="O14" s="195"/>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397</v>
      </c>
      <c r="L15" s="18" t="str">
        <f>IF(Fuel_Blg[[#This Row],[Month]]&lt;&gt;"",VLOOKUP(Fuel_Blg[[#This Row],[Month]], dropdown!$S$4:$T$15, 2, FALSE),"")</f>
        <v>Q3</v>
      </c>
      <c r="M15" s="29">
        <v>10.5</v>
      </c>
      <c r="N15" s="17" t="str">
        <f>IF($J15="","",VLOOKUP($J15,dropdown!$P$3:$Q$8,2,FALSE))</f>
        <v>Liters</v>
      </c>
      <c r="O15" s="195"/>
      <c r="P15" s="20"/>
    </row>
    <row r="16" spans="2:16" x14ac:dyDescent="0.2">
      <c r="I16" s="194">
        <f t="shared" si="0"/>
        <v>7</v>
      </c>
      <c r="J16" s="57" t="s">
        <v>37</v>
      </c>
      <c r="K16" s="58" t="s">
        <v>400</v>
      </c>
      <c r="L16" s="18" t="str">
        <f>IF(Fuel_Blg[[#This Row],[Month]]&lt;&gt;"",VLOOKUP(Fuel_Blg[[#This Row],[Month]], dropdown!$S$4:$T$15, 2, FALSE),"")</f>
        <v>Q4</v>
      </c>
      <c r="M16" s="29">
        <v>12.3</v>
      </c>
      <c r="N16" s="17" t="str">
        <f>IF($J16="","",VLOOKUP($J16,dropdown!$P$3:$Q$8,2,FALSE))</f>
        <v>Liters</v>
      </c>
      <c r="O16" s="195"/>
      <c r="P16" s="20"/>
    </row>
    <row r="17" spans="2:16" x14ac:dyDescent="0.2">
      <c r="B17" s="267" t="s">
        <v>38</v>
      </c>
      <c r="I17" s="194">
        <f t="shared" si="0"/>
        <v>8</v>
      </c>
      <c r="J17" s="57" t="s">
        <v>37</v>
      </c>
      <c r="K17" s="58" t="s">
        <v>404</v>
      </c>
      <c r="L17" s="18" t="str">
        <f>IF(Fuel_Blg[[#This Row],[Month]]&lt;&gt;"",VLOOKUP(Fuel_Blg[[#This Row],[Month]], dropdown!$S$4:$T$15, 2, FALSE),"")</f>
        <v>Q4</v>
      </c>
      <c r="M17" s="29">
        <v>12.3</v>
      </c>
      <c r="N17" s="17" t="str">
        <f>IF($J17="","",VLOOKUP($J17,dropdown!$P$3:$Q$8,2,FALSE))</f>
        <v>Liters</v>
      </c>
      <c r="O17" s="195"/>
      <c r="P17" s="20"/>
    </row>
    <row r="18" spans="2:16" x14ac:dyDescent="0.2">
      <c r="B18" s="268" t="s">
        <v>175</v>
      </c>
      <c r="I18" s="194">
        <f t="shared" si="0"/>
        <v>9</v>
      </c>
      <c r="J18" s="57" t="s">
        <v>37</v>
      </c>
      <c r="K18" s="58" t="s">
        <v>407</v>
      </c>
      <c r="L18" s="18" t="str">
        <f>IF(Fuel_Blg[[#This Row],[Month]]&lt;&gt;"",VLOOKUP(Fuel_Blg[[#This Row],[Month]], dropdown!$S$4:$T$15, 2, FALSE),"")</f>
        <v>Q4</v>
      </c>
      <c r="M18" s="29">
        <v>12.3</v>
      </c>
      <c r="N18" s="17" t="str">
        <f>IF($J18="","",VLOOKUP($J18,dropdown!$P$3:$Q$8,2,FALSE))</f>
        <v>Liters</v>
      </c>
      <c r="O18" s="195"/>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F15" zoomScaleNormal="100" workbookViewId="0">
      <selection activeCell="P43" sqref="P43"/>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Cagayan De Oro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c r="D6" s="447"/>
      <c r="E6" s="447"/>
      <c r="F6" s="447"/>
      <c r="G6" s="448"/>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6"/>
      <c r="D7" s="447"/>
      <c r="E7" s="447"/>
      <c r="F7" s="447"/>
      <c r="G7" s="448"/>
      <c r="I7" s="194">
        <f>IF($J7="","",1)</f>
        <v>1</v>
      </c>
      <c r="J7" s="57" t="s">
        <v>343</v>
      </c>
      <c r="K7" s="57" t="s">
        <v>63</v>
      </c>
      <c r="L7" s="58" t="s">
        <v>338</v>
      </c>
      <c r="M7" s="18" t="str">
        <f>IF(Fuel_Veh[[#This Row],[Month]]&lt;&gt;"",VLOOKUP(Fuel_Veh[[#This Row],[Month]], dropdown!$S$4:$T$15, 2, FALSE),"")</f>
        <v>Q1</v>
      </c>
      <c r="N7" s="29">
        <f>1.73+21.63+5.3</f>
        <v>28.66</v>
      </c>
      <c r="O7" s="17" t="str">
        <f>IF($K7="","",VLOOKUP($K7,dropdown!$P$14:$Q$18,2,FALSE))</f>
        <v>Liters</v>
      </c>
      <c r="P7" s="29">
        <f>5.2+64.9+16</f>
        <v>86.100000000000009</v>
      </c>
      <c r="Q7" s="17" t="str">
        <f t="shared" ref="Q7:Q70" si="0">IF($P7="","","Kilometers")</f>
        <v>Kilometers</v>
      </c>
      <c r="R7" s="195"/>
    </row>
    <row r="8" spans="2:18" x14ac:dyDescent="0.2">
      <c r="I8" s="194">
        <f>IF($J8="","",$I7+1)</f>
        <v>2</v>
      </c>
      <c r="J8" s="57" t="s">
        <v>374</v>
      </c>
      <c r="K8" s="57" t="s">
        <v>63</v>
      </c>
      <c r="L8" s="58" t="s">
        <v>338</v>
      </c>
      <c r="M8" s="18" t="str">
        <f>IF(Fuel_Veh[[#This Row],[Month]]&lt;&gt;"",VLOOKUP(Fuel_Veh[[#This Row],[Month]], dropdown!$S$4:$T$15, 2, FALSE),"")</f>
        <v>Q1</v>
      </c>
      <c r="N8" s="29">
        <f>9.12+31.75</f>
        <v>40.869999999999997</v>
      </c>
      <c r="O8" s="17"/>
      <c r="P8" s="29">
        <f>73+254</f>
        <v>327</v>
      </c>
      <c r="Q8" s="17" t="str">
        <f t="shared" si="0"/>
        <v>Kilometers</v>
      </c>
      <c r="R8" s="195"/>
    </row>
    <row r="9" spans="2:18" x14ac:dyDescent="0.2">
      <c r="B9" s="14" t="s">
        <v>33</v>
      </c>
      <c r="C9" s="14"/>
      <c r="D9" s="14"/>
      <c r="E9" s="14"/>
      <c r="F9" s="14"/>
      <c r="G9" s="14"/>
      <c r="I9" s="194">
        <f>IF($J9="","",$I8+1)</f>
        <v>3</v>
      </c>
      <c r="J9" s="57" t="s">
        <v>381</v>
      </c>
      <c r="K9" s="57" t="s">
        <v>63</v>
      </c>
      <c r="L9" s="58" t="s">
        <v>338</v>
      </c>
      <c r="M9" s="18" t="str">
        <f>IF(Fuel_Veh[[#This Row],[Month]]&lt;&gt;"",VLOOKUP(Fuel_Veh[[#This Row],[Month]], dropdown!$S$4:$T$15, 2, FALSE),"")</f>
        <v>Q1</v>
      </c>
      <c r="N9" s="29">
        <f>47.75+25.75</f>
        <v>73.5</v>
      </c>
      <c r="O9" s="17" t="str">
        <f>IF($K9="","",VLOOKUP($K9,dropdown!$P$14:$Q$18,2,FALSE))</f>
        <v>Liters</v>
      </c>
      <c r="P9" s="29">
        <f>382+206</f>
        <v>588</v>
      </c>
      <c r="Q9" s="17" t="str">
        <f t="shared" si="0"/>
        <v>Kilometers</v>
      </c>
      <c r="R9" s="195"/>
    </row>
    <row r="10" spans="2:18" x14ac:dyDescent="0.2">
      <c r="B10" s="13" t="s">
        <v>35</v>
      </c>
      <c r="C10" s="13" t="s">
        <v>51</v>
      </c>
      <c r="D10" s="40" t="s">
        <v>45</v>
      </c>
      <c r="E10" s="40" t="s">
        <v>149</v>
      </c>
      <c r="F10" s="40" t="s">
        <v>150</v>
      </c>
      <c r="G10" s="40" t="s">
        <v>151</v>
      </c>
      <c r="I10" s="194">
        <f>IF($J10="","",$I9+1)</f>
        <v>4</v>
      </c>
      <c r="J10" s="57" t="s">
        <v>343</v>
      </c>
      <c r="K10" s="57" t="s">
        <v>63</v>
      </c>
      <c r="L10" s="58" t="s">
        <v>89</v>
      </c>
      <c r="M10" s="18" t="str">
        <f>IF(Fuel_Veh[[#This Row],[Month]]&lt;&gt;"",VLOOKUP(Fuel_Veh[[#This Row],[Month]], dropdown!$S$4:$T$15, 2, FALSE),"")</f>
        <v>Q1</v>
      </c>
      <c r="N10" s="29">
        <f>2.67+23.4</f>
        <v>26.07</v>
      </c>
      <c r="O10" s="17" t="str">
        <f>IF($K10="","",VLOOKUP($K10,dropdown!$P$14:$Q$18,2,FALSE))</f>
        <v>Liters</v>
      </c>
      <c r="P10" s="29">
        <f>8+70.2</f>
        <v>78.2</v>
      </c>
      <c r="Q10" s="17" t="str">
        <f t="shared" si="0"/>
        <v>Kilometers</v>
      </c>
      <c r="R10" s="195"/>
    </row>
    <row r="11" spans="2:18" x14ac:dyDescent="0.2">
      <c r="B11" s="17" t="str">
        <f>dropdown!$P15</f>
        <v>Diesel - Transport vehicles</v>
      </c>
      <c r="C11" s="17" t="str">
        <f>dropdown!$Q15</f>
        <v>Liters</v>
      </c>
      <c r="D11" s="41">
        <f>SUMIFS(Fuel_Veh[Consumption],Fuel_Veh[Quarter],D$10,Fuel_Veh[Fuel Type],$B$11)</f>
        <v>672.19</v>
      </c>
      <c r="E11" s="41">
        <f>SUMIFS(Fuel_Veh[Consumption],Fuel_Veh[Quarter],E$10,Fuel_Veh[Fuel Type],$B$11)</f>
        <v>989.24</v>
      </c>
      <c r="F11" s="41">
        <f>SUMIFS(Fuel_Veh[Consumption],Fuel_Veh[Quarter],F$10,Fuel_Veh[Fuel Type],$B$11)</f>
        <v>707.1099999999999</v>
      </c>
      <c r="G11" s="41">
        <f>SUMIFS(Fuel_Veh[Consumption],Fuel_Veh[Quarter],G$10,Fuel_Veh[Fuel Type],$B$11)</f>
        <v>1564.6399999999999</v>
      </c>
      <c r="I11" s="194">
        <f>IF($J11="","",$I10+1)</f>
        <v>5</v>
      </c>
      <c r="J11" s="57" t="s">
        <v>374</v>
      </c>
      <c r="K11" s="57" t="s">
        <v>63</v>
      </c>
      <c r="L11" s="58" t="s">
        <v>89</v>
      </c>
      <c r="M11" s="18" t="str">
        <f>IF(Fuel_Veh[[#This Row],[Month]]&lt;&gt;"",VLOOKUP(Fuel_Veh[[#This Row],[Month]], dropdown!$S$4:$T$15, 2, FALSE),"")</f>
        <v>Q1</v>
      </c>
      <c r="N11" s="29">
        <f>3.12+72</f>
        <v>75.12</v>
      </c>
      <c r="O11" s="17" t="str">
        <f>IF($K11="","",VLOOKUP($K11,dropdown!$P$14:$Q$18,2,FALSE))</f>
        <v>Liters</v>
      </c>
      <c r="P11" s="29">
        <f>25+576</f>
        <v>601</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381</v>
      </c>
      <c r="K12" s="57" t="s">
        <v>63</v>
      </c>
      <c r="L12" s="58" t="s">
        <v>89</v>
      </c>
      <c r="M12" s="18" t="str">
        <f>IF(Fuel_Veh[[#This Row],[Month]]&lt;&gt;"",VLOOKUP(Fuel_Veh[[#This Row],[Month]], dropdown!$S$4:$T$15, 2, FALSE),"")</f>
        <v>Q1</v>
      </c>
      <c r="N12" s="29">
        <f>48+118.5</f>
        <v>166.5</v>
      </c>
      <c r="O12" s="17" t="str">
        <f>IF($K12="","",VLOOKUP($K12,dropdown!$P$14:$Q$18,2,FALSE))</f>
        <v>Liters</v>
      </c>
      <c r="P12" s="29">
        <f>384+948</f>
        <v>1332</v>
      </c>
      <c r="Q12" s="17" t="str">
        <f t="shared" si="0"/>
        <v>Kilometers</v>
      </c>
      <c r="R12" s="195"/>
    </row>
    <row r="13" spans="2:18" ht="14" customHeight="1" x14ac:dyDescent="0.2">
      <c r="I13" s="194">
        <f t="shared" si="1"/>
        <v>7</v>
      </c>
      <c r="J13" s="57" t="s">
        <v>343</v>
      </c>
      <c r="K13" s="57" t="s">
        <v>63</v>
      </c>
      <c r="L13" s="58" t="s">
        <v>362</v>
      </c>
      <c r="M13" s="18" t="str">
        <f>IF(Fuel_Veh[[#This Row],[Month]]&lt;&gt;"",VLOOKUP(Fuel_Veh[[#This Row],[Month]], dropdown!$S$4:$T$15, 2, FALSE),"")</f>
        <v>Q1</v>
      </c>
      <c r="N13" s="29">
        <f>48.3+60.23</f>
        <v>108.53</v>
      </c>
      <c r="O13" s="17" t="str">
        <f>IF($K13="","",VLOOKUP($K13,dropdown!$P$14:$Q$18,2,FALSE))</f>
        <v>Liters</v>
      </c>
      <c r="P13" s="29">
        <f>144.9+180.7</f>
        <v>325.60000000000002</v>
      </c>
      <c r="Q13" s="17" t="str">
        <f>IF($P16="","","Kilometers")</f>
        <v>Kilometers</v>
      </c>
      <c r="R13" s="195"/>
    </row>
    <row r="14" spans="2:18" x14ac:dyDescent="0.2">
      <c r="B14" s="267" t="s">
        <v>38</v>
      </c>
      <c r="I14" s="194">
        <f t="shared" si="1"/>
        <v>8</v>
      </c>
      <c r="J14" s="57" t="s">
        <v>374</v>
      </c>
      <c r="K14" s="57" t="s">
        <v>63</v>
      </c>
      <c r="L14" s="58" t="s">
        <v>362</v>
      </c>
      <c r="M14" s="18" t="str">
        <f>IF(Fuel_Veh[[#This Row],[Month]]&lt;&gt;"",VLOOKUP(Fuel_Veh[[#This Row],[Month]], dropdown!$S$4:$T$15, 2, FALSE),"")</f>
        <v>Q1</v>
      </c>
      <c r="N14" s="29">
        <f>4.25+97.2</f>
        <v>101.45</v>
      </c>
      <c r="O14" s="17" t="str">
        <f>IF($K14="","",VLOOKUP($K14,dropdown!$P$14:$Q$18,2,FALSE))</f>
        <v>Liters</v>
      </c>
      <c r="P14" s="29">
        <f>34+777</f>
        <v>811</v>
      </c>
      <c r="Q14" s="17" t="str">
        <f>IF($P17="","","Kilometers")</f>
        <v>Kilometers</v>
      </c>
      <c r="R14" s="195"/>
    </row>
    <row r="15" spans="2:18" x14ac:dyDescent="0.2">
      <c r="B15" s="268" t="s">
        <v>175</v>
      </c>
      <c r="I15" s="194">
        <f t="shared" si="1"/>
        <v>9</v>
      </c>
      <c r="J15" s="57" t="s">
        <v>381</v>
      </c>
      <c r="K15" s="57" t="s">
        <v>63</v>
      </c>
      <c r="L15" s="58" t="s">
        <v>362</v>
      </c>
      <c r="M15" s="18" t="str">
        <f>IF(Fuel_Veh[[#This Row],[Month]]&lt;&gt;"",VLOOKUP(Fuel_Veh[[#This Row],[Month]], dropdown!$S$4:$T$15, 2, FALSE),"")</f>
        <v>Q1</v>
      </c>
      <c r="N15" s="29">
        <f>40.37+11.12</f>
        <v>51.489999999999995</v>
      </c>
      <c r="O15" s="17" t="str">
        <f>IF($K15="","",VLOOKUP($K15,dropdown!$P$14:$Q$18,2,FALSE))</f>
        <v>Liters</v>
      </c>
      <c r="P15" s="29">
        <f>323+89</f>
        <v>412</v>
      </c>
      <c r="Q15" s="17" t="str">
        <f>IF($P18="","","Kilometers")</f>
        <v>Kilometers</v>
      </c>
      <c r="R15" s="195"/>
    </row>
    <row r="16" spans="2:18" x14ac:dyDescent="0.2">
      <c r="B16" s="266" t="s">
        <v>176</v>
      </c>
      <c r="I16" s="194">
        <f t="shared" si="1"/>
        <v>10</v>
      </c>
      <c r="J16" s="57" t="s">
        <v>343</v>
      </c>
      <c r="K16" s="57" t="s">
        <v>63</v>
      </c>
      <c r="L16" s="58" t="s">
        <v>371</v>
      </c>
      <c r="M16" s="18" t="str">
        <f>IF(Fuel_Veh[[#This Row],[Month]]&lt;&gt;"",VLOOKUP(Fuel_Veh[[#This Row],[Month]], dropdown!$S$4:$T$15, 2, FALSE),"")</f>
        <v>Q2</v>
      </c>
      <c r="N16" s="29">
        <f>73.4</f>
        <v>73.400000000000006</v>
      </c>
      <c r="O16" s="17" t="str">
        <f>IF($K16="","",VLOOKUP($K16,dropdown!$P$14:$Q$18,2,FALSE))</f>
        <v>Liters</v>
      </c>
      <c r="P16" s="29">
        <f>220.2</f>
        <v>220.2</v>
      </c>
      <c r="Q16" s="17" t="e">
        <f>IF(#REF!="","","Kilometers")</f>
        <v>#REF!</v>
      </c>
      <c r="R16" s="195"/>
    </row>
    <row r="17" spans="2:18" x14ac:dyDescent="0.2">
      <c r="B17" s="17" t="s">
        <v>177</v>
      </c>
      <c r="I17" s="194">
        <f t="shared" si="1"/>
        <v>11</v>
      </c>
      <c r="J17" s="57" t="s">
        <v>374</v>
      </c>
      <c r="K17" s="57" t="s">
        <v>63</v>
      </c>
      <c r="L17" s="58" t="s">
        <v>371</v>
      </c>
      <c r="M17" s="18" t="str">
        <f>IF(Fuel_Veh[[#This Row],[Month]]&lt;&gt;"",VLOOKUP(Fuel_Veh[[#This Row],[Month]], dropdown!$S$4:$T$15, 2, FALSE),"")</f>
        <v>Q2</v>
      </c>
      <c r="N17" s="29">
        <f>0.75+126.5</f>
        <v>127.25</v>
      </c>
      <c r="O17" s="17" t="str">
        <f>IF($K17="","",VLOOKUP($K17,dropdown!$P$14:$Q$18,2,FALSE))</f>
        <v>Liters</v>
      </c>
      <c r="P17" s="29">
        <f>6+1012</f>
        <v>1018</v>
      </c>
      <c r="Q17" s="17" t="e">
        <f>IF(#REF!="","","Kilometers")</f>
        <v>#REF!</v>
      </c>
      <c r="R17" s="195"/>
    </row>
    <row r="18" spans="2:18" x14ac:dyDescent="0.2">
      <c r="I18" s="194">
        <f t="shared" si="1"/>
        <v>12</v>
      </c>
      <c r="J18" s="57" t="s">
        <v>381</v>
      </c>
      <c r="K18" s="57" t="s">
        <v>63</v>
      </c>
      <c r="L18" s="58" t="s">
        <v>371</v>
      </c>
      <c r="M18" s="18" t="str">
        <f>IF(Fuel_Veh[[#This Row],[Month]]&lt;&gt;"",VLOOKUP(Fuel_Veh[[#This Row],[Month]], dropdown!$S$4:$T$15, 2, FALSE),"")</f>
        <v>Q2</v>
      </c>
      <c r="N18" s="29">
        <f>58.62+81.87</f>
        <v>140.49</v>
      </c>
      <c r="O18" s="17" t="str">
        <f>IF($K18="","",VLOOKUP($K18,dropdown!$P$14:$Q$18,2,FALSE))</f>
        <v>Liters</v>
      </c>
      <c r="P18" s="29">
        <f>469+655</f>
        <v>1124</v>
      </c>
      <c r="Q18" s="17" t="e">
        <f>IF(#REF!="","","Kilometers")</f>
        <v>#REF!</v>
      </c>
      <c r="R18" s="195"/>
    </row>
    <row r="19" spans="2:18" x14ac:dyDescent="0.2">
      <c r="I19" s="194">
        <f t="shared" si="1"/>
        <v>13</v>
      </c>
      <c r="J19" s="57" t="s">
        <v>343</v>
      </c>
      <c r="K19" s="57" t="s">
        <v>63</v>
      </c>
      <c r="L19" s="58" t="s">
        <v>379</v>
      </c>
      <c r="M19" s="18" t="str">
        <f>IF(Fuel_Veh[[#This Row],[Month]]&lt;&gt;"",VLOOKUP(Fuel_Veh[[#This Row],[Month]], dropdown!$S$4:$T$15, 2, FALSE),"")</f>
        <v>Q2</v>
      </c>
      <c r="N19" s="29">
        <f>25.26+49.86</f>
        <v>75.12</v>
      </c>
      <c r="O19" s="17" t="str">
        <f>IF($K19="","",VLOOKUP($K19,dropdown!$P$14:$Q$18,2,FALSE))</f>
        <v>Liters</v>
      </c>
      <c r="P19" s="29">
        <f>75.8+149.6</f>
        <v>225.39999999999998</v>
      </c>
      <c r="Q19" s="17" t="str">
        <f t="shared" si="0"/>
        <v>Kilometers</v>
      </c>
      <c r="R19" s="195"/>
    </row>
    <row r="20" spans="2:18" x14ac:dyDescent="0.2">
      <c r="I20" s="194">
        <f t="shared" si="1"/>
        <v>14</v>
      </c>
      <c r="J20" s="57" t="s">
        <v>374</v>
      </c>
      <c r="K20" s="57" t="s">
        <v>63</v>
      </c>
      <c r="L20" s="58" t="s">
        <v>379</v>
      </c>
      <c r="M20" s="18" t="str">
        <f>IF(Fuel_Veh[[#This Row],[Month]]&lt;&gt;"",VLOOKUP(Fuel_Veh[[#This Row],[Month]], dropdown!$S$4:$T$15, 2, FALSE),"")</f>
        <v>Q2</v>
      </c>
      <c r="N20" s="29">
        <v>81.37</v>
      </c>
      <c r="O20" s="17" t="str">
        <f>IF($K20="","",VLOOKUP($K20,dropdown!$P$14:$Q$18,2,FALSE))</f>
        <v>Liters</v>
      </c>
      <c r="P20" s="29">
        <v>651</v>
      </c>
      <c r="Q20" s="17" t="str">
        <f t="shared" si="0"/>
        <v>Kilometers</v>
      </c>
      <c r="R20" s="195"/>
    </row>
    <row r="21" spans="2:18" x14ac:dyDescent="0.2">
      <c r="I21" s="194">
        <f t="shared" si="1"/>
        <v>15</v>
      </c>
      <c r="J21" s="57" t="s">
        <v>381</v>
      </c>
      <c r="K21" s="57" t="s">
        <v>63</v>
      </c>
      <c r="L21" s="58" t="s">
        <v>379</v>
      </c>
      <c r="M21" s="18" t="str">
        <f>IF(Fuel_Veh[[#This Row],[Month]]&lt;&gt;"",VLOOKUP(Fuel_Veh[[#This Row],[Month]], dropdown!$S$4:$T$15, 2, FALSE),"")</f>
        <v>Q2</v>
      </c>
      <c r="N21" s="29">
        <f>58.86+104.87</f>
        <v>163.73000000000002</v>
      </c>
      <c r="O21" s="17" t="str">
        <f>IF($K21="","",VLOOKUP($K21,dropdown!$P$14:$Q$18,2,FALSE))</f>
        <v>Liters</v>
      </c>
      <c r="P21" s="29">
        <f>412+839</f>
        <v>1251</v>
      </c>
      <c r="Q21" s="17" t="str">
        <f t="shared" si="0"/>
        <v>Kilometers</v>
      </c>
      <c r="R21" s="195"/>
    </row>
    <row r="22" spans="2:18" x14ac:dyDescent="0.2">
      <c r="I22" s="194">
        <f t="shared" si="1"/>
        <v>16</v>
      </c>
      <c r="J22" s="57" t="s">
        <v>343</v>
      </c>
      <c r="K22" s="57" t="s">
        <v>63</v>
      </c>
      <c r="L22" s="58" t="s">
        <v>386</v>
      </c>
      <c r="M22" s="18" t="str">
        <f>IF(Fuel_Veh[[#This Row],[Month]]&lt;&gt;"",VLOOKUP(Fuel_Veh[[#This Row],[Month]], dropdown!$S$4:$T$15, 2, FALSE),"")</f>
        <v>Q2</v>
      </c>
      <c r="N22" s="29">
        <f>6.16</f>
        <v>6.16</v>
      </c>
      <c r="O22" s="17" t="str">
        <f>IF($K22="","",VLOOKUP($K22,dropdown!$P$14:$Q$18,2,FALSE))</f>
        <v>Liters</v>
      </c>
      <c r="P22" s="29">
        <f>18.5</f>
        <v>18.5</v>
      </c>
      <c r="Q22" s="17" t="str">
        <f t="shared" si="0"/>
        <v>Kilometers</v>
      </c>
      <c r="R22" s="195"/>
    </row>
    <row r="23" spans="2:18" x14ac:dyDescent="0.2">
      <c r="I23" s="194">
        <f t="shared" si="1"/>
        <v>17</v>
      </c>
      <c r="J23" s="57" t="s">
        <v>374</v>
      </c>
      <c r="K23" s="57" t="s">
        <v>63</v>
      </c>
      <c r="L23" s="58" t="s">
        <v>386</v>
      </c>
      <c r="M23" s="18" t="str">
        <f>IF(Fuel_Veh[[#This Row],[Month]]&lt;&gt;"",VLOOKUP(Fuel_Veh[[#This Row],[Month]], dropdown!$S$4:$T$15, 2, FALSE),"")</f>
        <v>Q2</v>
      </c>
      <c r="N23" s="29">
        <v>134.5</v>
      </c>
      <c r="O23" s="17" t="str">
        <f>IF($K23="","",VLOOKUP($K23,dropdown!$P$14:$Q$18,2,FALSE))</f>
        <v>Liters</v>
      </c>
      <c r="P23" s="29">
        <v>1076</v>
      </c>
      <c r="Q23" s="17" t="str">
        <f t="shared" si="0"/>
        <v>Kilometers</v>
      </c>
      <c r="R23" s="195"/>
    </row>
    <row r="24" spans="2:18" x14ac:dyDescent="0.2">
      <c r="I24" s="194">
        <f t="shared" si="1"/>
        <v>18</v>
      </c>
      <c r="J24" s="57" t="s">
        <v>381</v>
      </c>
      <c r="K24" s="57" t="s">
        <v>63</v>
      </c>
      <c r="L24" s="58" t="s">
        <v>386</v>
      </c>
      <c r="M24" s="18" t="str">
        <f>IF(Fuel_Veh[[#This Row],[Month]]&lt;&gt;"",VLOOKUP(Fuel_Veh[[#This Row],[Month]], dropdown!$S$4:$T$15, 2, FALSE),"")</f>
        <v>Q2</v>
      </c>
      <c r="N24" s="29">
        <f>78.85+108.37</f>
        <v>187.22</v>
      </c>
      <c r="O24" s="17" t="str">
        <f>IF($K24="","",VLOOKUP($K24,dropdown!$P$14:$Q$18,2,FALSE))</f>
        <v>Liters</v>
      </c>
      <c r="P24" s="29">
        <f>552+867</f>
        <v>1419</v>
      </c>
      <c r="Q24" s="17" t="str">
        <f t="shared" si="0"/>
        <v>Kilometers</v>
      </c>
      <c r="R24" s="195"/>
    </row>
    <row r="25" spans="2:18" x14ac:dyDescent="0.2">
      <c r="I25" s="194">
        <f t="shared" si="1"/>
        <v>19</v>
      </c>
      <c r="J25" s="57" t="s">
        <v>343</v>
      </c>
      <c r="K25" s="57" t="s">
        <v>63</v>
      </c>
      <c r="L25" s="58" t="s">
        <v>390</v>
      </c>
      <c r="M25" s="18" t="str">
        <f>IF(Fuel_Veh[[#This Row],[Month]]&lt;&gt;"",VLOOKUP(Fuel_Veh[[#This Row],[Month]], dropdown!$S$4:$T$15, 2, FALSE),"")</f>
        <v>Q3</v>
      </c>
      <c r="N25" s="29">
        <f>3.32+43.56</f>
        <v>46.88</v>
      </c>
      <c r="O25" s="17" t="str">
        <f>IF($K25="","",VLOOKUP($K25,dropdown!$P$14:$Q$18,2,FALSE))</f>
        <v>Liters</v>
      </c>
      <c r="P25" s="29">
        <f>10+130.7</f>
        <v>140.69999999999999</v>
      </c>
      <c r="Q25" s="17" t="str">
        <f t="shared" si="0"/>
        <v>Kilometers</v>
      </c>
      <c r="R25" s="195"/>
    </row>
    <row r="26" spans="2:18" x14ac:dyDescent="0.2">
      <c r="I26" s="194">
        <f t="shared" si="1"/>
        <v>20</v>
      </c>
      <c r="J26" s="57" t="s">
        <v>374</v>
      </c>
      <c r="K26" s="57" t="s">
        <v>63</v>
      </c>
      <c r="L26" s="196" t="s">
        <v>390</v>
      </c>
      <c r="M26" s="18" t="str">
        <f>IF(Fuel_Veh[[#This Row],[Month]]&lt;&gt;"",VLOOKUP(Fuel_Veh[[#This Row],[Month]], dropdown!$S$4:$T$15, 2, FALSE),"")</f>
        <v>Q3</v>
      </c>
      <c r="N26" s="197">
        <f>1.12+107.45</f>
        <v>108.57000000000001</v>
      </c>
      <c r="O26" s="198" t="str">
        <f>IF($K26="","",VLOOKUP($K26,dropdown!$P$14:$Q$18,2,FALSE))</f>
        <v>Liters</v>
      </c>
      <c r="P26" s="197">
        <f>9+1182</f>
        <v>1191</v>
      </c>
      <c r="Q26" s="17" t="str">
        <f t="shared" si="0"/>
        <v>Kilometers</v>
      </c>
      <c r="R26" s="199"/>
    </row>
    <row r="27" spans="2:18" x14ac:dyDescent="0.2">
      <c r="I27" s="194">
        <f t="shared" si="1"/>
        <v>21</v>
      </c>
      <c r="J27" s="57" t="s">
        <v>381</v>
      </c>
      <c r="K27" s="57" t="s">
        <v>63</v>
      </c>
      <c r="L27" s="58" t="s">
        <v>390</v>
      </c>
      <c r="M27" s="18" t="str">
        <f>IF(Fuel_Veh[[#This Row],[Month]]&lt;&gt;"",VLOOKUP(Fuel_Veh[[#This Row],[Month]], dropdown!$S$4:$T$15, 2, FALSE),"")</f>
        <v>Q3</v>
      </c>
      <c r="N27" s="29">
        <f>33.62+127.09</f>
        <v>160.71</v>
      </c>
      <c r="O27" s="17" t="str">
        <f>IF($K27="","",VLOOKUP($K27,dropdown!$P$14:$Q$18,2,FALSE))</f>
        <v>Liters</v>
      </c>
      <c r="P27" s="29">
        <f>269+1398</f>
        <v>1667</v>
      </c>
      <c r="Q27" s="17" t="str">
        <f t="shared" si="0"/>
        <v>Kilometers</v>
      </c>
      <c r="R27" s="195"/>
    </row>
    <row r="28" spans="2:18" x14ac:dyDescent="0.2">
      <c r="I28" s="194">
        <f t="shared" si="1"/>
        <v>22</v>
      </c>
      <c r="J28" s="57" t="s">
        <v>343</v>
      </c>
      <c r="K28" s="57" t="s">
        <v>63</v>
      </c>
      <c r="L28" s="58" t="s">
        <v>41</v>
      </c>
      <c r="M28" s="18" t="str">
        <f>IF(Fuel_Veh[[#This Row],[Month]]&lt;&gt;"",VLOOKUP(Fuel_Veh[[#This Row],[Month]], dropdown!$S$4:$T$15, 2, FALSE),"")</f>
        <v>Q3</v>
      </c>
      <c r="N28" s="29">
        <f>1.8+23.43+6</f>
        <v>31.23</v>
      </c>
      <c r="O28" s="17" t="str">
        <f>IF($K28="","",VLOOKUP($K28,dropdown!$P$14:$Q$18,2,FALSE))</f>
        <v>Liters</v>
      </c>
      <c r="P28" s="29">
        <f>5.4+70.3+15</f>
        <v>90.7</v>
      </c>
      <c r="Q28" s="17" t="str">
        <f t="shared" si="0"/>
        <v>Kilometers</v>
      </c>
      <c r="R28" s="195"/>
    </row>
    <row r="29" spans="2:18" x14ac:dyDescent="0.2">
      <c r="I29" s="194">
        <f t="shared" si="1"/>
        <v>23</v>
      </c>
      <c r="J29" s="57" t="s">
        <v>374</v>
      </c>
      <c r="K29" s="57" t="s">
        <v>63</v>
      </c>
      <c r="L29" s="58" t="s">
        <v>41</v>
      </c>
      <c r="M29" s="18" t="str">
        <f>IF(Fuel_Veh[[#This Row],[Month]]&lt;&gt;"",VLOOKUP(Fuel_Veh[[#This Row],[Month]], dropdown!$S$4:$T$15, 2, FALSE),"")</f>
        <v>Q3</v>
      </c>
      <c r="N29" s="29">
        <v>68.64</v>
      </c>
      <c r="O29" s="17" t="str">
        <f>IF($K29="","",VLOOKUP($K29,dropdown!$P$14:$Q$18,2,FALSE))</f>
        <v>Liters</v>
      </c>
      <c r="P29" s="29">
        <v>755</v>
      </c>
      <c r="Q29" s="17" t="str">
        <f t="shared" si="0"/>
        <v>Kilometers</v>
      </c>
      <c r="R29" s="195"/>
    </row>
    <row r="30" spans="2:18" x14ac:dyDescent="0.2">
      <c r="I30" s="194">
        <f t="shared" si="1"/>
        <v>24</v>
      </c>
      <c r="J30" s="57" t="s">
        <v>381</v>
      </c>
      <c r="K30" s="345" t="s">
        <v>63</v>
      </c>
      <c r="L30" s="196" t="s">
        <v>41</v>
      </c>
      <c r="M30" s="18" t="str">
        <f>IF(Fuel_Veh[[#This Row],[Month]]&lt;&gt;"",VLOOKUP(Fuel_Veh[[#This Row],[Month]], dropdown!$S$4:$T$15, 2, FALSE),"")</f>
        <v>Q3</v>
      </c>
      <c r="N30" s="197">
        <f>27+46.81</f>
        <v>73.81</v>
      </c>
      <c r="O30" s="198" t="str">
        <f>IF($K30="","",VLOOKUP($K30,dropdown!$P$14:$Q$18,2,FALSE))</f>
        <v>Liters</v>
      </c>
      <c r="P30" s="197">
        <f>216+515</f>
        <v>731</v>
      </c>
      <c r="Q30" s="17" t="str">
        <f t="shared" si="0"/>
        <v>Kilometers</v>
      </c>
      <c r="R30" s="199"/>
    </row>
    <row r="31" spans="2:18" x14ac:dyDescent="0.2">
      <c r="I31" s="194">
        <f t="shared" si="1"/>
        <v>25</v>
      </c>
      <c r="J31" s="57" t="s">
        <v>343</v>
      </c>
      <c r="K31" s="57" t="s">
        <v>63</v>
      </c>
      <c r="L31" s="58" t="s">
        <v>397</v>
      </c>
      <c r="M31" s="18" t="str">
        <f>IF(Fuel_Veh[[#This Row],[Month]]&lt;&gt;"",VLOOKUP(Fuel_Veh[[#This Row],[Month]], dropdown!$S$4:$T$15, 2, FALSE),"")</f>
        <v>Q3</v>
      </c>
      <c r="N31" s="29">
        <f>24.93+21.7+16.66</f>
        <v>63.289999999999992</v>
      </c>
      <c r="O31" s="17" t="str">
        <f>IF($K31="","",VLOOKUP($K31,dropdown!$P$14:$Q$18,2,FALSE))</f>
        <v>Liters</v>
      </c>
      <c r="P31" s="29">
        <f>74.8+65.3+50</f>
        <v>190.1</v>
      </c>
      <c r="Q31" s="17" t="str">
        <f t="shared" si="0"/>
        <v>Kilometers</v>
      </c>
      <c r="R31" s="199"/>
    </row>
    <row r="32" spans="2:18" x14ac:dyDescent="0.2">
      <c r="I32" s="194">
        <f t="shared" si="1"/>
        <v>26</v>
      </c>
      <c r="J32" s="57" t="s">
        <v>374</v>
      </c>
      <c r="K32" s="57" t="s">
        <v>63</v>
      </c>
      <c r="L32" s="58" t="s">
        <v>397</v>
      </c>
      <c r="M32" s="18" t="str">
        <f>IF(Fuel_Veh[[#This Row],[Month]]&lt;&gt;"",VLOOKUP(Fuel_Veh[[#This Row],[Month]], dropdown!$S$4:$T$15, 2, FALSE),"")</f>
        <v>Q3</v>
      </c>
      <c r="N32" s="29">
        <f>1.12+62.18</f>
        <v>63.3</v>
      </c>
      <c r="O32" s="17" t="str">
        <f>IF($K32="","",VLOOKUP($K32,dropdown!$P$14:$Q$18,2,FALSE))</f>
        <v>Liters</v>
      </c>
      <c r="P32" s="29">
        <f>9+684</f>
        <v>693</v>
      </c>
      <c r="Q32" s="17" t="str">
        <f t="shared" si="0"/>
        <v>Kilometers</v>
      </c>
      <c r="R32" s="199"/>
    </row>
    <row r="33" spans="9:18" x14ac:dyDescent="0.2">
      <c r="I33" s="194">
        <f t="shared" si="1"/>
        <v>27</v>
      </c>
      <c r="J33" s="57" t="s">
        <v>381</v>
      </c>
      <c r="K33" s="57" t="s">
        <v>63</v>
      </c>
      <c r="L33" s="58" t="s">
        <v>397</v>
      </c>
      <c r="M33" s="18" t="str">
        <f>IF(Fuel_Veh[[#This Row],[Month]]&lt;&gt;"",VLOOKUP(Fuel_Veh[[#This Row],[Month]], dropdown!$S$4:$T$15, 2, FALSE),"")</f>
        <v>Q3</v>
      </c>
      <c r="N33" s="29">
        <f>38.87+51.81</f>
        <v>90.68</v>
      </c>
      <c r="O33" s="17" t="str">
        <f>IF($K33="","",VLOOKUP($K33,dropdown!$P$14:$Q$18,2,FALSE))</f>
        <v>Liters</v>
      </c>
      <c r="P33" s="29">
        <f>311+570</f>
        <v>881</v>
      </c>
      <c r="Q33" s="17" t="str">
        <f t="shared" si="0"/>
        <v>Kilometers</v>
      </c>
      <c r="R33" s="199"/>
    </row>
    <row r="34" spans="9:18" x14ac:dyDescent="0.2">
      <c r="I34" s="194">
        <f t="shared" si="1"/>
        <v>28</v>
      </c>
      <c r="J34" s="57" t="s">
        <v>343</v>
      </c>
      <c r="K34" s="57" t="s">
        <v>63</v>
      </c>
      <c r="L34" s="58" t="s">
        <v>400</v>
      </c>
      <c r="M34" s="18" t="str">
        <f>IF(Fuel_Veh[[#This Row],[Month]]&lt;&gt;"",VLOOKUP(Fuel_Veh[[#This Row],[Month]], dropdown!$S$4:$T$15, 2, FALSE),"")</f>
        <v>Q4</v>
      </c>
      <c r="N34" s="29">
        <f>46.46+6.66</f>
        <v>53.120000000000005</v>
      </c>
      <c r="O34" s="17" t="str">
        <f>IF($K34="","",VLOOKUP($K34,dropdown!$P$14:$Q$18,2,FALSE))</f>
        <v>Liters</v>
      </c>
      <c r="P34" s="29">
        <f>139.4+20</f>
        <v>159.4</v>
      </c>
      <c r="Q34" s="17" t="str">
        <f t="shared" si="0"/>
        <v>Kilometers</v>
      </c>
      <c r="R34" s="199"/>
    </row>
    <row r="35" spans="9:18" x14ac:dyDescent="0.2">
      <c r="I35" s="194">
        <f t="shared" si="1"/>
        <v>29</v>
      </c>
      <c r="J35" s="57" t="s">
        <v>374</v>
      </c>
      <c r="K35" s="57" t="s">
        <v>63</v>
      </c>
      <c r="L35" s="58" t="s">
        <v>400</v>
      </c>
      <c r="M35" s="18" t="str">
        <f>IF(Fuel_Veh[[#This Row],[Month]]&lt;&gt;"",VLOOKUP(Fuel_Veh[[#This Row],[Month]], dropdown!$S$4:$T$15, 2, FALSE),"")</f>
        <v>Q4</v>
      </c>
      <c r="N35" s="29">
        <v>85.27</v>
      </c>
      <c r="O35" s="17" t="str">
        <f>IF($K35="","",VLOOKUP($K35,dropdown!$P$14:$Q$18,2,FALSE))</f>
        <v>Liters</v>
      </c>
      <c r="P35" s="29">
        <v>0</v>
      </c>
      <c r="Q35" s="17" t="str">
        <f t="shared" si="0"/>
        <v>Kilometers</v>
      </c>
      <c r="R35" s="199"/>
    </row>
    <row r="36" spans="9:18" x14ac:dyDescent="0.2">
      <c r="I36" s="194">
        <f t="shared" si="1"/>
        <v>30</v>
      </c>
      <c r="J36" s="57" t="s">
        <v>381</v>
      </c>
      <c r="K36" s="57" t="s">
        <v>63</v>
      </c>
      <c r="L36" s="58" t="s">
        <v>400</v>
      </c>
      <c r="M36" s="18" t="str">
        <f>IF(Fuel_Veh[[#This Row],[Month]]&lt;&gt;"",VLOOKUP(Fuel_Veh[[#This Row],[Month]], dropdown!$S$4:$T$15, 2, FALSE),"")</f>
        <v>Q4</v>
      </c>
      <c r="N36" s="29">
        <f>195+835</f>
        <v>1030</v>
      </c>
      <c r="O36" s="17" t="str">
        <f>IF($K36="","",VLOOKUP($K36,dropdown!$P$14:$Q$18,2,FALSE))</f>
        <v>Liters</v>
      </c>
      <c r="P36" s="29">
        <f>24.37+75.9</f>
        <v>100.27000000000001</v>
      </c>
      <c r="Q36" s="17" t="str">
        <f t="shared" si="0"/>
        <v>Kilometers</v>
      </c>
      <c r="R36" s="199"/>
    </row>
    <row r="37" spans="9:18" x14ac:dyDescent="0.2">
      <c r="I37" s="194">
        <f t="shared" si="1"/>
        <v>31</v>
      </c>
      <c r="J37" s="57" t="s">
        <v>343</v>
      </c>
      <c r="K37" s="57" t="s">
        <v>63</v>
      </c>
      <c r="L37" s="58" t="s">
        <v>404</v>
      </c>
      <c r="M37" s="18" t="str">
        <f>IF(Fuel_Veh[[#This Row],[Month]]&lt;&gt;"",VLOOKUP(Fuel_Veh[[#This Row],[Month]], dropdown!$S$4:$T$15, 2, FALSE),"")</f>
        <v>Q4</v>
      </c>
      <c r="N37" s="29">
        <f>1.9+14.1</f>
        <v>16</v>
      </c>
      <c r="O37" s="17" t="str">
        <f>IF($K37="","",VLOOKUP($K37,dropdown!$P$14:$Q$18,2,FALSE))</f>
        <v>Liters</v>
      </c>
      <c r="P37" s="29">
        <f>5.7+42.3</f>
        <v>48</v>
      </c>
      <c r="Q37" s="17" t="str">
        <f t="shared" si="0"/>
        <v>Kilometers</v>
      </c>
      <c r="R37" s="199"/>
    </row>
    <row r="38" spans="9:18" x14ac:dyDescent="0.2">
      <c r="I38" s="194">
        <f t="shared" si="1"/>
        <v>32</v>
      </c>
      <c r="J38" s="57" t="s">
        <v>374</v>
      </c>
      <c r="K38" s="57" t="s">
        <v>63</v>
      </c>
      <c r="L38" s="58" t="s">
        <v>404</v>
      </c>
      <c r="M38" s="18" t="str">
        <f>IF(Fuel_Veh[[#This Row],[Month]]&lt;&gt;"",VLOOKUP(Fuel_Veh[[#This Row],[Month]], dropdown!$S$4:$T$15, 2, FALSE),"")</f>
        <v>Q4</v>
      </c>
      <c r="N38" s="29">
        <v>213.54</v>
      </c>
      <c r="O38" s="17" t="str">
        <f>IF($K38="","",VLOOKUP($K38,dropdown!$P$14:$Q$18,2,FALSE))</f>
        <v>Liters</v>
      </c>
      <c r="P38" s="29">
        <v>2349</v>
      </c>
      <c r="Q38" s="17" t="str">
        <f t="shared" si="0"/>
        <v>Kilometers</v>
      </c>
      <c r="R38" s="199"/>
    </row>
    <row r="39" spans="9:18" x14ac:dyDescent="0.2">
      <c r="I39" s="194">
        <f t="shared" si="1"/>
        <v>33</v>
      </c>
      <c r="J39" s="57" t="s">
        <v>381</v>
      </c>
      <c r="K39" s="57" t="s">
        <v>63</v>
      </c>
      <c r="L39" s="58" t="s">
        <v>404</v>
      </c>
      <c r="M39" s="18" t="str">
        <f>IF(Fuel_Veh[[#This Row],[Month]]&lt;&gt;"",VLOOKUP(Fuel_Veh[[#This Row],[Month]], dropdown!$S$4:$T$15, 2, FALSE),"")</f>
        <v>Q4</v>
      </c>
      <c r="N39" s="29">
        <f>39.75+2.27</f>
        <v>42.02</v>
      </c>
      <c r="O39" s="17" t="str">
        <f>IF($K39="","",VLOOKUP($K39,dropdown!$P$14:$Q$18,2,FALSE))</f>
        <v>Liters</v>
      </c>
      <c r="P39" s="29">
        <f>318+25</f>
        <v>343</v>
      </c>
      <c r="Q39" s="17" t="str">
        <f t="shared" si="0"/>
        <v>Kilometers</v>
      </c>
      <c r="R39" s="199"/>
    </row>
    <row r="40" spans="9:18" x14ac:dyDescent="0.2">
      <c r="I40" s="194">
        <f t="shared" si="1"/>
        <v>34</v>
      </c>
      <c r="J40" s="57" t="s">
        <v>343</v>
      </c>
      <c r="K40" s="57" t="s">
        <v>63</v>
      </c>
      <c r="L40" s="58" t="s">
        <v>407</v>
      </c>
      <c r="M40" s="18" t="str">
        <f>IF(Fuel_Veh[[#This Row],[Month]]&lt;&gt;"",VLOOKUP(Fuel_Veh[[#This Row],[Month]], dropdown!$S$4:$T$15, 2, FALSE),"")</f>
        <v>Q4</v>
      </c>
      <c r="N40" s="29">
        <f>16.77+23.6</f>
        <v>40.370000000000005</v>
      </c>
      <c r="O40" s="17" t="str">
        <f>IF($K40="","",VLOOKUP($K40,dropdown!$P$14:$Q$18,2,FALSE))</f>
        <v>Liters</v>
      </c>
      <c r="P40" s="29">
        <f>150.9+70.8</f>
        <v>221.7</v>
      </c>
      <c r="Q40" s="17" t="str">
        <f t="shared" si="0"/>
        <v>Kilometers</v>
      </c>
      <c r="R40" s="199"/>
    </row>
    <row r="41" spans="9:18" x14ac:dyDescent="0.2">
      <c r="I41" s="194">
        <f t="shared" si="1"/>
        <v>35</v>
      </c>
      <c r="J41" s="57" t="s">
        <v>374</v>
      </c>
      <c r="K41" s="57" t="s">
        <v>63</v>
      </c>
      <c r="L41" s="58" t="s">
        <v>407</v>
      </c>
      <c r="M41" s="18" t="str">
        <f>IF(Fuel_Veh[[#This Row],[Month]]&lt;&gt;"",VLOOKUP(Fuel_Veh[[#This Row],[Month]], dropdown!$S$4:$T$15, 2, FALSE),"")</f>
        <v>Q4</v>
      </c>
      <c r="N41" s="29">
        <v>48.18</v>
      </c>
      <c r="O41" s="17" t="str">
        <f>IF($K41="","",VLOOKUP($K41,dropdown!$P$14:$Q$18,2,FALSE))</f>
        <v>Liters</v>
      </c>
      <c r="P41" s="29">
        <v>530</v>
      </c>
      <c r="Q41" s="17" t="str">
        <f t="shared" si="0"/>
        <v>Kilometers</v>
      </c>
      <c r="R41" s="199"/>
    </row>
    <row r="42" spans="9:18" x14ac:dyDescent="0.2">
      <c r="I42" s="194">
        <f t="shared" si="1"/>
        <v>36</v>
      </c>
      <c r="J42" s="57" t="s">
        <v>381</v>
      </c>
      <c r="K42" s="57" t="s">
        <v>63</v>
      </c>
      <c r="L42" s="58" t="s">
        <v>407</v>
      </c>
      <c r="M42" s="18" t="str">
        <f>IF(Fuel_Veh[[#This Row],[Month]]&lt;&gt;"",VLOOKUP(Fuel_Veh[[#This Row],[Month]], dropdown!$S$4:$T$15, 2, FALSE),"")</f>
        <v>Q4</v>
      </c>
      <c r="N42" s="29">
        <f>29.5+6.64</f>
        <v>36.14</v>
      </c>
      <c r="O42" s="17" t="str">
        <f>IF($K42="","",VLOOKUP($K42,dropdown!$P$14:$Q$18,2,FALSE))</f>
        <v>Liters</v>
      </c>
      <c r="P42" s="29">
        <f>236+73</f>
        <v>309</v>
      </c>
      <c r="Q42" s="17" t="str">
        <f t="shared" si="0"/>
        <v>Kilometers</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R6:R106 N6:N12 N16:N106 P6:P12 P16:P106" name="Range1"/>
  </protectedRanges>
  <mergeCells count="2">
    <mergeCell ref="C6:G6"/>
    <mergeCell ref="C7:G7"/>
  </mergeCells>
  <conditionalFormatting sqref="K7:Q12 K19:Q106 K13:M18 O13:O18 Q13:Q18">
    <cfRule type="expression" dxfId="7" priority="1">
      <formula>$J7="BEV"</formula>
    </cfRule>
  </conditionalFormatting>
  <conditionalFormatting sqref="N16:N18 P16:P18">
    <cfRule type="expression" dxfId="6" priority="8">
      <formula>$J13="BEV"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G1" zoomScale="94" zoomScaleNormal="120" workbookViewId="0">
      <selection activeCell="N3" sqref="N3"/>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Cagayan De Oro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6"/>
      <c r="D7" s="447"/>
      <c r="E7" s="447"/>
      <c r="F7" s="447"/>
      <c r="G7" s="448"/>
      <c r="I7" s="418" t="s">
        <v>154</v>
      </c>
      <c r="J7" s="417"/>
      <c r="K7" s="415"/>
      <c r="L7" s="415"/>
      <c r="M7" s="415"/>
      <c r="N7" s="415"/>
      <c r="O7" s="449" t="s">
        <v>183</v>
      </c>
      <c r="P7" s="449"/>
      <c r="Q7" s="450" t="s">
        <v>184</v>
      </c>
      <c r="R7" s="451"/>
      <c r="S7" s="452" t="s">
        <v>86</v>
      </c>
      <c r="T7" s="453"/>
      <c r="U7" s="453"/>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t="str">
        <f>IF($K9="","",1)</f>
        <v/>
      </c>
      <c r="J9" s="434"/>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5" t="s">
        <v>192</v>
      </c>
      <c r="C22" s="457" t="s">
        <v>5</v>
      </c>
      <c r="D22" s="458"/>
      <c r="E22" s="457" t="s">
        <v>193</v>
      </c>
      <c r="F22" s="459"/>
      <c r="G22" s="459"/>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6"/>
      <c r="C23" s="457"/>
      <c r="D23" s="458"/>
      <c r="E23" s="457"/>
      <c r="F23" s="459"/>
      <c r="G23" s="459"/>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4" t="s">
        <v>194</v>
      </c>
      <c r="C24" s="454" t="s">
        <v>195</v>
      </c>
      <c r="D24" s="454"/>
      <c r="E24" s="454" t="s">
        <v>196</v>
      </c>
      <c r="F24" s="454"/>
      <c r="G24" s="454"/>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4"/>
      <c r="C25" s="454"/>
      <c r="D25" s="454"/>
      <c r="E25" s="454"/>
      <c r="F25" s="454"/>
      <c r="G25" s="454"/>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197</v>
      </c>
      <c r="C26" s="454" t="s">
        <v>198</v>
      </c>
      <c r="D26" s="454"/>
      <c r="E26" s="454" t="s">
        <v>199</v>
      </c>
      <c r="F26" s="454"/>
      <c r="G26" s="454"/>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200</v>
      </c>
      <c r="C28" s="454" t="s">
        <v>201</v>
      </c>
      <c r="D28" s="454"/>
      <c r="E28" s="454" t="s">
        <v>202</v>
      </c>
      <c r="F28" s="454"/>
      <c r="G28" s="454"/>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203</v>
      </c>
      <c r="C30" s="454" t="s">
        <v>204</v>
      </c>
      <c r="D30" s="454"/>
      <c r="E30" s="454" t="s">
        <v>205</v>
      </c>
      <c r="F30" s="454"/>
      <c r="G30" s="454"/>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G1" zoomScaleNormal="100" workbookViewId="0">
      <selection activeCell="J8" sqref="J8:J19"/>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Cagayan De Oro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c r="D6" s="447"/>
      <c r="E6" s="447"/>
      <c r="F6" s="447"/>
      <c r="G6" s="448"/>
    </row>
    <row r="7" spans="2:17" ht="12.75" customHeight="1" x14ac:dyDescent="0.2">
      <c r="B7" s="278" t="s">
        <v>174</v>
      </c>
      <c r="C7" s="446"/>
      <c r="D7" s="447"/>
      <c r="E7" s="447"/>
      <c r="F7" s="447"/>
      <c r="G7" s="448"/>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24888</v>
      </c>
      <c r="M8" s="47">
        <v>284473.43</v>
      </c>
      <c r="N8" s="165" t="s">
        <v>453</v>
      </c>
      <c r="O8" s="195"/>
      <c r="P8" s="48"/>
      <c r="Q8" s="20"/>
    </row>
    <row r="9" spans="2:17" x14ac:dyDescent="0.2">
      <c r="I9" s="194"/>
      <c r="J9" s="58" t="s">
        <v>89</v>
      </c>
      <c r="K9" s="426" t="str">
        <f>IF(Electricity[[#This Row],[Month]]&lt;&gt;"",VLOOKUP(Electricity[[#This Row],[Month]], dropdown!$S$4:$T$15, 2, FALSE),"")</f>
        <v>Q1</v>
      </c>
      <c r="L9" s="29">
        <v>25672</v>
      </c>
      <c r="M9" s="47">
        <v>290764.06</v>
      </c>
      <c r="N9" s="165" t="s">
        <v>453</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24592</v>
      </c>
      <c r="M10" s="47">
        <v>280511.57</v>
      </c>
      <c r="N10" s="165" t="s">
        <v>453</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26568</v>
      </c>
      <c r="M11" s="47">
        <v>301346.28999999998</v>
      </c>
      <c r="N11" s="165" t="s">
        <v>453</v>
      </c>
      <c r="O11" s="195"/>
      <c r="P11" s="48"/>
      <c r="Q11" s="20"/>
    </row>
    <row r="12" spans="2:17" x14ac:dyDescent="0.2">
      <c r="B12" s="17" t="s">
        <v>207</v>
      </c>
      <c r="C12" s="17" t="s">
        <v>208</v>
      </c>
      <c r="D12" s="41">
        <f>SUMIFS(Electricity[Consumption (kWh)],Electricity[Quarter],D$11)</f>
        <v>75152</v>
      </c>
      <c r="E12" s="41">
        <f>SUMIFS(Electricity[Consumption (kWh)],Electricity[Quarter],E$11)</f>
        <v>86256</v>
      </c>
      <c r="F12" s="41">
        <f>SUMIFS(Electricity[Consumption (kWh)],Electricity[Quarter],F$11)</f>
        <v>83480</v>
      </c>
      <c r="G12" s="41">
        <f>SUMIFS(Electricity[Consumption (kWh)],Electricity[Quarter],G$11)</f>
        <v>86976</v>
      </c>
      <c r="I12" s="194"/>
      <c r="J12" s="58" t="s">
        <v>379</v>
      </c>
      <c r="K12" s="426" t="str">
        <f>IF(Electricity[[#This Row],[Month]]&lt;&gt;"",VLOOKUP(Electricity[[#This Row],[Month]], dropdown!$S$4:$T$15, 2, FALSE),"")</f>
        <v>Q2</v>
      </c>
      <c r="L12" s="29">
        <v>31848</v>
      </c>
      <c r="M12" s="47">
        <v>365031.69</v>
      </c>
      <c r="N12" s="165" t="s">
        <v>453</v>
      </c>
      <c r="O12" s="195"/>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27840</v>
      </c>
      <c r="M13" s="47">
        <v>278138.86</v>
      </c>
      <c r="N13" s="165" t="s">
        <v>453</v>
      </c>
      <c r="O13" s="195"/>
      <c r="P13" s="48"/>
      <c r="Q13" s="20"/>
    </row>
    <row r="14" spans="2:17" x14ac:dyDescent="0.2">
      <c r="B14" s="119" t="s">
        <v>38</v>
      </c>
      <c r="D14" s="168"/>
      <c r="I14" s="194"/>
      <c r="J14" s="58" t="s">
        <v>390</v>
      </c>
      <c r="K14" s="426" t="str">
        <f>IF(Electricity[[#This Row],[Month]]&lt;&gt;"",VLOOKUP(Electricity[[#This Row],[Month]], dropdown!$S$4:$T$15, 2, FALSE),"")</f>
        <v>Q3</v>
      </c>
      <c r="L14" s="29">
        <v>27320</v>
      </c>
      <c r="M14" s="47">
        <v>332275.01</v>
      </c>
      <c r="N14" s="165" t="s">
        <v>453</v>
      </c>
      <c r="O14" s="195"/>
      <c r="P14" s="48"/>
      <c r="Q14" s="20"/>
    </row>
    <row r="15" spans="2:17" x14ac:dyDescent="0.2">
      <c r="B15" s="120" t="s">
        <v>175</v>
      </c>
      <c r="D15" s="168"/>
      <c r="I15" s="194"/>
      <c r="J15" s="58" t="s">
        <v>41</v>
      </c>
      <c r="K15" s="426" t="str">
        <f>IF(Electricity[[#This Row],[Month]]&lt;&gt;"",VLOOKUP(Electricity[[#This Row],[Month]], dropdown!$S$4:$T$15, 2, FALSE),"")</f>
        <v>Q3</v>
      </c>
      <c r="L15" s="29">
        <v>29200</v>
      </c>
      <c r="M15" s="47">
        <v>350511.39</v>
      </c>
      <c r="N15" s="165" t="s">
        <v>453</v>
      </c>
      <c r="O15" s="195"/>
      <c r="P15" s="48"/>
      <c r="Q15" s="20"/>
    </row>
    <row r="16" spans="2:17" x14ac:dyDescent="0.2">
      <c r="B16" s="121" t="s">
        <v>176</v>
      </c>
      <c r="I16" s="194"/>
      <c r="J16" s="58" t="s">
        <v>397</v>
      </c>
      <c r="K16" s="426" t="str">
        <f>IF(Electricity[[#This Row],[Month]]&lt;&gt;"",VLOOKUP(Electricity[[#This Row],[Month]], dropdown!$S$4:$T$15, 2, FALSE),"")</f>
        <v>Q3</v>
      </c>
      <c r="L16" s="29">
        <v>26960</v>
      </c>
      <c r="M16" s="47">
        <v>321541.86</v>
      </c>
      <c r="N16" s="165" t="s">
        <v>453</v>
      </c>
      <c r="O16" s="195"/>
      <c r="P16" s="48"/>
      <c r="Q16" s="20"/>
    </row>
    <row r="17" spans="2:17" x14ac:dyDescent="0.2">
      <c r="B17" s="122" t="s">
        <v>177</v>
      </c>
      <c r="I17" s="194"/>
      <c r="J17" s="58" t="s">
        <v>400</v>
      </c>
      <c r="K17" s="426" t="str">
        <f>IF(Electricity[[#This Row],[Month]]&lt;&gt;"",VLOOKUP(Electricity[[#This Row],[Month]], dropdown!$S$4:$T$15, 2, FALSE),"")</f>
        <v>Q4</v>
      </c>
      <c r="L17" s="29">
        <v>29232</v>
      </c>
      <c r="M17" s="47">
        <v>335151.24</v>
      </c>
      <c r="N17" s="165" t="s">
        <v>453</v>
      </c>
      <c r="O17" s="195"/>
      <c r="P17" s="48"/>
      <c r="Q17" s="20"/>
    </row>
    <row r="18" spans="2:17" x14ac:dyDescent="0.2">
      <c r="I18" s="194">
        <f t="shared" ref="I18:I49" si="0">IF($L18="","",$I17+1)</f>
        <v>1</v>
      </c>
      <c r="J18" s="58" t="s">
        <v>404</v>
      </c>
      <c r="K18" s="426" t="str">
        <f>IF(Electricity[[#This Row],[Month]]&lt;&gt;"",VLOOKUP(Electricity[[#This Row],[Month]], dropdown!$S$4:$T$15, 2, FALSE),"")</f>
        <v>Q4</v>
      </c>
      <c r="L18" s="29">
        <v>30032</v>
      </c>
      <c r="M18" s="47">
        <v>335852.4</v>
      </c>
      <c r="N18" s="165" t="s">
        <v>453</v>
      </c>
      <c r="O18" s="195"/>
      <c r="P18" s="48"/>
      <c r="Q18" s="20"/>
    </row>
    <row r="19" spans="2:17" x14ac:dyDescent="0.2">
      <c r="I19" s="194">
        <f t="shared" si="0"/>
        <v>2</v>
      </c>
      <c r="J19" s="58" t="s">
        <v>407</v>
      </c>
      <c r="K19" s="426" t="str">
        <f>IF(Electricity[[#This Row],[Month]]&lt;&gt;"",VLOOKUP(Electricity[[#This Row],[Month]], dropdown!$S$4:$T$15, 2, FALSE),"")</f>
        <v>Q4</v>
      </c>
      <c r="L19" s="29">
        <v>27712</v>
      </c>
      <c r="M19" s="47">
        <v>302030.46999999997</v>
      </c>
      <c r="N19" s="165" t="s">
        <v>453</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Cagayan De Oro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6"/>
      <c r="D6" s="447"/>
      <c r="E6" s="447"/>
      <c r="F6" s="447"/>
      <c r="G6" s="448"/>
      <c r="I6" s="248" t="s">
        <v>173</v>
      </c>
      <c r="J6" s="249" t="s">
        <v>39</v>
      </c>
      <c r="K6" s="249" t="s">
        <v>43</v>
      </c>
      <c r="L6" s="250" t="s">
        <v>115</v>
      </c>
      <c r="M6" s="352" t="s">
        <v>212</v>
      </c>
      <c r="N6" s="253" t="s">
        <v>54</v>
      </c>
      <c r="O6" s="349"/>
    </row>
    <row r="7" spans="2:16" x14ac:dyDescent="0.2">
      <c r="B7" s="278" t="s">
        <v>174</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H1" zoomScale="90" zoomScaleNormal="90" workbookViewId="0">
      <selection activeCell="T20" sqref="T20"/>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Cagayan De Oro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6"/>
      <c r="D7" s="447"/>
      <c r="E7" s="447"/>
      <c r="F7" s="447"/>
      <c r="G7" s="448"/>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0.47</v>
      </c>
      <c r="N8" s="195"/>
      <c r="O8" s="44"/>
      <c r="P8" s="194">
        <f>IF($T8="","",1)</f>
        <v>1</v>
      </c>
      <c r="Q8" s="58" t="s">
        <v>338</v>
      </c>
      <c r="R8" s="18" t="str">
        <f>IF(water_out[[#This Row],[Month]]&lt;&gt;"",VLOOKUP(water_out[[#This Row],[Month]], dropdown!$S$4:$T$15, 2, FALSE),"")</f>
        <v>Q1</v>
      </c>
      <c r="S8" s="60" t="s">
        <v>364</v>
      </c>
      <c r="T8" s="29">
        <v>70</v>
      </c>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0.47</v>
      </c>
      <c r="N9" s="195"/>
      <c r="O9" s="44"/>
      <c r="P9" s="194">
        <f>IF($T9="","",$P8+1)</f>
        <v>2</v>
      </c>
      <c r="Q9" s="58" t="s">
        <v>89</v>
      </c>
      <c r="R9" s="18" t="str">
        <f>IF(water_out[[#This Row],[Month]]&lt;&gt;"",VLOOKUP(water_out[[#This Row],[Month]], dropdown!$S$4:$T$15, 2, FALSE),"")</f>
        <v>Q1</v>
      </c>
      <c r="S9" s="60" t="s">
        <v>364</v>
      </c>
      <c r="T9" s="29">
        <v>80</v>
      </c>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0.47</v>
      </c>
      <c r="N10" s="195"/>
      <c r="O10" s="44"/>
      <c r="P10" s="194">
        <f t="shared" ref="P10:P73" si="1">IF($T10="","",$P9+1)</f>
        <v>3</v>
      </c>
      <c r="Q10" s="58" t="s">
        <v>362</v>
      </c>
      <c r="R10" s="18" t="str">
        <f>IF(water_out[[#This Row],[Month]]&lt;&gt;"",VLOOKUP(water_out[[#This Row],[Month]], dropdown!$S$4:$T$15, 2, FALSE),"")</f>
        <v>Q1</v>
      </c>
      <c r="S10" s="60" t="s">
        <v>364</v>
      </c>
      <c r="T10" s="29">
        <v>97</v>
      </c>
      <c r="U10" s="195"/>
      <c r="W10" s="20"/>
    </row>
    <row r="11" spans="2:23" ht="14" x14ac:dyDescent="0.2">
      <c r="B11" s="17" t="s">
        <v>120</v>
      </c>
      <c r="C11" s="17" t="s">
        <v>220</v>
      </c>
      <c r="D11" s="41">
        <f>SUMIFS(water_in[Volume (m3)],water_in[Quarter],D$10)</f>
        <v>1.41</v>
      </c>
      <c r="E11" s="41">
        <f>SUMIFS(water_in[Volume (m3)],water_in[Quarter],E$10)</f>
        <v>1.41</v>
      </c>
      <c r="F11" s="41">
        <f>SUMIFS(water_in[Volume (m3)],water_in[Quarter],F$10)</f>
        <v>1.41</v>
      </c>
      <c r="G11" s="41">
        <f>SUMIFS(water_in[Volume (m3)],water_in[Quarter],G$10)</f>
        <v>1.41</v>
      </c>
      <c r="I11" s="194">
        <f t="shared" si="0"/>
        <v>4</v>
      </c>
      <c r="J11" s="58" t="s">
        <v>371</v>
      </c>
      <c r="K11" s="426" t="str">
        <f>IF(water_in[[#This Row],[Month]]&lt;&gt;"",VLOOKUP(water_in[[#This Row],[Month]], dropdown!$S$4:$T$15, 2, FALSE),"")</f>
        <v>Q2</v>
      </c>
      <c r="L11" s="58" t="s">
        <v>124</v>
      </c>
      <c r="M11" s="29">
        <v>0.47</v>
      </c>
      <c r="N11" s="195"/>
      <c r="O11" s="44"/>
      <c r="P11" s="194">
        <f t="shared" si="1"/>
        <v>4</v>
      </c>
      <c r="Q11" s="58" t="s">
        <v>371</v>
      </c>
      <c r="R11" s="18" t="str">
        <f>IF(water_out[[#This Row],[Month]]&lt;&gt;"",VLOOKUP(water_out[[#This Row],[Month]], dropdown!$S$4:$T$15, 2, FALSE),"")</f>
        <v>Q2</v>
      </c>
      <c r="S11" s="60" t="s">
        <v>364</v>
      </c>
      <c r="T11" s="29">
        <v>54</v>
      </c>
      <c r="U11" s="195"/>
      <c r="W11" s="20"/>
    </row>
    <row r="12" spans="2:23" ht="14" x14ac:dyDescent="0.2">
      <c r="B12" s="17" t="s">
        <v>128</v>
      </c>
      <c r="C12" s="17" t="s">
        <v>220</v>
      </c>
      <c r="D12" s="41">
        <f>SUMIFS(water_out[Volume2 (m3)],water_out[Quarter],D$10)</f>
        <v>247</v>
      </c>
      <c r="E12" s="41">
        <f>SUMIFS(water_out[Volume2 (m3)],water_out[Quarter],E$10)</f>
        <v>266</v>
      </c>
      <c r="F12" s="41">
        <f>SUMIFS(water_out[Volume2 (m3)],water_out[Quarter],F$10)</f>
        <v>261</v>
      </c>
      <c r="G12" s="41">
        <f>SUMIFS(water_out[Volume2 (m3)],water_out[Quarter],G$10)</f>
        <v>263</v>
      </c>
      <c r="I12" s="194">
        <f t="shared" si="0"/>
        <v>5</v>
      </c>
      <c r="J12" s="58" t="s">
        <v>379</v>
      </c>
      <c r="K12" s="426" t="str">
        <f>IF(water_in[[#This Row],[Month]]&lt;&gt;"",VLOOKUP(water_in[[#This Row],[Month]], dropdown!$S$4:$T$15, 2, FALSE),"")</f>
        <v>Q2</v>
      </c>
      <c r="L12" s="58" t="s">
        <v>124</v>
      </c>
      <c r="M12" s="29">
        <v>0.47</v>
      </c>
      <c r="N12" s="195"/>
      <c r="O12" s="44" t="str">
        <f>IF(J12="","",VLOOKUP($J12,dropdown!$S$3:$T$15,2,FALSE))</f>
        <v>Q2</v>
      </c>
      <c r="P12" s="194">
        <f t="shared" si="1"/>
        <v>5</v>
      </c>
      <c r="Q12" s="58" t="s">
        <v>379</v>
      </c>
      <c r="R12" s="18" t="str">
        <f>IF(water_out[[#This Row],[Month]]&lt;&gt;"",VLOOKUP(water_out[[#This Row],[Month]], dropdown!$S$4:$T$15, 2, FALSE),"")</f>
        <v>Q2</v>
      </c>
      <c r="S12" s="60" t="s">
        <v>364</v>
      </c>
      <c r="T12" s="29">
        <v>119</v>
      </c>
      <c r="U12" s="195"/>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0.47</v>
      </c>
      <c r="N13" s="195"/>
      <c r="O13" s="44" t="str">
        <f>IF(J13="","",VLOOKUP($J13,dropdown!$S$3:$T$15,2,FALSE))</f>
        <v>Q2</v>
      </c>
      <c r="P13" s="194">
        <f t="shared" si="1"/>
        <v>6</v>
      </c>
      <c r="Q13" s="58" t="s">
        <v>386</v>
      </c>
      <c r="R13" s="18" t="str">
        <f>IF(water_out[[#This Row],[Month]]&lt;&gt;"",VLOOKUP(water_out[[#This Row],[Month]], dropdown!$S$4:$T$15, 2, FALSE),"")</f>
        <v>Q2</v>
      </c>
      <c r="S13" s="60" t="s">
        <v>364</v>
      </c>
      <c r="T13" s="29">
        <v>93</v>
      </c>
      <c r="U13" s="195"/>
      <c r="W13" s="20"/>
    </row>
    <row r="14" spans="2:23" ht="14" x14ac:dyDescent="0.2">
      <c r="B14" s="119" t="s">
        <v>38</v>
      </c>
      <c r="I14" s="194">
        <f t="shared" si="0"/>
        <v>7</v>
      </c>
      <c r="J14" s="58" t="s">
        <v>390</v>
      </c>
      <c r="K14" s="426" t="str">
        <f>IF(water_in[[#This Row],[Month]]&lt;&gt;"",VLOOKUP(water_in[[#This Row],[Month]], dropdown!$S$4:$T$15, 2, FALSE),"")</f>
        <v>Q3</v>
      </c>
      <c r="L14" s="58" t="s">
        <v>124</v>
      </c>
      <c r="M14" s="29">
        <v>0.47</v>
      </c>
      <c r="N14" s="195"/>
      <c r="O14" s="44" t="str">
        <f>IF(J14="","",VLOOKUP($J14,dropdown!$S$3:$T$15,2,FALSE))</f>
        <v>Q3</v>
      </c>
      <c r="P14" s="194">
        <f t="shared" si="1"/>
        <v>7</v>
      </c>
      <c r="Q14" s="58" t="s">
        <v>390</v>
      </c>
      <c r="R14" s="18" t="str">
        <f>IF(water_out[[#This Row],[Month]]&lt;&gt;"",VLOOKUP(water_out[[#This Row],[Month]], dropdown!$S$4:$T$15, 2, FALSE),"")</f>
        <v>Q3</v>
      </c>
      <c r="S14" s="60" t="s">
        <v>364</v>
      </c>
      <c r="T14" s="29">
        <v>79</v>
      </c>
      <c r="U14" s="195"/>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0.47</v>
      </c>
      <c r="N15" s="195"/>
      <c r="O15" s="44" t="str">
        <f>IF(J15="","",VLOOKUP($J15,dropdown!$S$3:$T$15,2,FALSE))</f>
        <v>Q3</v>
      </c>
      <c r="P15" s="194">
        <f t="shared" si="1"/>
        <v>8</v>
      </c>
      <c r="Q15" s="58" t="s">
        <v>41</v>
      </c>
      <c r="R15" s="18" t="str">
        <f>IF(water_out[[#This Row],[Month]]&lt;&gt;"",VLOOKUP(water_out[[#This Row],[Month]], dropdown!$S$4:$T$15, 2, FALSE),"")</f>
        <v>Q3</v>
      </c>
      <c r="S15" s="60" t="s">
        <v>364</v>
      </c>
      <c r="T15" s="29">
        <v>106</v>
      </c>
      <c r="U15" s="195"/>
      <c r="W15" s="20"/>
    </row>
    <row r="16" spans="2:23" ht="14" x14ac:dyDescent="0.2">
      <c r="B16" s="121" t="s">
        <v>176</v>
      </c>
      <c r="I16" s="194">
        <f t="shared" si="0"/>
        <v>9</v>
      </c>
      <c r="J16" s="58" t="s">
        <v>397</v>
      </c>
      <c r="K16" s="426" t="str">
        <f>IF(water_in[[#This Row],[Month]]&lt;&gt;"",VLOOKUP(water_in[[#This Row],[Month]], dropdown!$S$4:$T$15, 2, FALSE),"")</f>
        <v>Q3</v>
      </c>
      <c r="L16" s="58" t="s">
        <v>124</v>
      </c>
      <c r="M16" s="29">
        <v>0.47</v>
      </c>
      <c r="N16" s="195"/>
      <c r="O16" s="44" t="str">
        <f>IF(J16="","",VLOOKUP($J16,dropdown!$S$3:$T$15,2,FALSE))</f>
        <v>Q3</v>
      </c>
      <c r="P16" s="194">
        <f t="shared" si="1"/>
        <v>9</v>
      </c>
      <c r="Q16" s="58" t="s">
        <v>397</v>
      </c>
      <c r="R16" s="18" t="str">
        <f>IF(water_out[[#This Row],[Month]]&lt;&gt;"",VLOOKUP(water_out[[#This Row],[Month]], dropdown!$S$4:$T$15, 2, FALSE),"")</f>
        <v>Q3</v>
      </c>
      <c r="S16" s="60" t="s">
        <v>364</v>
      </c>
      <c r="T16" s="29">
        <v>76</v>
      </c>
      <c r="U16" s="195"/>
      <c r="W16" s="20"/>
    </row>
    <row r="17" spans="2:23" ht="14" x14ac:dyDescent="0.2">
      <c r="B17" s="122" t="s">
        <v>177</v>
      </c>
      <c r="I17" s="194">
        <f t="shared" si="0"/>
        <v>10</v>
      </c>
      <c r="J17" s="58" t="s">
        <v>400</v>
      </c>
      <c r="K17" s="426" t="str">
        <f>IF(water_in[[#This Row],[Month]]&lt;&gt;"",VLOOKUP(water_in[[#This Row],[Month]], dropdown!$S$4:$T$15, 2, FALSE),"")</f>
        <v>Q4</v>
      </c>
      <c r="L17" s="58" t="s">
        <v>124</v>
      </c>
      <c r="M17" s="29">
        <v>0.47</v>
      </c>
      <c r="N17" s="195"/>
      <c r="O17" s="44" t="str">
        <f>IF(J17="","",VLOOKUP($J17,dropdown!$S$3:$T$15,2,FALSE))</f>
        <v>Q4</v>
      </c>
      <c r="P17" s="194">
        <f t="shared" si="1"/>
        <v>10</v>
      </c>
      <c r="Q17" s="58" t="s">
        <v>400</v>
      </c>
      <c r="R17" s="18" t="str">
        <f>IF(water_out[[#This Row],[Month]]&lt;&gt;"",VLOOKUP(water_out[[#This Row],[Month]], dropdown!$S$4:$T$15, 2, FALSE),"")</f>
        <v>Q4</v>
      </c>
      <c r="S17" s="60" t="s">
        <v>364</v>
      </c>
      <c r="T17" s="29">
        <v>93</v>
      </c>
      <c r="U17" s="195"/>
      <c r="V17" s="44" t="s">
        <v>43</v>
      </c>
      <c r="W17" s="20"/>
    </row>
    <row r="18" spans="2:23" ht="14" x14ac:dyDescent="0.2">
      <c r="I18" s="194">
        <f t="shared" si="0"/>
        <v>11</v>
      </c>
      <c r="J18" s="58" t="s">
        <v>404</v>
      </c>
      <c r="K18" s="426" t="str">
        <f>IF(water_in[[#This Row],[Month]]&lt;&gt;"",VLOOKUP(water_in[[#This Row],[Month]], dropdown!$S$4:$T$15, 2, FALSE),"")</f>
        <v>Q4</v>
      </c>
      <c r="L18" s="58" t="s">
        <v>124</v>
      </c>
      <c r="M18" s="29">
        <v>0.47</v>
      </c>
      <c r="N18" s="195"/>
      <c r="O18" s="44" t="str">
        <f>IF(J18="","",VLOOKUP($J18,dropdown!$S$3:$T$15,2,FALSE))</f>
        <v>Q4</v>
      </c>
      <c r="P18" s="194">
        <f t="shared" si="1"/>
        <v>11</v>
      </c>
      <c r="Q18" s="58" t="s">
        <v>404</v>
      </c>
      <c r="R18" s="18" t="str">
        <f>IF(water_out[[#This Row],[Month]]&lt;&gt;"",VLOOKUP(water_out[[#This Row],[Month]], dropdown!$S$4:$T$15, 2, FALSE),"")</f>
        <v>Q4</v>
      </c>
      <c r="S18" s="60" t="s">
        <v>364</v>
      </c>
      <c r="T18" s="29">
        <v>99</v>
      </c>
      <c r="U18" s="195"/>
      <c r="V18" s="44" t="str">
        <f>IF(Q8="","",VLOOKUP($Q8,dropdown!$S$3:$T$15,2,FALSE))</f>
        <v>Q1</v>
      </c>
      <c r="W18" s="20"/>
    </row>
    <row r="19" spans="2:23" ht="14" x14ac:dyDescent="0.2">
      <c r="I19" s="194">
        <f t="shared" si="0"/>
        <v>12</v>
      </c>
      <c r="J19" s="58" t="s">
        <v>407</v>
      </c>
      <c r="K19" s="426" t="str">
        <f>IF(water_in[[#This Row],[Month]]&lt;&gt;"",VLOOKUP(water_in[[#This Row],[Month]], dropdown!$S$4:$T$15, 2, FALSE),"")</f>
        <v>Q4</v>
      </c>
      <c r="L19" s="58" t="s">
        <v>124</v>
      </c>
      <c r="M19" s="29">
        <v>0.47</v>
      </c>
      <c r="N19" s="195"/>
      <c r="O19" s="44" t="str">
        <f>IF(J19="","",VLOOKUP($J19,dropdown!$S$3:$T$15,2,FALSE))</f>
        <v>Q4</v>
      </c>
      <c r="P19" s="194">
        <f t="shared" si="1"/>
        <v>12</v>
      </c>
      <c r="Q19" s="58" t="s">
        <v>407</v>
      </c>
      <c r="R19" s="18" t="str">
        <f>IF(water_out[[#This Row],[Month]]&lt;&gt;"",VLOOKUP(water_out[[#This Row],[Month]], dropdown!$S$4:$T$15, 2, FALSE),"")</f>
        <v>Q4</v>
      </c>
      <c r="S19" s="60" t="s">
        <v>364</v>
      </c>
      <c r="T19" s="29">
        <v>71</v>
      </c>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Cagayan De Oro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D1" zoomScaleNormal="100" workbookViewId="0">
      <selection activeCell="O31" sqref="O31:O87"/>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Cagayan De Oro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t="s">
        <v>1431</v>
      </c>
      <c r="D6" s="447"/>
      <c r="E6" s="447"/>
      <c r="F6" s="447"/>
      <c r="G6" s="448"/>
      <c r="I6" s="409" t="s">
        <v>282</v>
      </c>
      <c r="J6" s="407"/>
      <c r="K6" s="407"/>
      <c r="L6" s="407"/>
      <c r="M6" s="408"/>
      <c r="N6" s="407"/>
      <c r="O6" s="407"/>
      <c r="Q6" s="44"/>
    </row>
    <row r="7" spans="2:17" ht="25.5" customHeight="1" x14ac:dyDescent="0.2">
      <c r="B7" s="278" t="s">
        <v>174</v>
      </c>
      <c r="C7" s="460" t="s">
        <v>1432</v>
      </c>
      <c r="D7" s="447"/>
      <c r="E7" s="447"/>
      <c r="F7" s="447"/>
      <c r="G7" s="448"/>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139</v>
      </c>
      <c r="M8" s="29">
        <v>60</v>
      </c>
      <c r="N8" s="57" t="s">
        <v>313</v>
      </c>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139</v>
      </c>
      <c r="M9" s="29">
        <v>60</v>
      </c>
      <c r="N9" s="57" t="s">
        <v>313</v>
      </c>
      <c r="O9" s="195"/>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139</v>
      </c>
      <c r="M10" s="29">
        <v>60</v>
      </c>
      <c r="N10" s="57" t="s">
        <v>313</v>
      </c>
      <c r="O10" s="195"/>
      <c r="Q10" s="44"/>
    </row>
    <row r="11" spans="2:17" x14ac:dyDescent="0.2">
      <c r="B11" s="17" t="str">
        <f>dropdown!$B4</f>
        <v>Compostable</v>
      </c>
      <c r="C11" s="17" t="s">
        <v>283</v>
      </c>
      <c r="D11" s="41">
        <f>SUMIFS(Waste[Weight (kg)],Waste[Quarter],D$10,Waste[Waste Composition],$B$11)</f>
        <v>180</v>
      </c>
      <c r="E11" s="41">
        <f>SUMIFS(Waste[Weight (kg)],Waste[Quarter],E$10,Waste[Waste Composition],$B11)</f>
        <v>180</v>
      </c>
      <c r="F11" s="41">
        <f>SUMIFS(Waste[Weight (kg)],Waste[Quarter],F$10,Waste[Waste Composition],$B11)</f>
        <v>180</v>
      </c>
      <c r="G11" s="41">
        <f>SUMIFS(Waste[Weight (kg)],Waste[Quarter],G$10,Waste[Waste Composition],$B11)</f>
        <v>180</v>
      </c>
      <c r="I11" s="194">
        <f t="shared" si="0"/>
        <v>4</v>
      </c>
      <c r="J11" s="58" t="s">
        <v>371</v>
      </c>
      <c r="K11" s="194" t="str">
        <f>IF(Waste[[#This Row],[Month]]&lt;&gt;"",VLOOKUP(Waste[[#This Row],[Month]], dropdown!$S$4:$T$15, 2, FALSE),"")</f>
        <v>Q2</v>
      </c>
      <c r="L11" s="57" t="s">
        <v>139</v>
      </c>
      <c r="M11" s="29">
        <v>60</v>
      </c>
      <c r="N11" s="57" t="s">
        <v>313</v>
      </c>
      <c r="O11" s="195"/>
      <c r="Q11" s="44"/>
    </row>
    <row r="12" spans="2:17" x14ac:dyDescent="0.2">
      <c r="B12" s="17" t="str">
        <f>dropdown!$B5</f>
        <v>Recyclable</v>
      </c>
      <c r="C12" s="17" t="s">
        <v>283</v>
      </c>
      <c r="D12" s="41">
        <f>SUMIFS(Waste[Weight (kg)],Waste[Quarter],D$10,Waste[Waste Composition],$B12)</f>
        <v>120</v>
      </c>
      <c r="E12" s="41">
        <f>SUMIFS(Waste[Weight (kg)],Waste[Quarter],E$10,Waste[Waste Composition],$B12)</f>
        <v>120</v>
      </c>
      <c r="F12" s="41">
        <f>SUMIFS(Waste[Weight (kg)],Waste[Quarter],F$10,Waste[Waste Composition],$B12)</f>
        <v>120</v>
      </c>
      <c r="G12" s="41">
        <f>SUMIFS(Waste[Weight (kg)],Waste[Quarter],G$10,Waste[Waste Composition],$B12)</f>
        <v>120</v>
      </c>
      <c r="I12" s="194">
        <f t="shared" si="0"/>
        <v>5</v>
      </c>
      <c r="J12" s="58" t="s">
        <v>379</v>
      </c>
      <c r="K12" s="194" t="str">
        <f>IF(Waste[[#This Row],[Month]]&lt;&gt;"",VLOOKUP(Waste[[#This Row],[Month]], dropdown!$S$4:$T$15, 2, FALSE),"")</f>
        <v>Q2</v>
      </c>
      <c r="L12" s="57" t="s">
        <v>139</v>
      </c>
      <c r="M12" s="29">
        <v>60</v>
      </c>
      <c r="N12" s="57" t="s">
        <v>313</v>
      </c>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139</v>
      </c>
      <c r="M13" s="29">
        <v>60</v>
      </c>
      <c r="N13" s="57" t="s">
        <v>313</v>
      </c>
      <c r="O13" s="195"/>
    </row>
    <row r="14" spans="2:17" ht="14" customHeight="1" x14ac:dyDescent="0.2">
      <c r="B14" s="17" t="str">
        <f>dropdown!$B7</f>
        <v>Security</v>
      </c>
      <c r="C14" s="17" t="s">
        <v>283</v>
      </c>
      <c r="D14" s="41">
        <f>SUMIFS(Waste[Weight (kg)],Waste[Quarter],D$10,Waste[Waste Composition],$B14)</f>
        <v>20600</v>
      </c>
      <c r="E14" s="41">
        <f>SUMIFS(Waste[Weight (kg)],Waste[Quarter],E$10,Waste[Waste Composition],$B14)</f>
        <v>14200</v>
      </c>
      <c r="F14" s="41">
        <f>SUMIFS(Waste[Weight (kg)],Waste[Quarter],F$10,Waste[Waste Composition],$B14)</f>
        <v>16000</v>
      </c>
      <c r="G14" s="41">
        <f>SUMIFS(Waste[Weight (kg)],Waste[Quarter],G$10,Waste[Waste Composition],$B14)</f>
        <v>21800</v>
      </c>
      <c r="I14" s="194">
        <f t="shared" si="0"/>
        <v>7</v>
      </c>
      <c r="J14" s="58" t="s">
        <v>390</v>
      </c>
      <c r="K14" s="194" t="str">
        <f>IF(Waste[[#This Row],[Month]]&lt;&gt;"",VLOOKUP(Waste[[#This Row],[Month]], dropdown!$S$4:$T$15, 2, FALSE),"")</f>
        <v>Q3</v>
      </c>
      <c r="L14" s="57" t="s">
        <v>139</v>
      </c>
      <c r="M14" s="29">
        <v>60</v>
      </c>
      <c r="N14" s="57" t="s">
        <v>313</v>
      </c>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1233.05</v>
      </c>
      <c r="G15" s="41">
        <f>SUMIFS(Waste[Weight (kg)],Waste[Quarter],G$10,Waste[Waste Composition],$B15)</f>
        <v>0</v>
      </c>
      <c r="I15" s="194">
        <f t="shared" si="0"/>
        <v>8</v>
      </c>
      <c r="J15" s="58" t="s">
        <v>41</v>
      </c>
      <c r="K15" s="194" t="str">
        <f>IF(Waste[[#This Row],[Month]]&lt;&gt;"",VLOOKUP(Waste[[#This Row],[Month]], dropdown!$S$4:$T$15, 2, FALSE),"")</f>
        <v>Q3</v>
      </c>
      <c r="L15" s="57" t="s">
        <v>139</v>
      </c>
      <c r="M15" s="29">
        <v>60</v>
      </c>
      <c r="N15" s="57" t="s">
        <v>313</v>
      </c>
      <c r="O15" s="195"/>
    </row>
    <row r="16" spans="2:17" x14ac:dyDescent="0.2">
      <c r="B16" s="17" t="str">
        <f>dropdown!$B9</f>
        <v>Residual/Landfill</v>
      </c>
      <c r="C16" s="17" t="s">
        <v>283</v>
      </c>
      <c r="D16" s="41">
        <f>SUMIFS(Waste[Weight (kg)],Waste[Quarter],D$10,Waste[Waste Composition],$B16)</f>
        <v>60</v>
      </c>
      <c r="E16" s="41">
        <f>SUMIFS(Waste[Weight (kg)],Waste[Quarter],E$10,Waste[Waste Composition],$B16)</f>
        <v>60</v>
      </c>
      <c r="F16" s="41">
        <f>SUMIFS(Waste[Weight (kg)],Waste[Quarter],F$10,Waste[Waste Composition],$B16)</f>
        <v>60</v>
      </c>
      <c r="G16" s="41">
        <f>SUMIFS(Waste[Weight (kg)],Waste[Quarter],G$10,Waste[Waste Composition],$B16)</f>
        <v>60</v>
      </c>
      <c r="I16" s="194">
        <f t="shared" si="0"/>
        <v>9</v>
      </c>
      <c r="J16" s="58" t="s">
        <v>397</v>
      </c>
      <c r="K16" s="194" t="str">
        <f>IF(Waste[[#This Row],[Month]]&lt;&gt;"",VLOOKUP(Waste[[#This Row],[Month]], dropdown!$S$4:$T$15, 2, FALSE),"")</f>
        <v>Q3</v>
      </c>
      <c r="L16" s="57" t="s">
        <v>139</v>
      </c>
      <c r="M16" s="29">
        <v>60</v>
      </c>
      <c r="N16" s="57" t="s">
        <v>313</v>
      </c>
      <c r="O16" s="195"/>
    </row>
    <row r="17" spans="2:15" x14ac:dyDescent="0.2">
      <c r="I17" s="194">
        <f t="shared" si="0"/>
        <v>10</v>
      </c>
      <c r="J17" s="58" t="s">
        <v>400</v>
      </c>
      <c r="K17" s="194" t="str">
        <f>IF(Waste[[#This Row],[Month]]&lt;&gt;"",VLOOKUP(Waste[[#This Row],[Month]], dropdown!$S$4:$T$15, 2, FALSE),"")</f>
        <v>Q4</v>
      </c>
      <c r="L17" s="57" t="s">
        <v>139</v>
      </c>
      <c r="M17" s="29">
        <v>60</v>
      </c>
      <c r="N17" s="57" t="s">
        <v>313</v>
      </c>
      <c r="O17" s="195"/>
    </row>
    <row r="18" spans="2:15" x14ac:dyDescent="0.2">
      <c r="B18" s="267" t="s">
        <v>38</v>
      </c>
      <c r="I18" s="194">
        <f t="shared" si="0"/>
        <v>11</v>
      </c>
      <c r="J18" s="58" t="s">
        <v>404</v>
      </c>
      <c r="K18" s="194" t="str">
        <f>IF(Waste[[#This Row],[Month]]&lt;&gt;"",VLOOKUP(Waste[[#This Row],[Month]], dropdown!$S$4:$T$15, 2, FALSE),"")</f>
        <v>Q4</v>
      </c>
      <c r="L18" s="57" t="s">
        <v>139</v>
      </c>
      <c r="M18" s="29">
        <v>60</v>
      </c>
      <c r="N18" s="57" t="s">
        <v>313</v>
      </c>
      <c r="O18" s="195"/>
    </row>
    <row r="19" spans="2:15" x14ac:dyDescent="0.2">
      <c r="B19" s="268" t="s">
        <v>175</v>
      </c>
      <c r="I19" s="194">
        <f t="shared" ref="I19" si="1">IF($J19="","",$I18+1)</f>
        <v>12</v>
      </c>
      <c r="J19" s="58" t="s">
        <v>407</v>
      </c>
      <c r="K19" s="194" t="str">
        <f>IF(Waste[[#This Row],[Month]]&lt;&gt;"",VLOOKUP(Waste[[#This Row],[Month]], dropdown!$S$4:$T$15, 2, FALSE),"")</f>
        <v>Q4</v>
      </c>
      <c r="L19" s="57" t="s">
        <v>139</v>
      </c>
      <c r="M19" s="29">
        <v>60</v>
      </c>
      <c r="N19" s="57" t="s">
        <v>313</v>
      </c>
      <c r="O19" s="195"/>
    </row>
    <row r="20" spans="2:15" x14ac:dyDescent="0.2">
      <c r="B20" s="266" t="s">
        <v>176</v>
      </c>
      <c r="I20" s="194">
        <f t="shared" si="0"/>
        <v>13</v>
      </c>
      <c r="J20" s="58" t="s">
        <v>338</v>
      </c>
      <c r="K20" s="194" t="str">
        <f>IF(Waste[[#This Row],[Month]]&lt;&gt;"",VLOOKUP(Waste[[#This Row],[Month]], dropdown!$S$4:$T$15, 2, FALSE),"")</f>
        <v>Q1</v>
      </c>
      <c r="L20" s="57" t="s">
        <v>318</v>
      </c>
      <c r="M20" s="29">
        <v>40</v>
      </c>
      <c r="N20" s="57" t="s">
        <v>313</v>
      </c>
      <c r="O20" s="195"/>
    </row>
    <row r="21" spans="2:15" x14ac:dyDescent="0.2">
      <c r="B21" s="17" t="s">
        <v>177</v>
      </c>
      <c r="I21" s="194">
        <f t="shared" si="0"/>
        <v>14</v>
      </c>
      <c r="J21" s="58" t="s">
        <v>89</v>
      </c>
      <c r="K21" s="194" t="str">
        <f>IF(Waste[[#This Row],[Month]]&lt;&gt;"",VLOOKUP(Waste[[#This Row],[Month]], dropdown!$S$4:$T$15, 2, FALSE),"")</f>
        <v>Q1</v>
      </c>
      <c r="L21" s="57" t="s">
        <v>318</v>
      </c>
      <c r="M21" s="29">
        <v>40</v>
      </c>
      <c r="N21" s="57" t="s">
        <v>313</v>
      </c>
      <c r="O21" s="195"/>
    </row>
    <row r="22" spans="2:15" x14ac:dyDescent="0.2">
      <c r="I22" s="194">
        <f t="shared" si="0"/>
        <v>15</v>
      </c>
      <c r="J22" s="58" t="s">
        <v>362</v>
      </c>
      <c r="K22" s="194" t="str">
        <f>IF(Waste[[#This Row],[Month]]&lt;&gt;"",VLOOKUP(Waste[[#This Row],[Month]], dropdown!$S$4:$T$15, 2, FALSE),"")</f>
        <v>Q1</v>
      </c>
      <c r="L22" s="57" t="s">
        <v>318</v>
      </c>
      <c r="M22" s="29">
        <v>40</v>
      </c>
      <c r="N22" s="57" t="s">
        <v>313</v>
      </c>
      <c r="O22" s="195"/>
    </row>
    <row r="23" spans="2:15" x14ac:dyDescent="0.2">
      <c r="I23" s="194">
        <f t="shared" si="0"/>
        <v>16</v>
      </c>
      <c r="J23" s="58" t="s">
        <v>371</v>
      </c>
      <c r="K23" s="194" t="str">
        <f>IF(Waste[[#This Row],[Month]]&lt;&gt;"",VLOOKUP(Waste[[#This Row],[Month]], dropdown!$S$4:$T$15, 2, FALSE),"")</f>
        <v>Q2</v>
      </c>
      <c r="L23" s="57" t="s">
        <v>318</v>
      </c>
      <c r="M23" s="29">
        <v>40</v>
      </c>
      <c r="N23" s="57" t="s">
        <v>313</v>
      </c>
      <c r="O23" s="195"/>
    </row>
    <row r="24" spans="2:15" x14ac:dyDescent="0.2">
      <c r="I24" s="194">
        <f t="shared" si="0"/>
        <v>17</v>
      </c>
      <c r="J24" s="58" t="s">
        <v>379</v>
      </c>
      <c r="K24" s="194" t="str">
        <f>IF(Waste[[#This Row],[Month]]&lt;&gt;"",VLOOKUP(Waste[[#This Row],[Month]], dropdown!$S$4:$T$15, 2, FALSE),"")</f>
        <v>Q2</v>
      </c>
      <c r="L24" s="57" t="s">
        <v>318</v>
      </c>
      <c r="M24" s="29">
        <v>40</v>
      </c>
      <c r="N24" s="57" t="s">
        <v>313</v>
      </c>
      <c r="O24" s="195"/>
    </row>
    <row r="25" spans="2:15" x14ac:dyDescent="0.2">
      <c r="I25" s="194">
        <f t="shared" si="0"/>
        <v>18</v>
      </c>
      <c r="J25" s="58" t="s">
        <v>386</v>
      </c>
      <c r="K25" s="194" t="str">
        <f>IF(Waste[[#This Row],[Month]]&lt;&gt;"",VLOOKUP(Waste[[#This Row],[Month]], dropdown!$S$4:$T$15, 2, FALSE),"")</f>
        <v>Q2</v>
      </c>
      <c r="L25" s="57" t="s">
        <v>318</v>
      </c>
      <c r="M25" s="29">
        <v>40</v>
      </c>
      <c r="N25" s="57" t="s">
        <v>313</v>
      </c>
      <c r="O25" s="195"/>
    </row>
    <row r="26" spans="2:15" x14ac:dyDescent="0.2">
      <c r="I26" s="194">
        <f t="shared" si="0"/>
        <v>19</v>
      </c>
      <c r="J26" s="58" t="s">
        <v>390</v>
      </c>
      <c r="K26" s="194" t="str">
        <f>IF(Waste[[#This Row],[Month]]&lt;&gt;"",VLOOKUP(Waste[[#This Row],[Month]], dropdown!$S$4:$T$15, 2, FALSE),"")</f>
        <v>Q3</v>
      </c>
      <c r="L26" s="57" t="s">
        <v>318</v>
      </c>
      <c r="M26" s="29">
        <v>40</v>
      </c>
      <c r="N26" s="57" t="s">
        <v>313</v>
      </c>
      <c r="O26" s="195"/>
    </row>
    <row r="27" spans="2:15" x14ac:dyDescent="0.2">
      <c r="I27" s="194">
        <f t="shared" si="0"/>
        <v>20</v>
      </c>
      <c r="J27" s="58" t="s">
        <v>41</v>
      </c>
      <c r="K27" s="194" t="str">
        <f>IF(Waste[[#This Row],[Month]]&lt;&gt;"",VLOOKUP(Waste[[#This Row],[Month]], dropdown!$S$4:$T$15, 2, FALSE),"")</f>
        <v>Q3</v>
      </c>
      <c r="L27" s="57" t="s">
        <v>318</v>
      </c>
      <c r="M27" s="29">
        <v>40</v>
      </c>
      <c r="N27" s="57" t="s">
        <v>313</v>
      </c>
      <c r="O27" s="195"/>
    </row>
    <row r="28" spans="2:15" x14ac:dyDescent="0.2">
      <c r="I28" s="194">
        <f t="shared" si="0"/>
        <v>21</v>
      </c>
      <c r="J28" s="58" t="s">
        <v>397</v>
      </c>
      <c r="K28" s="194" t="str">
        <f>IF(Waste[[#This Row],[Month]]&lt;&gt;"",VLOOKUP(Waste[[#This Row],[Month]], dropdown!$S$4:$T$15, 2, FALSE),"")</f>
        <v>Q3</v>
      </c>
      <c r="L28" s="57" t="s">
        <v>318</v>
      </c>
      <c r="M28" s="29">
        <v>40</v>
      </c>
      <c r="N28" s="57" t="s">
        <v>313</v>
      </c>
      <c r="O28" s="195"/>
    </row>
    <row r="29" spans="2:15" x14ac:dyDescent="0.2">
      <c r="I29" s="194">
        <f t="shared" si="0"/>
        <v>22</v>
      </c>
      <c r="J29" s="58" t="s">
        <v>400</v>
      </c>
      <c r="K29" s="194" t="str">
        <f>IF(Waste[[#This Row],[Month]]&lt;&gt;"",VLOOKUP(Waste[[#This Row],[Month]], dropdown!$S$4:$T$15, 2, FALSE),"")</f>
        <v>Q4</v>
      </c>
      <c r="L29" s="57" t="s">
        <v>318</v>
      </c>
      <c r="M29" s="29">
        <v>40</v>
      </c>
      <c r="N29" s="57" t="s">
        <v>313</v>
      </c>
      <c r="O29" s="195"/>
    </row>
    <row r="30" spans="2:15" x14ac:dyDescent="0.2">
      <c r="I30" s="194">
        <f t="shared" si="0"/>
        <v>23</v>
      </c>
      <c r="J30" s="58" t="s">
        <v>404</v>
      </c>
      <c r="K30" s="194" t="str">
        <f>IF(Waste[[#This Row],[Month]]&lt;&gt;"",VLOOKUP(Waste[[#This Row],[Month]], dropdown!$S$4:$T$15, 2, FALSE),"")</f>
        <v>Q4</v>
      </c>
      <c r="L30" s="57" t="s">
        <v>318</v>
      </c>
      <c r="M30" s="29">
        <v>40</v>
      </c>
      <c r="N30" s="57" t="s">
        <v>313</v>
      </c>
      <c r="O30" s="195"/>
    </row>
    <row r="31" spans="2:15" x14ac:dyDescent="0.2">
      <c r="I31" s="194">
        <f t="shared" si="0"/>
        <v>24</v>
      </c>
      <c r="J31" s="58" t="s">
        <v>407</v>
      </c>
      <c r="K31" s="194" t="str">
        <f>IF(Waste[[#This Row],[Month]]&lt;&gt;"",VLOOKUP(Waste[[#This Row],[Month]], dropdown!$S$4:$T$15, 2, FALSE),"")</f>
        <v>Q4</v>
      </c>
      <c r="L31" s="57" t="s">
        <v>318</v>
      </c>
      <c r="M31" s="29">
        <v>40</v>
      </c>
      <c r="N31" s="57" t="s">
        <v>313</v>
      </c>
      <c r="O31" s="195"/>
    </row>
    <row r="32" spans="2:15" x14ac:dyDescent="0.2">
      <c r="I32" s="194">
        <f t="shared" si="0"/>
        <v>25</v>
      </c>
      <c r="J32" s="58" t="s">
        <v>338</v>
      </c>
      <c r="K32" s="194" t="str">
        <f>IF(Waste[[#This Row],[Month]]&lt;&gt;"",VLOOKUP(Waste[[#This Row],[Month]], dropdown!$S$4:$T$15, 2, FALSE),"")</f>
        <v>Q1</v>
      </c>
      <c r="L32" s="57" t="s">
        <v>383</v>
      </c>
      <c r="M32" s="29">
        <v>20</v>
      </c>
      <c r="N32" s="57" t="s">
        <v>313</v>
      </c>
      <c r="O32" s="195"/>
    </row>
    <row r="33" spans="9:15" x14ac:dyDescent="0.2">
      <c r="I33" s="194">
        <f t="shared" si="0"/>
        <v>26</v>
      </c>
      <c r="J33" s="58" t="s">
        <v>89</v>
      </c>
      <c r="K33" s="194" t="str">
        <f>IF(Waste[[#This Row],[Month]]&lt;&gt;"",VLOOKUP(Waste[[#This Row],[Month]], dropdown!$S$4:$T$15, 2, FALSE),"")</f>
        <v>Q1</v>
      </c>
      <c r="L33" s="57" t="s">
        <v>383</v>
      </c>
      <c r="M33" s="29">
        <v>20</v>
      </c>
      <c r="N33" s="57" t="s">
        <v>313</v>
      </c>
      <c r="O33" s="195"/>
    </row>
    <row r="34" spans="9:15" x14ac:dyDescent="0.2">
      <c r="I34" s="194">
        <f t="shared" si="0"/>
        <v>27</v>
      </c>
      <c r="J34" s="58" t="s">
        <v>362</v>
      </c>
      <c r="K34" s="194" t="str">
        <f>IF(Waste[[#This Row],[Month]]&lt;&gt;"",VLOOKUP(Waste[[#This Row],[Month]], dropdown!$S$4:$T$15, 2, FALSE),"")</f>
        <v>Q1</v>
      </c>
      <c r="L34" s="57" t="s">
        <v>383</v>
      </c>
      <c r="M34" s="29">
        <v>20</v>
      </c>
      <c r="N34" s="57" t="s">
        <v>313</v>
      </c>
      <c r="O34" s="195"/>
    </row>
    <row r="35" spans="9:15" x14ac:dyDescent="0.2">
      <c r="I35" s="194">
        <f t="shared" si="0"/>
        <v>28</v>
      </c>
      <c r="J35" s="58" t="s">
        <v>371</v>
      </c>
      <c r="K35" s="194" t="str">
        <f>IF(Waste[[#This Row],[Month]]&lt;&gt;"",VLOOKUP(Waste[[#This Row],[Month]], dropdown!$S$4:$T$15, 2, FALSE),"")</f>
        <v>Q2</v>
      </c>
      <c r="L35" s="57" t="s">
        <v>383</v>
      </c>
      <c r="M35" s="29">
        <v>20</v>
      </c>
      <c r="N35" s="57" t="s">
        <v>313</v>
      </c>
      <c r="O35" s="195"/>
    </row>
    <row r="36" spans="9:15" x14ac:dyDescent="0.2">
      <c r="I36" s="194">
        <f t="shared" si="0"/>
        <v>29</v>
      </c>
      <c r="J36" s="58" t="s">
        <v>379</v>
      </c>
      <c r="K36" s="194" t="str">
        <f>IF(Waste[[#This Row],[Month]]&lt;&gt;"",VLOOKUP(Waste[[#This Row],[Month]], dropdown!$S$4:$T$15, 2, FALSE),"")</f>
        <v>Q2</v>
      </c>
      <c r="L36" s="57" t="s">
        <v>383</v>
      </c>
      <c r="M36" s="29">
        <v>20</v>
      </c>
      <c r="N36" s="57" t="s">
        <v>313</v>
      </c>
      <c r="O36" s="195"/>
    </row>
    <row r="37" spans="9:15" x14ac:dyDescent="0.2">
      <c r="I37" s="194">
        <f t="shared" si="0"/>
        <v>30</v>
      </c>
      <c r="J37" s="58" t="s">
        <v>386</v>
      </c>
      <c r="K37" s="194" t="str">
        <f>IF(Waste[[#This Row],[Month]]&lt;&gt;"",VLOOKUP(Waste[[#This Row],[Month]], dropdown!$S$4:$T$15, 2, FALSE),"")</f>
        <v>Q2</v>
      </c>
      <c r="L37" s="57" t="s">
        <v>383</v>
      </c>
      <c r="M37" s="29">
        <v>20</v>
      </c>
      <c r="N37" s="57" t="s">
        <v>313</v>
      </c>
      <c r="O37" s="195"/>
    </row>
    <row r="38" spans="9:15" x14ac:dyDescent="0.2">
      <c r="I38" s="194">
        <f t="shared" si="0"/>
        <v>31</v>
      </c>
      <c r="J38" s="58" t="s">
        <v>390</v>
      </c>
      <c r="K38" s="194" t="str">
        <f>IF(Waste[[#This Row],[Month]]&lt;&gt;"",VLOOKUP(Waste[[#This Row],[Month]], dropdown!$S$4:$T$15, 2, FALSE),"")</f>
        <v>Q3</v>
      </c>
      <c r="L38" s="57" t="s">
        <v>383</v>
      </c>
      <c r="M38" s="29">
        <v>20</v>
      </c>
      <c r="N38" s="57" t="s">
        <v>313</v>
      </c>
      <c r="O38" s="195"/>
    </row>
    <row r="39" spans="9:15" x14ac:dyDescent="0.2">
      <c r="I39" s="194">
        <f t="shared" si="0"/>
        <v>32</v>
      </c>
      <c r="J39" s="58" t="s">
        <v>41</v>
      </c>
      <c r="K39" s="194" t="str">
        <f>IF(Waste[[#This Row],[Month]]&lt;&gt;"",VLOOKUP(Waste[[#This Row],[Month]], dropdown!$S$4:$T$15, 2, FALSE),"")</f>
        <v>Q3</v>
      </c>
      <c r="L39" s="57" t="s">
        <v>383</v>
      </c>
      <c r="M39" s="29">
        <v>20</v>
      </c>
      <c r="N39" s="57" t="s">
        <v>313</v>
      </c>
      <c r="O39" s="195"/>
    </row>
    <row r="40" spans="9:15" x14ac:dyDescent="0.2">
      <c r="I40" s="194">
        <f t="shared" si="0"/>
        <v>33</v>
      </c>
      <c r="J40" s="58" t="s">
        <v>397</v>
      </c>
      <c r="K40" s="194" t="str">
        <f>IF(Waste[[#This Row],[Month]]&lt;&gt;"",VLOOKUP(Waste[[#This Row],[Month]], dropdown!$S$4:$T$15, 2, FALSE),"")</f>
        <v>Q3</v>
      </c>
      <c r="L40" s="57" t="s">
        <v>383</v>
      </c>
      <c r="M40" s="29">
        <v>20</v>
      </c>
      <c r="N40" s="57" t="s">
        <v>313</v>
      </c>
      <c r="O40" s="195"/>
    </row>
    <row r="41" spans="9:15" x14ac:dyDescent="0.2">
      <c r="I41" s="194">
        <f t="shared" si="0"/>
        <v>34</v>
      </c>
      <c r="J41" s="58" t="s">
        <v>400</v>
      </c>
      <c r="K41" s="194" t="str">
        <f>IF(Waste[[#This Row],[Month]]&lt;&gt;"",VLOOKUP(Waste[[#This Row],[Month]], dropdown!$S$4:$T$15, 2, FALSE),"")</f>
        <v>Q4</v>
      </c>
      <c r="L41" s="57" t="s">
        <v>383</v>
      </c>
      <c r="M41" s="29">
        <v>20</v>
      </c>
      <c r="N41" s="57" t="s">
        <v>313</v>
      </c>
      <c r="O41" s="195"/>
    </row>
    <row r="42" spans="9:15" x14ac:dyDescent="0.2">
      <c r="I42" s="194">
        <f t="shared" si="0"/>
        <v>35</v>
      </c>
      <c r="J42" s="58" t="s">
        <v>404</v>
      </c>
      <c r="K42" s="194" t="str">
        <f>IF(Waste[[#This Row],[Month]]&lt;&gt;"",VLOOKUP(Waste[[#This Row],[Month]], dropdown!$S$4:$T$15, 2, FALSE),"")</f>
        <v>Q4</v>
      </c>
      <c r="L42" s="57" t="s">
        <v>383</v>
      </c>
      <c r="M42" s="29">
        <v>20</v>
      </c>
      <c r="N42" s="57" t="s">
        <v>313</v>
      </c>
      <c r="O42" s="195"/>
    </row>
    <row r="43" spans="9:15" x14ac:dyDescent="0.2">
      <c r="I43" s="194">
        <f t="shared" si="0"/>
        <v>36</v>
      </c>
      <c r="J43" s="58" t="s">
        <v>407</v>
      </c>
      <c r="K43" s="194" t="str">
        <f>IF(Waste[[#This Row],[Month]]&lt;&gt;"",VLOOKUP(Waste[[#This Row],[Month]], dropdown!$S$4:$T$15, 2, FALSE),"")</f>
        <v>Q4</v>
      </c>
      <c r="L43" s="57" t="s">
        <v>383</v>
      </c>
      <c r="M43" s="29">
        <v>20</v>
      </c>
      <c r="N43" s="57" t="s">
        <v>313</v>
      </c>
      <c r="O43" s="195"/>
    </row>
    <row r="44" spans="9:15" x14ac:dyDescent="0.2">
      <c r="I44" s="194">
        <f t="shared" si="0"/>
        <v>37</v>
      </c>
      <c r="J44" s="58" t="s">
        <v>338</v>
      </c>
      <c r="K44" s="194" t="str">
        <f>IF(Waste[[#This Row],[Month]]&lt;&gt;"",VLOOKUP(Waste[[#This Row],[Month]], dropdown!$S$4:$T$15, 2, FALSE),"")</f>
        <v>Q1</v>
      </c>
      <c r="L44" s="57" t="s">
        <v>367</v>
      </c>
      <c r="M44" s="29">
        <v>5000</v>
      </c>
      <c r="N44" s="57" t="s">
        <v>357</v>
      </c>
      <c r="O44" s="195"/>
    </row>
    <row r="45" spans="9:15" x14ac:dyDescent="0.2">
      <c r="I45" s="194">
        <f t="shared" si="0"/>
        <v>38</v>
      </c>
      <c r="J45" s="58" t="s">
        <v>89</v>
      </c>
      <c r="K45" s="194" t="str">
        <f>IF(Waste[[#This Row],[Month]]&lt;&gt;"",VLOOKUP(Waste[[#This Row],[Month]], dropdown!$S$4:$T$15, 2, FALSE),"")</f>
        <v>Q1</v>
      </c>
      <c r="L45" s="57" t="s">
        <v>367</v>
      </c>
      <c r="M45" s="29">
        <v>5200</v>
      </c>
      <c r="N45" s="57" t="s">
        <v>357</v>
      </c>
      <c r="O45" s="195"/>
    </row>
    <row r="46" spans="9:15" x14ac:dyDescent="0.2">
      <c r="I46" s="194">
        <f t="shared" si="0"/>
        <v>39</v>
      </c>
      <c r="J46" s="58" t="s">
        <v>362</v>
      </c>
      <c r="K46" s="194" t="str">
        <f>IF(Waste[[#This Row],[Month]]&lt;&gt;"",VLOOKUP(Waste[[#This Row],[Month]], dropdown!$S$4:$T$15, 2, FALSE),"")</f>
        <v>Q1</v>
      </c>
      <c r="L46" s="57" t="s">
        <v>367</v>
      </c>
      <c r="M46" s="29">
        <v>10400</v>
      </c>
      <c r="N46" s="57" t="s">
        <v>357</v>
      </c>
      <c r="O46" s="195"/>
    </row>
    <row r="47" spans="9:15" x14ac:dyDescent="0.2">
      <c r="I47" s="194">
        <f t="shared" si="0"/>
        <v>40</v>
      </c>
      <c r="J47" s="58" t="s">
        <v>371</v>
      </c>
      <c r="K47" s="194" t="str">
        <f>IF(Waste[[#This Row],[Month]]&lt;&gt;"",VLOOKUP(Waste[[#This Row],[Month]], dropdown!$S$4:$T$15, 2, FALSE),"")</f>
        <v>Q2</v>
      </c>
      <c r="L47" s="57" t="s">
        <v>367</v>
      </c>
      <c r="M47" s="29">
        <v>5200</v>
      </c>
      <c r="N47" s="57" t="s">
        <v>357</v>
      </c>
      <c r="O47" s="195"/>
    </row>
    <row r="48" spans="9:15" x14ac:dyDescent="0.2">
      <c r="I48" s="194">
        <f t="shared" si="0"/>
        <v>41</v>
      </c>
      <c r="J48" s="58" t="s">
        <v>379</v>
      </c>
      <c r="K48" s="194" t="str">
        <f>IF(Waste[[#This Row],[Month]]&lt;&gt;"",VLOOKUP(Waste[[#This Row],[Month]], dropdown!$S$4:$T$15, 2, FALSE),"")</f>
        <v>Q2</v>
      </c>
      <c r="L48" s="57" t="s">
        <v>367</v>
      </c>
      <c r="M48" s="29">
        <v>4000</v>
      </c>
      <c r="N48" s="57" t="s">
        <v>357</v>
      </c>
      <c r="O48" s="195"/>
    </row>
    <row r="49" spans="9:15" x14ac:dyDescent="0.2">
      <c r="I49" s="194">
        <f t="shared" si="0"/>
        <v>42</v>
      </c>
      <c r="J49" s="58" t="s">
        <v>386</v>
      </c>
      <c r="K49" s="194" t="str">
        <f>IF(Waste[[#This Row],[Month]]&lt;&gt;"",VLOOKUP(Waste[[#This Row],[Month]], dropdown!$S$4:$T$15, 2, FALSE),"")</f>
        <v>Q2</v>
      </c>
      <c r="L49" s="57" t="s">
        <v>367</v>
      </c>
      <c r="M49" s="29">
        <v>5000</v>
      </c>
      <c r="N49" s="57" t="s">
        <v>357</v>
      </c>
      <c r="O49" s="195"/>
    </row>
    <row r="50" spans="9:15" x14ac:dyDescent="0.2">
      <c r="I50" s="194">
        <f t="shared" si="0"/>
        <v>43</v>
      </c>
      <c r="J50" s="58" t="s">
        <v>390</v>
      </c>
      <c r="K50" s="194" t="str">
        <f>IF(Waste[[#This Row],[Month]]&lt;&gt;"",VLOOKUP(Waste[[#This Row],[Month]], dropdown!$S$4:$T$15, 2, FALSE),"")</f>
        <v>Q3</v>
      </c>
      <c r="L50" s="57" t="s">
        <v>367</v>
      </c>
      <c r="M50" s="29">
        <v>5200</v>
      </c>
      <c r="N50" s="57" t="s">
        <v>357</v>
      </c>
      <c r="O50" s="195"/>
    </row>
    <row r="51" spans="9:15" x14ac:dyDescent="0.2">
      <c r="I51" s="194">
        <f t="shared" si="0"/>
        <v>44</v>
      </c>
      <c r="J51" s="58" t="s">
        <v>41</v>
      </c>
      <c r="K51" s="194" t="str">
        <f>IF(Waste[[#This Row],[Month]]&lt;&gt;"",VLOOKUP(Waste[[#This Row],[Month]], dropdown!$S$4:$T$15, 2, FALSE),"")</f>
        <v>Q3</v>
      </c>
      <c r="L51" s="57" t="s">
        <v>367</v>
      </c>
      <c r="M51" s="29">
        <v>5400</v>
      </c>
      <c r="N51" s="57" t="s">
        <v>357</v>
      </c>
      <c r="O51" s="195"/>
    </row>
    <row r="52" spans="9:15" x14ac:dyDescent="0.2">
      <c r="I52" s="194">
        <f t="shared" si="0"/>
        <v>45</v>
      </c>
      <c r="J52" s="58" t="s">
        <v>397</v>
      </c>
      <c r="K52" s="194" t="str">
        <f>IF(Waste[[#This Row],[Month]]&lt;&gt;"",VLOOKUP(Waste[[#This Row],[Month]], dropdown!$S$4:$T$15, 2, FALSE),"")</f>
        <v>Q3</v>
      </c>
      <c r="L52" s="57" t="s">
        <v>367</v>
      </c>
      <c r="M52" s="29">
        <v>5400</v>
      </c>
      <c r="N52" s="57" t="s">
        <v>357</v>
      </c>
      <c r="O52" s="195"/>
    </row>
    <row r="53" spans="9:15" x14ac:dyDescent="0.2">
      <c r="I53" s="194">
        <f t="shared" si="0"/>
        <v>46</v>
      </c>
      <c r="J53" s="58" t="s">
        <v>400</v>
      </c>
      <c r="K53" s="194" t="str">
        <f>IF(Waste[[#This Row],[Month]]&lt;&gt;"",VLOOKUP(Waste[[#This Row],[Month]], dropdown!$S$4:$T$15, 2, FALSE),"")</f>
        <v>Q4</v>
      </c>
      <c r="L53" s="57" t="s">
        <v>367</v>
      </c>
      <c r="M53" s="29">
        <v>5600</v>
      </c>
      <c r="N53" s="57" t="s">
        <v>357</v>
      </c>
      <c r="O53" s="195"/>
    </row>
    <row r="54" spans="9:15" x14ac:dyDescent="0.2">
      <c r="I54" s="194">
        <f t="shared" si="0"/>
        <v>47</v>
      </c>
      <c r="J54" s="58" t="s">
        <v>404</v>
      </c>
      <c r="K54" s="194" t="str">
        <f>IF(Waste[[#This Row],[Month]]&lt;&gt;"",VLOOKUP(Waste[[#This Row],[Month]], dropdown!$S$4:$T$15, 2, FALSE),"")</f>
        <v>Q4</v>
      </c>
      <c r="L54" s="57" t="s">
        <v>367</v>
      </c>
      <c r="M54" s="29">
        <v>5600</v>
      </c>
      <c r="N54" s="57" t="s">
        <v>357</v>
      </c>
      <c r="O54" s="195"/>
    </row>
    <row r="55" spans="9:15" x14ac:dyDescent="0.2">
      <c r="I55" s="194">
        <f t="shared" si="0"/>
        <v>48</v>
      </c>
      <c r="J55" s="58" t="s">
        <v>407</v>
      </c>
      <c r="K55" s="194" t="str">
        <f>IF(Waste[[#This Row],[Month]]&lt;&gt;"",VLOOKUP(Waste[[#This Row],[Month]], dropdown!$S$4:$T$15, 2, FALSE),"")</f>
        <v>Q4</v>
      </c>
      <c r="L55" s="57" t="s">
        <v>367</v>
      </c>
      <c r="M55" s="29">
        <v>10600</v>
      </c>
      <c r="N55" s="57" t="s">
        <v>357</v>
      </c>
      <c r="O55" s="195"/>
    </row>
    <row r="56" spans="9:15" x14ac:dyDescent="0.2">
      <c r="I56" s="194">
        <f t="shared" si="0"/>
        <v>49</v>
      </c>
      <c r="J56" s="58" t="s">
        <v>338</v>
      </c>
      <c r="K56" s="194" t="str">
        <f>IF(Waste[[#This Row],[Month]]&lt;&gt;"",VLOOKUP(Waste[[#This Row],[Month]], dropdown!$S$4:$T$15, 2, FALSE),"")</f>
        <v>Q1</v>
      </c>
      <c r="L56" s="57" t="s">
        <v>317</v>
      </c>
      <c r="M56" s="29">
        <v>0</v>
      </c>
      <c r="N56" s="57" t="s">
        <v>345</v>
      </c>
      <c r="O56" s="195"/>
    </row>
    <row r="57" spans="9:15" x14ac:dyDescent="0.2">
      <c r="I57" s="194">
        <f t="shared" si="0"/>
        <v>50</v>
      </c>
      <c r="J57" s="58" t="s">
        <v>89</v>
      </c>
      <c r="K57" s="194" t="str">
        <f>IF(Waste[[#This Row],[Month]]&lt;&gt;"",VLOOKUP(Waste[[#This Row],[Month]], dropdown!$S$4:$T$15, 2, FALSE),"")</f>
        <v>Q1</v>
      </c>
      <c r="L57" s="57" t="s">
        <v>317</v>
      </c>
      <c r="M57" s="29">
        <v>0</v>
      </c>
      <c r="N57" s="57" t="s">
        <v>345</v>
      </c>
      <c r="O57" s="195"/>
    </row>
    <row r="58" spans="9:15" x14ac:dyDescent="0.2">
      <c r="I58" s="194">
        <f t="shared" si="0"/>
        <v>51</v>
      </c>
      <c r="J58" s="58" t="s">
        <v>362</v>
      </c>
      <c r="K58" s="194" t="str">
        <f>IF(Waste[[#This Row],[Month]]&lt;&gt;"",VLOOKUP(Waste[[#This Row],[Month]], dropdown!$S$4:$T$15, 2, FALSE),"")</f>
        <v>Q1</v>
      </c>
      <c r="L58" s="57" t="s">
        <v>317</v>
      </c>
      <c r="M58" s="29">
        <v>0</v>
      </c>
      <c r="N58" s="57" t="s">
        <v>345</v>
      </c>
      <c r="O58" s="195"/>
    </row>
    <row r="59" spans="9:15" x14ac:dyDescent="0.2">
      <c r="I59" s="194">
        <f t="shared" si="0"/>
        <v>52</v>
      </c>
      <c r="J59" s="58" t="s">
        <v>371</v>
      </c>
      <c r="K59" s="194" t="str">
        <f>IF(Waste[[#This Row],[Month]]&lt;&gt;"",VLOOKUP(Waste[[#This Row],[Month]], dropdown!$S$4:$T$15, 2, FALSE),"")</f>
        <v>Q2</v>
      </c>
      <c r="L59" s="57" t="s">
        <v>317</v>
      </c>
      <c r="M59" s="29">
        <v>0</v>
      </c>
      <c r="N59" s="57" t="s">
        <v>345</v>
      </c>
      <c r="O59" s="195"/>
    </row>
    <row r="60" spans="9:15" x14ac:dyDescent="0.2">
      <c r="I60" s="194">
        <f t="shared" si="0"/>
        <v>53</v>
      </c>
      <c r="J60" s="58" t="s">
        <v>379</v>
      </c>
      <c r="K60" s="194" t="str">
        <f>IF(Waste[[#This Row],[Month]]&lt;&gt;"",VLOOKUP(Waste[[#This Row],[Month]], dropdown!$S$4:$T$15, 2, FALSE),"")</f>
        <v>Q2</v>
      </c>
      <c r="L60" s="57" t="s">
        <v>317</v>
      </c>
      <c r="M60" s="29">
        <v>0</v>
      </c>
      <c r="N60" s="57" t="s">
        <v>345</v>
      </c>
      <c r="O60" s="195"/>
    </row>
    <row r="61" spans="9:15" x14ac:dyDescent="0.2">
      <c r="I61" s="194">
        <f t="shared" si="0"/>
        <v>54</v>
      </c>
      <c r="J61" s="58" t="s">
        <v>386</v>
      </c>
      <c r="K61" s="194" t="str">
        <f>IF(Waste[[#This Row],[Month]]&lt;&gt;"",VLOOKUP(Waste[[#This Row],[Month]], dropdown!$S$4:$T$15, 2, FALSE),"")</f>
        <v>Q2</v>
      </c>
      <c r="L61" s="57" t="s">
        <v>317</v>
      </c>
      <c r="M61" s="29">
        <v>0</v>
      </c>
      <c r="N61" s="57" t="s">
        <v>345</v>
      </c>
      <c r="O61" s="195"/>
    </row>
    <row r="62" spans="9:15" x14ac:dyDescent="0.2">
      <c r="I62" s="194">
        <f t="shared" si="0"/>
        <v>55</v>
      </c>
      <c r="J62" s="58" t="s">
        <v>390</v>
      </c>
      <c r="K62" s="194" t="str">
        <f>IF(Waste[[#This Row],[Month]]&lt;&gt;"",VLOOKUP(Waste[[#This Row],[Month]], dropdown!$S$4:$T$15, 2, FALSE),"")</f>
        <v>Q3</v>
      </c>
      <c r="L62" s="57" t="s">
        <v>317</v>
      </c>
      <c r="M62" s="29">
        <v>0</v>
      </c>
      <c r="N62" s="57" t="s">
        <v>345</v>
      </c>
      <c r="O62" s="195"/>
    </row>
    <row r="63" spans="9:15" x14ac:dyDescent="0.2">
      <c r="I63" s="194">
        <f t="shared" si="0"/>
        <v>56</v>
      </c>
      <c r="J63" s="58" t="s">
        <v>41</v>
      </c>
      <c r="K63" s="194" t="str">
        <f>IF(Waste[[#This Row],[Month]]&lt;&gt;"",VLOOKUP(Waste[[#This Row],[Month]], dropdown!$S$4:$T$15, 2, FALSE),"")</f>
        <v>Q3</v>
      </c>
      <c r="L63" s="57" t="s">
        <v>317</v>
      </c>
      <c r="M63" s="29">
        <v>0</v>
      </c>
      <c r="N63" s="57" t="s">
        <v>345</v>
      </c>
      <c r="O63" s="195"/>
    </row>
    <row r="64" spans="9:15" x14ac:dyDescent="0.2">
      <c r="I64" s="194">
        <f t="shared" si="0"/>
        <v>57</v>
      </c>
      <c r="J64" s="58" t="s">
        <v>397</v>
      </c>
      <c r="K64" s="194" t="str">
        <f>IF(Waste[[#This Row],[Month]]&lt;&gt;"",VLOOKUP(Waste[[#This Row],[Month]], dropdown!$S$4:$T$15, 2, FALSE),"")</f>
        <v>Q3</v>
      </c>
      <c r="L64" s="57" t="s">
        <v>317</v>
      </c>
      <c r="M64" s="29">
        <v>1233.05</v>
      </c>
      <c r="N64" s="57" t="s">
        <v>345</v>
      </c>
      <c r="O64" s="195"/>
    </row>
    <row r="65" spans="9:15" x14ac:dyDescent="0.2">
      <c r="I65" s="194">
        <f t="shared" si="0"/>
        <v>58</v>
      </c>
      <c r="J65" s="58" t="s">
        <v>400</v>
      </c>
      <c r="K65" s="194" t="str">
        <f>IF(Waste[[#This Row],[Month]]&lt;&gt;"",VLOOKUP(Waste[[#This Row],[Month]], dropdown!$S$4:$T$15, 2, FALSE),"")</f>
        <v>Q4</v>
      </c>
      <c r="L65" s="57" t="s">
        <v>317</v>
      </c>
      <c r="M65" s="29">
        <v>0</v>
      </c>
      <c r="N65" s="57" t="s">
        <v>345</v>
      </c>
      <c r="O65" s="195"/>
    </row>
    <row r="66" spans="9:15" x14ac:dyDescent="0.2">
      <c r="I66" s="194">
        <f t="shared" si="0"/>
        <v>59</v>
      </c>
      <c r="J66" s="58" t="s">
        <v>404</v>
      </c>
      <c r="K66" s="194" t="str">
        <f>IF(Waste[[#This Row],[Month]]&lt;&gt;"",VLOOKUP(Waste[[#This Row],[Month]], dropdown!$S$4:$T$15, 2, FALSE),"")</f>
        <v>Q4</v>
      </c>
      <c r="L66" s="57" t="s">
        <v>317</v>
      </c>
      <c r="M66" s="29">
        <v>0</v>
      </c>
      <c r="N66" s="57" t="s">
        <v>317</v>
      </c>
      <c r="O66" s="195"/>
    </row>
    <row r="67" spans="9:15" x14ac:dyDescent="0.2">
      <c r="I67" s="194">
        <f t="shared" si="0"/>
        <v>60</v>
      </c>
      <c r="J67" s="58" t="s">
        <v>407</v>
      </c>
      <c r="K67" s="194" t="str">
        <f>IF(Waste[[#This Row],[Month]]&lt;&gt;"",VLOOKUP(Waste[[#This Row],[Month]], dropdown!$S$4:$T$15, 2, FALSE),"")</f>
        <v>Q4</v>
      </c>
      <c r="L67" s="57" t="s">
        <v>317</v>
      </c>
      <c r="M67" s="29">
        <v>0</v>
      </c>
      <c r="N67" s="57" t="s">
        <v>317</v>
      </c>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Cagayan De Oro Branch</v>
      </c>
      <c r="E6" s="461" t="s">
        <v>284</v>
      </c>
      <c r="F6" s="461"/>
      <c r="G6" s="461"/>
      <c r="H6" s="461"/>
      <c r="I6" s="461"/>
      <c r="J6" s="461"/>
      <c r="K6" s="461"/>
      <c r="L6" s="461"/>
      <c r="M6" s="461"/>
      <c r="N6" s="461"/>
      <c r="O6" s="461"/>
      <c r="P6" s="461"/>
      <c r="Q6" s="461"/>
    </row>
    <row r="7" spans="2:17" ht="20" customHeight="1" x14ac:dyDescent="0.2">
      <c r="B7" s="70" t="s">
        <v>12</v>
      </c>
      <c r="C7" s="59">
        <f>'1. Data Info and Summary'!$D$3</f>
        <v>2024</v>
      </c>
      <c r="E7" s="461"/>
      <c r="F7" s="461"/>
      <c r="G7" s="461"/>
      <c r="H7" s="461"/>
      <c r="I7" s="461"/>
      <c r="J7" s="461"/>
      <c r="K7" s="461"/>
      <c r="L7" s="461"/>
      <c r="M7" s="461"/>
      <c r="N7" s="461"/>
      <c r="O7" s="461"/>
      <c r="P7" s="461"/>
      <c r="Q7" s="461"/>
    </row>
    <row r="8" spans="2:17" ht="20" customHeight="1" x14ac:dyDescent="0.2">
      <c r="B8" s="71"/>
    </row>
    <row r="9" spans="2:17" x14ac:dyDescent="0.2">
      <c r="C9" s="53"/>
      <c r="E9" s="463" t="s">
        <v>285</v>
      </c>
      <c r="F9" s="463"/>
      <c r="G9" s="463"/>
      <c r="H9" s="463"/>
      <c r="I9" s="463"/>
      <c r="J9" s="463"/>
      <c r="L9" s="463" t="s">
        <v>286</v>
      </c>
      <c r="M9" s="463"/>
      <c r="N9" s="463"/>
      <c r="O9" s="463"/>
      <c r="P9" s="463"/>
      <c r="Q9" s="463"/>
    </row>
    <row r="10" spans="2:17" ht="8" customHeight="1" x14ac:dyDescent="0.2">
      <c r="B10" s="71"/>
    </row>
    <row r="11" spans="2:17" x14ac:dyDescent="0.2">
      <c r="E11" s="462" t="s">
        <v>287</v>
      </c>
      <c r="F11" s="462"/>
      <c r="G11" s="462"/>
      <c r="H11" s="462"/>
      <c r="I11" s="462"/>
      <c r="J11" s="462"/>
      <c r="L11" s="462" t="s">
        <v>288</v>
      </c>
      <c r="M11" s="462"/>
      <c r="N11" s="462"/>
      <c r="O11" s="462"/>
      <c r="P11" s="462"/>
      <c r="Q11" s="462"/>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271.52999999999997</v>
      </c>
      <c r="G13" s="73" t="str">
        <f>'1. Data Info and Summary'!$D18</f>
        <v>Liters</v>
      </c>
      <c r="I13" s="76">
        <f>VLOOKUP($E13,Emission_Factors!$A$1:$G$20,5,FALSE)</f>
        <v>2.68</v>
      </c>
      <c r="J13" s="141">
        <f>F13*I13</f>
        <v>727.70039999999995</v>
      </c>
      <c r="L13" s="73" t="s">
        <v>155</v>
      </c>
      <c r="M13" s="78">
        <f>SUM('2.3a Electricity'!$D$12:$G$12)</f>
        <v>331864</v>
      </c>
      <c r="N13" s="73" t="str">
        <f>'2.3a Electricity'!$C$12</f>
        <v>Kilowatt-hour</v>
      </c>
      <c r="P13" s="76">
        <f>VLOOKUP($L13,Emission_Factors!$A$1:$G$20,5,FALSE)</f>
        <v>0.56000000000000005</v>
      </c>
      <c r="Q13" s="141">
        <f>M13*P13</f>
        <v>185843.84000000003</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727.70039999999995</v>
      </c>
    </row>
    <row r="20" spans="5:10" x14ac:dyDescent="0.2">
      <c r="E20" s="462" t="s">
        <v>293</v>
      </c>
      <c r="F20" s="462"/>
      <c r="G20" s="462"/>
      <c r="H20" s="462"/>
      <c r="I20" s="462"/>
      <c r="J20" s="462"/>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3933.18</v>
      </c>
      <c r="G22" s="73" t="str">
        <f>'1. Data Info and Summary'!$D26</f>
        <v>Liters</v>
      </c>
      <c r="I22" s="76">
        <f>VLOOKUP($E22,Emission_Factors!$A$1:$G$20,5,FALSE)</f>
        <v>2.68</v>
      </c>
      <c r="J22" s="141">
        <f>F22*I22</f>
        <v>10540.922399999999</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10540.922399999999</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3" width="6.6640625" bestFit="1" customWidth="1"/>
    <col min="4" max="4" width="7.6640625" bestFit="1" customWidth="1"/>
    <col min="5" max="6" width="6.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163.26</v>
      </c>
      <c r="D33" s="337">
        <v>109.49000000000001</v>
      </c>
      <c r="E33" s="337">
        <v>154.68</v>
      </c>
      <c r="F33" s="337">
        <v>141.39999999999998</v>
      </c>
      <c r="G33" s="337">
        <v>568.82999999999993</v>
      </c>
      <c r="I33" s="20"/>
      <c r="J33" s="20"/>
      <c r="K33" s="21"/>
      <c r="L33" s="21"/>
      <c r="M33" s="22"/>
      <c r="N33" s="22"/>
      <c r="O33" s="11"/>
      <c r="P33" s="22"/>
      <c r="Q33" s="20"/>
      <c r="R33" s="20"/>
      <c r="S33" s="44"/>
    </row>
    <row r="34" spans="1:19" outlineLevel="1" x14ac:dyDescent="0.2">
      <c r="A34" s="203" t="s">
        <v>63</v>
      </c>
      <c r="B34" s="337"/>
      <c r="C34" s="337">
        <v>163.26</v>
      </c>
      <c r="D34" s="337">
        <v>109.49000000000001</v>
      </c>
      <c r="E34" s="337">
        <v>154.68</v>
      </c>
      <c r="F34" s="337">
        <v>141.39999999999998</v>
      </c>
      <c r="G34" s="337">
        <v>568.82999999999993</v>
      </c>
      <c r="I34" s="20"/>
      <c r="J34" s="20"/>
      <c r="K34" s="21"/>
      <c r="L34" s="21"/>
      <c r="M34" s="22"/>
      <c r="N34" s="22"/>
      <c r="O34" s="11"/>
      <c r="P34" s="22"/>
      <c r="Q34" s="20"/>
      <c r="R34" s="20"/>
      <c r="S34" s="44"/>
    </row>
    <row r="35" spans="1:19" outlineLevel="1" x14ac:dyDescent="0.2">
      <c r="A35" s="19" t="s">
        <v>374</v>
      </c>
      <c r="B35" s="337"/>
      <c r="C35" s="337">
        <v>217.44</v>
      </c>
      <c r="D35" s="337">
        <v>346.99</v>
      </c>
      <c r="E35" s="337">
        <v>343.12</v>
      </c>
      <c r="F35" s="337">
        <v>240.51</v>
      </c>
      <c r="G35" s="337">
        <v>1148.06</v>
      </c>
      <c r="I35" s="20"/>
      <c r="J35" s="20"/>
      <c r="K35" s="21"/>
      <c r="L35" s="21"/>
      <c r="M35" s="22"/>
      <c r="N35" s="22"/>
      <c r="O35" s="11"/>
      <c r="P35" s="22"/>
      <c r="Q35" s="20"/>
      <c r="R35" s="20"/>
      <c r="S35" s="44"/>
    </row>
    <row r="36" spans="1:19" outlineLevel="1" x14ac:dyDescent="0.2">
      <c r="A36" s="203" t="s">
        <v>63</v>
      </c>
      <c r="B36" s="337"/>
      <c r="C36" s="337">
        <v>217.44</v>
      </c>
      <c r="D36" s="337">
        <v>346.99</v>
      </c>
      <c r="E36" s="337">
        <v>343.12</v>
      </c>
      <c r="F36" s="337">
        <v>240.51</v>
      </c>
      <c r="G36" s="337">
        <v>1148.06</v>
      </c>
      <c r="H36" s="12"/>
      <c r="I36" s="20"/>
      <c r="J36" s="20"/>
      <c r="K36" s="21"/>
      <c r="L36" s="21"/>
      <c r="M36" s="22"/>
      <c r="N36" s="22"/>
      <c r="O36" s="11"/>
      <c r="P36" s="22"/>
      <c r="Q36" s="20"/>
      <c r="R36" s="20"/>
      <c r="S36" s="44"/>
    </row>
    <row r="37" spans="1:19" outlineLevel="1" x14ac:dyDescent="0.2">
      <c r="A37" s="19" t="s">
        <v>381</v>
      </c>
      <c r="B37" s="337"/>
      <c r="C37" s="337">
        <v>291.49</v>
      </c>
      <c r="D37" s="337">
        <v>1108.1600000000001</v>
      </c>
      <c r="E37" s="337">
        <v>491.44000000000005</v>
      </c>
      <c r="F37" s="337">
        <v>325.20000000000005</v>
      </c>
      <c r="G37" s="337">
        <v>2216.29</v>
      </c>
      <c r="H37" s="12"/>
      <c r="I37" s="20"/>
      <c r="J37" s="20"/>
      <c r="K37" s="21"/>
      <c r="L37" s="21"/>
      <c r="M37" s="22"/>
      <c r="N37" s="22"/>
      <c r="O37" s="11"/>
      <c r="P37" s="22"/>
      <c r="Q37" s="20"/>
      <c r="R37" s="20"/>
      <c r="S37" s="44"/>
    </row>
    <row r="38" spans="1:19" outlineLevel="1" x14ac:dyDescent="0.2">
      <c r="A38" s="203" t="s">
        <v>63</v>
      </c>
      <c r="B38" s="337"/>
      <c r="C38" s="337">
        <v>291.49</v>
      </c>
      <c r="D38" s="337">
        <v>1108.1600000000001</v>
      </c>
      <c r="E38" s="337">
        <v>491.44000000000005</v>
      </c>
      <c r="F38" s="337">
        <v>325.20000000000005</v>
      </c>
      <c r="G38" s="337">
        <v>2216.29</v>
      </c>
      <c r="H38" s="12"/>
      <c r="I38" s="20"/>
      <c r="J38" s="20"/>
      <c r="K38" s="21"/>
      <c r="L38" s="21"/>
      <c r="M38" s="22"/>
      <c r="N38" s="22"/>
      <c r="O38" s="11"/>
      <c r="P38" s="22"/>
      <c r="Q38" s="20"/>
      <c r="R38" s="20"/>
      <c r="S38" s="44"/>
    </row>
    <row r="39" spans="1:19" outlineLevel="1" x14ac:dyDescent="0.2">
      <c r="A39" s="19" t="s">
        <v>297</v>
      </c>
      <c r="B39" s="337"/>
      <c r="C39" s="337">
        <v>672.19</v>
      </c>
      <c r="D39" s="337">
        <v>1564.64</v>
      </c>
      <c r="E39" s="337">
        <v>989.24</v>
      </c>
      <c r="F39" s="337">
        <v>707.11</v>
      </c>
      <c r="G39" s="337">
        <v>3933.18</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929"/>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45916.881296296298</v>
      </c>
      <c r="B927" t="s">
        <v>596</v>
      </c>
      <c r="C927" t="s">
        <v>597</v>
      </c>
      <c r="D927" t="s">
        <v>1433</v>
      </c>
      <c r="E927" t="s">
        <v>39</v>
      </c>
    </row>
    <row r="928" spans="1:5" x14ac:dyDescent="0.2">
      <c r="A928" s="269">
        <v>45916.881516203706</v>
      </c>
      <c r="B928" t="s">
        <v>596</v>
      </c>
      <c r="C928" t="s">
        <v>27</v>
      </c>
      <c r="D928" t="s">
        <v>1434</v>
      </c>
      <c r="E928" t="s">
        <v>53</v>
      </c>
    </row>
    <row r="929" spans="1:4" x14ac:dyDescent="0.2">
      <c r="A929" s="269">
        <v>45916.881631944445</v>
      </c>
      <c r="B929" t="s">
        <v>596</v>
      </c>
      <c r="C929" t="s">
        <v>27</v>
      </c>
      <c r="D929" t="s">
        <v>1435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2025-09-16T13:09:36Z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