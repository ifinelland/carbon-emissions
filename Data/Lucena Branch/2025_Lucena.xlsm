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Lucena Branch/"/>
    </mc:Choice>
  </mc:AlternateContent>
  <xr:revisionPtr revIDLastSave="0" documentId="13_ncr:1_{B865BE11-22F9-EA43-866F-244AA028D79A}"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Sheet1" sheetId="52" r:id="rId7"/>
    <sheet name="2.3b RE - Solar" sheetId="50" r:id="rId8"/>
    <sheet name="2.4 Water" sheetId="41" r:id="rId9"/>
    <sheet name="2.7 Waste Gases" sheetId="48" state="hidden" r:id="rId10"/>
    <sheet name="2.5 Waste" sheetId="40" r:id="rId11"/>
    <sheet name="3. Emissions Summary" sheetId="43" state="hidden" r:id="rId12"/>
    <sheet name="4. Dashboard" sheetId="51" state="hidden" r:id="rId13"/>
    <sheet name="dropdown" sheetId="30" state="hidden" r:id="rId14"/>
    <sheet name="Emission_Factors" sheetId="42" state="hidden" r:id="rId15"/>
    <sheet name="Change Log" sheetId="49" state="hidden" r:id="rId16"/>
    <sheet name="Sheet2" sheetId="45" state="hidden" r:id="rId17"/>
    <sheet name="Metrics" sheetId="9" state="hidden" r:id="rId18"/>
  </sheets>
  <externalReferences>
    <externalReference r:id="rId19"/>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741" r:id="rId20"/>
    <pivotCache cacheId="742" r:id="rId21"/>
    <pivotCache cacheId="743" r:id="rId22"/>
    <pivotCache cacheId="744" r:id="rId23"/>
    <pivotCache cacheId="745" r:id="rId24"/>
    <pivotCache cacheId="753"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2" i="40"/>
  <c r="I13" i="40" s="1"/>
  <c r="I14" i="40" s="1"/>
  <c r="I15" i="40" s="1"/>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s="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I10" i="41"/>
  <c r="I11" i="41" s="1"/>
  <c r="I12" i="41" s="1"/>
  <c r="I13" i="41" s="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F11" i="38" l="1"/>
  <c r="D11" i="38"/>
  <c r="E11" i="38"/>
  <c r="G11" i="38"/>
  <c r="F12" i="38"/>
  <c r="G12" i="38"/>
  <c r="D12" i="38"/>
  <c r="E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D14" i="1" l="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2" i="34" l="1"/>
  <c r="E12" i="34"/>
  <c r="F12" i="34"/>
  <c r="G12" i="34"/>
  <c r="D14" i="34"/>
  <c r="G14" i="34"/>
  <c r="E14" i="34"/>
  <c r="F14" i="34"/>
  <c r="F11" i="34"/>
  <c r="G11" i="34"/>
  <c r="E11" i="34"/>
  <c r="D11" i="34"/>
  <c r="F13" i="34"/>
  <c r="D13" i="34"/>
  <c r="G13" i="34"/>
  <c r="E13" i="34"/>
  <c r="D15" i="34"/>
  <c r="G15" i="34"/>
  <c r="E15" i="34"/>
  <c r="F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<sst xmlns="http://schemas.openxmlformats.org/spreadsheetml/2006/main" count="10826" uniqueCount="1846">
  <si>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</si>
  <si>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</si>
  <si>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</si>
  <si>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</si>
  <si>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</si>
  <si>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</si>
  <si>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</si>
  <si>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</si>
  <si>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</si>
  <si>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</si>
  <si>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</si>
  <si>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</si>
  <si>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</si>
  <si>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</si>
  <si>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</si>
  <si>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</si>
  <si>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</si>
  <si>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</si>
  <si>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</si>
  <si>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</si>
  <si>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</si>
  <si>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</si>
  <si>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</si>
  <si>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</si>
  <si>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</si>
  <si>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</si>
  <si>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</si>
  <si>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</si>
  <si>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</si>
  <si>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</si>
  <si>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</si>
  <si>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</si>
  <si>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</si>
  <si>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</si>
  <si>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</si>
  <si>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</si>
  <si>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</si>
  <si>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</si>
  <si>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</si>
  <si>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</si>
  <si>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</si>
  <si>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</si>
  <si>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</si>
  <si>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</si>
  <si>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</si>
  <si>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</si>
  <si>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</si>
  <si>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</si>
  <si>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</si>
  <si>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</si>
  <si>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</si>
  <si>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</si>
  <si>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</si>
  <si>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</si>
  <si>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</si>
  <si>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</si>
  <si>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</si>
  <si>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</si>
  <si>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</si>
  <si>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</si>
  <si>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</si>
  <si>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</si>
  <si>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</si>
  <si>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</si>
  <si>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</si>
  <si>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</si>
  <si>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</si>
  <si>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</si>
  <si>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</si>
  <si>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</si>
  <si>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</si>
  <si>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</si>
  <si>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</si>
  <si>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</si>
  <si>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</si>
  <si>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</si>
  <si>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</si>
  <si>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</si>
  <si>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</si>
  <si>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</si>
  <si>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</si>
  <si>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</si>
  <si>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</si>
  <si>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</si>
  <si>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</si>
  <si>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</si>
  <si>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</si>
  <si>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</si>
  <si>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</si>
  <si>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</si>
  <si>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</si>
  <si>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</si>
  <si>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</si>
  <si>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</si>
  <si>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</si>
  <si>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</si>
  <si>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</si>
  <si>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</si>
  <si>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</si>
  <si>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</si>
  <si>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</si>
  <si>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</si>
  <si>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</si>
  <si>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</si>
  <si>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</si>
  <si>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</si>
  <si>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</si>
  <si>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</si>
  <si>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</si>
  <si>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</si>
  <si>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</si>
  <si>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</si>
  <si>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</si>
  <si>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</si>
  <si>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</si>
  <si>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</si>
  <si>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</si>
  <si>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</si>
  <si>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</si>
  <si>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</si>
  <si>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</si>
  <si>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</si>
  <si>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</si>
  <si>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</si>
  <si>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</si>
  <si>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</si>
  <si>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</si>
  <si>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</si>
  <si>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</si>
  <si>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</si>
  <si>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</si>
  <si>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</si>
  <si>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</si>
  <si>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</si>
  <si>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</si>
  <si>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</si>
  <si>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</si>
  <si>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</si>
  <si>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</si>
  <si>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</si>
  <si>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</si>
  <si>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</si>
  <si>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</si>
  <si>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</si>
  <si>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</si>
  <si>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</si>
  <si>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</si>
  <si>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</si>
  <si>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</si>
  <si>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</si>
  <si>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</si>
  <si>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</si>
  <si>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</si>
  <si>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</si>
  <si>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</si>
  <si>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</si>
  <si>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</si>
  <si>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</si>
  <si>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</si>
  <si>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</si>
  <si>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</si>
  <si>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</si>
  <si>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</si>
  <si>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</si>
  <si>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</si>
  <si>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</si>
  <si>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</si>
  <si>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</si>
  <si>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</si>
  <si>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</si>
  <si>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</si>
  <si>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</si>
  <si>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</si>
  <si>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</si>
  <si>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</si>
  <si>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</si>
  <si>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</si>
  <si>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</si>
  <si>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</si>
  <si>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</si>
  <si>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</si>
  <si>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</si>
  <si>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</si>
  <si>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</si>
  <si>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</si>
  <si>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</si>
  <si>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</si>
  <si>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</si>
  <si>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</si>
  <si>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</si>
  <si>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</si>
  <si>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</si>
  <si>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</si>
  <si>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</si>
  <si>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</si>
  <si>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</si>
  <si>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</si>
  <si>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</si>
  <si>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</si>
  <si>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</si>
  <si>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</si>
  <si>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</si>
  <si>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</si>
  <si>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</si>
  <si>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</si>
  <si>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</si>
  <si>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</si>
  <si>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</si>
  <si>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</si>
  <si>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</si>
  <si>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</si>
  <si>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</si>
  <si>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</si>
  <si>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</si>
  <si>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</si>
  <si>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</si>
  <si>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</si>
  <si>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</si>
  <si>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</si>
  <si>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</si>
  <si>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</si>
  <si>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</si>
  <si>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</si>
  <si>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</si>
  <si>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</si>
  <si>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</si>
  <si>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</si>
  <si>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</si>
  <si>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</si>
  <si>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</si>
  <si>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</si>
  <si>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</si>
  <si>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</si>
  <si>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</si>
  <si>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</si>
  <si>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</si>
  <si>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</si>
  <si>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</si>
  <si>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</si>
  <si>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</si>
  <si>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</si>
  <si>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</si>
  <si>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</si>
  <si>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</si>
  <si>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</si>
  <si>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</si>
  <si>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</si>
  <si>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</si>
  <si>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</si>
  <si>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</si>
  <si>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</si>
  <si>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</si>
  <si>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</si>
  <si>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</si>
  <si>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</si>
  <si>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</si>
  <si>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</si>
  <si>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</si>
  <si>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</si>
  <si>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</si>
  <si>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</si>
  <si>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</si>
  <si>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</si>
  <si>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</si>
  <si>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</si>
  <si>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</si>
  <si>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</si>
  <si>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</si>
  <si>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</si>
  <si>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</si>
  <si>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</si>
  <si>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</si>
  <si>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</si>
  <si>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</si>
  <si>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</si>
  <si>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</si>
  <si>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</si>
  <si>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</si>
  <si>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</si>
  <si>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</si>
  <si>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</si>
  <si>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</si>
  <si>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</si>
  <si>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</si>
  <si>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</si>
  <si>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</si>
  <si>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</si>
  <si>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</si>
  <si>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</si>
  <si>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</si>
  <si>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</si>
  <si>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</si>
  <si>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</si>
  <si>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</si>
  <si>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</si>
  <si>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</si>
  <si>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</si>
  <si>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</si>
  <si>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</si>
  <si>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</si>
  <si>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</si>
  <si>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</si>
  <si>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</si>
  <si>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</si>
  <si>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</si>
  <si>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</si>
  <si>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</si>
  <si>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</si>
  <si>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</si>
  <si>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</si>
  <si>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</si>
  <si>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</si>
  <si>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</si>
  <si>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</si>
  <si>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</si>
  <si>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</si>
  <si>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</si>
  <si>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</si>
  <si>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</si>
  <si>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</si>
  <si>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</si>
  <si>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</si>
  <si>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</si>
  <si>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</si>
  <si>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</si>
  <si>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</si>
  <si>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</si>
  <si>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</si>
  <si>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</si>
  <si>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</si>
  <si>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</si>
  <si>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</si>
  <si>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</si>
  <si>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</si>
  <si>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</si>
  <si>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</si>
  <si>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</si>
  <si>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</si>
  <si>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</si>
  <si>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</si>
  <si>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</si>
  <si>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</si>
  <si>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</si>
  <si>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</si>
  <si>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</si>
  <si>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</si>
  <si>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</si>
  <si>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</si>
  <si>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</si>
  <si>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</si>
  <si>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</si>
  <si>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</si>
  <si>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</si>
  <si>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</si>
  <si>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</si>
  <si>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</si>
  <si>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</si>
  <si>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</si>
  <si>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</si>
  <si>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</si>
  <si>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</si>
  <si>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</si>
  <si>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</si>
  <si>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</si>
  <si>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</si>
  <si>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</si>
  <si>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</si>
  <si>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</si>
  <si>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</si>
  <si>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</si>
  <si>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</si>
  <si>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</si>
  <si>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</si>
  <si>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</si>
  <si>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</si>
  <si>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</si>
  <si>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</si>
  <si>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</si>
  <si>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</si>
  <si>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</si>
  <si>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</si>
  <si>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</si>
  <si>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</si>
  <si>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</si>
  <si>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</si>
  <si>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</si>
  <si>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</si>
  <si>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</si>
  <si>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</si>
  <si>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</si>
  <si>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</si>
  <si>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</si>
  <si>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</si>
  <si>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</si>
  <si>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</si>
  <si>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</si>
  <si>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</si>
  <si>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</si>
  <si>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</si>
  <si>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</si>
  <si>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</si>
  <si>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</si>
  <si>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</si>
  <si>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</si>
  <si>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</si>
  <si>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</si>
  <si>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</si>
  <si>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</si>
  <si>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</si>
  <si>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</si>
  <si>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</si>
  <si>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</si>
  <si>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</si>
  <si>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</si>
  <si>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</si>
  <si>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</si>
  <si>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</si>
  <si>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</si>
  <si>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</si>
  <si>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</si>
  <si>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</si>
  <si>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</si>
  <si>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</si>
  <si>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</si>
  <si>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</si>
  <si>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</si>
  <si>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</si>
  <si>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</si>
  <si>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</si>
  <si>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</si>
  <si>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</si>
  <si>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</si>
  <si>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</si>
  <si>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</si>
  <si>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</si>
  <si>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</si>
  <si>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</si>
  <si>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</si>
  <si>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</si>
  <si>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</si>
  <si>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</si>
  <si>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</si>
  <si>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</si>
  <si>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</si>
  <si>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</si>
  <si>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</si>
  <si>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</si>
  <si>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</si>
  <si>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</si>
  <si>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</si>
  <si>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</si>
  <si>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</si>
  <si>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</si>
  <si>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</si>
  <si>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</si>
  <si>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</si>
  <si>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</si>
  <si>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</si>
  <si>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</si>
  <si>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</si>
  <si>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</si>
  <si>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</si>
  <si>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</si>
  <si>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</si>
  <si>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</si>
  <si>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</si>
  <si>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</si>
  <si>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</si>
  <si>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</si>
  <si>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</si>
  <si>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</si>
  <si>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</si>
  <si>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</si>
  <si>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</si>
  <si>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</si>
  <si>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</si>
  <si>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</si>
  <si>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</si>
  <si>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</si>
  <si>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</si>
  <si>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</si>
  <si>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</si>
  <si>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</si>
  <si>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</si>
  <si>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</si>
  <si>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</si>
  <si>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</si>
  <si>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</si>
  <si>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</si>
  <si>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</si>
  <si>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</si>
  <si>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</si>
  <si>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</si>
  <si>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</si>
  <si>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</si>
  <si>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</si>
  <si>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</si>
  <si>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</si>
  <si>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</si>
  <si>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</si>
  <si>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</si>
  <si>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</si>
  <si>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</si>
  <si>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</si>
  <si>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</si>
  <si>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</si>
  <si>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</si>
  <si>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</si>
  <si>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</si>
  <si>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</si>
  <si>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</si>
  <si>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</si>
  <si>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</si>
  <si>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</si>
  <si>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</si>
  <si>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</si>
  <si>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</si>
  <si>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</si>
  <si>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</si>
  <si>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</si>
  <si>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</si>
  <si>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</si>
  <si>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</si>
  <si>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</si>
  <si>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</si>
  <si>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</si>
  <si>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</si>
  <si>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</si>
  <si>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</si>
  <si>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</si>
  <si>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</si>
  <si>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</si>
  <si>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</si>
  <si>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</si>
  <si>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</si>
  <si>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</si>
  <si>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</si>
  <si>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</si>
  <si>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</si>
  <si>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</si>
  <si>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</si>
  <si>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</si>
  <si>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</si>
  <si>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</si>
  <si>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</si>
  <si>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</si>
  <si>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</si>
  <si>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</si>
  <si>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</si>
  <si>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</si>
  <si>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</si>
  <si>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</si>
  <si>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</si>
  <si>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</si>
  <si>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</si>
  <si>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</si>
  <si>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</si>
  <si>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</si>
  <si>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</si>
  <si>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</si>
  <si>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</si>
  <si>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</si>
  <si>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</si>
  <si>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</si>
  <si>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</si>
  <si>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</si>
  <si>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</si>
  <si>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</si>
  <si>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</si>
  <si>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</si>
  <si>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</si>
  <si>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</si>
  <si>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</si>
  <si>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</si>
  <si>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</si>
  <si>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</si>
  <si>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</si>
  <si>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</si>
  <si>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</si>
  <si>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</si>
  <si>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</si>
  <si>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</si>
  <si>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</si>
  <si>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</si>
  <si>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</si>
  <si>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</si>
  <si>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</si>
  <si>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</si>
  <si>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</si>
  <si>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</si>
  <si>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</si>
  <si>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</si>
  <si>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</si>
  <si>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</si>
  <si>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</si>
  <si>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</si>
  <si>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</si>
  <si>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</si>
  <si>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</si>
  <si>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</si>
  <si>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</si>
  <si>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</si>
  <si>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</si>
  <si>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</si>
  <si>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</si>
  <si>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</si>
  <si>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</si>
  <si>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</si>
  <si>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</si>
  <si>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</si>
  <si>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</si>
  <si>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</si>
  <si>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</si>
  <si>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</si>
  <si>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</si>
  <si>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</si>
  <si>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</si>
  <si>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</si>
  <si>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</si>
  <si>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</si>
  <si>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</si>
  <si>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</si>
  <si>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</si>
  <si>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</si>
  <si>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</si>
  <si>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</si>
  <si>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</si>
  <si>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</si>
  <si>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</si>
  <si>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</si>
  <si>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</si>
  <si>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</si>
  <si>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</si>
  <si>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</si>
  <si>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</si>
  <si>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</si>
  <si>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</si>
  <si>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</si>
  <si>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</si>
  <si>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</si>
  <si>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</si>
  <si>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</si>
  <si>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</si>
  <si>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</si>
  <si>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</si>
  <si>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</si>
  <si>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</si>
  <si>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</si>
  <si>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</si>
  <si>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</si>
  <si>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</si>
  <si>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</si>
  <si>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</si>
  <si>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</si>
  <si>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</si>
  <si>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</si>
  <si>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</si>
  <si>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</si>
  <si>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</si>
  <si>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</si>
  <si>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</si>
  <si>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</si>
  <si>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</si>
  <si>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</si>
  <si>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</si>
  <si>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</si>
  <si>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</si>
  <si>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</si>
  <si>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</si>
  <si>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</si>
  <si>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</si>
  <si>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</si>
  <si>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</si>
  <si>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</si>
  <si>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</si>
  <si>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</si>
  <si>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</si>
  <si>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</si>
  <si>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</si>
  <si>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</si>
  <si>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</si>
  <si>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</si>
  <si>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</si>
  <si>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</si>
  <si>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</si>
  <si>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</si>
  <si>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</si>
  <si>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</si>
  <si>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</si>
  <si>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</si>
  <si>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</si>
  <si>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</si>
  <si>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</si>
  <si>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</si>
  <si>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</si>
  <si>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</si>
  <si>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</si>
  <si>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</si>
  <si>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</si>
  <si>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</si>
  <si>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</si>
  <si>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</si>
  <si>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</si>
  <si>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</si>
  <si>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</si>
  <si>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</si>
  <si>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</si>
  <si>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</si>
  <si>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</si>
  <si>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</si>
  <si>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</si>
  <si>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</si>
  <si>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</si>
  <si>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</si>
  <si>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</si>
  <si>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</si>
  <si>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</si>
  <si>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</si>
  <si>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</si>
  <si>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</si>
  <si>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</si>
  <si>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</si>
  <si>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</si>
  <si>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</si>
  <si>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</si>
  <si>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</si>
  <si>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</si>
  <si>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</si>
  <si>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</si>
  <si>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</si>
  <si>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</si>
  <si>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</si>
  <si>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</si>
  <si>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</si>
  <si>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</si>
  <si>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</si>
  <si>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</si>
  <si>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</si>
  <si>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</si>
  <si>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</si>
  <si>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</si>
  <si>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</si>
  <si>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</si>
  <si>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</si>
  <si>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</si>
  <si>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</si>
  <si>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</si>
  <si>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</si>
  <si>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</si>
  <si>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</si>
  <si>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</si>
  <si>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</si>
  <si>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</si>
  <si>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</si>
  <si>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</si>
  <si>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</si>
  <si>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</si>
  <si>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</si>
  <si>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</si>
  <si>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</si>
  <si>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</si>
  <si>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</si>
  <si>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</si>
  <si>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</si>
  <si>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</si>
  <si>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</si>
  <si>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</si>
  <si>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</si>
  <si>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</si>
  <si>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</si>
  <si>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</si>
  <si>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</si>
  <si>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</si>
  <si>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</si>
  <si>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</si>
  <si>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</si>
  <si>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</si>
  <si>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</si>
  <si>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</si>
  <si>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</si>
  <si>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</si>
  <si>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</si>
  <si>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</si>
  <si>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</si>
  <si>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</si>
  <si>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</si>
  <si>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</si>
  <si>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</si>
  <si>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</si>
  <si>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</si>
  <si>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</si>
  <si>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</si>
  <si>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</si>
  <si>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</si>
  <si>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</si>
  <si>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</si>
  <si>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</si>
  <si>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</si>
  <si>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</si>
  <si>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</si>
  <si>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</si>
  <si>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</si>
  <si>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</si>
  <si>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</si>
  <si>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</si>
  <si>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</si>
  <si>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</si>
  <si>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</si>
  <si>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</si>
  <si>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</si>
  <si>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</si>
  <si>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</si>
  <si>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</si>
  <si>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</si>
  <si>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</si>
  <si>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</si>
  <si>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</si>
  <si>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</si>
  <si>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</si>
  <si>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</si>
  <si>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</si>
  <si>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</si>
  <si>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</si>
  <si>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</si>
  <si>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</si>
  <si>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</si>
  <si>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</si>
  <si>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</si>
  <si>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</si>
  <si>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</si>
  <si>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</si>
  <si>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</si>
  <si>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</si>
  <si>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</si>
  <si>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</si>
  <si>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</si>
  <si>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</si>
  <si>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</si>
  <si>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</si>
  <si>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</si>
  <si>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</si>
  <si>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</si>
  <si>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</si>
  <si>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</si>
  <si>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</si>
  <si>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</si>
  <si>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</si>
  <si>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</si>
  <si>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</si>
  <si>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</si>
  <si>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</si>
  <si>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</si>
  <si>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</si>
  <si>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</si>
  <si>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</si>
  <si>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</si>
  <si>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</si>
  <si>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</si>
  <si>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</si>
  <si>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</si>
  <si>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</si>
  <si>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</si>
  <si>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</si>
  <si>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</si>
  <si>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</si>
  <si>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</si>
  <si>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</si>
  <si>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</si>
  <si>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</si>
  <si>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</si>
  <si>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</si>
  <si>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</si>
  <si>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</si>
  <si>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</si>
  <si>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</si>
  <si>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</si>
  <si>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</si>
  <si>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</si>
  <si>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</si>
  <si>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</si>
  <si>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</si>
  <si>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</si>
  <si>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</si>
  <si>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</si>
  <si>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</si>
  <si>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</si>
  <si>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</si>
  <si>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</si>
  <si>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</si>
  <si>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</si>
  <si>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</si>
  <si>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</si>
  <si>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</si>
  <si>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</si>
  <si>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</si>
  <si>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</si>
  <si>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</si>
  <si>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</si>
  <si>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</si>
  <si>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</si>
  <si>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</si>
  <si>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</si>
  <si>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</si>
  <si>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</si>
  <si>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</si>
  <si>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</si>
  <si>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</si>
  <si>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</si>
  <si>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</si>
  <si>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</si>
  <si>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</si>
  <si>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</si>
  <si>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</si>
  <si>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</si>
  <si>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</si>
  <si>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</si>
  <si>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</si>
  <si>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</si>
  <si>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</si>
  <si>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</si>
  <si>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</si>
  <si>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</si>
  <si>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</si>
  <si>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</si>
  <si>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</si>
  <si>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</si>
  <si>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</si>
  <si>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</si>
  <si>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</si>
  <si>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</si>
  <si>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</si>
  <si>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</si>
  <si>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</si>
  <si>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</si>
  <si>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</si>
  <si>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</si>
  <si>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</si>
  <si>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</si>
  <si>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</si>
  <si>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</si>
  <si>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</si>
  <si>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</si>
  <si>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</si>
  <si>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</si>
  <si>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</si>
  <si>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</si>
  <si>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</si>
  <si>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</si>
  <si>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</si>
  <si>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</si>
  <si>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</si>
  <si>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</si>
  <si>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</si>
  <si>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</si>
  <si>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</si>
  <si>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</si>
  <si>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</si>
  <si>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</si>
  <si>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</si>
  <si>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</si>
  <si>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</si>
  <si>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</si>
  <si>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</si>
  <si>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</si>
  <si>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</si>
  <si>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</si>
  <si>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</si>
  <si>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</si>
  <si>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</si>
  <si>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</si>
  <si>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</si>
  <si>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</si>
  <si>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</si>
  <si>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</si>
  <si>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</si>
  <si>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</si>
  <si>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</si>
  <si>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</si>
  <si>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</si>
  <si>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</si>
  <si>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</si>
  <si>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</si>
  <si>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</si>
  <si>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</si>
  <si>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</si>
  <si>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</si>
  <si>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</si>
  <si>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</si>
  <si>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</si>
  <si>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</si>
  <si>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</si>
  <si>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</si>
  <si>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</si>
  <si>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</si>
  <si>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</si>
  <si>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</si>
  <si>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</si>
  <si>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</si>
  <si>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</si>
  <si>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</si>
  <si>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</si>
  <si>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</si>
  <si>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</si>
  <si>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</si>
  <si>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</si>
  <si>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</si>
  <si>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</si>
  <si>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</si>
  <si>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</si>
  <si>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</si>
  <si>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</si>
  <si>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</si>
  <si>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</si>
  <si>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</si>
  <si>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</si>
  <si>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</si>
  <si>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</si>
  <si>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</si>
  <si>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</si>
  <si>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</si>
  <si>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</si>
  <si>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</si>
  <si>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</si>
  <si>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</si>
  <si>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</si>
  <si>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</si>
  <si>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</si>
  <si>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</si>
  <si>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</si>
  <si>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</si>
  <si>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</si>
  <si>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</si>
  <si>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</si>
  <si>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</si>
  <si>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</si>
  <si>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</si>
  <si>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</si>
  <si>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</si>
  <si>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</si>
  <si>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</si>
  <si>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</si>
  <si>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</si>
  <si>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</si>
  <si>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</si>
  <si>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</si>
  <si>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</si>
  <si>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</si>
  <si>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</si>
  <si>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</si>
  <si>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</si>
  <si>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</si>
  <si>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</si>
  <si>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</si>
  <si>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</si>
  <si>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</si>
  <si>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</si>
  <si>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</si>
  <si>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</si>
  <si>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</si>
  <si>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</si>
  <si>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</si>
  <si>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</si>
  <si>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</si>
  <si>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</si>
  <si>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</si>
  <si>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</si>
  <si>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</si>
  <si>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</si>
  <si>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</si>
  <si>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</si>
  <si>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</si>
  <si>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</si>
  <si>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</si>
  <si>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</si>
  <si>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</si>
  <si>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</si>
  <si>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</si>
  <si>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</si>
  <si>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</si>
  <si>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</si>
  <si>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</si>
  <si>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</si>
  <si>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</si>
  <si>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</si>
  <si>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</si>
  <si>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</si>
  <si>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</si>
  <si>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</si>
  <si>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</si>
  <si>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</si>
  <si>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</si>
  <si>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</si>
  <si>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</si>
  <si>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</si>
  <si>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</si>
  <si>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</si>
  <si>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</si>
  <si>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</si>
  <si>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</si>
  <si>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</si>
  <si>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</si>
  <si>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</si>
  <si>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</si>
  <si>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</si>
  <si>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</si>
  <si>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</si>
  <si>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</si>
  <si>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</si>
  <si>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</si>
  <si>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</si>
  <si>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</si>
  <si>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</si>
  <si>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</si>
  <si>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</si>
  <si>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</si>
  <si>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</si>
  <si>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</si>
  <si>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</si>
  <si>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</si>
  <si>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</si>
  <si>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</si>
  <si>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</si>
  <si>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</si>
  <si>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</si>
  <si>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</si>
  <si>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</si>
  <si>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</si>
  <si>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</si>
  <si>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</si>
  <si>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</si>
  <si>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</si>
  <si>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</si>
  <si>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</si>
  <si>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</si>
  <si>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</si>
  <si>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</si>
  <si>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</si>
  <si>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</si>
  <si>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</si>
  <si>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</si>
  <si>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</si>
  <si>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</si>
  <si>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</si>
  <si>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</si>
  <si>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</si>
  <si>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</si>
  <si>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</si>
  <si>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</si>
  <si>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</si>
  <si>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</si>
  <si>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</si>
  <si>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</si>
  <si>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</si>
  <si>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</si>
  <si>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</si>
  <si>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</si>
  <si>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</si>
  <si>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</si>
  <si>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</si>
  <si>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</si>
  <si>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</si>
  <si>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</si>
  <si>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</si>
  <si>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</si>
  <si>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</si>
  <si>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</si>
  <si>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</si>
  <si>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</si>
  <si>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</si>
  <si>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</si>
  <si>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</si>
  <si>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</si>
  <si>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</si>
  <si>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</si>
  <si>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</si>
  <si>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</si>
  <si>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</si>
  <si>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</si>
  <si>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</si>
  <si>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</si>
  <si>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</si>
  <si>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</si>
  <si>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</si>
  <si>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</si>
  <si>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</si>
  <si>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</si>
  <si>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</si>
  <si>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</si>
  <si>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</si>
  <si>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</si>
  <si>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</si>
  <si>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</si>
  <si>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</si>
  <si>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</si>
  <si>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</si>
  <si>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</si>
  <si>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</si>
  <si>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</si>
  <si>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</si>
  <si>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</si>
  <si>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</si>
  <si>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</si>
  <si>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</si>
  <si>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</si>
  <si>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</si>
  <si>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</si>
  <si>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</si>
  <si>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</si>
  <si>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</si>
  <si>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</si>
  <si>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</si>
  <si>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</si>
  <si>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</si>
  <si>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</si>
  <si>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</si>
  <si>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</si>
  <si>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</si>
  <si>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</si>
  <si>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</si>
  <si>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</si>
  <si>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</si>
  <si>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</si>
  <si>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</si>
  <si>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</si>
  <si>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</si>
  <si>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</si>
  <si>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</si>
  <si>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</si>
  <si>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</si>
  <si>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</si>
  <si>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</si>
  <si>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</si>
  <si>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</si>
  <si>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</si>
  <si>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</si>
  <si>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</si>
  <si>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</si>
  <si>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</si>
  <si>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</si>
  <si>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</si>
  <si>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</si>
  <si>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</si>
  <si>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</si>
  <si>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</si>
  <si>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</si>
  <si>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</si>
  <si>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</si>
  <si>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</si>
  <si>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</si>
  <si>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</si>
  <si>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</si>
  <si>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</si>
  <si>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</si>
  <si>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</si>
  <si>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</si>
  <si>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</si>
  <si>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</si>
  <si>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</si>
  <si>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</si>
  <si>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</si>
  <si>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</si>
  <si>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</si>
  <si>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</si>
  <si>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</si>
  <si>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</si>
  <si>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</si>
  <si>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</si>
  <si>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</si>
  <si>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</si>
  <si>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</si>
  <si>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</si>
  <si>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</si>
  <si>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</si>
  <si>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</si>
  <si>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</si>
  <si>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</si>
  <si>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</si>
  <si>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</si>
  <si>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</si>
  <si>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</si>
  <si>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</si>
  <si>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</si>
  <si>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</si>
  <si>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</si>
  <si>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</si>
  <si>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</si>
  <si>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</si>
  <si>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</si>
  <si>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</si>
  <si>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</si>
  <si>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</si>
  <si>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</si>
  <si>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</si>
  <si>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</si>
  <si>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</si>
  <si>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</si>
  <si>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</si>
  <si>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</si>
  <si>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</si>
  <si>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</si>
  <si>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</si>
  <si>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</si>
  <si>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</si>
  <si>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</si>
  <si>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</si>
  <si>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</si>
  <si>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</si>
  <si>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</si>
  <si>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</si>
  <si>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</si>
  <si>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</si>
  <si>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</si>
  <si>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</si>
  <si>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</si>
  <si>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</si>
  <si>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</si>
  <si>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</si>
  <si>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</si>
  <si>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</si>
  <si>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</si>
  <si>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</si>
  <si>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</si>
  <si>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</si>
  <si>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</si>
  <si>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</si>
  <si>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</si>
  <si>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</si>
  <si>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</si>
  <si>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</si>
  <si>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</si>
  <si>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</si>
  <si>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</si>
  <si>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</si>
  <si>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</si>
  <si>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</si>
  <si>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</si>
  <si>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</si>
  <si>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</si>
  <si>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</si>
  <si>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</si>
  <si>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</si>
  <si>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</si>
  <si>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</si>
  <si>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</si>
  <si>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</si>
  <si>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</si>
  <si>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</si>
  <si>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</si>
  <si>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</si>
  <si>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</si>
  <si>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</si>
  <si>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</si>
  <si>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</si>
  <si>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</si>
  <si>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</si>
  <si>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</si>
  <si>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</si>
  <si>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</si>
  <si>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</si>
  <si>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</si>
  <si>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</si>
  <si>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</si>
  <si>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</si>
  <si>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</si>
  <si>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</si>
  <si>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</si>
  <si>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</si>
  <si>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</si>
  <si>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</si>
  <si>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</si>
  <si>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</si>
  <si>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</si>
  <si>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</si>
  <si>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</si>
  <si>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</si>
  <si>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</si>
  <si>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</si>
  <si>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</si>
  <si>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</si>
  <si>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</si>
  <si>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</si>
  <si>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</si>
  <si>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</si>
  <si>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</si>
  <si>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</si>
  <si>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</si>
  <si>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</si>
  <si>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</si>
  <si>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</si>
  <si>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</si>
  <si>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</si>
  <si>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</si>
  <si>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</si>
  <si>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</si>
  <si>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</si>
  <si>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</si>
  <si>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</si>
  <si>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</si>
  <si>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</si>
  <si>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</si>
  <si>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</si>
  <si>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</si>
  <si>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</si>
  <si>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</si>
  <si>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</si>
  <si>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</si>
  <si>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</si>
  <si>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</si>
  <si>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</si>
  <si>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</si>
  <si>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</si>
  <si>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</si>
  <si>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</si>
  <si>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</si>
  <si>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</si>
  <si>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</si>
  <si>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</si>
  <si>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</si>
  <si>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</si>
  <si>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</si>
  <si>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</si>
  <si>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</si>
  <si>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</si>
  <si>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</si>
  <si>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</si>
  <si>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</si>
  <si>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</si>
  <si>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</si>
  <si>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</si>
  <si>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</si>
  <si>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</si>
  <si>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Erwin S. Fortez</t>
  </si>
  <si>
    <t>$C$6</t>
  </si>
  <si>
    <t>$J$8</t>
  </si>
  <si>
    <t>$J$13</t>
  </si>
  <si>
    <t>$J$14</t>
  </si>
  <si>
    <t>$J$15</t>
  </si>
  <si>
    <t>$M$8</t>
  </si>
  <si>
    <t>$L$15</t>
  </si>
  <si>
    <t>$M$15</t>
  </si>
  <si>
    <t>$J$13:$J$16</t>
  </si>
  <si>
    <t>$L$13:$L$15</t>
  </si>
  <si>
    <t>$M$13:$M$15</t>
  </si>
  <si>
    <t>$L$16</t>
  </si>
  <si>
    <t>$L$17</t>
  </si>
  <si>
    <t>$M$17</t>
  </si>
  <si>
    <t>$L$18</t>
  </si>
  <si>
    <t>$M$18</t>
  </si>
  <si>
    <t>$L$19</t>
  </si>
  <si>
    <t>$M$19</t>
  </si>
  <si>
    <t>$N$11</t>
  </si>
  <si>
    <t>$N$12</t>
  </si>
  <si>
    <t>$N$13</t>
  </si>
  <si>
    <t>$N$14</t>
  </si>
  <si>
    <t>$N$15</t>
  </si>
  <si>
    <t>$N$16</t>
  </si>
  <si>
    <t>$N$17</t>
  </si>
  <si>
    <t>$N$18</t>
  </si>
  <si>
    <t>$N$19</t>
  </si>
  <si>
    <t>$M$29</t>
  </si>
  <si>
    <t>$M$24</t>
  </si>
  <si>
    <t>$D$2</t>
  </si>
  <si>
    <t>$D$3</t>
  </si>
  <si>
    <t>Not applicabel</t>
  </si>
  <si>
    <t>$C$7</t>
  </si>
  <si>
    <t>Not applicable</t>
  </si>
  <si>
    <t>2nd Floor Pantry</t>
  </si>
  <si>
    <t>Equipment Category2</t>
  </si>
  <si>
    <t>$L:$L</t>
  </si>
  <si>
    <t>$Q$9</t>
  </si>
  <si>
    <t>Relocated to new loaction</t>
  </si>
  <si>
    <t>$K$8</t>
  </si>
  <si>
    <t>$O$17</t>
  </si>
  <si>
    <t>$K$19</t>
  </si>
  <si>
    <t>$M$8:$M$11</t>
  </si>
  <si>
    <t>$K$8:$K$11</t>
  </si>
  <si>
    <t>$K$13</t>
  </si>
  <si>
    <t>$K$14</t>
  </si>
  <si>
    <t>$K$15</t>
  </si>
  <si>
    <t>$K$16</t>
  </si>
  <si>
    <t>$K$17</t>
  </si>
  <si>
    <t>$K$18</t>
  </si>
  <si>
    <t>$K$8:$K$18</t>
  </si>
  <si>
    <t>$N$7</t>
  </si>
  <si>
    <t>$K$20</t>
  </si>
  <si>
    <t>$L$20</t>
  </si>
  <si>
    <t>$N$20</t>
  </si>
  <si>
    <t>$K$21</t>
  </si>
  <si>
    <t>$L$21</t>
  </si>
  <si>
    <t>$N$21</t>
  </si>
  <si>
    <t>$J$22</t>
  </si>
  <si>
    <t>$K$22</t>
  </si>
  <si>
    <t>$L$22</t>
  </si>
  <si>
    <t>$N$22</t>
  </si>
  <si>
    <t>$J$23</t>
  </si>
  <si>
    <t>$K$23</t>
  </si>
  <si>
    <t>$L$23</t>
  </si>
  <si>
    <t>$N$23</t>
  </si>
  <si>
    <t>$J$24</t>
  </si>
  <si>
    <t>$K$24</t>
  </si>
  <si>
    <t>$L$24</t>
  </si>
  <si>
    <t>$N$24</t>
  </si>
  <si>
    <t>$J$25</t>
  </si>
  <si>
    <t>$K$25</t>
  </si>
  <si>
    <t>$L$25</t>
  </si>
  <si>
    <t>$N$25</t>
  </si>
  <si>
    <t>$J$26</t>
  </si>
  <si>
    <t>$K$26</t>
  </si>
  <si>
    <t>$L$26</t>
  </si>
  <si>
    <t>$N$26</t>
  </si>
  <si>
    <t>$J$27</t>
  </si>
  <si>
    <t>$K$27</t>
  </si>
  <si>
    <t>$L$27</t>
  </si>
  <si>
    <t>$N$27</t>
  </si>
  <si>
    <t>$J$28</t>
  </si>
  <si>
    <t>$K$28</t>
  </si>
  <si>
    <t>$L$28</t>
  </si>
  <si>
    <t>$N$28</t>
  </si>
  <si>
    <t>$J$29</t>
  </si>
  <si>
    <t>$K$29</t>
  </si>
  <si>
    <t>$L$29</t>
  </si>
  <si>
    <t>$N$29</t>
  </si>
  <si>
    <t>ERWIN S. FORTEZ</t>
  </si>
  <si>
    <t>$J$19:$L$30</t>
  </si>
  <si>
    <t>$N$19:$N$28</t>
  </si>
  <si>
    <t>$J$30</t>
  </si>
  <si>
    <t>$K$30</t>
  </si>
  <si>
    <t>$L$30</t>
  </si>
  <si>
    <t>$N$30</t>
  </si>
  <si>
    <t>$P$8</t>
  </si>
  <si>
    <t>$P$12</t>
  </si>
  <si>
    <t>$P$14</t>
  </si>
  <si>
    <t>$P$18</t>
  </si>
  <si>
    <t>$P$20</t>
  </si>
  <si>
    <t>$P$22</t>
  </si>
  <si>
    <t>$P$24</t>
  </si>
  <si>
    <t>$P$26</t>
  </si>
  <si>
    <t>$P$28</t>
  </si>
  <si>
    <t>$P$30</t>
  </si>
  <si>
    <t>$J$8:$K$26</t>
  </si>
  <si>
    <t>$L$7:$L$17</t>
  </si>
  <si>
    <t>$N$7:$N$18</t>
  </si>
  <si>
    <t>$P$7:$P$18</t>
  </si>
  <si>
    <t>$L$17:$L$22</t>
  </si>
  <si>
    <t>$N$20:$N$28</t>
  </si>
  <si>
    <t>$N$19:$N$25</t>
  </si>
  <si>
    <t>$N$28:$N$30</t>
  </si>
  <si>
    <t>$P$20:$P$31</t>
  </si>
  <si>
    <t>$J$29:$J$30</t>
  </si>
  <si>
    <t>$K$27:$K$31</t>
  </si>
  <si>
    <t>$L$23:$L$31</t>
  </si>
  <si>
    <t>LUC 517</t>
  </si>
  <si>
    <t>$R$10</t>
  </si>
  <si>
    <t>$R$12</t>
  </si>
  <si>
    <t>$R$13</t>
  </si>
  <si>
    <t>$R$14</t>
  </si>
  <si>
    <t>$R$15</t>
  </si>
  <si>
    <t>$R$16</t>
  </si>
  <si>
    <t>$R$17</t>
  </si>
  <si>
    <t>$R$18</t>
  </si>
  <si>
    <t>Service vehicle</t>
  </si>
  <si>
    <t>$R$20</t>
  </si>
  <si>
    <t>$R$22</t>
  </si>
  <si>
    <t>$R$24</t>
  </si>
  <si>
    <t>$R$26</t>
  </si>
  <si>
    <t>$R$28</t>
  </si>
  <si>
    <t>$R$30</t>
  </si>
  <si>
    <t>$M$13:$M$16</t>
  </si>
  <si>
    <t>$S$9</t>
  </si>
  <si>
    <t>$Q$10</t>
  </si>
  <si>
    <t>$S$10</t>
  </si>
  <si>
    <t>$T$10</t>
  </si>
  <si>
    <t>$Q$11</t>
  </si>
  <si>
    <t>$S$11</t>
  </si>
  <si>
    <t>$T$11</t>
  </si>
  <si>
    <t>$Q$12</t>
  </si>
  <si>
    <t>$S$12</t>
  </si>
  <si>
    <t>$T$12</t>
  </si>
  <si>
    <t>$Q$13</t>
  </si>
  <si>
    <t>$S$13</t>
  </si>
  <si>
    <t>$T$13</t>
  </si>
  <si>
    <t>$Q$14</t>
  </si>
  <si>
    <t>$S$14</t>
  </si>
  <si>
    <t>$T$14</t>
  </si>
  <si>
    <t>$Q$15</t>
  </si>
  <si>
    <t>$S$15</t>
  </si>
  <si>
    <t>$T$15</t>
  </si>
  <si>
    <t>$Q$16</t>
  </si>
  <si>
    <t>$Q$17</t>
  </si>
  <si>
    <t>$S$17</t>
  </si>
  <si>
    <t>$T$17</t>
  </si>
  <si>
    <t>$Q$18</t>
  </si>
  <si>
    <t>$S$18</t>
  </si>
  <si>
    <t>$T$18</t>
  </si>
  <si>
    <t>$Q$19</t>
  </si>
  <si>
    <t>$S$19</t>
  </si>
  <si>
    <t>$T$19</t>
  </si>
  <si>
    <t>10 Dec 2023 to 13 January 2024</t>
  </si>
  <si>
    <t>Dec 10-Jan 13</t>
  </si>
  <si>
    <t>Jan 13-Feb 10</t>
  </si>
  <si>
    <t>Feb 10-Mar 8</t>
  </si>
  <si>
    <t>Feb 11-Mar 8</t>
  </si>
  <si>
    <t>Mar 9-Apr 9</t>
  </si>
  <si>
    <t>10 Apr-May 9</t>
  </si>
  <si>
    <t>10 May-Jun 9</t>
  </si>
  <si>
    <t>10 Jun-Jul 9</t>
  </si>
  <si>
    <t>10 Jul-Aug 9</t>
  </si>
  <si>
    <t>10 Aug-Sep 9</t>
  </si>
  <si>
    <t>10 Sep-Oct 9</t>
  </si>
  <si>
    <t>10 Oct-Nov 9</t>
  </si>
  <si>
    <t>10 Nov-Dec 9</t>
  </si>
  <si>
    <t>Front Guardhouse</t>
  </si>
  <si>
    <t>$W$10</t>
  </si>
  <si>
    <t>Wall mounted aircon</t>
  </si>
  <si>
    <t>1 unit - Split Type</t>
  </si>
  <si>
    <t>2 units- Window Type</t>
  </si>
  <si>
    <t>Main Lobby</t>
  </si>
  <si>
    <t>Wall mounted A/C</t>
  </si>
  <si>
    <t>Window Type A/C</t>
  </si>
  <si>
    <t>Carrier</t>
  </si>
  <si>
    <t>$W$11</t>
  </si>
  <si>
    <t>$W$9:$W$11</t>
  </si>
  <si>
    <t>$Q$21</t>
  </si>
  <si>
    <t>EFLC Office</t>
  </si>
  <si>
    <t>Window type</t>
  </si>
  <si>
    <t>$W$13</t>
  </si>
  <si>
    <t>Wall Mounted A/C</t>
  </si>
  <si>
    <t>$W$12</t>
  </si>
  <si>
    <t>Multi-Purpose Room</t>
  </si>
  <si>
    <t>$O$9</t>
  </si>
  <si>
    <t>$Q$9:$Q$14</t>
  </si>
  <si>
    <t>$R$9:$R$14</t>
  </si>
  <si>
    <t>$W$9:$W$14</t>
  </si>
  <si>
    <t>$O$11</t>
  </si>
  <si>
    <t>$O$13</t>
  </si>
  <si>
    <t>$O$14</t>
  </si>
  <si>
    <t>$P$11</t>
  </si>
  <si>
    <t>$W$20</t>
  </si>
  <si>
    <t>$W$21</t>
  </si>
  <si>
    <t>$O$9:$P$15</t>
  </si>
  <si>
    <t>Tellers Lobby</t>
  </si>
  <si>
    <t>COD-Tellers Lobby</t>
  </si>
  <si>
    <t>COD-RCRC Area</t>
  </si>
  <si>
    <t>COD-Shredding Area</t>
  </si>
  <si>
    <t>COD- Manager's Office</t>
  </si>
  <si>
    <t>COD Common Area</t>
  </si>
  <si>
    <t>$M$20</t>
  </si>
  <si>
    <t>COD Canceller Area</t>
  </si>
  <si>
    <t>$M$21</t>
  </si>
  <si>
    <t>COD Verification Area</t>
  </si>
  <si>
    <t>$M$22</t>
  </si>
  <si>
    <t>$M$23</t>
  </si>
  <si>
    <t>$R$19</t>
  </si>
  <si>
    <t>$Q$20</t>
  </si>
  <si>
    <t>$R$21</t>
  </si>
  <si>
    <t>$Q$22</t>
  </si>
  <si>
    <t>$Q$23</t>
  </si>
  <si>
    <t>$R$23</t>
  </si>
  <si>
    <t>COD Receiving Area</t>
  </si>
  <si>
    <t>COD Releasinf Area</t>
  </si>
  <si>
    <t>COD Releasing Area</t>
  </si>
  <si>
    <t>$M$25</t>
  </si>
  <si>
    <t>$M$26</t>
  </si>
  <si>
    <t>$Q$24</t>
  </si>
  <si>
    <t>$Q$25</t>
  </si>
  <si>
    <t>$Q$26</t>
  </si>
  <si>
    <t>$R$25</t>
  </si>
  <si>
    <t>2/F Medical Clinic</t>
  </si>
  <si>
    <t>$M$27</t>
  </si>
  <si>
    <t>$Q$27</t>
  </si>
  <si>
    <t>$R$27</t>
  </si>
  <si>
    <t>2/F Security Office</t>
  </si>
  <si>
    <t>$M$28</t>
  </si>
  <si>
    <t>$Q$28</t>
  </si>
  <si>
    <t>2/F COA Office</t>
  </si>
  <si>
    <t>$Q$29</t>
  </si>
  <si>
    <t>$R$29</t>
  </si>
  <si>
    <t xml:space="preserve">2/F </t>
  </si>
  <si>
    <t>2/F Records Room</t>
  </si>
  <si>
    <t>$M$30</t>
  </si>
  <si>
    <t>$Q$30</t>
  </si>
  <si>
    <t>2/F Area Director Office</t>
  </si>
  <si>
    <t>$J$31</t>
  </si>
  <si>
    <t>$K$31</t>
  </si>
  <si>
    <t>$L$31</t>
  </si>
  <si>
    <t>$M$31</t>
  </si>
  <si>
    <t>$N$31</t>
  </si>
  <si>
    <t>$Q$31</t>
  </si>
  <si>
    <t>$R$31</t>
  </si>
  <si>
    <t>2/Floor</t>
  </si>
  <si>
    <t>$J$32</t>
  </si>
  <si>
    <t>2/FLoor Records Room</t>
  </si>
  <si>
    <t>2/Floor COA Office</t>
  </si>
  <si>
    <t>2/Floor Security Office</t>
  </si>
  <si>
    <t>2/Floor Medical Clinic</t>
  </si>
  <si>
    <t>2/Floor A</t>
  </si>
  <si>
    <t>2/Floor  Area Director Office</t>
  </si>
  <si>
    <t>2/F  Area Director Office</t>
  </si>
  <si>
    <t>2/F A</t>
  </si>
  <si>
    <t>$K$32</t>
  </si>
  <si>
    <t>$L$32</t>
  </si>
  <si>
    <t>$M$32</t>
  </si>
  <si>
    <t>$N$32</t>
  </si>
  <si>
    <t>$Q$32</t>
  </si>
  <si>
    <t>$R$32</t>
  </si>
  <si>
    <t>2/F Conference Rm</t>
  </si>
  <si>
    <t>$J$33</t>
  </si>
  <si>
    <t>$K$33</t>
  </si>
  <si>
    <t>$L$33</t>
  </si>
  <si>
    <t>$M$33</t>
  </si>
  <si>
    <t>$N$33</t>
  </si>
  <si>
    <t>$Q$33</t>
  </si>
  <si>
    <t>$R$33</t>
  </si>
  <si>
    <t>2/F Conference Room</t>
  </si>
  <si>
    <t>2/F OSD/FSS Area</t>
  </si>
  <si>
    <t>$J$34</t>
  </si>
  <si>
    <t>$K$34</t>
  </si>
  <si>
    <t>$L$34</t>
  </si>
  <si>
    <t>$M$34</t>
  </si>
  <si>
    <t>$N$34</t>
  </si>
  <si>
    <t>$Q$34</t>
  </si>
  <si>
    <t>$R$34</t>
  </si>
  <si>
    <t>2/F OSD/FSS/OAD Area</t>
  </si>
  <si>
    <t>$J$35</t>
  </si>
  <si>
    <t>$K$35</t>
  </si>
  <si>
    <t>$L$35</t>
  </si>
  <si>
    <t>$M$35</t>
  </si>
  <si>
    <t>$N$35</t>
  </si>
  <si>
    <t>$Q$35</t>
  </si>
  <si>
    <t>$R$35</t>
  </si>
  <si>
    <t>2/F</t>
  </si>
  <si>
    <t>$J$36</t>
  </si>
  <si>
    <t>2/F Data Room</t>
  </si>
  <si>
    <t>$K$36</t>
  </si>
  <si>
    <t>$L$36</t>
  </si>
  <si>
    <t>$M$36</t>
  </si>
  <si>
    <t>$N$36</t>
  </si>
  <si>
    <t>$Q$36</t>
  </si>
  <si>
    <t>$R$36</t>
  </si>
  <si>
    <t>2/F  Pantry</t>
  </si>
  <si>
    <t>$J$37</t>
  </si>
  <si>
    <t>$K$37</t>
  </si>
  <si>
    <t>$L$37</t>
  </si>
  <si>
    <t>$M$37</t>
  </si>
  <si>
    <t>$N$37</t>
  </si>
  <si>
    <t>$Q$37</t>
  </si>
  <si>
    <t>$R$37</t>
  </si>
  <si>
    <t>2/F Driver's Office</t>
  </si>
  <si>
    <t>$J$38</t>
  </si>
  <si>
    <t>$K$38</t>
  </si>
  <si>
    <t>$L$38</t>
  </si>
  <si>
    <t>$M$38</t>
  </si>
  <si>
    <t>$N$38</t>
  </si>
  <si>
    <t>$Q$38</t>
  </si>
  <si>
    <t>$R$38</t>
  </si>
  <si>
    <t>2/F CCTV Radio Room</t>
  </si>
  <si>
    <t>$J$39</t>
  </si>
  <si>
    <t>$K$39</t>
  </si>
  <si>
    <t>$L$39</t>
  </si>
  <si>
    <t>$M$39</t>
  </si>
  <si>
    <t>$N$39</t>
  </si>
  <si>
    <t>$Q$39</t>
  </si>
  <si>
    <t>$R$39</t>
  </si>
  <si>
    <t>2/F CCTV Monitoring Area</t>
  </si>
  <si>
    <t>$J$40</t>
  </si>
  <si>
    <t>$L$40</t>
  </si>
  <si>
    <t>$M$40</t>
  </si>
  <si>
    <t>$N$40</t>
  </si>
  <si>
    <t>$Q$40</t>
  </si>
  <si>
    <t>$R$40</t>
  </si>
  <si>
    <t>Aircon unit was relocated</t>
  </si>
  <si>
    <t>$W$37</t>
  </si>
  <si>
    <t>Based on DENR Quarterly Reporting</t>
  </si>
  <si>
    <t>$O$15</t>
  </si>
  <si>
    <t>$W$41</t>
  </si>
  <si>
    <t>$J$14:$J$20</t>
  </si>
  <si>
    <t>$L$8:$L$20</t>
  </si>
  <si>
    <t>$M$8:$M$19</t>
  </si>
  <si>
    <t>$N$8:$N$20</t>
  </si>
  <si>
    <t>$A$27:$G$37</t>
  </si>
  <si>
    <t>$J$7:$L$30</t>
  </si>
  <si>
    <t>$N$7:$N$30</t>
  </si>
  <si>
    <t>$P$8:$P$31</t>
  </si>
  <si>
    <t>$R$8:$R$28</t>
  </si>
  <si>
    <t>$J$7:$J$11</t>
  </si>
  <si>
    <t>$K$7:$K$10</t>
  </si>
  <si>
    <t>$M$7:$M$12</t>
  </si>
  <si>
    <t>$O$7:$O$10</t>
  </si>
  <si>
    <t>$J$41</t>
  </si>
  <si>
    <t>SFW-677</t>
  </si>
  <si>
    <t>SLF-429</t>
  </si>
  <si>
    <t>SDN-7355</t>
  </si>
  <si>
    <t>WS-742A (New Grandia)</t>
  </si>
  <si>
    <t>SDN-7355 (Innova)</t>
  </si>
  <si>
    <t>SLF-429 (Old Grandia)</t>
  </si>
  <si>
    <t>$P$15</t>
  </si>
  <si>
    <t>$P$17</t>
  </si>
  <si>
    <t>$P$19</t>
  </si>
  <si>
    <t>$P$21</t>
  </si>
  <si>
    <t>LUC 596</t>
  </si>
  <si>
    <t>$P$23</t>
  </si>
  <si>
    <t>$P$25</t>
  </si>
  <si>
    <t>SFX-517</t>
  </si>
  <si>
    <t>LUC-2456</t>
  </si>
  <si>
    <t>$P$27</t>
  </si>
  <si>
    <t>$P$29</t>
  </si>
  <si>
    <t>$A$27:$F$39</t>
  </si>
  <si>
    <t>$J$16:$J$20</t>
  </si>
  <si>
    <t>$L$16:$L$19</t>
  </si>
  <si>
    <t>$M$16:$M$19</t>
  </si>
  <si>
    <t>$N$16:$N$19</t>
  </si>
  <si>
    <t>$Q$16:$Q$20</t>
  </si>
  <si>
    <t>$S$16:$S$20</t>
  </si>
  <si>
    <t>$T$16:$T$19</t>
  </si>
  <si>
    <t>$M$8:$M$16</t>
  </si>
  <si>
    <t>$N$8:$N$15</t>
  </si>
  <si>
    <t>$S$8:$S$16</t>
  </si>
  <si>
    <t>12Dec-10Jan</t>
  </si>
  <si>
    <t>Dec12-Jan10</t>
  </si>
  <si>
    <t>Jan11-Feb10</t>
  </si>
  <si>
    <t>Feb11-Mar10</t>
  </si>
  <si>
    <t>Mar11-Apr11</t>
  </si>
  <si>
    <t>Apr12-May9</t>
  </si>
  <si>
    <t>May10-Jun10</t>
  </si>
  <si>
    <t>Jun11-Jul10</t>
  </si>
  <si>
    <t>Jun11-Aug10</t>
  </si>
  <si>
    <t>$T$8:$T$15</t>
  </si>
  <si>
    <t>$J$12:$J$15</t>
  </si>
  <si>
    <t>$M$8:$M$15</t>
  </si>
  <si>
    <t>$N$12:$N$15</t>
  </si>
  <si>
    <t>$O$12:$O$16</t>
  </si>
  <si>
    <t>$L$12:$L$15</t>
  </si>
  <si>
    <t>$J$14:$J$16</t>
  </si>
  <si>
    <t>$O$8:$O$12</t>
  </si>
  <si>
    <t>$L$10:$L$13</t>
  </si>
  <si>
    <t>$M$10:$M$14</t>
  </si>
  <si>
    <t>$N$10:$N$13</t>
  </si>
  <si>
    <t>$J$10:$J$13</t>
  </si>
  <si>
    <t>Based on DENR Reporting</t>
  </si>
  <si>
    <t>$O$16</t>
  </si>
  <si>
    <t>Jan-Mar Genset Testin</t>
  </si>
  <si>
    <t>Apr-Jun ( Genset Testing)</t>
  </si>
  <si>
    <t>Jan-Mar (Genset Testing)</t>
  </si>
  <si>
    <t>Jul-Sep (Genset Testing)</t>
  </si>
  <si>
    <t>$I$10:$O$106</t>
  </si>
  <si>
    <t>$N$7:$N$9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</si>
</sst>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quot;₱&quot;#,##0.00"/>
    <numFmt numFmtId="165" formatCode="_-* #,##0.00\ _€_-;\-* #,##0.00\ _€_-;_-* &quot;-&quot;??\ _€_-;_-@_-"/>
    <numFmt numFmtId="166" formatCode="&quot;₱&quot;#,##0.00"/>
    <numFmt numFmtId="167" formatCode="0.0000"/>
    <numFmt numFmtId="168" formatCode="#,##0.0000"/>
    <numFmt numFmtId="169"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5"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6">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6" fontId="8" fillId="3" borderId="0" xfId="0" applyNumberFormat="1" applyFont="1" applyFill="1" applyProtection="1">
      <protection locked="0"/>
    </xf>
    <xf numFmtId="166"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6" fontId="8" fillId="3" borderId="0" xfId="0" applyNumberFormat="1" applyFont="1" applyFill="1" applyAlignment="1" applyProtection="1">
      <alignment horizontal="center" vertical="center"/>
      <protection locked="0"/>
    </xf>
    <xf numFmtId="166"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6" fontId="12" fillId="25" borderId="6" xfId="0" applyNumberFormat="1" applyFont="1" applyFill="1" applyBorder="1" applyAlignment="1" applyProtection="1">
      <alignment horizontal="center" vertical="center"/>
      <protection locked="0"/>
    </xf>
    <xf numFmtId="166"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7" fontId="8" fillId="9" borderId="4" xfId="0" applyNumberFormat="1" applyFont="1" applyFill="1" applyBorder="1" applyProtection="1">
      <protection locked="0"/>
    </xf>
    <xf numFmtId="166"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8"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6"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6" fontId="8" fillId="3" borderId="7" xfId="0" applyNumberFormat="1" applyFont="1" applyFill="1" applyBorder="1" applyProtection="1">
      <protection locked="0"/>
    </xf>
    <xf numFmtId="166"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6" fontId="12" fillId="28" borderId="6" xfId="0" applyNumberFormat="1" applyFont="1" applyFill="1" applyBorder="1" applyAlignment="1" applyProtection="1">
      <alignment horizontal="center" vertical="center"/>
      <protection locked="0"/>
    </xf>
    <xf numFmtId="166"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6" fontId="8" fillId="13" borderId="26" xfId="0" applyNumberFormat="1" applyFont="1" applyFill="1" applyBorder="1" applyProtection="1">
      <protection locked="0"/>
    </xf>
    <xf numFmtId="166"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6" fontId="8" fillId="3" borderId="40" xfId="0" applyNumberFormat="1" applyFont="1" applyFill="1" applyBorder="1" applyProtection="1">
      <protection locked="0"/>
    </xf>
    <xf numFmtId="166"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6" fontId="8" fillId="3" borderId="45" xfId="0" applyNumberFormat="1" applyFont="1" applyFill="1" applyBorder="1" applyProtection="1">
      <protection locked="0"/>
    </xf>
    <xf numFmtId="166"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9"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6" fontId="8" fillId="13" borderId="50" xfId="0" applyNumberFormat="1" applyFont="1" applyFill="1" applyBorder="1" applyProtection="1">
      <protection locked="0"/>
    </xf>
    <xf numFmtId="166"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4" fontId="0" fillId="0" borderId="0" xfId="0" applyNumberFormat="1"/>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1">
    <dxf>
      <fill>
        <patternFill>
          <bgColor theme="0"/>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6"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microsoft.com/office/2007/relationships/slicerCache" Target="slicerCaches/slicerCache14.xml"/><Relationship Id="rId21" Type="http://schemas.openxmlformats.org/officeDocument/2006/relationships/pivotCacheDefinition" Target="pivotCache/pivotCacheDefinition2.xml"/><Relationship Id="rId34" Type="http://schemas.microsoft.com/office/2007/relationships/slicerCache" Target="slicerCaches/slicerCache9.xml"/><Relationship Id="rId42" Type="http://schemas.microsoft.com/office/2007/relationships/slicerCache" Target="slicerCaches/slicerCache17.xml"/><Relationship Id="rId47" Type="http://schemas.microsoft.com/office/2007/relationships/slicerCache" Target="slicerCaches/slicerCache22.xml"/><Relationship Id="rId50" Type="http://schemas.microsoft.com/office/2007/relationships/slicerCache" Target="slicerCaches/slicerCache25.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openxmlformats.org/officeDocument/2006/relationships/sharedStrings" Target="sharedStrings.xml"/><Relationship Id="rId58" Type="http://schemas.openxmlformats.org/officeDocument/2006/relationships/customXml" Target="../customXml/item3.xml"/><Relationship Id="rId5" Type="http://schemas.openxmlformats.org/officeDocument/2006/relationships/worksheet" Target="worksheets/sheet5.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6/relationships/vbaProject" Target="vbaProject.bin"/><Relationship Id="rId20" Type="http://schemas.openxmlformats.org/officeDocument/2006/relationships/pivotCacheDefinition" Target="pivotCache/pivotCacheDefinition1.xml"/><Relationship Id="rId41" Type="http://schemas.microsoft.com/office/2007/relationships/slicerCache" Target="slicerCaches/slicerCache1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openxmlformats.org/officeDocument/2006/relationships/customXml" Target="../customXml/item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6">
      <sharedItems containsString="0" containsBlank="1" containsNumber="1" containsInteger="1" minValue="100" maxValue="8000"/>
    </cacheField>
    <cacheField name="Utility Provider" numFmtId="166">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10697916668"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23"/>
    </cacheField>
    <cacheField name="Vehicle Type" numFmtId="0">
      <sharedItems containsBlank="1" count="11">
        <s v="Armored Vehicle"/>
        <s v="Van  "/>
        <s v="Multi-Purpose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m/>
        <s v="Aug" u="1"/>
        <s v="Sep" u="1"/>
        <s v="Oct" u="1"/>
        <s v="Nov" u="1"/>
        <s v="Dec" u="1"/>
      </sharedItems>
    </cacheField>
    <cacheField name="Quarter" numFmtId="0">
      <sharedItems containsBlank="1" count="6">
        <s v="Q1"/>
        <s v="Q2"/>
        <s v="Q3"/>
        <s v=""/>
        <s v="Q4" u="1"/>
        <m u="1"/>
      </sharedItems>
    </cacheField>
    <cacheField name="Consumption" numFmtId="4">
      <sharedItems containsString="0" containsBlank="1" containsNumber="1" minValue="3.55" maxValue="501.71"/>
    </cacheField>
    <cacheField name="Unit" numFmtId="0">
      <sharedItems containsBlank="1"/>
    </cacheField>
    <cacheField name="Total kilometers travelled (all vehicles)" numFmtId="4">
      <sharedItems containsString="0" containsBlank="1" containsNumber="1" minValue="4" maxValue="2904"/>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599999999999996"/>
    <s v="Liters"/>
    <n v="4"/>
    <s v="Kilometers"/>
    <s v="SFW-677"/>
  </r>
  <r>
    <n v="2"/>
    <x v="1"/>
    <x v="0"/>
    <x v="0"/>
    <x v="0"/>
    <n v="45.13"/>
    <m/>
    <n v="466"/>
    <s v="Kilometers"/>
    <s v="SLF-429 (Old Grandia)"/>
  </r>
  <r>
    <n v="3"/>
    <x v="2"/>
    <x v="0"/>
    <x v="0"/>
    <x v="0"/>
    <n v="74.33"/>
    <s v="Liters"/>
    <n v="678"/>
    <s v="Kilometers"/>
    <s v="SDN-7355 (Innova)"/>
  </r>
  <r>
    <n v="4"/>
    <x v="1"/>
    <x v="0"/>
    <x v="0"/>
    <x v="0"/>
    <n v="148.44"/>
    <s v="Liters"/>
    <n v="1237"/>
    <s v="Kilometers"/>
    <s v="WS-742A (New Grandia)"/>
  </r>
  <r>
    <n v="5"/>
    <x v="1"/>
    <x v="0"/>
    <x v="1"/>
    <x v="0"/>
    <n v="188.11"/>
    <s v="Liters"/>
    <n v="1619"/>
    <s v="Kilometers"/>
    <s v="SLF-429 (Old Grandia)"/>
  </r>
  <r>
    <n v="6"/>
    <x v="2"/>
    <x v="0"/>
    <x v="1"/>
    <x v="0"/>
    <n v="154.78"/>
    <s v="Liters"/>
    <n v="1533"/>
    <s v="Kilometers"/>
    <s v="SDN-7355 (Innova)"/>
  </r>
  <r>
    <n v="7"/>
    <x v="0"/>
    <x v="0"/>
    <x v="2"/>
    <x v="0"/>
    <n v="13.88"/>
    <s v="Liters"/>
    <n v="29"/>
    <s v="Kilometers"/>
    <s v="SFW-677"/>
  </r>
  <r>
    <n v="8"/>
    <x v="1"/>
    <x v="0"/>
    <x v="2"/>
    <x v="0"/>
    <n v="92.85"/>
    <s v="Liters"/>
    <n v="909"/>
    <s v="Kilometers"/>
    <s v="SLF-429 (Old Grandia)"/>
  </r>
  <r>
    <n v="9"/>
    <x v="2"/>
    <x v="0"/>
    <x v="2"/>
    <x v="0"/>
    <n v="167.01"/>
    <s v="Liters"/>
    <n v="1781"/>
    <s v="Kilometers"/>
    <s v="SDN-7355 (Innova)"/>
  </r>
  <r>
    <n v="10"/>
    <x v="0"/>
    <x v="0"/>
    <x v="3"/>
    <x v="1"/>
    <n v="47.3"/>
    <s v="Liters"/>
    <n v="204"/>
    <s v="Kilometers"/>
    <s v="SFW-677"/>
  </r>
  <r>
    <n v="11"/>
    <x v="1"/>
    <x v="0"/>
    <x v="3"/>
    <x v="1"/>
    <n v="109.39"/>
    <s v="Liters"/>
    <n v="1121"/>
    <s v="Kilometers"/>
    <s v="SLF-429 (Old Grandia)"/>
  </r>
  <r>
    <n v="12"/>
    <x v="2"/>
    <x v="0"/>
    <x v="3"/>
    <x v="1"/>
    <n v="171.35"/>
    <s v="Liters"/>
    <n v="1328"/>
    <s v="Kilometers"/>
    <s v="SDN-7355 (Innova)"/>
  </r>
  <r>
    <n v="13"/>
    <x v="1"/>
    <x v="0"/>
    <x v="4"/>
    <x v="1"/>
    <n v="69.55"/>
    <s v="Liters"/>
    <n v="599"/>
    <s v="Kilometers"/>
    <s v="SLF-429 (Old Grandia)"/>
  </r>
  <r>
    <n v="14"/>
    <x v="2"/>
    <x v="0"/>
    <x v="4"/>
    <x v="1"/>
    <n v="123.57"/>
    <s v="Liters"/>
    <n v="1080"/>
    <s v="Kilometers"/>
    <s v="SDN-7355 (Innova)"/>
  </r>
  <r>
    <n v="15"/>
    <x v="0"/>
    <x v="0"/>
    <x v="5"/>
    <x v="1"/>
    <n v="7.09"/>
    <s v="Liters"/>
    <n v="11"/>
    <s v="Kilometers"/>
    <s v="SFW-677"/>
  </r>
  <r>
    <n v="16"/>
    <x v="0"/>
    <x v="0"/>
    <x v="5"/>
    <x v="1"/>
    <n v="3.55"/>
    <s v="Liters"/>
    <n v="10"/>
    <s v="Kilometers"/>
    <s v="LUC 596"/>
  </r>
  <r>
    <n v="17"/>
    <x v="1"/>
    <x v="0"/>
    <x v="5"/>
    <x v="1"/>
    <n v="45.13"/>
    <s v="Liters"/>
    <n v="466"/>
    <s v="Kilometers"/>
    <s v="SLF-429 (Old Grandia)"/>
  </r>
  <r>
    <n v="18"/>
    <x v="2"/>
    <x v="0"/>
    <x v="5"/>
    <x v="1"/>
    <n v="295.55"/>
    <s v="Liters"/>
    <n v="2904"/>
    <s v="Kilometers"/>
    <s v="SDN-7355 (Innova)"/>
  </r>
  <r>
    <n v="19"/>
    <x v="0"/>
    <x v="0"/>
    <x v="6"/>
    <x v="2"/>
    <n v="8.3699999999999992"/>
    <s v="Liters"/>
    <n v="14.4"/>
    <s v="Kilometers"/>
    <s v="SFX-517"/>
  </r>
  <r>
    <n v="20"/>
    <x v="0"/>
    <x v="0"/>
    <x v="6"/>
    <x v="2"/>
    <n v="12.45"/>
    <s v="Liters"/>
    <n v="51"/>
    <s v="Kilometers"/>
    <s v="LUC-2456"/>
  </r>
  <r>
    <n v="21"/>
    <x v="1"/>
    <x v="0"/>
    <x v="6"/>
    <x v="2"/>
    <n v="79.069999999999993"/>
    <s v="Liters"/>
    <n v="544"/>
    <s v="Kilometers"/>
    <s v="SLF-429 (Old Grandia)"/>
  </r>
  <r>
    <n v="22"/>
    <x v="2"/>
    <x v="0"/>
    <x v="6"/>
    <x v="2"/>
    <n v="501.71"/>
    <s v="Liters"/>
    <n v="2251"/>
    <s v="Kilometers"/>
    <s v="SDN-7355 (Innova)"/>
  </r>
  <r>
    <n v="23"/>
    <x v="1"/>
    <x v="0"/>
    <x v="6"/>
    <x v="2"/>
    <n v="74.09"/>
    <s v="Liters"/>
    <n v="150"/>
    <s v="Kilometers"/>
    <s v="WS-742A (New Grandia)"/>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r>
    <s v=""/>
    <x v="3"/>
    <x v="1"/>
    <x v="7"/>
    <x v="3"/>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7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9"/>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7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9"/>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7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7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7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7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7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F39" firstHeaderRow="1" firstDataRow="2" firstDataCol="1" rowPageCount="1" colPageCount="1"/>
  <pivotFields count="10">
    <pivotField showAll="0"/>
    <pivotField axis="axisRow" showAll="0">
      <items count="12">
        <item m="1" x="10"/>
        <item m="1" x="9"/>
        <item x="3"/>
        <item m="1" x="4"/>
        <item m="1" x="8"/>
        <item m="1" x="5"/>
        <item m="1" x="6"/>
        <item m="1" x="7"/>
        <item x="0"/>
        <item x="2"/>
        <item x="1"/>
        <item t="default"/>
      </items>
    </pivotField>
    <pivotField axis="axisRow" showAll="0">
      <items count="5">
        <item x="0"/>
        <item m="1" x="2"/>
        <item x="1"/>
        <item m="1" x="3"/>
        <item t="default"/>
      </items>
    </pivotField>
    <pivotField axis="axisPage" showAll="0">
      <items count="14">
        <item x="0"/>
        <item x="1"/>
        <item m="1" x="10"/>
        <item x="7"/>
        <item x="4"/>
        <item m="1" x="9"/>
        <item x="2"/>
        <item x="3"/>
        <item x="5"/>
        <item x="6"/>
        <item m="1" x="8"/>
        <item m="1" x="11"/>
        <item m="1" x="12"/>
        <item t="default"/>
      </items>
    </pivotField>
    <pivotField axis="axisCol" showAll="0">
      <items count="7">
        <item x="3"/>
        <item x="0"/>
        <item m="1" x="4"/>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5">
    <i>
      <x/>
    </i>
    <i>
      <x v="1"/>
    </i>
    <i>
      <x v="3"/>
    </i>
    <i>
      <x v="4"/>
    </i>
    <i t="grand">
      <x/>
    </i>
  </colItems>
  <pageFields count="1">
    <pageField fld="3" hier="-1"/>
  </pageFields>
  <dataFields count="1">
    <dataField name="Sum of Consumption" fld="5" baseField="0" baseItem="0" numFmtId="169"/>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8" s="1" nd="1"/>
        <i x="9" s="1" nd="1"/>
        <i x="10" s="1" nd="1"/>
        <i x="11" s="1" nd="1"/>
        <i x="12" s="1" nd="1"/>
        <i x="7"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9" totalsRowShown="0" headerRowDxfId="110" dataDxfId="108" headerRowBorderDxfId="109" tableBorderDxfId="107">
  <autoFilter ref="I6:O9" xr:uid="{5D54EA1C-BF56-1C41-A397-8FB104BB2C69}"/>
  <tableColumns count="7">
    <tableColumn id="1" xr3:uid="{0736B116-FD52-4F4F-884D-77C731445CFF}" name="No." dataDxfId="106">
      <calculatedColumnFormula>IF(#REF!="","",$I7+1)</calculatedColumnFormula>
    </tableColumn>
    <tableColumn id="5" xr3:uid="{C603CCC2-2764-574B-B616-B1F220EFF63F}" name="Fuel Type" dataDxfId="105"/>
    <tableColumn id="6" xr3:uid="{29E6127A-1BBD-4D42-8A5A-1FA1E160EC19}" name="Month" dataDxfId="104"/>
    <tableColumn id="7" xr3:uid="{AAB63BD1-C28A-2145-9671-756792E786E6}" name="Quarter" dataDxfId="103">
      <calculatedColumnFormula>IF(Fuel_Blg[[#This Row],[Month]]&lt;&gt;"",VLOOKUP(Fuel_Blg[[#This Row],[Month]], dropdown!$S$4:$T$15, 2, FALSE),"")</calculatedColumnFormula>
    </tableColumn>
    <tableColumn id="8" xr3:uid="{2659C633-FEE7-7446-91C8-0ACAADD03760}" name="Consumption" dataDxfId="102"/>
    <tableColumn id="9" xr3:uid="{83261790-77E9-A84F-890F-8F209571520F}" name="Unit" dataDxfId="101">
      <calculatedColumnFormula>IF($J7="","",VLOOKUP($J7,dropdown!$P$3:$Q$8,2,FALSE))</calculatedColumnFormula>
    </tableColumn>
    <tableColumn id="10" xr3:uid="{ADF20B56-6D74-6149-B0C0-FB9AA3F5AC8E}" name="Remarks"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9" dataDxfId="97" headerRowBorderDxfId="98" tableBorderDxfId="96" totalsRowBorderDxfId="95">
  <autoFilter ref="I6:R106" xr:uid="{A85D45EB-1572-A543-812E-815536D59C14}"/>
  <tableColumns count="10">
    <tableColumn id="1" xr3:uid="{CA340CBE-9D85-6C42-9CA1-DDAD368521C3}" name="No." dataDxfId="94">
      <calculatedColumnFormula>IF($J7="","",$I6+1)</calculatedColumnFormula>
    </tableColumn>
    <tableColumn id="2" xr3:uid="{CFAD3D96-F137-044A-AE4C-49E5188E1144}" name="Vehicle Type" dataDxfId="93"/>
    <tableColumn id="3" xr3:uid="{5A421D87-7A43-B14E-BA71-EABB4924A663}" name="Fuel Type" dataDxfId="92"/>
    <tableColumn id="4" xr3:uid="{9C4094CC-7613-9147-BAF8-A31087280A9A}" name="Month" dataDxfId="91"/>
    <tableColumn id="10" xr3:uid="{5211A67F-348D-494D-AD2E-AD4A362BCD78}" name="Quarter" dataDxfId="90">
      <calculatedColumnFormula>IF(Fuel_Veh[[#This Row],[Month]]&lt;&gt;"",VLOOKUP(Fuel_Veh[[#This Row],[Month]], dropdown!$S$4:$T$15, 2, FALSE),"")</calculatedColumnFormula>
    </tableColumn>
    <tableColumn id="5" xr3:uid="{6EDA12F9-55D0-694A-BAB9-B15BDE58CA76}" name="Consumption" dataDxfId="89"/>
    <tableColumn id="7" xr3:uid="{E7761959-51F4-954F-B8FB-F46DCC54C53F}" name="Unit" dataDxfId="88">
      <calculatedColumnFormula>IF($K7="","",VLOOKUP($K7,dropdown!$P$14:$Q$18,2,FALSE))</calculatedColumnFormula>
    </tableColumn>
    <tableColumn id="8" xr3:uid="{AD5D0247-3B56-D146-B22E-45D44E44A249}" name="Total kilometers travelled (all vehicles)" dataDxfId="87"/>
    <tableColumn id="6" xr3:uid="{7D9E5DFA-64C2-4B06-A40F-0BC8CB602574}" name="Unit2" dataDxfId="86">
      <calculatedColumnFormula>IF($P7="","","Kilometers")</calculatedColumnFormula>
    </tableColumn>
    <tableColumn id="9" xr3:uid="{3C24034E-2544-5447-B927-0F565A869F60}" name="Remarks" dataDxfId="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4" dataDxfId="83">
  <autoFilter ref="I8:W107" xr:uid="{4EA7077C-50F7-42D2-96F2-51568F67E7B2}"/>
  <tableColumns count="15">
    <tableColumn id="1" xr3:uid="{F5FCA22D-7063-431B-9399-42C43DB71411}" name="No." dataDxfId="82">
      <calculatedColumnFormula>IF($K9="","",$I8+1)</calculatedColumnFormula>
    </tableColumn>
    <tableColumn id="2" xr3:uid="{132030AD-4541-47EB-A337-EEE87637C1DE}" name="Location" dataDxfId="81"/>
    <tableColumn id="3" xr3:uid="{E38A8A42-DF98-463F-8F43-42FB3365C31D}" name="Equipment Category" dataDxfId="80"/>
    <tableColumn id="4" xr3:uid="{73A30FFB-A2D9-422E-811C-B1A1BA4CF2FF}" name="No. of Units" dataDxfId="79"/>
    <tableColumn id="5" xr3:uid="{C542C367-6C7C-4A2E-AFC0-70AA09658289}" name="Refrigerant" dataDxfId="78"/>
    <tableColumn id="6" xr3:uid="{A49CD649-8CDA-4BDE-9E6C-7CED9E0C5258}" name="Equipment Status" dataDxfId="77"/>
    <tableColumn id="7" xr3:uid="{496D94A5-FA4D-4CAE-BA86-0076C8252260}" name="Month Purchased" dataDxfId="76"/>
    <tableColumn id="8" xr3:uid="{C2C4A362-BE62-4AD9-8A32-0EE063613BFF}" name="Charge (kg)" dataDxfId="75"/>
    <tableColumn id="9" xr3:uid="{72FA09EB-82CD-4F9D-B0C6-9BC0E94D6119}" name="Month Recharged" dataDxfId="74"/>
    <tableColumn id="10" xr3:uid="{47F108D4-F5B0-471A-95AA-199B8E9D5D51}" name="Recharge (kg)" dataDxfId="73"/>
    <tableColumn id="11" xr3:uid="{7F5D579B-DB98-4EE1-9316-59541598F54B}" name="Month Disposed" dataDxfId="72"/>
    <tableColumn id="12" xr3:uid="{27D4DE6A-84A7-49EE-85CD-4A4C4CF0E9C1}" name="Capacity (kg)" dataDxfId="71"/>
    <tableColumn id="13" xr3:uid="{57B4A461-924D-48EC-A43C-5A1EEE91ED09}" name="Recovered (kg)" dataDxfId="70"/>
    <tableColumn id="14" xr3:uid="{4A88164E-A6C3-4FE4-8DE4-0C0950D809F0}" name="Quarter" dataDxfId="69">
      <calculatedColumnFormula>IFERROR(VLOOKUP($O9, dropdown!$S$4:$T$15, 2, FALSE),
 IFERROR(VLOOKUP($Q9, dropdown!$S$4:$T$15, 2, FALSE),
 IFERROR(VLOOKUP($S9, dropdown!$S$4:$T$15, 2, FALSE),
 "")))</calculatedColumnFormula>
    </tableColumn>
    <tableColumn id="15" xr3:uid="{D18D61D3-B9DB-40F4-9EBB-61DAFC976BF5}" name="Remarks" dataDxfId="6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7" tableBorderDxfId="66">
  <autoFilter ref="I7:O107" xr:uid="{4E808252-F12F-E841-AB57-6A82E4759C1A}"/>
  <tableColumns count="7">
    <tableColumn id="1" xr3:uid="{D5D30AA3-E573-734B-B6AB-3BC327F8D967}" name="No." dataDxfId="65"/>
    <tableColumn id="3" xr3:uid="{E49E940C-A64E-A446-B958-9A58950DBA26}" name="Month" dataDxfId="64"/>
    <tableColumn id="8" xr3:uid="{A32745C6-53F1-AF48-B40D-2062538BA76C}" name="Quarter" dataDxfId="63">
      <calculatedColumnFormula>IF(Electricity[[#This Row],[Month]]&lt;&gt;"",VLOOKUP(Electricity[[#This Row],[Month]], dropdown!$S$4:$T$15, 2, FALSE),"")</calculatedColumnFormula>
    </tableColumn>
    <tableColumn id="4" xr3:uid="{7BDA3B9E-E331-A040-8D00-68C0D245C2DD}" name="Consumption (kWh)" dataDxfId="62"/>
    <tableColumn id="5" xr3:uid="{4597EC97-806C-4E41-8BA3-E789252B06C0}" name="Cost (PHP)" dataDxfId="61"/>
    <tableColumn id="6" xr3:uid="{4139C44D-830B-F247-8F9C-494AF4CBED3A}" name="Utility Provider" dataDxfId="60"/>
    <tableColumn id="7" xr3:uid="{A1E305CA-3F3B-AC45-B4A9-903D25ED562F}" name="Remark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8" tableBorderDxfId="57">
  <autoFilter ref="I6:N106" xr:uid="{4E808252-F12F-E841-AB57-6A82E4759C1A}"/>
  <tableColumns count="6">
    <tableColumn id="1" xr3:uid="{96892042-DA4D-554E-B6C0-56CC2E778BE0}" name="No." dataDxfId="56">
      <calculatedColumnFormula>IF(Electricity6[[#This Row],[Month]]="","",1)</calculatedColumnFormula>
    </tableColumn>
    <tableColumn id="3" xr3:uid="{4D461598-2D62-B244-9F61-EF4079251355}" name="Month" dataDxfId="55"/>
    <tableColumn id="8" xr3:uid="{45DB6F9E-A541-A04C-BEB7-D0FD16821599}" name="Quarter" dataDxfId="54">
      <calculatedColumnFormula>IF(Electricity6[[#This Row],[Month]]&lt;&gt;"",VLOOKUP(Electricity6[[#This Row],[Month]], dropdown!$S$4:$T$15, 2, FALSE),"")</calculatedColumnFormula>
    </tableColumn>
    <tableColumn id="4" xr3:uid="{2384A887-6797-9D45-A82F-AD87B1CEA514}" name="Solar Energy Generated (kWh)" dataDxfId="53"/>
    <tableColumn id="6" xr3:uid="{C0C5600A-2A4F-42FA-A171-A7D77002B82E}" name="Operational Energy Demand - One Shift (kWH)" dataDxfId="52"/>
    <tableColumn id="7" xr3:uid="{0E49F2FA-DF95-494F-B55D-59E5FA7DFB31}" name="Remarks"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50" dataDxfId="48" headerRowBorderDxfId="49" tableBorderDxfId="47" totalsRowBorderDxfId="46">
  <autoFilter ref="I7:N107" xr:uid="{D1C0C9B2-779D-1649-AFF9-2DC747BD8D8E}"/>
  <tableColumns count="6">
    <tableColumn id="1" xr3:uid="{98251D21-9B72-FF46-855C-29CDFC3F8C49}" name="No." dataDxfId="45">
      <calculatedColumnFormula>IF(#REF!="","",$I7+1)</calculatedColumnFormula>
    </tableColumn>
    <tableColumn id="3" xr3:uid="{79584AA0-F1B7-3B41-BB42-77B2A9F16C14}" name="Month" dataDxfId="44"/>
    <tableColumn id="4" xr3:uid="{A3CA35C2-DBF2-C44A-8453-C1C3204D173D}" name="Quarter" dataDxfId="43">
      <calculatedColumnFormula>IF(water_in[[#This Row],[Month]]&lt;&gt;"",VLOOKUP(water_in[[#This Row],[Month]], dropdown!$S$4:$T$15, 2, FALSE),"")</calculatedColumnFormula>
    </tableColumn>
    <tableColumn id="5" xr3:uid="{94E41BA5-FE14-7A42-A566-007A23C80527}" name="Source" dataDxfId="42"/>
    <tableColumn id="6" xr3:uid="{06C9DE83-99A6-6E42-BFF6-BBB009F75383}" name="Volume (m3)" dataDxfId="41"/>
    <tableColumn id="7" xr3:uid="{76D3A7A4-7A71-A740-A5FE-E0978AE0D14C}" name="Remarks" dataDxfId="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9" dataDxfId="37" headerRowBorderDxfId="38" tableBorderDxfId="36" totalsRowBorderDxfId="35">
  <autoFilter ref="P7:U107" xr:uid="{417FDA8E-3E35-E54B-B144-32DD667BE400}"/>
  <tableColumns count="6">
    <tableColumn id="1" xr3:uid="{C13D90C4-D898-7E42-BF11-5CEB6AE3F508}" name="No." dataDxfId="34">
      <calculatedColumnFormula>IF(#REF!="","",$P7+1)</calculatedColumnFormula>
    </tableColumn>
    <tableColumn id="3" xr3:uid="{FB4E4C5F-3555-F84A-866C-D2E830B01E5D}" name="Month" dataDxfId="33"/>
    <tableColumn id="4" xr3:uid="{619B28E5-6E0C-9445-94A5-CFE5B7E140CF}" name="Quarter" dataDxfId="32">
      <calculatedColumnFormula>IF(water_out[[#This Row],[Month]]&lt;&gt;"",VLOOKUP(water_out[[#This Row],[Month]], dropdown!$S$4:$T$15, 2, FALSE),"")</calculatedColumnFormula>
    </tableColumn>
    <tableColumn id="6" xr3:uid="{FC43882E-BF75-DA4D-B572-DC2FBD6873DC}" name="Water Destination" dataDxfId="31"/>
    <tableColumn id="2" xr3:uid="{10C062EB-B924-4DED-B867-1CB5A5574221}" name="Volume2 (m3)" dataDxfId="30"/>
    <tableColumn id="8" xr3:uid="{41D6224C-69B7-5E4A-8BC8-C342068A9656}" name="Remarks"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8" dataDxfId="27" tableBorderDxfId="26">
  <autoFilter ref="I12:O30" xr:uid="{644952C9-78B7-944D-8BFB-5F0BBB441E25}"/>
  <tableColumns count="7">
    <tableColumn id="1" xr3:uid="{905CBBCA-C4CE-E64F-8577-DD820D762EBE}" name="Component" dataDxfId="25"/>
    <tableColumn id="2" xr3:uid="{95B1D560-7606-8440-A263-1F3488DDCF60}" name="Chemical Formula" dataDxfId="24"/>
    <tableColumn id="3" xr3:uid="{BAFDD3D8-B5F1-0945-B68F-96F3F4D4E83A}" name="Molar Fraction (%)" dataDxfId="23"/>
    <tableColumn id="4" xr3:uid="{8ED09876-064B-5643-B346-8B9BE03FCA7C}" name="Total Moles (kg-mole/m3)" dataDxfId="22">
      <calculatedColumnFormula>IF(Waste_Gases[[#This Row],[Molar Fraction (%)]]=0,"",Waste_Gases[[#This Row],[Molar Fraction (%)]]*$D$15)</calculatedColumnFormula>
    </tableColumn>
    <tableColumn id="5" xr3:uid="{AF137C96-997B-0043-A824-BF6EB99BF204}" name="Molecular Weight" dataDxfId="21"/>
    <tableColumn id="6" xr3:uid="{45DE64DD-9AEC-7A47-BFD6-46841261F085}" name="Percent Carbon (%)" dataDxfId="20">
      <calculatedColumnFormula>Emission_Factors!$B$17/Waste_Gases[[#This Row],[Molecular Weight]]</calculatedColumnFormula>
    </tableColumn>
    <tableColumn id="7" xr3:uid="{2A4C64A5-A239-5A46-9E95-F45AEE05D934}" name="Carbon Content(kg/m3)" dataDxfId="19">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8" tableBorderDxfId="17">
  <autoFilter ref="I7:O104" xr:uid="{0230B550-3160-A24C-BB39-D77FBA7436E1}"/>
  <tableColumns count="7">
    <tableColumn id="1" xr3:uid="{E1E9FF9D-27E3-7D49-AEA6-2B1729AB118D}" name="No." dataDxfId="16"/>
    <tableColumn id="2" xr3:uid="{8380DC80-2805-C14F-AD3B-7C45100601CB}" name="Month" dataDxfId="15"/>
    <tableColumn id="3" xr3:uid="{8B50C8B1-2B60-7D48-8932-B0CD897CE645}" name="Quarter" dataDxfId="14">
      <calculatedColumnFormula>IF(Waste[[#This Row],[Month]]&lt;&gt;"",VLOOKUP(Waste[[#This Row],[Month]], dropdown!$S$4:$T$15, 2, FALSE),"")</calculatedColumnFormula>
    </tableColumn>
    <tableColumn id="4" xr3:uid="{1D0A3C03-9904-E148-8A78-B82195B0EA5C}" name="Waste Composition" dataDxfId="13"/>
    <tableColumn id="5" xr3:uid="{93373184-794D-CF48-B2C6-609884108023}" name="Weight (kg)" dataDxfId="12"/>
    <tableColumn id="6" xr3:uid="{AEA2ECE1-073B-3E43-BACD-0EDC33C61465}" name="Disposal/Recovery Method" dataDxfId="11"/>
    <tableColumn id="7" xr3:uid="{5D0BB89C-B4C6-D54A-A767-64E8AE7DDBFE}" name="Remarks"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2241" totalsRowShown="0" headerRowDxfId="9">
  <autoFilter ref="A1:E2241" xr:uid="{76DE87AF-814A-AB4A-8281-B0E5A4C74319}"/>
  <tableColumns count="5">
    <tableColumn id="1" xr3:uid="{26002ACD-4A1E-4D49-89F1-047F359822D0}" name="Timestamp" dataDxfId="8"/>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28" zoomScaleNormal="130" workbookViewId="0">
      <selection activeCell="B16" sqref="B16"/>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4" zoomScale="88" zoomScaleNormal="60" workbookViewId="0">
      <selection activeCell="H31" sqref="H31"/>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5" t="s">
        <v>413</v>
      </c>
      <c r="E2" s="446"/>
      <c r="F2" s="446"/>
      <c r="G2" s="447"/>
    </row>
    <row r="3" spans="3:7" x14ac:dyDescent="0.2">
      <c r="C3" s="117" t="s">
        <v>12</v>
      </c>
      <c r="D3" s="445">
        <v>2025</v>
      </c>
      <c r="E3" s="446"/>
      <c r="F3" s="446"/>
      <c r="G3" s="447"/>
    </row>
    <row r="5" spans="3:7" ht="19" customHeight="1" x14ac:dyDescent="0.2">
      <c r="C5" s="444" t="s">
        <v>148</v>
      </c>
      <c r="D5" s="444"/>
      <c r="E5" s="444"/>
      <c r="F5" s="444"/>
      <c r="G5" s="444"/>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
      </c>
    </row>
    <row r="10" spans="3:7" x14ac:dyDescent="0.2">
      <c r="C10" s="182" t="s">
        <v>154</v>
      </c>
      <c r="D10" s="183" t="str" cm="1">
        <f t="array" ref="D10">IF(SUMPRODUCT(--('2.2 Refrigerants'!D11:D13&gt;0))&gt;0, "x", "")</f>
        <v>x</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45.97</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2437.7600000000002</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218400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1697</v>
      </c>
    </row>
    <row r="40" spans="3:5" x14ac:dyDescent="0.2">
      <c r="C40" s="189" t="str">
        <f>'2.4 Water'!B12</f>
        <v>Water Discharge</v>
      </c>
      <c r="D40" s="189" t="str">
        <f>'2.4 Water'!C12</f>
        <v>Cubic meters</v>
      </c>
      <c r="E40" s="190">
        <f>SUM('2.4 Water'!$D$12:$G$12)</f>
        <v>1202.92</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785.8</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N7" sqref="N7:N9"/>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Lucena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8"/>
      <c r="D6" s="449"/>
      <c r="E6" s="449"/>
      <c r="F6" s="449"/>
      <c r="G6" s="450"/>
      <c r="I6" s="209" t="s">
        <v>173</v>
      </c>
      <c r="J6" s="209" t="s">
        <v>35</v>
      </c>
      <c r="K6" s="209" t="s">
        <v>39</v>
      </c>
      <c r="L6" s="209" t="s">
        <v>43</v>
      </c>
      <c r="M6" s="209" t="s">
        <v>47</v>
      </c>
      <c r="N6" s="209" t="s">
        <v>51</v>
      </c>
      <c r="O6" s="209" t="s">
        <v>54</v>
      </c>
      <c r="P6" s="20"/>
    </row>
    <row r="7" spans="2:16" x14ac:dyDescent="0.2">
      <c r="B7" s="278" t="s">
        <v>174</v>
      </c>
      <c r="C7" s="448"/>
      <c r="D7" s="449"/>
      <c r="E7" s="449"/>
      <c r="F7" s="449"/>
      <c r="G7" s="450"/>
      <c r="I7" s="194">
        <f>IF($M7="","",1)</f>
        <v>1</v>
      </c>
      <c r="J7" s="57" t="s">
        <v>37</v>
      </c>
      <c r="K7" s="58" t="s">
        <v>362</v>
      </c>
      <c r="L7" s="18" t="str">
        <f>IF(Fuel_Blg[[#This Row],[Month]]&lt;&gt;"",VLOOKUP(Fuel_Blg[[#This Row],[Month]], dropdown!$S$4:$T$15, 2, FALSE),"")</f>
        <v>Q1</v>
      </c>
      <c r="M7" s="29">
        <v>9.32</v>
      </c>
      <c r="N7" s="17" t="str">
        <f>IF($J7="","",VLOOKUP($J7,dropdown!$P$3:$Q$8,2,FALSE))</f>
        <v>Liters</v>
      </c>
      <c r="O7" s="195" t="s">
        <v>1842</v>
      </c>
      <c r="P7" s="20"/>
    </row>
    <row r="8" spans="2:16" x14ac:dyDescent="0.2">
      <c r="I8" s="194"/>
      <c r="J8" s="57" t="s">
        <v>37</v>
      </c>
      <c r="K8" s="58" t="s">
        <v>386</v>
      </c>
      <c r="L8" s="18" t="str">
        <f>IF(Fuel_Blg[[#This Row],[Month]]&lt;&gt;"",VLOOKUP(Fuel_Blg[[#This Row],[Month]], dropdown!$S$4:$T$15, 2, FALSE),"")</f>
        <v>Q2</v>
      </c>
      <c r="M8" s="29">
        <v>14.37</v>
      </c>
      <c r="N8" s="17" t="str">
        <f>IF($J8="","",VLOOKUP($J8,dropdown!$P$3:$Q$8,2,FALSE))</f>
        <v>Liters</v>
      </c>
      <c r="O8" s="195" t="s">
        <v>1841</v>
      </c>
      <c r="P8" s="20"/>
    </row>
    <row r="9" spans="2:16" x14ac:dyDescent="0.2">
      <c r="B9" s="14" t="s">
        <v>33</v>
      </c>
      <c r="C9" s="14"/>
      <c r="D9" s="14"/>
      <c r="E9" s="14"/>
      <c r="F9" s="14"/>
      <c r="G9" s="14"/>
      <c r="I9" s="194"/>
      <c r="J9" s="57" t="s">
        <v>37</v>
      </c>
      <c r="K9" s="58" t="s">
        <v>397</v>
      </c>
      <c r="L9" s="18" t="str">
        <f>IF(Fuel_Blg[[#This Row],[Month]]&lt;&gt;"",VLOOKUP(Fuel_Blg[[#This Row],[Month]], dropdown!$S$4:$T$15, 2, FALSE),"")</f>
        <v>Q3</v>
      </c>
      <c r="M9" s="29">
        <v>22.28</v>
      </c>
      <c r="N9" s="17" t="str">
        <f>IF($J9="","",VLOOKUP($J9,dropdown!$P$3:$Q$8,2,FALSE))</f>
        <v>Liters</v>
      </c>
      <c r="O9" s="195" t="s">
        <v>1843</v>
      </c>
      <c r="P9" s="20"/>
    </row>
    <row r="10" spans="2:16" x14ac:dyDescent="0.2">
      <c r="B10" s="13" t="s">
        <v>35</v>
      </c>
      <c r="C10" s="13" t="s">
        <v>51</v>
      </c>
      <c r="D10" s="40" t="s">
        <v>45</v>
      </c>
      <c r="E10" s="40" t="s">
        <v>149</v>
      </c>
      <c r="F10" s="40" t="s">
        <v>150</v>
      </c>
      <c r="G10" s="40" t="s">
        <v>151</v>
      </c>
      <c r="P10" s="20"/>
    </row>
    <row r="11" spans="2:16" x14ac:dyDescent="0.2">
      <c r="B11" s="17" t="str">
        <f>dropdown!$P4</f>
        <v>Diesel - Standby generator sets</v>
      </c>
      <c r="C11" s="17" t="str">
        <f>dropdown!$Q4</f>
        <v>Liters</v>
      </c>
      <c r="D11" s="41">
        <f>SUMIFS(Fuel_Blg[Consumption],Fuel_Blg[Quarter],D$10,Fuel_Blg[Fuel Type],$B$11)</f>
        <v>9.32</v>
      </c>
      <c r="E11" s="41">
        <f>SUMIFS(Fuel_Blg[Consumption],Fuel_Blg[Quarter],E$10,Fuel_Blg[Fuel Type],$B$11)</f>
        <v>14.37</v>
      </c>
      <c r="F11" s="41">
        <f>SUMIFS(Fuel_Blg[Consumption],Fuel_Blg[Quarter],F$10,Fuel_Blg[Fuel Type],$B$11)</f>
        <v>22.28</v>
      </c>
      <c r="G11" s="41">
        <f>SUMIFS(Fuel_Blg[Consumption],Fuel_Blg[Quarter],G$10,Fuel_Blg[Fuel Type],$B$11)</f>
        <v>0</v>
      </c>
      <c r="I11" s="322" t="s">
        <v>178</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9 O6:O9 J6:K9"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J7:J9</xm:sqref>
        </x14:dataValidation>
        <x14:dataValidation type="list" allowBlank="1" showInputMessage="1" showErrorMessage="1" xr:uid="{3A41C1D1-FB7A-9447-9EAB-0BFDEC48FE4C}">
          <x14:formula1>
            <xm:f>dropdown!$S$4:$S$15</xm:f>
          </x14:formula1>
          <xm:sqref>K7:K9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E6" zoomScaleNormal="100" workbookViewId="0">
      <selection activeCell="R33" sqref="R33"/>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Lucena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8" t="s">
        <v>1522</v>
      </c>
      <c r="D6" s="449"/>
      <c r="E6" s="449"/>
      <c r="F6" s="449"/>
      <c r="G6" s="450"/>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1">
        <v>45911</v>
      </c>
      <c r="D7" s="449"/>
      <c r="E7" s="449"/>
      <c r="F7" s="449"/>
      <c r="G7" s="450"/>
      <c r="I7" s="194">
        <f>IF($J7="","",1)</f>
        <v>1</v>
      </c>
      <c r="J7" s="57" t="s">
        <v>343</v>
      </c>
      <c r="K7" s="57" t="s">
        <v>63</v>
      </c>
      <c r="L7" s="58" t="s">
        <v>338</v>
      </c>
      <c r="M7" s="18" t="str">
        <f>IF(Fuel_Veh[[#This Row],[Month]]&lt;&gt;"",VLOOKUP(Fuel_Veh[[#This Row],[Month]], dropdown!$S$4:$T$15, 2, FALSE),"")</f>
        <v>Q1</v>
      </c>
      <c r="N7" s="29">
        <v>5.0599999999999996</v>
      </c>
      <c r="O7" s="17" t="str">
        <f>IF($K7="","",VLOOKUP($K7,dropdown!$P$14:$Q$18,2,FALSE))</f>
        <v>Liters</v>
      </c>
      <c r="P7" s="29">
        <v>4</v>
      </c>
      <c r="Q7" s="17" t="str">
        <f t="shared" ref="Q7:Q70" si="0">IF($P7="","","Kilometers")</f>
        <v>Kilometers</v>
      </c>
      <c r="R7" s="195" t="s">
        <v>1789</v>
      </c>
    </row>
    <row r="8" spans="2:18" x14ac:dyDescent="0.2">
      <c r="I8" s="194">
        <f>IF($J8="","",$I7+1)</f>
        <v>2</v>
      </c>
      <c r="J8" s="57" t="s">
        <v>381</v>
      </c>
      <c r="K8" s="57" t="s">
        <v>63</v>
      </c>
      <c r="L8" s="58" t="s">
        <v>338</v>
      </c>
      <c r="M8" s="18" t="str">
        <f>IF(Fuel_Veh[[#This Row],[Month]]&lt;&gt;"",VLOOKUP(Fuel_Veh[[#This Row],[Month]], dropdown!$S$4:$T$15, 2, FALSE),"")</f>
        <v>Q1</v>
      </c>
      <c r="N8" s="29">
        <v>45.13</v>
      </c>
      <c r="O8" s="17"/>
      <c r="P8" s="29">
        <v>466</v>
      </c>
      <c r="Q8" s="17" t="str">
        <f t="shared" si="0"/>
        <v>Kilometers</v>
      </c>
      <c r="R8" s="195" t="s">
        <v>1794</v>
      </c>
    </row>
    <row r="9" spans="2:18" x14ac:dyDescent="0.2">
      <c r="B9" s="14" t="s">
        <v>33</v>
      </c>
      <c r="C9" s="14"/>
      <c r="D9" s="14"/>
      <c r="E9" s="14"/>
      <c r="F9" s="14"/>
      <c r="G9" s="14"/>
      <c r="I9" s="194">
        <f>IF($J9="","",$I8+1)</f>
        <v>3</v>
      </c>
      <c r="J9" s="57" t="s">
        <v>365</v>
      </c>
      <c r="K9" s="57" t="s">
        <v>63</v>
      </c>
      <c r="L9" s="58" t="s">
        <v>338</v>
      </c>
      <c r="M9" s="18" t="str">
        <f>IF(Fuel_Veh[[#This Row],[Month]]&lt;&gt;"",VLOOKUP(Fuel_Veh[[#This Row],[Month]], dropdown!$S$4:$T$15, 2, FALSE),"")</f>
        <v>Q1</v>
      </c>
      <c r="N9" s="29">
        <v>74.33</v>
      </c>
      <c r="O9" s="17" t="str">
        <f>IF($K9="","",VLOOKUP($K9,dropdown!$P$14:$Q$18,2,FALSE))</f>
        <v>Liters</v>
      </c>
      <c r="P9" s="29">
        <v>678</v>
      </c>
      <c r="Q9" s="17" t="str">
        <f t="shared" si="0"/>
        <v>Kilometers</v>
      </c>
      <c r="R9" s="195" t="s">
        <v>1793</v>
      </c>
    </row>
    <row r="10" spans="2:18" x14ac:dyDescent="0.2">
      <c r="B10" s="13" t="s">
        <v>35</v>
      </c>
      <c r="C10" s="13" t="s">
        <v>51</v>
      </c>
      <c r="D10" s="40" t="s">
        <v>45</v>
      </c>
      <c r="E10" s="40" t="s">
        <v>149</v>
      </c>
      <c r="F10" s="40" t="s">
        <v>150</v>
      </c>
      <c r="G10" s="40" t="s">
        <v>151</v>
      </c>
      <c r="I10" s="194">
        <f>IF($J10="","",$I9+1)</f>
        <v>4</v>
      </c>
      <c r="J10" s="57" t="s">
        <v>381</v>
      </c>
      <c r="K10" s="57" t="s">
        <v>63</v>
      </c>
      <c r="L10" s="58" t="s">
        <v>338</v>
      </c>
      <c r="M10" s="18" t="str">
        <f>IF(Fuel_Veh[[#This Row],[Month]]&lt;&gt;"",VLOOKUP(Fuel_Veh[[#This Row],[Month]], dropdown!$S$4:$T$15, 2, FALSE),"")</f>
        <v>Q1</v>
      </c>
      <c r="N10" s="29">
        <v>148.44</v>
      </c>
      <c r="O10" s="17" t="str">
        <f>IF($K10="","",VLOOKUP($K10,dropdown!$P$14:$Q$18,2,FALSE))</f>
        <v>Liters</v>
      </c>
      <c r="P10" s="29">
        <v>1237</v>
      </c>
      <c r="Q10" s="17" t="str">
        <f t="shared" si="0"/>
        <v>Kilometers</v>
      </c>
      <c r="R10" s="195" t="s">
        <v>1792</v>
      </c>
    </row>
    <row r="11" spans="2:18" x14ac:dyDescent="0.2">
      <c r="B11" s="17" t="str">
        <f>dropdown!$P15</f>
        <v>Diesel - Transport vehicles</v>
      </c>
      <c r="C11" s="17" t="str">
        <f>dropdown!$Q15</f>
        <v>Liters</v>
      </c>
      <c r="D11" s="41">
        <f>SUMIFS(Fuel_Veh[Consumption],Fuel_Veh[Quarter],D$10,Fuel_Veh[Fuel Type],$B$11)</f>
        <v>889.59</v>
      </c>
      <c r="E11" s="41">
        <f>SUMIFS(Fuel_Veh[Consumption],Fuel_Veh[Quarter],E$10,Fuel_Veh[Fuel Type],$B$11)</f>
        <v>872.48</v>
      </c>
      <c r="F11" s="41">
        <f>SUMIFS(Fuel_Veh[Consumption],Fuel_Veh[Quarter],F$10,Fuel_Veh[Fuel Type],$B$11)</f>
        <v>675.68999999999994</v>
      </c>
      <c r="G11" s="41">
        <f>SUMIFS(Fuel_Veh[Consumption],Fuel_Veh[Quarter],G$10,Fuel_Veh[Fuel Type],$B$11)</f>
        <v>0</v>
      </c>
      <c r="I11" s="194">
        <f>IF($J11="","",$I10+1)</f>
        <v>5</v>
      </c>
      <c r="J11" s="57" t="s">
        <v>381</v>
      </c>
      <c r="K11" s="57" t="s">
        <v>63</v>
      </c>
      <c r="L11" s="58" t="s">
        <v>89</v>
      </c>
      <c r="M11" s="18" t="str">
        <f>IF(Fuel_Veh[[#This Row],[Month]]&lt;&gt;"",VLOOKUP(Fuel_Veh[[#This Row],[Month]], dropdown!$S$4:$T$15, 2, FALSE),"")</f>
        <v>Q1</v>
      </c>
      <c r="N11" s="29">
        <v>188.11</v>
      </c>
      <c r="O11" s="17" t="str">
        <f>IF($K11="","",VLOOKUP($K11,dropdown!$P$14:$Q$18,2,FALSE))</f>
        <v>Liters</v>
      </c>
      <c r="P11" s="29">
        <v>1619</v>
      </c>
      <c r="Q11" s="17" t="str">
        <f t="shared" si="0"/>
        <v>Kilometers</v>
      </c>
      <c r="R11" s="195" t="s">
        <v>1794</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89</v>
      </c>
      <c r="M12" s="18" t="str">
        <f>IF(Fuel_Veh[[#This Row],[Month]]&lt;&gt;"",VLOOKUP(Fuel_Veh[[#This Row],[Month]], dropdown!$S$4:$T$15, 2, FALSE),"")</f>
        <v>Q1</v>
      </c>
      <c r="N12" s="29">
        <v>154.78</v>
      </c>
      <c r="O12" s="17" t="str">
        <f>IF($K12="","",VLOOKUP($K12,dropdown!$P$14:$Q$18,2,FALSE))</f>
        <v>Liters</v>
      </c>
      <c r="P12" s="29">
        <v>1533</v>
      </c>
      <c r="Q12" s="17" t="str">
        <f t="shared" si="0"/>
        <v>Kilometers</v>
      </c>
      <c r="R12" s="195" t="s">
        <v>1793</v>
      </c>
    </row>
    <row r="13" spans="2:18" ht="14" customHeight="1" x14ac:dyDescent="0.2">
      <c r="I13" s="194">
        <f t="shared" si="1"/>
        <v>7</v>
      </c>
      <c r="J13" s="57" t="s">
        <v>343</v>
      </c>
      <c r="K13" s="57" t="s">
        <v>63</v>
      </c>
      <c r="L13" s="58" t="s">
        <v>362</v>
      </c>
      <c r="M13" s="18" t="str">
        <f>IF(Fuel_Veh[[#This Row],[Month]]&lt;&gt;"",VLOOKUP(Fuel_Veh[[#This Row],[Month]], dropdown!$S$4:$T$15, 2, FALSE),"")</f>
        <v>Q1</v>
      </c>
      <c r="N13" s="29">
        <v>13.88</v>
      </c>
      <c r="O13" s="17" t="str">
        <f>IF($K13="","",VLOOKUP($K13,dropdown!$P$14:$Q$18,2,FALSE))</f>
        <v>Liters</v>
      </c>
      <c r="P13" s="29">
        <v>29</v>
      </c>
      <c r="Q13" s="17" t="str">
        <f t="shared" si="0"/>
        <v>Kilometers</v>
      </c>
      <c r="R13" s="195" t="s">
        <v>1789</v>
      </c>
    </row>
    <row r="14" spans="2:18" x14ac:dyDescent="0.2">
      <c r="B14" s="267" t="s">
        <v>38</v>
      </c>
      <c r="I14" s="194">
        <f t="shared" si="1"/>
        <v>8</v>
      </c>
      <c r="J14" s="57" t="s">
        <v>381</v>
      </c>
      <c r="K14" s="57" t="s">
        <v>63</v>
      </c>
      <c r="L14" s="58" t="s">
        <v>362</v>
      </c>
      <c r="M14" s="18" t="str">
        <f>IF(Fuel_Veh[[#This Row],[Month]]&lt;&gt;"",VLOOKUP(Fuel_Veh[[#This Row],[Month]], dropdown!$S$4:$T$15, 2, FALSE),"")</f>
        <v>Q1</v>
      </c>
      <c r="N14" s="29">
        <v>92.85</v>
      </c>
      <c r="O14" s="17" t="str">
        <f>IF($K14="","",VLOOKUP($K14,dropdown!$P$14:$Q$18,2,FALSE))</f>
        <v>Liters</v>
      </c>
      <c r="P14" s="29">
        <v>909</v>
      </c>
      <c r="Q14" s="17" t="str">
        <f t="shared" si="0"/>
        <v>Kilometers</v>
      </c>
      <c r="R14" s="195" t="s">
        <v>1794</v>
      </c>
    </row>
    <row r="15" spans="2:18" x14ac:dyDescent="0.2">
      <c r="B15" s="268" t="s">
        <v>175</v>
      </c>
      <c r="I15" s="194">
        <f t="shared" si="1"/>
        <v>9</v>
      </c>
      <c r="J15" s="57" t="s">
        <v>365</v>
      </c>
      <c r="K15" s="57" t="s">
        <v>63</v>
      </c>
      <c r="L15" s="58" t="s">
        <v>362</v>
      </c>
      <c r="M15" s="18" t="str">
        <f>IF(Fuel_Veh[[#This Row],[Month]]&lt;&gt;"",VLOOKUP(Fuel_Veh[[#This Row],[Month]], dropdown!$S$4:$T$15, 2, FALSE),"")</f>
        <v>Q1</v>
      </c>
      <c r="N15" s="29">
        <v>167.01</v>
      </c>
      <c r="O15" s="17" t="str">
        <f>IF($K15="","",VLOOKUP($K15,dropdown!$P$14:$Q$18,2,FALSE))</f>
        <v>Liters</v>
      </c>
      <c r="P15" s="29">
        <v>1781</v>
      </c>
      <c r="Q15" s="17" t="str">
        <f t="shared" si="0"/>
        <v>Kilometers</v>
      </c>
      <c r="R15" s="195" t="s">
        <v>1793</v>
      </c>
    </row>
    <row r="16" spans="2:18" x14ac:dyDescent="0.2">
      <c r="B16" s="266" t="s">
        <v>176</v>
      </c>
      <c r="I16" s="194">
        <f t="shared" si="1"/>
        <v>10</v>
      </c>
      <c r="J16" s="57" t="s">
        <v>343</v>
      </c>
      <c r="K16" s="57" t="s">
        <v>63</v>
      </c>
      <c r="L16" s="58" t="s">
        <v>371</v>
      </c>
      <c r="M16" s="18" t="str">
        <f>IF(Fuel_Veh[[#This Row],[Month]]&lt;&gt;"",VLOOKUP(Fuel_Veh[[#This Row],[Month]], dropdown!$S$4:$T$15, 2, FALSE),"")</f>
        <v>Q2</v>
      </c>
      <c r="N16" s="29">
        <v>47.3</v>
      </c>
      <c r="O16" s="17" t="str">
        <f>IF($K16="","",VLOOKUP($K16,dropdown!$P$14:$Q$18,2,FALSE))</f>
        <v>Liters</v>
      </c>
      <c r="P16" s="29">
        <v>204</v>
      </c>
      <c r="Q16" s="17" t="str">
        <f t="shared" si="0"/>
        <v>Kilometers</v>
      </c>
      <c r="R16" s="195" t="s">
        <v>1789</v>
      </c>
    </row>
    <row r="17" spans="2:18" x14ac:dyDescent="0.2">
      <c r="B17" s="17" t="s">
        <v>177</v>
      </c>
      <c r="I17" s="194">
        <f t="shared" si="1"/>
        <v>11</v>
      </c>
      <c r="J17" s="57" t="s">
        <v>381</v>
      </c>
      <c r="K17" s="57" t="s">
        <v>63</v>
      </c>
      <c r="L17" s="58" t="s">
        <v>371</v>
      </c>
      <c r="M17" s="18" t="str">
        <f>IF(Fuel_Veh[[#This Row],[Month]]&lt;&gt;"",VLOOKUP(Fuel_Veh[[#This Row],[Month]], dropdown!$S$4:$T$15, 2, FALSE),"")</f>
        <v>Q2</v>
      </c>
      <c r="N17" s="29">
        <v>109.39</v>
      </c>
      <c r="O17" s="17" t="str">
        <f>IF($K17="","",VLOOKUP($K17,dropdown!$P$14:$Q$18,2,FALSE))</f>
        <v>Liters</v>
      </c>
      <c r="P17" s="29">
        <v>1121</v>
      </c>
      <c r="Q17" s="17" t="str">
        <f t="shared" si="0"/>
        <v>Kilometers</v>
      </c>
      <c r="R17" s="195" t="s">
        <v>1794</v>
      </c>
    </row>
    <row r="18" spans="2:18" x14ac:dyDescent="0.2">
      <c r="I18" s="194">
        <f t="shared" si="1"/>
        <v>12</v>
      </c>
      <c r="J18" s="57" t="s">
        <v>365</v>
      </c>
      <c r="K18" s="57" t="s">
        <v>63</v>
      </c>
      <c r="L18" s="58" t="s">
        <v>371</v>
      </c>
      <c r="M18" s="18" t="str">
        <f>IF(Fuel_Veh[[#This Row],[Month]]&lt;&gt;"",VLOOKUP(Fuel_Veh[[#This Row],[Month]], dropdown!$S$4:$T$15, 2, FALSE),"")</f>
        <v>Q2</v>
      </c>
      <c r="N18" s="29">
        <v>171.35</v>
      </c>
      <c r="O18" s="17" t="str">
        <f>IF($K18="","",VLOOKUP($K18,dropdown!$P$14:$Q$18,2,FALSE))</f>
        <v>Liters</v>
      </c>
      <c r="P18" s="29">
        <v>1328</v>
      </c>
      <c r="Q18" s="17" t="str">
        <f t="shared" si="0"/>
        <v>Kilometers</v>
      </c>
      <c r="R18" s="195" t="s">
        <v>1793</v>
      </c>
    </row>
    <row r="19" spans="2:18" x14ac:dyDescent="0.2">
      <c r="I19" s="194">
        <f t="shared" si="1"/>
        <v>13</v>
      </c>
      <c r="J19" s="57" t="s">
        <v>381</v>
      </c>
      <c r="K19" s="57" t="s">
        <v>63</v>
      </c>
      <c r="L19" s="58" t="s">
        <v>379</v>
      </c>
      <c r="M19" s="18" t="str">
        <f>IF(Fuel_Veh[[#This Row],[Month]]&lt;&gt;"",VLOOKUP(Fuel_Veh[[#This Row],[Month]], dropdown!$S$4:$T$15, 2, FALSE),"")</f>
        <v>Q2</v>
      </c>
      <c r="N19" s="29">
        <v>69.55</v>
      </c>
      <c r="O19" s="17" t="str">
        <f>IF($K19="","",VLOOKUP($K19,dropdown!$P$14:$Q$18,2,FALSE))</f>
        <v>Liters</v>
      </c>
      <c r="P19" s="29">
        <v>599</v>
      </c>
      <c r="Q19" s="17" t="str">
        <f t="shared" si="0"/>
        <v>Kilometers</v>
      </c>
      <c r="R19" s="195" t="s">
        <v>1794</v>
      </c>
    </row>
    <row r="20" spans="2:18" x14ac:dyDescent="0.2">
      <c r="I20" s="194">
        <f t="shared" si="1"/>
        <v>14</v>
      </c>
      <c r="J20" s="57" t="s">
        <v>365</v>
      </c>
      <c r="K20" s="57" t="s">
        <v>63</v>
      </c>
      <c r="L20" s="58" t="s">
        <v>379</v>
      </c>
      <c r="M20" s="18" t="str">
        <f>IF(Fuel_Veh[[#This Row],[Month]]&lt;&gt;"",VLOOKUP(Fuel_Veh[[#This Row],[Month]], dropdown!$S$4:$T$15, 2, FALSE),"")</f>
        <v>Q2</v>
      </c>
      <c r="N20" s="29">
        <v>123.57</v>
      </c>
      <c r="O20" s="17" t="str">
        <f>IF($K20="","",VLOOKUP($K20,dropdown!$P$14:$Q$18,2,FALSE))</f>
        <v>Liters</v>
      </c>
      <c r="P20" s="29">
        <v>1080</v>
      </c>
      <c r="Q20" s="17" t="str">
        <f t="shared" si="0"/>
        <v>Kilometers</v>
      </c>
      <c r="R20" s="195" t="s">
        <v>1793</v>
      </c>
    </row>
    <row r="21" spans="2:18" x14ac:dyDescent="0.2">
      <c r="I21" s="194">
        <f t="shared" si="1"/>
        <v>15</v>
      </c>
      <c r="J21" s="57" t="s">
        <v>343</v>
      </c>
      <c r="K21" s="57" t="s">
        <v>63</v>
      </c>
      <c r="L21" s="58" t="s">
        <v>386</v>
      </c>
      <c r="M21" s="18" t="str">
        <f>IF(Fuel_Veh[[#This Row],[Month]]&lt;&gt;"",VLOOKUP(Fuel_Veh[[#This Row],[Month]], dropdown!$S$4:$T$15, 2, FALSE),"")</f>
        <v>Q2</v>
      </c>
      <c r="N21" s="29">
        <v>7.09</v>
      </c>
      <c r="O21" s="17" t="str">
        <f>IF($K21="","",VLOOKUP($K21,dropdown!$P$14:$Q$18,2,FALSE))</f>
        <v>Liters</v>
      </c>
      <c r="P21" s="29">
        <v>11</v>
      </c>
      <c r="Q21" s="17" t="str">
        <f t="shared" si="0"/>
        <v>Kilometers</v>
      </c>
      <c r="R21" s="195" t="s">
        <v>1789</v>
      </c>
    </row>
    <row r="22" spans="2:18" x14ac:dyDescent="0.2">
      <c r="I22" s="194">
        <f t="shared" si="1"/>
        <v>16</v>
      </c>
      <c r="J22" s="57" t="s">
        <v>343</v>
      </c>
      <c r="K22" s="57" t="s">
        <v>63</v>
      </c>
      <c r="L22" s="58" t="s">
        <v>386</v>
      </c>
      <c r="M22" s="18" t="str">
        <f>IF(Fuel_Veh[[#This Row],[Month]]&lt;&gt;"",VLOOKUP(Fuel_Veh[[#This Row],[Month]], dropdown!$S$4:$T$15, 2, FALSE),"")</f>
        <v>Q2</v>
      </c>
      <c r="N22" s="29">
        <v>3.55</v>
      </c>
      <c r="O22" s="17" t="str">
        <f>IF($K22="","",VLOOKUP($K22,dropdown!$P$14:$Q$18,2,FALSE))</f>
        <v>Liters</v>
      </c>
      <c r="P22" s="29">
        <v>10</v>
      </c>
      <c r="Q22" s="17" t="str">
        <f t="shared" si="0"/>
        <v>Kilometers</v>
      </c>
      <c r="R22" s="195" t="s">
        <v>1799</v>
      </c>
    </row>
    <row r="23" spans="2:18" x14ac:dyDescent="0.2">
      <c r="I23" s="194">
        <f t="shared" si="1"/>
        <v>17</v>
      </c>
      <c r="J23" s="57" t="s">
        <v>381</v>
      </c>
      <c r="K23" s="57" t="s">
        <v>63</v>
      </c>
      <c r="L23" s="58" t="s">
        <v>386</v>
      </c>
      <c r="M23" s="18" t="str">
        <f>IF(Fuel_Veh[[#This Row],[Month]]&lt;&gt;"",VLOOKUP(Fuel_Veh[[#This Row],[Month]], dropdown!$S$4:$T$15, 2, FALSE),"")</f>
        <v>Q2</v>
      </c>
      <c r="N23" s="29">
        <v>45.13</v>
      </c>
      <c r="O23" s="17" t="str">
        <f>IF($K23="","",VLOOKUP($K23,dropdown!$P$14:$Q$18,2,FALSE))</f>
        <v>Liters</v>
      </c>
      <c r="P23" s="29">
        <v>466</v>
      </c>
      <c r="Q23" s="17" t="str">
        <f t="shared" si="0"/>
        <v>Kilometers</v>
      </c>
      <c r="R23" s="195" t="s">
        <v>1794</v>
      </c>
    </row>
    <row r="24" spans="2:18" x14ac:dyDescent="0.2">
      <c r="I24" s="194">
        <f t="shared" si="1"/>
        <v>18</v>
      </c>
      <c r="J24" s="57" t="s">
        <v>365</v>
      </c>
      <c r="K24" s="57" t="s">
        <v>63</v>
      </c>
      <c r="L24" s="58" t="s">
        <v>386</v>
      </c>
      <c r="M24" s="18" t="str">
        <f>IF(Fuel_Veh[[#This Row],[Month]]&lt;&gt;"",VLOOKUP(Fuel_Veh[[#This Row],[Month]], dropdown!$S$4:$T$15, 2, FALSE),"")</f>
        <v>Q2</v>
      </c>
      <c r="N24" s="29">
        <v>295.55</v>
      </c>
      <c r="O24" s="17" t="str">
        <f>IF($K24="","",VLOOKUP($K24,dropdown!$P$14:$Q$18,2,FALSE))</f>
        <v>Liters</v>
      </c>
      <c r="P24" s="29">
        <v>2904</v>
      </c>
      <c r="Q24" s="17" t="str">
        <f t="shared" si="0"/>
        <v>Kilometers</v>
      </c>
      <c r="R24" s="195" t="s">
        <v>1793</v>
      </c>
    </row>
    <row r="25" spans="2:18" x14ac:dyDescent="0.2">
      <c r="I25" s="194">
        <f t="shared" si="1"/>
        <v>19</v>
      </c>
      <c r="J25" s="57" t="s">
        <v>343</v>
      </c>
      <c r="K25" s="57" t="s">
        <v>63</v>
      </c>
      <c r="L25" s="58" t="s">
        <v>390</v>
      </c>
      <c r="M25" s="18" t="str">
        <f>IF(Fuel_Veh[[#This Row],[Month]]&lt;&gt;"",VLOOKUP(Fuel_Veh[[#This Row],[Month]], dropdown!$S$4:$T$15, 2, FALSE),"")</f>
        <v>Q3</v>
      </c>
      <c r="N25" s="29">
        <v>8.3699999999999992</v>
      </c>
      <c r="O25" s="17" t="str">
        <f>IF($K25="","",VLOOKUP($K25,dropdown!$P$14:$Q$18,2,FALSE))</f>
        <v>Liters</v>
      </c>
      <c r="P25" s="29">
        <v>14.4</v>
      </c>
      <c r="Q25" s="17" t="str">
        <f t="shared" si="0"/>
        <v>Kilometers</v>
      </c>
      <c r="R25" s="195" t="s">
        <v>1802</v>
      </c>
    </row>
    <row r="26" spans="2:18" x14ac:dyDescent="0.2">
      <c r="I26" s="194">
        <f t="shared" si="1"/>
        <v>20</v>
      </c>
      <c r="J26" s="57" t="s">
        <v>343</v>
      </c>
      <c r="K26" s="57" t="s">
        <v>63</v>
      </c>
      <c r="L26" s="196" t="s">
        <v>390</v>
      </c>
      <c r="M26" s="18" t="str">
        <f>IF(Fuel_Veh[[#This Row],[Month]]&lt;&gt;"",VLOOKUP(Fuel_Veh[[#This Row],[Month]], dropdown!$S$4:$T$15, 2, FALSE),"")</f>
        <v>Q3</v>
      </c>
      <c r="N26" s="197">
        <v>12.45</v>
      </c>
      <c r="O26" s="198" t="str">
        <f>IF($K26="","",VLOOKUP($K26,dropdown!$P$14:$Q$18,2,FALSE))</f>
        <v>Liters</v>
      </c>
      <c r="P26" s="197">
        <v>51</v>
      </c>
      <c r="Q26" s="17" t="str">
        <f t="shared" si="0"/>
        <v>Kilometers</v>
      </c>
      <c r="R26" s="199" t="s">
        <v>1803</v>
      </c>
    </row>
    <row r="27" spans="2:18" x14ac:dyDescent="0.2">
      <c r="I27" s="194">
        <f t="shared" si="1"/>
        <v>21</v>
      </c>
      <c r="J27" s="57" t="s">
        <v>381</v>
      </c>
      <c r="K27" s="57" t="s">
        <v>63</v>
      </c>
      <c r="L27" s="58" t="s">
        <v>390</v>
      </c>
      <c r="M27" s="18" t="str">
        <f>IF(Fuel_Veh[[#This Row],[Month]]&lt;&gt;"",VLOOKUP(Fuel_Veh[[#This Row],[Month]], dropdown!$S$4:$T$15, 2, FALSE),"")</f>
        <v>Q3</v>
      </c>
      <c r="N27" s="29">
        <v>79.069999999999993</v>
      </c>
      <c r="O27" s="17" t="str">
        <f>IF($K27="","",VLOOKUP($K27,dropdown!$P$14:$Q$18,2,FALSE))</f>
        <v>Liters</v>
      </c>
      <c r="P27" s="29">
        <v>544</v>
      </c>
      <c r="Q27" s="17" t="str">
        <f t="shared" si="0"/>
        <v>Kilometers</v>
      </c>
      <c r="R27" s="195" t="s">
        <v>1794</v>
      </c>
    </row>
    <row r="28" spans="2:18" x14ac:dyDescent="0.2">
      <c r="I28" s="194">
        <f t="shared" si="1"/>
        <v>22</v>
      </c>
      <c r="J28" s="57" t="s">
        <v>365</v>
      </c>
      <c r="K28" s="57" t="s">
        <v>63</v>
      </c>
      <c r="L28" s="58" t="s">
        <v>390</v>
      </c>
      <c r="M28" s="18" t="str">
        <f>IF(Fuel_Veh[[#This Row],[Month]]&lt;&gt;"",VLOOKUP(Fuel_Veh[[#This Row],[Month]], dropdown!$S$4:$T$15, 2, FALSE),"")</f>
        <v>Q3</v>
      </c>
      <c r="N28" s="29">
        <v>501.71</v>
      </c>
      <c r="O28" s="17" t="str">
        <f>IF($K28="","",VLOOKUP($K28,dropdown!$P$14:$Q$18,2,FALSE))</f>
        <v>Liters</v>
      </c>
      <c r="P28" s="29">
        <v>2251</v>
      </c>
      <c r="Q28" s="17" t="str">
        <f t="shared" si="0"/>
        <v>Kilometers</v>
      </c>
      <c r="R28" s="195" t="s">
        <v>1793</v>
      </c>
    </row>
    <row r="29" spans="2:18" x14ac:dyDescent="0.2">
      <c r="I29" s="194">
        <f t="shared" si="1"/>
        <v>23</v>
      </c>
      <c r="J29" s="57" t="s">
        <v>381</v>
      </c>
      <c r="K29" s="57" t="s">
        <v>63</v>
      </c>
      <c r="L29" s="58" t="s">
        <v>390</v>
      </c>
      <c r="M29" s="18" t="str">
        <f>IF(Fuel_Veh[[#This Row],[Month]]&lt;&gt;"",VLOOKUP(Fuel_Veh[[#This Row],[Month]], dropdown!$S$4:$T$15, 2, FALSE),"")</f>
        <v>Q3</v>
      </c>
      <c r="N29" s="29">
        <v>74.09</v>
      </c>
      <c r="O29" s="17" t="str">
        <f>IF($K29="","",VLOOKUP($K29,dropdown!$P$14:$Q$18,2,FALSE))</f>
        <v>Liters</v>
      </c>
      <c r="P29" s="29">
        <v>150</v>
      </c>
      <c r="Q29" s="17" t="str">
        <f t="shared" si="0"/>
        <v>Kilometers</v>
      </c>
      <c r="R29" s="195" t="s">
        <v>1792</v>
      </c>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7"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P21" sqref="P21"/>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Lucena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8" t="s">
        <v>1431</v>
      </c>
      <c r="D6" s="449"/>
      <c r="E6" s="449"/>
      <c r="F6" s="449"/>
      <c r="G6" s="450"/>
      <c r="I6" s="298"/>
      <c r="J6" s="298"/>
      <c r="K6" s="298"/>
      <c r="L6" s="298"/>
      <c r="M6" s="298"/>
      <c r="N6" s="298"/>
      <c r="O6" s="298"/>
      <c r="P6" s="298"/>
      <c r="Q6" s="298"/>
      <c r="R6" s="298"/>
      <c r="S6" s="298"/>
      <c r="T6" s="298"/>
      <c r="U6" s="298"/>
      <c r="V6" s="298"/>
    </row>
    <row r="7" spans="2:31" ht="15" customHeight="1" x14ac:dyDescent="0.2">
      <c r="B7" s="278" t="s">
        <v>174</v>
      </c>
      <c r="C7" s="451">
        <v>45911</v>
      </c>
      <c r="D7" s="449"/>
      <c r="E7" s="449"/>
      <c r="F7" s="449"/>
      <c r="G7" s="450"/>
      <c r="I7" s="418" t="s">
        <v>154</v>
      </c>
      <c r="J7" s="417"/>
      <c r="K7" s="415"/>
      <c r="L7" s="415"/>
      <c r="M7" s="415"/>
      <c r="N7" s="415"/>
      <c r="O7" s="456" t="s">
        <v>183</v>
      </c>
      <c r="P7" s="456"/>
      <c r="Q7" s="457" t="s">
        <v>184</v>
      </c>
      <c r="R7" s="458"/>
      <c r="S7" s="459" t="s">
        <v>86</v>
      </c>
      <c r="T7" s="460"/>
      <c r="U7" s="460"/>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1611</v>
      </c>
      <c r="K9" s="391" t="s">
        <v>200</v>
      </c>
      <c r="L9" s="392">
        <v>4</v>
      </c>
      <c r="M9" s="393" t="s">
        <v>372</v>
      </c>
      <c r="N9" s="419" t="s">
        <v>188</v>
      </c>
      <c r="O9" s="397" t="s">
        <v>89</v>
      </c>
      <c r="P9" s="398">
        <v>6</v>
      </c>
      <c r="Q9" s="397"/>
      <c r="R9" s="399">
        <v>0</v>
      </c>
      <c r="S9" s="397"/>
      <c r="T9" s="399"/>
      <c r="U9" s="399"/>
      <c r="V9" s="430" t="str">
        <f>IFERROR(VLOOKUP($O9, dropdown!$S$4:$T$15, 2, FALSE),
 IFERROR(VLOOKUP($Q9, dropdown!$S$4:$T$15, 2, FALSE),
 IFERROR(VLOOKUP($S9, dropdown!$S$4:$T$15, 2, FALSE),
 "")))</f>
        <v>Q1</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1611</v>
      </c>
      <c r="K10" s="57" t="s">
        <v>200</v>
      </c>
      <c r="L10" s="28">
        <v>1</v>
      </c>
      <c r="M10" s="264" t="s">
        <v>339</v>
      </c>
      <c r="N10" s="401" t="s">
        <v>352</v>
      </c>
      <c r="O10" s="397"/>
      <c r="P10" s="398"/>
      <c r="Q10" s="397" t="s">
        <v>338</v>
      </c>
      <c r="R10" s="399">
        <v>0</v>
      </c>
      <c r="S10" s="397"/>
      <c r="T10" s="399"/>
      <c r="U10" s="399"/>
      <c r="V10" s="430" t="str">
        <f>IFERROR(VLOOKUP($O10, dropdown!$S$4:$T$15, 2, FALSE),
 IFERROR(VLOOKUP($Q10, dropdown!$S$4:$T$15, 2, FALSE),
 IFERROR(VLOOKUP($S10, dropdown!$S$4:$T$15, 2, FALSE),
 "")))</f>
        <v>Q1</v>
      </c>
      <c r="W10" s="28"/>
      <c r="X10" s="56"/>
      <c r="AB10" s="11"/>
      <c r="AE10" s="11"/>
    </row>
    <row r="11" spans="2:31" ht="14" x14ac:dyDescent="0.2">
      <c r="B11" s="41" t="s">
        <v>188</v>
      </c>
      <c r="C11" s="17" t="s">
        <v>189</v>
      </c>
      <c r="D11" s="176">
        <f>SUMIFS($L$9:$L$107,$N$9:$N$107,$B11,$V$9:$V$107,$D$10)</f>
        <v>4</v>
      </c>
      <c r="E11" s="176">
        <f>SUMIFS($L$9:$L$107,$N$9:$N$107,$B11,$V$9:$V$107,$E$10)</f>
        <v>0</v>
      </c>
      <c r="F11" s="176">
        <f>SUMIFS($L$9:$L$107,$N$9:$N$107,$B11,$V$9:$V$107,$F$10)</f>
        <v>0</v>
      </c>
      <c r="G11" s="176">
        <f>SUMIFS($L$9:$L$107,$N$9:$N$107,$B11,$V$9:$V$107,$G$10)</f>
        <v>0</v>
      </c>
      <c r="I11" s="18">
        <f t="shared" si="0"/>
        <v>3</v>
      </c>
      <c r="J11" s="435" t="s">
        <v>1616</v>
      </c>
      <c r="K11" s="57" t="s">
        <v>200</v>
      </c>
      <c r="L11" s="28">
        <v>1</v>
      </c>
      <c r="M11" s="264" t="s">
        <v>372</v>
      </c>
      <c r="N11" s="401" t="s">
        <v>352</v>
      </c>
      <c r="O11" s="397"/>
      <c r="P11" s="398"/>
      <c r="Q11" s="397" t="s">
        <v>338</v>
      </c>
      <c r="R11" s="399">
        <v>0</v>
      </c>
      <c r="S11" s="397"/>
      <c r="T11" s="399"/>
      <c r="U11" s="399"/>
      <c r="V11" s="430" t="str">
        <f>IFERROR(VLOOKUP($O11, dropdown!$S$4:$T$15, 2, FALSE),
 IFERROR(VLOOKUP($Q11, dropdown!$S$4:$T$15, 2, FALSE),
 IFERROR(VLOOKUP($S11, dropdown!$S$4:$T$15, 2, FALSE),
 "")))</f>
        <v>Q1</v>
      </c>
      <c r="W11" s="28"/>
      <c r="X11" s="56"/>
      <c r="AB11" s="11"/>
      <c r="AE11" s="11"/>
    </row>
    <row r="12" spans="2:31" ht="14" x14ac:dyDescent="0.2">
      <c r="B12" s="17" t="s">
        <v>184</v>
      </c>
      <c r="C12" s="17" t="s">
        <v>189</v>
      </c>
      <c r="D12" s="176">
        <f>SUMIFS($L$9:$L$107,$N$9:$N$107,$B12,$V$9:$V$107,$D$10)</f>
        <v>43</v>
      </c>
      <c r="E12" s="176">
        <f>SUMIFS($L$9:$L$107,$N$9:$N$107,$B12,$V$9:$V$107,$E$10)</f>
        <v>0</v>
      </c>
      <c r="F12" s="176">
        <f>SUMIFS($L$9:$L$107,$N$9:$N$107,$B12,$V$9:$V$107,$F$10)</f>
        <v>0</v>
      </c>
      <c r="G12" s="176">
        <f>SUMIFS($L$9:$L$107,$N$9:$N$107,$B12,$V$9:$V$107,$G$10)</f>
        <v>0</v>
      </c>
      <c r="I12" s="18">
        <f t="shared" si="0"/>
        <v>4</v>
      </c>
      <c r="J12" s="435" t="s">
        <v>1616</v>
      </c>
      <c r="K12" s="57" t="s">
        <v>200</v>
      </c>
      <c r="L12" s="28">
        <v>1</v>
      </c>
      <c r="M12" s="264" t="s">
        <v>380</v>
      </c>
      <c r="N12" s="401" t="s">
        <v>352</v>
      </c>
      <c r="O12" s="397"/>
      <c r="P12" s="398"/>
      <c r="Q12" s="397" t="s">
        <v>338</v>
      </c>
      <c r="R12" s="399">
        <v>0</v>
      </c>
      <c r="S12" s="397"/>
      <c r="T12" s="399"/>
      <c r="U12" s="399"/>
      <c r="V12" s="430" t="str">
        <f>IFERROR(VLOOKUP($O12, dropdown!$S$4:$T$15, 2, FALSE),
 IFERROR(VLOOKUP($Q12, dropdown!$S$4:$T$15, 2, FALSE),
 IFERROR(VLOOKUP($S12, dropdown!$S$4:$T$15, 2, FALSE),
 "")))</f>
        <v>Q1</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1623</v>
      </c>
      <c r="K13" s="57" t="s">
        <v>200</v>
      </c>
      <c r="L13" s="28">
        <v>2</v>
      </c>
      <c r="M13" s="264" t="s">
        <v>372</v>
      </c>
      <c r="N13" s="401" t="s">
        <v>352</v>
      </c>
      <c r="O13" s="397"/>
      <c r="P13" s="398"/>
      <c r="Q13" s="397" t="s">
        <v>338</v>
      </c>
      <c r="R13" s="399">
        <v>0</v>
      </c>
      <c r="S13" s="397"/>
      <c r="T13" s="399"/>
      <c r="U13" s="399"/>
      <c r="V13" s="430" t="str">
        <f>IFERROR(VLOOKUP($O13, dropdown!$S$4:$T$15, 2, FALSE),
 IFERROR(VLOOKUP($Q13, dropdown!$S$4:$T$15, 2, FALSE),
 IFERROR(VLOOKUP($S13, dropdown!$S$4:$T$15, 2, FALSE),
 "")))</f>
        <v>Q1</v>
      </c>
      <c r="W13" s="28"/>
      <c r="AB13" s="11"/>
      <c r="AE13" s="11"/>
    </row>
    <row r="14" spans="2:31" ht="17" customHeight="1" x14ac:dyDescent="0.2">
      <c r="D14" s="177" t="str">
        <f>IF(SUM(D$11:D$13)&gt;0,"x","")</f>
        <v>x</v>
      </c>
      <c r="E14" s="177" t="str">
        <f t="shared" ref="E14:G14" si="1">IF(SUM(E$11:E$13)&gt;0,"x","")</f>
        <v/>
      </c>
      <c r="F14" s="177" t="str">
        <f t="shared" si="1"/>
        <v/>
      </c>
      <c r="G14" s="177" t="str">
        <f t="shared" si="1"/>
        <v/>
      </c>
      <c r="I14" s="18">
        <f t="shared" si="0"/>
        <v>6</v>
      </c>
      <c r="J14" s="435" t="s">
        <v>1628</v>
      </c>
      <c r="K14" s="57" t="s">
        <v>200</v>
      </c>
      <c r="L14" s="28">
        <v>2</v>
      </c>
      <c r="M14" s="264" t="s">
        <v>380</v>
      </c>
      <c r="N14" s="401" t="s">
        <v>352</v>
      </c>
      <c r="O14" s="397"/>
      <c r="P14" s="398"/>
      <c r="Q14" s="397" t="s">
        <v>338</v>
      </c>
      <c r="R14" s="399">
        <v>0</v>
      </c>
      <c r="S14" s="397"/>
      <c r="T14" s="399"/>
      <c r="U14" s="399"/>
      <c r="V14" s="430" t="str">
        <f>IFERROR(VLOOKUP($O14, dropdown!$S$4:$T$15, 2, FALSE),
 IFERROR(VLOOKUP($Q14, dropdown!$S$4:$T$15, 2, FALSE),
 IFERROR(VLOOKUP($S14, dropdown!$S$4:$T$15, 2, FALSE),
 "")))</f>
        <v>Q1</v>
      </c>
      <c r="W14" s="28"/>
      <c r="AB14" s="11"/>
      <c r="AE14" s="11"/>
    </row>
    <row r="15" spans="2:31" ht="17" customHeight="1" x14ac:dyDescent="0.2">
      <c r="B15" s="119" t="s">
        <v>38</v>
      </c>
      <c r="I15" s="18">
        <f t="shared" si="0"/>
        <v>7</v>
      </c>
      <c r="J15" s="435" t="s">
        <v>1641</v>
      </c>
      <c r="K15" s="57" t="s">
        <v>200</v>
      </c>
      <c r="L15" s="28">
        <v>1</v>
      </c>
      <c r="M15" s="264" t="s">
        <v>380</v>
      </c>
      <c r="N15" s="401" t="s">
        <v>352</v>
      </c>
      <c r="O15" s="397"/>
      <c r="P15" s="398"/>
      <c r="Q15" s="397" t="s">
        <v>338</v>
      </c>
      <c r="R15" s="399">
        <v>0</v>
      </c>
      <c r="S15" s="397"/>
      <c r="T15" s="399"/>
      <c r="U15" s="399"/>
      <c r="V15" s="430" t="str">
        <f>IFERROR(VLOOKUP($O15, dropdown!$S$4:$T$15, 2, FALSE),
 IFERROR(VLOOKUP($Q15, dropdown!$S$4:$T$15, 2, FALSE),
 IFERROR(VLOOKUP($S15, dropdown!$S$4:$T$15, 2, FALSE),
 "")))</f>
        <v>Q1</v>
      </c>
      <c r="W15" s="28"/>
      <c r="AB15" s="11"/>
      <c r="AE15" s="11"/>
    </row>
    <row r="16" spans="2:31" ht="14" x14ac:dyDescent="0.2">
      <c r="B16" s="120" t="s">
        <v>175</v>
      </c>
      <c r="I16" s="18">
        <f t="shared" si="0"/>
        <v>8</v>
      </c>
      <c r="J16" s="435" t="s">
        <v>1641</v>
      </c>
      <c r="K16" s="57" t="s">
        <v>200</v>
      </c>
      <c r="L16" s="28">
        <v>1</v>
      </c>
      <c r="M16" s="264" t="s">
        <v>380</v>
      </c>
      <c r="N16" s="401" t="s">
        <v>352</v>
      </c>
      <c r="O16" s="397"/>
      <c r="P16" s="398"/>
      <c r="Q16" s="397" t="s">
        <v>338</v>
      </c>
      <c r="R16" s="399">
        <v>0</v>
      </c>
      <c r="S16" s="397"/>
      <c r="T16" s="399"/>
      <c r="U16" s="399"/>
      <c r="V16" s="430" t="str">
        <f>IFERROR(VLOOKUP($O16, dropdown!$S$4:$T$15, 2, FALSE),
 IFERROR(VLOOKUP($Q16, dropdown!$S$4:$T$15, 2, FALSE),
 IFERROR(VLOOKUP($S16, dropdown!$S$4:$T$15, 2, FALSE),
 "")))</f>
        <v>Q1</v>
      </c>
      <c r="W16" s="28"/>
      <c r="AB16" s="11"/>
      <c r="AE16" s="11"/>
    </row>
    <row r="17" spans="2:31" ht="15" customHeight="1" x14ac:dyDescent="0.2">
      <c r="B17" s="121" t="s">
        <v>176</v>
      </c>
      <c r="I17" s="18">
        <f t="shared" si="0"/>
        <v>9</v>
      </c>
      <c r="J17" s="435" t="s">
        <v>1642</v>
      </c>
      <c r="K17" s="57" t="s">
        <v>200</v>
      </c>
      <c r="L17" s="28">
        <v>2</v>
      </c>
      <c r="M17" s="264" t="s">
        <v>372</v>
      </c>
      <c r="N17" s="401" t="s">
        <v>352</v>
      </c>
      <c r="O17" s="397"/>
      <c r="P17" s="398"/>
      <c r="Q17" s="397" t="s">
        <v>338</v>
      </c>
      <c r="R17" s="399">
        <v>0</v>
      </c>
      <c r="S17" s="397"/>
      <c r="T17" s="399"/>
      <c r="U17" s="399"/>
      <c r="V17" s="430" t="str">
        <f>IFERROR(VLOOKUP($O17, dropdown!$S$4:$T$15, 2, FALSE),
 IFERROR(VLOOKUP($Q17, dropdown!$S$4:$T$15, 2, FALSE),
 IFERROR(VLOOKUP($S17, dropdown!$S$4:$T$15, 2, FALSE),
 "")))</f>
        <v>Q1</v>
      </c>
      <c r="W17" s="28"/>
      <c r="AB17" s="11"/>
      <c r="AE17" s="11"/>
    </row>
    <row r="18" spans="2:31" ht="15" customHeight="1" x14ac:dyDescent="0.2">
      <c r="B18" s="122" t="s">
        <v>177</v>
      </c>
      <c r="I18" s="18">
        <f t="shared" si="0"/>
        <v>10</v>
      </c>
      <c r="J18" s="435" t="s">
        <v>1643</v>
      </c>
      <c r="K18" s="57" t="s">
        <v>200</v>
      </c>
      <c r="L18" s="28">
        <v>1</v>
      </c>
      <c r="M18" s="264" t="s">
        <v>372</v>
      </c>
      <c r="N18" s="401" t="s">
        <v>352</v>
      </c>
      <c r="O18" s="397"/>
      <c r="P18" s="398"/>
      <c r="Q18" s="397" t="s">
        <v>338</v>
      </c>
      <c r="R18" s="399">
        <v>0</v>
      </c>
      <c r="S18" s="397"/>
      <c r="T18" s="399"/>
      <c r="U18" s="399"/>
      <c r="V18" s="430" t="str">
        <f>IFERROR(VLOOKUP($O18, dropdown!$S$4:$T$15, 2, FALSE),
 IFERROR(VLOOKUP($Q18, dropdown!$S$4:$T$15, 2, FALSE),
 IFERROR(VLOOKUP($S18, dropdown!$S$4:$T$15, 2, FALSE),
 "")))</f>
        <v>Q1</v>
      </c>
      <c r="W18" s="28"/>
      <c r="AB18" s="11"/>
      <c r="AE18" s="11"/>
    </row>
    <row r="19" spans="2:31" ht="27" x14ac:dyDescent="0.2">
      <c r="B19" s="382" t="s">
        <v>190</v>
      </c>
      <c r="I19" s="18">
        <f t="shared" si="0"/>
        <v>11</v>
      </c>
      <c r="J19" s="435" t="s">
        <v>1644</v>
      </c>
      <c r="K19" s="57" t="s">
        <v>200</v>
      </c>
      <c r="L19" s="28">
        <v>1</v>
      </c>
      <c r="M19" s="264" t="s">
        <v>372</v>
      </c>
      <c r="N19" s="401" t="s">
        <v>352</v>
      </c>
      <c r="O19" s="397"/>
      <c r="P19" s="398"/>
      <c r="Q19" s="397" t="s">
        <v>338</v>
      </c>
      <c r="R19" s="399">
        <v>0</v>
      </c>
      <c r="S19" s="397"/>
      <c r="T19" s="399"/>
      <c r="U19" s="399"/>
      <c r="V19" s="430" t="str">
        <f>IFERROR(VLOOKUP($O19, dropdown!$S$4:$T$15, 2, FALSE),
 IFERROR(VLOOKUP($Q19, dropdown!$S$4:$T$15, 2, FALSE),
 IFERROR(VLOOKUP($S19, dropdown!$S$4:$T$15, 2, FALSE),
 "")))</f>
        <v>Q1</v>
      </c>
      <c r="W19" s="28"/>
      <c r="AB19" s="11"/>
      <c r="AE19" s="11"/>
    </row>
    <row r="20" spans="2:31" ht="14" x14ac:dyDescent="0.2">
      <c r="I20" s="18">
        <f t="shared" si="0"/>
        <v>12</v>
      </c>
      <c r="J20" s="435" t="s">
        <v>1645</v>
      </c>
      <c r="K20" s="57" t="s">
        <v>200</v>
      </c>
      <c r="L20" s="28">
        <v>2</v>
      </c>
      <c r="M20" s="264" t="s">
        <v>380</v>
      </c>
      <c r="N20" s="401" t="s">
        <v>352</v>
      </c>
      <c r="O20" s="397"/>
      <c r="P20" s="398"/>
      <c r="Q20" s="397" t="s">
        <v>338</v>
      </c>
      <c r="R20" s="399">
        <v>0</v>
      </c>
      <c r="S20" s="397"/>
      <c r="T20" s="399"/>
      <c r="U20" s="399"/>
      <c r="V20" s="430" t="str">
        <f>IFERROR(VLOOKUP($O20, dropdown!$S$4:$T$15, 2, FALSE),
 IFERROR(VLOOKUP($Q20, dropdown!$S$4:$T$15, 2, FALSE),
 IFERROR(VLOOKUP($S20, dropdown!$S$4:$T$15, 2, FALSE),
 "")))</f>
        <v>Q1</v>
      </c>
      <c r="W20" s="28"/>
      <c r="AB20" s="11"/>
      <c r="AE20" s="11"/>
    </row>
    <row r="21" spans="2:31" ht="14" x14ac:dyDescent="0.2">
      <c r="B21" s="166" t="s">
        <v>191</v>
      </c>
      <c r="I21" s="18">
        <f t="shared" si="0"/>
        <v>13</v>
      </c>
      <c r="J21" s="435" t="s">
        <v>1647</v>
      </c>
      <c r="K21" s="57" t="s">
        <v>200</v>
      </c>
      <c r="L21" s="28">
        <v>2</v>
      </c>
      <c r="M21" s="264" t="s">
        <v>372</v>
      </c>
      <c r="N21" s="401" t="s">
        <v>352</v>
      </c>
      <c r="O21" s="397"/>
      <c r="P21" s="398"/>
      <c r="Q21" s="397" t="s">
        <v>338</v>
      </c>
      <c r="R21" s="399">
        <v>0</v>
      </c>
      <c r="S21" s="397"/>
      <c r="T21" s="399"/>
      <c r="U21" s="399"/>
      <c r="V21" s="430" t="str">
        <f>IFERROR(VLOOKUP($O21, dropdown!$S$4:$T$15, 2, FALSE),
 IFERROR(VLOOKUP($Q21, dropdown!$S$4:$T$15, 2, FALSE),
 IFERROR(VLOOKUP($S21, dropdown!$S$4:$T$15, 2, FALSE),
 "")))</f>
        <v>Q1</v>
      </c>
      <c r="W21" s="28"/>
      <c r="AB21" s="11"/>
      <c r="AE21" s="11"/>
    </row>
    <row r="22" spans="2:31" ht="14" x14ac:dyDescent="0.2">
      <c r="B22" s="461" t="s">
        <v>192</v>
      </c>
      <c r="C22" s="452" t="s">
        <v>5</v>
      </c>
      <c r="D22" s="453"/>
      <c r="E22" s="452" t="s">
        <v>193</v>
      </c>
      <c r="F22" s="454"/>
      <c r="G22" s="454"/>
      <c r="I22" s="18">
        <f t="shared" si="0"/>
        <v>14</v>
      </c>
      <c r="J22" s="435" t="s">
        <v>1649</v>
      </c>
      <c r="K22" s="57" t="s">
        <v>200</v>
      </c>
      <c r="L22" s="28">
        <v>2</v>
      </c>
      <c r="M22" s="264" t="s">
        <v>372</v>
      </c>
      <c r="N22" s="401" t="s">
        <v>352</v>
      </c>
      <c r="O22" s="397"/>
      <c r="P22" s="398"/>
      <c r="Q22" s="397" t="s">
        <v>338</v>
      </c>
      <c r="R22" s="399">
        <v>0</v>
      </c>
      <c r="S22" s="397"/>
      <c r="T22" s="399"/>
      <c r="U22" s="399"/>
      <c r="V22" s="430" t="str">
        <f>IFERROR(VLOOKUP($O22, dropdown!$S$4:$T$15, 2, FALSE),
 IFERROR(VLOOKUP($Q22, dropdown!$S$4:$T$15, 2, FALSE),
 IFERROR(VLOOKUP($S22, dropdown!$S$4:$T$15, 2, FALSE),
 "")))</f>
        <v>Q1</v>
      </c>
      <c r="W22" s="28"/>
      <c r="AB22" s="11"/>
      <c r="AE22" s="11"/>
    </row>
    <row r="23" spans="2:31" ht="14" x14ac:dyDescent="0.2">
      <c r="B23" s="462"/>
      <c r="C23" s="452"/>
      <c r="D23" s="453"/>
      <c r="E23" s="452"/>
      <c r="F23" s="454"/>
      <c r="G23" s="454"/>
      <c r="I23" s="18">
        <f t="shared" si="0"/>
        <v>15</v>
      </c>
      <c r="J23" s="435" t="s">
        <v>1649</v>
      </c>
      <c r="K23" s="57" t="s">
        <v>200</v>
      </c>
      <c r="L23" s="28">
        <v>1</v>
      </c>
      <c r="M23" s="264" t="s">
        <v>380</v>
      </c>
      <c r="N23" s="401" t="s">
        <v>352</v>
      </c>
      <c r="O23" s="397"/>
      <c r="P23" s="398"/>
      <c r="Q23" s="397" t="s">
        <v>338</v>
      </c>
      <c r="R23" s="399">
        <v>0</v>
      </c>
      <c r="S23" s="397"/>
      <c r="T23" s="399"/>
      <c r="U23" s="399"/>
      <c r="V23" s="430" t="str">
        <f>IFERROR(VLOOKUP($O23, dropdown!$S$4:$T$15, 2, FALSE),
 IFERROR(VLOOKUP($Q23, dropdown!$S$4:$T$15, 2, FALSE),
 IFERROR(VLOOKUP($S23, dropdown!$S$4:$T$15, 2, FALSE),
 "")))</f>
        <v>Q1</v>
      </c>
      <c r="W23" s="28"/>
      <c r="AB23" s="11"/>
      <c r="AE23" s="11"/>
    </row>
    <row r="24" spans="2:31" ht="14" x14ac:dyDescent="0.2">
      <c r="B24" s="455" t="s">
        <v>194</v>
      </c>
      <c r="C24" s="455" t="s">
        <v>195</v>
      </c>
      <c r="D24" s="455"/>
      <c r="E24" s="455" t="s">
        <v>196</v>
      </c>
      <c r="F24" s="455"/>
      <c r="G24" s="455"/>
      <c r="I24" s="18">
        <f t="shared" si="0"/>
        <v>16</v>
      </c>
      <c r="J24" s="435" t="s">
        <v>1658</v>
      </c>
      <c r="K24" s="57" t="s">
        <v>200</v>
      </c>
      <c r="L24" s="28">
        <v>1</v>
      </c>
      <c r="M24" s="264" t="s">
        <v>372</v>
      </c>
      <c r="N24" s="401" t="s">
        <v>352</v>
      </c>
      <c r="O24" s="397"/>
      <c r="P24" s="398"/>
      <c r="Q24" s="397" t="s">
        <v>338</v>
      </c>
      <c r="R24" s="399">
        <v>0</v>
      </c>
      <c r="S24" s="397"/>
      <c r="T24" s="399"/>
      <c r="U24" s="399"/>
      <c r="V24" s="430" t="str">
        <f>IFERROR(VLOOKUP($O24, dropdown!$S$4:$T$15, 2, FALSE),
 IFERROR(VLOOKUP($Q24, dropdown!$S$4:$T$15, 2, FALSE),
 IFERROR(VLOOKUP($S24, dropdown!$S$4:$T$15, 2, FALSE),
 "")))</f>
        <v>Q1</v>
      </c>
      <c r="W24" s="28"/>
      <c r="X24" s="56"/>
      <c r="AB24" s="11"/>
      <c r="AE24" s="11"/>
    </row>
    <row r="25" spans="2:31" ht="14" x14ac:dyDescent="0.2">
      <c r="B25" s="455"/>
      <c r="C25" s="455"/>
      <c r="D25" s="455"/>
      <c r="E25" s="455"/>
      <c r="F25" s="455"/>
      <c r="G25" s="455"/>
      <c r="I25" s="18">
        <f t="shared" si="0"/>
        <v>17</v>
      </c>
      <c r="J25" s="435" t="s">
        <v>1660</v>
      </c>
      <c r="K25" s="57" t="s">
        <v>200</v>
      </c>
      <c r="L25" s="28">
        <v>1</v>
      </c>
      <c r="M25" s="264" t="s">
        <v>380</v>
      </c>
      <c r="N25" s="401" t="s">
        <v>352</v>
      </c>
      <c r="O25" s="397"/>
      <c r="P25" s="398"/>
      <c r="Q25" s="397" t="s">
        <v>338</v>
      </c>
      <c r="R25" s="399">
        <v>0</v>
      </c>
      <c r="S25" s="397"/>
      <c r="T25" s="399"/>
      <c r="U25" s="399"/>
      <c r="V25" s="430" t="str">
        <f>IFERROR(VLOOKUP($O25, dropdown!$S$4:$T$15, 2, FALSE),
 IFERROR(VLOOKUP($Q25, dropdown!$S$4:$T$15, 2, FALSE),
 IFERROR(VLOOKUP($S25, dropdown!$S$4:$T$15, 2, FALSE),
 "")))</f>
        <v>Q1</v>
      </c>
      <c r="W25" s="28"/>
      <c r="X25" s="56"/>
      <c r="AB25" s="11"/>
      <c r="AE25" s="11"/>
    </row>
    <row r="26" spans="2:31" ht="14" x14ac:dyDescent="0.2">
      <c r="B26" s="455" t="s">
        <v>197</v>
      </c>
      <c r="C26" s="455" t="s">
        <v>198</v>
      </c>
      <c r="D26" s="455"/>
      <c r="E26" s="455" t="s">
        <v>199</v>
      </c>
      <c r="F26" s="455"/>
      <c r="G26" s="455"/>
      <c r="I26" s="18">
        <f t="shared" si="0"/>
        <v>18</v>
      </c>
      <c r="J26" s="435" t="s">
        <v>1660</v>
      </c>
      <c r="K26" s="57" t="s">
        <v>200</v>
      </c>
      <c r="L26" s="28">
        <v>1</v>
      </c>
      <c r="M26" s="264" t="s">
        <v>372</v>
      </c>
      <c r="N26" s="401" t="s">
        <v>352</v>
      </c>
      <c r="O26" s="397"/>
      <c r="P26" s="398"/>
      <c r="Q26" s="397" t="s">
        <v>338</v>
      </c>
      <c r="R26" s="399">
        <v>0</v>
      </c>
      <c r="S26" s="397"/>
      <c r="T26" s="399"/>
      <c r="U26" s="399"/>
      <c r="V26" s="430" t="str">
        <f>IFERROR(VLOOKUP($O26, dropdown!$S$4:$T$15, 2, FALSE),
 IFERROR(VLOOKUP($Q26, dropdown!$S$4:$T$15, 2, FALSE),
 IFERROR(VLOOKUP($S26, dropdown!$S$4:$T$15, 2, FALSE),
 "")))</f>
        <v>Q1</v>
      </c>
      <c r="W26" s="28"/>
      <c r="X26" s="56"/>
      <c r="AB26" s="11"/>
      <c r="AE26" s="11"/>
    </row>
    <row r="27" spans="2:31" ht="14" x14ac:dyDescent="0.2">
      <c r="B27" s="455"/>
      <c r="C27" s="455"/>
      <c r="D27" s="455"/>
      <c r="E27" s="455"/>
      <c r="F27" s="455"/>
      <c r="G27" s="455"/>
      <c r="I27" s="18">
        <f t="shared" si="0"/>
        <v>19</v>
      </c>
      <c r="J27" s="435" t="s">
        <v>1667</v>
      </c>
      <c r="K27" s="57" t="s">
        <v>200</v>
      </c>
      <c r="L27" s="28">
        <v>1</v>
      </c>
      <c r="M27" s="264" t="s">
        <v>372</v>
      </c>
      <c r="N27" s="401" t="s">
        <v>352</v>
      </c>
      <c r="O27" s="397"/>
      <c r="P27" s="398"/>
      <c r="Q27" s="397" t="s">
        <v>338</v>
      </c>
      <c r="R27" s="399">
        <v>0</v>
      </c>
      <c r="S27" s="397"/>
      <c r="T27" s="399"/>
      <c r="U27" s="399"/>
      <c r="V27" s="430" t="str">
        <f>IFERROR(VLOOKUP($O27, dropdown!$S$4:$T$15, 2, FALSE),
 IFERROR(VLOOKUP($Q27, dropdown!$S$4:$T$15, 2, FALSE),
 IFERROR(VLOOKUP($S27, dropdown!$S$4:$T$15, 2, FALSE),
 "")))</f>
        <v>Q1</v>
      </c>
      <c r="W27" s="28"/>
      <c r="X27" s="56"/>
      <c r="AB27" s="11"/>
      <c r="AE27" s="11"/>
    </row>
    <row r="28" spans="2:31" ht="14" x14ac:dyDescent="0.2">
      <c r="B28" s="455" t="s">
        <v>200</v>
      </c>
      <c r="C28" s="455" t="s">
        <v>201</v>
      </c>
      <c r="D28" s="455"/>
      <c r="E28" s="455" t="s">
        <v>202</v>
      </c>
      <c r="F28" s="455"/>
      <c r="G28" s="455"/>
      <c r="I28" s="18">
        <f t="shared" si="0"/>
        <v>20</v>
      </c>
      <c r="J28" s="435" t="s">
        <v>1671</v>
      </c>
      <c r="K28" s="57" t="s">
        <v>200</v>
      </c>
      <c r="L28" s="28">
        <v>1</v>
      </c>
      <c r="M28" s="264" t="s">
        <v>372</v>
      </c>
      <c r="N28" s="401" t="s">
        <v>352</v>
      </c>
      <c r="O28" s="397"/>
      <c r="P28" s="398"/>
      <c r="Q28" s="397" t="s">
        <v>338</v>
      </c>
      <c r="R28" s="399">
        <v>0</v>
      </c>
      <c r="S28" s="397"/>
      <c r="T28" s="399"/>
      <c r="U28" s="399"/>
      <c r="V28" s="430" t="str">
        <f>IFERROR(VLOOKUP($O28, dropdown!$S$4:$T$15, 2, FALSE),
 IFERROR(VLOOKUP($Q28, dropdown!$S$4:$T$15, 2, FALSE),
 IFERROR(VLOOKUP($S28, dropdown!$S$4:$T$15, 2, FALSE),
 "")))</f>
        <v>Q1</v>
      </c>
      <c r="W28" s="28"/>
      <c r="X28" s="56"/>
      <c r="AB28" s="11"/>
      <c r="AE28" s="11"/>
    </row>
    <row r="29" spans="2:31" ht="14" x14ac:dyDescent="0.2">
      <c r="B29" s="455"/>
      <c r="C29" s="455"/>
      <c r="D29" s="455"/>
      <c r="E29" s="455"/>
      <c r="F29" s="455"/>
      <c r="G29" s="455"/>
      <c r="I29" s="18">
        <f t="shared" si="0"/>
        <v>21</v>
      </c>
      <c r="J29" s="435" t="s">
        <v>1674</v>
      </c>
      <c r="K29" s="57" t="s">
        <v>200</v>
      </c>
      <c r="L29" s="28">
        <v>1</v>
      </c>
      <c r="M29" s="264" t="s">
        <v>380</v>
      </c>
      <c r="N29" s="401" t="s">
        <v>352</v>
      </c>
      <c r="O29" s="397"/>
      <c r="P29" s="398"/>
      <c r="Q29" s="397" t="s">
        <v>338</v>
      </c>
      <c r="R29" s="399">
        <v>0</v>
      </c>
      <c r="S29" s="397"/>
      <c r="T29" s="399"/>
      <c r="U29" s="399"/>
      <c r="V29" s="430" t="str">
        <f>IFERROR(VLOOKUP($O29, dropdown!$S$4:$T$15, 2, FALSE),
 IFERROR(VLOOKUP($Q29, dropdown!$S$4:$T$15, 2, FALSE),
 IFERROR(VLOOKUP($S29, dropdown!$S$4:$T$15, 2, FALSE),
 "")))</f>
        <v>Q1</v>
      </c>
      <c r="W29" s="28"/>
      <c r="X29" s="56"/>
      <c r="AB29" s="11"/>
      <c r="AE29" s="11"/>
    </row>
    <row r="30" spans="2:31" ht="14" x14ac:dyDescent="0.2">
      <c r="B30" s="455" t="s">
        <v>203</v>
      </c>
      <c r="C30" s="455" t="s">
        <v>204</v>
      </c>
      <c r="D30" s="455"/>
      <c r="E30" s="455" t="s">
        <v>205</v>
      </c>
      <c r="F30" s="455"/>
      <c r="G30" s="455"/>
      <c r="I30" s="18">
        <f t="shared" si="0"/>
        <v>22</v>
      </c>
      <c r="J30" s="435" t="s">
        <v>1678</v>
      </c>
      <c r="K30" s="57" t="s">
        <v>200</v>
      </c>
      <c r="L30" s="28">
        <v>1</v>
      </c>
      <c r="M30" s="264" t="s">
        <v>380</v>
      </c>
      <c r="N30" s="401" t="s">
        <v>352</v>
      </c>
      <c r="O30" s="397"/>
      <c r="P30" s="398"/>
      <c r="Q30" s="397" t="s">
        <v>338</v>
      </c>
      <c r="R30" s="399">
        <v>0</v>
      </c>
      <c r="S30" s="397"/>
      <c r="T30" s="399"/>
      <c r="U30" s="399"/>
      <c r="V30" s="430" t="str">
        <f>IFERROR(VLOOKUP($O30, dropdown!$S$4:$T$15, 2, FALSE),
 IFERROR(VLOOKUP($Q30, dropdown!$S$4:$T$15, 2, FALSE),
 IFERROR(VLOOKUP($S30, dropdown!$S$4:$T$15, 2, FALSE),
 "")))</f>
        <v>Q1</v>
      </c>
      <c r="W30" s="28"/>
      <c r="X30" s="56"/>
      <c r="AB30" s="11"/>
      <c r="AE30" s="11"/>
    </row>
    <row r="31" spans="2:31" ht="14" x14ac:dyDescent="0.2">
      <c r="B31" s="455"/>
      <c r="C31" s="455"/>
      <c r="D31" s="455"/>
      <c r="E31" s="455"/>
      <c r="F31" s="455"/>
      <c r="G31" s="455"/>
      <c r="I31" s="18">
        <f t="shared" si="0"/>
        <v>23</v>
      </c>
      <c r="J31" s="435" t="s">
        <v>1697</v>
      </c>
      <c r="K31" s="57" t="s">
        <v>200</v>
      </c>
      <c r="L31" s="28">
        <v>1</v>
      </c>
      <c r="M31" s="264" t="s">
        <v>380</v>
      </c>
      <c r="N31" s="401" t="s">
        <v>352</v>
      </c>
      <c r="O31" s="397"/>
      <c r="P31" s="398"/>
      <c r="Q31" s="397" t="s">
        <v>338</v>
      </c>
      <c r="R31" s="399">
        <v>0</v>
      </c>
      <c r="S31" s="397"/>
      <c r="T31" s="399"/>
      <c r="U31" s="399"/>
      <c r="V31" s="430" t="str">
        <f>IFERROR(VLOOKUP($O31, dropdown!$S$4:$T$15, 2, FALSE),
 IFERROR(VLOOKUP($Q31, dropdown!$S$4:$T$15, 2, FALSE),
 IFERROR(VLOOKUP($S31, dropdown!$S$4:$T$15, 2, FALSE),
 "")))</f>
        <v>Q1</v>
      </c>
      <c r="W31" s="28"/>
      <c r="X31" s="56"/>
      <c r="AB31" s="11"/>
      <c r="AE31" s="11"/>
    </row>
    <row r="32" spans="2:31" ht="22.5" customHeight="1" x14ac:dyDescent="0.2">
      <c r="I32" s="18">
        <f t="shared" si="0"/>
        <v>24</v>
      </c>
      <c r="J32" s="435" t="s">
        <v>1681</v>
      </c>
      <c r="K32" s="57" t="s">
        <v>200</v>
      </c>
      <c r="L32" s="28">
        <v>1</v>
      </c>
      <c r="M32" s="264" t="s">
        <v>372</v>
      </c>
      <c r="N32" s="401" t="s">
        <v>352</v>
      </c>
      <c r="O32" s="397"/>
      <c r="P32" s="398"/>
      <c r="Q32" s="397" t="s">
        <v>338</v>
      </c>
      <c r="R32" s="399">
        <v>0</v>
      </c>
      <c r="S32" s="397"/>
      <c r="T32" s="399"/>
      <c r="U32" s="399"/>
      <c r="V32" s="430" t="str">
        <f>IFERROR(VLOOKUP($O32, dropdown!$S$4:$T$15, 2, FALSE),
 IFERROR(VLOOKUP($Q32, dropdown!$S$4:$T$15, 2, FALSE),
 IFERROR(VLOOKUP($S32, dropdown!$S$4:$T$15, 2, FALSE),
 "")))</f>
        <v>Q1</v>
      </c>
      <c r="W32" s="28"/>
      <c r="X32" s="56"/>
      <c r="AB32" s="11"/>
      <c r="AE32" s="11"/>
    </row>
    <row r="33" spans="9:31" ht="14" x14ac:dyDescent="0.2">
      <c r="I33" s="18">
        <f t="shared" si="0"/>
        <v>25</v>
      </c>
      <c r="J33" s="435" t="s">
        <v>1713</v>
      </c>
      <c r="K33" s="57" t="s">
        <v>200</v>
      </c>
      <c r="L33" s="28">
        <v>2</v>
      </c>
      <c r="M33" s="264" t="s">
        <v>372</v>
      </c>
      <c r="N33" s="401" t="s">
        <v>352</v>
      </c>
      <c r="O33" s="397"/>
      <c r="P33" s="398"/>
      <c r="Q33" s="397" t="s">
        <v>338</v>
      </c>
      <c r="R33" s="399">
        <v>0</v>
      </c>
      <c r="S33" s="397"/>
      <c r="T33" s="399"/>
      <c r="U33" s="399"/>
      <c r="V33" s="430" t="str">
        <f>IFERROR(VLOOKUP($O33, dropdown!$S$4:$T$15, 2, FALSE),
 IFERROR(VLOOKUP($Q33, dropdown!$S$4:$T$15, 2, FALSE),
 IFERROR(VLOOKUP($S33, dropdown!$S$4:$T$15, 2, FALSE),
 "")))</f>
        <v>Q1</v>
      </c>
      <c r="W33" s="28"/>
      <c r="X33" s="56"/>
      <c r="AB33" s="11"/>
      <c r="AE33" s="11"/>
    </row>
    <row r="34" spans="9:31" ht="15" customHeight="1" x14ac:dyDescent="0.2">
      <c r="I34" s="18">
        <f t="shared" si="0"/>
        <v>26</v>
      </c>
      <c r="J34" s="435" t="s">
        <v>1714</v>
      </c>
      <c r="K34" s="57" t="s">
        <v>200</v>
      </c>
      <c r="L34" s="28">
        <v>2</v>
      </c>
      <c r="M34" s="264" t="s">
        <v>372</v>
      </c>
      <c r="N34" s="401" t="s">
        <v>352</v>
      </c>
      <c r="O34" s="397"/>
      <c r="P34" s="398"/>
      <c r="Q34" s="397" t="s">
        <v>338</v>
      </c>
      <c r="R34" s="399">
        <v>0</v>
      </c>
      <c r="S34" s="397"/>
      <c r="T34" s="399"/>
      <c r="U34" s="399"/>
      <c r="V34" s="430" t="str">
        <f>IFERROR(VLOOKUP($O34, dropdown!$S$4:$T$15, 2, FALSE),
 IFERROR(VLOOKUP($Q34, dropdown!$S$4:$T$15, 2, FALSE),
 IFERROR(VLOOKUP($S34, dropdown!$S$4:$T$15, 2, FALSE),
 "")))</f>
        <v>Q1</v>
      </c>
      <c r="W34" s="28"/>
      <c r="X34" s="56"/>
      <c r="AB34" s="11"/>
      <c r="AE34" s="11"/>
    </row>
    <row r="35" spans="9:31" ht="14" x14ac:dyDescent="0.2">
      <c r="I35" s="18">
        <f t="shared" si="0"/>
        <v>27</v>
      </c>
      <c r="J35" s="435" t="s">
        <v>1722</v>
      </c>
      <c r="K35" s="57" t="s">
        <v>200</v>
      </c>
      <c r="L35" s="28">
        <v>2</v>
      </c>
      <c r="M35" s="264" t="s">
        <v>380</v>
      </c>
      <c r="N35" s="401" t="s">
        <v>352</v>
      </c>
      <c r="O35" s="397"/>
      <c r="P35" s="398"/>
      <c r="Q35" s="397" t="s">
        <v>338</v>
      </c>
      <c r="R35" s="399">
        <v>0</v>
      </c>
      <c r="S35" s="397"/>
      <c r="T35" s="399"/>
      <c r="U35" s="399"/>
      <c r="V35" s="430" t="str">
        <f>IFERROR(VLOOKUP($O35, dropdown!$S$4:$T$15, 2, FALSE),
 IFERROR(VLOOKUP($Q35, dropdown!$S$4:$T$15, 2, FALSE),
 IFERROR(VLOOKUP($S35, dropdown!$S$4:$T$15, 2, FALSE),
 "")))</f>
        <v>Q1</v>
      </c>
      <c r="W35" s="28"/>
      <c r="X35" s="56"/>
      <c r="AB35" s="11"/>
      <c r="AE35" s="11"/>
    </row>
    <row r="36" spans="9:31" ht="14" x14ac:dyDescent="0.2">
      <c r="I36" s="18">
        <f t="shared" si="0"/>
        <v>28</v>
      </c>
      <c r="J36" s="435" t="s">
        <v>1732</v>
      </c>
      <c r="K36" s="57" t="s">
        <v>200</v>
      </c>
      <c r="L36" s="28">
        <v>1</v>
      </c>
      <c r="M36" s="264" t="s">
        <v>380</v>
      </c>
      <c r="N36" s="401" t="s">
        <v>352</v>
      </c>
      <c r="O36" s="397"/>
      <c r="P36" s="398"/>
      <c r="Q36" s="397" t="s">
        <v>338</v>
      </c>
      <c r="R36" s="399">
        <v>0</v>
      </c>
      <c r="S36" s="397"/>
      <c r="T36" s="399"/>
      <c r="U36" s="399"/>
      <c r="V36" s="430" t="str">
        <f>IFERROR(VLOOKUP($O36, dropdown!$S$4:$T$15, 2, FALSE),
 IFERROR(VLOOKUP($Q36, dropdown!$S$4:$T$15, 2, FALSE),
 IFERROR(VLOOKUP($S36, dropdown!$S$4:$T$15, 2, FALSE),
 "")))</f>
        <v>Q1</v>
      </c>
      <c r="W36" s="28"/>
      <c r="X36" s="56"/>
      <c r="AB36" s="11"/>
      <c r="AE36" s="11"/>
    </row>
    <row r="37" spans="9:31" ht="14" x14ac:dyDescent="0.2">
      <c r="I37" s="18">
        <f t="shared" si="0"/>
        <v>29</v>
      </c>
      <c r="J37" s="435" t="s">
        <v>1739</v>
      </c>
      <c r="K37" s="57" t="s">
        <v>200</v>
      </c>
      <c r="L37" s="28">
        <v>1</v>
      </c>
      <c r="M37" s="264" t="s">
        <v>380</v>
      </c>
      <c r="N37" s="401" t="s">
        <v>352</v>
      </c>
      <c r="O37" s="397"/>
      <c r="P37" s="398"/>
      <c r="Q37" s="397" t="s">
        <v>338</v>
      </c>
      <c r="R37" s="399">
        <v>0</v>
      </c>
      <c r="S37" s="397"/>
      <c r="T37" s="399"/>
      <c r="U37" s="399"/>
      <c r="V37" s="430" t="str">
        <f>IFERROR(VLOOKUP($O37, dropdown!$S$4:$T$15, 2, FALSE),
 IFERROR(VLOOKUP($Q37, dropdown!$S$4:$T$15, 2, FALSE),
 IFERROR(VLOOKUP($S37, dropdown!$S$4:$T$15, 2, FALSE),
 "")))</f>
        <v>Q1</v>
      </c>
      <c r="W37" s="28"/>
      <c r="X37" s="56"/>
      <c r="AB37" s="11"/>
      <c r="AE37" s="11"/>
    </row>
    <row r="38" spans="9:31" ht="14" x14ac:dyDescent="0.2">
      <c r="I38" s="18">
        <f t="shared" si="0"/>
        <v>30</v>
      </c>
      <c r="J38" s="435" t="s">
        <v>1747</v>
      </c>
      <c r="K38" s="57" t="s">
        <v>200</v>
      </c>
      <c r="L38" s="28">
        <v>1</v>
      </c>
      <c r="M38" s="264" t="s">
        <v>372</v>
      </c>
      <c r="N38" s="401" t="s">
        <v>352</v>
      </c>
      <c r="O38" s="397"/>
      <c r="P38" s="398"/>
      <c r="Q38" s="397" t="s">
        <v>338</v>
      </c>
      <c r="R38" s="399">
        <v>0</v>
      </c>
      <c r="S38" s="397"/>
      <c r="T38" s="399"/>
      <c r="U38" s="399"/>
      <c r="V38" s="430" t="str">
        <f>IFERROR(VLOOKUP($O38, dropdown!$S$4:$T$15, 2, FALSE),
 IFERROR(VLOOKUP($Q38, dropdown!$S$4:$T$15, 2, FALSE),
 IFERROR(VLOOKUP($S38, dropdown!$S$4:$T$15, 2, FALSE),
 "")))</f>
        <v>Q1</v>
      </c>
      <c r="W38" s="28"/>
      <c r="X38" s="56"/>
      <c r="AB38" s="11"/>
      <c r="AE38" s="11"/>
    </row>
    <row r="39" spans="9:31" ht="14" x14ac:dyDescent="0.2">
      <c r="I39" s="18">
        <f t="shared" si="0"/>
        <v>31</v>
      </c>
      <c r="J39" s="435" t="s">
        <v>1755</v>
      </c>
      <c r="K39" s="57" t="s">
        <v>200</v>
      </c>
      <c r="L39" s="28">
        <v>3</v>
      </c>
      <c r="M39" s="264" t="s">
        <v>372</v>
      </c>
      <c r="N39" s="401" t="s">
        <v>352</v>
      </c>
      <c r="O39" s="397"/>
      <c r="P39" s="398"/>
      <c r="Q39" s="397" t="s">
        <v>338</v>
      </c>
      <c r="R39" s="399">
        <v>0</v>
      </c>
      <c r="S39" s="397"/>
      <c r="T39" s="399"/>
      <c r="U39" s="399"/>
      <c r="V39" s="430" t="str">
        <f>IFERROR(VLOOKUP($O39, dropdown!$S$4:$T$15, 2, FALSE),
 IFERROR(VLOOKUP($Q39, dropdown!$S$4:$T$15, 2, FALSE),
 IFERROR(VLOOKUP($S39, dropdown!$S$4:$T$15, 2, FALSE),
 "")))</f>
        <v>Q1</v>
      </c>
      <c r="W39" s="28"/>
      <c r="X39" s="56"/>
      <c r="AB39" s="11"/>
      <c r="AE39" s="11"/>
    </row>
    <row r="40" spans="9:31" ht="14" x14ac:dyDescent="0.2">
      <c r="I40" s="18">
        <f t="shared" si="0"/>
        <v>32</v>
      </c>
      <c r="J40" s="435" t="s">
        <v>1763</v>
      </c>
      <c r="K40" s="57" t="s">
        <v>200</v>
      </c>
      <c r="L40" s="28">
        <v>2</v>
      </c>
      <c r="M40" s="264" t="s">
        <v>380</v>
      </c>
      <c r="N40" s="401" t="s">
        <v>352</v>
      </c>
      <c r="O40" s="397"/>
      <c r="P40" s="398"/>
      <c r="Q40" s="397" t="s">
        <v>338</v>
      </c>
      <c r="R40" s="399">
        <v>0</v>
      </c>
      <c r="S40" s="397"/>
      <c r="T40" s="399"/>
      <c r="U40" s="399"/>
      <c r="V40" s="430" t="str">
        <f>IFERROR(VLOOKUP($O40, dropdown!$S$4:$T$15, 2, FALSE),
 IFERROR(VLOOKUP($Q40, dropdown!$S$4:$T$15, 2, FALSE),
 IFERROR(VLOOKUP($S40, dropdown!$S$4:$T$15, 2, FALSE),
 "")))</f>
        <v>Q1</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W8:W107 J8:S107 U8:U107 T8:T9 T11:T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6" priority="6">
      <formula>$N9="New installation"</formula>
    </cfRule>
  </conditionalFormatting>
  <conditionalFormatting sqref="P9:P107">
    <cfRule type="expression" dxfId="5" priority="5">
      <formula>$N9="New installation"</formula>
    </cfRule>
  </conditionalFormatting>
  <conditionalFormatting sqref="Q9:Q107">
    <cfRule type="expression" dxfId="4" priority="4">
      <formula>$N9="In operation"</formula>
    </cfRule>
  </conditionalFormatting>
  <conditionalFormatting sqref="R9:R107">
    <cfRule type="expression" dxfId="3" priority="3">
      <formula>$N9="In operation"</formula>
    </cfRule>
  </conditionalFormatting>
  <conditionalFormatting sqref="S9:S107">
    <cfRule type="expression" dxfId="2" priority="2">
      <formula>$N9="Disposed"</formula>
    </cfRule>
  </conditionalFormatting>
  <conditionalFormatting sqref="T11:U107 U9:U10">
    <cfRule type="expression" dxfId="1" priority="1">
      <formula>$N9="Disposed"</formula>
    </cfRule>
  </conditionalFormatting>
  <conditionalFormatting sqref="T9">
    <cfRule type="expression" dxfId="0" priority="8">
      <formula>$N10="Disposed"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L27" sqref="L27"/>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Lucena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8" t="s">
        <v>1431</v>
      </c>
      <c r="D6" s="449"/>
      <c r="E6" s="449"/>
      <c r="F6" s="449"/>
      <c r="G6" s="450"/>
    </row>
    <row r="7" spans="2:17" ht="12.75" customHeight="1" x14ac:dyDescent="0.2">
      <c r="B7" s="278" t="s">
        <v>174</v>
      </c>
      <c r="C7" s="448"/>
      <c r="D7" s="449"/>
      <c r="E7" s="449"/>
      <c r="F7" s="449"/>
      <c r="G7" s="450"/>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23100</v>
      </c>
      <c r="M8" s="47">
        <v>270844.76</v>
      </c>
      <c r="N8" s="165" t="s">
        <v>112</v>
      </c>
      <c r="O8" s="195"/>
      <c r="P8" s="48"/>
      <c r="Q8" s="20"/>
    </row>
    <row r="9" spans="2:17" x14ac:dyDescent="0.2">
      <c r="I9" s="194"/>
      <c r="J9" s="58" t="s">
        <v>89</v>
      </c>
      <c r="K9" s="426" t="str">
        <f>IF(Electricity[[#This Row],[Month]]&lt;&gt;"",VLOOKUP(Electricity[[#This Row],[Month]], dropdown!$S$4:$T$15, 2, FALSE),"")</f>
        <v>Q1</v>
      </c>
      <c r="L9" s="29">
        <v>25200</v>
      </c>
      <c r="M9" s="47">
        <v>302222.5</v>
      </c>
      <c r="N9" s="165" t="s">
        <v>112</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25200</v>
      </c>
      <c r="M10" s="47">
        <v>311204.37</v>
      </c>
      <c r="N10" s="165" t="s">
        <v>112</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26600</v>
      </c>
      <c r="M11" s="47">
        <v>349826.18</v>
      </c>
      <c r="N11" s="165" t="s">
        <v>112</v>
      </c>
      <c r="O11" s="195"/>
      <c r="P11" s="48"/>
      <c r="Q11" s="20"/>
    </row>
    <row r="12" spans="2:17" x14ac:dyDescent="0.2">
      <c r="B12" s="17" t="s">
        <v>207</v>
      </c>
      <c r="C12" s="17" t="s">
        <v>208</v>
      </c>
      <c r="D12" s="41">
        <f>SUMIFS(Electricity[Consumption (kWh)],Electricity[Quarter],D$11)</f>
        <v>73500</v>
      </c>
      <c r="E12" s="41">
        <f>SUMIFS(Electricity[Consumption (kWh)],Electricity[Quarter],E$11)</f>
        <v>86100</v>
      </c>
      <c r="F12" s="41">
        <f>SUMIFS(Electricity[Consumption (kWh)],Electricity[Quarter],F$11)</f>
        <v>58800</v>
      </c>
      <c r="G12" s="41">
        <f>SUMIFS(Electricity[Consumption (kWh)],Electricity[Quarter],G$11)</f>
        <v>0</v>
      </c>
      <c r="I12" s="194"/>
      <c r="J12" s="58" t="s">
        <v>379</v>
      </c>
      <c r="K12" s="426" t="str">
        <f>IF(Electricity[[#This Row],[Month]]&lt;&gt;"",VLOOKUP(Electricity[[#This Row],[Month]], dropdown!$S$4:$T$15, 2, FALSE),"")</f>
        <v>Q2</v>
      </c>
      <c r="L12" s="29">
        <v>30100</v>
      </c>
      <c r="M12" s="47">
        <v>356410.21</v>
      </c>
      <c r="N12" s="165" t="s">
        <v>112</v>
      </c>
      <c r="O12" s="195"/>
      <c r="P12" s="48"/>
      <c r="Q12" s="20"/>
    </row>
    <row r="13" spans="2:17" x14ac:dyDescent="0.2">
      <c r="D13" s="167" t="str">
        <f>IF(SUM(D$12:D$12)&gt;0,"x","")</f>
        <v>x</v>
      </c>
      <c r="E13" s="167" t="str">
        <f>IF(SUM(E$12:E$12)&gt;0,"x","")</f>
        <v>x</v>
      </c>
      <c r="F13" s="167" t="str">
        <f>IF(SUM(F$12:F$12)&gt;0,"x","")</f>
        <v>x</v>
      </c>
      <c r="G13" s="167" t="str">
        <f>IF(SUM(G$12:G$12)&gt;0,"x","")</f>
        <v/>
      </c>
      <c r="I13" s="194"/>
      <c r="J13" s="58" t="s">
        <v>386</v>
      </c>
      <c r="K13" s="426" t="str">
        <f>IF(Electricity[[#This Row],[Month]]&lt;&gt;"",VLOOKUP(Electricity[[#This Row],[Month]], dropdown!$S$4:$T$15, 2, FALSE),"")</f>
        <v>Q2</v>
      </c>
      <c r="L13" s="29">
        <v>29400</v>
      </c>
      <c r="M13" s="47">
        <v>346796.83</v>
      </c>
      <c r="N13" s="165" t="s">
        <v>112</v>
      </c>
      <c r="O13" s="195"/>
      <c r="P13" s="48"/>
      <c r="Q13" s="20"/>
    </row>
    <row r="14" spans="2:17" x14ac:dyDescent="0.2">
      <c r="B14" s="119" t="s">
        <v>38</v>
      </c>
      <c r="D14" s="168"/>
      <c r="I14" s="194"/>
      <c r="J14" s="58" t="s">
        <v>390</v>
      </c>
      <c r="K14" s="426" t="str">
        <f>IF(Electricity[[#This Row],[Month]]&lt;&gt;"",VLOOKUP(Electricity[[#This Row],[Month]], dropdown!$S$4:$T$15, 2, FALSE),"")</f>
        <v>Q3</v>
      </c>
      <c r="L14" s="29">
        <v>30450</v>
      </c>
      <c r="M14" s="47">
        <v>369451.86</v>
      </c>
      <c r="N14" s="165" t="s">
        <v>112</v>
      </c>
      <c r="O14" s="195"/>
      <c r="P14" s="48"/>
      <c r="Q14" s="20"/>
    </row>
    <row r="15" spans="2:17" x14ac:dyDescent="0.2">
      <c r="B15" s="120" t="s">
        <v>175</v>
      </c>
      <c r="D15" s="168"/>
      <c r="I15" s="194"/>
      <c r="J15" s="58" t="s">
        <v>41</v>
      </c>
      <c r="K15" s="426" t="str">
        <f>IF(Electricity[[#This Row],[Month]]&lt;&gt;"",VLOOKUP(Electricity[[#This Row],[Month]], dropdown!$S$4:$T$15, 2, FALSE),"")</f>
        <v>Q3</v>
      </c>
      <c r="L15" s="29">
        <v>28350</v>
      </c>
      <c r="M15" s="47">
        <v>368341.81</v>
      </c>
      <c r="N15" s="165" t="s">
        <v>112</v>
      </c>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5B45-3FFA-42A0-AE6A-CBD6FA185202}">
  <sheetPr>
    <tabColor rgb="FFFFFF00"/>
  </sheetPr>
  <dimension ref="A1"/>
  <sheetViews>
    <sheetView workbookViewId="0">
      <selection activeCell="M19" sqref="M19"/>
    </sheetView>
  </sheetViews>
  <sheetFormatPr baseColWidth="10" defaultColWidth="8.83203125" defaultRowHeight="1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C1" zoomScaleNormal="142" workbookViewId="0">
      <selection activeCell="N18" sqref="N1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Lucena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8"/>
      <c r="D6" s="449"/>
      <c r="E6" s="449"/>
      <c r="F6" s="449"/>
      <c r="G6" s="450"/>
      <c r="I6" s="248" t="s">
        <v>173</v>
      </c>
      <c r="J6" s="249" t="s">
        <v>39</v>
      </c>
      <c r="K6" s="249" t="s">
        <v>43</v>
      </c>
      <c r="L6" s="250" t="s">
        <v>115</v>
      </c>
      <c r="M6" s="352" t="s">
        <v>212</v>
      </c>
      <c r="N6" s="253" t="s">
        <v>54</v>
      </c>
      <c r="O6" s="349"/>
    </row>
    <row r="7" spans="2:16" x14ac:dyDescent="0.2">
      <c r="B7" s="278" t="s">
        <v>174</v>
      </c>
      <c r="C7" s="448"/>
      <c r="D7" s="449"/>
      <c r="E7" s="449"/>
      <c r="F7" s="449"/>
      <c r="G7" s="450"/>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t="s">
        <v>1465</v>
      </c>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A3" zoomScaleNormal="100" workbookViewId="0">
      <selection activeCell="U8" sqref="U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Lucena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8" t="s">
        <v>1522</v>
      </c>
      <c r="D6" s="449"/>
      <c r="E6" s="449"/>
      <c r="F6" s="449"/>
      <c r="G6" s="450"/>
      <c r="I6" s="134" t="s">
        <v>120</v>
      </c>
      <c r="J6" s="65"/>
      <c r="K6" s="65"/>
      <c r="L6" s="65"/>
      <c r="M6" s="65"/>
      <c r="N6" s="66"/>
      <c r="P6" s="134" t="s">
        <v>128</v>
      </c>
      <c r="Q6" s="65"/>
      <c r="R6" s="65"/>
      <c r="S6" s="65"/>
      <c r="T6" s="66"/>
      <c r="U6" s="66"/>
      <c r="W6" s="20"/>
    </row>
    <row r="7" spans="2:23" ht="12.75" customHeight="1" x14ac:dyDescent="0.2">
      <c r="B7" s="278" t="s">
        <v>174</v>
      </c>
      <c r="C7" s="448"/>
      <c r="D7" s="449"/>
      <c r="E7" s="449"/>
      <c r="F7" s="449"/>
      <c r="G7" s="450"/>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204</v>
      </c>
      <c r="N8" s="195" t="s">
        <v>1818</v>
      </c>
      <c r="O8" s="44"/>
      <c r="P8" s="194">
        <f>IF($T8="","",1)</f>
        <v>1</v>
      </c>
      <c r="Q8" s="58" t="s">
        <v>338</v>
      </c>
      <c r="R8" s="18" t="str">
        <f>IF(water_out[[#This Row],[Month]]&lt;&gt;"",VLOOKUP(water_out[[#This Row],[Month]], dropdown!$S$4:$T$15, 2, FALSE),"")</f>
        <v>Q1</v>
      </c>
      <c r="S8" s="60" t="s">
        <v>364</v>
      </c>
      <c r="T8" s="29">
        <v>149</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212</v>
      </c>
      <c r="N9" s="195" t="s">
        <v>1819</v>
      </c>
      <c r="O9" s="44"/>
      <c r="P9" s="194">
        <f>IF($T9="","",$P8+1)</f>
        <v>2</v>
      </c>
      <c r="Q9" s="58" t="s">
        <v>89</v>
      </c>
      <c r="R9" s="18" t="str">
        <f>IF(water_out[[#This Row],[Month]]&lt;&gt;"",VLOOKUP(water_out[[#This Row],[Month]], dropdown!$S$4:$T$15, 2, FALSE),"")</f>
        <v>Q1</v>
      </c>
      <c r="S9" s="60" t="s">
        <v>364</v>
      </c>
      <c r="T9" s="29">
        <v>150</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215</v>
      </c>
      <c r="N10" s="195" t="s">
        <v>1820</v>
      </c>
      <c r="O10" s="44"/>
      <c r="P10" s="194">
        <f t="shared" ref="P10:P73" si="1">IF($T10="","",$P9+1)</f>
        <v>3</v>
      </c>
      <c r="Q10" s="58" t="s">
        <v>362</v>
      </c>
      <c r="R10" s="18" t="str">
        <f>IF(water_out[[#This Row],[Month]]&lt;&gt;"",VLOOKUP(water_out[[#This Row],[Month]], dropdown!$S$4:$T$15, 2, FALSE),"")</f>
        <v>Q1</v>
      </c>
      <c r="S10" s="60" t="s">
        <v>364</v>
      </c>
      <c r="T10" s="29">
        <v>155</v>
      </c>
      <c r="U10" s="195"/>
      <c r="W10" s="20"/>
    </row>
    <row r="11" spans="2:23" ht="14" x14ac:dyDescent="0.2">
      <c r="B11" s="17" t="s">
        <v>120</v>
      </c>
      <c r="C11" s="17" t="s">
        <v>220</v>
      </c>
      <c r="D11" s="41">
        <f>SUMIFS(water_in[Volume (m3)],water_in[Quarter],D$10)</f>
        <v>631</v>
      </c>
      <c r="E11" s="41">
        <f>SUMIFS(water_in[Volume (m3)],water_in[Quarter],E$10)</f>
        <v>631</v>
      </c>
      <c r="F11" s="41">
        <f>SUMIFS(water_in[Volume (m3)],water_in[Quarter],F$10)</f>
        <v>435</v>
      </c>
      <c r="G11" s="41">
        <f>SUMIFS(water_in[Volume (m3)],water_in[Quarter],G$10)</f>
        <v>0</v>
      </c>
      <c r="I11" s="194">
        <f t="shared" si="0"/>
        <v>4</v>
      </c>
      <c r="J11" s="58" t="s">
        <v>371</v>
      </c>
      <c r="K11" s="426" t="str">
        <f>IF(water_in[[#This Row],[Month]]&lt;&gt;"",VLOOKUP(water_in[[#This Row],[Month]], dropdown!$S$4:$T$15, 2, FALSE),"")</f>
        <v>Q2</v>
      </c>
      <c r="L11" s="58" t="s">
        <v>124</v>
      </c>
      <c r="M11" s="29">
        <v>199</v>
      </c>
      <c r="N11" s="195" t="s">
        <v>1821</v>
      </c>
      <c r="O11" s="44"/>
      <c r="P11" s="194">
        <f t="shared" si="1"/>
        <v>4</v>
      </c>
      <c r="Q11" s="58" t="s">
        <v>371</v>
      </c>
      <c r="R11" s="18" t="str">
        <f>IF(water_out[[#This Row],[Month]]&lt;&gt;"",VLOOKUP(water_out[[#This Row],[Month]], dropdown!$S$4:$T$15, 2, FALSE),"")</f>
        <v>Q2</v>
      </c>
      <c r="S11" s="60" t="s">
        <v>364</v>
      </c>
      <c r="T11" s="29">
        <v>150</v>
      </c>
      <c r="U11" s="195"/>
      <c r="W11" s="20"/>
    </row>
    <row r="12" spans="2:23" ht="14" x14ac:dyDescent="0.2">
      <c r="B12" s="17" t="s">
        <v>128</v>
      </c>
      <c r="C12" s="17" t="s">
        <v>220</v>
      </c>
      <c r="D12" s="41">
        <f>SUMIFS(water_out[Volume2 (m3)],water_out[Quarter],D$10)</f>
        <v>454</v>
      </c>
      <c r="E12" s="41">
        <f>SUMIFS(water_out[Volume2 (m3)],water_out[Quarter],E$10)</f>
        <v>450</v>
      </c>
      <c r="F12" s="41">
        <f>SUMIFS(water_out[Volume2 (m3)],water_out[Quarter],F$10)</f>
        <v>298.91999999999996</v>
      </c>
      <c r="G12" s="41">
        <f>SUMIFS(water_out[Volume2 (m3)],water_out[Quarter],G$10)</f>
        <v>0</v>
      </c>
      <c r="I12" s="194">
        <f t="shared" si="0"/>
        <v>5</v>
      </c>
      <c r="J12" s="58" t="s">
        <v>379</v>
      </c>
      <c r="K12" s="426" t="str">
        <f>IF(water_in[[#This Row],[Month]]&lt;&gt;"",VLOOKUP(water_in[[#This Row],[Month]], dropdown!$S$4:$T$15, 2, FALSE),"")</f>
        <v>Q2</v>
      </c>
      <c r="L12" s="58" t="s">
        <v>124</v>
      </c>
      <c r="M12" s="29">
        <v>216</v>
      </c>
      <c r="N12" s="195" t="s">
        <v>1822</v>
      </c>
      <c r="O12" s="44" t="str">
        <f>IF(J12="","",VLOOKUP($J12,dropdown!$S$3:$T$15,2,FALSE))</f>
        <v>Q2</v>
      </c>
      <c r="P12" s="194">
        <f t="shared" si="1"/>
        <v>5</v>
      </c>
      <c r="Q12" s="58" t="s">
        <v>379</v>
      </c>
      <c r="R12" s="18" t="str">
        <f>IF(water_out[[#This Row],[Month]]&lt;&gt;"",VLOOKUP(water_out[[#This Row],[Month]], dropdown!$S$4:$T$15, 2, FALSE),"")</f>
        <v>Q2</v>
      </c>
      <c r="S12" s="60" t="s">
        <v>364</v>
      </c>
      <c r="T12" s="29">
        <v>150</v>
      </c>
      <c r="U12" s="195"/>
      <c r="W12" s="20"/>
    </row>
    <row r="13" spans="2:23" ht="14" x14ac:dyDescent="0.2">
      <c r="D13" s="167" t="str">
        <f>IF(SUM(D$11:D$12)&gt;0,"x","")</f>
        <v>x</v>
      </c>
      <c r="E13" s="167" t="str">
        <f>IF(SUM(E$11:E$12)&gt;0,"x","")</f>
        <v>x</v>
      </c>
      <c r="F13" s="167" t="str">
        <f>IF(SUM(F$11:F$12)&gt;0,"x","")</f>
        <v>x</v>
      </c>
      <c r="G13" s="167" t="str">
        <f>IF(SUM(G$11:G$12)&gt;0,"x","")</f>
        <v/>
      </c>
      <c r="I13" s="194">
        <f t="shared" si="0"/>
        <v>6</v>
      </c>
      <c r="J13" s="58" t="s">
        <v>386</v>
      </c>
      <c r="K13" s="426" t="str">
        <f>IF(water_in[[#This Row],[Month]]&lt;&gt;"",VLOOKUP(water_in[[#This Row],[Month]], dropdown!$S$4:$T$15, 2, FALSE),"")</f>
        <v>Q2</v>
      </c>
      <c r="L13" s="58" t="s">
        <v>124</v>
      </c>
      <c r="M13" s="29">
        <v>216</v>
      </c>
      <c r="N13" s="195" t="s">
        <v>1823</v>
      </c>
      <c r="O13" s="44" t="str">
        <f>IF(J13="","",VLOOKUP($J13,dropdown!$S$3:$T$15,2,FALSE))</f>
        <v>Q2</v>
      </c>
      <c r="P13" s="194">
        <f t="shared" si="1"/>
        <v>6</v>
      </c>
      <c r="Q13" s="58" t="s">
        <v>386</v>
      </c>
      <c r="R13" s="18" t="str">
        <f>IF(water_out[[#This Row],[Month]]&lt;&gt;"",VLOOKUP(water_out[[#This Row],[Month]], dropdown!$S$4:$T$15, 2, FALSE),"")</f>
        <v>Q2</v>
      </c>
      <c r="S13" s="60" t="s">
        <v>364</v>
      </c>
      <c r="T13" s="29">
        <v>150</v>
      </c>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216</v>
      </c>
      <c r="N14" s="195" t="s">
        <v>1824</v>
      </c>
      <c r="O14" s="44" t="str">
        <f>IF(J14="","",VLOOKUP($J14,dropdown!$S$3:$T$15,2,FALSE))</f>
        <v>Q3</v>
      </c>
      <c r="P14" s="194">
        <f t="shared" si="1"/>
        <v>7</v>
      </c>
      <c r="Q14" s="58" t="s">
        <v>390</v>
      </c>
      <c r="R14" s="18" t="str">
        <f>IF(water_out[[#This Row],[Month]]&lt;&gt;"",VLOOKUP(water_out[[#This Row],[Month]], dropdown!$S$4:$T$15, 2, FALSE),"")</f>
        <v>Q3</v>
      </c>
      <c r="S14" s="60" t="s">
        <v>364</v>
      </c>
      <c r="T14" s="29">
        <v>150</v>
      </c>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219</v>
      </c>
      <c r="N15" s="195" t="s">
        <v>1825</v>
      </c>
      <c r="O15" s="44" t="str">
        <f>IF(J15="","",VLOOKUP($J15,dropdown!$S$3:$T$15,2,FALSE))</f>
        <v>Q3</v>
      </c>
      <c r="P15" s="194">
        <f t="shared" si="1"/>
        <v>8</v>
      </c>
      <c r="Q15" s="58" t="s">
        <v>41</v>
      </c>
      <c r="R15" s="18" t="str">
        <f>IF(water_out[[#This Row],[Month]]&lt;&gt;"",VLOOKUP(water_out[[#This Row],[Month]], dropdown!$S$4:$T$15, 2, FALSE),"")</f>
        <v>Q3</v>
      </c>
      <c r="S15" s="60" t="s">
        <v>364</v>
      </c>
      <c r="T15" s="29">
        <v>148.91999999999999</v>
      </c>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Lucena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1" zoomScaleNormal="100" workbookViewId="0">
      <selection activeCell="O23" sqref="O23"/>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Lucena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8" t="s">
        <v>1522</v>
      </c>
      <c r="D6" s="449"/>
      <c r="E6" s="449"/>
      <c r="F6" s="449"/>
      <c r="G6" s="450"/>
      <c r="I6" s="409" t="s">
        <v>282</v>
      </c>
      <c r="J6" s="407"/>
      <c r="K6" s="407"/>
      <c r="L6" s="407"/>
      <c r="M6" s="408"/>
      <c r="N6" s="407"/>
      <c r="O6" s="407"/>
      <c r="Q6" s="44"/>
    </row>
    <row r="7" spans="2:17" ht="25.5" customHeight="1" x14ac:dyDescent="0.2">
      <c r="B7" s="278" t="s">
        <v>174</v>
      </c>
      <c r="C7" s="451">
        <v>45911</v>
      </c>
      <c r="D7" s="449"/>
      <c r="E7" s="449"/>
      <c r="F7" s="449"/>
      <c r="G7" s="450"/>
      <c r="I7" s="248" t="s">
        <v>173</v>
      </c>
      <c r="J7" s="249" t="s">
        <v>39</v>
      </c>
      <c r="K7" s="249" t="s">
        <v>43</v>
      </c>
      <c r="L7" s="249" t="s">
        <v>137</v>
      </c>
      <c r="M7" s="254" t="s">
        <v>140</v>
      </c>
      <c r="N7" s="255" t="s">
        <v>142</v>
      </c>
      <c r="O7" s="253" t="s">
        <v>54</v>
      </c>
      <c r="Q7" s="44"/>
    </row>
    <row r="8" spans="2:17" x14ac:dyDescent="0.2">
      <c r="I8" s="194">
        <f>IF($J8="","",1)</f>
        <v>1</v>
      </c>
      <c r="J8" s="58" t="s">
        <v>362</v>
      </c>
      <c r="K8" s="194" t="str">
        <f>IF(Waste[[#This Row],[Month]]&lt;&gt;"",VLOOKUP(Waste[[#This Row],[Month]], dropdown!$S$4:$T$15, 2, FALSE),"")</f>
        <v>Q1</v>
      </c>
      <c r="L8" s="57" t="s">
        <v>318</v>
      </c>
      <c r="M8" s="29">
        <v>479.7</v>
      </c>
      <c r="N8" s="57" t="s">
        <v>313</v>
      </c>
      <c r="O8" s="195" t="s">
        <v>1838</v>
      </c>
      <c r="Q8" s="44"/>
    </row>
    <row r="9" spans="2:17" x14ac:dyDescent="0.2">
      <c r="B9" s="14" t="s">
        <v>134</v>
      </c>
      <c r="C9" s="14"/>
      <c r="D9" s="14"/>
      <c r="E9" s="14"/>
      <c r="F9" s="14"/>
      <c r="G9" s="14"/>
      <c r="I9" s="194">
        <f t="shared" ref="I9:I72" si="0">IF($J9="","",$I8+1)</f>
        <v>2</v>
      </c>
      <c r="J9" s="58" t="s">
        <v>362</v>
      </c>
      <c r="K9" s="194" t="str">
        <f>IF(Waste[[#This Row],[Month]]&lt;&gt;"",VLOOKUP(Waste[[#This Row],[Month]], dropdown!$S$4:$T$15, 2, FALSE),"")</f>
        <v>Q1</v>
      </c>
      <c r="L9" s="57" t="s">
        <v>383</v>
      </c>
      <c r="M9" s="29">
        <v>5995</v>
      </c>
      <c r="N9" s="57" t="s">
        <v>313</v>
      </c>
      <c r="O9" s="195" t="s">
        <v>1838</v>
      </c>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317</v>
      </c>
      <c r="M10" s="29">
        <v>49.5</v>
      </c>
      <c r="N10" s="57" t="s">
        <v>345</v>
      </c>
      <c r="O10" s="195" t="s">
        <v>1838</v>
      </c>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386</v>
      </c>
      <c r="K11" s="194" t="str">
        <f>IF(Waste[[#This Row],[Month]]&lt;&gt;"",VLOOKUP(Waste[[#This Row],[Month]], dropdown!$S$4:$T$15, 2, FALSE),"")</f>
        <v>Q2</v>
      </c>
      <c r="L11" s="57" t="s">
        <v>318</v>
      </c>
      <c r="M11" s="29">
        <v>95.4</v>
      </c>
      <c r="N11" s="57" t="s">
        <v>313</v>
      </c>
      <c r="O11" s="195" t="s">
        <v>1838</v>
      </c>
      <c r="Q11" s="44"/>
    </row>
    <row r="12" spans="2:17" x14ac:dyDescent="0.2">
      <c r="B12" s="17" t="str">
        <f>dropdown!$B5</f>
        <v>Recyclable</v>
      </c>
      <c r="C12" s="17" t="s">
        <v>283</v>
      </c>
      <c r="D12" s="41">
        <f>SUMIFS(Waste[Weight (kg)],Waste[Quarter],D$10,Waste[Waste Composition],$B12)</f>
        <v>479.7</v>
      </c>
      <c r="E12" s="41">
        <f>SUMIFS(Waste[Weight (kg)],Waste[Quarter],E$10,Waste[Waste Composition],$B12)</f>
        <v>95.4</v>
      </c>
      <c r="F12" s="41">
        <f>SUMIFS(Waste[Weight (kg)],Waste[Quarter],F$10,Waste[Waste Composition],$B12)</f>
        <v>210.7</v>
      </c>
      <c r="G12" s="41">
        <f>SUMIFS(Waste[Weight (kg)],Waste[Quarter],G$10,Waste[Waste Composition],$B12)</f>
        <v>0</v>
      </c>
      <c r="I12" s="194">
        <f t="shared" si="0"/>
        <v>5</v>
      </c>
      <c r="J12" s="58" t="s">
        <v>386</v>
      </c>
      <c r="K12" s="194" t="str">
        <f>IF(Waste[[#This Row],[Month]]&lt;&gt;"",VLOOKUP(Waste[[#This Row],[Month]], dropdown!$S$4:$T$15, 2, FALSE),"")</f>
        <v>Q2</v>
      </c>
      <c r="L12" s="57" t="s">
        <v>383</v>
      </c>
      <c r="M12" s="29">
        <v>5977.6</v>
      </c>
      <c r="N12" s="57" t="s">
        <v>313</v>
      </c>
      <c r="O12" s="195" t="s">
        <v>1838</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317</v>
      </c>
      <c r="M13" s="29">
        <v>60</v>
      </c>
      <c r="N13" s="57" t="s">
        <v>345</v>
      </c>
      <c r="O13" s="195" t="s">
        <v>1838</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41</v>
      </c>
      <c r="K14" s="194" t="str">
        <f>IF(Waste[[#This Row],[Month]]&lt;&gt;"",VLOOKUP(Waste[[#This Row],[Month]], dropdown!$S$4:$T$15, 2, FALSE),"")</f>
        <v>Q3</v>
      </c>
      <c r="L14" s="57" t="s">
        <v>318</v>
      </c>
      <c r="M14" s="29">
        <v>210.7</v>
      </c>
      <c r="N14" s="57" t="s">
        <v>313</v>
      </c>
      <c r="O14" s="195" t="s">
        <v>1838</v>
      </c>
      <c r="Q14" s="44"/>
    </row>
    <row r="15" spans="2:17" ht="15" customHeight="1" x14ac:dyDescent="0.2">
      <c r="B15" s="17" t="str">
        <f>dropdown!$B8</f>
        <v>Hazardous</v>
      </c>
      <c r="C15" s="17" t="s">
        <v>283</v>
      </c>
      <c r="D15" s="41">
        <f>SUMIFS(Waste[Weight (kg)],Waste[Quarter],D$10,Waste[Waste Composition],$B15)</f>
        <v>49.5</v>
      </c>
      <c r="E15" s="41">
        <f>SUMIFS(Waste[Weight (kg)],Waste[Quarter],E$10,Waste[Waste Composition],$B15)</f>
        <v>60</v>
      </c>
      <c r="F15" s="41">
        <f>SUMIFS(Waste[Weight (kg)],Waste[Quarter],F$10,Waste[Waste Composition],$B15)</f>
        <v>14</v>
      </c>
      <c r="G15" s="41">
        <f>SUMIFS(Waste[Weight (kg)],Waste[Quarter],G$10,Waste[Waste Composition],$B15)</f>
        <v>0</v>
      </c>
      <c r="I15" s="194">
        <f t="shared" si="0"/>
        <v>8</v>
      </c>
      <c r="J15" s="58" t="s">
        <v>41</v>
      </c>
      <c r="K15" s="194" t="str">
        <f>IF(Waste[[#This Row],[Month]]&lt;&gt;"",VLOOKUP(Waste[[#This Row],[Month]], dropdown!$S$4:$T$15, 2, FALSE),"")</f>
        <v>Q3</v>
      </c>
      <c r="L15" s="57" t="s">
        <v>383</v>
      </c>
      <c r="M15" s="29">
        <v>5243.29</v>
      </c>
      <c r="N15" s="57" t="s">
        <v>313</v>
      </c>
      <c r="O15" s="195" t="s">
        <v>1838</v>
      </c>
    </row>
    <row r="16" spans="2:17" x14ac:dyDescent="0.2">
      <c r="B16" s="17" t="str">
        <f>dropdown!$B9</f>
        <v>Residual/Landfill</v>
      </c>
      <c r="C16" s="17" t="s">
        <v>283</v>
      </c>
      <c r="D16" s="41">
        <f>SUMIFS(Waste[Weight (kg)],Waste[Quarter],D$10,Waste[Waste Composition],$B16)</f>
        <v>5995</v>
      </c>
      <c r="E16" s="41">
        <f>SUMIFS(Waste[Weight (kg)],Waste[Quarter],E$10,Waste[Waste Composition],$B16)</f>
        <v>5977.6</v>
      </c>
      <c r="F16" s="41">
        <f>SUMIFS(Waste[Weight (kg)],Waste[Quarter],F$10,Waste[Waste Composition],$B16)</f>
        <v>5243.29</v>
      </c>
      <c r="G16" s="41">
        <f>SUMIFS(Waste[Weight (kg)],Waste[Quarter],G$10,Waste[Waste Composition],$B16)</f>
        <v>0</v>
      </c>
      <c r="I16" s="194">
        <f t="shared" si="0"/>
        <v>9</v>
      </c>
      <c r="J16" s="58" t="s">
        <v>41</v>
      </c>
      <c r="K16" s="194" t="str">
        <f>IF(Waste[[#This Row],[Month]]&lt;&gt;"",VLOOKUP(Waste[[#This Row],[Month]], dropdown!$S$4:$T$15, 2, FALSE),"")</f>
        <v>Q3</v>
      </c>
      <c r="L16" s="57" t="s">
        <v>317</v>
      </c>
      <c r="M16" s="29">
        <v>14</v>
      </c>
      <c r="N16" s="57" t="s">
        <v>345</v>
      </c>
      <c r="O16" s="195" t="s">
        <v>1838</v>
      </c>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Lucena Branch</v>
      </c>
      <c r="E6" s="463" t="s">
        <v>284</v>
      </c>
      <c r="F6" s="463"/>
      <c r="G6" s="463"/>
      <c r="H6" s="463"/>
      <c r="I6" s="463"/>
      <c r="J6" s="463"/>
      <c r="K6" s="463"/>
      <c r="L6" s="463"/>
      <c r="M6" s="463"/>
      <c r="N6" s="463"/>
      <c r="O6" s="463"/>
      <c r="P6" s="463"/>
      <c r="Q6" s="463"/>
    </row>
    <row r="7" spans="2:17" ht="20" customHeight="1" x14ac:dyDescent="0.2">
      <c r="B7" s="70" t="s">
        <v>12</v>
      </c>
      <c r="C7" s="59">
        <f>'1. Data Info and Summary'!$D$3</f>
        <v>2025</v>
      </c>
      <c r="E7" s="463"/>
      <c r="F7" s="463"/>
      <c r="G7" s="463"/>
      <c r="H7" s="463"/>
      <c r="I7" s="463"/>
      <c r="J7" s="463"/>
      <c r="K7" s="463"/>
      <c r="L7" s="463"/>
      <c r="M7" s="463"/>
      <c r="N7" s="463"/>
      <c r="O7" s="463"/>
      <c r="P7" s="463"/>
      <c r="Q7" s="463"/>
    </row>
    <row r="8" spans="2:17" ht="20" customHeight="1" x14ac:dyDescent="0.2">
      <c r="B8" s="71"/>
    </row>
    <row r="9" spans="2:17" x14ac:dyDescent="0.2">
      <c r="C9" s="53"/>
      <c r="E9" s="465" t="s">
        <v>285</v>
      </c>
      <c r="F9" s="465"/>
      <c r="G9" s="465"/>
      <c r="H9" s="465"/>
      <c r="I9" s="465"/>
      <c r="J9" s="465"/>
      <c r="L9" s="465" t="s">
        <v>286</v>
      </c>
      <c r="M9" s="465"/>
      <c r="N9" s="465"/>
      <c r="O9" s="465"/>
      <c r="P9" s="465"/>
      <c r="Q9" s="465"/>
    </row>
    <row r="10" spans="2:17" ht="8" customHeight="1" x14ac:dyDescent="0.2">
      <c r="B10" s="71"/>
    </row>
    <row r="11" spans="2:17" x14ac:dyDescent="0.2">
      <c r="E11" s="464" t="s">
        <v>287</v>
      </c>
      <c r="F11" s="464"/>
      <c r="G11" s="464"/>
      <c r="H11" s="464"/>
      <c r="I11" s="464"/>
      <c r="J11" s="464"/>
      <c r="L11" s="464" t="s">
        <v>288</v>
      </c>
      <c r="M11" s="464"/>
      <c r="N11" s="464"/>
      <c r="O11" s="464"/>
      <c r="P11" s="464"/>
      <c r="Q11" s="464"/>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45.97</v>
      </c>
      <c r="G13" s="73" t="str">
        <f>'1. Data Info and Summary'!$D18</f>
        <v>Liters</v>
      </c>
      <c r="I13" s="76">
        <f>VLOOKUP($E13,Emission_Factors!$A$1:$G$20,5,FALSE)</f>
        <v>2.68</v>
      </c>
      <c r="J13" s="141">
        <f>F13*I13</f>
        <v>123.1996</v>
      </c>
      <c r="L13" s="73" t="s">
        <v>155</v>
      </c>
      <c r="M13" s="78">
        <f>SUM('2.3a Electricity'!$D$12:$G$12)</f>
        <v>218400</v>
      </c>
      <c r="N13" s="73" t="str">
        <f>'2.3a Electricity'!$C$12</f>
        <v>Kilowatt-hour</v>
      </c>
      <c r="P13" s="76">
        <f>VLOOKUP($L13,Emission_Factors!$A$1:$G$20,5,FALSE)</f>
        <v>0.56000000000000005</v>
      </c>
      <c r="Q13" s="141">
        <f>M13*P13</f>
        <v>122304.00000000001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123.1996</v>
      </c>
    </row>
    <row r="20" spans="5:10" x14ac:dyDescent="0.2">
      <c r="E20" s="464" t="s">
        <v>293</v>
      </c>
      <c r="F20" s="464"/>
      <c r="G20" s="464"/>
      <c r="H20" s="464"/>
      <c r="I20" s="464"/>
      <c r="J20" s="464"/>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2437.7600000000002</v>
      </c>
      <c r="G22" s="73" t="str">
        <f>'1. Data Info and Summary'!$D26</f>
        <v>Liters</v>
      </c>
      <c r="I22" s="76">
        <f>VLOOKUP($E22,Emission_Factors!$A$1:$G$20,5,FALSE)</f>
        <v>2.68</v>
      </c>
      <c r="J22" s="141">
        <f>F22*I22</f>
        <v>6533.1968000000006</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6533.1968000000006</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5" width="6.6640625" bestFit="1" customWidth="1"/>
    <col min="6" max="6" width="10" bestFit="1" customWidth="1"/>
    <col min="7"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150</v>
      </c>
      <c r="F30" t="s">
        <v>297</v>
      </c>
      <c r="I30" s="20"/>
      <c r="J30" s="20"/>
      <c r="K30" s="21"/>
      <c r="L30" s="21"/>
      <c r="M30" s="22"/>
      <c r="N30" s="22"/>
      <c r="O30" s="11"/>
      <c r="P30" s="22"/>
      <c r="Q30" s="20"/>
      <c r="R30" s="20"/>
      <c r="S30" s="44"/>
    </row>
    <row r="31" spans="1:19" outlineLevel="1" x14ac:dyDescent="0.2">
      <c r="A31" s="19" t="s">
        <v>300</v>
      </c>
      <c r="B31" s="337"/>
      <c r="C31" s="337"/>
      <c r="D31" s="337"/>
      <c r="E31" s="337"/>
      <c r="F31" s="337"/>
      <c r="I31" s="20"/>
      <c r="J31" s="20"/>
      <c r="K31" s="21"/>
      <c r="L31" s="21"/>
      <c r="M31" s="22"/>
      <c r="N31" s="22"/>
      <c r="O31" s="11"/>
      <c r="P31" s="22"/>
      <c r="Q31" s="20"/>
      <c r="R31" s="20"/>
      <c r="S31" s="44"/>
    </row>
    <row r="32" spans="1:19" outlineLevel="1" x14ac:dyDescent="0.2">
      <c r="A32" s="203" t="s">
        <v>300</v>
      </c>
      <c r="B32" s="337"/>
      <c r="C32" s="337"/>
      <c r="D32" s="337"/>
      <c r="E32" s="337"/>
      <c r="F32" s="337"/>
      <c r="I32" s="20"/>
      <c r="J32" s="20"/>
      <c r="K32" s="21"/>
      <c r="L32" s="21"/>
      <c r="M32" s="22"/>
      <c r="N32" s="22"/>
      <c r="O32" s="11"/>
      <c r="P32" s="22"/>
      <c r="Q32" s="20"/>
      <c r="R32" s="20"/>
      <c r="S32" s="44"/>
    </row>
    <row r="33" spans="1:19" outlineLevel="1" x14ac:dyDescent="0.2">
      <c r="A33" s="19" t="s">
        <v>343</v>
      </c>
      <c r="B33" s="337"/>
      <c r="C33" s="337">
        <v>18.940000000000001</v>
      </c>
      <c r="D33" s="337">
        <v>57.94</v>
      </c>
      <c r="E33" s="337">
        <v>20.82</v>
      </c>
      <c r="F33" s="337">
        <v>97.699999999999989</v>
      </c>
      <c r="I33" s="20"/>
      <c r="J33" s="20"/>
      <c r="K33" s="21"/>
      <c r="L33" s="21"/>
      <c r="M33" s="22"/>
      <c r="N33" s="22"/>
      <c r="O33" s="11"/>
      <c r="P33" s="22"/>
      <c r="Q33" s="20"/>
      <c r="R33" s="20"/>
      <c r="S33" s="44"/>
    </row>
    <row r="34" spans="1:19" outlineLevel="1" x14ac:dyDescent="0.2">
      <c r="A34" s="203" t="s">
        <v>63</v>
      </c>
      <c r="B34" s="337"/>
      <c r="C34" s="337">
        <v>18.940000000000001</v>
      </c>
      <c r="D34" s="337">
        <v>57.94</v>
      </c>
      <c r="E34" s="337">
        <v>20.82</v>
      </c>
      <c r="F34" s="337">
        <v>97.699999999999989</v>
      </c>
      <c r="I34" s="20"/>
      <c r="J34" s="20"/>
      <c r="K34" s="21"/>
      <c r="L34" s="21"/>
      <c r="M34" s="22"/>
      <c r="N34" s="22"/>
      <c r="O34" s="11"/>
      <c r="P34" s="22"/>
      <c r="Q34" s="20"/>
      <c r="R34" s="20"/>
      <c r="S34" s="44"/>
    </row>
    <row r="35" spans="1:19" outlineLevel="1" x14ac:dyDescent="0.2">
      <c r="A35" s="19" t="s">
        <v>365</v>
      </c>
      <c r="B35" s="337"/>
      <c r="C35" s="337">
        <v>396.12</v>
      </c>
      <c r="D35" s="337">
        <v>590.47</v>
      </c>
      <c r="E35" s="337">
        <v>501.71</v>
      </c>
      <c r="F35" s="337">
        <v>1488.3</v>
      </c>
      <c r="I35" s="20"/>
      <c r="J35" s="20"/>
      <c r="K35" s="21"/>
      <c r="L35" s="21"/>
      <c r="M35" s="22"/>
      <c r="N35" s="22"/>
      <c r="O35" s="11"/>
      <c r="P35" s="22"/>
      <c r="Q35" s="20"/>
      <c r="R35" s="20"/>
      <c r="S35" s="44"/>
    </row>
    <row r="36" spans="1:19" outlineLevel="1" x14ac:dyDescent="0.2">
      <c r="A36" s="203" t="s">
        <v>63</v>
      </c>
      <c r="B36" s="337"/>
      <c r="C36" s="337">
        <v>396.12</v>
      </c>
      <c r="D36" s="337">
        <v>590.47</v>
      </c>
      <c r="E36" s="337">
        <v>501.71</v>
      </c>
      <c r="F36" s="337">
        <v>1488.3</v>
      </c>
      <c r="H36" s="12"/>
      <c r="I36" s="20"/>
      <c r="J36" s="20"/>
      <c r="K36" s="21"/>
      <c r="L36" s="21"/>
      <c r="M36" s="22"/>
      <c r="N36" s="22"/>
      <c r="O36" s="11"/>
      <c r="P36" s="22"/>
      <c r="Q36" s="20"/>
      <c r="R36" s="20"/>
      <c r="S36" s="44"/>
    </row>
    <row r="37" spans="1:19" outlineLevel="1" x14ac:dyDescent="0.2">
      <c r="A37" s="19" t="s">
        <v>381</v>
      </c>
      <c r="B37" s="337"/>
      <c r="C37" s="337">
        <v>474.53</v>
      </c>
      <c r="D37" s="337">
        <v>224.07</v>
      </c>
      <c r="E37" s="337">
        <v>153.16</v>
      </c>
      <c r="F37" s="337">
        <v>851.75999999999988</v>
      </c>
      <c r="H37" s="12"/>
      <c r="I37" s="20"/>
      <c r="J37" s="20"/>
      <c r="K37" s="21"/>
      <c r="L37" s="21"/>
      <c r="M37" s="22"/>
      <c r="N37" s="22"/>
      <c r="O37" s="11"/>
      <c r="P37" s="22"/>
      <c r="Q37" s="20"/>
      <c r="R37" s="20"/>
      <c r="S37" s="44"/>
    </row>
    <row r="38" spans="1:19" outlineLevel="1" x14ac:dyDescent="0.2">
      <c r="A38" s="203" t="s">
        <v>63</v>
      </c>
      <c r="B38" s="337"/>
      <c r="C38" s="337">
        <v>474.53</v>
      </c>
      <c r="D38" s="337">
        <v>224.07</v>
      </c>
      <c r="E38" s="337">
        <v>153.16</v>
      </c>
      <c r="F38" s="337">
        <v>851.75999999999988</v>
      </c>
      <c r="H38" s="12"/>
      <c r="I38" s="20"/>
      <c r="J38" s="20"/>
      <c r="K38" s="21"/>
      <c r="L38" s="21"/>
      <c r="M38" s="22"/>
      <c r="N38" s="22"/>
      <c r="O38" s="11"/>
      <c r="P38" s="22"/>
      <c r="Q38" s="20"/>
      <c r="R38" s="20"/>
      <c r="S38" s="44"/>
    </row>
    <row r="39" spans="1:19" outlineLevel="1" x14ac:dyDescent="0.2">
      <c r="A39" s="19" t="s">
        <v>297</v>
      </c>
      <c r="B39" s="337"/>
      <c r="C39" s="337">
        <v>889.58999999999992</v>
      </c>
      <c r="D39" s="337">
        <v>872.48</v>
      </c>
      <c r="E39" s="337">
        <v>675.68999999999994</v>
      </c>
      <c r="F39" s="337">
        <v>2437.7599999999998</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2241"/>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45909.493831018517</v>
      </c>
      <c r="B927" t="s">
        <v>1431</v>
      </c>
      <c r="C927" t="s">
        <v>597</v>
      </c>
      <c r="D927" t="s">
        <v>1230</v>
      </c>
      <c r="E927" t="s">
        <v>39</v>
      </c>
    </row>
    <row r="928" spans="1:5" x14ac:dyDescent="0.2">
      <c r="A928" s="269">
        <v>45909.494490740741</v>
      </c>
      <c r="B928" t="s">
        <v>1431</v>
      </c>
      <c r="C928" t="s">
        <v>103</v>
      </c>
      <c r="D928" t="s">
        <v>1432</v>
      </c>
      <c r="E928" t="s">
        <v>1431</v>
      </c>
    </row>
    <row r="929" spans="1:5" x14ac:dyDescent="0.2">
      <c r="A929" s="269">
        <v>45909.494687500002</v>
      </c>
      <c r="B929" t="s">
        <v>1431</v>
      </c>
      <c r="C929" t="s">
        <v>103</v>
      </c>
      <c r="D929" t="s">
        <v>1433</v>
      </c>
      <c r="E929" t="s">
        <v>338</v>
      </c>
    </row>
    <row r="930" spans="1:5" x14ac:dyDescent="0.2">
      <c r="A930" s="269">
        <v>45909.494756944441</v>
      </c>
      <c r="B930" t="s">
        <v>1431</v>
      </c>
      <c r="C930" t="s">
        <v>103</v>
      </c>
      <c r="D930" t="s">
        <v>1191</v>
      </c>
      <c r="E930" t="s">
        <v>89</v>
      </c>
    </row>
    <row r="931" spans="1:5" x14ac:dyDescent="0.2">
      <c r="A931" s="269">
        <v>45909.494884259257</v>
      </c>
      <c r="B931" t="s">
        <v>1431</v>
      </c>
      <c r="C931" t="s">
        <v>103</v>
      </c>
      <c r="D931" t="s">
        <v>795</v>
      </c>
      <c r="E931" t="s">
        <v>362</v>
      </c>
    </row>
    <row r="932" spans="1:5" x14ac:dyDescent="0.2">
      <c r="A932" s="269">
        <v>45909.494953703703</v>
      </c>
      <c r="B932" t="s">
        <v>1431</v>
      </c>
      <c r="C932" t="s">
        <v>103</v>
      </c>
      <c r="D932" t="s">
        <v>1013</v>
      </c>
      <c r="E932" t="s">
        <v>371</v>
      </c>
    </row>
    <row r="933" spans="1:5" x14ac:dyDescent="0.2">
      <c r="A933" s="269">
        <v>45909.495000000003</v>
      </c>
      <c r="B933" t="s">
        <v>1431</v>
      </c>
      <c r="C933" t="s">
        <v>103</v>
      </c>
      <c r="D933" t="s">
        <v>747</v>
      </c>
      <c r="E933" t="s">
        <v>379</v>
      </c>
    </row>
    <row r="934" spans="1:5" x14ac:dyDescent="0.2">
      <c r="A934" s="269">
        <v>45909.495046296295</v>
      </c>
      <c r="B934" t="s">
        <v>1431</v>
      </c>
      <c r="C934" t="s">
        <v>103</v>
      </c>
      <c r="D934" t="s">
        <v>1434</v>
      </c>
      <c r="E934" t="s">
        <v>386</v>
      </c>
    </row>
    <row r="935" spans="1:5" x14ac:dyDescent="0.2">
      <c r="A935" s="269">
        <v>45909.495081018518</v>
      </c>
      <c r="B935" t="s">
        <v>1431</v>
      </c>
      <c r="C935" t="s">
        <v>103</v>
      </c>
      <c r="D935" t="s">
        <v>1434</v>
      </c>
      <c r="E935" t="s">
        <v>390</v>
      </c>
    </row>
    <row r="936" spans="1:5" x14ac:dyDescent="0.2">
      <c r="A936" s="269">
        <v>45909.495138888888</v>
      </c>
      <c r="B936" t="s">
        <v>1431</v>
      </c>
      <c r="C936" t="s">
        <v>103</v>
      </c>
      <c r="D936" t="s">
        <v>1434</v>
      </c>
      <c r="E936" t="s">
        <v>41</v>
      </c>
    </row>
    <row r="937" spans="1:5" x14ac:dyDescent="0.2">
      <c r="A937" s="269">
        <v>45909.495196759257</v>
      </c>
      <c r="B937" t="s">
        <v>1431</v>
      </c>
      <c r="C937" t="s">
        <v>103</v>
      </c>
      <c r="D937" t="s">
        <v>1435</v>
      </c>
      <c r="E937" t="s">
        <v>397</v>
      </c>
    </row>
    <row r="938" spans="1:5" x14ac:dyDescent="0.2">
      <c r="A938" s="269">
        <v>45909.495243055557</v>
      </c>
      <c r="B938" t="s">
        <v>1431</v>
      </c>
      <c r="C938" t="s">
        <v>103</v>
      </c>
      <c r="D938" t="s">
        <v>1436</v>
      </c>
      <c r="E938" t="s">
        <v>397</v>
      </c>
    </row>
    <row r="939" spans="1:5" x14ac:dyDescent="0.2">
      <c r="A939" s="269">
        <v>45909.495300925926</v>
      </c>
      <c r="B939" t="s">
        <v>1431</v>
      </c>
      <c r="C939" t="s">
        <v>103</v>
      </c>
      <c r="D939" t="s">
        <v>1436</v>
      </c>
      <c r="E939" t="s">
        <v>400</v>
      </c>
    </row>
    <row r="940" spans="1:5" x14ac:dyDescent="0.2">
      <c r="A940" s="269">
        <v>45909.495347222219</v>
      </c>
      <c r="B940" t="s">
        <v>1431</v>
      </c>
      <c r="C940" t="s">
        <v>103</v>
      </c>
      <c r="D940" t="s">
        <v>672</v>
      </c>
      <c r="E940" t="s">
        <v>404</v>
      </c>
    </row>
    <row r="941" spans="1:5" x14ac:dyDescent="0.2">
      <c r="A941" s="269">
        <v>45909.495405092595</v>
      </c>
      <c r="B941" t="s">
        <v>1431</v>
      </c>
      <c r="C941" t="s">
        <v>103</v>
      </c>
      <c r="D941" t="s">
        <v>672</v>
      </c>
      <c r="E941" t="s">
        <v>407</v>
      </c>
    </row>
    <row r="942" spans="1:5" x14ac:dyDescent="0.2">
      <c r="A942" s="269">
        <v>45909.495706018519</v>
      </c>
      <c r="B942" t="s">
        <v>1431</v>
      </c>
      <c r="C942" t="s">
        <v>103</v>
      </c>
      <c r="D942" t="s">
        <v>983</v>
      </c>
      <c r="E942">
        <v>21350</v>
      </c>
    </row>
    <row r="943" spans="1:5" x14ac:dyDescent="0.2">
      <c r="A943" s="269">
        <v>45909.495925925927</v>
      </c>
      <c r="B943" t="s">
        <v>1431</v>
      </c>
      <c r="C943" t="s">
        <v>103</v>
      </c>
      <c r="D943" t="s">
        <v>1437</v>
      </c>
      <c r="E943" s="442">
        <v>244474.23</v>
      </c>
    </row>
    <row r="944" spans="1:5" x14ac:dyDescent="0.2">
      <c r="A944" s="269">
        <v>45909.496018518519</v>
      </c>
      <c r="B944" t="s">
        <v>1431</v>
      </c>
      <c r="C944" t="s">
        <v>103</v>
      </c>
      <c r="D944" t="s">
        <v>937</v>
      </c>
      <c r="E944" t="s">
        <v>112</v>
      </c>
    </row>
    <row r="945" spans="1:5" x14ac:dyDescent="0.2">
      <c r="A945" s="269">
        <v>45909.496446759258</v>
      </c>
      <c r="B945" t="s">
        <v>1431</v>
      </c>
      <c r="C945" t="s">
        <v>103</v>
      </c>
      <c r="D945" t="s">
        <v>1066</v>
      </c>
      <c r="E945">
        <v>22400</v>
      </c>
    </row>
    <row r="946" spans="1:5" x14ac:dyDescent="0.2">
      <c r="A946" s="269">
        <v>45909.496608796297</v>
      </c>
      <c r="B946" t="s">
        <v>1431</v>
      </c>
      <c r="C946" t="s">
        <v>103</v>
      </c>
      <c r="D946" t="s">
        <v>973</v>
      </c>
      <c r="E946" s="442">
        <v>262906.61</v>
      </c>
    </row>
    <row r="947" spans="1:5" x14ac:dyDescent="0.2">
      <c r="A947" s="269">
        <v>45909.496967592589</v>
      </c>
      <c r="B947" t="s">
        <v>1431</v>
      </c>
      <c r="C947" t="s">
        <v>103</v>
      </c>
      <c r="D947" t="s">
        <v>926</v>
      </c>
      <c r="E947" t="s">
        <v>112</v>
      </c>
    </row>
    <row r="948" spans="1:5" x14ac:dyDescent="0.2">
      <c r="A948" s="269">
        <v>45909.497129629628</v>
      </c>
      <c r="B948" t="s">
        <v>1431</v>
      </c>
      <c r="C948" t="s">
        <v>103</v>
      </c>
      <c r="D948" t="s">
        <v>994</v>
      </c>
      <c r="E948">
        <v>23450</v>
      </c>
    </row>
    <row r="949" spans="1:5" x14ac:dyDescent="0.2">
      <c r="A949" s="269">
        <v>45909.497291666667</v>
      </c>
      <c r="B949" t="s">
        <v>1431</v>
      </c>
      <c r="C949" t="s">
        <v>103</v>
      </c>
      <c r="D949" t="s">
        <v>976</v>
      </c>
      <c r="E949" s="442">
        <v>283612.55</v>
      </c>
    </row>
    <row r="950" spans="1:5" x14ac:dyDescent="0.2">
      <c r="A950" s="269">
        <v>45909.497418981482</v>
      </c>
      <c r="B950" t="s">
        <v>1431</v>
      </c>
      <c r="C950" t="s">
        <v>103</v>
      </c>
      <c r="D950" t="s">
        <v>1015</v>
      </c>
      <c r="E950">
        <v>23800</v>
      </c>
    </row>
    <row r="951" spans="1:5" x14ac:dyDescent="0.2">
      <c r="A951" s="269">
        <v>45909.49759259259</v>
      </c>
      <c r="B951" t="s">
        <v>1431</v>
      </c>
      <c r="C951" t="s">
        <v>103</v>
      </c>
      <c r="D951" t="s">
        <v>977</v>
      </c>
      <c r="E951" s="442">
        <v>259090.72</v>
      </c>
    </row>
    <row r="952" spans="1:5" x14ac:dyDescent="0.2">
      <c r="A952" s="269">
        <v>45909.497743055559</v>
      </c>
      <c r="B952" t="s">
        <v>1431</v>
      </c>
      <c r="C952" t="s">
        <v>103</v>
      </c>
      <c r="D952" t="s">
        <v>1018</v>
      </c>
      <c r="E952">
        <v>29050</v>
      </c>
    </row>
    <row r="953" spans="1:5" x14ac:dyDescent="0.2">
      <c r="A953" s="269">
        <v>45909.497847222221</v>
      </c>
      <c r="B953" t="s">
        <v>1431</v>
      </c>
      <c r="C953" t="s">
        <v>103</v>
      </c>
      <c r="D953" t="s">
        <v>923</v>
      </c>
      <c r="E953" s="442">
        <v>311452.99</v>
      </c>
    </row>
    <row r="954" spans="1:5" x14ac:dyDescent="0.2">
      <c r="A954" s="269">
        <v>45909.49800925926</v>
      </c>
      <c r="B954" t="s">
        <v>1431</v>
      </c>
      <c r="C954" t="s">
        <v>103</v>
      </c>
      <c r="D954" t="s">
        <v>1068</v>
      </c>
      <c r="E954">
        <v>26600</v>
      </c>
    </row>
    <row r="955" spans="1:5" x14ac:dyDescent="0.2">
      <c r="A955" s="269">
        <v>45909.498182870368</v>
      </c>
      <c r="B955" t="s">
        <v>1431</v>
      </c>
      <c r="C955" t="s">
        <v>103</v>
      </c>
      <c r="D955" t="s">
        <v>918</v>
      </c>
      <c r="E955" s="442">
        <v>245208.03</v>
      </c>
    </row>
    <row r="956" spans="1:5" x14ac:dyDescent="0.2">
      <c r="A956" s="269">
        <v>45909.498437499999</v>
      </c>
      <c r="B956" t="s">
        <v>1431</v>
      </c>
      <c r="C956" t="s">
        <v>103</v>
      </c>
      <c r="D956" t="s">
        <v>1069</v>
      </c>
      <c r="E956">
        <v>25550</v>
      </c>
    </row>
    <row r="957" spans="1:5" x14ac:dyDescent="0.2">
      <c r="A957" s="269">
        <v>45909.498645833337</v>
      </c>
      <c r="B957" t="s">
        <v>1431</v>
      </c>
      <c r="C957" t="s">
        <v>103</v>
      </c>
      <c r="D957" t="s">
        <v>924</v>
      </c>
      <c r="E957" s="442">
        <v>287380.45</v>
      </c>
    </row>
    <row r="958" spans="1:5" x14ac:dyDescent="0.2">
      <c r="A958" s="269">
        <v>45909.498784722222</v>
      </c>
      <c r="B958" t="s">
        <v>1431</v>
      </c>
      <c r="C958" t="s">
        <v>103</v>
      </c>
      <c r="D958" t="s">
        <v>1438</v>
      </c>
      <c r="E958">
        <v>26950</v>
      </c>
    </row>
    <row r="959" spans="1:5" x14ac:dyDescent="0.2">
      <c r="A959" s="269">
        <v>45909.498912037037</v>
      </c>
      <c r="B959" t="s">
        <v>1431</v>
      </c>
      <c r="C959" t="s">
        <v>103</v>
      </c>
      <c r="D959" t="s">
        <v>1439</v>
      </c>
      <c r="E959" s="442">
        <v>302632.12</v>
      </c>
    </row>
    <row r="960" spans="1:5" x14ac:dyDescent="0.2">
      <c r="A960" s="269">
        <v>45909.499097222222</v>
      </c>
      <c r="B960" t="s">
        <v>1431</v>
      </c>
      <c r="C960" t="s">
        <v>103</v>
      </c>
      <c r="D960" t="s">
        <v>1440</v>
      </c>
    </row>
    <row r="961" spans="1:5" x14ac:dyDescent="0.2">
      <c r="A961" s="269">
        <v>45909.499131944445</v>
      </c>
      <c r="B961" t="s">
        <v>1431</v>
      </c>
      <c r="C961" t="s">
        <v>103</v>
      </c>
      <c r="D961" t="s">
        <v>1441</v>
      </c>
    </row>
    <row r="962" spans="1:5" x14ac:dyDescent="0.2">
      <c r="A962" s="269">
        <v>45909.499143518522</v>
      </c>
      <c r="B962" t="s">
        <v>1431</v>
      </c>
      <c r="C962" t="s">
        <v>103</v>
      </c>
      <c r="D962" t="s">
        <v>1442</v>
      </c>
    </row>
    <row r="963" spans="1:5" x14ac:dyDescent="0.2">
      <c r="A963" s="269">
        <v>45909.499201388891</v>
      </c>
      <c r="B963" t="s">
        <v>1431</v>
      </c>
      <c r="C963" t="s">
        <v>103</v>
      </c>
      <c r="D963" t="s">
        <v>1434</v>
      </c>
      <c r="E963" t="s">
        <v>386</v>
      </c>
    </row>
    <row r="964" spans="1:5" x14ac:dyDescent="0.2">
      <c r="A964" s="269">
        <v>45909.499398148146</v>
      </c>
      <c r="B964" t="s">
        <v>1431</v>
      </c>
      <c r="C964" t="s">
        <v>103</v>
      </c>
      <c r="D964" t="s">
        <v>1068</v>
      </c>
      <c r="E964">
        <v>26600</v>
      </c>
    </row>
    <row r="965" spans="1:5" x14ac:dyDescent="0.2">
      <c r="A965" s="269">
        <v>45909.499548611115</v>
      </c>
      <c r="B965" t="s">
        <v>1431</v>
      </c>
      <c r="C965" t="s">
        <v>103</v>
      </c>
      <c r="D965" t="s">
        <v>918</v>
      </c>
      <c r="E965" s="442">
        <v>245208.03</v>
      </c>
    </row>
    <row r="966" spans="1:5" x14ac:dyDescent="0.2">
      <c r="A966" s="269">
        <v>45909.499618055554</v>
      </c>
      <c r="B966" t="s">
        <v>1431</v>
      </c>
      <c r="C966" t="s">
        <v>103</v>
      </c>
      <c r="D966" t="s">
        <v>1435</v>
      </c>
      <c r="E966" t="s">
        <v>390</v>
      </c>
    </row>
    <row r="967" spans="1:5" x14ac:dyDescent="0.2">
      <c r="A967" s="269">
        <v>45909.499768518515</v>
      </c>
      <c r="B967" t="s">
        <v>1431</v>
      </c>
      <c r="C967" t="s">
        <v>103</v>
      </c>
      <c r="D967" t="s">
        <v>1069</v>
      </c>
      <c r="E967">
        <v>25550</v>
      </c>
    </row>
    <row r="968" spans="1:5" x14ac:dyDescent="0.2">
      <c r="A968" s="269">
        <v>45909.499895833331</v>
      </c>
      <c r="B968" t="s">
        <v>1431</v>
      </c>
      <c r="C968" t="s">
        <v>103</v>
      </c>
      <c r="D968" t="s">
        <v>924</v>
      </c>
      <c r="E968" s="442">
        <v>287380.45</v>
      </c>
    </row>
    <row r="969" spans="1:5" x14ac:dyDescent="0.2">
      <c r="A969" s="269">
        <v>45909.499976851854</v>
      </c>
      <c r="B969" t="s">
        <v>1431</v>
      </c>
      <c r="C969" t="s">
        <v>103</v>
      </c>
      <c r="D969" t="s">
        <v>1436</v>
      </c>
      <c r="E969" t="s">
        <v>41</v>
      </c>
    </row>
    <row r="970" spans="1:5" x14ac:dyDescent="0.2">
      <c r="A970" s="269">
        <v>45909.500138888892</v>
      </c>
      <c r="B970" t="s">
        <v>1431</v>
      </c>
      <c r="C970" t="s">
        <v>103</v>
      </c>
      <c r="D970" t="s">
        <v>1438</v>
      </c>
      <c r="E970">
        <v>26950</v>
      </c>
    </row>
    <row r="971" spans="1:5" x14ac:dyDescent="0.2">
      <c r="A971" s="269">
        <v>45909.500289351854</v>
      </c>
      <c r="B971" t="s">
        <v>1431</v>
      </c>
      <c r="C971" t="s">
        <v>103</v>
      </c>
      <c r="D971" t="s">
        <v>1439</v>
      </c>
      <c r="E971" s="442">
        <v>302632.12</v>
      </c>
    </row>
    <row r="972" spans="1:5" x14ac:dyDescent="0.2">
      <c r="A972" s="269">
        <v>45909.500335648147</v>
      </c>
      <c r="B972" t="s">
        <v>1431</v>
      </c>
      <c r="C972" t="s">
        <v>103</v>
      </c>
      <c r="D972" t="s">
        <v>672</v>
      </c>
      <c r="E972" t="s">
        <v>397</v>
      </c>
    </row>
    <row r="973" spans="1:5" x14ac:dyDescent="0.2">
      <c r="A973" s="269">
        <v>45909.500451388885</v>
      </c>
      <c r="B973" t="s">
        <v>1431</v>
      </c>
      <c r="C973" t="s">
        <v>103</v>
      </c>
      <c r="D973" t="s">
        <v>1443</v>
      </c>
      <c r="E973">
        <v>24500</v>
      </c>
    </row>
    <row r="974" spans="1:5" x14ac:dyDescent="0.2">
      <c r="A974" s="269">
        <v>45909.500590277778</v>
      </c>
      <c r="B974" t="s">
        <v>1431</v>
      </c>
      <c r="C974" t="s">
        <v>103</v>
      </c>
      <c r="D974" t="s">
        <v>981</v>
      </c>
      <c r="E974" s="442">
        <v>291718.03999999998</v>
      </c>
    </row>
    <row r="975" spans="1:5" x14ac:dyDescent="0.2">
      <c r="A975" s="269">
        <v>45909.500706018516</v>
      </c>
      <c r="B975" t="s">
        <v>1431</v>
      </c>
      <c r="C975" t="s">
        <v>103</v>
      </c>
      <c r="D975" t="s">
        <v>674</v>
      </c>
      <c r="E975" t="s">
        <v>400</v>
      </c>
    </row>
    <row r="976" spans="1:5" x14ac:dyDescent="0.2">
      <c r="A976" s="269">
        <v>45909.502627314818</v>
      </c>
      <c r="B976" t="s">
        <v>1431</v>
      </c>
      <c r="C976" t="s">
        <v>103</v>
      </c>
      <c r="D976" t="s">
        <v>1444</v>
      </c>
      <c r="E976">
        <v>27300</v>
      </c>
    </row>
    <row r="977" spans="1:5" x14ac:dyDescent="0.2">
      <c r="A977" s="269">
        <v>45909.502766203703</v>
      </c>
      <c r="B977" t="s">
        <v>1431</v>
      </c>
      <c r="C977" t="s">
        <v>103</v>
      </c>
      <c r="D977" t="s">
        <v>1445</v>
      </c>
      <c r="E977" s="442">
        <v>308203.03000000003</v>
      </c>
    </row>
    <row r="978" spans="1:5" x14ac:dyDescent="0.2">
      <c r="A978" s="269">
        <v>45909.502858796295</v>
      </c>
      <c r="B978" t="s">
        <v>1431</v>
      </c>
      <c r="C978" t="s">
        <v>103</v>
      </c>
      <c r="D978" t="s">
        <v>675</v>
      </c>
      <c r="E978" t="s">
        <v>404</v>
      </c>
    </row>
    <row r="979" spans="1:5" x14ac:dyDescent="0.2">
      <c r="A979" s="269">
        <v>45909.503194444442</v>
      </c>
      <c r="B979" t="s">
        <v>1431</v>
      </c>
      <c r="C979" t="s">
        <v>103</v>
      </c>
      <c r="D979" t="s">
        <v>1446</v>
      </c>
      <c r="E979">
        <v>24500</v>
      </c>
    </row>
    <row r="980" spans="1:5" x14ac:dyDescent="0.2">
      <c r="A980" s="269">
        <v>45909.503344907411</v>
      </c>
      <c r="B980" t="s">
        <v>1431</v>
      </c>
      <c r="C980" t="s">
        <v>103</v>
      </c>
      <c r="D980" t="s">
        <v>1447</v>
      </c>
      <c r="E980" s="442">
        <v>288693.76000000001</v>
      </c>
    </row>
    <row r="981" spans="1:5" x14ac:dyDescent="0.2">
      <c r="A981" s="269">
        <v>45909.503425925926</v>
      </c>
      <c r="B981" t="s">
        <v>1431</v>
      </c>
      <c r="C981" t="s">
        <v>103</v>
      </c>
      <c r="D981" t="s">
        <v>676</v>
      </c>
      <c r="E981" t="s">
        <v>407</v>
      </c>
    </row>
    <row r="982" spans="1:5" x14ac:dyDescent="0.2">
      <c r="A982" s="269">
        <v>45909.503541666665</v>
      </c>
      <c r="B982" t="s">
        <v>1431</v>
      </c>
      <c r="C982" t="s">
        <v>103</v>
      </c>
      <c r="D982" t="s">
        <v>1448</v>
      </c>
      <c r="E982">
        <v>25200</v>
      </c>
    </row>
    <row r="983" spans="1:5" x14ac:dyDescent="0.2">
      <c r="A983" s="269">
        <v>45909.503831018519</v>
      </c>
      <c r="B983" t="s">
        <v>1431</v>
      </c>
      <c r="C983" t="s">
        <v>103</v>
      </c>
      <c r="D983" t="s">
        <v>1449</v>
      </c>
      <c r="E983" s="442">
        <v>301736.07</v>
      </c>
    </row>
    <row r="984" spans="1:5" x14ac:dyDescent="0.2">
      <c r="A984" s="269">
        <v>45909.503993055558</v>
      </c>
      <c r="B984" t="s">
        <v>1431</v>
      </c>
      <c r="C984" t="s">
        <v>103</v>
      </c>
      <c r="D984" t="s">
        <v>874</v>
      </c>
      <c r="E984" t="s">
        <v>112</v>
      </c>
    </row>
    <row r="985" spans="1:5" x14ac:dyDescent="0.2">
      <c r="A985" s="269">
        <v>45909.504212962966</v>
      </c>
      <c r="B985" t="s">
        <v>1431</v>
      </c>
      <c r="C985" t="s">
        <v>103</v>
      </c>
      <c r="D985" t="s">
        <v>1450</v>
      </c>
      <c r="E985" t="s">
        <v>112</v>
      </c>
    </row>
    <row r="986" spans="1:5" x14ac:dyDescent="0.2">
      <c r="A986" s="269">
        <v>45909.504652777781</v>
      </c>
      <c r="B986" t="s">
        <v>1431</v>
      </c>
      <c r="C986" t="s">
        <v>103</v>
      </c>
      <c r="D986" t="s">
        <v>1451</v>
      </c>
      <c r="E986" t="s">
        <v>112</v>
      </c>
    </row>
    <row r="987" spans="1:5" x14ac:dyDescent="0.2">
      <c r="A987" s="269">
        <v>45909.505254629628</v>
      </c>
      <c r="B987" t="s">
        <v>1431</v>
      </c>
      <c r="C987" t="s">
        <v>103</v>
      </c>
      <c r="D987" t="s">
        <v>1452</v>
      </c>
      <c r="E987" t="s">
        <v>112</v>
      </c>
    </row>
    <row r="988" spans="1:5" x14ac:dyDescent="0.2">
      <c r="A988" s="269">
        <v>45909.505532407406</v>
      </c>
      <c r="B988" t="s">
        <v>1431</v>
      </c>
      <c r="C988" t="s">
        <v>103</v>
      </c>
      <c r="D988" t="s">
        <v>1453</v>
      </c>
      <c r="E988" t="s">
        <v>112</v>
      </c>
    </row>
    <row r="989" spans="1:5" x14ac:dyDescent="0.2">
      <c r="A989" s="269">
        <v>45909.505844907406</v>
      </c>
      <c r="B989" t="s">
        <v>1431</v>
      </c>
      <c r="C989" t="s">
        <v>103</v>
      </c>
      <c r="D989" t="s">
        <v>1454</v>
      </c>
      <c r="E989" t="s">
        <v>112</v>
      </c>
    </row>
    <row r="990" spans="1:5" x14ac:dyDescent="0.2">
      <c r="A990" s="269">
        <v>45909.506898148145</v>
      </c>
      <c r="B990" t="s">
        <v>1431</v>
      </c>
      <c r="C990" t="s">
        <v>103</v>
      </c>
      <c r="D990" t="s">
        <v>1455</v>
      </c>
      <c r="E990" t="s">
        <v>112</v>
      </c>
    </row>
    <row r="991" spans="1:5" x14ac:dyDescent="0.2">
      <c r="A991" s="269">
        <v>45909.507048611114</v>
      </c>
      <c r="B991" t="s">
        <v>1431</v>
      </c>
      <c r="C991" t="s">
        <v>103</v>
      </c>
      <c r="D991" t="s">
        <v>1456</v>
      </c>
      <c r="E991" t="s">
        <v>112</v>
      </c>
    </row>
    <row r="992" spans="1:5" x14ac:dyDescent="0.2">
      <c r="A992" s="269">
        <v>45909.507187499999</v>
      </c>
      <c r="B992" t="s">
        <v>1431</v>
      </c>
      <c r="C992" t="s">
        <v>103</v>
      </c>
      <c r="D992" t="s">
        <v>1457</v>
      </c>
      <c r="E992" t="s">
        <v>112</v>
      </c>
    </row>
    <row r="993" spans="1:5" x14ac:dyDescent="0.2">
      <c r="A993" s="269">
        <v>45909.507430555554</v>
      </c>
      <c r="B993" t="s">
        <v>1431</v>
      </c>
      <c r="C993" t="s">
        <v>103</v>
      </c>
      <c r="D993" t="s">
        <v>1458</v>
      </c>
      <c r="E993" t="s">
        <v>112</v>
      </c>
    </row>
    <row r="994" spans="1:5" x14ac:dyDescent="0.2">
      <c r="A994" s="269">
        <v>45909.507604166669</v>
      </c>
      <c r="B994" t="s">
        <v>1431</v>
      </c>
      <c r="C994" t="s">
        <v>103</v>
      </c>
      <c r="D994" t="s">
        <v>1459</v>
      </c>
    </row>
    <row r="995" spans="1:5" x14ac:dyDescent="0.2">
      <c r="A995" s="269">
        <v>45909.508009259262</v>
      </c>
      <c r="B995" t="s">
        <v>1431</v>
      </c>
      <c r="C995" t="s">
        <v>103</v>
      </c>
      <c r="D995" t="s">
        <v>1460</v>
      </c>
    </row>
    <row r="996" spans="1:5" x14ac:dyDescent="0.2">
      <c r="A996" s="269">
        <v>45909.508240740739</v>
      </c>
      <c r="B996" t="s">
        <v>1431</v>
      </c>
      <c r="C996" t="s">
        <v>2</v>
      </c>
      <c r="D996" t="s">
        <v>1461</v>
      </c>
      <c r="E996" t="s">
        <v>413</v>
      </c>
    </row>
    <row r="997" spans="1:5" x14ac:dyDescent="0.2">
      <c r="A997" s="269">
        <v>45909.508298611108</v>
      </c>
      <c r="B997" t="s">
        <v>1431</v>
      </c>
      <c r="C997" t="s">
        <v>2</v>
      </c>
      <c r="D997" t="s">
        <v>1462</v>
      </c>
      <c r="E997">
        <v>2024</v>
      </c>
    </row>
    <row r="998" spans="1:5" x14ac:dyDescent="0.2">
      <c r="A998" s="269">
        <v>45909.509351851855</v>
      </c>
      <c r="B998" t="s">
        <v>1431</v>
      </c>
      <c r="C998" t="s">
        <v>25</v>
      </c>
      <c r="D998" t="s">
        <v>937</v>
      </c>
      <c r="E998" t="s">
        <v>1463</v>
      </c>
    </row>
    <row r="999" spans="1:5" x14ac:dyDescent="0.2">
      <c r="A999" s="269">
        <v>45909.537731481483</v>
      </c>
      <c r="B999" t="s">
        <v>1431</v>
      </c>
      <c r="C999" t="s">
        <v>103</v>
      </c>
      <c r="D999" t="s">
        <v>1464</v>
      </c>
    </row>
    <row r="1000" spans="1:5" x14ac:dyDescent="0.2">
      <c r="A1000" s="269">
        <v>45909.537870370368</v>
      </c>
      <c r="B1000" t="s">
        <v>1431</v>
      </c>
      <c r="C1000" t="s">
        <v>25</v>
      </c>
      <c r="D1000" t="s">
        <v>937</v>
      </c>
      <c r="E1000" t="s">
        <v>1465</v>
      </c>
    </row>
    <row r="1001" spans="1:5" x14ac:dyDescent="0.2">
      <c r="A1001" s="269">
        <v>45909.66511574074</v>
      </c>
      <c r="B1001" t="s">
        <v>1431</v>
      </c>
      <c r="C1001" t="s">
        <v>15</v>
      </c>
      <c r="D1001" t="s">
        <v>1432</v>
      </c>
      <c r="E1001" t="s">
        <v>1431</v>
      </c>
    </row>
    <row r="1002" spans="1:5" x14ac:dyDescent="0.2">
      <c r="A1002" s="269">
        <v>45909.665381944447</v>
      </c>
      <c r="B1002" t="s">
        <v>1431</v>
      </c>
      <c r="C1002" t="s">
        <v>15</v>
      </c>
      <c r="D1002" t="s">
        <v>1191</v>
      </c>
      <c r="E1002" t="s">
        <v>1466</v>
      </c>
    </row>
    <row r="1003" spans="1:5" x14ac:dyDescent="0.2">
      <c r="A1003" s="269">
        <v>45909.665590277778</v>
      </c>
      <c r="B1003" t="s">
        <v>1431</v>
      </c>
      <c r="C1003" t="s">
        <v>15</v>
      </c>
      <c r="D1003" t="s">
        <v>1010</v>
      </c>
      <c r="E1003" t="s">
        <v>200</v>
      </c>
    </row>
    <row r="1004" spans="1:5" x14ac:dyDescent="0.2">
      <c r="A1004" s="269">
        <v>45909.666342592594</v>
      </c>
      <c r="B1004" t="s">
        <v>1431</v>
      </c>
      <c r="C1004" t="s">
        <v>15</v>
      </c>
      <c r="D1004" t="s">
        <v>1468</v>
      </c>
    </row>
    <row r="1005" spans="1:5" x14ac:dyDescent="0.2">
      <c r="A1005" s="269">
        <v>45909.666342592594</v>
      </c>
      <c r="B1005" t="s">
        <v>1431</v>
      </c>
      <c r="C1005" t="s">
        <v>15</v>
      </c>
      <c r="D1005" t="s">
        <v>983</v>
      </c>
      <c r="E1005" t="s">
        <v>1467</v>
      </c>
    </row>
    <row r="1006" spans="1:5" x14ac:dyDescent="0.2">
      <c r="A1006" s="269">
        <v>45909.666435185187</v>
      </c>
      <c r="B1006" t="s">
        <v>1431</v>
      </c>
      <c r="C1006" t="s">
        <v>15</v>
      </c>
      <c r="D1006" t="s">
        <v>1468</v>
      </c>
    </row>
    <row r="1007" spans="1:5" x14ac:dyDescent="0.2">
      <c r="A1007" s="269">
        <v>45909.666435185187</v>
      </c>
      <c r="B1007" t="s">
        <v>1431</v>
      </c>
      <c r="C1007" t="s">
        <v>15</v>
      </c>
      <c r="D1007" t="s">
        <v>983</v>
      </c>
      <c r="E1007" t="s">
        <v>1467</v>
      </c>
    </row>
    <row r="1008" spans="1:5" x14ac:dyDescent="0.2">
      <c r="A1008" s="269">
        <v>45909.666504629633</v>
      </c>
      <c r="B1008" t="s">
        <v>1431</v>
      </c>
      <c r="C1008" t="s">
        <v>15</v>
      </c>
      <c r="D1008" t="s">
        <v>983</v>
      </c>
      <c r="E1008" t="s">
        <v>1467</v>
      </c>
    </row>
    <row r="1009" spans="1:5" x14ac:dyDescent="0.2">
      <c r="A1009" s="269">
        <v>45909.666504629633</v>
      </c>
      <c r="B1009" t="s">
        <v>1431</v>
      </c>
      <c r="C1009" t="s">
        <v>15</v>
      </c>
      <c r="D1009" t="s">
        <v>1468</v>
      </c>
    </row>
    <row r="1010" spans="1:5" x14ac:dyDescent="0.2">
      <c r="A1010" s="269">
        <v>45909.666539351849</v>
      </c>
      <c r="B1010" t="s">
        <v>1431</v>
      </c>
      <c r="C1010" t="s">
        <v>15</v>
      </c>
      <c r="D1010" t="s">
        <v>983</v>
      </c>
      <c r="E1010" t="s">
        <v>78</v>
      </c>
    </row>
    <row r="1011" spans="1:5" x14ac:dyDescent="0.2">
      <c r="A1011" s="269">
        <v>45909.666539351849</v>
      </c>
      <c r="B1011" t="s">
        <v>1431</v>
      </c>
      <c r="C1011" t="s">
        <v>15</v>
      </c>
      <c r="D1011" t="s">
        <v>1468</v>
      </c>
    </row>
    <row r="1012" spans="1:5" x14ac:dyDescent="0.2">
      <c r="A1012" s="269">
        <v>45909.666562500002</v>
      </c>
      <c r="B1012" t="s">
        <v>1431</v>
      </c>
      <c r="C1012" t="s">
        <v>15</v>
      </c>
      <c r="D1012" t="s">
        <v>1010</v>
      </c>
    </row>
    <row r="1013" spans="1:5" x14ac:dyDescent="0.2">
      <c r="A1013" s="269">
        <v>45909.666863425926</v>
      </c>
      <c r="B1013" t="s">
        <v>1431</v>
      </c>
      <c r="C1013" t="s">
        <v>15</v>
      </c>
      <c r="D1013" t="s">
        <v>973</v>
      </c>
    </row>
    <row r="1014" spans="1:5" x14ac:dyDescent="0.2">
      <c r="A1014" s="269">
        <v>45909.666863425926</v>
      </c>
      <c r="B1014" t="s">
        <v>1431</v>
      </c>
      <c r="C1014" t="s">
        <v>15</v>
      </c>
      <c r="D1014" t="s">
        <v>973</v>
      </c>
    </row>
    <row r="1015" spans="1:5" x14ac:dyDescent="0.2">
      <c r="A1015" s="269">
        <v>45909.666921296295</v>
      </c>
      <c r="B1015" t="s">
        <v>1431</v>
      </c>
      <c r="C1015" t="s">
        <v>15</v>
      </c>
      <c r="D1015" t="s">
        <v>973</v>
      </c>
      <c r="E1015" t="s">
        <v>380</v>
      </c>
    </row>
    <row r="1016" spans="1:5" x14ac:dyDescent="0.2">
      <c r="A1016" s="269">
        <v>45909.667013888888</v>
      </c>
      <c r="B1016" t="s">
        <v>1431</v>
      </c>
      <c r="C1016" t="s">
        <v>15</v>
      </c>
      <c r="D1016" t="s">
        <v>1066</v>
      </c>
      <c r="E1016">
        <v>1</v>
      </c>
    </row>
    <row r="1017" spans="1:5" x14ac:dyDescent="0.2">
      <c r="A1017" s="269">
        <v>45909.667164351849</v>
      </c>
      <c r="B1017" t="s">
        <v>1431</v>
      </c>
      <c r="C1017" t="s">
        <v>15</v>
      </c>
      <c r="D1017" t="s">
        <v>1010</v>
      </c>
      <c r="E1017" t="s">
        <v>364</v>
      </c>
    </row>
    <row r="1018" spans="1:5" x14ac:dyDescent="0.2">
      <c r="A1018" s="269">
        <v>45909.667233796295</v>
      </c>
      <c r="B1018" t="s">
        <v>1431</v>
      </c>
      <c r="C1018" t="s">
        <v>15</v>
      </c>
      <c r="D1018" t="s">
        <v>1010</v>
      </c>
      <c r="E1018" t="s">
        <v>200</v>
      </c>
    </row>
    <row r="1019" spans="1:5" x14ac:dyDescent="0.2">
      <c r="A1019" s="269">
        <v>45909.667361111111</v>
      </c>
      <c r="B1019" t="s">
        <v>1431</v>
      </c>
      <c r="C1019" t="s">
        <v>15</v>
      </c>
      <c r="D1019" t="s">
        <v>926</v>
      </c>
      <c r="E1019" t="s">
        <v>352</v>
      </c>
    </row>
    <row r="1020" spans="1:5" x14ac:dyDescent="0.2">
      <c r="A1020" s="269">
        <v>45909.667881944442</v>
      </c>
      <c r="B1020" t="s">
        <v>1431</v>
      </c>
      <c r="C1020" t="s">
        <v>15</v>
      </c>
      <c r="D1020" t="s">
        <v>1469</v>
      </c>
      <c r="E1020" t="s">
        <v>371</v>
      </c>
    </row>
    <row r="1021" spans="1:5" x14ac:dyDescent="0.2">
      <c r="A1021" s="269">
        <v>45909.668414351851</v>
      </c>
      <c r="B1021" t="s">
        <v>1431</v>
      </c>
      <c r="C1021" t="s">
        <v>15</v>
      </c>
      <c r="D1021" t="s">
        <v>972</v>
      </c>
      <c r="E1021">
        <v>0.9</v>
      </c>
    </row>
    <row r="1022" spans="1:5" x14ac:dyDescent="0.2">
      <c r="A1022" s="269">
        <v>45909.668842592589</v>
      </c>
      <c r="B1022" t="s">
        <v>1431</v>
      </c>
      <c r="C1022" t="s">
        <v>15</v>
      </c>
      <c r="D1022" t="s">
        <v>972</v>
      </c>
      <c r="E1022">
        <v>0.2</v>
      </c>
    </row>
    <row r="1023" spans="1:5" x14ac:dyDescent="0.2">
      <c r="A1023" s="269">
        <v>45909.66951388889</v>
      </c>
      <c r="B1023" t="s">
        <v>1431</v>
      </c>
      <c r="C1023" t="s">
        <v>15</v>
      </c>
      <c r="D1023" t="s">
        <v>982</v>
      </c>
      <c r="E1023" t="s">
        <v>1470</v>
      </c>
    </row>
    <row r="1024" spans="1:5" x14ac:dyDescent="0.2">
      <c r="A1024" s="269">
        <v>45909.670231481483</v>
      </c>
      <c r="B1024" t="s">
        <v>1431</v>
      </c>
      <c r="C1024" t="s">
        <v>15</v>
      </c>
      <c r="D1024" t="s">
        <v>1010</v>
      </c>
    </row>
    <row r="1025" spans="1:5" x14ac:dyDescent="0.2">
      <c r="A1025" s="269">
        <v>45909.670497685183</v>
      </c>
      <c r="B1025" t="s">
        <v>1431</v>
      </c>
      <c r="C1025" t="s">
        <v>15</v>
      </c>
      <c r="D1025" t="s">
        <v>1010</v>
      </c>
    </row>
    <row r="1026" spans="1:5" x14ac:dyDescent="0.2">
      <c r="A1026" s="269">
        <v>45909.670497685183</v>
      </c>
      <c r="B1026" t="s">
        <v>1431</v>
      </c>
      <c r="C1026" t="s">
        <v>15</v>
      </c>
      <c r="D1026" t="s">
        <v>1010</v>
      </c>
    </row>
    <row r="1027" spans="1:5" x14ac:dyDescent="0.2">
      <c r="A1027" s="269">
        <v>45909.670775462961</v>
      </c>
      <c r="B1027" t="s">
        <v>1431</v>
      </c>
      <c r="C1027" t="s">
        <v>15</v>
      </c>
      <c r="D1027" t="s">
        <v>1010</v>
      </c>
    </row>
    <row r="1028" spans="1:5" x14ac:dyDescent="0.2">
      <c r="A1028" s="269">
        <v>45909.670775462961</v>
      </c>
      <c r="B1028" t="s">
        <v>1431</v>
      </c>
      <c r="C1028" t="s">
        <v>15</v>
      </c>
      <c r="D1028" t="s">
        <v>1010</v>
      </c>
    </row>
    <row r="1029" spans="1:5" x14ac:dyDescent="0.2">
      <c r="A1029" s="269">
        <v>45909.670844907407</v>
      </c>
      <c r="B1029" t="s">
        <v>1431</v>
      </c>
      <c r="C1029" t="s">
        <v>15</v>
      </c>
      <c r="D1029" t="s">
        <v>1010</v>
      </c>
      <c r="E1029" t="s">
        <v>200</v>
      </c>
    </row>
    <row r="1030" spans="1:5" x14ac:dyDescent="0.2">
      <c r="A1030" s="269">
        <v>45909.679108796299</v>
      </c>
      <c r="B1030" t="s">
        <v>1431</v>
      </c>
      <c r="C1030" t="s">
        <v>27</v>
      </c>
      <c r="D1030" t="s">
        <v>946</v>
      </c>
      <c r="E1030" t="s">
        <v>37</v>
      </c>
    </row>
    <row r="1031" spans="1:5" x14ac:dyDescent="0.2">
      <c r="A1031" s="269">
        <v>45909.702881944446</v>
      </c>
      <c r="B1031" t="s">
        <v>1431</v>
      </c>
      <c r="C1031" t="s">
        <v>27</v>
      </c>
      <c r="D1031" t="s">
        <v>777</v>
      </c>
      <c r="E1031">
        <v>4.47</v>
      </c>
    </row>
    <row r="1032" spans="1:5" x14ac:dyDescent="0.2">
      <c r="A1032" s="269">
        <v>45909.707349537035</v>
      </c>
      <c r="B1032" t="s">
        <v>1431</v>
      </c>
      <c r="C1032" t="s">
        <v>27</v>
      </c>
      <c r="D1032" t="s">
        <v>1449</v>
      </c>
    </row>
    <row r="1033" spans="1:5" x14ac:dyDescent="0.2">
      <c r="A1033" s="269">
        <v>45909.707569444443</v>
      </c>
      <c r="B1033" t="s">
        <v>1431</v>
      </c>
      <c r="C1033" t="s">
        <v>27</v>
      </c>
      <c r="D1033" t="s">
        <v>950</v>
      </c>
      <c r="E1033" t="s">
        <v>89</v>
      </c>
    </row>
    <row r="1034" spans="1:5" x14ac:dyDescent="0.2">
      <c r="A1034" s="269">
        <v>45909.707870370374</v>
      </c>
      <c r="B1034" t="s">
        <v>1431</v>
      </c>
      <c r="C1034" t="s">
        <v>27</v>
      </c>
      <c r="D1034" t="s">
        <v>1437</v>
      </c>
      <c r="E1034">
        <v>35.76</v>
      </c>
    </row>
    <row r="1035" spans="1:5" x14ac:dyDescent="0.2">
      <c r="A1035" s="269">
        <v>45909.707962962966</v>
      </c>
      <c r="B1035" t="s">
        <v>1431</v>
      </c>
      <c r="C1035" t="s">
        <v>27</v>
      </c>
      <c r="D1035" t="s">
        <v>1471</v>
      </c>
      <c r="E1035" t="s">
        <v>386</v>
      </c>
    </row>
    <row r="1036" spans="1:5" x14ac:dyDescent="0.2">
      <c r="A1036" s="269">
        <v>45909.708182870374</v>
      </c>
      <c r="B1036" t="s">
        <v>1431</v>
      </c>
      <c r="C1036" t="s">
        <v>27</v>
      </c>
      <c r="D1036" t="s">
        <v>1010</v>
      </c>
      <c r="E1036" t="s">
        <v>397</v>
      </c>
    </row>
    <row r="1037" spans="1:5" x14ac:dyDescent="0.2">
      <c r="A1037" s="269">
        <v>45909.708321759259</v>
      </c>
      <c r="B1037" t="s">
        <v>1431</v>
      </c>
      <c r="C1037" t="s">
        <v>27</v>
      </c>
      <c r="D1037" t="s">
        <v>973</v>
      </c>
      <c r="E1037">
        <v>26.6</v>
      </c>
    </row>
    <row r="1038" spans="1:5" x14ac:dyDescent="0.2">
      <c r="A1038" s="269">
        <v>45909.708518518521</v>
      </c>
      <c r="B1038" t="s">
        <v>1431</v>
      </c>
      <c r="C1038" t="s">
        <v>27</v>
      </c>
      <c r="D1038" t="s">
        <v>995</v>
      </c>
      <c r="E1038" t="s">
        <v>407</v>
      </c>
    </row>
    <row r="1039" spans="1:5" x14ac:dyDescent="0.2">
      <c r="A1039" s="269">
        <v>45909.708657407406</v>
      </c>
      <c r="B1039" t="s">
        <v>1431</v>
      </c>
      <c r="C1039" t="s">
        <v>27</v>
      </c>
      <c r="D1039" t="s">
        <v>976</v>
      </c>
      <c r="E1039">
        <v>11.56</v>
      </c>
    </row>
    <row r="1040" spans="1:5" x14ac:dyDescent="0.2">
      <c r="A1040" s="269">
        <v>45909.708993055552</v>
      </c>
      <c r="B1040" t="s">
        <v>1431</v>
      </c>
      <c r="C1040" t="s">
        <v>27</v>
      </c>
      <c r="D1040" t="s">
        <v>1472</v>
      </c>
    </row>
    <row r="1041" spans="1:5" x14ac:dyDescent="0.2">
      <c r="A1041" s="269">
        <v>45909.709178240744</v>
      </c>
      <c r="B1041" t="s">
        <v>1431</v>
      </c>
      <c r="C1041" t="s">
        <v>27</v>
      </c>
      <c r="D1041" t="s">
        <v>1473</v>
      </c>
    </row>
    <row r="1042" spans="1:5" x14ac:dyDescent="0.2">
      <c r="A1042" s="269">
        <v>45909.709780092591</v>
      </c>
      <c r="B1042" t="s">
        <v>1431</v>
      </c>
      <c r="C1042" t="s">
        <v>27</v>
      </c>
      <c r="D1042" t="s">
        <v>950</v>
      </c>
      <c r="E1042" t="s">
        <v>338</v>
      </c>
    </row>
    <row r="1043" spans="1:5" x14ac:dyDescent="0.2">
      <c r="A1043" s="269">
        <v>45909.709849537037</v>
      </c>
      <c r="B1043" t="s">
        <v>1431</v>
      </c>
      <c r="C1043" t="s">
        <v>27</v>
      </c>
      <c r="D1043" t="s">
        <v>1471</v>
      </c>
      <c r="E1043" t="s">
        <v>89</v>
      </c>
    </row>
    <row r="1044" spans="1:5" x14ac:dyDescent="0.2">
      <c r="A1044" s="269">
        <v>45909.709988425922</v>
      </c>
      <c r="B1044" t="s">
        <v>1431</v>
      </c>
      <c r="C1044" t="s">
        <v>27</v>
      </c>
      <c r="D1044" t="s">
        <v>950</v>
      </c>
      <c r="E1044" t="s">
        <v>89</v>
      </c>
    </row>
    <row r="1045" spans="1:5" x14ac:dyDescent="0.2">
      <c r="A1045" s="269">
        <v>45909.710011574076</v>
      </c>
      <c r="B1045" t="s">
        <v>1431</v>
      </c>
      <c r="C1045" t="s">
        <v>27</v>
      </c>
      <c r="D1045" t="s">
        <v>950</v>
      </c>
      <c r="E1045" t="s">
        <v>89</v>
      </c>
    </row>
    <row r="1046" spans="1:5" x14ac:dyDescent="0.2">
      <c r="A1046" s="269">
        <v>45909.710393518515</v>
      </c>
      <c r="B1046" t="s">
        <v>1431</v>
      </c>
      <c r="C1046" t="s">
        <v>27</v>
      </c>
      <c r="D1046" t="s">
        <v>1471</v>
      </c>
      <c r="E1046" t="s">
        <v>386</v>
      </c>
    </row>
    <row r="1047" spans="1:5" x14ac:dyDescent="0.2">
      <c r="A1047" s="269">
        <v>45909.7106712963</v>
      </c>
      <c r="B1047" t="s">
        <v>1431</v>
      </c>
      <c r="C1047" t="s">
        <v>27</v>
      </c>
      <c r="D1047" t="s">
        <v>1474</v>
      </c>
    </row>
    <row r="1048" spans="1:5" x14ac:dyDescent="0.2">
      <c r="A1048" s="269">
        <v>45909.710706018515</v>
      </c>
      <c r="B1048" t="s">
        <v>1431</v>
      </c>
      <c r="C1048" t="s">
        <v>27</v>
      </c>
      <c r="D1048" t="s">
        <v>1475</v>
      </c>
    </row>
    <row r="1049" spans="1:5" x14ac:dyDescent="0.2">
      <c r="A1049" s="269">
        <v>45909.710729166669</v>
      </c>
      <c r="B1049" t="s">
        <v>1431</v>
      </c>
      <c r="C1049" t="s">
        <v>27</v>
      </c>
      <c r="D1049" t="s">
        <v>950</v>
      </c>
    </row>
    <row r="1050" spans="1:5" x14ac:dyDescent="0.2">
      <c r="A1050" s="269">
        <v>45909.710763888892</v>
      </c>
      <c r="B1050" t="s">
        <v>1431</v>
      </c>
      <c r="C1050" t="s">
        <v>27</v>
      </c>
      <c r="D1050" t="s">
        <v>950</v>
      </c>
      <c r="E1050" t="s">
        <v>338</v>
      </c>
    </row>
    <row r="1051" spans="1:5" x14ac:dyDescent="0.2">
      <c r="A1051" s="269">
        <v>45909.710798611108</v>
      </c>
      <c r="B1051" t="s">
        <v>1431</v>
      </c>
      <c r="C1051" t="s">
        <v>27</v>
      </c>
      <c r="D1051" t="s">
        <v>1471</v>
      </c>
      <c r="E1051" t="s">
        <v>89</v>
      </c>
    </row>
    <row r="1052" spans="1:5" x14ac:dyDescent="0.2">
      <c r="A1052" s="269">
        <v>45909.710833333331</v>
      </c>
      <c r="B1052" t="s">
        <v>1431</v>
      </c>
      <c r="C1052" t="s">
        <v>27</v>
      </c>
      <c r="D1052" t="s">
        <v>1471</v>
      </c>
      <c r="E1052" t="s">
        <v>362</v>
      </c>
    </row>
    <row r="1053" spans="1:5" x14ac:dyDescent="0.2">
      <c r="A1053" s="269">
        <v>45909.710879629631</v>
      </c>
      <c r="B1053" t="s">
        <v>1431</v>
      </c>
      <c r="C1053" t="s">
        <v>27</v>
      </c>
      <c r="D1053" t="s">
        <v>1010</v>
      </c>
      <c r="E1053" t="s">
        <v>362</v>
      </c>
    </row>
    <row r="1054" spans="1:5" x14ac:dyDescent="0.2">
      <c r="A1054" s="269">
        <v>45909.710949074077</v>
      </c>
      <c r="B1054" t="s">
        <v>1431</v>
      </c>
      <c r="C1054" t="s">
        <v>27</v>
      </c>
      <c r="D1054" t="s">
        <v>1471</v>
      </c>
      <c r="E1054" t="s">
        <v>89</v>
      </c>
    </row>
    <row r="1055" spans="1:5" x14ac:dyDescent="0.2">
      <c r="A1055" s="269">
        <v>45909.711157407408</v>
      </c>
      <c r="B1055" t="s">
        <v>1431</v>
      </c>
      <c r="C1055" t="s">
        <v>27</v>
      </c>
      <c r="D1055" t="s">
        <v>995</v>
      </c>
      <c r="E1055" t="s">
        <v>371</v>
      </c>
    </row>
    <row r="1056" spans="1:5" x14ac:dyDescent="0.2">
      <c r="A1056" s="269">
        <v>45909.711215277777</v>
      </c>
      <c r="B1056" t="s">
        <v>1431</v>
      </c>
      <c r="C1056" t="s">
        <v>27</v>
      </c>
      <c r="D1056" t="s">
        <v>1014</v>
      </c>
      <c r="E1056" t="s">
        <v>379</v>
      </c>
    </row>
    <row r="1057" spans="1:5" x14ac:dyDescent="0.2">
      <c r="A1057" s="269">
        <v>45909.711261574077</v>
      </c>
      <c r="B1057" t="s">
        <v>1431</v>
      </c>
      <c r="C1057" t="s">
        <v>27</v>
      </c>
      <c r="D1057" t="s">
        <v>1017</v>
      </c>
      <c r="E1057" t="s">
        <v>386</v>
      </c>
    </row>
    <row r="1058" spans="1:5" x14ac:dyDescent="0.2">
      <c r="A1058" s="269">
        <v>45909.711319444446</v>
      </c>
      <c r="B1058" t="s">
        <v>1431</v>
      </c>
      <c r="C1058" t="s">
        <v>27</v>
      </c>
      <c r="D1058" t="s">
        <v>1476</v>
      </c>
      <c r="E1058" t="s">
        <v>390</v>
      </c>
    </row>
    <row r="1059" spans="1:5" x14ac:dyDescent="0.2">
      <c r="A1059" s="269">
        <v>45909.711365740739</v>
      </c>
      <c r="B1059" t="s">
        <v>1431</v>
      </c>
      <c r="C1059" t="s">
        <v>27</v>
      </c>
      <c r="D1059" t="s">
        <v>1477</v>
      </c>
      <c r="E1059" t="s">
        <v>41</v>
      </c>
    </row>
    <row r="1060" spans="1:5" x14ac:dyDescent="0.2">
      <c r="A1060" s="269">
        <v>45909.711412037039</v>
      </c>
      <c r="B1060" t="s">
        <v>1431</v>
      </c>
      <c r="C1060" t="s">
        <v>27</v>
      </c>
      <c r="D1060" t="s">
        <v>1478</v>
      </c>
      <c r="E1060" t="s">
        <v>397</v>
      </c>
    </row>
    <row r="1061" spans="1:5" x14ac:dyDescent="0.2">
      <c r="A1061" s="269">
        <v>45909.711469907408</v>
      </c>
      <c r="B1061" t="s">
        <v>1431</v>
      </c>
      <c r="C1061" t="s">
        <v>27</v>
      </c>
      <c r="D1061" t="s">
        <v>1479</v>
      </c>
      <c r="E1061" t="s">
        <v>400</v>
      </c>
    </row>
    <row r="1062" spans="1:5" x14ac:dyDescent="0.2">
      <c r="A1062" s="269">
        <v>45909.711539351854</v>
      </c>
      <c r="B1062" t="s">
        <v>1431</v>
      </c>
      <c r="C1062" t="s">
        <v>27</v>
      </c>
      <c r="D1062" t="s">
        <v>1480</v>
      </c>
      <c r="E1062" t="s">
        <v>404</v>
      </c>
    </row>
    <row r="1063" spans="1:5" x14ac:dyDescent="0.2">
      <c r="A1063" s="269">
        <v>45909.711585648147</v>
      </c>
      <c r="B1063" t="s">
        <v>1431</v>
      </c>
      <c r="C1063" t="s">
        <v>27</v>
      </c>
      <c r="D1063" t="s">
        <v>1481</v>
      </c>
      <c r="E1063" t="s">
        <v>407</v>
      </c>
    </row>
    <row r="1064" spans="1:5" x14ac:dyDescent="0.2">
      <c r="A1064" s="269">
        <v>45909.712222222224</v>
      </c>
      <c r="B1064" t="s">
        <v>1431</v>
      </c>
      <c r="C1064" t="s">
        <v>27</v>
      </c>
      <c r="D1064" t="s">
        <v>777</v>
      </c>
    </row>
    <row r="1065" spans="1:5" x14ac:dyDescent="0.2">
      <c r="A1065" s="269">
        <v>45909.713252314818</v>
      </c>
      <c r="B1065" t="s">
        <v>1431</v>
      </c>
      <c r="C1065" t="s">
        <v>27</v>
      </c>
      <c r="D1065" t="s">
        <v>777</v>
      </c>
      <c r="E1065">
        <v>1</v>
      </c>
    </row>
    <row r="1066" spans="1:5" x14ac:dyDescent="0.2">
      <c r="A1066" s="269">
        <v>45909.713483796295</v>
      </c>
      <c r="B1066" t="s">
        <v>1431</v>
      </c>
      <c r="C1066" t="s">
        <v>27</v>
      </c>
      <c r="D1066" t="s">
        <v>777</v>
      </c>
    </row>
    <row r="1067" spans="1:5" x14ac:dyDescent="0.2">
      <c r="A1067" s="269">
        <v>45909.713518518518</v>
      </c>
      <c r="B1067" t="s">
        <v>1431</v>
      </c>
      <c r="C1067" t="s">
        <v>27</v>
      </c>
      <c r="D1067" t="s">
        <v>777</v>
      </c>
      <c r="E1067">
        <v>2</v>
      </c>
    </row>
    <row r="1068" spans="1:5" x14ac:dyDescent="0.2">
      <c r="A1068" s="269">
        <v>45909.71361111111</v>
      </c>
      <c r="B1068" t="s">
        <v>1431</v>
      </c>
      <c r="C1068" t="s">
        <v>27</v>
      </c>
      <c r="D1068" t="s">
        <v>1437</v>
      </c>
      <c r="E1068">
        <v>2.2400000000000002</v>
      </c>
    </row>
    <row r="1069" spans="1:5" x14ac:dyDescent="0.2">
      <c r="A1069" s="269">
        <v>45909.714016203703</v>
      </c>
      <c r="B1069" t="s">
        <v>1431</v>
      </c>
      <c r="C1069" t="s">
        <v>27</v>
      </c>
      <c r="D1069" t="s">
        <v>1482</v>
      </c>
    </row>
    <row r="1070" spans="1:5" x14ac:dyDescent="0.2">
      <c r="A1070" s="269">
        <v>45909.714050925926</v>
      </c>
      <c r="B1070" t="s">
        <v>1431</v>
      </c>
      <c r="C1070" t="s">
        <v>27</v>
      </c>
      <c r="D1070" t="s">
        <v>1437</v>
      </c>
    </row>
    <row r="1071" spans="1:5" x14ac:dyDescent="0.2">
      <c r="A1071" s="269">
        <v>45909.714212962965</v>
      </c>
      <c r="B1071" t="s">
        <v>1431</v>
      </c>
      <c r="C1071" t="s">
        <v>27</v>
      </c>
      <c r="D1071" t="s">
        <v>1433</v>
      </c>
      <c r="E1071" t="s">
        <v>37</v>
      </c>
    </row>
    <row r="1072" spans="1:5" x14ac:dyDescent="0.2">
      <c r="A1072" s="269">
        <v>45909.714409722219</v>
      </c>
      <c r="B1072" t="s">
        <v>1431</v>
      </c>
      <c r="C1072" t="s">
        <v>27</v>
      </c>
      <c r="D1072" t="s">
        <v>950</v>
      </c>
      <c r="E1072" t="s">
        <v>362</v>
      </c>
    </row>
    <row r="1073" spans="1:5" x14ac:dyDescent="0.2">
      <c r="A1073" s="269">
        <v>45909.714432870373</v>
      </c>
      <c r="B1073" t="s">
        <v>1431</v>
      </c>
      <c r="C1073" t="s">
        <v>27</v>
      </c>
      <c r="D1073" t="s">
        <v>777</v>
      </c>
    </row>
    <row r="1074" spans="1:5" x14ac:dyDescent="0.2">
      <c r="A1074" s="269">
        <v>45909.714490740742</v>
      </c>
      <c r="B1074" t="s">
        <v>1431</v>
      </c>
      <c r="C1074" t="s">
        <v>27</v>
      </c>
      <c r="D1074" t="s">
        <v>777</v>
      </c>
      <c r="E1074">
        <v>4.47</v>
      </c>
    </row>
    <row r="1075" spans="1:5" x14ac:dyDescent="0.2">
      <c r="A1075" s="269">
        <v>45909.714594907404</v>
      </c>
      <c r="B1075" t="s">
        <v>1431</v>
      </c>
      <c r="C1075" t="s">
        <v>27</v>
      </c>
      <c r="D1075" t="s">
        <v>1471</v>
      </c>
      <c r="E1075" t="s">
        <v>386</v>
      </c>
    </row>
    <row r="1076" spans="1:5" x14ac:dyDescent="0.2">
      <c r="A1076" s="269">
        <v>45909.71471064815</v>
      </c>
      <c r="B1076" t="s">
        <v>1431</v>
      </c>
      <c r="C1076" t="s">
        <v>27</v>
      </c>
      <c r="D1076" t="s">
        <v>1437</v>
      </c>
      <c r="E1076">
        <v>35.76</v>
      </c>
    </row>
    <row r="1077" spans="1:5" x14ac:dyDescent="0.2">
      <c r="A1077" s="269">
        <v>45909.714756944442</v>
      </c>
      <c r="B1077" t="s">
        <v>1431</v>
      </c>
      <c r="C1077" t="s">
        <v>27</v>
      </c>
      <c r="D1077" t="s">
        <v>1437</v>
      </c>
      <c r="E1077">
        <v>35.76</v>
      </c>
    </row>
    <row r="1078" spans="1:5" x14ac:dyDescent="0.2">
      <c r="A1078" s="269">
        <v>45909.714814814812</v>
      </c>
      <c r="B1078" t="s">
        <v>1431</v>
      </c>
      <c r="C1078" t="s">
        <v>27</v>
      </c>
      <c r="D1078" t="s">
        <v>1191</v>
      </c>
      <c r="E1078" t="s">
        <v>37</v>
      </c>
    </row>
    <row r="1079" spans="1:5" x14ac:dyDescent="0.2">
      <c r="A1079" s="269">
        <v>45909.714907407404</v>
      </c>
      <c r="B1079" t="s">
        <v>1431</v>
      </c>
      <c r="C1079" t="s">
        <v>27</v>
      </c>
      <c r="D1079" t="s">
        <v>1010</v>
      </c>
      <c r="E1079" t="s">
        <v>397</v>
      </c>
    </row>
    <row r="1080" spans="1:5" x14ac:dyDescent="0.2">
      <c r="A1080" s="269">
        <v>45909.71503472222</v>
      </c>
      <c r="B1080" t="s">
        <v>1431</v>
      </c>
      <c r="C1080" t="s">
        <v>27</v>
      </c>
      <c r="D1080" t="s">
        <v>973</v>
      </c>
      <c r="E1080">
        <v>26.6</v>
      </c>
    </row>
    <row r="1081" spans="1:5" x14ac:dyDescent="0.2">
      <c r="A1081" s="269">
        <v>45909.715092592596</v>
      </c>
      <c r="B1081" t="s">
        <v>1431</v>
      </c>
      <c r="C1081" t="s">
        <v>27</v>
      </c>
      <c r="D1081" t="s">
        <v>795</v>
      </c>
      <c r="E1081" t="s">
        <v>37</v>
      </c>
    </row>
    <row r="1082" spans="1:5" x14ac:dyDescent="0.2">
      <c r="A1082" s="269">
        <v>45909.715185185189</v>
      </c>
      <c r="B1082" t="s">
        <v>1431</v>
      </c>
      <c r="C1082" t="s">
        <v>27</v>
      </c>
      <c r="D1082" t="s">
        <v>995</v>
      </c>
      <c r="E1082" t="s">
        <v>407</v>
      </c>
    </row>
    <row r="1083" spans="1:5" x14ac:dyDescent="0.2">
      <c r="A1083" s="269">
        <v>45909.715381944443</v>
      </c>
      <c r="B1083" t="s">
        <v>1431</v>
      </c>
      <c r="C1083" t="s">
        <v>27</v>
      </c>
      <c r="D1083" t="s">
        <v>976</v>
      </c>
      <c r="E1083">
        <v>11.56</v>
      </c>
    </row>
    <row r="1084" spans="1:5" x14ac:dyDescent="0.2">
      <c r="A1084" s="269">
        <v>45910.394305555557</v>
      </c>
      <c r="B1084" t="s">
        <v>1431</v>
      </c>
      <c r="C1084" t="s">
        <v>597</v>
      </c>
      <c r="D1084" t="s">
        <v>1230</v>
      </c>
      <c r="E1084" t="s">
        <v>39</v>
      </c>
    </row>
    <row r="1085" spans="1:5" x14ac:dyDescent="0.2">
      <c r="A1085" s="269">
        <v>45910.402199074073</v>
      </c>
      <c r="B1085" t="s">
        <v>1431</v>
      </c>
      <c r="C1085" t="s">
        <v>58</v>
      </c>
      <c r="D1085" t="s">
        <v>946</v>
      </c>
      <c r="E1085" t="s">
        <v>343</v>
      </c>
    </row>
    <row r="1086" spans="1:5" x14ac:dyDescent="0.2">
      <c r="A1086" s="269">
        <v>45910.402280092596</v>
      </c>
      <c r="B1086" t="s">
        <v>1431</v>
      </c>
      <c r="C1086" t="s">
        <v>58</v>
      </c>
      <c r="D1086" t="s">
        <v>950</v>
      </c>
      <c r="E1086" t="s">
        <v>63</v>
      </c>
    </row>
    <row r="1087" spans="1:5" x14ac:dyDescent="0.2">
      <c r="A1087" s="269">
        <v>45910.402453703704</v>
      </c>
      <c r="B1087" t="s">
        <v>1431</v>
      </c>
      <c r="C1087" t="s">
        <v>58</v>
      </c>
      <c r="D1087" t="s">
        <v>951</v>
      </c>
      <c r="E1087" t="s">
        <v>338</v>
      </c>
    </row>
    <row r="1088" spans="1:5" x14ac:dyDescent="0.2">
      <c r="A1088" s="269">
        <v>45910.415613425925</v>
      </c>
      <c r="B1088" t="s">
        <v>1431</v>
      </c>
      <c r="C1088" t="s">
        <v>58</v>
      </c>
      <c r="D1088" t="s">
        <v>1483</v>
      </c>
      <c r="E1088">
        <v>625</v>
      </c>
    </row>
    <row r="1089" spans="1:5" x14ac:dyDescent="0.2">
      <c r="A1089" s="269">
        <v>45910.416539351849</v>
      </c>
      <c r="B1089" t="s">
        <v>1431</v>
      </c>
      <c r="C1089" t="s">
        <v>58</v>
      </c>
      <c r="D1089" t="s">
        <v>1433</v>
      </c>
      <c r="E1089" t="s">
        <v>365</v>
      </c>
    </row>
    <row r="1090" spans="1:5" x14ac:dyDescent="0.2">
      <c r="A1090" s="269">
        <v>45910.416597222225</v>
      </c>
      <c r="B1090" t="s">
        <v>1431</v>
      </c>
      <c r="C1090" t="s">
        <v>58</v>
      </c>
      <c r="D1090" t="s">
        <v>1471</v>
      </c>
      <c r="E1090" t="s">
        <v>63</v>
      </c>
    </row>
    <row r="1091" spans="1:5" x14ac:dyDescent="0.2">
      <c r="A1091" s="269">
        <v>45910.416655092595</v>
      </c>
      <c r="B1091" t="s">
        <v>1431</v>
      </c>
      <c r="C1091" t="s">
        <v>58</v>
      </c>
      <c r="D1091" t="s">
        <v>983</v>
      </c>
      <c r="E1091" t="s">
        <v>338</v>
      </c>
    </row>
    <row r="1092" spans="1:5" x14ac:dyDescent="0.2">
      <c r="A1092" s="269">
        <v>45910.416770833333</v>
      </c>
      <c r="B1092" t="s">
        <v>1431</v>
      </c>
      <c r="C1092" t="s">
        <v>58</v>
      </c>
      <c r="D1092" t="s">
        <v>937</v>
      </c>
      <c r="E1092">
        <v>104.79</v>
      </c>
    </row>
    <row r="1093" spans="1:5" x14ac:dyDescent="0.2">
      <c r="A1093" s="269">
        <v>45910.417534722219</v>
      </c>
      <c r="B1093" t="s">
        <v>1431</v>
      </c>
      <c r="C1093" t="s">
        <v>58</v>
      </c>
      <c r="D1093" t="s">
        <v>1191</v>
      </c>
      <c r="E1093" t="s">
        <v>343</v>
      </c>
    </row>
    <row r="1094" spans="1:5" x14ac:dyDescent="0.2">
      <c r="A1094" s="269">
        <v>45910.418182870373</v>
      </c>
      <c r="B1094" t="s">
        <v>1431</v>
      </c>
      <c r="C1094" t="s">
        <v>58</v>
      </c>
      <c r="D1094" t="s">
        <v>1010</v>
      </c>
      <c r="E1094" t="s">
        <v>63</v>
      </c>
    </row>
    <row r="1095" spans="1:5" x14ac:dyDescent="0.2">
      <c r="A1095" s="269">
        <v>45910.418252314812</v>
      </c>
      <c r="B1095" t="s">
        <v>1431</v>
      </c>
      <c r="C1095" t="s">
        <v>58</v>
      </c>
      <c r="D1095" t="s">
        <v>1066</v>
      </c>
      <c r="E1095" t="s">
        <v>89</v>
      </c>
    </row>
    <row r="1096" spans="1:5" x14ac:dyDescent="0.2">
      <c r="A1096" s="269">
        <v>45910.418414351851</v>
      </c>
      <c r="B1096" t="s">
        <v>1431</v>
      </c>
      <c r="C1096" t="s">
        <v>58</v>
      </c>
      <c r="D1096" t="s">
        <v>926</v>
      </c>
      <c r="E1096">
        <v>303.01</v>
      </c>
    </row>
    <row r="1097" spans="1:5" x14ac:dyDescent="0.2">
      <c r="A1097" s="269">
        <v>45910.418530092589</v>
      </c>
      <c r="B1097" t="s">
        <v>1431</v>
      </c>
      <c r="C1097" t="s">
        <v>58</v>
      </c>
      <c r="D1097" t="s">
        <v>795</v>
      </c>
      <c r="E1097" t="s">
        <v>365</v>
      </c>
    </row>
    <row r="1098" spans="1:5" x14ac:dyDescent="0.2">
      <c r="A1098" s="269">
        <v>45910.418587962966</v>
      </c>
      <c r="B1098" t="s">
        <v>1431</v>
      </c>
      <c r="C1098" t="s">
        <v>58</v>
      </c>
      <c r="D1098" t="s">
        <v>995</v>
      </c>
      <c r="E1098" t="s">
        <v>63</v>
      </c>
    </row>
    <row r="1099" spans="1:5" x14ac:dyDescent="0.2">
      <c r="A1099" s="269">
        <v>45910.418622685182</v>
      </c>
      <c r="B1099" t="s">
        <v>1431</v>
      </c>
      <c r="C1099" t="s">
        <v>58</v>
      </c>
      <c r="D1099" t="s">
        <v>994</v>
      </c>
      <c r="E1099" t="s">
        <v>89</v>
      </c>
    </row>
    <row r="1100" spans="1:5" x14ac:dyDescent="0.2">
      <c r="A1100" s="269">
        <v>45910.418749999997</v>
      </c>
      <c r="B1100" t="s">
        <v>1431</v>
      </c>
      <c r="C1100" t="s">
        <v>58</v>
      </c>
      <c r="D1100" t="s">
        <v>874</v>
      </c>
      <c r="E1100">
        <v>166.79</v>
      </c>
    </row>
    <row r="1101" spans="1:5" x14ac:dyDescent="0.2">
      <c r="A1101" s="269">
        <v>45910.41883101852</v>
      </c>
      <c r="B1101" t="s">
        <v>1431</v>
      </c>
      <c r="C1101" t="s">
        <v>58</v>
      </c>
      <c r="D1101" t="s">
        <v>1013</v>
      </c>
      <c r="E1101" t="s">
        <v>343</v>
      </c>
    </row>
    <row r="1102" spans="1:5" x14ac:dyDescent="0.2">
      <c r="A1102" s="269">
        <v>45910.418877314813</v>
      </c>
      <c r="B1102" t="s">
        <v>1431</v>
      </c>
      <c r="C1102" t="s">
        <v>58</v>
      </c>
      <c r="D1102" t="s">
        <v>1014</v>
      </c>
      <c r="E1102" t="s">
        <v>63</v>
      </c>
    </row>
    <row r="1103" spans="1:5" x14ac:dyDescent="0.2">
      <c r="A1103" s="269">
        <v>45910.418923611112</v>
      </c>
      <c r="B1103" t="s">
        <v>1431</v>
      </c>
      <c r="C1103" t="s">
        <v>58</v>
      </c>
      <c r="D1103" t="s">
        <v>1015</v>
      </c>
      <c r="E1103" t="s">
        <v>362</v>
      </c>
    </row>
    <row r="1104" spans="1:5" x14ac:dyDescent="0.2">
      <c r="A1104" s="269">
        <v>45910.419652777775</v>
      </c>
      <c r="B1104" t="s">
        <v>1431</v>
      </c>
      <c r="C1104" t="s">
        <v>58</v>
      </c>
      <c r="D1104" t="s">
        <v>1450</v>
      </c>
      <c r="E1104">
        <v>0</v>
      </c>
    </row>
    <row r="1105" spans="1:5" x14ac:dyDescent="0.2">
      <c r="A1105" s="269">
        <v>45910.419733796298</v>
      </c>
      <c r="B1105" t="s">
        <v>1431</v>
      </c>
      <c r="C1105" t="s">
        <v>58</v>
      </c>
      <c r="D1105" t="s">
        <v>747</v>
      </c>
      <c r="E1105" t="s">
        <v>365</v>
      </c>
    </row>
    <row r="1106" spans="1:5" x14ac:dyDescent="0.2">
      <c r="A1106" s="269">
        <v>45910.41978009259</v>
      </c>
      <c r="B1106" t="s">
        <v>1431</v>
      </c>
      <c r="C1106" t="s">
        <v>58</v>
      </c>
      <c r="D1106" t="s">
        <v>1017</v>
      </c>
      <c r="E1106" t="s">
        <v>63</v>
      </c>
    </row>
    <row r="1107" spans="1:5" x14ac:dyDescent="0.2">
      <c r="A1107" s="269">
        <v>45910.41983796296</v>
      </c>
      <c r="B1107" t="s">
        <v>1431</v>
      </c>
      <c r="C1107" t="s">
        <v>58</v>
      </c>
      <c r="D1107" t="s">
        <v>1018</v>
      </c>
      <c r="E1107" t="s">
        <v>362</v>
      </c>
    </row>
    <row r="1108" spans="1:5" x14ac:dyDescent="0.2">
      <c r="A1108" s="269">
        <v>45910.421678240738</v>
      </c>
      <c r="B1108" t="s">
        <v>1431</v>
      </c>
      <c r="C1108" t="s">
        <v>58</v>
      </c>
      <c r="D1108" t="s">
        <v>1450</v>
      </c>
    </row>
    <row r="1109" spans="1:5" x14ac:dyDescent="0.2">
      <c r="A1109" s="269">
        <v>45910.421759259261</v>
      </c>
      <c r="B1109" t="s">
        <v>1431</v>
      </c>
      <c r="C1109" t="s">
        <v>58</v>
      </c>
      <c r="D1109" t="s">
        <v>1450</v>
      </c>
      <c r="E1109">
        <v>86.17</v>
      </c>
    </row>
    <row r="1110" spans="1:5" x14ac:dyDescent="0.2">
      <c r="A1110" s="269">
        <v>45910.422037037039</v>
      </c>
      <c r="B1110" t="s">
        <v>1431</v>
      </c>
      <c r="C1110" t="s">
        <v>58</v>
      </c>
      <c r="D1110" t="s">
        <v>1451</v>
      </c>
      <c r="E1110">
        <v>373.85</v>
      </c>
    </row>
    <row r="1111" spans="1:5" x14ac:dyDescent="0.2">
      <c r="A1111" s="269">
        <v>45910.422118055554</v>
      </c>
      <c r="B1111" t="s">
        <v>1431</v>
      </c>
      <c r="C1111" t="s">
        <v>58</v>
      </c>
      <c r="D1111" t="s">
        <v>1434</v>
      </c>
      <c r="E1111" t="s">
        <v>343</v>
      </c>
    </row>
    <row r="1112" spans="1:5" x14ac:dyDescent="0.2">
      <c r="A1112" s="269">
        <v>45910.422164351854</v>
      </c>
      <c r="B1112" t="s">
        <v>1431</v>
      </c>
      <c r="C1112" t="s">
        <v>58</v>
      </c>
      <c r="D1112" t="s">
        <v>1476</v>
      </c>
      <c r="E1112" t="s">
        <v>63</v>
      </c>
    </row>
    <row r="1113" spans="1:5" x14ac:dyDescent="0.2">
      <c r="A1113" s="269">
        <v>45910.422673611109</v>
      </c>
      <c r="B1113" t="s">
        <v>1431</v>
      </c>
      <c r="C1113" t="s">
        <v>58</v>
      </c>
      <c r="D1113" t="s">
        <v>1068</v>
      </c>
      <c r="E1113" t="s">
        <v>371</v>
      </c>
    </row>
    <row r="1114" spans="1:5" x14ac:dyDescent="0.2">
      <c r="A1114" s="269">
        <v>45910.422777777778</v>
      </c>
      <c r="B1114" t="s">
        <v>1431</v>
      </c>
      <c r="C1114" t="s">
        <v>58</v>
      </c>
      <c r="D1114" t="s">
        <v>1452</v>
      </c>
      <c r="E1114">
        <v>183.78</v>
      </c>
    </row>
    <row r="1115" spans="1:5" x14ac:dyDescent="0.2">
      <c r="A1115" s="269">
        <v>45910.422939814816</v>
      </c>
      <c r="B1115" t="s">
        <v>1431</v>
      </c>
      <c r="C1115" t="s">
        <v>58</v>
      </c>
      <c r="D1115" t="s">
        <v>1435</v>
      </c>
      <c r="E1115" t="s">
        <v>365</v>
      </c>
    </row>
    <row r="1116" spans="1:5" x14ac:dyDescent="0.2">
      <c r="A1116" s="269">
        <v>45910.422974537039</v>
      </c>
      <c r="B1116" t="s">
        <v>1431</v>
      </c>
      <c r="C1116" t="s">
        <v>58</v>
      </c>
      <c r="D1116" t="s">
        <v>1477</v>
      </c>
      <c r="E1116" t="s">
        <v>63</v>
      </c>
    </row>
    <row r="1117" spans="1:5" x14ac:dyDescent="0.2">
      <c r="A1117" s="269">
        <v>45910.423020833332</v>
      </c>
      <c r="B1117" t="s">
        <v>1431</v>
      </c>
      <c r="C1117" t="s">
        <v>58</v>
      </c>
      <c r="D1117" t="s">
        <v>1069</v>
      </c>
      <c r="E1117" t="s">
        <v>371</v>
      </c>
    </row>
    <row r="1118" spans="1:5" x14ac:dyDescent="0.2">
      <c r="A1118" s="269">
        <v>45910.423310185186</v>
      </c>
      <c r="B1118" t="s">
        <v>1431</v>
      </c>
      <c r="C1118" t="s">
        <v>58</v>
      </c>
      <c r="D1118" t="s">
        <v>1453</v>
      </c>
      <c r="E1118">
        <v>511.37</v>
      </c>
    </row>
    <row r="1119" spans="1:5" x14ac:dyDescent="0.2">
      <c r="A1119" s="269">
        <v>45910.423368055555</v>
      </c>
      <c r="B1119" t="s">
        <v>1431</v>
      </c>
      <c r="C1119" t="s">
        <v>58</v>
      </c>
      <c r="D1119" t="s">
        <v>1436</v>
      </c>
      <c r="E1119" t="s">
        <v>343</v>
      </c>
    </row>
    <row r="1120" spans="1:5" x14ac:dyDescent="0.2">
      <c r="A1120" s="269">
        <v>45910.423668981479</v>
      </c>
      <c r="B1120" t="s">
        <v>1431</v>
      </c>
      <c r="C1120" t="s">
        <v>58</v>
      </c>
      <c r="D1120" t="s">
        <v>1478</v>
      </c>
      <c r="E1120" t="s">
        <v>63</v>
      </c>
    </row>
    <row r="1121" spans="1:5" x14ac:dyDescent="0.2">
      <c r="A1121" s="269">
        <v>45910.423726851855</v>
      </c>
      <c r="B1121" t="s">
        <v>1431</v>
      </c>
      <c r="C1121" t="s">
        <v>58</v>
      </c>
      <c r="D1121" t="s">
        <v>1438</v>
      </c>
      <c r="E1121" t="s">
        <v>379</v>
      </c>
    </row>
    <row r="1122" spans="1:5" x14ac:dyDescent="0.2">
      <c r="A1122" s="269">
        <v>45910.423807870371</v>
      </c>
      <c r="B1122" t="s">
        <v>1431</v>
      </c>
      <c r="C1122" t="s">
        <v>58</v>
      </c>
      <c r="D1122" t="s">
        <v>1454</v>
      </c>
      <c r="E1122">
        <v>10.27</v>
      </c>
    </row>
    <row r="1123" spans="1:5" x14ac:dyDescent="0.2">
      <c r="A1123" s="269">
        <v>45910.423888888887</v>
      </c>
      <c r="B1123" t="s">
        <v>1431</v>
      </c>
      <c r="C1123" t="s">
        <v>58</v>
      </c>
      <c r="D1123" t="s">
        <v>672</v>
      </c>
      <c r="E1123" t="s">
        <v>365</v>
      </c>
    </row>
    <row r="1124" spans="1:5" x14ac:dyDescent="0.2">
      <c r="A1124" s="269">
        <v>45910.423946759256</v>
      </c>
      <c r="B1124" t="s">
        <v>1431</v>
      </c>
      <c r="C1124" t="s">
        <v>58</v>
      </c>
      <c r="D1124" t="s">
        <v>1479</v>
      </c>
      <c r="E1124" t="s">
        <v>63</v>
      </c>
    </row>
    <row r="1125" spans="1:5" x14ac:dyDescent="0.2">
      <c r="A1125" s="269">
        <v>45910.423993055556</v>
      </c>
      <c r="B1125" t="s">
        <v>1431</v>
      </c>
      <c r="C1125" t="s">
        <v>58</v>
      </c>
      <c r="D1125" t="s">
        <v>1443</v>
      </c>
      <c r="E1125" t="s">
        <v>379</v>
      </c>
    </row>
    <row r="1126" spans="1:5" x14ac:dyDescent="0.2">
      <c r="A1126" s="269">
        <v>45910.424305555556</v>
      </c>
      <c r="B1126" t="s">
        <v>1431</v>
      </c>
      <c r="C1126" t="s">
        <v>58</v>
      </c>
      <c r="D1126" t="s">
        <v>1455</v>
      </c>
      <c r="E1126">
        <v>341.71</v>
      </c>
    </row>
    <row r="1127" spans="1:5" x14ac:dyDescent="0.2">
      <c r="A1127" s="269">
        <v>45910.424398148149</v>
      </c>
      <c r="B1127" t="s">
        <v>1431</v>
      </c>
      <c r="C1127" t="s">
        <v>58</v>
      </c>
      <c r="D1127" t="s">
        <v>674</v>
      </c>
      <c r="E1127" t="s">
        <v>343</v>
      </c>
    </row>
    <row r="1128" spans="1:5" x14ac:dyDescent="0.2">
      <c r="A1128" s="269">
        <v>45910.424444444441</v>
      </c>
      <c r="B1128" t="s">
        <v>1431</v>
      </c>
      <c r="C1128" t="s">
        <v>58</v>
      </c>
      <c r="D1128" t="s">
        <v>1480</v>
      </c>
      <c r="E1128" t="s">
        <v>63</v>
      </c>
    </row>
    <row r="1129" spans="1:5" x14ac:dyDescent="0.2">
      <c r="A1129" s="269">
        <v>45910.424490740741</v>
      </c>
      <c r="B1129" t="s">
        <v>1431</v>
      </c>
      <c r="C1129" t="s">
        <v>58</v>
      </c>
      <c r="D1129" t="s">
        <v>1444</v>
      </c>
      <c r="E1129" t="s">
        <v>386</v>
      </c>
    </row>
    <row r="1130" spans="1:5" x14ac:dyDescent="0.2">
      <c r="A1130" s="269">
        <v>45910.424687500003</v>
      </c>
      <c r="B1130" t="s">
        <v>1431</v>
      </c>
      <c r="C1130" t="s">
        <v>58</v>
      </c>
      <c r="D1130" t="s">
        <v>1456</v>
      </c>
      <c r="E1130">
        <v>6.87</v>
      </c>
    </row>
    <row r="1131" spans="1:5" x14ac:dyDescent="0.2">
      <c r="A1131" s="269">
        <v>45910.424988425926</v>
      </c>
      <c r="B1131" t="s">
        <v>1431</v>
      </c>
      <c r="C1131" t="s">
        <v>58</v>
      </c>
      <c r="D1131" t="s">
        <v>675</v>
      </c>
      <c r="E1131" t="s">
        <v>365</v>
      </c>
    </row>
    <row r="1132" spans="1:5" x14ac:dyDescent="0.2">
      <c r="A1132" s="269">
        <v>45910.425023148149</v>
      </c>
      <c r="B1132" t="s">
        <v>1431</v>
      </c>
      <c r="C1132" t="s">
        <v>58</v>
      </c>
      <c r="D1132" t="s">
        <v>1481</v>
      </c>
      <c r="E1132" t="s">
        <v>63</v>
      </c>
    </row>
    <row r="1133" spans="1:5" x14ac:dyDescent="0.2">
      <c r="A1133" s="269">
        <v>45910.425092592595</v>
      </c>
      <c r="B1133" t="s">
        <v>1431</v>
      </c>
      <c r="C1133" t="s">
        <v>58</v>
      </c>
      <c r="D1133" t="s">
        <v>1446</v>
      </c>
      <c r="E1133" t="s">
        <v>386</v>
      </c>
    </row>
    <row r="1134" spans="1:5" x14ac:dyDescent="0.2">
      <c r="A1134" s="269">
        <v>45910.425405092596</v>
      </c>
      <c r="B1134" t="s">
        <v>1431</v>
      </c>
      <c r="C1134" t="s">
        <v>58</v>
      </c>
      <c r="D1134" t="s">
        <v>1457</v>
      </c>
      <c r="E1134">
        <v>420.46</v>
      </c>
    </row>
    <row r="1135" spans="1:5" x14ac:dyDescent="0.2">
      <c r="A1135" s="269">
        <v>45910.425451388888</v>
      </c>
      <c r="B1135" t="s">
        <v>1431</v>
      </c>
      <c r="C1135" t="s">
        <v>58</v>
      </c>
      <c r="D1135" t="s">
        <v>676</v>
      </c>
      <c r="E1135" t="s">
        <v>343</v>
      </c>
    </row>
    <row r="1136" spans="1:5" x14ac:dyDescent="0.2">
      <c r="A1136" s="269">
        <v>45910.425486111111</v>
      </c>
      <c r="B1136" t="s">
        <v>1431</v>
      </c>
      <c r="C1136" t="s">
        <v>58</v>
      </c>
      <c r="D1136" t="s">
        <v>1473</v>
      </c>
      <c r="E1136" t="s">
        <v>63</v>
      </c>
    </row>
    <row r="1137" spans="1:5" x14ac:dyDescent="0.2">
      <c r="A1137" s="269">
        <v>45910.425532407404</v>
      </c>
      <c r="B1137" t="s">
        <v>1431</v>
      </c>
      <c r="C1137" t="s">
        <v>58</v>
      </c>
      <c r="D1137" t="s">
        <v>1448</v>
      </c>
      <c r="E1137" t="s">
        <v>390</v>
      </c>
    </row>
    <row r="1138" spans="1:5" x14ac:dyDescent="0.2">
      <c r="A1138" s="269">
        <v>45910.425810185188</v>
      </c>
      <c r="B1138" t="s">
        <v>1431</v>
      </c>
      <c r="C1138" t="s">
        <v>58</v>
      </c>
      <c r="D1138" t="s">
        <v>1458</v>
      </c>
      <c r="E1138">
        <v>51.9</v>
      </c>
    </row>
    <row r="1139" spans="1:5" x14ac:dyDescent="0.2">
      <c r="A1139" s="269">
        <v>45910.425856481481</v>
      </c>
      <c r="B1139" t="s">
        <v>1431</v>
      </c>
      <c r="C1139" t="s">
        <v>58</v>
      </c>
      <c r="D1139" t="s">
        <v>677</v>
      </c>
      <c r="E1139" t="s">
        <v>343</v>
      </c>
    </row>
    <row r="1140" spans="1:5" x14ac:dyDescent="0.2">
      <c r="A1140" s="269">
        <v>45910.425902777781</v>
      </c>
      <c r="B1140" t="s">
        <v>1431</v>
      </c>
      <c r="C1140" t="s">
        <v>58</v>
      </c>
      <c r="D1140" t="s">
        <v>1484</v>
      </c>
      <c r="E1140" t="s">
        <v>63</v>
      </c>
    </row>
    <row r="1141" spans="1:5" x14ac:dyDescent="0.2">
      <c r="A1141" s="269">
        <v>45910.425949074073</v>
      </c>
      <c r="B1141" t="s">
        <v>1431</v>
      </c>
      <c r="C1141" t="s">
        <v>58</v>
      </c>
      <c r="D1141" t="s">
        <v>1485</v>
      </c>
      <c r="E1141" t="s">
        <v>41</v>
      </c>
    </row>
    <row r="1142" spans="1:5" x14ac:dyDescent="0.2">
      <c r="A1142" s="269">
        <v>45910.426041666666</v>
      </c>
      <c r="B1142" t="s">
        <v>1431</v>
      </c>
      <c r="C1142" t="s">
        <v>58</v>
      </c>
      <c r="D1142" t="s">
        <v>1486</v>
      </c>
      <c r="E1142">
        <v>0</v>
      </c>
    </row>
    <row r="1143" spans="1:5" x14ac:dyDescent="0.2">
      <c r="A1143" s="269">
        <v>45910.426111111112</v>
      </c>
      <c r="B1143" t="s">
        <v>1431</v>
      </c>
      <c r="C1143" t="s">
        <v>58</v>
      </c>
      <c r="D1143" t="s">
        <v>678</v>
      </c>
      <c r="E1143" t="s">
        <v>343</v>
      </c>
    </row>
    <row r="1144" spans="1:5" x14ac:dyDescent="0.2">
      <c r="A1144" s="269">
        <v>45910.426157407404</v>
      </c>
      <c r="B1144" t="s">
        <v>1431</v>
      </c>
      <c r="C1144" t="s">
        <v>58</v>
      </c>
      <c r="D1144" t="s">
        <v>678</v>
      </c>
      <c r="E1144" t="s">
        <v>365</v>
      </c>
    </row>
    <row r="1145" spans="1:5" x14ac:dyDescent="0.2">
      <c r="A1145" s="269">
        <v>45910.426192129627</v>
      </c>
      <c r="B1145" t="s">
        <v>1431</v>
      </c>
      <c r="C1145" t="s">
        <v>58</v>
      </c>
      <c r="D1145" t="s">
        <v>1487</v>
      </c>
      <c r="E1145" t="s">
        <v>63</v>
      </c>
    </row>
    <row r="1146" spans="1:5" x14ac:dyDescent="0.2">
      <c r="A1146" s="269">
        <v>45910.426249999997</v>
      </c>
      <c r="B1146" t="s">
        <v>1431</v>
      </c>
      <c r="C1146" t="s">
        <v>58</v>
      </c>
      <c r="D1146" t="s">
        <v>1488</v>
      </c>
      <c r="E1146" t="s">
        <v>41</v>
      </c>
    </row>
    <row r="1147" spans="1:5" x14ac:dyDescent="0.2">
      <c r="A1147" s="269">
        <v>45910.426550925928</v>
      </c>
      <c r="B1147" t="s">
        <v>1431</v>
      </c>
      <c r="C1147" t="s">
        <v>58</v>
      </c>
      <c r="D1147" t="s">
        <v>1489</v>
      </c>
      <c r="E1147">
        <v>321.41000000000003</v>
      </c>
    </row>
    <row r="1148" spans="1:5" x14ac:dyDescent="0.2">
      <c r="A1148" s="269">
        <v>45910.426678240743</v>
      </c>
      <c r="B1148" t="s">
        <v>1431</v>
      </c>
      <c r="C1148" t="s">
        <v>58</v>
      </c>
      <c r="D1148" t="s">
        <v>1490</v>
      </c>
      <c r="E1148" t="s">
        <v>343</v>
      </c>
    </row>
    <row r="1149" spans="1:5" x14ac:dyDescent="0.2">
      <c r="A1149" s="269">
        <v>45910.426712962966</v>
      </c>
      <c r="B1149" t="s">
        <v>1431</v>
      </c>
      <c r="C1149" t="s">
        <v>58</v>
      </c>
      <c r="D1149" t="s">
        <v>1491</v>
      </c>
      <c r="E1149" t="s">
        <v>63</v>
      </c>
    </row>
    <row r="1150" spans="1:5" x14ac:dyDescent="0.2">
      <c r="A1150" s="269">
        <v>45910.426747685182</v>
      </c>
      <c r="B1150" t="s">
        <v>1431</v>
      </c>
      <c r="C1150" t="s">
        <v>58</v>
      </c>
      <c r="D1150" t="s">
        <v>1492</v>
      </c>
      <c r="E1150" t="s">
        <v>397</v>
      </c>
    </row>
    <row r="1151" spans="1:5" x14ac:dyDescent="0.2">
      <c r="A1151" s="269">
        <v>45910.427141203705</v>
      </c>
      <c r="B1151" t="s">
        <v>1431</v>
      </c>
      <c r="C1151" t="s">
        <v>58</v>
      </c>
      <c r="D1151" t="s">
        <v>1493</v>
      </c>
      <c r="E1151">
        <v>265.16000000000003</v>
      </c>
    </row>
    <row r="1152" spans="1:5" x14ac:dyDescent="0.2">
      <c r="A1152" s="269">
        <v>45910.427210648151</v>
      </c>
      <c r="B1152" t="s">
        <v>1431</v>
      </c>
      <c r="C1152" t="s">
        <v>58</v>
      </c>
      <c r="D1152" t="s">
        <v>1494</v>
      </c>
      <c r="E1152" t="s">
        <v>365</v>
      </c>
    </row>
    <row r="1153" spans="1:5" x14ac:dyDescent="0.2">
      <c r="A1153" s="269">
        <v>45910.427245370367</v>
      </c>
      <c r="B1153" t="s">
        <v>1431</v>
      </c>
      <c r="C1153" t="s">
        <v>58</v>
      </c>
      <c r="D1153" t="s">
        <v>1495</v>
      </c>
      <c r="E1153" t="s">
        <v>63</v>
      </c>
    </row>
    <row r="1154" spans="1:5" x14ac:dyDescent="0.2">
      <c r="A1154" s="269">
        <v>45910.427303240744</v>
      </c>
      <c r="B1154" t="s">
        <v>1431</v>
      </c>
      <c r="C1154" t="s">
        <v>58</v>
      </c>
      <c r="D1154" t="s">
        <v>1496</v>
      </c>
      <c r="E1154" t="s">
        <v>397</v>
      </c>
    </row>
    <row r="1155" spans="1:5" x14ac:dyDescent="0.2">
      <c r="A1155" s="269">
        <v>45910.428437499999</v>
      </c>
      <c r="B1155" t="s">
        <v>1431</v>
      </c>
      <c r="C1155" t="s">
        <v>58</v>
      </c>
      <c r="D1155" t="s">
        <v>1497</v>
      </c>
      <c r="E1155">
        <v>441.82</v>
      </c>
    </row>
    <row r="1156" spans="1:5" x14ac:dyDescent="0.2">
      <c r="A1156" s="269">
        <v>45910.428495370368</v>
      </c>
      <c r="B1156" t="s">
        <v>1431</v>
      </c>
      <c r="C1156" t="s">
        <v>58</v>
      </c>
      <c r="D1156" t="s">
        <v>1498</v>
      </c>
      <c r="E1156" t="s">
        <v>343</v>
      </c>
    </row>
    <row r="1157" spans="1:5" x14ac:dyDescent="0.2">
      <c r="A1157" s="269">
        <v>45910.428530092591</v>
      </c>
      <c r="B1157" t="s">
        <v>1431</v>
      </c>
      <c r="C1157" t="s">
        <v>58</v>
      </c>
      <c r="D1157" t="s">
        <v>1499</v>
      </c>
      <c r="E1157" t="s">
        <v>63</v>
      </c>
    </row>
    <row r="1158" spans="1:5" x14ac:dyDescent="0.2">
      <c r="A1158" s="269">
        <v>45910.428576388891</v>
      </c>
      <c r="B1158" t="s">
        <v>1431</v>
      </c>
      <c r="C1158" t="s">
        <v>58</v>
      </c>
      <c r="D1158" t="s">
        <v>1500</v>
      </c>
      <c r="E1158" t="s">
        <v>400</v>
      </c>
    </row>
    <row r="1159" spans="1:5" x14ac:dyDescent="0.2">
      <c r="A1159" s="269">
        <v>45910.428773148145</v>
      </c>
      <c r="B1159" t="s">
        <v>1431</v>
      </c>
      <c r="C1159" t="s">
        <v>58</v>
      </c>
      <c r="D1159" t="s">
        <v>1501</v>
      </c>
      <c r="E1159">
        <v>59.49</v>
      </c>
    </row>
    <row r="1160" spans="1:5" x14ac:dyDescent="0.2">
      <c r="A1160" s="269">
        <v>45910.428831018522</v>
      </c>
      <c r="B1160" t="s">
        <v>1431</v>
      </c>
      <c r="C1160" t="s">
        <v>58</v>
      </c>
      <c r="D1160" t="s">
        <v>1502</v>
      </c>
      <c r="E1160" t="s">
        <v>365</v>
      </c>
    </row>
    <row r="1161" spans="1:5" x14ac:dyDescent="0.2">
      <c r="A1161" s="269">
        <v>45910.428854166668</v>
      </c>
      <c r="B1161" t="s">
        <v>1431</v>
      </c>
      <c r="C1161" t="s">
        <v>58</v>
      </c>
      <c r="D1161" t="s">
        <v>1503</v>
      </c>
      <c r="E1161" t="s">
        <v>63</v>
      </c>
    </row>
    <row r="1162" spans="1:5" x14ac:dyDescent="0.2">
      <c r="A1162" s="269">
        <v>45910.428900462961</v>
      </c>
      <c r="B1162" t="s">
        <v>1431</v>
      </c>
      <c r="C1162" t="s">
        <v>58</v>
      </c>
      <c r="D1162" t="s">
        <v>1504</v>
      </c>
      <c r="E1162" t="s">
        <v>400</v>
      </c>
    </row>
    <row r="1163" spans="1:5" x14ac:dyDescent="0.2">
      <c r="A1163" s="269">
        <v>45910.429143518515</v>
      </c>
      <c r="B1163" t="s">
        <v>1431</v>
      </c>
      <c r="C1163" t="s">
        <v>58</v>
      </c>
      <c r="D1163" t="s">
        <v>1505</v>
      </c>
      <c r="E1163">
        <v>351.02</v>
      </c>
    </row>
    <row r="1164" spans="1:5" x14ac:dyDescent="0.2">
      <c r="A1164" s="269">
        <v>45910.429201388892</v>
      </c>
      <c r="B1164" t="s">
        <v>1431</v>
      </c>
      <c r="C1164" t="s">
        <v>58</v>
      </c>
      <c r="D1164" t="s">
        <v>1506</v>
      </c>
      <c r="E1164" t="s">
        <v>343</v>
      </c>
    </row>
    <row r="1165" spans="1:5" x14ac:dyDescent="0.2">
      <c r="A1165" s="269">
        <v>45910.429247685184</v>
      </c>
      <c r="B1165" t="s">
        <v>1431</v>
      </c>
      <c r="C1165" t="s">
        <v>58</v>
      </c>
      <c r="D1165" t="s">
        <v>1507</v>
      </c>
      <c r="E1165" t="s">
        <v>63</v>
      </c>
    </row>
    <row r="1166" spans="1:5" x14ac:dyDescent="0.2">
      <c r="A1166" s="269">
        <v>45910.429305555554</v>
      </c>
      <c r="B1166" t="s">
        <v>1431</v>
      </c>
      <c r="C1166" t="s">
        <v>58</v>
      </c>
      <c r="D1166" t="s">
        <v>1508</v>
      </c>
      <c r="E1166" t="s">
        <v>404</v>
      </c>
    </row>
    <row r="1167" spans="1:5" x14ac:dyDescent="0.2">
      <c r="A1167" s="269">
        <v>45910.429560185185</v>
      </c>
      <c r="B1167" t="s">
        <v>1431</v>
      </c>
      <c r="C1167" t="s">
        <v>58</v>
      </c>
      <c r="D1167" t="s">
        <v>1509</v>
      </c>
      <c r="E1167">
        <v>75.77</v>
      </c>
    </row>
    <row r="1168" spans="1:5" x14ac:dyDescent="0.2">
      <c r="A1168" s="269">
        <v>45910.429745370369</v>
      </c>
      <c r="B1168" t="s">
        <v>1431</v>
      </c>
      <c r="C1168" t="s">
        <v>58</v>
      </c>
      <c r="D1168" t="s">
        <v>1510</v>
      </c>
      <c r="E1168" t="s">
        <v>365</v>
      </c>
    </row>
    <row r="1169" spans="1:5" x14ac:dyDescent="0.2">
      <c r="A1169" s="269">
        <v>45910.429791666669</v>
      </c>
      <c r="B1169" t="s">
        <v>1431</v>
      </c>
      <c r="C1169" t="s">
        <v>58</v>
      </c>
      <c r="D1169" t="s">
        <v>1511</v>
      </c>
      <c r="E1169" t="s">
        <v>63</v>
      </c>
    </row>
    <row r="1170" spans="1:5" x14ac:dyDescent="0.2">
      <c r="A1170" s="269">
        <v>45910.429849537039</v>
      </c>
      <c r="B1170" t="s">
        <v>1431</v>
      </c>
      <c r="C1170" t="s">
        <v>58</v>
      </c>
      <c r="D1170" t="s">
        <v>1512</v>
      </c>
      <c r="E1170" t="s">
        <v>404</v>
      </c>
    </row>
    <row r="1171" spans="1:5" x14ac:dyDescent="0.2">
      <c r="A1171" s="269">
        <v>45910.430115740739</v>
      </c>
      <c r="B1171" t="s">
        <v>1431</v>
      </c>
      <c r="C1171" t="s">
        <v>58</v>
      </c>
      <c r="D1171" t="s">
        <v>1513</v>
      </c>
      <c r="E1171">
        <v>378.87</v>
      </c>
    </row>
    <row r="1172" spans="1:5" x14ac:dyDescent="0.2">
      <c r="A1172" s="269">
        <v>45910.430162037039</v>
      </c>
      <c r="B1172" t="s">
        <v>1431</v>
      </c>
      <c r="C1172" t="s">
        <v>58</v>
      </c>
      <c r="D1172" t="s">
        <v>1514</v>
      </c>
      <c r="E1172" t="s">
        <v>343</v>
      </c>
    </row>
    <row r="1173" spans="1:5" x14ac:dyDescent="0.2">
      <c r="A1173" s="269">
        <v>45910.430208333331</v>
      </c>
      <c r="B1173" t="s">
        <v>1431</v>
      </c>
      <c r="C1173" t="s">
        <v>58</v>
      </c>
      <c r="D1173" t="s">
        <v>1515</v>
      </c>
      <c r="E1173" t="s">
        <v>63</v>
      </c>
    </row>
    <row r="1174" spans="1:5" x14ac:dyDescent="0.2">
      <c r="A1174" s="269">
        <v>45910.430254629631</v>
      </c>
      <c r="B1174" t="s">
        <v>1431</v>
      </c>
      <c r="C1174" t="s">
        <v>58</v>
      </c>
      <c r="D1174" t="s">
        <v>1516</v>
      </c>
      <c r="E1174" t="s">
        <v>407</v>
      </c>
    </row>
    <row r="1175" spans="1:5" x14ac:dyDescent="0.2">
      <c r="A1175" s="269">
        <v>45910.430694444447</v>
      </c>
      <c r="B1175" t="s">
        <v>1431</v>
      </c>
      <c r="C1175" t="s">
        <v>58</v>
      </c>
      <c r="D1175" t="s">
        <v>1517</v>
      </c>
      <c r="E1175">
        <v>563.22</v>
      </c>
    </row>
    <row r="1176" spans="1:5" x14ac:dyDescent="0.2">
      <c r="A1176" s="269">
        <v>45910.430775462963</v>
      </c>
      <c r="B1176" t="s">
        <v>1431</v>
      </c>
      <c r="C1176" t="s">
        <v>58</v>
      </c>
      <c r="D1176" t="s">
        <v>1518</v>
      </c>
      <c r="E1176" t="s">
        <v>365</v>
      </c>
    </row>
    <row r="1177" spans="1:5" x14ac:dyDescent="0.2">
      <c r="A1177" s="269">
        <v>45910.430821759262</v>
      </c>
      <c r="B1177" t="s">
        <v>1431</v>
      </c>
      <c r="C1177" t="s">
        <v>58</v>
      </c>
      <c r="D1177" t="s">
        <v>1519</v>
      </c>
      <c r="E1177" t="s">
        <v>63</v>
      </c>
    </row>
    <row r="1178" spans="1:5" x14ac:dyDescent="0.2">
      <c r="A1178" s="269">
        <v>45910.430868055555</v>
      </c>
      <c r="B1178" t="s">
        <v>1431</v>
      </c>
      <c r="C1178" t="s">
        <v>58</v>
      </c>
      <c r="D1178" t="s">
        <v>1520</v>
      </c>
      <c r="E1178" t="s">
        <v>407</v>
      </c>
    </row>
    <row r="1179" spans="1:5" x14ac:dyDescent="0.2">
      <c r="A1179" s="269">
        <v>45910.431168981479</v>
      </c>
      <c r="B1179" t="s">
        <v>1431</v>
      </c>
      <c r="C1179" t="s">
        <v>58</v>
      </c>
      <c r="D1179" t="s">
        <v>1521</v>
      </c>
      <c r="E1179">
        <v>242.9</v>
      </c>
    </row>
    <row r="1180" spans="1:5" x14ac:dyDescent="0.2">
      <c r="A1180" s="269">
        <v>45910.432268518518</v>
      </c>
      <c r="B1180" t="s">
        <v>1431</v>
      </c>
      <c r="C1180" t="s">
        <v>58</v>
      </c>
      <c r="D1180" t="s">
        <v>1432</v>
      </c>
      <c r="E1180" t="s">
        <v>1522</v>
      </c>
    </row>
    <row r="1181" spans="1:5" x14ac:dyDescent="0.2">
      <c r="A1181" s="269">
        <v>45910.443032407406</v>
      </c>
      <c r="B1181" t="s">
        <v>1431</v>
      </c>
      <c r="C1181" t="s">
        <v>58</v>
      </c>
      <c r="D1181" t="s">
        <v>1483</v>
      </c>
      <c r="E1181">
        <v>625.70000000000005</v>
      </c>
    </row>
    <row r="1182" spans="1:5" x14ac:dyDescent="0.2">
      <c r="A1182" s="269">
        <v>45910.443831018521</v>
      </c>
      <c r="B1182" t="s">
        <v>1431</v>
      </c>
      <c r="C1182" t="s">
        <v>58</v>
      </c>
      <c r="D1182" t="s">
        <v>1455</v>
      </c>
    </row>
    <row r="1183" spans="1:5" x14ac:dyDescent="0.2">
      <c r="A1183" s="269">
        <v>45910.443912037037</v>
      </c>
      <c r="B1183" t="s">
        <v>1431</v>
      </c>
      <c r="C1183" t="s">
        <v>58</v>
      </c>
      <c r="D1183" t="s">
        <v>1455</v>
      </c>
      <c r="E1183">
        <v>166.79</v>
      </c>
    </row>
    <row r="1184" spans="1:5" x14ac:dyDescent="0.2">
      <c r="A1184" s="269">
        <v>45910.444745370369</v>
      </c>
      <c r="B1184" t="s">
        <v>1431</v>
      </c>
      <c r="C1184" t="s">
        <v>58</v>
      </c>
      <c r="D1184" t="s">
        <v>677</v>
      </c>
      <c r="E1184" t="s">
        <v>365</v>
      </c>
    </row>
    <row r="1185" spans="1:5" x14ac:dyDescent="0.2">
      <c r="A1185" s="269">
        <v>45910.445104166669</v>
      </c>
      <c r="B1185" t="s">
        <v>1431</v>
      </c>
      <c r="C1185" t="s">
        <v>58</v>
      </c>
      <c r="D1185" t="s">
        <v>1523</v>
      </c>
    </row>
    <row r="1186" spans="1:5" x14ac:dyDescent="0.2">
      <c r="A1186" s="269">
        <v>45910.445138888892</v>
      </c>
      <c r="B1186" t="s">
        <v>1431</v>
      </c>
      <c r="C1186" t="s">
        <v>58</v>
      </c>
      <c r="D1186" t="s">
        <v>1524</v>
      </c>
    </row>
    <row r="1187" spans="1:5" x14ac:dyDescent="0.2">
      <c r="A1187" s="269">
        <v>45910.445162037038</v>
      </c>
      <c r="B1187" t="s">
        <v>1431</v>
      </c>
      <c r="C1187" t="s">
        <v>58</v>
      </c>
      <c r="D1187" t="s">
        <v>1521</v>
      </c>
    </row>
    <row r="1188" spans="1:5" x14ac:dyDescent="0.2">
      <c r="A1188" s="269">
        <v>45910.445347222223</v>
      </c>
      <c r="B1188" t="s">
        <v>1431</v>
      </c>
      <c r="C1188" t="s">
        <v>58</v>
      </c>
      <c r="D1188" t="s">
        <v>676</v>
      </c>
      <c r="E1188" t="s">
        <v>343</v>
      </c>
    </row>
    <row r="1189" spans="1:5" x14ac:dyDescent="0.2">
      <c r="A1189" s="269">
        <v>45910.445381944446</v>
      </c>
      <c r="B1189" t="s">
        <v>1431</v>
      </c>
      <c r="C1189" t="s">
        <v>58</v>
      </c>
      <c r="D1189" t="s">
        <v>1473</v>
      </c>
      <c r="E1189" t="s">
        <v>63</v>
      </c>
    </row>
    <row r="1190" spans="1:5" x14ac:dyDescent="0.2">
      <c r="A1190" s="269">
        <v>45910.445428240739</v>
      </c>
      <c r="B1190" t="s">
        <v>1431</v>
      </c>
      <c r="C1190" t="s">
        <v>58</v>
      </c>
      <c r="D1190" t="s">
        <v>1448</v>
      </c>
      <c r="E1190" t="s">
        <v>390</v>
      </c>
    </row>
    <row r="1191" spans="1:5" x14ac:dyDescent="0.2">
      <c r="A1191" s="269">
        <v>45910.445509259262</v>
      </c>
      <c r="B1191" t="s">
        <v>1431</v>
      </c>
      <c r="C1191" t="s">
        <v>58</v>
      </c>
      <c r="D1191" t="s">
        <v>1458</v>
      </c>
      <c r="E1191">
        <v>51.9</v>
      </c>
    </row>
    <row r="1192" spans="1:5" x14ac:dyDescent="0.2">
      <c r="A1192" s="269">
        <v>45910.445555555554</v>
      </c>
      <c r="B1192" t="s">
        <v>1431</v>
      </c>
      <c r="C1192" t="s">
        <v>58</v>
      </c>
      <c r="D1192" t="s">
        <v>677</v>
      </c>
      <c r="E1192" t="s">
        <v>365</v>
      </c>
    </row>
    <row r="1193" spans="1:5" x14ac:dyDescent="0.2">
      <c r="A1193" s="269">
        <v>45910.445601851854</v>
      </c>
      <c r="B1193" t="s">
        <v>1431</v>
      </c>
      <c r="C1193" t="s">
        <v>58</v>
      </c>
      <c r="D1193" t="s">
        <v>1484</v>
      </c>
      <c r="E1193" t="s">
        <v>63</v>
      </c>
    </row>
    <row r="1194" spans="1:5" x14ac:dyDescent="0.2">
      <c r="A1194" s="269">
        <v>45910.445636574077</v>
      </c>
      <c r="B1194" t="s">
        <v>1431</v>
      </c>
      <c r="C1194" t="s">
        <v>58</v>
      </c>
      <c r="D1194" t="s">
        <v>1485</v>
      </c>
      <c r="E1194" t="s">
        <v>390</v>
      </c>
    </row>
    <row r="1195" spans="1:5" x14ac:dyDescent="0.2">
      <c r="A1195" s="269">
        <v>45910.445752314816</v>
      </c>
      <c r="B1195" t="s">
        <v>1431</v>
      </c>
      <c r="C1195" t="s">
        <v>58</v>
      </c>
      <c r="D1195" t="s">
        <v>1486</v>
      </c>
      <c r="E1195">
        <v>406.92</v>
      </c>
    </row>
    <row r="1196" spans="1:5" x14ac:dyDescent="0.2">
      <c r="A1196" s="269">
        <v>45910.445821759262</v>
      </c>
      <c r="B1196" t="s">
        <v>1431</v>
      </c>
      <c r="C1196" t="s">
        <v>58</v>
      </c>
      <c r="D1196" t="s">
        <v>678</v>
      </c>
      <c r="E1196" t="s">
        <v>343</v>
      </c>
    </row>
    <row r="1197" spans="1:5" x14ac:dyDescent="0.2">
      <c r="A1197" s="269">
        <v>45910.445856481485</v>
      </c>
      <c r="B1197" t="s">
        <v>1431</v>
      </c>
      <c r="C1197" t="s">
        <v>58</v>
      </c>
      <c r="D1197" t="s">
        <v>1487</v>
      </c>
      <c r="E1197" t="s">
        <v>63</v>
      </c>
    </row>
    <row r="1198" spans="1:5" x14ac:dyDescent="0.2">
      <c r="A1198" s="269">
        <v>45910.445914351854</v>
      </c>
      <c r="B1198" t="s">
        <v>1431</v>
      </c>
      <c r="C1198" t="s">
        <v>58</v>
      </c>
      <c r="D1198" t="s">
        <v>1488</v>
      </c>
      <c r="E1198" t="s">
        <v>41</v>
      </c>
    </row>
    <row r="1199" spans="1:5" x14ac:dyDescent="0.2">
      <c r="A1199" s="269">
        <v>45910.44604166667</v>
      </c>
      <c r="B1199" t="s">
        <v>1431</v>
      </c>
      <c r="C1199" t="s">
        <v>58</v>
      </c>
      <c r="D1199" t="s">
        <v>1489</v>
      </c>
      <c r="E1199">
        <v>0</v>
      </c>
    </row>
    <row r="1200" spans="1:5" x14ac:dyDescent="0.2">
      <c r="A1200" s="269">
        <v>45910.446122685185</v>
      </c>
      <c r="B1200" t="s">
        <v>1431</v>
      </c>
      <c r="C1200" t="s">
        <v>58</v>
      </c>
      <c r="D1200" t="s">
        <v>1490</v>
      </c>
      <c r="E1200" t="s">
        <v>365</v>
      </c>
    </row>
    <row r="1201" spans="1:5" x14ac:dyDescent="0.2">
      <c r="A1201" s="269">
        <v>45910.446168981478</v>
      </c>
      <c r="B1201" t="s">
        <v>1431</v>
      </c>
      <c r="C1201" t="s">
        <v>58</v>
      </c>
      <c r="D1201" t="s">
        <v>1491</v>
      </c>
      <c r="E1201" t="s">
        <v>63</v>
      </c>
    </row>
    <row r="1202" spans="1:5" x14ac:dyDescent="0.2">
      <c r="A1202" s="269">
        <v>45910.446215277778</v>
      </c>
      <c r="B1202" t="s">
        <v>1431</v>
      </c>
      <c r="C1202" t="s">
        <v>58</v>
      </c>
      <c r="D1202" t="s">
        <v>1492</v>
      </c>
      <c r="E1202" t="s">
        <v>41</v>
      </c>
    </row>
    <row r="1203" spans="1:5" x14ac:dyDescent="0.2">
      <c r="A1203" s="269">
        <v>45910.446377314816</v>
      </c>
      <c r="B1203" t="s">
        <v>1431</v>
      </c>
      <c r="C1203" t="s">
        <v>58</v>
      </c>
      <c r="D1203" t="s">
        <v>1493</v>
      </c>
      <c r="E1203">
        <v>321.41000000000003</v>
      </c>
    </row>
    <row r="1204" spans="1:5" x14ac:dyDescent="0.2">
      <c r="A1204" s="269">
        <v>45910.446435185186</v>
      </c>
      <c r="B1204" t="s">
        <v>1431</v>
      </c>
      <c r="C1204" t="s">
        <v>58</v>
      </c>
      <c r="D1204" t="s">
        <v>1494</v>
      </c>
      <c r="E1204" t="s">
        <v>343</v>
      </c>
    </row>
    <row r="1205" spans="1:5" x14ac:dyDescent="0.2">
      <c r="A1205" s="269">
        <v>45910.446481481478</v>
      </c>
      <c r="B1205" t="s">
        <v>1431</v>
      </c>
      <c r="C1205" t="s">
        <v>58</v>
      </c>
      <c r="D1205" t="s">
        <v>1495</v>
      </c>
      <c r="E1205" t="s">
        <v>63</v>
      </c>
    </row>
    <row r="1206" spans="1:5" x14ac:dyDescent="0.2">
      <c r="A1206" s="269">
        <v>45910.446527777778</v>
      </c>
      <c r="B1206" t="s">
        <v>1431</v>
      </c>
      <c r="C1206" t="s">
        <v>58</v>
      </c>
      <c r="D1206" t="s">
        <v>1496</v>
      </c>
      <c r="E1206" t="s">
        <v>397</v>
      </c>
    </row>
    <row r="1207" spans="1:5" x14ac:dyDescent="0.2">
      <c r="A1207" s="269">
        <v>45910.44672453704</v>
      </c>
      <c r="B1207" t="s">
        <v>1431</v>
      </c>
      <c r="C1207" t="s">
        <v>58</v>
      </c>
      <c r="D1207" t="s">
        <v>1497</v>
      </c>
      <c r="E1207">
        <v>265.16000000000003</v>
      </c>
    </row>
    <row r="1208" spans="1:5" x14ac:dyDescent="0.2">
      <c r="A1208" s="269">
        <v>45910.446782407409</v>
      </c>
      <c r="B1208" t="s">
        <v>1431</v>
      </c>
      <c r="C1208" t="s">
        <v>58</v>
      </c>
      <c r="D1208" t="s">
        <v>1498</v>
      </c>
      <c r="E1208" t="s">
        <v>365</v>
      </c>
    </row>
    <row r="1209" spans="1:5" x14ac:dyDescent="0.2">
      <c r="A1209" s="269">
        <v>45910.446817129632</v>
      </c>
      <c r="B1209" t="s">
        <v>1431</v>
      </c>
      <c r="C1209" t="s">
        <v>58</v>
      </c>
      <c r="D1209" t="s">
        <v>1499</v>
      </c>
      <c r="E1209" t="s">
        <v>63</v>
      </c>
    </row>
    <row r="1210" spans="1:5" x14ac:dyDescent="0.2">
      <c r="A1210" s="269">
        <v>45910.446863425925</v>
      </c>
      <c r="B1210" t="s">
        <v>1431</v>
      </c>
      <c r="C1210" t="s">
        <v>58</v>
      </c>
      <c r="D1210" t="s">
        <v>1500</v>
      </c>
      <c r="E1210" t="s">
        <v>397</v>
      </c>
    </row>
    <row r="1211" spans="1:5" x14ac:dyDescent="0.2">
      <c r="A1211" s="269">
        <v>45910.44730324074</v>
      </c>
      <c r="B1211" t="s">
        <v>1431</v>
      </c>
      <c r="C1211" t="s">
        <v>58</v>
      </c>
      <c r="D1211" t="s">
        <v>1501</v>
      </c>
      <c r="E1211">
        <v>441.82</v>
      </c>
    </row>
    <row r="1212" spans="1:5" x14ac:dyDescent="0.2">
      <c r="A1212" s="269">
        <v>45910.44736111111</v>
      </c>
      <c r="B1212" t="s">
        <v>1431</v>
      </c>
      <c r="C1212" t="s">
        <v>58</v>
      </c>
      <c r="D1212" t="s">
        <v>1502</v>
      </c>
      <c r="E1212" t="s">
        <v>343</v>
      </c>
    </row>
    <row r="1213" spans="1:5" x14ac:dyDescent="0.2">
      <c r="A1213" s="269">
        <v>45910.447395833333</v>
      </c>
      <c r="B1213" t="s">
        <v>1431</v>
      </c>
      <c r="C1213" t="s">
        <v>58</v>
      </c>
      <c r="D1213" t="s">
        <v>1503</v>
      </c>
      <c r="E1213" t="s">
        <v>63</v>
      </c>
    </row>
    <row r="1214" spans="1:5" x14ac:dyDescent="0.2">
      <c r="A1214" s="269">
        <v>45910.447430555556</v>
      </c>
      <c r="B1214" t="s">
        <v>1431</v>
      </c>
      <c r="C1214" t="s">
        <v>58</v>
      </c>
      <c r="D1214" t="s">
        <v>1504</v>
      </c>
      <c r="E1214" t="s">
        <v>400</v>
      </c>
    </row>
    <row r="1215" spans="1:5" x14ac:dyDescent="0.2">
      <c r="A1215" s="269">
        <v>45910.447569444441</v>
      </c>
      <c r="B1215" t="s">
        <v>1431</v>
      </c>
      <c r="C1215" t="s">
        <v>58</v>
      </c>
      <c r="D1215" t="s">
        <v>1505</v>
      </c>
      <c r="E1215">
        <v>59.49</v>
      </c>
    </row>
    <row r="1216" spans="1:5" x14ac:dyDescent="0.2">
      <c r="A1216" s="269">
        <v>45910.447627314818</v>
      </c>
      <c r="B1216" t="s">
        <v>1431</v>
      </c>
      <c r="C1216" t="s">
        <v>58</v>
      </c>
      <c r="D1216" t="s">
        <v>1506</v>
      </c>
      <c r="E1216" t="s">
        <v>365</v>
      </c>
    </row>
    <row r="1217" spans="1:5" x14ac:dyDescent="0.2">
      <c r="A1217" s="269">
        <v>45910.447662037041</v>
      </c>
      <c r="B1217" t="s">
        <v>1431</v>
      </c>
      <c r="C1217" t="s">
        <v>58</v>
      </c>
      <c r="D1217" t="s">
        <v>1507</v>
      </c>
      <c r="E1217" t="s">
        <v>63</v>
      </c>
    </row>
    <row r="1218" spans="1:5" x14ac:dyDescent="0.2">
      <c r="A1218" s="269">
        <v>45910.447696759256</v>
      </c>
      <c r="B1218" t="s">
        <v>1431</v>
      </c>
      <c r="C1218" t="s">
        <v>58</v>
      </c>
      <c r="D1218" t="s">
        <v>1508</v>
      </c>
      <c r="E1218" t="s">
        <v>400</v>
      </c>
    </row>
    <row r="1219" spans="1:5" x14ac:dyDescent="0.2">
      <c r="A1219" s="269">
        <v>45910.447824074072</v>
      </c>
      <c r="B1219" t="s">
        <v>1431</v>
      </c>
      <c r="C1219" t="s">
        <v>58</v>
      </c>
      <c r="D1219" t="s">
        <v>1509</v>
      </c>
      <c r="E1219">
        <v>351.02</v>
      </c>
    </row>
    <row r="1220" spans="1:5" x14ac:dyDescent="0.2">
      <c r="A1220" s="269">
        <v>45910.447881944441</v>
      </c>
      <c r="B1220" t="s">
        <v>1431</v>
      </c>
      <c r="C1220" t="s">
        <v>58</v>
      </c>
      <c r="D1220" t="s">
        <v>1510</v>
      </c>
      <c r="E1220" t="s">
        <v>343</v>
      </c>
    </row>
    <row r="1221" spans="1:5" x14ac:dyDescent="0.2">
      <c r="A1221" s="269">
        <v>45910.447916666664</v>
      </c>
      <c r="B1221" t="s">
        <v>1431</v>
      </c>
      <c r="C1221" t="s">
        <v>58</v>
      </c>
      <c r="D1221" t="s">
        <v>1511</v>
      </c>
      <c r="E1221" t="s">
        <v>63</v>
      </c>
    </row>
    <row r="1222" spans="1:5" x14ac:dyDescent="0.2">
      <c r="A1222" s="269">
        <v>45910.447962962964</v>
      </c>
      <c r="B1222" t="s">
        <v>1431</v>
      </c>
      <c r="C1222" t="s">
        <v>58</v>
      </c>
      <c r="D1222" t="s">
        <v>1512</v>
      </c>
      <c r="E1222" t="s">
        <v>404</v>
      </c>
    </row>
    <row r="1223" spans="1:5" x14ac:dyDescent="0.2">
      <c r="A1223" s="269">
        <v>45910.448078703703</v>
      </c>
      <c r="B1223" t="s">
        <v>1431</v>
      </c>
      <c r="C1223" t="s">
        <v>58</v>
      </c>
      <c r="D1223" t="s">
        <v>1513</v>
      </c>
      <c r="E1223">
        <v>75.77</v>
      </c>
    </row>
    <row r="1224" spans="1:5" x14ac:dyDescent="0.2">
      <c r="A1224" s="269">
        <v>45910.448182870372</v>
      </c>
      <c r="B1224" t="s">
        <v>1431</v>
      </c>
      <c r="C1224" t="s">
        <v>58</v>
      </c>
      <c r="D1224" t="s">
        <v>1514</v>
      </c>
      <c r="E1224" t="s">
        <v>365</v>
      </c>
    </row>
    <row r="1225" spans="1:5" x14ac:dyDescent="0.2">
      <c r="A1225" s="269">
        <v>45910.448217592595</v>
      </c>
      <c r="B1225" t="s">
        <v>1431</v>
      </c>
      <c r="C1225" t="s">
        <v>58</v>
      </c>
      <c r="D1225" t="s">
        <v>1515</v>
      </c>
      <c r="E1225" t="s">
        <v>63</v>
      </c>
    </row>
    <row r="1226" spans="1:5" x14ac:dyDescent="0.2">
      <c r="A1226" s="269">
        <v>45910.448263888888</v>
      </c>
      <c r="B1226" t="s">
        <v>1431</v>
      </c>
      <c r="C1226" t="s">
        <v>58</v>
      </c>
      <c r="D1226" t="s">
        <v>1516</v>
      </c>
      <c r="E1226" t="s">
        <v>404</v>
      </c>
    </row>
    <row r="1227" spans="1:5" x14ac:dyDescent="0.2">
      <c r="A1227" s="269">
        <v>45910.448368055557</v>
      </c>
      <c r="B1227" t="s">
        <v>1431</v>
      </c>
      <c r="C1227" t="s">
        <v>58</v>
      </c>
      <c r="D1227" t="s">
        <v>1517</v>
      </c>
      <c r="E1227">
        <v>374.87</v>
      </c>
    </row>
    <row r="1228" spans="1:5" x14ac:dyDescent="0.2">
      <c r="A1228" s="269">
        <v>45910.448414351849</v>
      </c>
      <c r="B1228" t="s">
        <v>1431</v>
      </c>
      <c r="C1228" t="s">
        <v>58</v>
      </c>
      <c r="D1228" t="s">
        <v>1518</v>
      </c>
      <c r="E1228" t="s">
        <v>343</v>
      </c>
    </row>
    <row r="1229" spans="1:5" x14ac:dyDescent="0.2">
      <c r="A1229" s="269">
        <v>45910.448449074072</v>
      </c>
      <c r="B1229" t="s">
        <v>1431</v>
      </c>
      <c r="C1229" t="s">
        <v>58</v>
      </c>
      <c r="D1229" t="s">
        <v>1519</v>
      </c>
      <c r="E1229" t="s">
        <v>63</v>
      </c>
    </row>
    <row r="1230" spans="1:5" x14ac:dyDescent="0.2">
      <c r="A1230" s="269">
        <v>45910.448553240742</v>
      </c>
      <c r="B1230" t="s">
        <v>1431</v>
      </c>
      <c r="C1230" t="s">
        <v>58</v>
      </c>
      <c r="D1230" t="s">
        <v>1520</v>
      </c>
      <c r="E1230" t="s">
        <v>407</v>
      </c>
    </row>
    <row r="1231" spans="1:5" x14ac:dyDescent="0.2">
      <c r="A1231" s="269">
        <v>45910.44871527778</v>
      </c>
      <c r="B1231" t="s">
        <v>1431</v>
      </c>
      <c r="C1231" t="s">
        <v>58</v>
      </c>
      <c r="D1231" t="s">
        <v>1521</v>
      </c>
      <c r="E1231">
        <v>564.22</v>
      </c>
    </row>
    <row r="1232" spans="1:5" x14ac:dyDescent="0.2">
      <c r="A1232" s="269">
        <v>45910.448761574073</v>
      </c>
      <c r="B1232" t="s">
        <v>1431</v>
      </c>
      <c r="C1232" t="s">
        <v>58</v>
      </c>
      <c r="D1232" t="s">
        <v>1525</v>
      </c>
      <c r="E1232" t="s">
        <v>365</v>
      </c>
    </row>
    <row r="1233" spans="1:5" x14ac:dyDescent="0.2">
      <c r="A1233" s="269">
        <v>45910.448807870373</v>
      </c>
      <c r="B1233" t="s">
        <v>1431</v>
      </c>
      <c r="C1233" t="s">
        <v>58</v>
      </c>
      <c r="D1233" t="s">
        <v>1526</v>
      </c>
      <c r="E1233" t="s">
        <v>63</v>
      </c>
    </row>
    <row r="1234" spans="1:5" x14ac:dyDescent="0.2">
      <c r="A1234" s="269">
        <v>45910.448854166665</v>
      </c>
      <c r="B1234" t="s">
        <v>1431</v>
      </c>
      <c r="C1234" t="s">
        <v>58</v>
      </c>
      <c r="D1234" t="s">
        <v>1527</v>
      </c>
      <c r="E1234" t="s">
        <v>407</v>
      </c>
    </row>
    <row r="1235" spans="1:5" x14ac:dyDescent="0.2">
      <c r="A1235" s="269">
        <v>45910.449143518519</v>
      </c>
      <c r="B1235" t="s">
        <v>1431</v>
      </c>
      <c r="C1235" t="s">
        <v>58</v>
      </c>
      <c r="D1235" t="s">
        <v>1528</v>
      </c>
      <c r="E1235">
        <v>242.9</v>
      </c>
    </row>
    <row r="1236" spans="1:5" x14ac:dyDescent="0.2">
      <c r="A1236" s="269">
        <v>45910.449872685182</v>
      </c>
      <c r="B1236" t="s">
        <v>1431</v>
      </c>
      <c r="C1236" t="s">
        <v>58</v>
      </c>
      <c r="D1236" t="s">
        <v>1517</v>
      </c>
      <c r="E1236">
        <v>378.87</v>
      </c>
    </row>
    <row r="1237" spans="1:5" x14ac:dyDescent="0.2">
      <c r="A1237" s="269">
        <v>45910.450069444443</v>
      </c>
      <c r="B1237" t="s">
        <v>1431</v>
      </c>
      <c r="C1237" t="s">
        <v>58</v>
      </c>
      <c r="D1237" t="s">
        <v>1521</v>
      </c>
      <c r="E1237">
        <v>563.22</v>
      </c>
    </row>
    <row r="1238" spans="1:5" x14ac:dyDescent="0.2">
      <c r="A1238" s="269">
        <v>45910.465300925927</v>
      </c>
      <c r="B1238" t="s">
        <v>1431</v>
      </c>
      <c r="C1238" t="s">
        <v>58</v>
      </c>
      <c r="D1238" t="s">
        <v>1529</v>
      </c>
      <c r="E1238">
        <v>961</v>
      </c>
    </row>
    <row r="1239" spans="1:5" x14ac:dyDescent="0.2">
      <c r="A1239" s="269">
        <v>45910.465555555558</v>
      </c>
      <c r="B1239" t="s">
        <v>1431</v>
      </c>
      <c r="C1239" t="s">
        <v>58</v>
      </c>
      <c r="D1239" t="s">
        <v>974</v>
      </c>
      <c r="E1239">
        <v>1958</v>
      </c>
    </row>
    <row r="1240" spans="1:5" x14ac:dyDescent="0.2">
      <c r="A1240" s="269">
        <v>45910.465787037036</v>
      </c>
      <c r="B1240" t="s">
        <v>1431</v>
      </c>
      <c r="C1240" t="s">
        <v>58</v>
      </c>
      <c r="D1240" t="s">
        <v>1530</v>
      </c>
      <c r="E1240">
        <v>3233</v>
      </c>
    </row>
    <row r="1241" spans="1:5" x14ac:dyDescent="0.2">
      <c r="A1241" s="269">
        <v>45910.466006944444</v>
      </c>
      <c r="B1241" t="s">
        <v>1431</v>
      </c>
      <c r="C1241" t="s">
        <v>58</v>
      </c>
      <c r="D1241" t="s">
        <v>1531</v>
      </c>
      <c r="E1241">
        <v>4957</v>
      </c>
    </row>
    <row r="1242" spans="1:5" x14ac:dyDescent="0.2">
      <c r="A1242" s="269">
        <v>45910.466180555559</v>
      </c>
      <c r="B1242" t="s">
        <v>1431</v>
      </c>
      <c r="C1242" t="s">
        <v>58</v>
      </c>
      <c r="D1242" t="s">
        <v>668</v>
      </c>
      <c r="E1242">
        <v>1859</v>
      </c>
    </row>
    <row r="1243" spans="1:5" x14ac:dyDescent="0.2">
      <c r="A1243" s="269">
        <v>45910.466400462959</v>
      </c>
      <c r="B1243" t="s">
        <v>1431</v>
      </c>
      <c r="C1243" t="s">
        <v>58</v>
      </c>
      <c r="D1243" t="s">
        <v>1532</v>
      </c>
      <c r="E1243">
        <v>4459</v>
      </c>
    </row>
    <row r="1244" spans="1:5" x14ac:dyDescent="0.2">
      <c r="A1244" s="269">
        <v>45910.466574074075</v>
      </c>
      <c r="B1244" t="s">
        <v>1431</v>
      </c>
      <c r="C1244" t="s">
        <v>58</v>
      </c>
      <c r="D1244" t="s">
        <v>1533</v>
      </c>
      <c r="E1244">
        <v>3571</v>
      </c>
    </row>
    <row r="1245" spans="1:5" x14ac:dyDescent="0.2">
      <c r="A1245" s="269">
        <v>45910.466770833336</v>
      </c>
      <c r="B1245" t="s">
        <v>1431</v>
      </c>
      <c r="C1245" t="s">
        <v>58</v>
      </c>
      <c r="D1245" t="s">
        <v>1534</v>
      </c>
      <c r="E1245">
        <v>3386</v>
      </c>
    </row>
    <row r="1246" spans="1:5" x14ac:dyDescent="0.2">
      <c r="A1246" s="269">
        <v>45910.466921296298</v>
      </c>
      <c r="B1246" t="s">
        <v>1431</v>
      </c>
      <c r="C1246" t="s">
        <v>58</v>
      </c>
      <c r="D1246" t="s">
        <v>1535</v>
      </c>
      <c r="E1246">
        <v>4403</v>
      </c>
    </row>
    <row r="1247" spans="1:5" x14ac:dyDescent="0.2">
      <c r="A1247" s="269">
        <v>45910.46707175926</v>
      </c>
      <c r="B1247" t="s">
        <v>1431</v>
      </c>
      <c r="C1247" t="s">
        <v>58</v>
      </c>
      <c r="D1247" t="s">
        <v>1536</v>
      </c>
      <c r="E1247">
        <v>3680</v>
      </c>
    </row>
    <row r="1248" spans="1:5" x14ac:dyDescent="0.2">
      <c r="A1248" s="269">
        <v>45910.467164351852</v>
      </c>
      <c r="B1248" t="s">
        <v>1431</v>
      </c>
      <c r="C1248" t="s">
        <v>58</v>
      </c>
      <c r="D1248" t="s">
        <v>1537</v>
      </c>
      <c r="E1248">
        <v>3799</v>
      </c>
    </row>
    <row r="1249" spans="1:5" x14ac:dyDescent="0.2">
      <c r="A1249" s="269">
        <v>45910.467326388891</v>
      </c>
      <c r="B1249" t="s">
        <v>1431</v>
      </c>
      <c r="C1249" t="s">
        <v>58</v>
      </c>
      <c r="D1249" t="s">
        <v>1538</v>
      </c>
      <c r="E1249">
        <v>2874</v>
      </c>
    </row>
    <row r="1250" spans="1:5" x14ac:dyDescent="0.2">
      <c r="A1250" s="269">
        <v>45910.46943287037</v>
      </c>
      <c r="B1250" t="s">
        <v>1431</v>
      </c>
      <c r="C1250" t="s">
        <v>58</v>
      </c>
      <c r="D1250" t="s">
        <v>1539</v>
      </c>
    </row>
    <row r="1251" spans="1:5" x14ac:dyDescent="0.2">
      <c r="A1251" s="269">
        <v>45910.46947916667</v>
      </c>
      <c r="B1251" t="s">
        <v>1431</v>
      </c>
      <c r="C1251" t="s">
        <v>58</v>
      </c>
      <c r="D1251" t="s">
        <v>1540</v>
      </c>
    </row>
    <row r="1252" spans="1:5" x14ac:dyDescent="0.2">
      <c r="A1252" s="269">
        <v>45910.469525462962</v>
      </c>
      <c r="B1252" t="s">
        <v>1431</v>
      </c>
      <c r="C1252" t="s">
        <v>58</v>
      </c>
      <c r="D1252" t="s">
        <v>1541</v>
      </c>
    </row>
    <row r="1253" spans="1:5" x14ac:dyDescent="0.2">
      <c r="A1253" s="269">
        <v>45910.469548611109</v>
      </c>
      <c r="B1253" t="s">
        <v>1431</v>
      </c>
      <c r="C1253" t="s">
        <v>58</v>
      </c>
      <c r="D1253" t="s">
        <v>1542</v>
      </c>
    </row>
    <row r="1254" spans="1:5" x14ac:dyDescent="0.2">
      <c r="A1254" s="269">
        <v>45910.469583333332</v>
      </c>
      <c r="B1254" t="s">
        <v>1431</v>
      </c>
      <c r="C1254" t="s">
        <v>58</v>
      </c>
      <c r="D1254" t="s">
        <v>1543</v>
      </c>
    </row>
    <row r="1255" spans="1:5" x14ac:dyDescent="0.2">
      <c r="A1255" s="269">
        <v>45910.469594907408</v>
      </c>
      <c r="B1255" t="s">
        <v>1431</v>
      </c>
      <c r="C1255" t="s">
        <v>58</v>
      </c>
      <c r="D1255" t="s">
        <v>1544</v>
      </c>
    </row>
    <row r="1256" spans="1:5" x14ac:dyDescent="0.2">
      <c r="A1256" s="269">
        <v>45910.469618055555</v>
      </c>
      <c r="B1256" t="s">
        <v>1431</v>
      </c>
      <c r="C1256" t="s">
        <v>58</v>
      </c>
      <c r="D1256" t="s">
        <v>1545</v>
      </c>
    </row>
    <row r="1257" spans="1:5" x14ac:dyDescent="0.2">
      <c r="A1257" s="269">
        <v>45910.469629629632</v>
      </c>
      <c r="B1257" t="s">
        <v>1431</v>
      </c>
      <c r="C1257" t="s">
        <v>58</v>
      </c>
      <c r="D1257" t="s">
        <v>1546</v>
      </c>
    </row>
    <row r="1258" spans="1:5" x14ac:dyDescent="0.2">
      <c r="A1258" s="269">
        <v>45910.469652777778</v>
      </c>
      <c r="B1258" t="s">
        <v>1431</v>
      </c>
      <c r="C1258" t="s">
        <v>58</v>
      </c>
      <c r="D1258" t="s">
        <v>1546</v>
      </c>
    </row>
    <row r="1259" spans="1:5" x14ac:dyDescent="0.2">
      <c r="A1259" s="269">
        <v>45910.469675925924</v>
      </c>
      <c r="B1259" t="s">
        <v>1431</v>
      </c>
      <c r="C1259" t="s">
        <v>58</v>
      </c>
      <c r="D1259" t="s">
        <v>1517</v>
      </c>
    </row>
    <row r="1260" spans="1:5" x14ac:dyDescent="0.2">
      <c r="A1260" s="269">
        <v>45910.46974537037</v>
      </c>
      <c r="B1260" t="s">
        <v>1431</v>
      </c>
      <c r="C1260" t="s">
        <v>58</v>
      </c>
      <c r="D1260" t="s">
        <v>1547</v>
      </c>
    </row>
    <row r="1261" spans="1:5" x14ac:dyDescent="0.2">
      <c r="A1261" s="269">
        <v>45910.469814814816</v>
      </c>
      <c r="B1261" t="s">
        <v>1431</v>
      </c>
      <c r="C1261" t="s">
        <v>58</v>
      </c>
      <c r="D1261" t="s">
        <v>1510</v>
      </c>
    </row>
    <row r="1262" spans="1:5" x14ac:dyDescent="0.2">
      <c r="A1262" s="269">
        <v>45910.469849537039</v>
      </c>
      <c r="B1262" t="s">
        <v>1431</v>
      </c>
      <c r="C1262" t="s">
        <v>58</v>
      </c>
      <c r="D1262" t="s">
        <v>1548</v>
      </c>
    </row>
    <row r="1263" spans="1:5" x14ac:dyDescent="0.2">
      <c r="A1263" s="269">
        <v>45910.469872685186</v>
      </c>
      <c r="B1263" t="s">
        <v>1431</v>
      </c>
      <c r="C1263" t="s">
        <v>58</v>
      </c>
      <c r="D1263" t="s">
        <v>1549</v>
      </c>
    </row>
    <row r="1264" spans="1:5" x14ac:dyDescent="0.2">
      <c r="A1264" s="269">
        <v>45910.469930555555</v>
      </c>
      <c r="B1264" t="s">
        <v>1431</v>
      </c>
      <c r="C1264" t="s">
        <v>58</v>
      </c>
      <c r="D1264" t="s">
        <v>1550</v>
      </c>
    </row>
    <row r="1265" spans="1:5" x14ac:dyDescent="0.2">
      <c r="A1265" s="269">
        <v>45910.469965277778</v>
      </c>
      <c r="B1265" t="s">
        <v>1431</v>
      </c>
      <c r="C1265" t="s">
        <v>58</v>
      </c>
      <c r="D1265" t="s">
        <v>1550</v>
      </c>
    </row>
    <row r="1266" spans="1:5" x14ac:dyDescent="0.2">
      <c r="A1266" s="269">
        <v>45910.469976851855</v>
      </c>
      <c r="B1266" t="s">
        <v>1431</v>
      </c>
      <c r="C1266" t="s">
        <v>58</v>
      </c>
      <c r="D1266" t="s">
        <v>1514</v>
      </c>
    </row>
    <row r="1267" spans="1:5" x14ac:dyDescent="0.2">
      <c r="A1267" s="269">
        <v>45910.470104166663</v>
      </c>
      <c r="B1267" t="s">
        <v>1431</v>
      </c>
      <c r="C1267" t="s">
        <v>58</v>
      </c>
      <c r="D1267" t="s">
        <v>951</v>
      </c>
      <c r="E1267" t="s">
        <v>338</v>
      </c>
    </row>
    <row r="1268" spans="1:5" x14ac:dyDescent="0.2">
      <c r="A1268" s="269">
        <v>45910.470324074071</v>
      </c>
      <c r="B1268" t="s">
        <v>1431</v>
      </c>
      <c r="C1268" t="s">
        <v>58</v>
      </c>
      <c r="D1268" t="s">
        <v>1483</v>
      </c>
      <c r="E1268">
        <v>187</v>
      </c>
    </row>
    <row r="1269" spans="1:5" x14ac:dyDescent="0.2">
      <c r="A1269" s="269">
        <v>45910.470509259256</v>
      </c>
      <c r="B1269" t="s">
        <v>1431</v>
      </c>
      <c r="C1269" t="s">
        <v>58</v>
      </c>
      <c r="D1269" t="s">
        <v>960</v>
      </c>
      <c r="E1269" t="s">
        <v>1551</v>
      </c>
    </row>
    <row r="1270" spans="1:5" x14ac:dyDescent="0.2">
      <c r="A1270" s="269">
        <v>45910.471331018518</v>
      </c>
      <c r="B1270" t="s">
        <v>1431</v>
      </c>
      <c r="C1270" t="s">
        <v>58</v>
      </c>
      <c r="D1270" t="s">
        <v>983</v>
      </c>
      <c r="E1270" t="s">
        <v>89</v>
      </c>
    </row>
    <row r="1271" spans="1:5" x14ac:dyDescent="0.2">
      <c r="A1271" s="269">
        <v>45910.471412037034</v>
      </c>
      <c r="B1271" t="s">
        <v>1431</v>
      </c>
      <c r="C1271" t="s">
        <v>58</v>
      </c>
      <c r="D1271" t="s">
        <v>937</v>
      </c>
      <c r="E1271">
        <v>0</v>
      </c>
    </row>
    <row r="1272" spans="1:5" x14ac:dyDescent="0.2">
      <c r="A1272" s="269">
        <v>45910.47146990741</v>
      </c>
      <c r="B1272" t="s">
        <v>1431</v>
      </c>
      <c r="C1272" t="s">
        <v>58</v>
      </c>
      <c r="D1272" t="s">
        <v>1066</v>
      </c>
      <c r="E1272" t="s">
        <v>362</v>
      </c>
    </row>
    <row r="1273" spans="1:5" x14ac:dyDescent="0.2">
      <c r="A1273" s="269">
        <v>45910.471550925926</v>
      </c>
      <c r="B1273" t="s">
        <v>1431</v>
      </c>
      <c r="C1273" t="s">
        <v>58</v>
      </c>
      <c r="D1273" t="s">
        <v>926</v>
      </c>
      <c r="E1273">
        <v>0</v>
      </c>
    </row>
    <row r="1274" spans="1:5" x14ac:dyDescent="0.2">
      <c r="A1274" s="269">
        <v>45910.471631944441</v>
      </c>
      <c r="B1274" t="s">
        <v>1431</v>
      </c>
      <c r="C1274" t="s">
        <v>58</v>
      </c>
      <c r="D1274" t="s">
        <v>994</v>
      </c>
      <c r="E1274" t="s">
        <v>371</v>
      </c>
    </row>
    <row r="1275" spans="1:5" x14ac:dyDescent="0.2">
      <c r="A1275" s="269">
        <v>45910.471747685187</v>
      </c>
      <c r="B1275" t="s">
        <v>1431</v>
      </c>
      <c r="C1275" t="s">
        <v>58</v>
      </c>
      <c r="D1275" t="s">
        <v>874</v>
      </c>
      <c r="E1275">
        <v>16.18</v>
      </c>
    </row>
    <row r="1276" spans="1:5" x14ac:dyDescent="0.2">
      <c r="A1276" s="269">
        <v>45910.471828703703</v>
      </c>
      <c r="B1276" t="s">
        <v>1431</v>
      </c>
      <c r="C1276" t="s">
        <v>58</v>
      </c>
      <c r="D1276" t="s">
        <v>1015</v>
      </c>
      <c r="E1276" t="s">
        <v>379</v>
      </c>
    </row>
    <row r="1277" spans="1:5" x14ac:dyDescent="0.2">
      <c r="A1277" s="269">
        <v>45910.471886574072</v>
      </c>
      <c r="B1277" t="s">
        <v>1431</v>
      </c>
      <c r="C1277" t="s">
        <v>58</v>
      </c>
      <c r="D1277" t="s">
        <v>1450</v>
      </c>
      <c r="E1277">
        <v>0</v>
      </c>
    </row>
    <row r="1278" spans="1:5" x14ac:dyDescent="0.2">
      <c r="A1278" s="269">
        <v>45910.471979166665</v>
      </c>
      <c r="B1278" t="s">
        <v>1431</v>
      </c>
      <c r="C1278" t="s">
        <v>58</v>
      </c>
      <c r="D1278" t="s">
        <v>1018</v>
      </c>
      <c r="E1278" t="s">
        <v>386</v>
      </c>
    </row>
    <row r="1279" spans="1:5" x14ac:dyDescent="0.2">
      <c r="A1279" s="269">
        <v>45910.472233796296</v>
      </c>
      <c r="B1279" t="s">
        <v>1431</v>
      </c>
      <c r="C1279" t="s">
        <v>58</v>
      </c>
      <c r="D1279" t="s">
        <v>1451</v>
      </c>
      <c r="E1279">
        <v>0</v>
      </c>
    </row>
    <row r="1280" spans="1:5" x14ac:dyDescent="0.2">
      <c r="A1280" s="269">
        <v>45910.472268518519</v>
      </c>
      <c r="B1280" t="s">
        <v>1431</v>
      </c>
      <c r="C1280" t="s">
        <v>58</v>
      </c>
      <c r="D1280" t="s">
        <v>1068</v>
      </c>
      <c r="E1280" t="s">
        <v>390</v>
      </c>
    </row>
    <row r="1281" spans="1:5" x14ac:dyDescent="0.2">
      <c r="A1281" s="269">
        <v>45910.472372685188</v>
      </c>
      <c r="B1281" t="s">
        <v>1431</v>
      </c>
      <c r="C1281" t="s">
        <v>58</v>
      </c>
      <c r="D1281" t="s">
        <v>1452</v>
      </c>
      <c r="E1281">
        <v>17.02</v>
      </c>
    </row>
    <row r="1282" spans="1:5" x14ac:dyDescent="0.2">
      <c r="A1282" s="269">
        <v>45910.472407407404</v>
      </c>
      <c r="B1282" t="s">
        <v>1431</v>
      </c>
      <c r="C1282" t="s">
        <v>58</v>
      </c>
      <c r="D1282" t="s">
        <v>1069</v>
      </c>
      <c r="E1282" t="s">
        <v>41</v>
      </c>
    </row>
    <row r="1283" spans="1:5" x14ac:dyDescent="0.2">
      <c r="A1283" s="269">
        <v>45910.47247685185</v>
      </c>
      <c r="B1283" t="s">
        <v>1431</v>
      </c>
      <c r="C1283" t="s">
        <v>58</v>
      </c>
      <c r="D1283" t="s">
        <v>1453</v>
      </c>
      <c r="E1283">
        <v>0</v>
      </c>
    </row>
    <row r="1284" spans="1:5" x14ac:dyDescent="0.2">
      <c r="A1284" s="269">
        <v>45910.472546296296</v>
      </c>
      <c r="B1284" t="s">
        <v>1431</v>
      </c>
      <c r="C1284" t="s">
        <v>58</v>
      </c>
      <c r="D1284" t="s">
        <v>1438</v>
      </c>
      <c r="E1284" t="s">
        <v>397</v>
      </c>
    </row>
    <row r="1285" spans="1:5" x14ac:dyDescent="0.2">
      <c r="A1285" s="269">
        <v>45910.472592592596</v>
      </c>
      <c r="B1285" t="s">
        <v>1431</v>
      </c>
      <c r="C1285" t="s">
        <v>58</v>
      </c>
      <c r="D1285" t="s">
        <v>1454</v>
      </c>
      <c r="E1285">
        <v>0</v>
      </c>
    </row>
    <row r="1286" spans="1:5" x14ac:dyDescent="0.2">
      <c r="A1286" s="269">
        <v>45910.472743055558</v>
      </c>
      <c r="B1286" t="s">
        <v>1431</v>
      </c>
      <c r="C1286" t="s">
        <v>58</v>
      </c>
      <c r="D1286" t="s">
        <v>1443</v>
      </c>
      <c r="E1286" t="s">
        <v>400</v>
      </c>
    </row>
    <row r="1287" spans="1:5" x14ac:dyDescent="0.2">
      <c r="A1287" s="269">
        <v>45910.472824074073</v>
      </c>
      <c r="B1287" t="s">
        <v>1431</v>
      </c>
      <c r="C1287" t="s">
        <v>58</v>
      </c>
      <c r="D1287" t="s">
        <v>1455</v>
      </c>
      <c r="E1287">
        <v>0</v>
      </c>
    </row>
    <row r="1288" spans="1:5" x14ac:dyDescent="0.2">
      <c r="A1288" s="269">
        <v>45910.472858796296</v>
      </c>
      <c r="B1288" t="s">
        <v>1431</v>
      </c>
      <c r="C1288" t="s">
        <v>58</v>
      </c>
      <c r="D1288" t="s">
        <v>1444</v>
      </c>
      <c r="E1288" t="s">
        <v>404</v>
      </c>
    </row>
    <row r="1289" spans="1:5" x14ac:dyDescent="0.2">
      <c r="A1289" s="269">
        <v>45910.472928240742</v>
      </c>
      <c r="B1289" t="s">
        <v>1431</v>
      </c>
      <c r="C1289" t="s">
        <v>58</v>
      </c>
      <c r="D1289" t="s">
        <v>1456</v>
      </c>
      <c r="E1289">
        <v>0</v>
      </c>
    </row>
    <row r="1290" spans="1:5" x14ac:dyDescent="0.2">
      <c r="A1290" s="269">
        <v>45910.472997685189</v>
      </c>
      <c r="B1290" t="s">
        <v>1431</v>
      </c>
      <c r="C1290" t="s">
        <v>58</v>
      </c>
      <c r="D1290" t="s">
        <v>1446</v>
      </c>
      <c r="E1290" t="s">
        <v>407</v>
      </c>
    </row>
    <row r="1291" spans="1:5" x14ac:dyDescent="0.2">
      <c r="A1291" s="269">
        <v>45910.473101851851</v>
      </c>
      <c r="B1291" t="s">
        <v>1431</v>
      </c>
      <c r="C1291" t="s">
        <v>58</v>
      </c>
      <c r="D1291" t="s">
        <v>1457</v>
      </c>
      <c r="E1291">
        <v>125.19</v>
      </c>
    </row>
    <row r="1292" spans="1:5" x14ac:dyDescent="0.2">
      <c r="A1292" s="269">
        <v>45910.473344907405</v>
      </c>
      <c r="B1292" t="s">
        <v>1431</v>
      </c>
      <c r="C1292" t="s">
        <v>58</v>
      </c>
      <c r="D1292" t="s">
        <v>1024</v>
      </c>
      <c r="E1292" t="s">
        <v>1551</v>
      </c>
    </row>
    <row r="1293" spans="1:5" x14ac:dyDescent="0.2">
      <c r="A1293" s="269">
        <v>45910.473368055558</v>
      </c>
      <c r="B1293" t="s">
        <v>1431</v>
      </c>
      <c r="C1293" t="s">
        <v>58</v>
      </c>
      <c r="D1293" t="s">
        <v>972</v>
      </c>
      <c r="E1293" t="s">
        <v>1551</v>
      </c>
    </row>
    <row r="1294" spans="1:5" x14ac:dyDescent="0.2">
      <c r="A1294" s="269">
        <v>45910.473379629628</v>
      </c>
      <c r="B1294" t="s">
        <v>1431</v>
      </c>
      <c r="C1294" t="s">
        <v>58</v>
      </c>
      <c r="D1294" t="s">
        <v>1552</v>
      </c>
      <c r="E1294" t="s">
        <v>1551</v>
      </c>
    </row>
    <row r="1295" spans="1:5" x14ac:dyDescent="0.2">
      <c r="A1295" s="269">
        <v>45910.473402777781</v>
      </c>
      <c r="B1295" t="s">
        <v>1431</v>
      </c>
      <c r="C1295" t="s">
        <v>58</v>
      </c>
      <c r="D1295" t="s">
        <v>1016</v>
      </c>
      <c r="E1295" t="s">
        <v>1551</v>
      </c>
    </row>
    <row r="1296" spans="1:5" x14ac:dyDescent="0.2">
      <c r="A1296" s="269">
        <v>45910.473414351851</v>
      </c>
      <c r="B1296" t="s">
        <v>1431</v>
      </c>
      <c r="C1296" t="s">
        <v>58</v>
      </c>
      <c r="D1296" t="s">
        <v>1553</v>
      </c>
      <c r="E1296" t="s">
        <v>1551</v>
      </c>
    </row>
    <row r="1297" spans="1:5" x14ac:dyDescent="0.2">
      <c r="A1297" s="269">
        <v>45910.473425925928</v>
      </c>
      <c r="B1297" t="s">
        <v>1431</v>
      </c>
      <c r="C1297" t="s">
        <v>58</v>
      </c>
      <c r="D1297" t="s">
        <v>1554</v>
      </c>
      <c r="E1297" t="s">
        <v>1551</v>
      </c>
    </row>
    <row r="1298" spans="1:5" x14ac:dyDescent="0.2">
      <c r="A1298" s="269">
        <v>45910.473437499997</v>
      </c>
      <c r="B1298" t="s">
        <v>1431</v>
      </c>
      <c r="C1298" t="s">
        <v>58</v>
      </c>
      <c r="D1298" t="s">
        <v>1555</v>
      </c>
      <c r="E1298" t="s">
        <v>1551</v>
      </c>
    </row>
    <row r="1299" spans="1:5" x14ac:dyDescent="0.2">
      <c r="A1299" s="269">
        <v>45910.473460648151</v>
      </c>
      <c r="B1299" t="s">
        <v>1431</v>
      </c>
      <c r="C1299" t="s">
        <v>58</v>
      </c>
      <c r="D1299" t="s">
        <v>1556</v>
      </c>
      <c r="E1299" t="s">
        <v>1551</v>
      </c>
    </row>
    <row r="1300" spans="1:5" x14ac:dyDescent="0.2">
      <c r="A1300" s="269">
        <v>45910.47347222222</v>
      </c>
      <c r="B1300" t="s">
        <v>1431</v>
      </c>
      <c r="C1300" t="s">
        <v>58</v>
      </c>
      <c r="D1300" t="s">
        <v>1557</v>
      </c>
      <c r="E1300" t="s">
        <v>1551</v>
      </c>
    </row>
    <row r="1301" spans="1:5" x14ac:dyDescent="0.2">
      <c r="A1301" s="269">
        <v>45910.473495370374</v>
      </c>
      <c r="B1301" t="s">
        <v>1431</v>
      </c>
      <c r="C1301" t="s">
        <v>58</v>
      </c>
      <c r="D1301" t="s">
        <v>1558</v>
      </c>
      <c r="E1301" t="s">
        <v>1551</v>
      </c>
    </row>
    <row r="1302" spans="1:5" x14ac:dyDescent="0.2">
      <c r="A1302" s="269">
        <v>45910.47351851852</v>
      </c>
      <c r="B1302" t="s">
        <v>1431</v>
      </c>
      <c r="C1302" t="s">
        <v>58</v>
      </c>
      <c r="D1302" t="s">
        <v>1559</v>
      </c>
      <c r="E1302" t="s">
        <v>1551</v>
      </c>
    </row>
    <row r="1303" spans="1:5" x14ac:dyDescent="0.2">
      <c r="A1303" s="269">
        <v>45910.473703703705</v>
      </c>
      <c r="B1303" t="s">
        <v>1431</v>
      </c>
      <c r="C1303" t="s">
        <v>58</v>
      </c>
      <c r="D1303" t="s">
        <v>676</v>
      </c>
      <c r="E1303" t="s">
        <v>343</v>
      </c>
    </row>
    <row r="1304" spans="1:5" x14ac:dyDescent="0.2">
      <c r="A1304" s="269">
        <v>45910.47378472222</v>
      </c>
      <c r="B1304" t="s">
        <v>1431</v>
      </c>
      <c r="C1304" t="s">
        <v>58</v>
      </c>
      <c r="D1304" t="s">
        <v>1473</v>
      </c>
      <c r="E1304" t="s">
        <v>63</v>
      </c>
    </row>
    <row r="1305" spans="1:5" x14ac:dyDescent="0.2">
      <c r="A1305" s="269">
        <v>45910.473877314813</v>
      </c>
      <c r="B1305" t="s">
        <v>1431</v>
      </c>
      <c r="C1305" t="s">
        <v>58</v>
      </c>
      <c r="D1305" t="s">
        <v>1498</v>
      </c>
    </row>
    <row r="1306" spans="1:5" x14ac:dyDescent="0.2">
      <c r="A1306" s="269">
        <v>45910.47451388889</v>
      </c>
      <c r="B1306" t="s">
        <v>1431</v>
      </c>
      <c r="C1306" t="s">
        <v>58</v>
      </c>
      <c r="D1306" t="s">
        <v>1536</v>
      </c>
    </row>
    <row r="1307" spans="1:5" x14ac:dyDescent="0.2">
      <c r="A1307" s="269">
        <v>45910.47451388889</v>
      </c>
      <c r="B1307" t="s">
        <v>1431</v>
      </c>
      <c r="C1307" t="s">
        <v>58</v>
      </c>
      <c r="D1307" t="s">
        <v>1532</v>
      </c>
    </row>
    <row r="1308" spans="1:5" x14ac:dyDescent="0.2">
      <c r="A1308" s="269">
        <v>45910.474664351852</v>
      </c>
      <c r="B1308" t="s">
        <v>1431</v>
      </c>
      <c r="C1308" t="s">
        <v>58</v>
      </c>
      <c r="D1308" t="s">
        <v>874</v>
      </c>
      <c r="E1308">
        <v>16.18</v>
      </c>
    </row>
    <row r="1309" spans="1:5" x14ac:dyDescent="0.2">
      <c r="A1309" s="269">
        <v>45910.474699074075</v>
      </c>
      <c r="B1309" t="s">
        <v>1431</v>
      </c>
      <c r="C1309" t="s">
        <v>58</v>
      </c>
      <c r="D1309" t="s">
        <v>925</v>
      </c>
    </row>
    <row r="1310" spans="1:5" x14ac:dyDescent="0.2">
      <c r="A1310" s="269">
        <v>45910.474710648145</v>
      </c>
      <c r="B1310" t="s">
        <v>1431</v>
      </c>
      <c r="C1310" t="s">
        <v>58</v>
      </c>
      <c r="D1310" t="s">
        <v>925</v>
      </c>
    </row>
    <row r="1311" spans="1:5" x14ac:dyDescent="0.2">
      <c r="A1311" s="269">
        <v>45910.474733796298</v>
      </c>
      <c r="B1311" t="s">
        <v>1431</v>
      </c>
      <c r="C1311" t="s">
        <v>58</v>
      </c>
      <c r="D1311" t="s">
        <v>925</v>
      </c>
    </row>
    <row r="1312" spans="1:5" x14ac:dyDescent="0.2">
      <c r="A1312" s="269">
        <v>45910.474745370368</v>
      </c>
      <c r="B1312" t="s">
        <v>1431</v>
      </c>
      <c r="C1312" t="s">
        <v>58</v>
      </c>
      <c r="D1312" t="s">
        <v>925</v>
      </c>
    </row>
    <row r="1313" spans="1:5" x14ac:dyDescent="0.2">
      <c r="A1313" s="269">
        <v>45910.474745370368</v>
      </c>
      <c r="B1313" t="s">
        <v>1431</v>
      </c>
      <c r="C1313" t="s">
        <v>58</v>
      </c>
      <c r="D1313" t="s">
        <v>874</v>
      </c>
      <c r="E1313">
        <v>16.18</v>
      </c>
    </row>
    <row r="1314" spans="1:5" x14ac:dyDescent="0.2">
      <c r="A1314" s="269">
        <v>45910.474745370368</v>
      </c>
      <c r="B1314" t="s">
        <v>1431</v>
      </c>
      <c r="C1314" t="s">
        <v>58</v>
      </c>
      <c r="D1314" t="s">
        <v>1532</v>
      </c>
    </row>
    <row r="1315" spans="1:5" x14ac:dyDescent="0.2">
      <c r="A1315" s="269">
        <v>45910.474756944444</v>
      </c>
      <c r="B1315" t="s">
        <v>1431</v>
      </c>
      <c r="C1315" t="s">
        <v>58</v>
      </c>
      <c r="D1315" t="s">
        <v>1536</v>
      </c>
    </row>
    <row r="1316" spans="1:5" x14ac:dyDescent="0.2">
      <c r="A1316" s="269">
        <v>45910.474756944444</v>
      </c>
      <c r="B1316" t="s">
        <v>1431</v>
      </c>
      <c r="C1316" t="s">
        <v>58</v>
      </c>
      <c r="D1316" t="s">
        <v>1498</v>
      </c>
    </row>
    <row r="1317" spans="1:5" x14ac:dyDescent="0.2">
      <c r="A1317" s="269">
        <v>45910.474756944444</v>
      </c>
      <c r="B1317" t="s">
        <v>1431</v>
      </c>
      <c r="C1317" t="s">
        <v>58</v>
      </c>
      <c r="D1317" t="s">
        <v>1473</v>
      </c>
    </row>
    <row r="1318" spans="1:5" x14ac:dyDescent="0.2">
      <c r="A1318" s="269">
        <v>45910.474756944444</v>
      </c>
      <c r="B1318" t="s">
        <v>1431</v>
      </c>
      <c r="C1318" t="s">
        <v>58</v>
      </c>
      <c r="D1318" t="s">
        <v>676</v>
      </c>
    </row>
    <row r="1319" spans="1:5" x14ac:dyDescent="0.2">
      <c r="A1319" s="269">
        <v>45910.474768518521</v>
      </c>
      <c r="B1319" t="s">
        <v>1431</v>
      </c>
      <c r="C1319" t="s">
        <v>58</v>
      </c>
      <c r="D1319" t="s">
        <v>1559</v>
      </c>
    </row>
    <row r="1320" spans="1:5" x14ac:dyDescent="0.2">
      <c r="A1320" s="269">
        <v>45910.474768518521</v>
      </c>
      <c r="B1320" t="s">
        <v>1431</v>
      </c>
      <c r="C1320" t="s">
        <v>58</v>
      </c>
      <c r="D1320" t="s">
        <v>1558</v>
      </c>
    </row>
    <row r="1321" spans="1:5" x14ac:dyDescent="0.2">
      <c r="A1321" s="269">
        <v>45910.474768518521</v>
      </c>
      <c r="B1321" t="s">
        <v>1431</v>
      </c>
      <c r="C1321" t="s">
        <v>58</v>
      </c>
      <c r="D1321" t="s">
        <v>1557</v>
      </c>
    </row>
    <row r="1322" spans="1:5" x14ac:dyDescent="0.2">
      <c r="A1322" s="269">
        <v>45910.474768518521</v>
      </c>
      <c r="B1322" t="s">
        <v>1431</v>
      </c>
      <c r="C1322" t="s">
        <v>58</v>
      </c>
      <c r="D1322" t="s">
        <v>1556</v>
      </c>
    </row>
    <row r="1323" spans="1:5" x14ac:dyDescent="0.2">
      <c r="A1323" s="269">
        <v>45910.474768518521</v>
      </c>
      <c r="B1323" t="s">
        <v>1431</v>
      </c>
      <c r="C1323" t="s">
        <v>58</v>
      </c>
      <c r="D1323" t="s">
        <v>1555</v>
      </c>
    </row>
    <row r="1324" spans="1:5" x14ac:dyDescent="0.2">
      <c r="A1324" s="269">
        <v>45910.474768518521</v>
      </c>
      <c r="B1324" t="s">
        <v>1431</v>
      </c>
      <c r="C1324" t="s">
        <v>58</v>
      </c>
      <c r="D1324" t="s">
        <v>1554</v>
      </c>
    </row>
    <row r="1325" spans="1:5" x14ac:dyDescent="0.2">
      <c r="A1325" s="269">
        <v>45910.474780092591</v>
      </c>
      <c r="B1325" t="s">
        <v>1431</v>
      </c>
      <c r="C1325" t="s">
        <v>58</v>
      </c>
      <c r="D1325" t="s">
        <v>1553</v>
      </c>
    </row>
    <row r="1326" spans="1:5" x14ac:dyDescent="0.2">
      <c r="A1326" s="269">
        <v>45910.474780092591</v>
      </c>
      <c r="B1326" t="s">
        <v>1431</v>
      </c>
      <c r="C1326" t="s">
        <v>58</v>
      </c>
      <c r="D1326" t="s">
        <v>1016</v>
      </c>
    </row>
    <row r="1327" spans="1:5" x14ac:dyDescent="0.2">
      <c r="A1327" s="269">
        <v>45910.474780092591</v>
      </c>
      <c r="B1327" t="s">
        <v>1431</v>
      </c>
      <c r="C1327" t="s">
        <v>58</v>
      </c>
      <c r="D1327" t="s">
        <v>1552</v>
      </c>
    </row>
    <row r="1328" spans="1:5" x14ac:dyDescent="0.2">
      <c r="A1328" s="269">
        <v>45910.474791666667</v>
      </c>
      <c r="B1328" t="s">
        <v>1431</v>
      </c>
      <c r="C1328" t="s">
        <v>58</v>
      </c>
      <c r="D1328" t="s">
        <v>972</v>
      </c>
    </row>
    <row r="1329" spans="1:4" x14ac:dyDescent="0.2">
      <c r="A1329" s="269">
        <v>45910.474791666667</v>
      </c>
      <c r="B1329" t="s">
        <v>1431</v>
      </c>
      <c r="C1329" t="s">
        <v>58</v>
      </c>
      <c r="D1329" t="s">
        <v>1024</v>
      </c>
    </row>
    <row r="1330" spans="1:4" x14ac:dyDescent="0.2">
      <c r="A1330" s="269">
        <v>45910.474791666667</v>
      </c>
      <c r="B1330" t="s">
        <v>1431</v>
      </c>
      <c r="C1330" t="s">
        <v>58</v>
      </c>
      <c r="D1330" t="s">
        <v>1457</v>
      </c>
    </row>
    <row r="1331" spans="1:4" x14ac:dyDescent="0.2">
      <c r="A1331" s="269">
        <v>45910.474791666667</v>
      </c>
      <c r="B1331" t="s">
        <v>1431</v>
      </c>
      <c r="C1331" t="s">
        <v>58</v>
      </c>
      <c r="D1331" t="s">
        <v>1446</v>
      </c>
    </row>
    <row r="1332" spans="1:4" x14ac:dyDescent="0.2">
      <c r="A1332" s="269">
        <v>45910.474791666667</v>
      </c>
      <c r="B1332" t="s">
        <v>1431</v>
      </c>
      <c r="C1332" t="s">
        <v>58</v>
      </c>
      <c r="D1332" t="s">
        <v>1456</v>
      </c>
    </row>
    <row r="1333" spans="1:4" x14ac:dyDescent="0.2">
      <c r="A1333" s="269">
        <v>45910.474803240744</v>
      </c>
      <c r="B1333" t="s">
        <v>1431</v>
      </c>
      <c r="C1333" t="s">
        <v>58</v>
      </c>
      <c r="D1333" t="s">
        <v>1444</v>
      </c>
    </row>
    <row r="1334" spans="1:4" x14ac:dyDescent="0.2">
      <c r="A1334" s="269">
        <v>45910.474803240744</v>
      </c>
      <c r="B1334" t="s">
        <v>1431</v>
      </c>
      <c r="C1334" t="s">
        <v>58</v>
      </c>
      <c r="D1334" t="s">
        <v>1455</v>
      </c>
    </row>
    <row r="1335" spans="1:4" x14ac:dyDescent="0.2">
      <c r="A1335" s="269">
        <v>45910.474803240744</v>
      </c>
      <c r="B1335" t="s">
        <v>1431</v>
      </c>
      <c r="C1335" t="s">
        <v>58</v>
      </c>
      <c r="D1335" t="s">
        <v>1443</v>
      </c>
    </row>
    <row r="1336" spans="1:4" x14ac:dyDescent="0.2">
      <c r="A1336" s="269">
        <v>45910.474803240744</v>
      </c>
      <c r="B1336" t="s">
        <v>1431</v>
      </c>
      <c r="C1336" t="s">
        <v>58</v>
      </c>
      <c r="D1336" t="s">
        <v>1454</v>
      </c>
    </row>
    <row r="1337" spans="1:4" x14ac:dyDescent="0.2">
      <c r="A1337" s="269">
        <v>45910.474803240744</v>
      </c>
      <c r="B1337" t="s">
        <v>1431</v>
      </c>
      <c r="C1337" t="s">
        <v>58</v>
      </c>
      <c r="D1337" t="s">
        <v>1438</v>
      </c>
    </row>
    <row r="1338" spans="1:4" x14ac:dyDescent="0.2">
      <c r="A1338" s="269">
        <v>45910.474803240744</v>
      </c>
      <c r="B1338" t="s">
        <v>1431</v>
      </c>
      <c r="C1338" t="s">
        <v>58</v>
      </c>
      <c r="D1338" t="s">
        <v>1453</v>
      </c>
    </row>
    <row r="1339" spans="1:4" x14ac:dyDescent="0.2">
      <c r="A1339" s="269">
        <v>45910.474814814814</v>
      </c>
      <c r="B1339" t="s">
        <v>1431</v>
      </c>
      <c r="C1339" t="s">
        <v>58</v>
      </c>
      <c r="D1339" t="s">
        <v>1069</v>
      </c>
    </row>
    <row r="1340" spans="1:4" x14ac:dyDescent="0.2">
      <c r="A1340" s="269">
        <v>45910.474814814814</v>
      </c>
      <c r="B1340" t="s">
        <v>1431</v>
      </c>
      <c r="C1340" t="s">
        <v>58</v>
      </c>
      <c r="D1340" t="s">
        <v>1452</v>
      </c>
    </row>
    <row r="1341" spans="1:4" x14ac:dyDescent="0.2">
      <c r="A1341" s="269">
        <v>45910.474814814814</v>
      </c>
      <c r="B1341" t="s">
        <v>1431</v>
      </c>
      <c r="C1341" t="s">
        <v>58</v>
      </c>
      <c r="D1341" t="s">
        <v>1068</v>
      </c>
    </row>
    <row r="1342" spans="1:4" x14ac:dyDescent="0.2">
      <c r="A1342" s="269">
        <v>45910.474814814814</v>
      </c>
      <c r="B1342" t="s">
        <v>1431</v>
      </c>
      <c r="C1342" t="s">
        <v>58</v>
      </c>
      <c r="D1342" t="s">
        <v>1451</v>
      </c>
    </row>
    <row r="1343" spans="1:4" x14ac:dyDescent="0.2">
      <c r="A1343" s="269">
        <v>45910.474814814814</v>
      </c>
      <c r="B1343" t="s">
        <v>1431</v>
      </c>
      <c r="C1343" t="s">
        <v>58</v>
      </c>
      <c r="D1343" t="s">
        <v>1018</v>
      </c>
    </row>
    <row r="1344" spans="1:4" x14ac:dyDescent="0.2">
      <c r="A1344" s="269">
        <v>45910.474826388891</v>
      </c>
      <c r="B1344" t="s">
        <v>1431</v>
      </c>
      <c r="C1344" t="s">
        <v>58</v>
      </c>
      <c r="D1344" t="s">
        <v>1450</v>
      </c>
    </row>
    <row r="1345" spans="1:5" x14ac:dyDescent="0.2">
      <c r="A1345" s="269">
        <v>45910.474826388891</v>
      </c>
      <c r="B1345" t="s">
        <v>1431</v>
      </c>
      <c r="C1345" t="s">
        <v>58</v>
      </c>
      <c r="D1345" t="s">
        <v>1015</v>
      </c>
    </row>
    <row r="1346" spans="1:5" x14ac:dyDescent="0.2">
      <c r="A1346" s="269">
        <v>45910.474826388891</v>
      </c>
      <c r="B1346" t="s">
        <v>1431</v>
      </c>
      <c r="C1346" t="s">
        <v>58</v>
      </c>
      <c r="D1346" t="s">
        <v>874</v>
      </c>
    </row>
    <row r="1347" spans="1:5" x14ac:dyDescent="0.2">
      <c r="A1347" s="269">
        <v>45910.474826388891</v>
      </c>
      <c r="B1347" t="s">
        <v>1431</v>
      </c>
      <c r="C1347" t="s">
        <v>58</v>
      </c>
      <c r="D1347" t="s">
        <v>994</v>
      </c>
    </row>
    <row r="1348" spans="1:5" x14ac:dyDescent="0.2">
      <c r="A1348" s="269">
        <v>45910.474826388891</v>
      </c>
      <c r="B1348" t="s">
        <v>1431</v>
      </c>
      <c r="C1348" t="s">
        <v>58</v>
      </c>
      <c r="D1348" t="s">
        <v>926</v>
      </c>
    </row>
    <row r="1349" spans="1:5" x14ac:dyDescent="0.2">
      <c r="A1349" s="269">
        <v>45910.474826388891</v>
      </c>
      <c r="B1349" t="s">
        <v>1431</v>
      </c>
      <c r="C1349" t="s">
        <v>58</v>
      </c>
      <c r="D1349" t="s">
        <v>1066</v>
      </c>
    </row>
    <row r="1350" spans="1:5" x14ac:dyDescent="0.2">
      <c r="A1350" s="269">
        <v>45910.47483796296</v>
      </c>
      <c r="B1350" t="s">
        <v>1431</v>
      </c>
      <c r="C1350" t="s">
        <v>58</v>
      </c>
      <c r="D1350" t="s">
        <v>937</v>
      </c>
    </row>
    <row r="1351" spans="1:5" x14ac:dyDescent="0.2">
      <c r="A1351" s="269">
        <v>45910.47483796296</v>
      </c>
      <c r="B1351" t="s">
        <v>1431</v>
      </c>
      <c r="C1351" t="s">
        <v>58</v>
      </c>
      <c r="D1351" t="s">
        <v>983</v>
      </c>
    </row>
    <row r="1352" spans="1:5" x14ac:dyDescent="0.2">
      <c r="A1352" s="269">
        <v>45910.47483796296</v>
      </c>
      <c r="B1352" t="s">
        <v>1431</v>
      </c>
      <c r="C1352" t="s">
        <v>58</v>
      </c>
      <c r="D1352" t="s">
        <v>960</v>
      </c>
    </row>
    <row r="1353" spans="1:5" x14ac:dyDescent="0.2">
      <c r="A1353" s="269">
        <v>45910.47483796296</v>
      </c>
      <c r="B1353" t="s">
        <v>1431</v>
      </c>
      <c r="C1353" t="s">
        <v>58</v>
      </c>
      <c r="D1353" t="s">
        <v>1483</v>
      </c>
    </row>
    <row r="1354" spans="1:5" x14ac:dyDescent="0.2">
      <c r="A1354" s="269">
        <v>45910.474849537037</v>
      </c>
      <c r="B1354" t="s">
        <v>1431</v>
      </c>
      <c r="C1354" t="s">
        <v>58</v>
      </c>
      <c r="D1354" t="s">
        <v>951</v>
      </c>
    </row>
    <row r="1355" spans="1:5" x14ac:dyDescent="0.2">
      <c r="A1355" s="269">
        <v>45910.474849537037</v>
      </c>
      <c r="B1355" t="s">
        <v>1431</v>
      </c>
      <c r="C1355" t="s">
        <v>58</v>
      </c>
      <c r="D1355" t="s">
        <v>1514</v>
      </c>
      <c r="E1355" t="s">
        <v>365</v>
      </c>
    </row>
    <row r="1356" spans="1:5" x14ac:dyDescent="0.2">
      <c r="A1356" s="269">
        <v>45910.474849537037</v>
      </c>
      <c r="B1356" t="s">
        <v>1431</v>
      </c>
      <c r="C1356" t="s">
        <v>58</v>
      </c>
      <c r="D1356" t="s">
        <v>1550</v>
      </c>
    </row>
    <row r="1357" spans="1:5" x14ac:dyDescent="0.2">
      <c r="A1357" s="269">
        <v>45910.474861111114</v>
      </c>
      <c r="B1357" t="s">
        <v>1431</v>
      </c>
      <c r="C1357" t="s">
        <v>58</v>
      </c>
      <c r="D1357" t="s">
        <v>1550</v>
      </c>
      <c r="E1357" t="s">
        <v>397</v>
      </c>
    </row>
    <row r="1358" spans="1:5" x14ac:dyDescent="0.2">
      <c r="A1358" s="269">
        <v>45910.474872685183</v>
      </c>
      <c r="B1358" t="s">
        <v>1431</v>
      </c>
      <c r="C1358" t="s">
        <v>58</v>
      </c>
      <c r="D1358" t="s">
        <v>1549</v>
      </c>
      <c r="E1358" t="s">
        <v>63</v>
      </c>
    </row>
    <row r="1359" spans="1:5" x14ac:dyDescent="0.2">
      <c r="A1359" s="269">
        <v>45910.474872685183</v>
      </c>
      <c r="B1359" t="s">
        <v>1431</v>
      </c>
      <c r="C1359" t="s">
        <v>58</v>
      </c>
      <c r="D1359" t="s">
        <v>1548</v>
      </c>
      <c r="E1359" t="s">
        <v>343</v>
      </c>
    </row>
    <row r="1360" spans="1:5" x14ac:dyDescent="0.2">
      <c r="A1360" s="269">
        <v>45910.474872685183</v>
      </c>
      <c r="B1360" t="s">
        <v>1431</v>
      </c>
      <c r="C1360" t="s">
        <v>58</v>
      </c>
      <c r="D1360" t="s">
        <v>1510</v>
      </c>
      <c r="E1360" t="s">
        <v>343</v>
      </c>
    </row>
    <row r="1361" spans="1:5" x14ac:dyDescent="0.2">
      <c r="A1361" s="269">
        <v>45910.47488425926</v>
      </c>
      <c r="B1361" t="s">
        <v>1431</v>
      </c>
      <c r="C1361" t="s">
        <v>58</v>
      </c>
      <c r="D1361" t="s">
        <v>1547</v>
      </c>
      <c r="E1361">
        <v>3571</v>
      </c>
    </row>
    <row r="1362" spans="1:5" x14ac:dyDescent="0.2">
      <c r="A1362" s="269">
        <v>45910.47488425926</v>
      </c>
      <c r="B1362" t="s">
        <v>1431</v>
      </c>
      <c r="C1362" t="s">
        <v>58</v>
      </c>
      <c r="D1362" t="s">
        <v>1517</v>
      </c>
    </row>
    <row r="1363" spans="1:5" x14ac:dyDescent="0.2">
      <c r="A1363" s="269">
        <v>45910.474895833337</v>
      </c>
      <c r="B1363" t="s">
        <v>1431</v>
      </c>
      <c r="C1363" t="s">
        <v>58</v>
      </c>
      <c r="D1363" t="s">
        <v>1546</v>
      </c>
    </row>
    <row r="1364" spans="1:5" x14ac:dyDescent="0.2">
      <c r="A1364" s="269">
        <v>45910.474895833337</v>
      </c>
      <c r="B1364" t="s">
        <v>1431</v>
      </c>
      <c r="C1364" t="s">
        <v>58</v>
      </c>
      <c r="D1364" t="s">
        <v>1546</v>
      </c>
    </row>
    <row r="1365" spans="1:5" x14ac:dyDescent="0.2">
      <c r="A1365" s="269">
        <v>45910.474895833337</v>
      </c>
      <c r="B1365" t="s">
        <v>1431</v>
      </c>
      <c r="C1365" t="s">
        <v>58</v>
      </c>
      <c r="D1365" t="s">
        <v>1545</v>
      </c>
      <c r="E1365">
        <v>51.9</v>
      </c>
    </row>
    <row r="1366" spans="1:5" x14ac:dyDescent="0.2">
      <c r="A1366" s="269">
        <v>45910.474907407406</v>
      </c>
      <c r="B1366" t="s">
        <v>1431</v>
      </c>
      <c r="C1366" t="s">
        <v>58</v>
      </c>
      <c r="D1366" t="s">
        <v>1544</v>
      </c>
      <c r="E1366">
        <v>406.92</v>
      </c>
    </row>
    <row r="1367" spans="1:5" x14ac:dyDescent="0.2">
      <c r="A1367" s="269">
        <v>45910.474907407406</v>
      </c>
      <c r="B1367" t="s">
        <v>1431</v>
      </c>
      <c r="C1367" t="s">
        <v>58</v>
      </c>
      <c r="D1367" t="s">
        <v>1543</v>
      </c>
    </row>
    <row r="1368" spans="1:5" x14ac:dyDescent="0.2">
      <c r="A1368" s="269">
        <v>45910.474907407406</v>
      </c>
      <c r="B1368" t="s">
        <v>1431</v>
      </c>
      <c r="C1368" t="s">
        <v>58</v>
      </c>
      <c r="D1368" t="s">
        <v>1542</v>
      </c>
    </row>
    <row r="1369" spans="1:5" x14ac:dyDescent="0.2">
      <c r="A1369" s="269">
        <v>45910.474918981483</v>
      </c>
      <c r="B1369" t="s">
        <v>1431</v>
      </c>
      <c r="C1369" t="s">
        <v>58</v>
      </c>
      <c r="D1369" t="s">
        <v>1541</v>
      </c>
      <c r="E1369">
        <v>625.70000000000005</v>
      </c>
    </row>
    <row r="1370" spans="1:5" x14ac:dyDescent="0.2">
      <c r="A1370" s="269">
        <v>45910.474918981483</v>
      </c>
      <c r="B1370" t="s">
        <v>1431</v>
      </c>
      <c r="C1370" t="s">
        <v>58</v>
      </c>
      <c r="D1370" t="s">
        <v>1540</v>
      </c>
      <c r="E1370" t="s">
        <v>338</v>
      </c>
    </row>
    <row r="1371" spans="1:5" x14ac:dyDescent="0.2">
      <c r="A1371" s="269">
        <v>45910.474930555552</v>
      </c>
      <c r="B1371" t="s">
        <v>1431</v>
      </c>
      <c r="C1371" t="s">
        <v>58</v>
      </c>
      <c r="D1371" t="s">
        <v>1539</v>
      </c>
      <c r="E1371" t="s">
        <v>365</v>
      </c>
    </row>
    <row r="1372" spans="1:5" x14ac:dyDescent="0.2">
      <c r="A1372" s="269">
        <v>45910.474930555552</v>
      </c>
      <c r="B1372" t="s">
        <v>1431</v>
      </c>
      <c r="C1372" t="s">
        <v>58</v>
      </c>
      <c r="D1372" t="s">
        <v>1538</v>
      </c>
    </row>
    <row r="1373" spans="1:5" x14ac:dyDescent="0.2">
      <c r="A1373" s="269">
        <v>45910.475173611114</v>
      </c>
      <c r="B1373" t="s">
        <v>1431</v>
      </c>
      <c r="C1373" t="s">
        <v>58</v>
      </c>
      <c r="D1373" t="s">
        <v>1538</v>
      </c>
      <c r="E1373">
        <v>2874</v>
      </c>
    </row>
    <row r="1374" spans="1:5" x14ac:dyDescent="0.2">
      <c r="A1374" s="269">
        <v>45910.475474537037</v>
      </c>
      <c r="B1374" t="s">
        <v>1431</v>
      </c>
      <c r="C1374" t="s">
        <v>58</v>
      </c>
      <c r="D1374" t="s">
        <v>1024</v>
      </c>
      <c r="E1374" t="s">
        <v>1560</v>
      </c>
    </row>
    <row r="1375" spans="1:5" x14ac:dyDescent="0.2">
      <c r="A1375" s="269">
        <v>45910.47550925926</v>
      </c>
      <c r="B1375" t="s">
        <v>1431</v>
      </c>
      <c r="C1375" t="s">
        <v>58</v>
      </c>
      <c r="D1375" t="s">
        <v>1552</v>
      </c>
      <c r="E1375" t="s">
        <v>1560</v>
      </c>
    </row>
    <row r="1376" spans="1:5" x14ac:dyDescent="0.2">
      <c r="A1376" s="269">
        <v>45910.475543981483</v>
      </c>
      <c r="B1376" t="s">
        <v>1431</v>
      </c>
      <c r="C1376" t="s">
        <v>58</v>
      </c>
      <c r="D1376" t="s">
        <v>1553</v>
      </c>
      <c r="E1376" t="s">
        <v>1560</v>
      </c>
    </row>
    <row r="1377" spans="1:5" x14ac:dyDescent="0.2">
      <c r="A1377" s="269">
        <v>45910.47556712963</v>
      </c>
      <c r="B1377" t="s">
        <v>1431</v>
      </c>
      <c r="C1377" t="s">
        <v>58</v>
      </c>
      <c r="D1377" t="s">
        <v>1555</v>
      </c>
      <c r="E1377" t="s">
        <v>1560</v>
      </c>
    </row>
    <row r="1378" spans="1:5" x14ac:dyDescent="0.2">
      <c r="A1378" s="269">
        <v>45910.475590277776</v>
      </c>
      <c r="B1378" t="s">
        <v>1431</v>
      </c>
      <c r="C1378" t="s">
        <v>58</v>
      </c>
      <c r="D1378" t="s">
        <v>1557</v>
      </c>
      <c r="E1378" t="s">
        <v>1560</v>
      </c>
    </row>
    <row r="1379" spans="1:5" x14ac:dyDescent="0.2">
      <c r="A1379" s="269">
        <v>45910.475613425922</v>
      </c>
      <c r="B1379" t="s">
        <v>1431</v>
      </c>
      <c r="C1379" t="s">
        <v>58</v>
      </c>
      <c r="D1379" t="s">
        <v>1559</v>
      </c>
      <c r="E1379" t="s">
        <v>1560</v>
      </c>
    </row>
    <row r="1380" spans="1:5" x14ac:dyDescent="0.2">
      <c r="A1380" s="269">
        <v>45910.475648148145</v>
      </c>
      <c r="B1380" t="s">
        <v>1431</v>
      </c>
      <c r="C1380" t="s">
        <v>58</v>
      </c>
      <c r="D1380" t="s">
        <v>1561</v>
      </c>
      <c r="E1380" t="s">
        <v>1560</v>
      </c>
    </row>
    <row r="1381" spans="1:5" x14ac:dyDescent="0.2">
      <c r="A1381" s="269">
        <v>45910.475671296299</v>
      </c>
      <c r="B1381" t="s">
        <v>1431</v>
      </c>
      <c r="C1381" t="s">
        <v>58</v>
      </c>
      <c r="D1381" t="s">
        <v>1562</v>
      </c>
      <c r="E1381" t="s">
        <v>1560</v>
      </c>
    </row>
    <row r="1382" spans="1:5" x14ac:dyDescent="0.2">
      <c r="A1382" s="269">
        <v>45910.475694444445</v>
      </c>
      <c r="B1382" t="s">
        <v>1431</v>
      </c>
      <c r="C1382" t="s">
        <v>58</v>
      </c>
      <c r="D1382" t="s">
        <v>1563</v>
      </c>
      <c r="E1382" t="s">
        <v>1560</v>
      </c>
    </row>
    <row r="1383" spans="1:5" x14ac:dyDescent="0.2">
      <c r="A1383" s="269">
        <v>45910.475717592592</v>
      </c>
      <c r="B1383" t="s">
        <v>1431</v>
      </c>
      <c r="C1383" t="s">
        <v>58</v>
      </c>
      <c r="D1383" t="s">
        <v>1564</v>
      </c>
      <c r="E1383" t="s">
        <v>1560</v>
      </c>
    </row>
    <row r="1384" spans="1:5" x14ac:dyDescent="0.2">
      <c r="A1384" s="269">
        <v>45910.475740740738</v>
      </c>
      <c r="B1384" t="s">
        <v>1431</v>
      </c>
      <c r="C1384" t="s">
        <v>58</v>
      </c>
      <c r="D1384" t="s">
        <v>1565</v>
      </c>
      <c r="E1384" t="s">
        <v>1560</v>
      </c>
    </row>
    <row r="1385" spans="1:5" x14ac:dyDescent="0.2">
      <c r="A1385" s="269">
        <v>45910.475821759261</v>
      </c>
      <c r="B1385" t="s">
        <v>1431</v>
      </c>
      <c r="C1385" t="s">
        <v>58</v>
      </c>
      <c r="D1385" t="s">
        <v>1566</v>
      </c>
      <c r="E1385" t="s">
        <v>1560</v>
      </c>
    </row>
    <row r="1386" spans="1:5" x14ac:dyDescent="0.2">
      <c r="A1386" s="269">
        <v>45910.495219907411</v>
      </c>
      <c r="B1386" t="s">
        <v>1431</v>
      </c>
      <c r="C1386" t="s">
        <v>26</v>
      </c>
      <c r="D1386" t="s">
        <v>983</v>
      </c>
      <c r="E1386" t="s">
        <v>124</v>
      </c>
    </row>
    <row r="1387" spans="1:5" x14ac:dyDescent="0.2">
      <c r="A1387" s="269">
        <v>45910.495312500003</v>
      </c>
      <c r="B1387" t="s">
        <v>1431</v>
      </c>
      <c r="C1387" t="s">
        <v>26</v>
      </c>
      <c r="D1387" t="s">
        <v>1433</v>
      </c>
      <c r="E1387" t="s">
        <v>338</v>
      </c>
    </row>
    <row r="1388" spans="1:5" x14ac:dyDescent="0.2">
      <c r="A1388" s="269">
        <v>45910.495428240742</v>
      </c>
      <c r="B1388" t="s">
        <v>1431</v>
      </c>
      <c r="C1388" t="s">
        <v>26</v>
      </c>
      <c r="D1388" t="s">
        <v>1437</v>
      </c>
      <c r="E1388">
        <v>82</v>
      </c>
    </row>
    <row r="1389" spans="1:5" x14ac:dyDescent="0.2">
      <c r="A1389" s="269">
        <v>45910.49554398148</v>
      </c>
      <c r="B1389" t="s">
        <v>1431</v>
      </c>
      <c r="C1389" t="s">
        <v>26</v>
      </c>
      <c r="D1389" t="s">
        <v>1191</v>
      </c>
      <c r="E1389" t="s">
        <v>89</v>
      </c>
    </row>
    <row r="1390" spans="1:5" x14ac:dyDescent="0.2">
      <c r="A1390" s="269">
        <v>45910.495625000003</v>
      </c>
      <c r="B1390" t="s">
        <v>1431</v>
      </c>
      <c r="C1390" t="s">
        <v>26</v>
      </c>
      <c r="D1390" t="s">
        <v>1066</v>
      </c>
      <c r="E1390" t="s">
        <v>124</v>
      </c>
    </row>
    <row r="1391" spans="1:5" x14ac:dyDescent="0.2">
      <c r="A1391" s="269">
        <v>45910.495706018519</v>
      </c>
      <c r="B1391" t="s">
        <v>1431</v>
      </c>
      <c r="C1391" t="s">
        <v>26</v>
      </c>
      <c r="D1391" t="s">
        <v>973</v>
      </c>
      <c r="E1391">
        <v>95</v>
      </c>
    </row>
    <row r="1392" spans="1:5" x14ac:dyDescent="0.2">
      <c r="A1392" s="269">
        <v>45910.495752314811</v>
      </c>
      <c r="B1392" t="s">
        <v>1431</v>
      </c>
      <c r="C1392" t="s">
        <v>26</v>
      </c>
      <c r="D1392" t="s">
        <v>795</v>
      </c>
      <c r="E1392" t="s">
        <v>362</v>
      </c>
    </row>
    <row r="1393" spans="1:5" x14ac:dyDescent="0.2">
      <c r="A1393" s="269">
        <v>45910.495810185188</v>
      </c>
      <c r="B1393" t="s">
        <v>1431</v>
      </c>
      <c r="C1393" t="s">
        <v>26</v>
      </c>
      <c r="D1393" t="s">
        <v>994</v>
      </c>
      <c r="E1393" t="s">
        <v>124</v>
      </c>
    </row>
    <row r="1394" spans="1:5" x14ac:dyDescent="0.2">
      <c r="A1394" s="269">
        <v>45910.495937500003</v>
      </c>
      <c r="B1394" t="s">
        <v>1431</v>
      </c>
      <c r="C1394" t="s">
        <v>26</v>
      </c>
      <c r="D1394" t="s">
        <v>976</v>
      </c>
      <c r="E1394">
        <v>95</v>
      </c>
    </row>
    <row r="1395" spans="1:5" x14ac:dyDescent="0.2">
      <c r="A1395" s="269">
        <v>45910.496018518519</v>
      </c>
      <c r="B1395" t="s">
        <v>1431</v>
      </c>
      <c r="C1395" t="s">
        <v>26</v>
      </c>
      <c r="D1395" t="s">
        <v>1013</v>
      </c>
      <c r="E1395" t="s">
        <v>371</v>
      </c>
    </row>
    <row r="1396" spans="1:5" x14ac:dyDescent="0.2">
      <c r="A1396" s="269">
        <v>45910.496192129627</v>
      </c>
      <c r="B1396" t="s">
        <v>1431</v>
      </c>
      <c r="C1396" t="s">
        <v>26</v>
      </c>
      <c r="D1396" t="s">
        <v>1015</v>
      </c>
      <c r="E1396" t="s">
        <v>124</v>
      </c>
    </row>
    <row r="1397" spans="1:5" x14ac:dyDescent="0.2">
      <c r="A1397" s="269">
        <v>45910.49627314815</v>
      </c>
      <c r="B1397" t="s">
        <v>1431</v>
      </c>
      <c r="C1397" t="s">
        <v>26</v>
      </c>
      <c r="D1397" t="s">
        <v>977</v>
      </c>
      <c r="E1397">
        <v>88</v>
      </c>
    </row>
    <row r="1398" spans="1:5" x14ac:dyDescent="0.2">
      <c r="A1398" s="269">
        <v>45910.496354166666</v>
      </c>
      <c r="B1398" t="s">
        <v>1431</v>
      </c>
      <c r="C1398" t="s">
        <v>26</v>
      </c>
      <c r="D1398" t="s">
        <v>747</v>
      </c>
      <c r="E1398" t="s">
        <v>379</v>
      </c>
    </row>
    <row r="1399" spans="1:5" x14ac:dyDescent="0.2">
      <c r="A1399" s="269">
        <v>45910.496388888889</v>
      </c>
      <c r="B1399" t="s">
        <v>1431</v>
      </c>
      <c r="C1399" t="s">
        <v>26</v>
      </c>
      <c r="D1399" t="s">
        <v>1018</v>
      </c>
      <c r="E1399" t="s">
        <v>124</v>
      </c>
    </row>
    <row r="1400" spans="1:5" x14ac:dyDescent="0.2">
      <c r="A1400" s="269">
        <v>45910.496469907404</v>
      </c>
      <c r="B1400" t="s">
        <v>1431</v>
      </c>
      <c r="C1400" t="s">
        <v>26</v>
      </c>
      <c r="D1400" t="s">
        <v>923</v>
      </c>
      <c r="E1400">
        <v>71</v>
      </c>
    </row>
    <row r="1401" spans="1:5" x14ac:dyDescent="0.2">
      <c r="A1401" s="269">
        <v>45910.496550925927</v>
      </c>
      <c r="B1401" t="s">
        <v>1431</v>
      </c>
      <c r="C1401" t="s">
        <v>26</v>
      </c>
      <c r="D1401" t="s">
        <v>1434</v>
      </c>
      <c r="E1401" t="s">
        <v>386</v>
      </c>
    </row>
    <row r="1402" spans="1:5" x14ac:dyDescent="0.2">
      <c r="A1402" s="269">
        <v>45910.496620370373</v>
      </c>
      <c r="B1402" t="s">
        <v>1431</v>
      </c>
      <c r="C1402" t="s">
        <v>26</v>
      </c>
      <c r="D1402" t="s">
        <v>1068</v>
      </c>
      <c r="E1402" t="s">
        <v>124</v>
      </c>
    </row>
    <row r="1403" spans="1:5" x14ac:dyDescent="0.2">
      <c r="A1403" s="269">
        <v>45910.496759259258</v>
      </c>
      <c r="B1403" t="s">
        <v>1431</v>
      </c>
      <c r="C1403" t="s">
        <v>26</v>
      </c>
      <c r="D1403" t="s">
        <v>918</v>
      </c>
      <c r="E1403">
        <v>17</v>
      </c>
    </row>
    <row r="1404" spans="1:5" x14ac:dyDescent="0.2">
      <c r="A1404" s="269">
        <v>45910.496817129628</v>
      </c>
      <c r="B1404" t="s">
        <v>1431</v>
      </c>
      <c r="C1404" t="s">
        <v>26</v>
      </c>
      <c r="D1404" t="s">
        <v>1435</v>
      </c>
      <c r="E1404" t="s">
        <v>390</v>
      </c>
    </row>
    <row r="1405" spans="1:5" x14ac:dyDescent="0.2">
      <c r="A1405" s="269">
        <v>45910.496886574074</v>
      </c>
      <c r="B1405" t="s">
        <v>1431</v>
      </c>
      <c r="C1405" t="s">
        <v>26</v>
      </c>
      <c r="D1405" t="s">
        <v>1069</v>
      </c>
      <c r="E1405" t="s">
        <v>124</v>
      </c>
    </row>
    <row r="1406" spans="1:5" x14ac:dyDescent="0.2">
      <c r="A1406" s="269">
        <v>45910.496932870374</v>
      </c>
      <c r="B1406" t="s">
        <v>1431</v>
      </c>
      <c r="C1406" t="s">
        <v>26</v>
      </c>
      <c r="D1406" t="s">
        <v>924</v>
      </c>
      <c r="E1406">
        <v>14</v>
      </c>
    </row>
    <row r="1407" spans="1:5" x14ac:dyDescent="0.2">
      <c r="A1407" s="269">
        <v>45910.497025462966</v>
      </c>
      <c r="B1407" t="s">
        <v>1431</v>
      </c>
      <c r="C1407" t="s">
        <v>26</v>
      </c>
      <c r="D1407" t="s">
        <v>1436</v>
      </c>
      <c r="E1407" t="s">
        <v>41</v>
      </c>
    </row>
    <row r="1408" spans="1:5" x14ac:dyDescent="0.2">
      <c r="A1408" s="269">
        <v>45910.497071759259</v>
      </c>
      <c r="B1408" t="s">
        <v>1431</v>
      </c>
      <c r="C1408" t="s">
        <v>26</v>
      </c>
      <c r="D1408" t="s">
        <v>1438</v>
      </c>
      <c r="E1408" t="s">
        <v>124</v>
      </c>
    </row>
    <row r="1409" spans="1:5" x14ac:dyDescent="0.2">
      <c r="A1409" s="269">
        <v>45910.498576388891</v>
      </c>
      <c r="B1409" t="s">
        <v>1431</v>
      </c>
      <c r="C1409" t="s">
        <v>26</v>
      </c>
      <c r="D1409" t="s">
        <v>1439</v>
      </c>
      <c r="E1409">
        <v>1</v>
      </c>
    </row>
    <row r="1410" spans="1:5" x14ac:dyDescent="0.2">
      <c r="A1410" s="269">
        <v>45910.498668981483</v>
      </c>
      <c r="B1410" t="s">
        <v>1431</v>
      </c>
      <c r="C1410" t="s">
        <v>26</v>
      </c>
      <c r="D1410" t="s">
        <v>1567</v>
      </c>
    </row>
    <row r="1411" spans="1:5" x14ac:dyDescent="0.2">
      <c r="A1411" s="269">
        <v>45910.498923611114</v>
      </c>
      <c r="B1411" t="s">
        <v>1431</v>
      </c>
      <c r="C1411" t="s">
        <v>26</v>
      </c>
      <c r="D1411" t="s">
        <v>918</v>
      </c>
      <c r="E1411">
        <v>95</v>
      </c>
    </row>
    <row r="1412" spans="1:5" x14ac:dyDescent="0.2">
      <c r="A1412" s="269">
        <v>45910.499884259261</v>
      </c>
      <c r="B1412" t="s">
        <v>1431</v>
      </c>
      <c r="C1412" t="s">
        <v>26</v>
      </c>
      <c r="D1412" t="s">
        <v>924</v>
      </c>
      <c r="E1412">
        <v>50</v>
      </c>
    </row>
    <row r="1413" spans="1:5" x14ac:dyDescent="0.2">
      <c r="A1413" s="269">
        <v>45910.499942129631</v>
      </c>
      <c r="B1413" t="s">
        <v>1431</v>
      </c>
      <c r="C1413" t="s">
        <v>26</v>
      </c>
      <c r="D1413" t="s">
        <v>1439</v>
      </c>
      <c r="E1413">
        <v>60</v>
      </c>
    </row>
    <row r="1414" spans="1:5" x14ac:dyDescent="0.2">
      <c r="A1414" s="269">
        <v>45910.500185185185</v>
      </c>
      <c r="B1414" t="s">
        <v>1431</v>
      </c>
      <c r="C1414" t="s">
        <v>26</v>
      </c>
      <c r="D1414" t="s">
        <v>981</v>
      </c>
      <c r="E1414">
        <v>85</v>
      </c>
    </row>
    <row r="1415" spans="1:5" x14ac:dyDescent="0.2">
      <c r="A1415" s="269">
        <v>45910.500277777777</v>
      </c>
      <c r="B1415" t="s">
        <v>1431</v>
      </c>
      <c r="C1415" t="s">
        <v>26</v>
      </c>
      <c r="D1415" t="s">
        <v>924</v>
      </c>
      <c r="E1415">
        <v>57</v>
      </c>
    </row>
    <row r="1416" spans="1:5" x14ac:dyDescent="0.2">
      <c r="A1416" s="269">
        <v>45910.500474537039</v>
      </c>
      <c r="B1416" t="s">
        <v>1431</v>
      </c>
      <c r="C1416" t="s">
        <v>26</v>
      </c>
      <c r="D1416" t="s">
        <v>981</v>
      </c>
      <c r="E1416">
        <v>77</v>
      </c>
    </row>
    <row r="1417" spans="1:5" x14ac:dyDescent="0.2">
      <c r="A1417" s="269">
        <v>45910.500752314816</v>
      </c>
      <c r="B1417" t="s">
        <v>1431</v>
      </c>
      <c r="C1417" t="s">
        <v>26</v>
      </c>
      <c r="D1417" t="s">
        <v>924</v>
      </c>
      <c r="E1417">
        <v>60</v>
      </c>
    </row>
    <row r="1418" spans="1:5" x14ac:dyDescent="0.2">
      <c r="A1418" s="269">
        <v>45910.500960648147</v>
      </c>
      <c r="B1418" t="s">
        <v>1431</v>
      </c>
      <c r="C1418" t="s">
        <v>26</v>
      </c>
      <c r="D1418" t="s">
        <v>981</v>
      </c>
      <c r="E1418">
        <v>75</v>
      </c>
    </row>
    <row r="1419" spans="1:5" x14ac:dyDescent="0.2">
      <c r="A1419" s="269">
        <v>45910.50104166667</v>
      </c>
      <c r="B1419" t="s">
        <v>1431</v>
      </c>
      <c r="C1419" t="s">
        <v>26</v>
      </c>
      <c r="D1419" t="s">
        <v>672</v>
      </c>
      <c r="E1419" t="s">
        <v>397</v>
      </c>
    </row>
    <row r="1420" spans="1:5" x14ac:dyDescent="0.2">
      <c r="A1420" s="269">
        <v>45910.501099537039</v>
      </c>
      <c r="B1420" t="s">
        <v>1431</v>
      </c>
      <c r="C1420" t="s">
        <v>26</v>
      </c>
      <c r="D1420" t="s">
        <v>1443</v>
      </c>
      <c r="E1420" t="s">
        <v>124</v>
      </c>
    </row>
    <row r="1421" spans="1:5" x14ac:dyDescent="0.2">
      <c r="A1421" s="269">
        <v>45910.501157407409</v>
      </c>
      <c r="B1421" t="s">
        <v>1431</v>
      </c>
      <c r="C1421" t="s">
        <v>26</v>
      </c>
      <c r="D1421" t="s">
        <v>674</v>
      </c>
      <c r="E1421" t="s">
        <v>400</v>
      </c>
    </row>
    <row r="1422" spans="1:5" x14ac:dyDescent="0.2">
      <c r="A1422" s="269">
        <v>45910.501967592594</v>
      </c>
      <c r="B1422" t="s">
        <v>1431</v>
      </c>
      <c r="C1422" t="s">
        <v>26</v>
      </c>
      <c r="D1422" t="s">
        <v>1444</v>
      </c>
      <c r="E1422" t="s">
        <v>124</v>
      </c>
    </row>
    <row r="1423" spans="1:5" x14ac:dyDescent="0.2">
      <c r="A1423" s="269">
        <v>45910.502534722225</v>
      </c>
      <c r="B1423" t="s">
        <v>1431</v>
      </c>
      <c r="C1423" t="s">
        <v>26</v>
      </c>
      <c r="D1423" t="s">
        <v>1445</v>
      </c>
      <c r="E1423">
        <v>80</v>
      </c>
    </row>
    <row r="1424" spans="1:5" x14ac:dyDescent="0.2">
      <c r="A1424" s="269">
        <v>45910.502604166664</v>
      </c>
      <c r="B1424" t="s">
        <v>1431</v>
      </c>
      <c r="C1424" t="s">
        <v>26</v>
      </c>
      <c r="D1424" t="s">
        <v>675</v>
      </c>
      <c r="E1424" t="s">
        <v>404</v>
      </c>
    </row>
    <row r="1425" spans="1:5" x14ac:dyDescent="0.2">
      <c r="A1425" s="269">
        <v>45910.502662037034</v>
      </c>
      <c r="B1425" t="s">
        <v>1431</v>
      </c>
      <c r="C1425" t="s">
        <v>26</v>
      </c>
      <c r="D1425" t="s">
        <v>1446</v>
      </c>
      <c r="E1425" t="s">
        <v>124</v>
      </c>
    </row>
    <row r="1426" spans="1:5" x14ac:dyDescent="0.2">
      <c r="A1426" s="269">
        <v>45910.502754629626</v>
      </c>
      <c r="B1426" t="s">
        <v>1431</v>
      </c>
      <c r="C1426" t="s">
        <v>26</v>
      </c>
      <c r="D1426" t="s">
        <v>1447</v>
      </c>
      <c r="E1426">
        <v>107</v>
      </c>
    </row>
    <row r="1427" spans="1:5" x14ac:dyDescent="0.2">
      <c r="A1427" s="269">
        <v>45910.502800925926</v>
      </c>
      <c r="B1427" t="s">
        <v>1431</v>
      </c>
      <c r="C1427" t="s">
        <v>26</v>
      </c>
      <c r="D1427" t="s">
        <v>676</v>
      </c>
      <c r="E1427" t="s">
        <v>407</v>
      </c>
    </row>
    <row r="1428" spans="1:5" x14ac:dyDescent="0.2">
      <c r="A1428" s="269">
        <v>45910.502858796295</v>
      </c>
      <c r="B1428" t="s">
        <v>1431</v>
      </c>
      <c r="C1428" t="s">
        <v>26</v>
      </c>
      <c r="D1428" t="s">
        <v>1448</v>
      </c>
      <c r="E1428" t="s">
        <v>124</v>
      </c>
    </row>
    <row r="1429" spans="1:5" x14ac:dyDescent="0.2">
      <c r="A1429" s="269">
        <v>45910.502951388888</v>
      </c>
      <c r="B1429" t="s">
        <v>1431</v>
      </c>
      <c r="C1429" t="s">
        <v>26</v>
      </c>
      <c r="D1429" t="s">
        <v>1449</v>
      </c>
      <c r="E1429">
        <v>205</v>
      </c>
    </row>
    <row r="1430" spans="1:5" x14ac:dyDescent="0.2">
      <c r="A1430" s="269">
        <v>45910.503344907411</v>
      </c>
      <c r="B1430" t="s">
        <v>1431</v>
      </c>
      <c r="C1430" t="s">
        <v>26</v>
      </c>
      <c r="D1430" t="s">
        <v>1134</v>
      </c>
      <c r="E1430" t="s">
        <v>364</v>
      </c>
    </row>
    <row r="1431" spans="1:5" x14ac:dyDescent="0.2">
      <c r="A1431" s="269">
        <v>45910.504328703704</v>
      </c>
      <c r="B1431" t="s">
        <v>1431</v>
      </c>
      <c r="C1431" t="s">
        <v>26</v>
      </c>
      <c r="D1431" t="s">
        <v>1133</v>
      </c>
      <c r="E1431" t="s">
        <v>338</v>
      </c>
    </row>
    <row r="1432" spans="1:5" x14ac:dyDescent="0.2">
      <c r="A1432" s="269">
        <v>45910.50440972222</v>
      </c>
      <c r="B1432" t="s">
        <v>1431</v>
      </c>
      <c r="C1432" t="s">
        <v>26</v>
      </c>
      <c r="D1432" t="s">
        <v>1025</v>
      </c>
      <c r="E1432">
        <v>72.98</v>
      </c>
    </row>
    <row r="1433" spans="1:5" x14ac:dyDescent="0.2">
      <c r="A1433" s="269">
        <v>45910.504444444443</v>
      </c>
      <c r="B1433" t="s">
        <v>1431</v>
      </c>
      <c r="C1433" t="s">
        <v>26</v>
      </c>
      <c r="D1433" t="s">
        <v>1469</v>
      </c>
      <c r="E1433" t="s">
        <v>89</v>
      </c>
    </row>
    <row r="1434" spans="1:5" x14ac:dyDescent="0.2">
      <c r="A1434" s="269">
        <v>45910.504513888889</v>
      </c>
      <c r="B1434" t="s">
        <v>1431</v>
      </c>
      <c r="C1434" t="s">
        <v>26</v>
      </c>
      <c r="D1434" t="s">
        <v>1568</v>
      </c>
      <c r="E1434" t="s">
        <v>364</v>
      </c>
    </row>
    <row r="1435" spans="1:5" x14ac:dyDescent="0.2">
      <c r="A1435" s="269">
        <v>45910.50472222222</v>
      </c>
      <c r="B1435" t="s">
        <v>1431</v>
      </c>
      <c r="C1435" t="s">
        <v>26</v>
      </c>
      <c r="D1435" t="s">
        <v>978</v>
      </c>
      <c r="E1435">
        <v>85</v>
      </c>
    </row>
    <row r="1436" spans="1:5" x14ac:dyDescent="0.2">
      <c r="A1436" s="269">
        <v>45910.504826388889</v>
      </c>
      <c r="B1436" t="s">
        <v>1431</v>
      </c>
      <c r="C1436" t="s">
        <v>26</v>
      </c>
      <c r="D1436" t="s">
        <v>1025</v>
      </c>
      <c r="E1436">
        <v>73</v>
      </c>
    </row>
    <row r="1437" spans="1:5" x14ac:dyDescent="0.2">
      <c r="A1437" s="269">
        <v>45910.504884259259</v>
      </c>
      <c r="B1437" t="s">
        <v>1431</v>
      </c>
      <c r="C1437" t="s">
        <v>26</v>
      </c>
      <c r="D1437" t="s">
        <v>1569</v>
      </c>
      <c r="E1437" t="s">
        <v>362</v>
      </c>
    </row>
    <row r="1438" spans="1:5" x14ac:dyDescent="0.2">
      <c r="A1438" s="269">
        <v>45910.504930555559</v>
      </c>
      <c r="B1438" t="s">
        <v>1431</v>
      </c>
      <c r="C1438" t="s">
        <v>26</v>
      </c>
      <c r="D1438" t="s">
        <v>1570</v>
      </c>
      <c r="E1438" t="s">
        <v>364</v>
      </c>
    </row>
    <row r="1439" spans="1:5" x14ac:dyDescent="0.2">
      <c r="A1439" s="269">
        <v>45910.505347222221</v>
      </c>
      <c r="B1439" t="s">
        <v>1431</v>
      </c>
      <c r="C1439" t="s">
        <v>26</v>
      </c>
      <c r="D1439" t="s">
        <v>1571</v>
      </c>
      <c r="E1439">
        <v>85</v>
      </c>
    </row>
    <row r="1440" spans="1:5" x14ac:dyDescent="0.2">
      <c r="A1440" s="269">
        <v>45910.505416666667</v>
      </c>
      <c r="B1440" t="s">
        <v>1431</v>
      </c>
      <c r="C1440" t="s">
        <v>26</v>
      </c>
      <c r="D1440" t="s">
        <v>1572</v>
      </c>
      <c r="E1440" t="s">
        <v>371</v>
      </c>
    </row>
    <row r="1441" spans="1:5" x14ac:dyDescent="0.2">
      <c r="A1441" s="269">
        <v>45910.505462962959</v>
      </c>
      <c r="B1441" t="s">
        <v>1431</v>
      </c>
      <c r="C1441" t="s">
        <v>26</v>
      </c>
      <c r="D1441" t="s">
        <v>1573</v>
      </c>
      <c r="E1441" t="s">
        <v>364</v>
      </c>
    </row>
    <row r="1442" spans="1:5" x14ac:dyDescent="0.2">
      <c r="A1442" s="269">
        <v>45910.50576388889</v>
      </c>
      <c r="B1442" t="s">
        <v>1431</v>
      </c>
      <c r="C1442" t="s">
        <v>26</v>
      </c>
      <c r="D1442" t="s">
        <v>1574</v>
      </c>
      <c r="E1442">
        <v>78.319999999999993</v>
      </c>
    </row>
    <row r="1443" spans="1:5" x14ac:dyDescent="0.2">
      <c r="A1443" s="269">
        <v>45910.505810185183</v>
      </c>
      <c r="B1443" t="s">
        <v>1431</v>
      </c>
      <c r="C1443" t="s">
        <v>26</v>
      </c>
      <c r="D1443" t="s">
        <v>1575</v>
      </c>
      <c r="E1443" t="s">
        <v>379</v>
      </c>
    </row>
    <row r="1444" spans="1:5" x14ac:dyDescent="0.2">
      <c r="A1444" s="269">
        <v>45910.505844907406</v>
      </c>
      <c r="B1444" t="s">
        <v>1431</v>
      </c>
      <c r="C1444" t="s">
        <v>26</v>
      </c>
      <c r="D1444" t="s">
        <v>1576</v>
      </c>
      <c r="E1444" t="s">
        <v>364</v>
      </c>
    </row>
    <row r="1445" spans="1:5" x14ac:dyDescent="0.2">
      <c r="A1445" s="269">
        <v>45910.506064814814</v>
      </c>
      <c r="B1445" t="s">
        <v>1431</v>
      </c>
      <c r="C1445" t="s">
        <v>26</v>
      </c>
      <c r="D1445" t="s">
        <v>1577</v>
      </c>
      <c r="E1445">
        <v>72</v>
      </c>
    </row>
    <row r="1446" spans="1:5" x14ac:dyDescent="0.2">
      <c r="A1446" s="269">
        <v>45910.506111111114</v>
      </c>
      <c r="B1446" t="s">
        <v>1431</v>
      </c>
      <c r="C1446" t="s">
        <v>26</v>
      </c>
      <c r="D1446" t="s">
        <v>1577</v>
      </c>
    </row>
    <row r="1447" spans="1:5" x14ac:dyDescent="0.2">
      <c r="A1447" s="269">
        <v>45910.506249999999</v>
      </c>
      <c r="B1447" t="s">
        <v>1431</v>
      </c>
      <c r="C1447" t="s">
        <v>26</v>
      </c>
      <c r="D1447" t="s">
        <v>1577</v>
      </c>
      <c r="E1447">
        <v>64</v>
      </c>
    </row>
    <row r="1448" spans="1:5" x14ac:dyDescent="0.2">
      <c r="A1448" s="269">
        <v>45910.506284722222</v>
      </c>
      <c r="B1448" t="s">
        <v>1431</v>
      </c>
      <c r="C1448" t="s">
        <v>26</v>
      </c>
      <c r="D1448" t="s">
        <v>1578</v>
      </c>
      <c r="E1448" t="s">
        <v>386</v>
      </c>
    </row>
    <row r="1449" spans="1:5" x14ac:dyDescent="0.2">
      <c r="A1449" s="269">
        <v>45910.506331018521</v>
      </c>
      <c r="B1449" t="s">
        <v>1431</v>
      </c>
      <c r="C1449" t="s">
        <v>26</v>
      </c>
      <c r="D1449" t="s">
        <v>1579</v>
      </c>
      <c r="E1449" t="s">
        <v>364</v>
      </c>
    </row>
    <row r="1450" spans="1:5" x14ac:dyDescent="0.2">
      <c r="A1450" s="269">
        <v>45910.506678240738</v>
      </c>
      <c r="B1450" t="s">
        <v>1431</v>
      </c>
      <c r="C1450" t="s">
        <v>26</v>
      </c>
      <c r="D1450" t="s">
        <v>1580</v>
      </c>
      <c r="E1450">
        <v>85</v>
      </c>
    </row>
    <row r="1451" spans="1:5" x14ac:dyDescent="0.2">
      <c r="A1451" s="269">
        <v>45910.506724537037</v>
      </c>
      <c r="B1451" t="s">
        <v>1431</v>
      </c>
      <c r="C1451" t="s">
        <v>26</v>
      </c>
      <c r="D1451" t="s">
        <v>1581</v>
      </c>
      <c r="E1451" t="s">
        <v>390</v>
      </c>
    </row>
    <row r="1452" spans="1:5" x14ac:dyDescent="0.2">
      <c r="A1452" s="269">
        <v>45910.506828703707</v>
      </c>
      <c r="B1452" t="s">
        <v>1431</v>
      </c>
      <c r="C1452" t="s">
        <v>26</v>
      </c>
      <c r="D1452" t="s">
        <v>1582</v>
      </c>
      <c r="E1452" t="s">
        <v>364</v>
      </c>
    </row>
    <row r="1453" spans="1:5" x14ac:dyDescent="0.2">
      <c r="A1453" s="269">
        <v>45910.507118055553</v>
      </c>
      <c r="B1453" t="s">
        <v>1431</v>
      </c>
      <c r="C1453" t="s">
        <v>26</v>
      </c>
      <c r="D1453" t="s">
        <v>1583</v>
      </c>
      <c r="E1453">
        <v>60</v>
      </c>
    </row>
    <row r="1454" spans="1:5" x14ac:dyDescent="0.2">
      <c r="A1454" s="269">
        <v>45910.507199074076</v>
      </c>
      <c r="B1454" t="s">
        <v>1431</v>
      </c>
      <c r="C1454" t="s">
        <v>26</v>
      </c>
      <c r="D1454" t="s">
        <v>1584</v>
      </c>
      <c r="E1454" t="s">
        <v>41</v>
      </c>
    </row>
    <row r="1455" spans="1:5" x14ac:dyDescent="0.2">
      <c r="A1455" s="269">
        <v>45910.507233796299</v>
      </c>
      <c r="B1455" t="s">
        <v>1431</v>
      </c>
      <c r="C1455" t="s">
        <v>26</v>
      </c>
      <c r="D1455" t="s">
        <v>1585</v>
      </c>
      <c r="E1455" t="s">
        <v>364</v>
      </c>
    </row>
    <row r="1456" spans="1:5" x14ac:dyDescent="0.2">
      <c r="A1456" s="269">
        <v>45910.507314814815</v>
      </c>
      <c r="B1456" t="s">
        <v>1431</v>
      </c>
      <c r="C1456" t="s">
        <v>26</v>
      </c>
      <c r="D1456" t="s">
        <v>1586</v>
      </c>
      <c r="E1456">
        <v>60</v>
      </c>
    </row>
    <row r="1457" spans="1:5" x14ac:dyDescent="0.2">
      <c r="A1457" s="269">
        <v>45910.507557870369</v>
      </c>
      <c r="B1457" t="s">
        <v>1431</v>
      </c>
      <c r="C1457" t="s">
        <v>26</v>
      </c>
      <c r="D1457" t="s">
        <v>1583</v>
      </c>
      <c r="E1457">
        <v>57</v>
      </c>
    </row>
    <row r="1458" spans="1:5" x14ac:dyDescent="0.2">
      <c r="A1458" s="269">
        <v>45910.507581018515</v>
      </c>
      <c r="B1458" t="s">
        <v>1431</v>
      </c>
      <c r="C1458" t="s">
        <v>26</v>
      </c>
      <c r="D1458" t="s">
        <v>1586</v>
      </c>
    </row>
    <row r="1459" spans="1:5" x14ac:dyDescent="0.2">
      <c r="A1459" s="269">
        <v>45910.507615740738</v>
      </c>
      <c r="B1459" t="s">
        <v>1431</v>
      </c>
      <c r="C1459" t="s">
        <v>26</v>
      </c>
      <c r="D1459" t="s">
        <v>1586</v>
      </c>
      <c r="E1459">
        <v>57</v>
      </c>
    </row>
    <row r="1460" spans="1:5" x14ac:dyDescent="0.2">
      <c r="A1460" s="269">
        <v>45910.507673611108</v>
      </c>
      <c r="B1460" t="s">
        <v>1431</v>
      </c>
      <c r="C1460" t="s">
        <v>26</v>
      </c>
      <c r="D1460" t="s">
        <v>1587</v>
      </c>
      <c r="E1460" t="s">
        <v>397</v>
      </c>
    </row>
    <row r="1461" spans="1:5" x14ac:dyDescent="0.2">
      <c r="A1461" s="269">
        <v>45910.507731481484</v>
      </c>
      <c r="B1461" t="s">
        <v>1431</v>
      </c>
      <c r="C1461" t="s">
        <v>26</v>
      </c>
      <c r="D1461" t="s">
        <v>1079</v>
      </c>
      <c r="E1461" t="s">
        <v>364</v>
      </c>
    </row>
    <row r="1462" spans="1:5" x14ac:dyDescent="0.2">
      <c r="A1462" s="269">
        <v>45910.508055555554</v>
      </c>
      <c r="B1462" t="s">
        <v>1431</v>
      </c>
      <c r="C1462" t="s">
        <v>26</v>
      </c>
      <c r="D1462" t="s">
        <v>986</v>
      </c>
      <c r="E1462">
        <v>72</v>
      </c>
    </row>
    <row r="1463" spans="1:5" x14ac:dyDescent="0.2">
      <c r="A1463" s="269">
        <v>45910.508194444446</v>
      </c>
      <c r="B1463" t="s">
        <v>1431</v>
      </c>
      <c r="C1463" t="s">
        <v>26</v>
      </c>
      <c r="D1463" t="s">
        <v>1588</v>
      </c>
      <c r="E1463" t="s">
        <v>400</v>
      </c>
    </row>
    <row r="1464" spans="1:5" x14ac:dyDescent="0.2">
      <c r="A1464" s="269">
        <v>45910.508240740739</v>
      </c>
      <c r="B1464" t="s">
        <v>1431</v>
      </c>
      <c r="C1464" t="s">
        <v>26</v>
      </c>
      <c r="D1464" t="s">
        <v>1589</v>
      </c>
      <c r="E1464" t="s">
        <v>364</v>
      </c>
    </row>
    <row r="1465" spans="1:5" x14ac:dyDescent="0.2">
      <c r="A1465" s="269">
        <v>45910.509085648147</v>
      </c>
      <c r="B1465" t="s">
        <v>1431</v>
      </c>
      <c r="C1465" t="s">
        <v>26</v>
      </c>
      <c r="D1465" t="s">
        <v>1590</v>
      </c>
      <c r="E1465">
        <v>76</v>
      </c>
    </row>
    <row r="1466" spans="1:5" x14ac:dyDescent="0.2">
      <c r="A1466" s="269">
        <v>45910.509131944447</v>
      </c>
      <c r="B1466" t="s">
        <v>1431</v>
      </c>
      <c r="C1466" t="s">
        <v>26</v>
      </c>
      <c r="D1466" t="s">
        <v>1591</v>
      </c>
      <c r="E1466" t="s">
        <v>404</v>
      </c>
    </row>
    <row r="1467" spans="1:5" x14ac:dyDescent="0.2">
      <c r="A1467" s="269">
        <v>45910.509201388886</v>
      </c>
      <c r="B1467" t="s">
        <v>1431</v>
      </c>
      <c r="C1467" t="s">
        <v>26</v>
      </c>
      <c r="D1467" t="s">
        <v>1592</v>
      </c>
      <c r="E1467" t="s">
        <v>364</v>
      </c>
    </row>
    <row r="1468" spans="1:5" x14ac:dyDescent="0.2">
      <c r="A1468" s="269">
        <v>45910.509502314817</v>
      </c>
      <c r="B1468" t="s">
        <v>1431</v>
      </c>
      <c r="C1468" t="s">
        <v>26</v>
      </c>
      <c r="D1468" t="s">
        <v>1593</v>
      </c>
      <c r="E1468">
        <v>95.23</v>
      </c>
    </row>
    <row r="1469" spans="1:5" x14ac:dyDescent="0.2">
      <c r="A1469" s="269">
        <v>45910.509594907409</v>
      </c>
      <c r="B1469" t="s">
        <v>1431</v>
      </c>
      <c r="C1469" t="s">
        <v>26</v>
      </c>
      <c r="D1469" t="s">
        <v>1594</v>
      </c>
      <c r="E1469" t="s">
        <v>407</v>
      </c>
    </row>
    <row r="1470" spans="1:5" x14ac:dyDescent="0.2">
      <c r="A1470" s="269">
        <v>45910.509629629632</v>
      </c>
      <c r="B1470" t="s">
        <v>1431</v>
      </c>
      <c r="C1470" t="s">
        <v>26</v>
      </c>
      <c r="D1470" t="s">
        <v>1595</v>
      </c>
      <c r="E1470" t="s">
        <v>364</v>
      </c>
    </row>
    <row r="1471" spans="1:5" x14ac:dyDescent="0.2">
      <c r="A1471" s="269">
        <v>45910.510324074072</v>
      </c>
      <c r="B1471" t="s">
        <v>1431</v>
      </c>
      <c r="C1471" t="s">
        <v>26</v>
      </c>
      <c r="D1471" t="s">
        <v>1596</v>
      </c>
      <c r="E1471">
        <v>149.65</v>
      </c>
    </row>
    <row r="1472" spans="1:5" x14ac:dyDescent="0.2">
      <c r="A1472" s="269">
        <v>45910.510729166665</v>
      </c>
      <c r="B1472" t="s">
        <v>1431</v>
      </c>
      <c r="C1472" t="s">
        <v>26</v>
      </c>
      <c r="D1472" t="s">
        <v>937</v>
      </c>
      <c r="E1472" t="s">
        <v>1597</v>
      </c>
    </row>
    <row r="1473" spans="1:5" x14ac:dyDescent="0.2">
      <c r="A1473" s="269">
        <v>45910.510914351849</v>
      </c>
      <c r="B1473" t="s">
        <v>1431</v>
      </c>
      <c r="C1473" t="s">
        <v>26</v>
      </c>
      <c r="D1473" t="s">
        <v>937</v>
      </c>
    </row>
    <row r="1474" spans="1:5" x14ac:dyDescent="0.2">
      <c r="A1474" s="269">
        <v>45910.511284722219</v>
      </c>
      <c r="B1474" t="s">
        <v>1431</v>
      </c>
      <c r="C1474" t="s">
        <v>26</v>
      </c>
      <c r="D1474" t="s">
        <v>937</v>
      </c>
      <c r="E1474" t="s">
        <v>1598</v>
      </c>
    </row>
    <row r="1475" spans="1:5" x14ac:dyDescent="0.2">
      <c r="A1475" s="269">
        <v>45910.511689814812</v>
      </c>
      <c r="B1475" t="s">
        <v>1431</v>
      </c>
      <c r="C1475" t="s">
        <v>26</v>
      </c>
      <c r="D1475" t="s">
        <v>926</v>
      </c>
      <c r="E1475" t="s">
        <v>1599</v>
      </c>
    </row>
    <row r="1476" spans="1:5" x14ac:dyDescent="0.2">
      <c r="A1476" s="269">
        <v>45910.551539351851</v>
      </c>
      <c r="B1476" t="s">
        <v>1431</v>
      </c>
      <c r="C1476" t="s">
        <v>26</v>
      </c>
      <c r="D1476" t="s">
        <v>874</v>
      </c>
      <c r="E1476" t="s">
        <v>1600</v>
      </c>
    </row>
    <row r="1477" spans="1:5" x14ac:dyDescent="0.2">
      <c r="A1477" s="269">
        <v>45910.551747685182</v>
      </c>
      <c r="B1477" t="s">
        <v>1431</v>
      </c>
      <c r="C1477" t="s">
        <v>26</v>
      </c>
      <c r="D1477" t="s">
        <v>874</v>
      </c>
      <c r="E1477" t="s">
        <v>1601</v>
      </c>
    </row>
    <row r="1478" spans="1:5" x14ac:dyDescent="0.2">
      <c r="A1478" s="269">
        <v>45910.552245370367</v>
      </c>
      <c r="B1478" t="s">
        <v>1431</v>
      </c>
      <c r="C1478" t="s">
        <v>26</v>
      </c>
      <c r="D1478" t="s">
        <v>1450</v>
      </c>
      <c r="E1478" t="s">
        <v>1602</v>
      </c>
    </row>
    <row r="1479" spans="1:5" x14ac:dyDescent="0.2">
      <c r="A1479" s="269">
        <v>45910.552847222221</v>
      </c>
      <c r="B1479" t="s">
        <v>1431</v>
      </c>
      <c r="C1479" t="s">
        <v>26</v>
      </c>
      <c r="D1479" t="s">
        <v>1451</v>
      </c>
      <c r="E1479" t="s">
        <v>1603</v>
      </c>
    </row>
    <row r="1480" spans="1:5" x14ac:dyDescent="0.2">
      <c r="A1480" s="269">
        <v>45910.553182870368</v>
      </c>
      <c r="B1480" t="s">
        <v>1431</v>
      </c>
      <c r="C1480" t="s">
        <v>26</v>
      </c>
      <c r="D1480" t="s">
        <v>1452</v>
      </c>
      <c r="E1480" t="s">
        <v>1604</v>
      </c>
    </row>
    <row r="1481" spans="1:5" x14ac:dyDescent="0.2">
      <c r="A1481" s="269">
        <v>45910.553356481483</v>
      </c>
      <c r="B1481" t="s">
        <v>1431</v>
      </c>
      <c r="C1481" t="s">
        <v>26</v>
      </c>
      <c r="D1481" t="s">
        <v>1453</v>
      </c>
      <c r="E1481" t="s">
        <v>1605</v>
      </c>
    </row>
    <row r="1482" spans="1:5" x14ac:dyDescent="0.2">
      <c r="A1482" s="269">
        <v>45910.553587962961</v>
      </c>
      <c r="B1482" t="s">
        <v>1431</v>
      </c>
      <c r="C1482" t="s">
        <v>26</v>
      </c>
      <c r="D1482" t="s">
        <v>1454</v>
      </c>
    </row>
    <row r="1483" spans="1:5" x14ac:dyDescent="0.2">
      <c r="A1483" s="269">
        <v>45910.553877314815</v>
      </c>
      <c r="B1483" t="s">
        <v>1431</v>
      </c>
      <c r="C1483" t="s">
        <v>26</v>
      </c>
      <c r="D1483" t="s">
        <v>1454</v>
      </c>
      <c r="E1483" t="s">
        <v>1606</v>
      </c>
    </row>
    <row r="1484" spans="1:5" x14ac:dyDescent="0.2">
      <c r="A1484" s="269">
        <v>45910.554027777776</v>
      </c>
      <c r="B1484" t="s">
        <v>1431</v>
      </c>
      <c r="C1484" t="s">
        <v>26</v>
      </c>
      <c r="D1484" t="s">
        <v>1455</v>
      </c>
      <c r="E1484" t="s">
        <v>1607</v>
      </c>
    </row>
    <row r="1485" spans="1:5" x14ac:dyDescent="0.2">
      <c r="A1485" s="269">
        <v>45910.554189814815</v>
      </c>
      <c r="B1485" t="s">
        <v>1431</v>
      </c>
      <c r="C1485" t="s">
        <v>26</v>
      </c>
      <c r="D1485" t="s">
        <v>1456</v>
      </c>
      <c r="E1485" t="s">
        <v>1608</v>
      </c>
    </row>
    <row r="1486" spans="1:5" x14ac:dyDescent="0.2">
      <c r="A1486" s="269">
        <v>45910.554351851853</v>
      </c>
      <c r="B1486" t="s">
        <v>1431</v>
      </c>
      <c r="C1486" t="s">
        <v>26</v>
      </c>
      <c r="D1486" t="s">
        <v>1457</v>
      </c>
      <c r="E1486" t="s">
        <v>1609</v>
      </c>
    </row>
    <row r="1487" spans="1:5" x14ac:dyDescent="0.2">
      <c r="A1487" s="269">
        <v>45910.554502314815</v>
      </c>
      <c r="B1487" t="s">
        <v>1431</v>
      </c>
      <c r="C1487" t="s">
        <v>26</v>
      </c>
      <c r="D1487" t="s">
        <v>1458</v>
      </c>
      <c r="E1487" t="s">
        <v>1610</v>
      </c>
    </row>
    <row r="1488" spans="1:5" x14ac:dyDescent="0.2">
      <c r="A1488" s="269">
        <v>45910.555405092593</v>
      </c>
      <c r="B1488" t="s">
        <v>1431</v>
      </c>
      <c r="C1488" t="s">
        <v>26</v>
      </c>
      <c r="D1488" t="s">
        <v>1432</v>
      </c>
      <c r="E1488" t="s">
        <v>1522</v>
      </c>
    </row>
    <row r="1489" spans="1:5" x14ac:dyDescent="0.2">
      <c r="A1489" s="269">
        <v>45910.555891203701</v>
      </c>
      <c r="B1489" t="s">
        <v>1431</v>
      </c>
      <c r="C1489" t="s">
        <v>25</v>
      </c>
      <c r="D1489" t="s">
        <v>1432</v>
      </c>
    </row>
    <row r="1490" spans="1:5" x14ac:dyDescent="0.2">
      <c r="A1490" s="269">
        <v>45910.55773148148</v>
      </c>
      <c r="B1490" t="s">
        <v>1431</v>
      </c>
      <c r="C1490" t="s">
        <v>15</v>
      </c>
      <c r="D1490" t="s">
        <v>1191</v>
      </c>
      <c r="E1490" t="s">
        <v>1611</v>
      </c>
    </row>
    <row r="1491" spans="1:5" x14ac:dyDescent="0.2">
      <c r="A1491" s="269">
        <v>45910.557870370372</v>
      </c>
      <c r="B1491" t="s">
        <v>1431</v>
      </c>
      <c r="C1491" t="s">
        <v>15</v>
      </c>
      <c r="D1491" t="s">
        <v>1469</v>
      </c>
    </row>
    <row r="1492" spans="1:5" x14ac:dyDescent="0.2">
      <c r="A1492" s="269">
        <v>45910.557893518519</v>
      </c>
      <c r="B1492" t="s">
        <v>1431</v>
      </c>
      <c r="C1492" t="s">
        <v>15</v>
      </c>
      <c r="D1492" t="s">
        <v>972</v>
      </c>
    </row>
    <row r="1493" spans="1:5" x14ac:dyDescent="0.2">
      <c r="A1493" s="269">
        <v>45910.55914351852</v>
      </c>
      <c r="B1493" t="s">
        <v>1431</v>
      </c>
      <c r="C1493" t="s">
        <v>15</v>
      </c>
      <c r="D1493" t="s">
        <v>982</v>
      </c>
    </row>
    <row r="1494" spans="1:5" x14ac:dyDescent="0.2">
      <c r="A1494" s="269">
        <v>45910.560706018521</v>
      </c>
      <c r="B1494" t="s">
        <v>1431</v>
      </c>
      <c r="C1494" t="s">
        <v>15</v>
      </c>
      <c r="D1494" t="s">
        <v>972</v>
      </c>
      <c r="E1494">
        <v>1.5</v>
      </c>
    </row>
    <row r="1495" spans="1:5" x14ac:dyDescent="0.2">
      <c r="A1495" s="269">
        <v>45910.560856481483</v>
      </c>
      <c r="B1495" t="s">
        <v>1431</v>
      </c>
      <c r="C1495" t="s">
        <v>15</v>
      </c>
      <c r="D1495" t="s">
        <v>1469</v>
      </c>
    </row>
    <row r="1496" spans="1:5" x14ac:dyDescent="0.2">
      <c r="A1496" s="269">
        <v>45910.560856481483</v>
      </c>
      <c r="B1496" t="s">
        <v>1431</v>
      </c>
      <c r="C1496" t="s">
        <v>15</v>
      </c>
      <c r="D1496" t="s">
        <v>1469</v>
      </c>
    </row>
    <row r="1497" spans="1:5" x14ac:dyDescent="0.2">
      <c r="A1497" s="269">
        <v>45910.560937499999</v>
      </c>
      <c r="B1497" t="s">
        <v>1431</v>
      </c>
      <c r="C1497" t="s">
        <v>15</v>
      </c>
      <c r="D1497" t="s">
        <v>1568</v>
      </c>
    </row>
    <row r="1498" spans="1:5" x14ac:dyDescent="0.2">
      <c r="A1498" s="269">
        <v>45910.560937499999</v>
      </c>
      <c r="B1498" t="s">
        <v>1431</v>
      </c>
      <c r="C1498" t="s">
        <v>15</v>
      </c>
      <c r="D1498" t="s">
        <v>1568</v>
      </c>
    </row>
    <row r="1499" spans="1:5" x14ac:dyDescent="0.2">
      <c r="A1499" s="269">
        <v>45910.561469907407</v>
      </c>
      <c r="B1499" t="s">
        <v>1431</v>
      </c>
      <c r="C1499" t="s">
        <v>15</v>
      </c>
      <c r="D1499" t="s">
        <v>795</v>
      </c>
      <c r="E1499" t="s">
        <v>1611</v>
      </c>
    </row>
    <row r="1500" spans="1:5" x14ac:dyDescent="0.2">
      <c r="A1500" s="269">
        <v>45910.561701388891</v>
      </c>
      <c r="B1500" t="s">
        <v>1431</v>
      </c>
      <c r="C1500" t="s">
        <v>15</v>
      </c>
      <c r="D1500" t="s">
        <v>995</v>
      </c>
      <c r="E1500" t="s">
        <v>200</v>
      </c>
    </row>
    <row r="1501" spans="1:5" x14ac:dyDescent="0.2">
      <c r="A1501" s="269">
        <v>45910.561736111114</v>
      </c>
      <c r="B1501" t="s">
        <v>1431</v>
      </c>
      <c r="C1501" t="s">
        <v>15</v>
      </c>
      <c r="D1501" t="s">
        <v>1446</v>
      </c>
    </row>
    <row r="1502" spans="1:5" x14ac:dyDescent="0.2">
      <c r="A1502" s="269">
        <v>45910.56181712963</v>
      </c>
      <c r="B1502" t="s">
        <v>1431</v>
      </c>
      <c r="C1502" t="s">
        <v>15</v>
      </c>
      <c r="D1502" t="s">
        <v>995</v>
      </c>
    </row>
    <row r="1503" spans="1:5" x14ac:dyDescent="0.2">
      <c r="A1503" s="269">
        <v>45910.561863425923</v>
      </c>
      <c r="B1503" t="s">
        <v>1431</v>
      </c>
      <c r="C1503" t="s">
        <v>15</v>
      </c>
      <c r="D1503" t="s">
        <v>994</v>
      </c>
      <c r="E1503">
        <v>1</v>
      </c>
    </row>
    <row r="1504" spans="1:5" x14ac:dyDescent="0.2">
      <c r="A1504" s="269">
        <v>45910.561956018515</v>
      </c>
      <c r="B1504" t="s">
        <v>1431</v>
      </c>
      <c r="C1504" t="s">
        <v>15</v>
      </c>
      <c r="D1504" t="s">
        <v>976</v>
      </c>
      <c r="E1504" t="s">
        <v>380</v>
      </c>
    </row>
    <row r="1505" spans="1:5" x14ac:dyDescent="0.2">
      <c r="A1505" s="269">
        <v>45910.562037037038</v>
      </c>
      <c r="B1505" t="s">
        <v>1431</v>
      </c>
      <c r="C1505" t="s">
        <v>15</v>
      </c>
      <c r="D1505" t="s">
        <v>874</v>
      </c>
      <c r="E1505" t="s">
        <v>352</v>
      </c>
    </row>
    <row r="1506" spans="1:5" x14ac:dyDescent="0.2">
      <c r="A1506" s="269">
        <v>45910.562106481484</v>
      </c>
      <c r="B1506" t="s">
        <v>1431</v>
      </c>
      <c r="C1506" t="s">
        <v>15</v>
      </c>
      <c r="D1506" t="s">
        <v>995</v>
      </c>
      <c r="E1506" t="s">
        <v>200</v>
      </c>
    </row>
    <row r="1507" spans="1:5" x14ac:dyDescent="0.2">
      <c r="A1507" s="269">
        <v>45910.562372685185</v>
      </c>
      <c r="B1507" t="s">
        <v>1431</v>
      </c>
      <c r="C1507" t="s">
        <v>15</v>
      </c>
      <c r="D1507" t="s">
        <v>1469</v>
      </c>
    </row>
    <row r="1508" spans="1:5" x14ac:dyDescent="0.2">
      <c r="A1508" s="269">
        <v>45910.562372685185</v>
      </c>
      <c r="B1508" t="s">
        <v>1431</v>
      </c>
      <c r="C1508" t="s">
        <v>15</v>
      </c>
      <c r="D1508" t="s">
        <v>1469</v>
      </c>
    </row>
    <row r="1509" spans="1:5" x14ac:dyDescent="0.2">
      <c r="A1509" s="269">
        <v>45910.5624537037</v>
      </c>
      <c r="B1509" t="s">
        <v>1431</v>
      </c>
      <c r="C1509" t="s">
        <v>15</v>
      </c>
      <c r="D1509" t="s">
        <v>972</v>
      </c>
    </row>
    <row r="1510" spans="1:5" x14ac:dyDescent="0.2">
      <c r="A1510" s="269">
        <v>45910.562743055554</v>
      </c>
      <c r="B1510" t="s">
        <v>1431</v>
      </c>
      <c r="C1510" t="s">
        <v>15</v>
      </c>
      <c r="D1510" t="s">
        <v>972</v>
      </c>
      <c r="E1510">
        <v>1.6</v>
      </c>
    </row>
    <row r="1511" spans="1:5" x14ac:dyDescent="0.2">
      <c r="A1511" s="269">
        <v>45910.56449074074</v>
      </c>
      <c r="B1511" t="s">
        <v>1431</v>
      </c>
      <c r="C1511" t="s">
        <v>15</v>
      </c>
      <c r="D1511" t="s">
        <v>976</v>
      </c>
      <c r="E1511" t="s">
        <v>372</v>
      </c>
    </row>
    <row r="1512" spans="1:5" x14ac:dyDescent="0.2">
      <c r="A1512" s="269">
        <v>45910.564652777779</v>
      </c>
      <c r="B1512" t="s">
        <v>1431</v>
      </c>
      <c r="C1512" t="s">
        <v>15</v>
      </c>
      <c r="D1512" t="s">
        <v>1552</v>
      </c>
      <c r="E1512">
        <v>0.52</v>
      </c>
    </row>
    <row r="1513" spans="1:5" x14ac:dyDescent="0.2">
      <c r="A1513" s="269">
        <v>45910.565011574072</v>
      </c>
      <c r="B1513" t="s">
        <v>1431</v>
      </c>
      <c r="C1513" t="s">
        <v>15</v>
      </c>
      <c r="D1513" t="s">
        <v>1612</v>
      </c>
    </row>
    <row r="1514" spans="1:5" x14ac:dyDescent="0.2">
      <c r="A1514" s="269">
        <v>45910.565185185187</v>
      </c>
      <c r="B1514" t="s">
        <v>1431</v>
      </c>
      <c r="C1514" t="s">
        <v>15</v>
      </c>
      <c r="D1514" t="s">
        <v>982</v>
      </c>
      <c r="E1514" t="s">
        <v>1613</v>
      </c>
    </row>
    <row r="1515" spans="1:5" x14ac:dyDescent="0.2">
      <c r="A1515" s="269">
        <v>45910.565300925926</v>
      </c>
      <c r="B1515" t="s">
        <v>1431</v>
      </c>
      <c r="C1515" t="s">
        <v>15</v>
      </c>
      <c r="D1515" t="s">
        <v>982</v>
      </c>
    </row>
    <row r="1516" spans="1:5" x14ac:dyDescent="0.2">
      <c r="A1516" s="269">
        <v>45910.56559027778</v>
      </c>
      <c r="B1516" t="s">
        <v>1431</v>
      </c>
      <c r="C1516" t="s">
        <v>15</v>
      </c>
      <c r="D1516" t="s">
        <v>982</v>
      </c>
      <c r="E1516" t="s">
        <v>1614</v>
      </c>
    </row>
    <row r="1517" spans="1:5" x14ac:dyDescent="0.2">
      <c r="A1517" s="269">
        <v>45910.565821759257</v>
      </c>
      <c r="B1517" t="s">
        <v>1431</v>
      </c>
      <c r="C1517" t="s">
        <v>15</v>
      </c>
      <c r="D1517" t="s">
        <v>1612</v>
      </c>
      <c r="E1517" t="s">
        <v>1615</v>
      </c>
    </row>
    <row r="1518" spans="1:5" x14ac:dyDescent="0.2">
      <c r="A1518" s="269">
        <v>45910.566041666665</v>
      </c>
      <c r="B1518" t="s">
        <v>1431</v>
      </c>
      <c r="C1518" t="s">
        <v>15</v>
      </c>
      <c r="D1518" t="s">
        <v>1013</v>
      </c>
      <c r="E1518" t="s">
        <v>1616</v>
      </c>
    </row>
    <row r="1519" spans="1:5" x14ac:dyDescent="0.2">
      <c r="A1519" s="269">
        <v>45910.566122685188</v>
      </c>
      <c r="B1519" t="s">
        <v>1431</v>
      </c>
      <c r="C1519" t="s">
        <v>15</v>
      </c>
      <c r="D1519" t="s">
        <v>977</v>
      </c>
      <c r="E1519" t="s">
        <v>372</v>
      </c>
    </row>
    <row r="1520" spans="1:5" x14ac:dyDescent="0.2">
      <c r="A1520" s="269">
        <v>45910.566203703704</v>
      </c>
      <c r="B1520" t="s">
        <v>1431</v>
      </c>
      <c r="C1520" t="s">
        <v>15</v>
      </c>
      <c r="D1520" t="s">
        <v>1450</v>
      </c>
      <c r="E1520" t="s">
        <v>352</v>
      </c>
    </row>
    <row r="1521" spans="1:5" x14ac:dyDescent="0.2">
      <c r="A1521" s="269">
        <v>45910.566446759258</v>
      </c>
      <c r="B1521" t="s">
        <v>1431</v>
      </c>
      <c r="C1521" t="s">
        <v>15</v>
      </c>
      <c r="D1521" t="s">
        <v>1014</v>
      </c>
      <c r="E1521" t="s">
        <v>200</v>
      </c>
    </row>
    <row r="1522" spans="1:5" x14ac:dyDescent="0.2">
      <c r="A1522" s="269">
        <v>45910.56658564815</v>
      </c>
      <c r="B1522" t="s">
        <v>1431</v>
      </c>
      <c r="C1522" t="s">
        <v>15</v>
      </c>
      <c r="D1522" t="s">
        <v>1014</v>
      </c>
    </row>
    <row r="1523" spans="1:5" x14ac:dyDescent="0.2">
      <c r="A1523" s="269">
        <v>45910.566631944443</v>
      </c>
      <c r="B1523" t="s">
        <v>1431</v>
      </c>
      <c r="C1523" t="s">
        <v>15</v>
      </c>
      <c r="D1523" t="s">
        <v>1015</v>
      </c>
      <c r="E1523">
        <v>1</v>
      </c>
    </row>
    <row r="1524" spans="1:5" x14ac:dyDescent="0.2">
      <c r="A1524" s="269">
        <v>45910.566655092596</v>
      </c>
      <c r="B1524" t="s">
        <v>1431</v>
      </c>
      <c r="C1524" t="s">
        <v>15</v>
      </c>
      <c r="D1524" t="s">
        <v>994</v>
      </c>
    </row>
    <row r="1525" spans="1:5" x14ac:dyDescent="0.2">
      <c r="A1525" s="269">
        <v>45910.566712962966</v>
      </c>
      <c r="B1525" t="s">
        <v>1431</v>
      </c>
      <c r="C1525" t="s">
        <v>15</v>
      </c>
      <c r="D1525" t="s">
        <v>994</v>
      </c>
      <c r="E1525">
        <v>2</v>
      </c>
    </row>
    <row r="1526" spans="1:5" x14ac:dyDescent="0.2">
      <c r="A1526" s="269">
        <v>45910.566828703704</v>
      </c>
      <c r="B1526" t="s">
        <v>1431</v>
      </c>
      <c r="C1526" t="s">
        <v>15</v>
      </c>
      <c r="D1526" t="s">
        <v>982</v>
      </c>
    </row>
    <row r="1527" spans="1:5" x14ac:dyDescent="0.2">
      <c r="A1527" s="269">
        <v>45910.56695601852</v>
      </c>
      <c r="B1527" t="s">
        <v>1431</v>
      </c>
      <c r="C1527" t="s">
        <v>15</v>
      </c>
      <c r="D1527" t="s">
        <v>982</v>
      </c>
      <c r="E1527" t="s">
        <v>1617</v>
      </c>
    </row>
    <row r="1528" spans="1:5" x14ac:dyDescent="0.2">
      <c r="A1528" s="269">
        <v>45910.566967592589</v>
      </c>
      <c r="B1528" t="s">
        <v>1431</v>
      </c>
      <c r="C1528" t="s">
        <v>15</v>
      </c>
      <c r="D1528" t="s">
        <v>1612</v>
      </c>
    </row>
    <row r="1529" spans="1:5" x14ac:dyDescent="0.2">
      <c r="A1529" s="269">
        <v>45910.567083333335</v>
      </c>
      <c r="B1529" t="s">
        <v>1431</v>
      </c>
      <c r="C1529" t="s">
        <v>15</v>
      </c>
      <c r="D1529" t="s">
        <v>1612</v>
      </c>
      <c r="E1529" t="s">
        <v>1618</v>
      </c>
    </row>
    <row r="1530" spans="1:5" x14ac:dyDescent="0.2">
      <c r="A1530" s="269">
        <v>45910.567245370374</v>
      </c>
      <c r="B1530" t="s">
        <v>1431</v>
      </c>
      <c r="C1530" t="s">
        <v>15</v>
      </c>
      <c r="D1530" t="s">
        <v>1014</v>
      </c>
      <c r="E1530" t="s">
        <v>200</v>
      </c>
    </row>
    <row r="1531" spans="1:5" x14ac:dyDescent="0.2">
      <c r="A1531" s="269">
        <v>45910.567476851851</v>
      </c>
      <c r="B1531" t="s">
        <v>1431</v>
      </c>
      <c r="C1531" t="s">
        <v>15</v>
      </c>
      <c r="D1531" t="s">
        <v>1612</v>
      </c>
      <c r="E1531" t="s">
        <v>1619</v>
      </c>
    </row>
    <row r="1532" spans="1:5" x14ac:dyDescent="0.2">
      <c r="A1532" s="269">
        <v>45910.568414351852</v>
      </c>
      <c r="B1532" t="s">
        <v>1431</v>
      </c>
      <c r="C1532" t="s">
        <v>15</v>
      </c>
      <c r="D1532" t="s">
        <v>1016</v>
      </c>
      <c r="E1532">
        <v>0.83</v>
      </c>
    </row>
    <row r="1533" spans="1:5" x14ac:dyDescent="0.2">
      <c r="A1533" s="269">
        <v>45910.568668981483</v>
      </c>
      <c r="B1533" t="s">
        <v>1431</v>
      </c>
      <c r="C1533" t="s">
        <v>15</v>
      </c>
      <c r="D1533" t="s">
        <v>1016</v>
      </c>
      <c r="E1533">
        <v>0.93</v>
      </c>
    </row>
    <row r="1534" spans="1:5" x14ac:dyDescent="0.2">
      <c r="A1534" s="269">
        <v>45910.568819444445</v>
      </c>
      <c r="B1534" t="s">
        <v>1431</v>
      </c>
      <c r="C1534" t="s">
        <v>15</v>
      </c>
      <c r="D1534" t="s">
        <v>1620</v>
      </c>
      <c r="E1534" t="s">
        <v>1617</v>
      </c>
    </row>
    <row r="1535" spans="1:5" x14ac:dyDescent="0.2">
      <c r="A1535" s="269">
        <v>45910.568854166668</v>
      </c>
      <c r="B1535" t="s">
        <v>1431</v>
      </c>
      <c r="C1535" t="s">
        <v>15</v>
      </c>
      <c r="D1535" t="s">
        <v>1612</v>
      </c>
    </row>
    <row r="1536" spans="1:5" x14ac:dyDescent="0.2">
      <c r="A1536" s="269">
        <v>45910.568981481483</v>
      </c>
      <c r="B1536" t="s">
        <v>1431</v>
      </c>
      <c r="C1536" t="s">
        <v>15</v>
      </c>
      <c r="D1536" t="s">
        <v>1612</v>
      </c>
      <c r="E1536" t="s">
        <v>1618</v>
      </c>
    </row>
    <row r="1537" spans="1:5" x14ac:dyDescent="0.2">
      <c r="A1537" s="269">
        <v>45910.569374999999</v>
      </c>
      <c r="B1537" t="s">
        <v>1431</v>
      </c>
      <c r="C1537" t="s">
        <v>15</v>
      </c>
      <c r="D1537" t="s">
        <v>975</v>
      </c>
      <c r="E1537">
        <v>1.6</v>
      </c>
    </row>
    <row r="1538" spans="1:5" x14ac:dyDescent="0.2">
      <c r="A1538" s="269">
        <v>45910.569953703707</v>
      </c>
      <c r="B1538" t="s">
        <v>1431</v>
      </c>
      <c r="C1538" t="s">
        <v>15</v>
      </c>
      <c r="D1538" t="s">
        <v>1469</v>
      </c>
      <c r="E1538" t="s">
        <v>338</v>
      </c>
    </row>
    <row r="1539" spans="1:5" x14ac:dyDescent="0.2">
      <c r="A1539" s="269">
        <v>45910.570150462961</v>
      </c>
      <c r="B1539" t="s">
        <v>1431</v>
      </c>
      <c r="C1539" t="s">
        <v>15</v>
      </c>
      <c r="D1539" t="s">
        <v>1569</v>
      </c>
      <c r="E1539" t="s">
        <v>338</v>
      </c>
    </row>
    <row r="1540" spans="1:5" x14ac:dyDescent="0.2">
      <c r="A1540" s="269">
        <v>45910.570185185185</v>
      </c>
      <c r="B1540" t="s">
        <v>1431</v>
      </c>
      <c r="C1540" t="s">
        <v>15</v>
      </c>
      <c r="D1540" t="s">
        <v>1572</v>
      </c>
      <c r="E1540" t="s">
        <v>338</v>
      </c>
    </row>
    <row r="1541" spans="1:5" x14ac:dyDescent="0.2">
      <c r="A1541" s="269">
        <v>45910.570462962962</v>
      </c>
      <c r="B1541" t="s">
        <v>1431</v>
      </c>
      <c r="C1541" t="s">
        <v>15</v>
      </c>
      <c r="D1541" t="s">
        <v>1621</v>
      </c>
    </row>
    <row r="1542" spans="1:5" x14ac:dyDescent="0.2">
      <c r="A1542" s="269">
        <v>45910.570798611108</v>
      </c>
      <c r="B1542" t="s">
        <v>1431</v>
      </c>
      <c r="C1542" t="s">
        <v>15</v>
      </c>
      <c r="D1542" t="s">
        <v>982</v>
      </c>
    </row>
    <row r="1543" spans="1:5" x14ac:dyDescent="0.2">
      <c r="A1543" s="269">
        <v>45910.57099537037</v>
      </c>
      <c r="B1543" t="s">
        <v>1431</v>
      </c>
      <c r="C1543" t="s">
        <v>15</v>
      </c>
      <c r="D1543" t="s">
        <v>747</v>
      </c>
      <c r="E1543" t="s">
        <v>1616</v>
      </c>
    </row>
    <row r="1544" spans="1:5" x14ac:dyDescent="0.2">
      <c r="A1544" s="269">
        <v>45910.571111111109</v>
      </c>
      <c r="B1544" t="s">
        <v>1431</v>
      </c>
      <c r="C1544" t="s">
        <v>15</v>
      </c>
      <c r="D1544" t="s">
        <v>1018</v>
      </c>
      <c r="E1544">
        <v>1</v>
      </c>
    </row>
    <row r="1545" spans="1:5" x14ac:dyDescent="0.2">
      <c r="A1545" s="269">
        <v>45910.571157407408</v>
      </c>
      <c r="B1545" t="s">
        <v>1431</v>
      </c>
      <c r="C1545" t="s">
        <v>15</v>
      </c>
      <c r="D1545" t="s">
        <v>1017</v>
      </c>
      <c r="E1545" t="s">
        <v>200</v>
      </c>
    </row>
    <row r="1546" spans="1:5" x14ac:dyDescent="0.2">
      <c r="A1546" s="269">
        <v>45910.571238425924</v>
      </c>
      <c r="B1546" t="s">
        <v>1431</v>
      </c>
      <c r="C1546" t="s">
        <v>15</v>
      </c>
      <c r="D1546" t="s">
        <v>923</v>
      </c>
      <c r="E1546" t="s">
        <v>380</v>
      </c>
    </row>
    <row r="1547" spans="1:5" x14ac:dyDescent="0.2">
      <c r="A1547" s="269">
        <v>45910.571296296293</v>
      </c>
      <c r="B1547" t="s">
        <v>1431</v>
      </c>
      <c r="C1547" t="s">
        <v>15</v>
      </c>
      <c r="D1547" t="s">
        <v>1451</v>
      </c>
      <c r="E1547" t="s">
        <v>352</v>
      </c>
    </row>
    <row r="1548" spans="1:5" x14ac:dyDescent="0.2">
      <c r="A1548" s="269">
        <v>45910.57136574074</v>
      </c>
      <c r="B1548" t="s">
        <v>1431</v>
      </c>
      <c r="C1548" t="s">
        <v>15</v>
      </c>
      <c r="D1548" t="s">
        <v>1575</v>
      </c>
      <c r="E1548" t="s">
        <v>338</v>
      </c>
    </row>
    <row r="1549" spans="1:5" x14ac:dyDescent="0.2">
      <c r="A1549" s="269">
        <v>45910.571562500001</v>
      </c>
      <c r="B1549" t="s">
        <v>1431</v>
      </c>
      <c r="C1549" t="s">
        <v>15</v>
      </c>
      <c r="D1549" t="s">
        <v>1553</v>
      </c>
      <c r="E1549">
        <v>1.6</v>
      </c>
    </row>
    <row r="1550" spans="1:5" x14ac:dyDescent="0.2">
      <c r="A1550" s="269">
        <v>45910.571689814817</v>
      </c>
      <c r="B1550" t="s">
        <v>1431</v>
      </c>
      <c r="C1550" t="s">
        <v>15</v>
      </c>
      <c r="D1550" t="s">
        <v>1568</v>
      </c>
      <c r="E1550" t="s">
        <v>338</v>
      </c>
    </row>
    <row r="1551" spans="1:5" x14ac:dyDescent="0.2">
      <c r="A1551" s="269">
        <v>45910.571782407409</v>
      </c>
      <c r="B1551" t="s">
        <v>1431</v>
      </c>
      <c r="C1551" t="s">
        <v>15</v>
      </c>
      <c r="D1551" t="s">
        <v>1571</v>
      </c>
    </row>
    <row r="1552" spans="1:5" x14ac:dyDescent="0.2">
      <c r="A1552" s="269">
        <v>45910.571782407409</v>
      </c>
      <c r="B1552" t="s">
        <v>1431</v>
      </c>
      <c r="C1552" t="s">
        <v>15</v>
      </c>
      <c r="D1552" t="s">
        <v>978</v>
      </c>
    </row>
    <row r="1553" spans="1:5" x14ac:dyDescent="0.2">
      <c r="A1553" s="269">
        <v>45910.571851851855</v>
      </c>
      <c r="B1553" t="s">
        <v>1431</v>
      </c>
      <c r="C1553" t="s">
        <v>15</v>
      </c>
      <c r="D1553" t="s">
        <v>975</v>
      </c>
    </row>
    <row r="1554" spans="1:5" x14ac:dyDescent="0.2">
      <c r="A1554" s="269">
        <v>45910.57309027778</v>
      </c>
      <c r="B1554" t="s">
        <v>1431</v>
      </c>
      <c r="C1554" t="s">
        <v>15</v>
      </c>
      <c r="D1554" t="s">
        <v>1622</v>
      </c>
    </row>
    <row r="1555" spans="1:5" x14ac:dyDescent="0.2">
      <c r="A1555" s="269">
        <v>45910.57309027778</v>
      </c>
      <c r="B1555" t="s">
        <v>1431</v>
      </c>
      <c r="C1555" t="s">
        <v>15</v>
      </c>
      <c r="D1555" t="s">
        <v>1622</v>
      </c>
    </row>
    <row r="1556" spans="1:5" x14ac:dyDescent="0.2">
      <c r="A1556" s="269">
        <v>45910.573298611111</v>
      </c>
      <c r="B1556" t="s">
        <v>1431</v>
      </c>
      <c r="C1556" t="s">
        <v>15</v>
      </c>
      <c r="D1556" t="s">
        <v>1434</v>
      </c>
      <c r="E1556" t="s">
        <v>1623</v>
      </c>
    </row>
    <row r="1557" spans="1:5" x14ac:dyDescent="0.2">
      <c r="A1557" s="269">
        <v>45910.573344907411</v>
      </c>
      <c r="B1557" t="s">
        <v>1431</v>
      </c>
      <c r="C1557" t="s">
        <v>15</v>
      </c>
      <c r="D1557" t="s">
        <v>1476</v>
      </c>
      <c r="E1557" t="s">
        <v>200</v>
      </c>
    </row>
    <row r="1558" spans="1:5" x14ac:dyDescent="0.2">
      <c r="A1558" s="269">
        <v>45910.573379629626</v>
      </c>
      <c r="B1558" t="s">
        <v>1431</v>
      </c>
      <c r="C1558" t="s">
        <v>15</v>
      </c>
      <c r="D1558" t="s">
        <v>1068</v>
      </c>
      <c r="E1558">
        <v>2</v>
      </c>
    </row>
    <row r="1559" spans="1:5" x14ac:dyDescent="0.2">
      <c r="A1559" s="269">
        <v>45910.573449074072</v>
      </c>
      <c r="B1559" t="s">
        <v>1431</v>
      </c>
      <c r="C1559" t="s">
        <v>15</v>
      </c>
      <c r="D1559" t="s">
        <v>918</v>
      </c>
      <c r="E1559" t="s">
        <v>372</v>
      </c>
    </row>
    <row r="1560" spans="1:5" x14ac:dyDescent="0.2">
      <c r="A1560" s="269">
        <v>45910.573495370372</v>
      </c>
      <c r="B1560" t="s">
        <v>1431</v>
      </c>
      <c r="C1560" t="s">
        <v>15</v>
      </c>
      <c r="D1560" t="s">
        <v>1452</v>
      </c>
      <c r="E1560" t="s">
        <v>352</v>
      </c>
    </row>
    <row r="1561" spans="1:5" x14ac:dyDescent="0.2">
      <c r="A1561" s="269">
        <v>45910.573576388888</v>
      </c>
      <c r="B1561" t="s">
        <v>1431</v>
      </c>
      <c r="C1561" t="s">
        <v>15</v>
      </c>
      <c r="D1561" t="s">
        <v>1578</v>
      </c>
      <c r="E1561" t="s">
        <v>338</v>
      </c>
    </row>
    <row r="1562" spans="1:5" x14ac:dyDescent="0.2">
      <c r="A1562" s="269">
        <v>45910.573842592596</v>
      </c>
      <c r="B1562" t="s">
        <v>1431</v>
      </c>
      <c r="C1562" t="s">
        <v>15</v>
      </c>
      <c r="D1562" t="s">
        <v>1554</v>
      </c>
      <c r="E1562">
        <v>0.44</v>
      </c>
    </row>
    <row r="1563" spans="1:5" x14ac:dyDescent="0.2">
      <c r="A1563" s="269">
        <v>45910.57408564815</v>
      </c>
      <c r="B1563" t="s">
        <v>1431</v>
      </c>
      <c r="C1563" t="s">
        <v>15</v>
      </c>
      <c r="D1563" t="s">
        <v>1625</v>
      </c>
      <c r="E1563" t="s">
        <v>1624</v>
      </c>
    </row>
    <row r="1564" spans="1:5" x14ac:dyDescent="0.2">
      <c r="A1564" s="269">
        <v>45910.574502314812</v>
      </c>
      <c r="B1564" t="s">
        <v>1431</v>
      </c>
      <c r="C1564" t="s">
        <v>15</v>
      </c>
      <c r="D1564" t="s">
        <v>1627</v>
      </c>
      <c r="E1564" t="s">
        <v>1626</v>
      </c>
    </row>
    <row r="1565" spans="1:5" x14ac:dyDescent="0.2">
      <c r="A1565" s="269">
        <v>45910.574699074074</v>
      </c>
      <c r="B1565" t="s">
        <v>1431</v>
      </c>
      <c r="C1565" t="s">
        <v>15</v>
      </c>
      <c r="D1565" t="s">
        <v>1620</v>
      </c>
      <c r="E1565" t="s">
        <v>1626</v>
      </c>
    </row>
    <row r="1566" spans="1:5" x14ac:dyDescent="0.2">
      <c r="A1566" s="269">
        <v>45910.574756944443</v>
      </c>
      <c r="B1566" t="s">
        <v>1431</v>
      </c>
      <c r="C1566" t="s">
        <v>15</v>
      </c>
      <c r="D1566" t="s">
        <v>1612</v>
      </c>
      <c r="E1566" t="s">
        <v>1626</v>
      </c>
    </row>
    <row r="1567" spans="1:5" x14ac:dyDescent="0.2">
      <c r="A1567" s="269">
        <v>45910.575057870374</v>
      </c>
      <c r="B1567" t="s">
        <v>1431</v>
      </c>
      <c r="C1567" t="s">
        <v>15</v>
      </c>
      <c r="D1567" t="s">
        <v>1612</v>
      </c>
      <c r="E1567" t="s">
        <v>1624</v>
      </c>
    </row>
    <row r="1568" spans="1:5" x14ac:dyDescent="0.2">
      <c r="A1568" s="269">
        <v>45910.575115740743</v>
      </c>
      <c r="B1568" t="s">
        <v>1431</v>
      </c>
      <c r="C1568" t="s">
        <v>15</v>
      </c>
      <c r="D1568" t="s">
        <v>982</v>
      </c>
      <c r="E1568" t="s">
        <v>1626</v>
      </c>
    </row>
    <row r="1569" spans="1:5" x14ac:dyDescent="0.2">
      <c r="A1569" s="269">
        <v>45910.575613425928</v>
      </c>
      <c r="B1569" t="s">
        <v>1431</v>
      </c>
      <c r="C1569" t="s">
        <v>15</v>
      </c>
      <c r="D1569" t="s">
        <v>1435</v>
      </c>
      <c r="E1569" t="s">
        <v>1628</v>
      </c>
    </row>
    <row r="1570" spans="1:5" x14ac:dyDescent="0.2">
      <c r="A1570" s="269">
        <v>45910.575624999998</v>
      </c>
      <c r="B1570" t="s">
        <v>1431</v>
      </c>
      <c r="C1570" t="s">
        <v>15</v>
      </c>
      <c r="D1570" t="s">
        <v>1069</v>
      </c>
      <c r="E1570">
        <v>2</v>
      </c>
    </row>
    <row r="1571" spans="1:5" x14ac:dyDescent="0.2">
      <c r="A1571" s="269">
        <v>45910.57571759259</v>
      </c>
      <c r="B1571" t="s">
        <v>1431</v>
      </c>
      <c r="C1571" t="s">
        <v>15</v>
      </c>
      <c r="D1571" t="s">
        <v>1453</v>
      </c>
      <c r="E1571" t="s">
        <v>352</v>
      </c>
    </row>
    <row r="1572" spans="1:5" x14ac:dyDescent="0.2">
      <c r="A1572" s="269">
        <v>45910.575787037036</v>
      </c>
      <c r="B1572" t="s">
        <v>1431</v>
      </c>
      <c r="C1572" t="s">
        <v>15</v>
      </c>
      <c r="D1572" t="s">
        <v>1581</v>
      </c>
      <c r="E1572" t="s">
        <v>338</v>
      </c>
    </row>
    <row r="1573" spans="1:5" x14ac:dyDescent="0.2">
      <c r="A1573" s="269">
        <v>45910.577951388892</v>
      </c>
      <c r="B1573" t="s">
        <v>1431</v>
      </c>
      <c r="C1573" t="s">
        <v>15</v>
      </c>
      <c r="D1573" t="s">
        <v>926</v>
      </c>
      <c r="E1573" t="s">
        <v>188</v>
      </c>
    </row>
    <row r="1574" spans="1:5" x14ac:dyDescent="0.2">
      <c r="A1574" s="269">
        <v>45910.578101851854</v>
      </c>
      <c r="B1574" t="s">
        <v>1431</v>
      </c>
      <c r="C1574" t="s">
        <v>15</v>
      </c>
      <c r="D1574" t="s">
        <v>1629</v>
      </c>
      <c r="E1574" t="s">
        <v>338</v>
      </c>
    </row>
    <row r="1575" spans="1:5" x14ac:dyDescent="0.2">
      <c r="A1575" s="269">
        <v>45910.578182870369</v>
      </c>
      <c r="B1575" t="s">
        <v>1431</v>
      </c>
      <c r="C1575" t="s">
        <v>15</v>
      </c>
      <c r="D1575" t="s">
        <v>975</v>
      </c>
      <c r="E1575">
        <v>1.6</v>
      </c>
    </row>
    <row r="1576" spans="1:5" x14ac:dyDescent="0.2">
      <c r="A1576" s="269">
        <v>45910.578298611108</v>
      </c>
      <c r="B1576" t="s">
        <v>1431</v>
      </c>
      <c r="C1576" t="s">
        <v>15</v>
      </c>
      <c r="D1576" t="s">
        <v>874</v>
      </c>
      <c r="E1576" t="s">
        <v>188</v>
      </c>
    </row>
    <row r="1577" spans="1:5" x14ac:dyDescent="0.2">
      <c r="A1577" s="269">
        <v>45910.578368055554</v>
      </c>
      <c r="B1577" t="s">
        <v>1431</v>
      </c>
      <c r="C1577" t="s">
        <v>15</v>
      </c>
      <c r="D1577" t="s">
        <v>1450</v>
      </c>
      <c r="E1577" t="s">
        <v>188</v>
      </c>
    </row>
    <row r="1578" spans="1:5" x14ac:dyDescent="0.2">
      <c r="A1578" s="269">
        <v>45910.578402777777</v>
      </c>
      <c r="B1578" t="s">
        <v>1431</v>
      </c>
      <c r="C1578" t="s">
        <v>15</v>
      </c>
      <c r="D1578" t="s">
        <v>1451</v>
      </c>
      <c r="E1578" t="s">
        <v>188</v>
      </c>
    </row>
    <row r="1579" spans="1:5" x14ac:dyDescent="0.2">
      <c r="A1579" s="269">
        <v>45910.578449074077</v>
      </c>
      <c r="B1579" t="s">
        <v>1431</v>
      </c>
      <c r="C1579" t="s">
        <v>15</v>
      </c>
      <c r="D1579" t="s">
        <v>1452</v>
      </c>
      <c r="E1579" t="s">
        <v>188</v>
      </c>
    </row>
    <row r="1580" spans="1:5" x14ac:dyDescent="0.2">
      <c r="A1580" s="269">
        <v>45910.578483796293</v>
      </c>
      <c r="B1580" t="s">
        <v>1431</v>
      </c>
      <c r="C1580" t="s">
        <v>15</v>
      </c>
      <c r="D1580" t="s">
        <v>1453</v>
      </c>
      <c r="E1580" t="s">
        <v>188</v>
      </c>
    </row>
    <row r="1581" spans="1:5" x14ac:dyDescent="0.2">
      <c r="A1581" s="269">
        <v>45910.578518518516</v>
      </c>
      <c r="B1581" t="s">
        <v>1431</v>
      </c>
      <c r="C1581" t="s">
        <v>15</v>
      </c>
      <c r="D1581" t="s">
        <v>1630</v>
      </c>
    </row>
    <row r="1582" spans="1:5" x14ac:dyDescent="0.2">
      <c r="A1582" s="269">
        <v>45910.578599537039</v>
      </c>
      <c r="B1582" t="s">
        <v>1431</v>
      </c>
      <c r="C1582" t="s">
        <v>15</v>
      </c>
      <c r="D1582" t="s">
        <v>1631</v>
      </c>
    </row>
    <row r="1583" spans="1:5" x14ac:dyDescent="0.2">
      <c r="A1583" s="269">
        <v>45910.578645833331</v>
      </c>
      <c r="B1583" t="s">
        <v>1431</v>
      </c>
      <c r="C1583" t="s">
        <v>15</v>
      </c>
      <c r="D1583" t="s">
        <v>1568</v>
      </c>
    </row>
    <row r="1584" spans="1:5" x14ac:dyDescent="0.2">
      <c r="A1584" s="269">
        <v>45910.585347222222</v>
      </c>
      <c r="B1584" t="s">
        <v>1431</v>
      </c>
      <c r="C1584" t="s">
        <v>15</v>
      </c>
      <c r="D1584" t="s">
        <v>975</v>
      </c>
    </row>
    <row r="1585" spans="1:5" x14ac:dyDescent="0.2">
      <c r="A1585" s="269">
        <v>45910.585393518515</v>
      </c>
      <c r="B1585" t="s">
        <v>1431</v>
      </c>
      <c r="C1585" t="s">
        <v>15</v>
      </c>
      <c r="D1585" t="s">
        <v>1632</v>
      </c>
    </row>
    <row r="1586" spans="1:5" x14ac:dyDescent="0.2">
      <c r="A1586" s="269">
        <v>45910.585879629631</v>
      </c>
      <c r="B1586" t="s">
        <v>1431</v>
      </c>
      <c r="C1586" t="s">
        <v>15</v>
      </c>
      <c r="D1586" t="s">
        <v>996</v>
      </c>
      <c r="E1586" t="s">
        <v>338</v>
      </c>
    </row>
    <row r="1587" spans="1:5" x14ac:dyDescent="0.2">
      <c r="A1587" s="269">
        <v>45910.585902777777</v>
      </c>
      <c r="B1587" t="s">
        <v>1431</v>
      </c>
      <c r="C1587" t="s">
        <v>15</v>
      </c>
      <c r="D1587" t="s">
        <v>996</v>
      </c>
      <c r="E1587" t="s">
        <v>338</v>
      </c>
    </row>
    <row r="1588" spans="1:5" x14ac:dyDescent="0.2">
      <c r="A1588" s="269">
        <v>45910.586076388892</v>
      </c>
      <c r="B1588" t="s">
        <v>1431</v>
      </c>
      <c r="C1588" t="s">
        <v>15</v>
      </c>
      <c r="D1588" t="s">
        <v>924</v>
      </c>
      <c r="E1588" t="s">
        <v>380</v>
      </c>
    </row>
    <row r="1589" spans="1:5" x14ac:dyDescent="0.2">
      <c r="A1589" s="269">
        <v>45910.586145833331</v>
      </c>
      <c r="B1589" t="s">
        <v>1431</v>
      </c>
      <c r="C1589" t="s">
        <v>15</v>
      </c>
      <c r="D1589" t="s">
        <v>1477</v>
      </c>
      <c r="E1589" t="s">
        <v>200</v>
      </c>
    </row>
    <row r="1590" spans="1:5" x14ac:dyDescent="0.2">
      <c r="A1590" s="269">
        <v>45910.586238425924</v>
      </c>
      <c r="B1590" t="s">
        <v>1431</v>
      </c>
      <c r="C1590" t="s">
        <v>15</v>
      </c>
      <c r="D1590" t="s">
        <v>1633</v>
      </c>
      <c r="E1590" t="s">
        <v>338</v>
      </c>
    </row>
    <row r="1591" spans="1:5" x14ac:dyDescent="0.2">
      <c r="A1591" s="269">
        <v>45910.586273148147</v>
      </c>
      <c r="B1591" t="s">
        <v>1431</v>
      </c>
      <c r="C1591" t="s">
        <v>15</v>
      </c>
      <c r="D1591" t="s">
        <v>1019</v>
      </c>
      <c r="E1591" t="s">
        <v>338</v>
      </c>
    </row>
    <row r="1592" spans="1:5" x14ac:dyDescent="0.2">
      <c r="A1592" s="269">
        <v>45910.58630787037</v>
      </c>
      <c r="B1592" t="s">
        <v>1431</v>
      </c>
      <c r="C1592" t="s">
        <v>15</v>
      </c>
      <c r="D1592" t="s">
        <v>1634</v>
      </c>
      <c r="E1592" t="s">
        <v>338</v>
      </c>
    </row>
    <row r="1593" spans="1:5" x14ac:dyDescent="0.2">
      <c r="A1593" s="269">
        <v>45910.586331018516</v>
      </c>
      <c r="B1593" t="s">
        <v>1431</v>
      </c>
      <c r="C1593" t="s">
        <v>15</v>
      </c>
      <c r="D1593" t="s">
        <v>1635</v>
      </c>
      <c r="E1593" t="s">
        <v>338</v>
      </c>
    </row>
    <row r="1594" spans="1:5" x14ac:dyDescent="0.2">
      <c r="A1594" s="269">
        <v>45910.587037037039</v>
      </c>
      <c r="B1594" t="s">
        <v>1431</v>
      </c>
      <c r="C1594" t="s">
        <v>15</v>
      </c>
      <c r="D1594" t="s">
        <v>982</v>
      </c>
    </row>
    <row r="1595" spans="1:5" x14ac:dyDescent="0.2">
      <c r="A1595" s="269">
        <v>45910.587395833332</v>
      </c>
      <c r="B1595" t="s">
        <v>1431</v>
      </c>
      <c r="C1595" t="s">
        <v>15</v>
      </c>
      <c r="D1595" t="s">
        <v>975</v>
      </c>
      <c r="E1595">
        <v>1.5</v>
      </c>
    </row>
    <row r="1596" spans="1:5" x14ac:dyDescent="0.2">
      <c r="A1596" s="269">
        <v>45910.587731481479</v>
      </c>
      <c r="B1596" t="s">
        <v>1431</v>
      </c>
      <c r="C1596" t="s">
        <v>15</v>
      </c>
      <c r="D1596" t="s">
        <v>974</v>
      </c>
      <c r="E1596">
        <v>0.44</v>
      </c>
    </row>
    <row r="1597" spans="1:5" x14ac:dyDescent="0.2">
      <c r="A1597" s="269">
        <v>45910.587754629632</v>
      </c>
      <c r="B1597" t="s">
        <v>1431</v>
      </c>
      <c r="C1597" t="s">
        <v>15</v>
      </c>
      <c r="D1597" t="s">
        <v>974</v>
      </c>
    </row>
    <row r="1598" spans="1:5" x14ac:dyDescent="0.2">
      <c r="A1598" s="269">
        <v>45910.587800925925</v>
      </c>
      <c r="B1598" t="s">
        <v>1431</v>
      </c>
      <c r="C1598" t="s">
        <v>15</v>
      </c>
      <c r="D1598" t="s">
        <v>974</v>
      </c>
      <c r="E1598">
        <v>440</v>
      </c>
    </row>
    <row r="1599" spans="1:5" x14ac:dyDescent="0.2">
      <c r="A1599" s="269">
        <v>45910.587870370371</v>
      </c>
      <c r="B1599" t="s">
        <v>1431</v>
      </c>
      <c r="C1599" t="s">
        <v>15</v>
      </c>
      <c r="D1599" t="s">
        <v>974</v>
      </c>
      <c r="E1599">
        <v>0.44</v>
      </c>
    </row>
    <row r="1600" spans="1:5" x14ac:dyDescent="0.2">
      <c r="A1600" s="269">
        <v>45910.587997685187</v>
      </c>
      <c r="B1600" t="s">
        <v>1431</v>
      </c>
      <c r="C1600" t="s">
        <v>15</v>
      </c>
      <c r="D1600" t="s">
        <v>974</v>
      </c>
      <c r="E1600">
        <v>0.44</v>
      </c>
    </row>
    <row r="1601" spans="1:5" x14ac:dyDescent="0.2">
      <c r="A1601" s="269">
        <v>45910.588495370372</v>
      </c>
      <c r="B1601" t="s">
        <v>1431</v>
      </c>
      <c r="C1601" t="s">
        <v>15</v>
      </c>
      <c r="D1601" t="s">
        <v>974</v>
      </c>
      <c r="E1601">
        <v>0.88</v>
      </c>
    </row>
    <row r="1602" spans="1:5" x14ac:dyDescent="0.2">
      <c r="A1602" s="269">
        <v>45910.589479166665</v>
      </c>
      <c r="B1602" t="s">
        <v>1431</v>
      </c>
      <c r="C1602" t="s">
        <v>15</v>
      </c>
      <c r="D1602" t="s">
        <v>1636</v>
      </c>
      <c r="E1602">
        <v>1.6</v>
      </c>
    </row>
    <row r="1603" spans="1:5" x14ac:dyDescent="0.2">
      <c r="A1603" s="269">
        <v>45910.589687500003</v>
      </c>
      <c r="B1603" t="s">
        <v>1431</v>
      </c>
      <c r="C1603" t="s">
        <v>15</v>
      </c>
      <c r="D1603" t="s">
        <v>1530</v>
      </c>
      <c r="E1603">
        <v>1.6</v>
      </c>
    </row>
    <row r="1604" spans="1:5" x14ac:dyDescent="0.2">
      <c r="A1604" s="269">
        <v>45910.589733796296</v>
      </c>
      <c r="B1604" t="s">
        <v>1431</v>
      </c>
      <c r="C1604" t="s">
        <v>15</v>
      </c>
      <c r="D1604" t="s">
        <v>1636</v>
      </c>
    </row>
    <row r="1605" spans="1:5" x14ac:dyDescent="0.2">
      <c r="A1605" s="269">
        <v>45910.589872685188</v>
      </c>
      <c r="B1605" t="s">
        <v>1431</v>
      </c>
      <c r="C1605" t="s">
        <v>15</v>
      </c>
      <c r="D1605" t="s">
        <v>1636</v>
      </c>
      <c r="E1605">
        <v>0.83</v>
      </c>
    </row>
    <row r="1606" spans="1:5" x14ac:dyDescent="0.2">
      <c r="A1606" s="269">
        <v>45910.59003472222</v>
      </c>
      <c r="B1606" t="s">
        <v>1431</v>
      </c>
      <c r="C1606" t="s">
        <v>15</v>
      </c>
      <c r="D1606" t="s">
        <v>925</v>
      </c>
      <c r="E1606">
        <v>0.88</v>
      </c>
    </row>
    <row r="1607" spans="1:5" x14ac:dyDescent="0.2">
      <c r="A1607" s="269">
        <v>45910.590324074074</v>
      </c>
      <c r="B1607" t="s">
        <v>1431</v>
      </c>
      <c r="C1607" t="s">
        <v>15</v>
      </c>
      <c r="D1607" t="s">
        <v>1531</v>
      </c>
      <c r="E1607">
        <v>5.5</v>
      </c>
    </row>
    <row r="1608" spans="1:5" x14ac:dyDescent="0.2">
      <c r="A1608" s="269">
        <v>45910.590763888889</v>
      </c>
      <c r="B1608" t="s">
        <v>1431</v>
      </c>
      <c r="C1608" t="s">
        <v>15</v>
      </c>
      <c r="D1608" t="s">
        <v>1531</v>
      </c>
    </row>
    <row r="1609" spans="1:5" x14ac:dyDescent="0.2">
      <c r="A1609" s="269">
        <v>45910.590844907405</v>
      </c>
      <c r="B1609" t="s">
        <v>1431</v>
      </c>
      <c r="C1609" t="s">
        <v>15</v>
      </c>
      <c r="D1609" t="s">
        <v>1531</v>
      </c>
      <c r="E1609">
        <v>11</v>
      </c>
    </row>
    <row r="1610" spans="1:5" x14ac:dyDescent="0.2">
      <c r="A1610" s="269">
        <v>45910.591574074075</v>
      </c>
      <c r="B1610" t="s">
        <v>1431</v>
      </c>
      <c r="C1610" t="s">
        <v>15</v>
      </c>
      <c r="D1610" t="s">
        <v>926</v>
      </c>
      <c r="E1610" t="s">
        <v>352</v>
      </c>
    </row>
    <row r="1611" spans="1:5" x14ac:dyDescent="0.2">
      <c r="A1611" s="269">
        <v>45910.591608796298</v>
      </c>
      <c r="B1611" t="s">
        <v>1431</v>
      </c>
      <c r="C1611" t="s">
        <v>15</v>
      </c>
      <c r="D1611" t="s">
        <v>1637</v>
      </c>
    </row>
    <row r="1612" spans="1:5" x14ac:dyDescent="0.2">
      <c r="A1612" s="269">
        <v>45910.591678240744</v>
      </c>
      <c r="B1612" t="s">
        <v>1431</v>
      </c>
      <c r="C1612" t="s">
        <v>15</v>
      </c>
      <c r="D1612" t="s">
        <v>1638</v>
      </c>
    </row>
    <row r="1613" spans="1:5" x14ac:dyDescent="0.2">
      <c r="A1613" s="269">
        <v>45910.591898148145</v>
      </c>
      <c r="B1613" t="s">
        <v>1431</v>
      </c>
      <c r="C1613" t="s">
        <v>15</v>
      </c>
      <c r="D1613" t="s">
        <v>874</v>
      </c>
      <c r="E1613" t="s">
        <v>352</v>
      </c>
    </row>
    <row r="1614" spans="1:5" x14ac:dyDescent="0.2">
      <c r="A1614" s="269">
        <v>45910.591944444444</v>
      </c>
      <c r="B1614" t="s">
        <v>1431</v>
      </c>
      <c r="C1614" t="s">
        <v>15</v>
      </c>
      <c r="D1614" t="s">
        <v>1450</v>
      </c>
      <c r="E1614" t="s">
        <v>352</v>
      </c>
    </row>
    <row r="1615" spans="1:5" x14ac:dyDescent="0.2">
      <c r="A1615" s="269">
        <v>45910.592013888891</v>
      </c>
      <c r="B1615" t="s">
        <v>1431</v>
      </c>
      <c r="C1615" t="s">
        <v>15</v>
      </c>
      <c r="D1615" t="s">
        <v>1451</v>
      </c>
      <c r="E1615" t="s">
        <v>352</v>
      </c>
    </row>
    <row r="1616" spans="1:5" x14ac:dyDescent="0.2">
      <c r="A1616" s="269">
        <v>45910.592048611114</v>
      </c>
      <c r="B1616" t="s">
        <v>1431</v>
      </c>
      <c r="C1616" t="s">
        <v>15</v>
      </c>
      <c r="D1616" t="s">
        <v>1452</v>
      </c>
      <c r="E1616" t="s">
        <v>352</v>
      </c>
    </row>
    <row r="1617" spans="1:5" x14ac:dyDescent="0.2">
      <c r="A1617" s="269">
        <v>45910.592083333337</v>
      </c>
      <c r="B1617" t="s">
        <v>1431</v>
      </c>
      <c r="C1617" t="s">
        <v>15</v>
      </c>
      <c r="D1617" t="s">
        <v>1453</v>
      </c>
      <c r="E1617" t="s">
        <v>352</v>
      </c>
    </row>
    <row r="1618" spans="1:5" x14ac:dyDescent="0.2">
      <c r="A1618" s="269">
        <v>45910.592141203706</v>
      </c>
      <c r="B1618" t="s">
        <v>1431</v>
      </c>
      <c r="C1618" t="s">
        <v>15</v>
      </c>
      <c r="D1618" t="s">
        <v>1639</v>
      </c>
    </row>
    <row r="1619" spans="1:5" x14ac:dyDescent="0.2">
      <c r="A1619" s="269">
        <v>45910.592233796298</v>
      </c>
      <c r="B1619" t="s">
        <v>1431</v>
      </c>
      <c r="C1619" t="s">
        <v>15</v>
      </c>
      <c r="D1619" t="s">
        <v>972</v>
      </c>
      <c r="E1619">
        <v>0</v>
      </c>
    </row>
    <row r="1620" spans="1:5" x14ac:dyDescent="0.2">
      <c r="A1620" s="269">
        <v>45910.592256944445</v>
      </c>
      <c r="B1620" t="s">
        <v>1431</v>
      </c>
      <c r="C1620" t="s">
        <v>15</v>
      </c>
      <c r="D1620" t="s">
        <v>1552</v>
      </c>
      <c r="E1620">
        <v>0</v>
      </c>
    </row>
    <row r="1621" spans="1:5" x14ac:dyDescent="0.2">
      <c r="A1621" s="269">
        <v>45910.592326388891</v>
      </c>
      <c r="B1621" t="s">
        <v>1431</v>
      </c>
      <c r="C1621" t="s">
        <v>15</v>
      </c>
      <c r="D1621" t="s">
        <v>1016</v>
      </c>
      <c r="E1621">
        <v>0</v>
      </c>
    </row>
    <row r="1622" spans="1:5" x14ac:dyDescent="0.2">
      <c r="A1622" s="269">
        <v>45910.592349537037</v>
      </c>
      <c r="B1622" t="s">
        <v>1431</v>
      </c>
      <c r="C1622" t="s">
        <v>15</v>
      </c>
      <c r="D1622" t="s">
        <v>1553</v>
      </c>
      <c r="E1622">
        <v>0</v>
      </c>
    </row>
    <row r="1623" spans="1:5" x14ac:dyDescent="0.2">
      <c r="A1623" s="269">
        <v>45910.592372685183</v>
      </c>
      <c r="B1623" t="s">
        <v>1431</v>
      </c>
      <c r="C1623" t="s">
        <v>15</v>
      </c>
      <c r="D1623" t="s">
        <v>1554</v>
      </c>
      <c r="E1623">
        <v>0</v>
      </c>
    </row>
    <row r="1624" spans="1:5" x14ac:dyDescent="0.2">
      <c r="A1624" s="269">
        <v>45910.592407407406</v>
      </c>
      <c r="B1624" t="s">
        <v>1431</v>
      </c>
      <c r="C1624" t="s">
        <v>15</v>
      </c>
      <c r="D1624" t="s">
        <v>1555</v>
      </c>
      <c r="E1624">
        <v>0</v>
      </c>
    </row>
    <row r="1625" spans="1:5" x14ac:dyDescent="0.2">
      <c r="A1625" s="269">
        <v>45910.592627314814</v>
      </c>
      <c r="B1625" t="s">
        <v>1431</v>
      </c>
      <c r="C1625" t="s">
        <v>15</v>
      </c>
      <c r="D1625" t="s">
        <v>1469</v>
      </c>
      <c r="E1625" t="s">
        <v>338</v>
      </c>
    </row>
    <row r="1626" spans="1:5" x14ac:dyDescent="0.2">
      <c r="A1626" s="269">
        <v>45910.592662037037</v>
      </c>
      <c r="B1626" t="s">
        <v>1431</v>
      </c>
      <c r="C1626" t="s">
        <v>15</v>
      </c>
      <c r="D1626" t="s">
        <v>1569</v>
      </c>
      <c r="E1626" t="s">
        <v>338</v>
      </c>
    </row>
    <row r="1627" spans="1:5" x14ac:dyDescent="0.2">
      <c r="A1627" s="269">
        <v>45910.59269675926</v>
      </c>
      <c r="B1627" t="s">
        <v>1431</v>
      </c>
      <c r="C1627" t="s">
        <v>15</v>
      </c>
      <c r="D1627" t="s">
        <v>1569</v>
      </c>
      <c r="E1627" t="s">
        <v>338</v>
      </c>
    </row>
    <row r="1628" spans="1:5" x14ac:dyDescent="0.2">
      <c r="A1628" s="269">
        <v>45910.592731481483</v>
      </c>
      <c r="B1628" t="s">
        <v>1431</v>
      </c>
      <c r="C1628" t="s">
        <v>15</v>
      </c>
      <c r="D1628" t="s">
        <v>1572</v>
      </c>
      <c r="E1628" t="s">
        <v>338</v>
      </c>
    </row>
    <row r="1629" spans="1:5" x14ac:dyDescent="0.2">
      <c r="A1629" s="269">
        <v>45910.59275462963</v>
      </c>
      <c r="B1629" t="s">
        <v>1431</v>
      </c>
      <c r="C1629" t="s">
        <v>15</v>
      </c>
      <c r="D1629" t="s">
        <v>1575</v>
      </c>
      <c r="E1629" t="s">
        <v>338</v>
      </c>
    </row>
    <row r="1630" spans="1:5" x14ac:dyDescent="0.2">
      <c r="A1630" s="269">
        <v>45910.592789351853</v>
      </c>
      <c r="B1630" t="s">
        <v>1431</v>
      </c>
      <c r="C1630" t="s">
        <v>15</v>
      </c>
      <c r="D1630" t="s">
        <v>1578</v>
      </c>
      <c r="E1630" t="s">
        <v>338</v>
      </c>
    </row>
    <row r="1631" spans="1:5" x14ac:dyDescent="0.2">
      <c r="A1631" s="269">
        <v>45910.592847222222</v>
      </c>
      <c r="B1631" t="s">
        <v>1431</v>
      </c>
      <c r="C1631" t="s">
        <v>15</v>
      </c>
      <c r="D1631" t="s">
        <v>1581</v>
      </c>
      <c r="E1631" t="s">
        <v>338</v>
      </c>
    </row>
    <row r="1632" spans="1:5" x14ac:dyDescent="0.2">
      <c r="A1632" s="269">
        <v>45910.593541666669</v>
      </c>
      <c r="B1632" t="s">
        <v>1431</v>
      </c>
      <c r="C1632" t="s">
        <v>15</v>
      </c>
      <c r="D1632" t="s">
        <v>1436</v>
      </c>
      <c r="E1632" t="s">
        <v>1640</v>
      </c>
    </row>
    <row r="1633" spans="1:5" x14ac:dyDescent="0.2">
      <c r="A1633" s="269">
        <v>45910.593576388892</v>
      </c>
      <c r="B1633" t="s">
        <v>1431</v>
      </c>
      <c r="C1633" t="s">
        <v>15</v>
      </c>
      <c r="D1633" t="s">
        <v>1478</v>
      </c>
      <c r="E1633" t="s">
        <v>200</v>
      </c>
    </row>
    <row r="1634" spans="1:5" x14ac:dyDescent="0.2">
      <c r="A1634" s="269">
        <v>45910.593657407408</v>
      </c>
      <c r="B1634" t="s">
        <v>1431</v>
      </c>
      <c r="C1634" t="s">
        <v>15</v>
      </c>
      <c r="D1634" t="s">
        <v>1438</v>
      </c>
      <c r="E1634">
        <v>1</v>
      </c>
    </row>
    <row r="1635" spans="1:5" x14ac:dyDescent="0.2">
      <c r="A1635" s="269">
        <v>45910.5937962963</v>
      </c>
      <c r="B1635" t="s">
        <v>1431</v>
      </c>
      <c r="C1635" t="s">
        <v>15</v>
      </c>
      <c r="D1635" t="s">
        <v>1439</v>
      </c>
      <c r="E1635" t="s">
        <v>380</v>
      </c>
    </row>
    <row r="1636" spans="1:5" x14ac:dyDescent="0.2">
      <c r="A1636" s="269">
        <v>45910.593831018516</v>
      </c>
      <c r="B1636" t="s">
        <v>1431</v>
      </c>
      <c r="C1636" t="s">
        <v>15</v>
      </c>
      <c r="D1636" t="s">
        <v>1454</v>
      </c>
      <c r="E1636" t="s">
        <v>352</v>
      </c>
    </row>
    <row r="1637" spans="1:5" x14ac:dyDescent="0.2">
      <c r="A1637" s="269">
        <v>45910.593888888892</v>
      </c>
      <c r="B1637" t="s">
        <v>1431</v>
      </c>
      <c r="C1637" t="s">
        <v>15</v>
      </c>
      <c r="D1637" t="s">
        <v>1584</v>
      </c>
      <c r="E1637" t="s">
        <v>338</v>
      </c>
    </row>
    <row r="1638" spans="1:5" x14ac:dyDescent="0.2">
      <c r="A1638" s="269">
        <v>45910.593923611108</v>
      </c>
      <c r="B1638" t="s">
        <v>1431</v>
      </c>
      <c r="C1638" t="s">
        <v>15</v>
      </c>
      <c r="D1638" t="s">
        <v>1556</v>
      </c>
      <c r="E1638">
        <v>0</v>
      </c>
    </row>
    <row r="1639" spans="1:5" x14ac:dyDescent="0.2">
      <c r="A1639" s="269">
        <v>45910.594074074077</v>
      </c>
      <c r="B1639" t="s">
        <v>1431</v>
      </c>
      <c r="C1639" t="s">
        <v>15</v>
      </c>
      <c r="D1639" t="s">
        <v>672</v>
      </c>
      <c r="E1639" t="s">
        <v>1640</v>
      </c>
    </row>
    <row r="1640" spans="1:5" x14ac:dyDescent="0.2">
      <c r="A1640" s="269">
        <v>45910.594108796293</v>
      </c>
      <c r="B1640" t="s">
        <v>1431</v>
      </c>
      <c r="C1640" t="s">
        <v>15</v>
      </c>
      <c r="D1640" t="s">
        <v>1479</v>
      </c>
      <c r="E1640" t="s">
        <v>200</v>
      </c>
    </row>
    <row r="1641" spans="1:5" x14ac:dyDescent="0.2">
      <c r="A1641" s="269">
        <v>45910.594131944446</v>
      </c>
      <c r="B1641" t="s">
        <v>1431</v>
      </c>
      <c r="C1641" t="s">
        <v>15</v>
      </c>
      <c r="D1641" t="s">
        <v>1443</v>
      </c>
      <c r="E1641">
        <v>1</v>
      </c>
    </row>
    <row r="1642" spans="1:5" x14ac:dyDescent="0.2">
      <c r="A1642" s="269">
        <v>45910.596238425926</v>
      </c>
      <c r="B1642" t="s">
        <v>1431</v>
      </c>
      <c r="C1642" t="s">
        <v>15</v>
      </c>
      <c r="D1642" t="s">
        <v>981</v>
      </c>
      <c r="E1642" t="s">
        <v>380</v>
      </c>
    </row>
    <row r="1643" spans="1:5" x14ac:dyDescent="0.2">
      <c r="A1643" s="269">
        <v>45910.596342592595</v>
      </c>
      <c r="B1643" t="s">
        <v>1431</v>
      </c>
      <c r="C1643" t="s">
        <v>15</v>
      </c>
      <c r="D1643" t="s">
        <v>1455</v>
      </c>
      <c r="E1643" t="s">
        <v>352</v>
      </c>
    </row>
    <row r="1644" spans="1:5" x14ac:dyDescent="0.2">
      <c r="A1644" s="269">
        <v>45910.59642361111</v>
      </c>
      <c r="B1644" t="s">
        <v>1431</v>
      </c>
      <c r="C1644" t="s">
        <v>15</v>
      </c>
      <c r="D1644" t="s">
        <v>1587</v>
      </c>
      <c r="E1644" t="s">
        <v>338</v>
      </c>
    </row>
    <row r="1645" spans="1:5" x14ac:dyDescent="0.2">
      <c r="A1645" s="269">
        <v>45910.596678240741</v>
      </c>
      <c r="B1645" t="s">
        <v>1431</v>
      </c>
      <c r="C1645" t="s">
        <v>15</v>
      </c>
      <c r="D1645" t="s">
        <v>1436</v>
      </c>
      <c r="E1645" t="s">
        <v>1641</v>
      </c>
    </row>
    <row r="1646" spans="1:5" x14ac:dyDescent="0.2">
      <c r="A1646" s="269">
        <v>45910.596770833334</v>
      </c>
      <c r="B1646" t="s">
        <v>1431</v>
      </c>
      <c r="C1646" t="s">
        <v>15</v>
      </c>
      <c r="D1646" t="s">
        <v>672</v>
      </c>
      <c r="E1646" t="s">
        <v>1641</v>
      </c>
    </row>
    <row r="1647" spans="1:5" x14ac:dyDescent="0.2">
      <c r="A1647" s="269">
        <v>45910.596909722219</v>
      </c>
      <c r="B1647" t="s">
        <v>1431</v>
      </c>
      <c r="C1647" t="s">
        <v>15</v>
      </c>
      <c r="D1647" t="s">
        <v>674</v>
      </c>
      <c r="E1647" t="s">
        <v>1642</v>
      </c>
    </row>
    <row r="1648" spans="1:5" x14ac:dyDescent="0.2">
      <c r="A1648" s="269">
        <v>45910.596944444442</v>
      </c>
      <c r="B1648" t="s">
        <v>1431</v>
      </c>
      <c r="C1648" t="s">
        <v>15</v>
      </c>
      <c r="D1648" t="s">
        <v>1480</v>
      </c>
      <c r="E1648" t="s">
        <v>200</v>
      </c>
    </row>
    <row r="1649" spans="1:5" x14ac:dyDescent="0.2">
      <c r="A1649" s="269">
        <v>45910.596979166665</v>
      </c>
      <c r="B1649" t="s">
        <v>1431</v>
      </c>
      <c r="C1649" t="s">
        <v>15</v>
      </c>
      <c r="D1649" t="s">
        <v>1444</v>
      </c>
      <c r="E1649">
        <v>2</v>
      </c>
    </row>
    <row r="1650" spans="1:5" x14ac:dyDescent="0.2">
      <c r="A1650" s="269">
        <v>45910.597060185188</v>
      </c>
      <c r="B1650" t="s">
        <v>1431</v>
      </c>
      <c r="C1650" t="s">
        <v>15</v>
      </c>
      <c r="D1650" t="s">
        <v>1445</v>
      </c>
      <c r="E1650" t="s">
        <v>372</v>
      </c>
    </row>
    <row r="1651" spans="1:5" x14ac:dyDescent="0.2">
      <c r="A1651" s="269">
        <v>45910.597129629627</v>
      </c>
      <c r="B1651" t="s">
        <v>1431</v>
      </c>
      <c r="C1651" t="s">
        <v>15</v>
      </c>
      <c r="D1651" t="s">
        <v>1456</v>
      </c>
      <c r="E1651" t="s">
        <v>352</v>
      </c>
    </row>
    <row r="1652" spans="1:5" x14ac:dyDescent="0.2">
      <c r="A1652" s="269">
        <v>45910.597314814811</v>
      </c>
      <c r="B1652" t="s">
        <v>1431</v>
      </c>
      <c r="C1652" t="s">
        <v>15</v>
      </c>
      <c r="D1652" t="s">
        <v>675</v>
      </c>
      <c r="E1652" t="s">
        <v>1643</v>
      </c>
    </row>
    <row r="1653" spans="1:5" x14ac:dyDescent="0.2">
      <c r="A1653" s="269">
        <v>45910.597372685188</v>
      </c>
      <c r="B1653" t="s">
        <v>1431</v>
      </c>
      <c r="C1653" t="s">
        <v>15</v>
      </c>
      <c r="D1653" t="s">
        <v>1481</v>
      </c>
      <c r="E1653" t="s">
        <v>200</v>
      </c>
    </row>
    <row r="1654" spans="1:5" x14ac:dyDescent="0.2">
      <c r="A1654" s="269">
        <v>45910.597407407404</v>
      </c>
      <c r="B1654" t="s">
        <v>1431</v>
      </c>
      <c r="C1654" t="s">
        <v>15</v>
      </c>
      <c r="D1654" t="s">
        <v>1446</v>
      </c>
      <c r="E1654">
        <v>1</v>
      </c>
    </row>
    <row r="1655" spans="1:5" x14ac:dyDescent="0.2">
      <c r="A1655" s="269">
        <v>45910.59747685185</v>
      </c>
      <c r="B1655" t="s">
        <v>1431</v>
      </c>
      <c r="C1655" t="s">
        <v>15</v>
      </c>
      <c r="D1655" t="s">
        <v>1447</v>
      </c>
      <c r="E1655" t="s">
        <v>372</v>
      </c>
    </row>
    <row r="1656" spans="1:5" x14ac:dyDescent="0.2">
      <c r="A1656" s="269">
        <v>45910.597511574073</v>
      </c>
      <c r="B1656" t="s">
        <v>1431</v>
      </c>
      <c r="C1656" t="s">
        <v>15</v>
      </c>
      <c r="D1656" t="s">
        <v>1457</v>
      </c>
      <c r="E1656" t="s">
        <v>352</v>
      </c>
    </row>
    <row r="1657" spans="1:5" x14ac:dyDescent="0.2">
      <c r="A1657" s="269">
        <v>45910.597812499997</v>
      </c>
      <c r="B1657" t="s">
        <v>1431</v>
      </c>
      <c r="C1657" t="s">
        <v>15</v>
      </c>
      <c r="D1657" t="s">
        <v>676</v>
      </c>
      <c r="E1657" t="s">
        <v>1644</v>
      </c>
    </row>
    <row r="1658" spans="1:5" x14ac:dyDescent="0.2">
      <c r="A1658" s="269">
        <v>45910.597858796296</v>
      </c>
      <c r="B1658" t="s">
        <v>1431</v>
      </c>
      <c r="C1658" t="s">
        <v>15</v>
      </c>
      <c r="D1658" t="s">
        <v>1473</v>
      </c>
      <c r="E1658" t="s">
        <v>200</v>
      </c>
    </row>
    <row r="1659" spans="1:5" x14ac:dyDescent="0.2">
      <c r="A1659" s="269">
        <v>45910.597881944443</v>
      </c>
      <c r="B1659" t="s">
        <v>1431</v>
      </c>
      <c r="C1659" t="s">
        <v>15</v>
      </c>
      <c r="D1659" t="s">
        <v>1448</v>
      </c>
      <c r="E1659">
        <v>1</v>
      </c>
    </row>
    <row r="1660" spans="1:5" x14ac:dyDescent="0.2">
      <c r="A1660" s="269">
        <v>45910.597962962966</v>
      </c>
      <c r="B1660" t="s">
        <v>1431</v>
      </c>
      <c r="C1660" t="s">
        <v>15</v>
      </c>
      <c r="D1660" t="s">
        <v>1449</v>
      </c>
      <c r="E1660" t="s">
        <v>372</v>
      </c>
    </row>
    <row r="1661" spans="1:5" x14ac:dyDescent="0.2">
      <c r="A1661" s="269">
        <v>45910.598009259258</v>
      </c>
      <c r="B1661" t="s">
        <v>1431</v>
      </c>
      <c r="C1661" t="s">
        <v>15</v>
      </c>
      <c r="D1661" t="s">
        <v>1458</v>
      </c>
      <c r="E1661" t="s">
        <v>352</v>
      </c>
    </row>
    <row r="1662" spans="1:5" x14ac:dyDescent="0.2">
      <c r="A1662" s="269">
        <v>45910.598171296297</v>
      </c>
      <c r="B1662" t="s">
        <v>1431</v>
      </c>
      <c r="C1662" t="s">
        <v>15</v>
      </c>
      <c r="D1662" t="s">
        <v>677</v>
      </c>
      <c r="E1662" t="s">
        <v>1645</v>
      </c>
    </row>
    <row r="1663" spans="1:5" x14ac:dyDescent="0.2">
      <c r="A1663" s="269">
        <v>45910.59820601852</v>
      </c>
      <c r="B1663" t="s">
        <v>1431</v>
      </c>
      <c r="C1663" t="s">
        <v>15</v>
      </c>
      <c r="D1663" t="s">
        <v>1484</v>
      </c>
      <c r="E1663" t="s">
        <v>200</v>
      </c>
    </row>
    <row r="1664" spans="1:5" x14ac:dyDescent="0.2">
      <c r="A1664" s="269">
        <v>45910.598356481481</v>
      </c>
      <c r="B1664" t="s">
        <v>1431</v>
      </c>
      <c r="C1664" t="s">
        <v>15</v>
      </c>
      <c r="D1664" t="s">
        <v>1485</v>
      </c>
      <c r="E1664">
        <v>2</v>
      </c>
    </row>
    <row r="1665" spans="1:5" x14ac:dyDescent="0.2">
      <c r="A1665" s="269">
        <v>45910.598437499997</v>
      </c>
      <c r="B1665" t="s">
        <v>1431</v>
      </c>
      <c r="C1665" t="s">
        <v>15</v>
      </c>
      <c r="D1665" t="s">
        <v>1646</v>
      </c>
      <c r="E1665" t="s">
        <v>380</v>
      </c>
    </row>
    <row r="1666" spans="1:5" x14ac:dyDescent="0.2">
      <c r="A1666" s="269">
        <v>45910.598483796297</v>
      </c>
      <c r="B1666" t="s">
        <v>1431</v>
      </c>
      <c r="C1666" t="s">
        <v>15</v>
      </c>
      <c r="D1666" t="s">
        <v>1486</v>
      </c>
      <c r="E1666" t="s">
        <v>352</v>
      </c>
    </row>
    <row r="1667" spans="1:5" x14ac:dyDescent="0.2">
      <c r="A1667" s="269">
        <v>45910.598865740743</v>
      </c>
      <c r="B1667" t="s">
        <v>1431</v>
      </c>
      <c r="C1667" t="s">
        <v>15</v>
      </c>
      <c r="D1667" t="s">
        <v>678</v>
      </c>
      <c r="E1667" t="s">
        <v>1647</v>
      </c>
    </row>
    <row r="1668" spans="1:5" x14ac:dyDescent="0.2">
      <c r="A1668" s="269">
        <v>45910.59888888889</v>
      </c>
      <c r="B1668" t="s">
        <v>1431</v>
      </c>
      <c r="C1668" t="s">
        <v>15</v>
      </c>
      <c r="D1668" t="s">
        <v>1487</v>
      </c>
      <c r="E1668" t="s">
        <v>200</v>
      </c>
    </row>
    <row r="1669" spans="1:5" x14ac:dyDescent="0.2">
      <c r="A1669" s="269">
        <v>45910.598923611113</v>
      </c>
      <c r="B1669" t="s">
        <v>1431</v>
      </c>
      <c r="C1669" t="s">
        <v>15</v>
      </c>
      <c r="D1669" t="s">
        <v>1488</v>
      </c>
      <c r="E1669">
        <v>2</v>
      </c>
    </row>
    <row r="1670" spans="1:5" x14ac:dyDescent="0.2">
      <c r="A1670" s="269">
        <v>45910.598969907405</v>
      </c>
      <c r="B1670" t="s">
        <v>1431</v>
      </c>
      <c r="C1670" t="s">
        <v>15</v>
      </c>
      <c r="D1670" t="s">
        <v>1648</v>
      </c>
      <c r="E1670" t="s">
        <v>372</v>
      </c>
    </row>
    <row r="1671" spans="1:5" x14ac:dyDescent="0.2">
      <c r="A1671" s="269">
        <v>45910.599062499998</v>
      </c>
      <c r="B1671" t="s">
        <v>1431</v>
      </c>
      <c r="C1671" t="s">
        <v>15</v>
      </c>
      <c r="D1671" t="s">
        <v>1489</v>
      </c>
      <c r="E1671" t="s">
        <v>352</v>
      </c>
    </row>
    <row r="1672" spans="1:5" x14ac:dyDescent="0.2">
      <c r="A1672" s="269">
        <v>45910.600115740737</v>
      </c>
      <c r="B1672" t="s">
        <v>1431</v>
      </c>
      <c r="C1672" t="s">
        <v>15</v>
      </c>
      <c r="D1672" t="s">
        <v>1490</v>
      </c>
      <c r="E1672" t="s">
        <v>1649</v>
      </c>
    </row>
    <row r="1673" spans="1:5" x14ac:dyDescent="0.2">
      <c r="A1673" s="269">
        <v>45910.60015046296</v>
      </c>
      <c r="B1673" t="s">
        <v>1431</v>
      </c>
      <c r="C1673" t="s">
        <v>15</v>
      </c>
      <c r="D1673" t="s">
        <v>1491</v>
      </c>
      <c r="E1673" t="s">
        <v>200</v>
      </c>
    </row>
    <row r="1674" spans="1:5" x14ac:dyDescent="0.2">
      <c r="A1674" s="269">
        <v>45910.600208333337</v>
      </c>
      <c r="B1674" t="s">
        <v>1431</v>
      </c>
      <c r="C1674" t="s">
        <v>15</v>
      </c>
      <c r="D1674" t="s">
        <v>1492</v>
      </c>
      <c r="E1674">
        <v>2</v>
      </c>
    </row>
    <row r="1675" spans="1:5" x14ac:dyDescent="0.2">
      <c r="A1675" s="269">
        <v>45910.600277777776</v>
      </c>
      <c r="B1675" t="s">
        <v>1431</v>
      </c>
      <c r="C1675" t="s">
        <v>15</v>
      </c>
      <c r="D1675" t="s">
        <v>1650</v>
      </c>
      <c r="E1675" t="s">
        <v>372</v>
      </c>
    </row>
    <row r="1676" spans="1:5" x14ac:dyDescent="0.2">
      <c r="A1676" s="269">
        <v>45910.600324074076</v>
      </c>
      <c r="B1676" t="s">
        <v>1431</v>
      </c>
      <c r="C1676" t="s">
        <v>15</v>
      </c>
      <c r="D1676" t="s">
        <v>1493</v>
      </c>
      <c r="E1676" t="s">
        <v>352</v>
      </c>
    </row>
    <row r="1677" spans="1:5" x14ac:dyDescent="0.2">
      <c r="A1677" s="269">
        <v>45910.600428240738</v>
      </c>
      <c r="B1677" t="s">
        <v>1431</v>
      </c>
      <c r="C1677" t="s">
        <v>15</v>
      </c>
      <c r="D1677" t="s">
        <v>1494</v>
      </c>
      <c r="E1677" t="s">
        <v>1649</v>
      </c>
    </row>
    <row r="1678" spans="1:5" x14ac:dyDescent="0.2">
      <c r="A1678" s="269">
        <v>45910.600462962961</v>
      </c>
      <c r="B1678" t="s">
        <v>1431</v>
      </c>
      <c r="C1678" t="s">
        <v>15</v>
      </c>
      <c r="D1678" t="s">
        <v>1495</v>
      </c>
      <c r="E1678" t="s">
        <v>200</v>
      </c>
    </row>
    <row r="1679" spans="1:5" x14ac:dyDescent="0.2">
      <c r="A1679" s="269">
        <v>45910.600486111114</v>
      </c>
      <c r="B1679" t="s">
        <v>1431</v>
      </c>
      <c r="C1679" t="s">
        <v>15</v>
      </c>
      <c r="D1679" t="s">
        <v>1496</v>
      </c>
      <c r="E1679">
        <v>1</v>
      </c>
    </row>
    <row r="1680" spans="1:5" x14ac:dyDescent="0.2">
      <c r="A1680" s="269">
        <v>45910.600532407407</v>
      </c>
      <c r="B1680" t="s">
        <v>1431</v>
      </c>
      <c r="C1680" t="s">
        <v>15</v>
      </c>
      <c r="D1680" t="s">
        <v>1651</v>
      </c>
      <c r="E1680" t="s">
        <v>380</v>
      </c>
    </row>
    <row r="1681" spans="1:5" x14ac:dyDescent="0.2">
      <c r="A1681" s="269">
        <v>45910.60056712963</v>
      </c>
      <c r="B1681" t="s">
        <v>1431</v>
      </c>
      <c r="C1681" t="s">
        <v>15</v>
      </c>
      <c r="D1681" t="s">
        <v>1497</v>
      </c>
      <c r="E1681" t="s">
        <v>352</v>
      </c>
    </row>
    <row r="1682" spans="1:5" x14ac:dyDescent="0.2">
      <c r="A1682" s="269">
        <v>45910.600706018522</v>
      </c>
      <c r="B1682" t="s">
        <v>1431</v>
      </c>
      <c r="C1682" t="s">
        <v>15</v>
      </c>
      <c r="D1682" t="s">
        <v>1557</v>
      </c>
      <c r="E1682">
        <v>0</v>
      </c>
    </row>
    <row r="1683" spans="1:5" x14ac:dyDescent="0.2">
      <c r="A1683" s="269">
        <v>45910.600729166668</v>
      </c>
      <c r="B1683" t="s">
        <v>1431</v>
      </c>
      <c r="C1683" t="s">
        <v>15</v>
      </c>
      <c r="D1683" t="s">
        <v>1588</v>
      </c>
      <c r="E1683" t="s">
        <v>338</v>
      </c>
    </row>
    <row r="1684" spans="1:5" x14ac:dyDescent="0.2">
      <c r="A1684" s="269">
        <v>45910.600752314815</v>
      </c>
      <c r="B1684" t="s">
        <v>1431</v>
      </c>
      <c r="C1684" t="s">
        <v>15</v>
      </c>
      <c r="D1684" t="s">
        <v>1558</v>
      </c>
      <c r="E1684">
        <v>0</v>
      </c>
    </row>
    <row r="1685" spans="1:5" x14ac:dyDescent="0.2">
      <c r="A1685" s="269">
        <v>45910.600787037038</v>
      </c>
      <c r="B1685" t="s">
        <v>1431</v>
      </c>
      <c r="C1685" t="s">
        <v>15</v>
      </c>
      <c r="D1685" t="s">
        <v>1591</v>
      </c>
      <c r="E1685" t="s">
        <v>338</v>
      </c>
    </row>
    <row r="1686" spans="1:5" x14ac:dyDescent="0.2">
      <c r="A1686" s="269">
        <v>45910.600810185184</v>
      </c>
      <c r="B1686" t="s">
        <v>1431</v>
      </c>
      <c r="C1686" t="s">
        <v>15</v>
      </c>
      <c r="D1686" t="s">
        <v>1559</v>
      </c>
      <c r="E1686">
        <v>0</v>
      </c>
    </row>
    <row r="1687" spans="1:5" x14ac:dyDescent="0.2">
      <c r="A1687" s="269">
        <v>45910.600844907407</v>
      </c>
      <c r="B1687" t="s">
        <v>1431</v>
      </c>
      <c r="C1687" t="s">
        <v>15</v>
      </c>
      <c r="D1687" t="s">
        <v>1594</v>
      </c>
      <c r="E1687" t="s">
        <v>338</v>
      </c>
    </row>
    <row r="1688" spans="1:5" x14ac:dyDescent="0.2">
      <c r="A1688" s="269">
        <v>45910.600868055553</v>
      </c>
      <c r="B1688" t="s">
        <v>1431</v>
      </c>
      <c r="C1688" t="s">
        <v>15</v>
      </c>
      <c r="D1688" t="s">
        <v>1652</v>
      </c>
      <c r="E1688">
        <v>0</v>
      </c>
    </row>
    <row r="1689" spans="1:5" x14ac:dyDescent="0.2">
      <c r="A1689" s="269">
        <v>45910.600902777776</v>
      </c>
      <c r="B1689" t="s">
        <v>1431</v>
      </c>
      <c r="C1689" t="s">
        <v>15</v>
      </c>
      <c r="D1689" t="s">
        <v>1653</v>
      </c>
      <c r="E1689" t="s">
        <v>338</v>
      </c>
    </row>
    <row r="1690" spans="1:5" x14ac:dyDescent="0.2">
      <c r="A1690" s="269">
        <v>45910.600925925923</v>
      </c>
      <c r="B1690" t="s">
        <v>1431</v>
      </c>
      <c r="C1690" t="s">
        <v>15</v>
      </c>
      <c r="D1690" t="s">
        <v>1561</v>
      </c>
      <c r="E1690">
        <v>0</v>
      </c>
    </row>
    <row r="1691" spans="1:5" x14ac:dyDescent="0.2">
      <c r="A1691" s="269">
        <v>45910.600960648146</v>
      </c>
      <c r="B1691" t="s">
        <v>1431</v>
      </c>
      <c r="C1691" t="s">
        <v>15</v>
      </c>
      <c r="D1691" t="s">
        <v>1622</v>
      </c>
      <c r="E1691" t="s">
        <v>338</v>
      </c>
    </row>
    <row r="1692" spans="1:5" x14ac:dyDescent="0.2">
      <c r="A1692" s="269">
        <v>45910.600983796299</v>
      </c>
      <c r="B1692" t="s">
        <v>1431</v>
      </c>
      <c r="C1692" t="s">
        <v>15</v>
      </c>
      <c r="D1692" t="s">
        <v>1654</v>
      </c>
      <c r="E1692">
        <v>0</v>
      </c>
    </row>
    <row r="1693" spans="1:5" x14ac:dyDescent="0.2">
      <c r="A1693" s="269">
        <v>45910.601006944446</v>
      </c>
      <c r="B1693" t="s">
        <v>1431</v>
      </c>
      <c r="C1693" t="s">
        <v>15</v>
      </c>
      <c r="D1693" t="s">
        <v>1655</v>
      </c>
      <c r="E1693" t="s">
        <v>338</v>
      </c>
    </row>
    <row r="1694" spans="1:5" x14ac:dyDescent="0.2">
      <c r="A1694" s="269">
        <v>45910.601030092592</v>
      </c>
      <c r="B1694" t="s">
        <v>1431</v>
      </c>
      <c r="C1694" t="s">
        <v>15</v>
      </c>
      <c r="D1694" t="s">
        <v>1562</v>
      </c>
      <c r="E1694">
        <v>0</v>
      </c>
    </row>
    <row r="1695" spans="1:5" x14ac:dyDescent="0.2">
      <c r="A1695" s="269">
        <v>45910.601064814815</v>
      </c>
      <c r="B1695" t="s">
        <v>1431</v>
      </c>
      <c r="C1695" t="s">
        <v>15</v>
      </c>
      <c r="D1695" t="s">
        <v>1656</v>
      </c>
      <c r="E1695" t="s">
        <v>338</v>
      </c>
    </row>
    <row r="1696" spans="1:5" x14ac:dyDescent="0.2">
      <c r="A1696" s="269">
        <v>45910.601087962961</v>
      </c>
      <c r="B1696" t="s">
        <v>1431</v>
      </c>
      <c r="C1696" t="s">
        <v>15</v>
      </c>
      <c r="D1696" t="s">
        <v>1657</v>
      </c>
      <c r="E1696">
        <v>0</v>
      </c>
    </row>
    <row r="1697" spans="1:5" x14ac:dyDescent="0.2">
      <c r="A1697" s="269">
        <v>45910.601898148147</v>
      </c>
      <c r="B1697" t="s">
        <v>1431</v>
      </c>
      <c r="C1697" t="s">
        <v>15</v>
      </c>
      <c r="D1697" t="s">
        <v>1498</v>
      </c>
      <c r="E1697" t="s">
        <v>1658</v>
      </c>
    </row>
    <row r="1698" spans="1:5" x14ac:dyDescent="0.2">
      <c r="A1698" s="269">
        <v>45910.60193287037</v>
      </c>
      <c r="B1698" t="s">
        <v>1431</v>
      </c>
      <c r="C1698" t="s">
        <v>15</v>
      </c>
      <c r="D1698" t="s">
        <v>1499</v>
      </c>
      <c r="E1698" t="s">
        <v>200</v>
      </c>
    </row>
    <row r="1699" spans="1:5" x14ac:dyDescent="0.2">
      <c r="A1699" s="269">
        <v>45910.601956018516</v>
      </c>
      <c r="B1699" t="s">
        <v>1431</v>
      </c>
      <c r="C1699" t="s">
        <v>15</v>
      </c>
      <c r="D1699" t="s">
        <v>1500</v>
      </c>
      <c r="E1699">
        <v>1</v>
      </c>
    </row>
    <row r="1700" spans="1:5" x14ac:dyDescent="0.2">
      <c r="A1700" s="269">
        <v>45910.602013888885</v>
      </c>
      <c r="B1700" t="s">
        <v>1431</v>
      </c>
      <c r="C1700" t="s">
        <v>15</v>
      </c>
      <c r="D1700" t="s">
        <v>1460</v>
      </c>
      <c r="E1700" t="s">
        <v>372</v>
      </c>
    </row>
    <row r="1701" spans="1:5" x14ac:dyDescent="0.2">
      <c r="A1701" s="269">
        <v>45910.602048611108</v>
      </c>
      <c r="B1701" t="s">
        <v>1431</v>
      </c>
      <c r="C1701" t="s">
        <v>15</v>
      </c>
      <c r="D1701" t="s">
        <v>1501</v>
      </c>
      <c r="E1701" t="s">
        <v>352</v>
      </c>
    </row>
    <row r="1702" spans="1:5" x14ac:dyDescent="0.2">
      <c r="A1702" s="269">
        <v>45910.602210648147</v>
      </c>
      <c r="B1702" t="s">
        <v>1431</v>
      </c>
      <c r="C1702" t="s">
        <v>15</v>
      </c>
      <c r="D1702" t="s">
        <v>1502</v>
      </c>
      <c r="E1702" t="s">
        <v>1659</v>
      </c>
    </row>
    <row r="1703" spans="1:5" x14ac:dyDescent="0.2">
      <c r="A1703" s="269">
        <v>45910.60224537037</v>
      </c>
      <c r="B1703" t="s">
        <v>1431</v>
      </c>
      <c r="C1703" t="s">
        <v>15</v>
      </c>
      <c r="D1703" t="s">
        <v>1503</v>
      </c>
      <c r="E1703" t="s">
        <v>200</v>
      </c>
    </row>
    <row r="1704" spans="1:5" x14ac:dyDescent="0.2">
      <c r="A1704" s="269">
        <v>45910.602372685185</v>
      </c>
      <c r="B1704" t="s">
        <v>1431</v>
      </c>
      <c r="C1704" t="s">
        <v>15</v>
      </c>
      <c r="D1704" t="s">
        <v>1504</v>
      </c>
      <c r="E1704">
        <v>1</v>
      </c>
    </row>
    <row r="1705" spans="1:5" x14ac:dyDescent="0.2">
      <c r="A1705" s="269">
        <v>45910.602511574078</v>
      </c>
      <c r="B1705" t="s">
        <v>1431</v>
      </c>
      <c r="C1705" t="s">
        <v>15</v>
      </c>
      <c r="D1705" t="s">
        <v>1502</v>
      </c>
      <c r="E1705" t="s">
        <v>1660</v>
      </c>
    </row>
    <row r="1706" spans="1:5" x14ac:dyDescent="0.2">
      <c r="A1706" s="269">
        <v>45910.602581018517</v>
      </c>
      <c r="B1706" t="s">
        <v>1431</v>
      </c>
      <c r="C1706" t="s">
        <v>15</v>
      </c>
      <c r="D1706" t="s">
        <v>1661</v>
      </c>
      <c r="E1706" t="s">
        <v>380</v>
      </c>
    </row>
    <row r="1707" spans="1:5" x14ac:dyDescent="0.2">
      <c r="A1707" s="269">
        <v>45910.602627314816</v>
      </c>
      <c r="B1707" t="s">
        <v>1431</v>
      </c>
      <c r="C1707" t="s">
        <v>15</v>
      </c>
      <c r="D1707" t="s">
        <v>1505</v>
      </c>
      <c r="E1707" t="s">
        <v>352</v>
      </c>
    </row>
    <row r="1708" spans="1:5" x14ac:dyDescent="0.2">
      <c r="A1708" s="269">
        <v>45910.602835648147</v>
      </c>
      <c r="B1708" t="s">
        <v>1431</v>
      </c>
      <c r="C1708" t="s">
        <v>15</v>
      </c>
      <c r="D1708" t="s">
        <v>1506</v>
      </c>
      <c r="E1708" t="s">
        <v>1660</v>
      </c>
    </row>
    <row r="1709" spans="1:5" x14ac:dyDescent="0.2">
      <c r="A1709" s="269">
        <v>45910.602893518517</v>
      </c>
      <c r="B1709" t="s">
        <v>1431</v>
      </c>
      <c r="C1709" t="s">
        <v>15</v>
      </c>
      <c r="D1709" t="s">
        <v>1507</v>
      </c>
      <c r="E1709" t="s">
        <v>200</v>
      </c>
    </row>
    <row r="1710" spans="1:5" x14ac:dyDescent="0.2">
      <c r="A1710" s="269">
        <v>45910.602962962963</v>
      </c>
      <c r="B1710" t="s">
        <v>1431</v>
      </c>
      <c r="C1710" t="s">
        <v>15</v>
      </c>
      <c r="D1710" t="s">
        <v>1508</v>
      </c>
      <c r="E1710">
        <v>1</v>
      </c>
    </row>
    <row r="1711" spans="1:5" x14ac:dyDescent="0.2">
      <c r="A1711" s="269">
        <v>45910.603032407409</v>
      </c>
      <c r="B1711" t="s">
        <v>1431</v>
      </c>
      <c r="C1711" t="s">
        <v>15</v>
      </c>
      <c r="D1711" t="s">
        <v>1662</v>
      </c>
      <c r="E1711" t="s">
        <v>372</v>
      </c>
    </row>
    <row r="1712" spans="1:5" x14ac:dyDescent="0.2">
      <c r="A1712" s="269">
        <v>45910.603067129632</v>
      </c>
      <c r="B1712" t="s">
        <v>1431</v>
      </c>
      <c r="C1712" t="s">
        <v>15</v>
      </c>
      <c r="D1712" t="s">
        <v>1509</v>
      </c>
      <c r="E1712" t="s">
        <v>352</v>
      </c>
    </row>
    <row r="1713" spans="1:5" x14ac:dyDescent="0.2">
      <c r="A1713" s="269">
        <v>45910.604479166665</v>
      </c>
      <c r="B1713" t="s">
        <v>1431</v>
      </c>
      <c r="C1713" t="s">
        <v>15</v>
      </c>
      <c r="D1713" t="s">
        <v>1663</v>
      </c>
      <c r="E1713" t="s">
        <v>338</v>
      </c>
    </row>
    <row r="1714" spans="1:5" x14ac:dyDescent="0.2">
      <c r="A1714" s="269">
        <v>45910.604513888888</v>
      </c>
      <c r="B1714" t="s">
        <v>1431</v>
      </c>
      <c r="C1714" t="s">
        <v>15</v>
      </c>
      <c r="D1714" t="s">
        <v>1563</v>
      </c>
      <c r="E1714">
        <v>0</v>
      </c>
    </row>
    <row r="1715" spans="1:5" x14ac:dyDescent="0.2">
      <c r="A1715" s="269">
        <v>45910.604664351849</v>
      </c>
      <c r="B1715" t="s">
        <v>1431</v>
      </c>
      <c r="C1715" t="s">
        <v>15</v>
      </c>
      <c r="D1715" t="s">
        <v>1664</v>
      </c>
      <c r="E1715" t="s">
        <v>338</v>
      </c>
    </row>
    <row r="1716" spans="1:5" x14ac:dyDescent="0.2">
      <c r="A1716" s="269">
        <v>45910.604745370372</v>
      </c>
      <c r="B1716" t="s">
        <v>1431</v>
      </c>
      <c r="C1716" t="s">
        <v>15</v>
      </c>
      <c r="D1716" t="s">
        <v>1665</v>
      </c>
      <c r="E1716" t="s">
        <v>338</v>
      </c>
    </row>
    <row r="1717" spans="1:5" x14ac:dyDescent="0.2">
      <c r="A1717" s="269">
        <v>45910.604780092595</v>
      </c>
      <c r="B1717" t="s">
        <v>1431</v>
      </c>
      <c r="C1717" t="s">
        <v>15</v>
      </c>
      <c r="D1717" t="s">
        <v>1666</v>
      </c>
      <c r="E1717">
        <v>0</v>
      </c>
    </row>
    <row r="1718" spans="1:5" x14ac:dyDescent="0.2">
      <c r="A1718" s="269">
        <v>45910.604803240742</v>
      </c>
      <c r="B1718" t="s">
        <v>1431</v>
      </c>
      <c r="C1718" t="s">
        <v>15</v>
      </c>
      <c r="D1718" t="s">
        <v>1564</v>
      </c>
      <c r="E1718">
        <v>0</v>
      </c>
    </row>
    <row r="1719" spans="1:5" x14ac:dyDescent="0.2">
      <c r="A1719" s="269">
        <v>45910.60564814815</v>
      </c>
      <c r="B1719" t="s">
        <v>1431</v>
      </c>
      <c r="C1719" t="s">
        <v>15</v>
      </c>
      <c r="D1719" t="s">
        <v>1510</v>
      </c>
      <c r="E1719" t="s">
        <v>1667</v>
      </c>
    </row>
    <row r="1720" spans="1:5" x14ac:dyDescent="0.2">
      <c r="A1720" s="269">
        <v>45910.605682870373</v>
      </c>
      <c r="B1720" t="s">
        <v>1431</v>
      </c>
      <c r="C1720" t="s">
        <v>15</v>
      </c>
      <c r="D1720" t="s">
        <v>1511</v>
      </c>
      <c r="E1720" t="s">
        <v>200</v>
      </c>
    </row>
    <row r="1721" spans="1:5" x14ac:dyDescent="0.2">
      <c r="A1721" s="269">
        <v>45910.605706018519</v>
      </c>
      <c r="B1721" t="s">
        <v>1431</v>
      </c>
      <c r="C1721" t="s">
        <v>15</v>
      </c>
      <c r="D1721" t="s">
        <v>1512</v>
      </c>
      <c r="E1721">
        <v>1</v>
      </c>
    </row>
    <row r="1722" spans="1:5" x14ac:dyDescent="0.2">
      <c r="A1722" s="269">
        <v>45910.608043981483</v>
      </c>
      <c r="B1722" t="s">
        <v>1431</v>
      </c>
      <c r="C1722" t="s">
        <v>15</v>
      </c>
      <c r="D1722" t="s">
        <v>1668</v>
      </c>
      <c r="E1722" t="s">
        <v>372</v>
      </c>
    </row>
    <row r="1723" spans="1:5" x14ac:dyDescent="0.2">
      <c r="A1723" s="269">
        <v>45910.608090277776</v>
      </c>
      <c r="B1723" t="s">
        <v>1431</v>
      </c>
      <c r="C1723" t="s">
        <v>15</v>
      </c>
      <c r="D1723" t="s">
        <v>1513</v>
      </c>
      <c r="E1723" t="s">
        <v>352</v>
      </c>
    </row>
    <row r="1724" spans="1:5" x14ac:dyDescent="0.2">
      <c r="A1724" s="269">
        <v>45910.608217592591</v>
      </c>
      <c r="B1724" t="s">
        <v>1431</v>
      </c>
      <c r="C1724" t="s">
        <v>15</v>
      </c>
      <c r="D1724" t="s">
        <v>1669</v>
      </c>
      <c r="E1724" t="s">
        <v>338</v>
      </c>
    </row>
    <row r="1725" spans="1:5" x14ac:dyDescent="0.2">
      <c r="A1725" s="269">
        <v>45910.608240740738</v>
      </c>
      <c r="B1725" t="s">
        <v>1431</v>
      </c>
      <c r="C1725" t="s">
        <v>15</v>
      </c>
      <c r="D1725" t="s">
        <v>1670</v>
      </c>
      <c r="E1725">
        <v>0</v>
      </c>
    </row>
    <row r="1726" spans="1:5" x14ac:dyDescent="0.2">
      <c r="A1726" s="269">
        <v>45910.608553240738</v>
      </c>
      <c r="B1726" t="s">
        <v>1431</v>
      </c>
      <c r="C1726" t="s">
        <v>15</v>
      </c>
      <c r="D1726" t="s">
        <v>1514</v>
      </c>
      <c r="E1726" t="s">
        <v>1667</v>
      </c>
    </row>
    <row r="1727" spans="1:5" x14ac:dyDescent="0.2">
      <c r="A1727" s="269">
        <v>45910.608622685184</v>
      </c>
      <c r="B1727" t="s">
        <v>1431</v>
      </c>
      <c r="C1727" t="s">
        <v>15</v>
      </c>
      <c r="D1727" t="s">
        <v>1515</v>
      </c>
      <c r="E1727" t="s">
        <v>200</v>
      </c>
    </row>
    <row r="1728" spans="1:5" x14ac:dyDescent="0.2">
      <c r="A1728" s="269">
        <v>45910.608796296299</v>
      </c>
      <c r="B1728" t="s">
        <v>1431</v>
      </c>
      <c r="C1728" t="s">
        <v>15</v>
      </c>
      <c r="D1728" t="s">
        <v>1514</v>
      </c>
      <c r="E1728" t="s">
        <v>1671</v>
      </c>
    </row>
    <row r="1729" spans="1:5" x14ac:dyDescent="0.2">
      <c r="A1729" s="269">
        <v>45910.608831018515</v>
      </c>
      <c r="B1729" t="s">
        <v>1431</v>
      </c>
      <c r="C1729" t="s">
        <v>15</v>
      </c>
      <c r="D1729" t="s">
        <v>1516</v>
      </c>
      <c r="E1729">
        <v>1</v>
      </c>
    </row>
    <row r="1730" spans="1:5" x14ac:dyDescent="0.2">
      <c r="A1730" s="269">
        <v>45910.608888888892</v>
      </c>
      <c r="B1730" t="s">
        <v>1431</v>
      </c>
      <c r="C1730" t="s">
        <v>15</v>
      </c>
      <c r="D1730" t="s">
        <v>1672</v>
      </c>
      <c r="E1730" t="s">
        <v>372</v>
      </c>
    </row>
    <row r="1731" spans="1:5" x14ac:dyDescent="0.2">
      <c r="A1731" s="269">
        <v>45910.608946759261</v>
      </c>
      <c r="B1731" t="s">
        <v>1431</v>
      </c>
      <c r="C1731" t="s">
        <v>15</v>
      </c>
      <c r="D1731" t="s">
        <v>1517</v>
      </c>
      <c r="E1731" t="s">
        <v>352</v>
      </c>
    </row>
    <row r="1732" spans="1:5" x14ac:dyDescent="0.2">
      <c r="A1732" s="269">
        <v>45910.609039351853</v>
      </c>
      <c r="B1732" t="s">
        <v>1431</v>
      </c>
      <c r="C1732" t="s">
        <v>15</v>
      </c>
      <c r="D1732" t="s">
        <v>1673</v>
      </c>
      <c r="E1732" t="s">
        <v>338</v>
      </c>
    </row>
    <row r="1733" spans="1:5" x14ac:dyDescent="0.2">
      <c r="A1733" s="269">
        <v>45910.6090625</v>
      </c>
      <c r="B1733" t="s">
        <v>1431</v>
      </c>
      <c r="C1733" t="s">
        <v>15</v>
      </c>
      <c r="D1733" t="s">
        <v>1565</v>
      </c>
      <c r="E1733">
        <v>0</v>
      </c>
    </row>
    <row r="1734" spans="1:5" x14ac:dyDescent="0.2">
      <c r="A1734" s="269">
        <v>45910.609363425923</v>
      </c>
      <c r="B1734" t="s">
        <v>1431</v>
      </c>
      <c r="C1734" t="s">
        <v>15</v>
      </c>
      <c r="D1734" t="s">
        <v>1518</v>
      </c>
      <c r="E1734" t="s">
        <v>1674</v>
      </c>
    </row>
    <row r="1735" spans="1:5" x14ac:dyDescent="0.2">
      <c r="A1735" s="269">
        <v>45910.609502314815</v>
      </c>
      <c r="B1735" t="s">
        <v>1431</v>
      </c>
      <c r="C1735" t="s">
        <v>15</v>
      </c>
      <c r="D1735" t="s">
        <v>1519</v>
      </c>
      <c r="E1735" t="s">
        <v>200</v>
      </c>
    </row>
    <row r="1736" spans="1:5" x14ac:dyDescent="0.2">
      <c r="A1736" s="269">
        <v>45910.609525462962</v>
      </c>
      <c r="B1736" t="s">
        <v>1431</v>
      </c>
      <c r="C1736" t="s">
        <v>15</v>
      </c>
      <c r="D1736" t="s">
        <v>1520</v>
      </c>
      <c r="E1736">
        <v>1</v>
      </c>
    </row>
    <row r="1737" spans="1:5" x14ac:dyDescent="0.2">
      <c r="A1737" s="269">
        <v>45910.614768518521</v>
      </c>
      <c r="B1737" t="s">
        <v>1431</v>
      </c>
      <c r="C1737" t="s">
        <v>15</v>
      </c>
      <c r="D1737" t="s">
        <v>1459</v>
      </c>
      <c r="E1737" t="s">
        <v>380</v>
      </c>
    </row>
    <row r="1738" spans="1:5" x14ac:dyDescent="0.2">
      <c r="A1738" s="269">
        <v>45910.614814814813</v>
      </c>
      <c r="B1738" t="s">
        <v>1431</v>
      </c>
      <c r="C1738" t="s">
        <v>15</v>
      </c>
      <c r="D1738" t="s">
        <v>1521</v>
      </c>
      <c r="E1738" t="s">
        <v>352</v>
      </c>
    </row>
    <row r="1739" spans="1:5" x14ac:dyDescent="0.2">
      <c r="A1739" s="269">
        <v>45910.614884259259</v>
      </c>
      <c r="B1739" t="s">
        <v>1431</v>
      </c>
      <c r="C1739" t="s">
        <v>15</v>
      </c>
      <c r="D1739" t="s">
        <v>1675</v>
      </c>
      <c r="E1739" t="s">
        <v>338</v>
      </c>
    </row>
    <row r="1740" spans="1:5" x14ac:dyDescent="0.2">
      <c r="A1740" s="269">
        <v>45910.614930555559</v>
      </c>
      <c r="B1740" t="s">
        <v>1431</v>
      </c>
      <c r="C1740" t="s">
        <v>15</v>
      </c>
      <c r="D1740" t="s">
        <v>1676</v>
      </c>
      <c r="E1740">
        <v>0</v>
      </c>
    </row>
    <row r="1741" spans="1:5" x14ac:dyDescent="0.2">
      <c r="A1741" s="269">
        <v>45910.618009259262</v>
      </c>
      <c r="B1741" t="s">
        <v>1431</v>
      </c>
      <c r="C1741" t="s">
        <v>15</v>
      </c>
      <c r="D1741" t="s">
        <v>1525</v>
      </c>
      <c r="E1741" t="s">
        <v>1677</v>
      </c>
    </row>
    <row r="1742" spans="1:5" x14ac:dyDescent="0.2">
      <c r="A1742" s="269">
        <v>45910.61886574074</v>
      </c>
      <c r="B1742" t="s">
        <v>1431</v>
      </c>
      <c r="C1742" t="s">
        <v>15</v>
      </c>
      <c r="D1742" t="s">
        <v>1525</v>
      </c>
      <c r="E1742" t="s">
        <v>1678</v>
      </c>
    </row>
    <row r="1743" spans="1:5" x14ac:dyDescent="0.2">
      <c r="A1743" s="269">
        <v>45910.618900462963</v>
      </c>
      <c r="B1743" t="s">
        <v>1431</v>
      </c>
      <c r="C1743" t="s">
        <v>15</v>
      </c>
      <c r="D1743" t="s">
        <v>1526</v>
      </c>
      <c r="E1743" t="s">
        <v>200</v>
      </c>
    </row>
    <row r="1744" spans="1:5" x14ac:dyDescent="0.2">
      <c r="A1744" s="269">
        <v>45910.618923611109</v>
      </c>
      <c r="B1744" t="s">
        <v>1431</v>
      </c>
      <c r="C1744" t="s">
        <v>15</v>
      </c>
      <c r="D1744" t="s">
        <v>1527</v>
      </c>
      <c r="E1744">
        <v>1</v>
      </c>
    </row>
    <row r="1745" spans="1:5" x14ac:dyDescent="0.2">
      <c r="A1745" s="269">
        <v>45910.619016203702</v>
      </c>
      <c r="B1745" t="s">
        <v>1431</v>
      </c>
      <c r="C1745" t="s">
        <v>15</v>
      </c>
      <c r="D1745" t="s">
        <v>1679</v>
      </c>
      <c r="E1745" t="s">
        <v>380</v>
      </c>
    </row>
    <row r="1746" spans="1:5" x14ac:dyDescent="0.2">
      <c r="A1746" s="269">
        <v>45910.619074074071</v>
      </c>
      <c r="B1746" t="s">
        <v>1431</v>
      </c>
      <c r="C1746" t="s">
        <v>15</v>
      </c>
      <c r="D1746" t="s">
        <v>1528</v>
      </c>
      <c r="E1746" t="s">
        <v>352</v>
      </c>
    </row>
    <row r="1747" spans="1:5" x14ac:dyDescent="0.2">
      <c r="A1747" s="269">
        <v>45910.619143518517</v>
      </c>
      <c r="B1747" t="s">
        <v>1431</v>
      </c>
      <c r="C1747" t="s">
        <v>15</v>
      </c>
      <c r="D1747" t="s">
        <v>1680</v>
      </c>
      <c r="E1747" t="s">
        <v>338</v>
      </c>
    </row>
    <row r="1748" spans="1:5" x14ac:dyDescent="0.2">
      <c r="A1748" s="269">
        <v>45910.619166666664</v>
      </c>
      <c r="B1748" t="s">
        <v>1431</v>
      </c>
      <c r="C1748" t="s">
        <v>15</v>
      </c>
      <c r="D1748" t="s">
        <v>1566</v>
      </c>
      <c r="E1748">
        <v>0</v>
      </c>
    </row>
    <row r="1749" spans="1:5" x14ac:dyDescent="0.2">
      <c r="A1749" s="269">
        <v>45910.619502314818</v>
      </c>
      <c r="B1749" t="s">
        <v>1431</v>
      </c>
      <c r="C1749" t="s">
        <v>15</v>
      </c>
      <c r="D1749" t="s">
        <v>1682</v>
      </c>
      <c r="E1749" t="s">
        <v>1681</v>
      </c>
    </row>
    <row r="1750" spans="1:5" x14ac:dyDescent="0.2">
      <c r="A1750" s="269">
        <v>45910.619525462964</v>
      </c>
      <c r="B1750" t="s">
        <v>1431</v>
      </c>
      <c r="C1750" t="s">
        <v>15</v>
      </c>
      <c r="D1750" t="s">
        <v>1683</v>
      </c>
      <c r="E1750" t="s">
        <v>200</v>
      </c>
    </row>
    <row r="1751" spans="1:5" x14ac:dyDescent="0.2">
      <c r="A1751" s="269">
        <v>45910.619560185187</v>
      </c>
      <c r="B1751" t="s">
        <v>1431</v>
      </c>
      <c r="C1751" t="s">
        <v>15</v>
      </c>
      <c r="D1751" t="s">
        <v>1684</v>
      </c>
      <c r="E1751">
        <v>1</v>
      </c>
    </row>
    <row r="1752" spans="1:5" x14ac:dyDescent="0.2">
      <c r="A1752" s="269">
        <v>45910.619687500002</v>
      </c>
      <c r="B1752" t="s">
        <v>1431</v>
      </c>
      <c r="C1752" t="s">
        <v>15</v>
      </c>
      <c r="D1752" t="s">
        <v>1684</v>
      </c>
    </row>
    <row r="1753" spans="1:5" x14ac:dyDescent="0.2">
      <c r="A1753" s="269">
        <v>45910.619710648149</v>
      </c>
      <c r="B1753" t="s">
        <v>1431</v>
      </c>
      <c r="C1753" t="s">
        <v>15</v>
      </c>
      <c r="D1753" t="s">
        <v>1684</v>
      </c>
      <c r="E1753">
        <v>2</v>
      </c>
    </row>
    <row r="1754" spans="1:5" x14ac:dyDescent="0.2">
      <c r="A1754" s="269">
        <v>45910.619791666664</v>
      </c>
      <c r="B1754" t="s">
        <v>1431</v>
      </c>
      <c r="C1754" t="s">
        <v>15</v>
      </c>
      <c r="D1754" t="s">
        <v>1684</v>
      </c>
      <c r="E1754">
        <v>1</v>
      </c>
    </row>
    <row r="1755" spans="1:5" x14ac:dyDescent="0.2">
      <c r="A1755" s="269">
        <v>45910.619826388887</v>
      </c>
      <c r="B1755" t="s">
        <v>1431</v>
      </c>
      <c r="C1755" t="s">
        <v>15</v>
      </c>
      <c r="D1755" t="s">
        <v>1685</v>
      </c>
      <c r="E1755" t="s">
        <v>380</v>
      </c>
    </row>
    <row r="1756" spans="1:5" x14ac:dyDescent="0.2">
      <c r="A1756" s="269">
        <v>45910.619884259257</v>
      </c>
      <c r="B1756" t="s">
        <v>1431</v>
      </c>
      <c r="C1756" t="s">
        <v>15</v>
      </c>
      <c r="D1756" t="s">
        <v>1686</v>
      </c>
      <c r="E1756" t="s">
        <v>352</v>
      </c>
    </row>
    <row r="1757" spans="1:5" x14ac:dyDescent="0.2">
      <c r="A1757" s="269">
        <v>45910.61991898148</v>
      </c>
      <c r="B1757" t="s">
        <v>1431</v>
      </c>
      <c r="C1757" t="s">
        <v>15</v>
      </c>
      <c r="D1757" t="s">
        <v>1687</v>
      </c>
      <c r="E1757" t="s">
        <v>338</v>
      </c>
    </row>
    <row r="1758" spans="1:5" x14ac:dyDescent="0.2">
      <c r="A1758" s="269">
        <v>45910.619942129626</v>
      </c>
      <c r="B1758" t="s">
        <v>1431</v>
      </c>
      <c r="C1758" t="s">
        <v>15</v>
      </c>
      <c r="D1758" t="s">
        <v>1688</v>
      </c>
      <c r="E1758">
        <v>0</v>
      </c>
    </row>
    <row r="1759" spans="1:5" x14ac:dyDescent="0.2">
      <c r="A1759" s="269">
        <v>45910.620381944442</v>
      </c>
      <c r="B1759" t="s">
        <v>1431</v>
      </c>
      <c r="C1759" t="s">
        <v>15</v>
      </c>
      <c r="D1759" t="s">
        <v>1690</v>
      </c>
      <c r="E1759" t="s">
        <v>1689</v>
      </c>
    </row>
    <row r="1760" spans="1:5" x14ac:dyDescent="0.2">
      <c r="A1760" s="269">
        <v>45910.620439814818</v>
      </c>
      <c r="B1760" t="s">
        <v>1431</v>
      </c>
      <c r="C1760" t="s">
        <v>15</v>
      </c>
      <c r="D1760" t="s">
        <v>1525</v>
      </c>
      <c r="E1760" t="s">
        <v>1691</v>
      </c>
    </row>
    <row r="1761" spans="1:5" x14ac:dyDescent="0.2">
      <c r="A1761" s="269">
        <v>45910.620509259257</v>
      </c>
      <c r="B1761" t="s">
        <v>1431</v>
      </c>
      <c r="C1761" t="s">
        <v>15</v>
      </c>
      <c r="D1761" t="s">
        <v>1518</v>
      </c>
      <c r="E1761" t="s">
        <v>1692</v>
      </c>
    </row>
    <row r="1762" spans="1:5" x14ac:dyDescent="0.2">
      <c r="A1762" s="269">
        <v>45910.62059027778</v>
      </c>
      <c r="B1762" t="s">
        <v>1431</v>
      </c>
      <c r="C1762" t="s">
        <v>15</v>
      </c>
      <c r="D1762" t="s">
        <v>1514</v>
      </c>
      <c r="E1762" t="s">
        <v>1693</v>
      </c>
    </row>
    <row r="1763" spans="1:5" x14ac:dyDescent="0.2">
      <c r="A1763" s="269">
        <v>45910.620659722219</v>
      </c>
      <c r="B1763" t="s">
        <v>1431</v>
      </c>
      <c r="C1763" t="s">
        <v>15</v>
      </c>
      <c r="D1763" t="s">
        <v>1510</v>
      </c>
      <c r="E1763" t="s">
        <v>1694</v>
      </c>
    </row>
    <row r="1764" spans="1:5" x14ac:dyDescent="0.2">
      <c r="A1764" s="269">
        <v>45910.620856481481</v>
      </c>
      <c r="B1764" t="s">
        <v>1431</v>
      </c>
      <c r="C1764" t="s">
        <v>15</v>
      </c>
      <c r="D1764" t="s">
        <v>1690</v>
      </c>
      <c r="E1764" t="s">
        <v>1695</v>
      </c>
    </row>
    <row r="1765" spans="1:5" x14ac:dyDescent="0.2">
      <c r="A1765" s="269">
        <v>45910.62091435185</v>
      </c>
      <c r="B1765" t="s">
        <v>1431</v>
      </c>
      <c r="C1765" t="s">
        <v>15</v>
      </c>
      <c r="D1765" t="s">
        <v>1682</v>
      </c>
      <c r="E1765" t="s">
        <v>1696</v>
      </c>
    </row>
    <row r="1766" spans="1:5" x14ac:dyDescent="0.2">
      <c r="A1766" s="269">
        <v>45910.621203703704</v>
      </c>
      <c r="B1766" t="s">
        <v>1431</v>
      </c>
      <c r="C1766" t="s">
        <v>15</v>
      </c>
      <c r="D1766" t="s">
        <v>1510</v>
      </c>
      <c r="E1766" t="s">
        <v>1667</v>
      </c>
    </row>
    <row r="1767" spans="1:5" x14ac:dyDescent="0.2">
      <c r="A1767" s="269">
        <v>45910.62128472222</v>
      </c>
      <c r="B1767" t="s">
        <v>1431</v>
      </c>
      <c r="C1767" t="s">
        <v>15</v>
      </c>
      <c r="D1767" t="s">
        <v>1514</v>
      </c>
      <c r="E1767" t="s">
        <v>1671</v>
      </c>
    </row>
    <row r="1768" spans="1:5" x14ac:dyDescent="0.2">
      <c r="A1768" s="269">
        <v>45910.621365740742</v>
      </c>
      <c r="B1768" t="s">
        <v>1431</v>
      </c>
      <c r="C1768" t="s">
        <v>15</v>
      </c>
      <c r="D1768" t="s">
        <v>1518</v>
      </c>
      <c r="E1768" t="s">
        <v>1674</v>
      </c>
    </row>
    <row r="1769" spans="1:5" x14ac:dyDescent="0.2">
      <c r="A1769" s="269">
        <v>45910.621435185189</v>
      </c>
      <c r="B1769" t="s">
        <v>1431</v>
      </c>
      <c r="C1769" t="s">
        <v>15</v>
      </c>
      <c r="D1769" t="s">
        <v>1525</v>
      </c>
      <c r="E1769" t="s">
        <v>1678</v>
      </c>
    </row>
    <row r="1770" spans="1:5" x14ac:dyDescent="0.2">
      <c r="A1770" s="269">
        <v>45910.621516203704</v>
      </c>
      <c r="B1770" t="s">
        <v>1431</v>
      </c>
      <c r="C1770" t="s">
        <v>15</v>
      </c>
      <c r="D1770" t="s">
        <v>1682</v>
      </c>
      <c r="E1770" t="s">
        <v>1697</v>
      </c>
    </row>
    <row r="1771" spans="1:5" x14ac:dyDescent="0.2">
      <c r="A1771" s="269">
        <v>45910.621712962966</v>
      </c>
      <c r="B1771" t="s">
        <v>1431</v>
      </c>
      <c r="C1771" t="s">
        <v>15</v>
      </c>
      <c r="D1771" t="s">
        <v>1690</v>
      </c>
      <c r="E1771" t="s">
        <v>1698</v>
      </c>
    </row>
    <row r="1772" spans="1:5" x14ac:dyDescent="0.2">
      <c r="A1772" s="269">
        <v>45910.621736111112</v>
      </c>
      <c r="B1772" t="s">
        <v>1431</v>
      </c>
      <c r="C1772" t="s">
        <v>15</v>
      </c>
      <c r="D1772" t="s">
        <v>1690</v>
      </c>
      <c r="E1772" t="s">
        <v>1698</v>
      </c>
    </row>
    <row r="1773" spans="1:5" x14ac:dyDescent="0.2">
      <c r="A1773" s="269">
        <v>45910.622094907405</v>
      </c>
      <c r="B1773" t="s">
        <v>1431</v>
      </c>
      <c r="C1773" t="s">
        <v>15</v>
      </c>
      <c r="D1773" t="s">
        <v>1690</v>
      </c>
      <c r="E1773" t="s">
        <v>1681</v>
      </c>
    </row>
    <row r="1774" spans="1:5" x14ac:dyDescent="0.2">
      <c r="A1774" s="269">
        <v>45910.622129629628</v>
      </c>
      <c r="B1774" t="s">
        <v>1431</v>
      </c>
      <c r="C1774" t="s">
        <v>15</v>
      </c>
      <c r="D1774" t="s">
        <v>1699</v>
      </c>
      <c r="E1774" t="s">
        <v>200</v>
      </c>
    </row>
    <row r="1775" spans="1:5" x14ac:dyDescent="0.2">
      <c r="A1775" s="269">
        <v>45910.622210648151</v>
      </c>
      <c r="B1775" t="s">
        <v>1431</v>
      </c>
      <c r="C1775" t="s">
        <v>15</v>
      </c>
      <c r="D1775" t="s">
        <v>1700</v>
      </c>
      <c r="E1775">
        <v>1</v>
      </c>
    </row>
    <row r="1776" spans="1:5" x14ac:dyDescent="0.2">
      <c r="A1776" s="269">
        <v>45910.62263888889</v>
      </c>
      <c r="B1776" t="s">
        <v>1431</v>
      </c>
      <c r="C1776" t="s">
        <v>15</v>
      </c>
      <c r="D1776" t="s">
        <v>1701</v>
      </c>
      <c r="E1776" t="s">
        <v>372</v>
      </c>
    </row>
    <row r="1777" spans="1:5" x14ac:dyDescent="0.2">
      <c r="A1777" s="269">
        <v>45910.622673611113</v>
      </c>
      <c r="B1777" t="s">
        <v>1431</v>
      </c>
      <c r="C1777" t="s">
        <v>15</v>
      </c>
      <c r="D1777" t="s">
        <v>1702</v>
      </c>
      <c r="E1777" t="s">
        <v>352</v>
      </c>
    </row>
    <row r="1778" spans="1:5" x14ac:dyDescent="0.2">
      <c r="A1778" s="269">
        <v>45910.622743055559</v>
      </c>
      <c r="B1778" t="s">
        <v>1431</v>
      </c>
      <c r="C1778" t="s">
        <v>15</v>
      </c>
      <c r="D1778" t="s">
        <v>1703</v>
      </c>
      <c r="E1778" t="s">
        <v>338</v>
      </c>
    </row>
    <row r="1779" spans="1:5" x14ac:dyDescent="0.2">
      <c r="A1779" s="269">
        <v>45910.622754629629</v>
      </c>
      <c r="B1779" t="s">
        <v>1431</v>
      </c>
      <c r="C1779" t="s">
        <v>15</v>
      </c>
      <c r="D1779" t="s">
        <v>1704</v>
      </c>
      <c r="E1779">
        <v>0</v>
      </c>
    </row>
    <row r="1780" spans="1:5" x14ac:dyDescent="0.2">
      <c r="A1780" s="269">
        <v>45910.62295138889</v>
      </c>
      <c r="B1780" t="s">
        <v>1431</v>
      </c>
      <c r="C1780" t="s">
        <v>15</v>
      </c>
      <c r="D1780" t="s">
        <v>1706</v>
      </c>
      <c r="E1780" t="s">
        <v>1705</v>
      </c>
    </row>
    <row r="1781" spans="1:5" x14ac:dyDescent="0.2">
      <c r="A1781" s="269">
        <v>45910.62300925926</v>
      </c>
      <c r="B1781" t="s">
        <v>1431</v>
      </c>
      <c r="C1781" t="s">
        <v>15</v>
      </c>
      <c r="D1781" t="s">
        <v>1707</v>
      </c>
      <c r="E1781" t="s">
        <v>200</v>
      </c>
    </row>
    <row r="1782" spans="1:5" x14ac:dyDescent="0.2">
      <c r="A1782" s="269">
        <v>45910.623032407406</v>
      </c>
      <c r="B1782" t="s">
        <v>1431</v>
      </c>
      <c r="C1782" t="s">
        <v>15</v>
      </c>
      <c r="D1782" t="s">
        <v>1708</v>
      </c>
      <c r="E1782">
        <v>2</v>
      </c>
    </row>
    <row r="1783" spans="1:5" x14ac:dyDescent="0.2">
      <c r="A1783" s="269">
        <v>45910.623078703706</v>
      </c>
      <c r="B1783" t="s">
        <v>1431</v>
      </c>
      <c r="C1783" t="s">
        <v>15</v>
      </c>
      <c r="D1783" t="s">
        <v>1709</v>
      </c>
      <c r="E1783" t="s">
        <v>372</v>
      </c>
    </row>
    <row r="1784" spans="1:5" x14ac:dyDescent="0.2">
      <c r="A1784" s="269">
        <v>45910.623124999998</v>
      </c>
      <c r="B1784" t="s">
        <v>1431</v>
      </c>
      <c r="C1784" t="s">
        <v>15</v>
      </c>
      <c r="D1784" t="s">
        <v>1710</v>
      </c>
      <c r="E1784" t="s">
        <v>352</v>
      </c>
    </row>
    <row r="1785" spans="1:5" x14ac:dyDescent="0.2">
      <c r="A1785" s="269">
        <v>45910.623252314814</v>
      </c>
      <c r="B1785" t="s">
        <v>1431</v>
      </c>
      <c r="C1785" t="s">
        <v>15</v>
      </c>
      <c r="D1785" t="s">
        <v>1711</v>
      </c>
      <c r="E1785" t="s">
        <v>338</v>
      </c>
    </row>
    <row r="1786" spans="1:5" x14ac:dyDescent="0.2">
      <c r="A1786" s="269">
        <v>45910.623379629629</v>
      </c>
      <c r="B1786" t="s">
        <v>1431</v>
      </c>
      <c r="C1786" t="s">
        <v>15</v>
      </c>
      <c r="D1786" t="s">
        <v>1712</v>
      </c>
      <c r="E1786">
        <v>0</v>
      </c>
    </row>
    <row r="1787" spans="1:5" x14ac:dyDescent="0.2">
      <c r="A1787" s="269">
        <v>45910.624050925922</v>
      </c>
      <c r="B1787" t="s">
        <v>1431</v>
      </c>
      <c r="C1787" t="s">
        <v>15</v>
      </c>
      <c r="D1787" t="s">
        <v>1706</v>
      </c>
      <c r="E1787" t="s">
        <v>1713</v>
      </c>
    </row>
    <row r="1788" spans="1:5" x14ac:dyDescent="0.2">
      <c r="A1788" s="269">
        <v>45910.624328703707</v>
      </c>
      <c r="B1788" t="s">
        <v>1431</v>
      </c>
      <c r="C1788" t="s">
        <v>15</v>
      </c>
      <c r="D1788" t="s">
        <v>1715</v>
      </c>
      <c r="E1788" t="s">
        <v>1714</v>
      </c>
    </row>
    <row r="1789" spans="1:5" x14ac:dyDescent="0.2">
      <c r="A1789" s="269">
        <v>45910.624351851853</v>
      </c>
      <c r="B1789" t="s">
        <v>1431</v>
      </c>
      <c r="C1789" t="s">
        <v>15</v>
      </c>
      <c r="D1789" t="s">
        <v>1716</v>
      </c>
      <c r="E1789" t="s">
        <v>200</v>
      </c>
    </row>
    <row r="1790" spans="1:5" x14ac:dyDescent="0.2">
      <c r="A1790" s="269">
        <v>45910.624386574076</v>
      </c>
      <c r="B1790" t="s">
        <v>1431</v>
      </c>
      <c r="C1790" t="s">
        <v>15</v>
      </c>
      <c r="D1790" t="s">
        <v>1717</v>
      </c>
      <c r="E1790">
        <v>2</v>
      </c>
    </row>
    <row r="1791" spans="1:5" x14ac:dyDescent="0.2">
      <c r="A1791" s="269">
        <v>45910.624421296299</v>
      </c>
      <c r="B1791" t="s">
        <v>1431</v>
      </c>
      <c r="C1791" t="s">
        <v>15</v>
      </c>
      <c r="D1791" t="s">
        <v>1718</v>
      </c>
      <c r="E1791" t="s">
        <v>372</v>
      </c>
    </row>
    <row r="1792" spans="1:5" x14ac:dyDescent="0.2">
      <c r="A1792" s="269">
        <v>45910.624467592592</v>
      </c>
      <c r="B1792" t="s">
        <v>1431</v>
      </c>
      <c r="C1792" t="s">
        <v>15</v>
      </c>
      <c r="D1792" t="s">
        <v>1719</v>
      </c>
      <c r="E1792" t="s">
        <v>352</v>
      </c>
    </row>
    <row r="1793" spans="1:5" x14ac:dyDescent="0.2">
      <c r="A1793" s="269">
        <v>45910.624525462961</v>
      </c>
      <c r="B1793" t="s">
        <v>1431</v>
      </c>
      <c r="C1793" t="s">
        <v>15</v>
      </c>
      <c r="D1793" t="s">
        <v>1720</v>
      </c>
      <c r="E1793" t="s">
        <v>338</v>
      </c>
    </row>
    <row r="1794" spans="1:5" x14ac:dyDescent="0.2">
      <c r="A1794" s="269">
        <v>45910.624560185184</v>
      </c>
      <c r="B1794" t="s">
        <v>1431</v>
      </c>
      <c r="C1794" t="s">
        <v>15</v>
      </c>
      <c r="D1794" t="s">
        <v>1721</v>
      </c>
      <c r="E1794">
        <v>0</v>
      </c>
    </row>
    <row r="1795" spans="1:5" x14ac:dyDescent="0.2">
      <c r="A1795" s="269">
        <v>45910.624942129631</v>
      </c>
      <c r="B1795" t="s">
        <v>1431</v>
      </c>
      <c r="C1795" t="s">
        <v>15</v>
      </c>
      <c r="D1795" t="s">
        <v>1723</v>
      </c>
      <c r="E1795" t="s">
        <v>1722</v>
      </c>
    </row>
    <row r="1796" spans="1:5" x14ac:dyDescent="0.2">
      <c r="A1796" s="269">
        <v>45910.624976851854</v>
      </c>
      <c r="B1796" t="s">
        <v>1431</v>
      </c>
      <c r="C1796" t="s">
        <v>15</v>
      </c>
      <c r="D1796" t="s">
        <v>1724</v>
      </c>
      <c r="E1796" t="s">
        <v>200</v>
      </c>
    </row>
    <row r="1797" spans="1:5" x14ac:dyDescent="0.2">
      <c r="A1797" s="269">
        <v>45910.625</v>
      </c>
      <c r="B1797" t="s">
        <v>1431</v>
      </c>
      <c r="C1797" t="s">
        <v>15</v>
      </c>
      <c r="D1797" t="s">
        <v>1725</v>
      </c>
      <c r="E1797">
        <v>2</v>
      </c>
    </row>
    <row r="1798" spans="1:5" x14ac:dyDescent="0.2">
      <c r="A1798" s="269">
        <v>45910.625034722223</v>
      </c>
      <c r="B1798" t="s">
        <v>1431</v>
      </c>
      <c r="C1798" t="s">
        <v>15</v>
      </c>
      <c r="D1798" t="s">
        <v>1726</v>
      </c>
      <c r="E1798" t="s">
        <v>380</v>
      </c>
    </row>
    <row r="1799" spans="1:5" x14ac:dyDescent="0.2">
      <c r="A1799" s="269">
        <v>45910.625081018516</v>
      </c>
      <c r="B1799" t="s">
        <v>1431</v>
      </c>
      <c r="C1799" t="s">
        <v>15</v>
      </c>
      <c r="D1799" t="s">
        <v>1727</v>
      </c>
      <c r="E1799" t="s">
        <v>352</v>
      </c>
    </row>
    <row r="1800" spans="1:5" x14ac:dyDescent="0.2">
      <c r="A1800" s="269">
        <v>45910.625150462962</v>
      </c>
      <c r="B1800" t="s">
        <v>1431</v>
      </c>
      <c r="C1800" t="s">
        <v>15</v>
      </c>
      <c r="D1800" t="s">
        <v>1728</v>
      </c>
      <c r="E1800" t="s">
        <v>338</v>
      </c>
    </row>
    <row r="1801" spans="1:5" x14ac:dyDescent="0.2">
      <c r="A1801" s="269">
        <v>45910.625185185185</v>
      </c>
      <c r="B1801" t="s">
        <v>1431</v>
      </c>
      <c r="C1801" t="s">
        <v>15</v>
      </c>
      <c r="D1801" t="s">
        <v>1729</v>
      </c>
      <c r="E1801">
        <v>0</v>
      </c>
    </row>
    <row r="1802" spans="1:5" x14ac:dyDescent="0.2">
      <c r="A1802" s="269">
        <v>45910.625497685185</v>
      </c>
      <c r="B1802" t="s">
        <v>1431</v>
      </c>
      <c r="C1802" t="s">
        <v>15</v>
      </c>
      <c r="D1802" t="s">
        <v>1731</v>
      </c>
      <c r="E1802" t="s">
        <v>1730</v>
      </c>
    </row>
    <row r="1803" spans="1:5" x14ac:dyDescent="0.2">
      <c r="A1803" s="269">
        <v>45910.625613425924</v>
      </c>
      <c r="B1803" t="s">
        <v>1431</v>
      </c>
      <c r="C1803" t="s">
        <v>15</v>
      </c>
      <c r="D1803" t="s">
        <v>1731</v>
      </c>
      <c r="E1803" t="s">
        <v>1732</v>
      </c>
    </row>
    <row r="1804" spans="1:5" x14ac:dyDescent="0.2">
      <c r="A1804" s="269">
        <v>45910.625636574077</v>
      </c>
      <c r="B1804" t="s">
        <v>1431</v>
      </c>
      <c r="C1804" t="s">
        <v>15</v>
      </c>
      <c r="D1804" t="s">
        <v>1733</v>
      </c>
      <c r="E1804" t="s">
        <v>200</v>
      </c>
    </row>
    <row r="1805" spans="1:5" x14ac:dyDescent="0.2">
      <c r="A1805" s="269">
        <v>45910.625671296293</v>
      </c>
      <c r="B1805" t="s">
        <v>1431</v>
      </c>
      <c r="C1805" t="s">
        <v>15</v>
      </c>
      <c r="D1805" t="s">
        <v>1734</v>
      </c>
      <c r="E1805">
        <v>1</v>
      </c>
    </row>
    <row r="1806" spans="1:5" x14ac:dyDescent="0.2">
      <c r="A1806" s="269">
        <v>45910.625717592593</v>
      </c>
      <c r="B1806" t="s">
        <v>1431</v>
      </c>
      <c r="C1806" t="s">
        <v>15</v>
      </c>
      <c r="D1806" t="s">
        <v>1735</v>
      </c>
      <c r="E1806" t="s">
        <v>380</v>
      </c>
    </row>
    <row r="1807" spans="1:5" x14ac:dyDescent="0.2">
      <c r="A1807" s="269">
        <v>45910.625763888886</v>
      </c>
      <c r="B1807" t="s">
        <v>1431</v>
      </c>
      <c r="C1807" t="s">
        <v>15</v>
      </c>
      <c r="D1807" t="s">
        <v>1736</v>
      </c>
      <c r="E1807" t="s">
        <v>352</v>
      </c>
    </row>
    <row r="1808" spans="1:5" x14ac:dyDescent="0.2">
      <c r="A1808" s="269">
        <v>45910.625868055555</v>
      </c>
      <c r="B1808" t="s">
        <v>1431</v>
      </c>
      <c r="C1808" t="s">
        <v>15</v>
      </c>
      <c r="D1808" t="s">
        <v>1737</v>
      </c>
      <c r="E1808" t="s">
        <v>41</v>
      </c>
    </row>
    <row r="1809" spans="1:5" x14ac:dyDescent="0.2">
      <c r="A1809" s="269">
        <v>45910.626168981478</v>
      </c>
      <c r="B1809" t="s">
        <v>1431</v>
      </c>
      <c r="C1809" t="s">
        <v>15</v>
      </c>
      <c r="D1809" t="s">
        <v>1738</v>
      </c>
      <c r="E1809">
        <v>1.2</v>
      </c>
    </row>
    <row r="1810" spans="1:5" x14ac:dyDescent="0.2">
      <c r="A1810" s="269">
        <v>45910.626689814817</v>
      </c>
      <c r="B1810" t="s">
        <v>1431</v>
      </c>
      <c r="C1810" t="s">
        <v>15</v>
      </c>
      <c r="D1810" t="s">
        <v>1740</v>
      </c>
      <c r="E1810" t="s">
        <v>1739</v>
      </c>
    </row>
    <row r="1811" spans="1:5" x14ac:dyDescent="0.2">
      <c r="A1811" s="269">
        <v>45910.62672453704</v>
      </c>
      <c r="B1811" t="s">
        <v>1431</v>
      </c>
      <c r="C1811" t="s">
        <v>15</v>
      </c>
      <c r="D1811" t="s">
        <v>1741</v>
      </c>
      <c r="E1811" t="s">
        <v>200</v>
      </c>
    </row>
    <row r="1812" spans="1:5" x14ac:dyDescent="0.2">
      <c r="A1812" s="269">
        <v>45910.626747685186</v>
      </c>
      <c r="B1812" t="s">
        <v>1431</v>
      </c>
      <c r="C1812" t="s">
        <v>15</v>
      </c>
      <c r="D1812" t="s">
        <v>1742</v>
      </c>
      <c r="E1812">
        <v>1</v>
      </c>
    </row>
    <row r="1813" spans="1:5" x14ac:dyDescent="0.2">
      <c r="A1813" s="269">
        <v>45910.626828703702</v>
      </c>
      <c r="B1813" t="s">
        <v>1431</v>
      </c>
      <c r="C1813" t="s">
        <v>15</v>
      </c>
      <c r="D1813" t="s">
        <v>1743</v>
      </c>
      <c r="E1813" t="s">
        <v>380</v>
      </c>
    </row>
    <row r="1814" spans="1:5" x14ac:dyDescent="0.2">
      <c r="A1814" s="269">
        <v>45910.626863425925</v>
      </c>
      <c r="B1814" t="s">
        <v>1431</v>
      </c>
      <c r="C1814" t="s">
        <v>15</v>
      </c>
      <c r="D1814" t="s">
        <v>1744</v>
      </c>
      <c r="E1814" t="s">
        <v>352</v>
      </c>
    </row>
    <row r="1815" spans="1:5" x14ac:dyDescent="0.2">
      <c r="A1815" s="269">
        <v>45910.626979166664</v>
      </c>
      <c r="B1815" t="s">
        <v>1431</v>
      </c>
      <c r="C1815" t="s">
        <v>15</v>
      </c>
      <c r="D1815" t="s">
        <v>1745</v>
      </c>
      <c r="E1815" t="s">
        <v>41</v>
      </c>
    </row>
    <row r="1816" spans="1:5" x14ac:dyDescent="0.2">
      <c r="A1816" s="269">
        <v>45910.627083333333</v>
      </c>
      <c r="B1816" t="s">
        <v>1431</v>
      </c>
      <c r="C1816" t="s">
        <v>15</v>
      </c>
      <c r="D1816" t="s">
        <v>1737</v>
      </c>
      <c r="E1816" t="s">
        <v>338</v>
      </c>
    </row>
    <row r="1817" spans="1:5" x14ac:dyDescent="0.2">
      <c r="A1817" s="269">
        <v>45910.627118055556</v>
      </c>
      <c r="B1817" t="s">
        <v>1431</v>
      </c>
      <c r="C1817" t="s">
        <v>15</v>
      </c>
      <c r="D1817" t="s">
        <v>1737</v>
      </c>
      <c r="E1817" t="s">
        <v>371</v>
      </c>
    </row>
    <row r="1818" spans="1:5" x14ac:dyDescent="0.2">
      <c r="A1818" s="269">
        <v>45910.627141203702</v>
      </c>
      <c r="B1818" t="s">
        <v>1431</v>
      </c>
      <c r="C1818" t="s">
        <v>15</v>
      </c>
      <c r="D1818" t="s">
        <v>1738</v>
      </c>
    </row>
    <row r="1819" spans="1:5" x14ac:dyDescent="0.2">
      <c r="A1819" s="269">
        <v>45910.627164351848</v>
      </c>
      <c r="B1819" t="s">
        <v>1431</v>
      </c>
      <c r="C1819" t="s">
        <v>15</v>
      </c>
      <c r="D1819" t="s">
        <v>1738</v>
      </c>
      <c r="E1819">
        <v>0</v>
      </c>
    </row>
    <row r="1820" spans="1:5" x14ac:dyDescent="0.2">
      <c r="A1820" s="269">
        <v>45910.627210648148</v>
      </c>
      <c r="B1820" t="s">
        <v>1431</v>
      </c>
      <c r="C1820" t="s">
        <v>15</v>
      </c>
      <c r="D1820" t="s">
        <v>1746</v>
      </c>
      <c r="E1820">
        <v>1.2</v>
      </c>
    </row>
    <row r="1821" spans="1:5" x14ac:dyDescent="0.2">
      <c r="A1821" s="269">
        <v>45910.62777777778</v>
      </c>
      <c r="B1821" t="s">
        <v>1431</v>
      </c>
      <c r="C1821" t="s">
        <v>15</v>
      </c>
      <c r="D1821" t="s">
        <v>1737</v>
      </c>
      <c r="E1821" t="s">
        <v>338</v>
      </c>
    </row>
    <row r="1822" spans="1:5" x14ac:dyDescent="0.2">
      <c r="A1822" s="269">
        <v>45910.627847222226</v>
      </c>
      <c r="B1822" t="s">
        <v>1431</v>
      </c>
      <c r="C1822" t="s">
        <v>15</v>
      </c>
      <c r="D1822" t="s">
        <v>1745</v>
      </c>
      <c r="E1822" t="s">
        <v>371</v>
      </c>
    </row>
    <row r="1823" spans="1:5" x14ac:dyDescent="0.2">
      <c r="A1823" s="269">
        <v>45910.628078703703</v>
      </c>
      <c r="B1823" t="s">
        <v>1431</v>
      </c>
      <c r="C1823" t="s">
        <v>15</v>
      </c>
      <c r="D1823" t="s">
        <v>1748</v>
      </c>
      <c r="E1823" t="s">
        <v>1747</v>
      </c>
    </row>
    <row r="1824" spans="1:5" x14ac:dyDescent="0.2">
      <c r="A1824" s="269">
        <v>45910.628113425926</v>
      </c>
      <c r="B1824" t="s">
        <v>1431</v>
      </c>
      <c r="C1824" t="s">
        <v>15</v>
      </c>
      <c r="D1824" t="s">
        <v>1749</v>
      </c>
      <c r="E1824" t="s">
        <v>200</v>
      </c>
    </row>
    <row r="1825" spans="1:5" x14ac:dyDescent="0.2">
      <c r="A1825" s="269">
        <v>45910.628136574072</v>
      </c>
      <c r="B1825" t="s">
        <v>1431</v>
      </c>
      <c r="C1825" t="s">
        <v>15</v>
      </c>
      <c r="D1825" t="s">
        <v>1750</v>
      </c>
      <c r="E1825">
        <v>1</v>
      </c>
    </row>
    <row r="1826" spans="1:5" x14ac:dyDescent="0.2">
      <c r="A1826" s="269">
        <v>45910.628171296295</v>
      </c>
      <c r="B1826" t="s">
        <v>1431</v>
      </c>
      <c r="C1826" t="s">
        <v>15</v>
      </c>
      <c r="D1826" t="s">
        <v>1751</v>
      </c>
      <c r="E1826" t="s">
        <v>372</v>
      </c>
    </row>
    <row r="1827" spans="1:5" x14ac:dyDescent="0.2">
      <c r="A1827" s="269">
        <v>45910.628206018519</v>
      </c>
      <c r="B1827" t="s">
        <v>1431</v>
      </c>
      <c r="C1827" t="s">
        <v>15</v>
      </c>
      <c r="D1827" t="s">
        <v>1752</v>
      </c>
      <c r="E1827" t="s">
        <v>188</v>
      </c>
    </row>
    <row r="1828" spans="1:5" x14ac:dyDescent="0.2">
      <c r="A1828" s="269">
        <v>45910.628229166665</v>
      </c>
      <c r="B1828" t="s">
        <v>1431</v>
      </c>
      <c r="C1828" t="s">
        <v>15</v>
      </c>
      <c r="D1828" t="s">
        <v>1752</v>
      </c>
      <c r="E1828" t="s">
        <v>352</v>
      </c>
    </row>
    <row r="1829" spans="1:5" x14ac:dyDescent="0.2">
      <c r="A1829" s="269">
        <v>45910.628368055557</v>
      </c>
      <c r="B1829" t="s">
        <v>1431</v>
      </c>
      <c r="C1829" t="s">
        <v>15</v>
      </c>
      <c r="D1829" t="s">
        <v>1753</v>
      </c>
      <c r="E1829" t="s">
        <v>338</v>
      </c>
    </row>
    <row r="1830" spans="1:5" x14ac:dyDescent="0.2">
      <c r="A1830" s="269">
        <v>45910.62841435185</v>
      </c>
      <c r="B1830" t="s">
        <v>1431</v>
      </c>
      <c r="C1830" t="s">
        <v>15</v>
      </c>
      <c r="D1830" t="s">
        <v>1754</v>
      </c>
      <c r="E1830">
        <v>0</v>
      </c>
    </row>
    <row r="1831" spans="1:5" x14ac:dyDescent="0.2">
      <c r="A1831" s="269">
        <v>45910.629027777781</v>
      </c>
      <c r="B1831" t="s">
        <v>1431</v>
      </c>
      <c r="C1831" t="s">
        <v>15</v>
      </c>
      <c r="D1831" t="s">
        <v>1756</v>
      </c>
      <c r="E1831" t="s">
        <v>1755</v>
      </c>
    </row>
    <row r="1832" spans="1:5" x14ac:dyDescent="0.2">
      <c r="A1832" s="269">
        <v>45910.629050925927</v>
      </c>
      <c r="B1832" t="s">
        <v>1431</v>
      </c>
      <c r="C1832" t="s">
        <v>15</v>
      </c>
      <c r="D1832" t="s">
        <v>1757</v>
      </c>
      <c r="E1832" t="s">
        <v>200</v>
      </c>
    </row>
    <row r="1833" spans="1:5" x14ac:dyDescent="0.2">
      <c r="A1833" s="269">
        <v>45910.62908564815</v>
      </c>
      <c r="B1833" t="s">
        <v>1431</v>
      </c>
      <c r="C1833" t="s">
        <v>15</v>
      </c>
      <c r="D1833" t="s">
        <v>1758</v>
      </c>
      <c r="E1833">
        <v>3</v>
      </c>
    </row>
    <row r="1834" spans="1:5" x14ac:dyDescent="0.2">
      <c r="A1834" s="269">
        <v>45910.629131944443</v>
      </c>
      <c r="B1834" t="s">
        <v>1431</v>
      </c>
      <c r="C1834" t="s">
        <v>15</v>
      </c>
      <c r="D1834" t="s">
        <v>1759</v>
      </c>
      <c r="E1834" t="s">
        <v>372</v>
      </c>
    </row>
    <row r="1835" spans="1:5" x14ac:dyDescent="0.2">
      <c r="A1835" s="269">
        <v>45910.629178240742</v>
      </c>
      <c r="B1835" t="s">
        <v>1431</v>
      </c>
      <c r="C1835" t="s">
        <v>15</v>
      </c>
      <c r="D1835" t="s">
        <v>1760</v>
      </c>
      <c r="E1835" t="s">
        <v>352</v>
      </c>
    </row>
    <row r="1836" spans="1:5" x14ac:dyDescent="0.2">
      <c r="A1836" s="269">
        <v>45910.629224537035</v>
      </c>
      <c r="B1836" t="s">
        <v>1431</v>
      </c>
      <c r="C1836" t="s">
        <v>15</v>
      </c>
      <c r="D1836" t="s">
        <v>1761</v>
      </c>
      <c r="E1836" t="s">
        <v>338</v>
      </c>
    </row>
    <row r="1837" spans="1:5" x14ac:dyDescent="0.2">
      <c r="A1837" s="269">
        <v>45910.629259259258</v>
      </c>
      <c r="B1837" t="s">
        <v>1431</v>
      </c>
      <c r="C1837" t="s">
        <v>15</v>
      </c>
      <c r="D1837" t="s">
        <v>1762</v>
      </c>
      <c r="E1837">
        <v>0</v>
      </c>
    </row>
    <row r="1838" spans="1:5" x14ac:dyDescent="0.2">
      <c r="A1838" s="269">
        <v>45910.629606481481</v>
      </c>
      <c r="B1838" t="s">
        <v>1431</v>
      </c>
      <c r="C1838" t="s">
        <v>15</v>
      </c>
      <c r="D1838" t="s">
        <v>1746</v>
      </c>
      <c r="E1838">
        <v>0.9</v>
      </c>
    </row>
    <row r="1839" spans="1:5" x14ac:dyDescent="0.2">
      <c r="A1839" s="269">
        <v>45910.63009259259</v>
      </c>
      <c r="B1839" t="s">
        <v>1431</v>
      </c>
      <c r="C1839" t="s">
        <v>15</v>
      </c>
      <c r="D1839" t="s">
        <v>1764</v>
      </c>
      <c r="E1839" t="s">
        <v>1763</v>
      </c>
    </row>
    <row r="1840" spans="1:5" x14ac:dyDescent="0.2">
      <c r="A1840" s="269">
        <v>45910.630115740743</v>
      </c>
      <c r="B1840" t="s">
        <v>1431</v>
      </c>
      <c r="C1840" t="s">
        <v>15</v>
      </c>
      <c r="D1840" t="s">
        <v>639</v>
      </c>
      <c r="E1840" t="s">
        <v>200</v>
      </c>
    </row>
    <row r="1841" spans="1:5" x14ac:dyDescent="0.2">
      <c r="A1841" s="269">
        <v>45910.63013888889</v>
      </c>
      <c r="B1841" t="s">
        <v>1431</v>
      </c>
      <c r="C1841" t="s">
        <v>15</v>
      </c>
      <c r="D1841" t="s">
        <v>1765</v>
      </c>
      <c r="E1841">
        <v>2</v>
      </c>
    </row>
    <row r="1842" spans="1:5" x14ac:dyDescent="0.2">
      <c r="A1842" s="269">
        <v>45910.630185185182</v>
      </c>
      <c r="B1842" t="s">
        <v>1431</v>
      </c>
      <c r="C1842" t="s">
        <v>15</v>
      </c>
      <c r="D1842" t="s">
        <v>1766</v>
      </c>
      <c r="E1842" t="s">
        <v>380</v>
      </c>
    </row>
    <row r="1843" spans="1:5" x14ac:dyDescent="0.2">
      <c r="A1843" s="269">
        <v>45910.630231481482</v>
      </c>
      <c r="B1843" t="s">
        <v>1431</v>
      </c>
      <c r="C1843" t="s">
        <v>15</v>
      </c>
      <c r="D1843" t="s">
        <v>1767</v>
      </c>
      <c r="E1843" t="s">
        <v>352</v>
      </c>
    </row>
    <row r="1844" spans="1:5" x14ac:dyDescent="0.2">
      <c r="A1844" s="269">
        <v>45910.630347222221</v>
      </c>
      <c r="B1844" t="s">
        <v>1431</v>
      </c>
      <c r="C1844" t="s">
        <v>15</v>
      </c>
      <c r="D1844" t="s">
        <v>1768</v>
      </c>
      <c r="E1844" t="s">
        <v>338</v>
      </c>
    </row>
    <row r="1845" spans="1:5" x14ac:dyDescent="0.2">
      <c r="A1845" s="269">
        <v>45910.630381944444</v>
      </c>
      <c r="B1845" t="s">
        <v>1431</v>
      </c>
      <c r="C1845" t="s">
        <v>15</v>
      </c>
      <c r="D1845" t="s">
        <v>1769</v>
      </c>
      <c r="E1845">
        <v>0</v>
      </c>
    </row>
    <row r="1846" spans="1:5" x14ac:dyDescent="0.2">
      <c r="A1846" s="269">
        <v>45910.630983796298</v>
      </c>
      <c r="B1846" t="s">
        <v>1431</v>
      </c>
      <c r="C1846" t="s">
        <v>15</v>
      </c>
      <c r="D1846" t="s">
        <v>1771</v>
      </c>
      <c r="E1846" t="s">
        <v>1770</v>
      </c>
    </row>
    <row r="1847" spans="1:5" x14ac:dyDescent="0.2">
      <c r="A1847" s="269">
        <v>45910.631805555553</v>
      </c>
      <c r="B1847" t="s">
        <v>1431</v>
      </c>
      <c r="C1847" t="s">
        <v>28</v>
      </c>
      <c r="D1847" t="s">
        <v>1432</v>
      </c>
      <c r="E1847" t="s">
        <v>1522</v>
      </c>
    </row>
    <row r="1848" spans="1:5" x14ac:dyDescent="0.2">
      <c r="A1848" s="269">
        <v>45910.633368055554</v>
      </c>
      <c r="B1848" t="s">
        <v>1431</v>
      </c>
      <c r="C1848" t="s">
        <v>103</v>
      </c>
      <c r="D1848" t="s">
        <v>1464</v>
      </c>
    </row>
    <row r="1849" spans="1:5" x14ac:dyDescent="0.2">
      <c r="A1849" s="269">
        <v>45910.633391203701</v>
      </c>
      <c r="B1849" t="s">
        <v>1431</v>
      </c>
      <c r="C1849" t="s">
        <v>103</v>
      </c>
      <c r="D1849" t="s">
        <v>1464</v>
      </c>
      <c r="E1849">
        <v>2</v>
      </c>
    </row>
    <row r="1850" spans="1:5" x14ac:dyDescent="0.2">
      <c r="A1850" s="269">
        <v>45910.633437500001</v>
      </c>
      <c r="B1850" t="s">
        <v>1431</v>
      </c>
      <c r="C1850" t="s">
        <v>103</v>
      </c>
      <c r="D1850" t="s">
        <v>733</v>
      </c>
    </row>
    <row r="1851" spans="1:5" x14ac:dyDescent="0.2">
      <c r="A1851" s="269">
        <v>45910.651631944442</v>
      </c>
      <c r="B1851" t="s">
        <v>1431</v>
      </c>
      <c r="C1851" t="s">
        <v>28</v>
      </c>
      <c r="D1851" t="s">
        <v>1433</v>
      </c>
      <c r="E1851" t="s">
        <v>362</v>
      </c>
    </row>
    <row r="1852" spans="1:5" x14ac:dyDescent="0.2">
      <c r="A1852" s="269">
        <v>45910.651805555557</v>
      </c>
      <c r="B1852" t="s">
        <v>1431</v>
      </c>
      <c r="C1852" t="s">
        <v>28</v>
      </c>
      <c r="D1852" t="s">
        <v>983</v>
      </c>
      <c r="E1852" t="s">
        <v>318</v>
      </c>
    </row>
    <row r="1853" spans="1:5" x14ac:dyDescent="0.2">
      <c r="A1853" s="269">
        <v>45910.652372685188</v>
      </c>
      <c r="B1853" t="s">
        <v>1431</v>
      </c>
      <c r="C1853" t="s">
        <v>28</v>
      </c>
      <c r="D1853" t="s">
        <v>1437</v>
      </c>
      <c r="E1853">
        <v>177</v>
      </c>
    </row>
    <row r="1854" spans="1:5" x14ac:dyDescent="0.2">
      <c r="A1854" s="269">
        <v>45910.652650462966</v>
      </c>
      <c r="B1854" t="s">
        <v>1431</v>
      </c>
      <c r="C1854" t="s">
        <v>28</v>
      </c>
      <c r="D1854" t="s">
        <v>937</v>
      </c>
      <c r="E1854" t="s">
        <v>313</v>
      </c>
    </row>
    <row r="1855" spans="1:5" x14ac:dyDescent="0.2">
      <c r="A1855" s="269">
        <v>45910.652986111112</v>
      </c>
      <c r="B1855" t="s">
        <v>1431</v>
      </c>
      <c r="C1855" t="s">
        <v>28</v>
      </c>
      <c r="D1855" t="s">
        <v>1191</v>
      </c>
      <c r="E1855" t="s">
        <v>362</v>
      </c>
    </row>
    <row r="1856" spans="1:5" x14ac:dyDescent="0.2">
      <c r="A1856" s="269">
        <v>45910.653090277781</v>
      </c>
      <c r="B1856" t="s">
        <v>1431</v>
      </c>
      <c r="C1856" t="s">
        <v>28</v>
      </c>
      <c r="D1856" t="s">
        <v>1066</v>
      </c>
      <c r="E1856" t="s">
        <v>383</v>
      </c>
    </row>
    <row r="1857" spans="1:5" x14ac:dyDescent="0.2">
      <c r="A1857" s="269">
        <v>45910.653449074074</v>
      </c>
      <c r="B1857" t="s">
        <v>1431</v>
      </c>
      <c r="C1857" t="s">
        <v>28</v>
      </c>
      <c r="D1857" t="s">
        <v>973</v>
      </c>
      <c r="E1857">
        <v>6633</v>
      </c>
    </row>
    <row r="1858" spans="1:5" x14ac:dyDescent="0.2">
      <c r="A1858" s="269">
        <v>45910.653506944444</v>
      </c>
      <c r="B1858" t="s">
        <v>1431</v>
      </c>
      <c r="C1858" t="s">
        <v>28</v>
      </c>
      <c r="D1858" t="s">
        <v>926</v>
      </c>
      <c r="E1858" t="s">
        <v>313</v>
      </c>
    </row>
    <row r="1859" spans="1:5" x14ac:dyDescent="0.2">
      <c r="A1859" s="269">
        <v>45910.653831018521</v>
      </c>
      <c r="B1859" t="s">
        <v>1431</v>
      </c>
      <c r="C1859" t="s">
        <v>28</v>
      </c>
      <c r="D1859" t="s">
        <v>795</v>
      </c>
      <c r="E1859" t="s">
        <v>386</v>
      </c>
    </row>
    <row r="1860" spans="1:5" x14ac:dyDescent="0.2">
      <c r="A1860" s="269">
        <v>45910.65388888889</v>
      </c>
      <c r="B1860" t="s">
        <v>1431</v>
      </c>
      <c r="C1860" t="s">
        <v>28</v>
      </c>
      <c r="D1860" t="s">
        <v>994</v>
      </c>
      <c r="E1860" t="s">
        <v>318</v>
      </c>
    </row>
    <row r="1861" spans="1:5" x14ac:dyDescent="0.2">
      <c r="A1861" s="269">
        <v>45910.654270833336</v>
      </c>
      <c r="B1861" t="s">
        <v>1431</v>
      </c>
      <c r="C1861" t="s">
        <v>28</v>
      </c>
      <c r="D1861" t="s">
        <v>976</v>
      </c>
      <c r="E1861">
        <v>18.7</v>
      </c>
    </row>
    <row r="1862" spans="1:5" x14ac:dyDescent="0.2">
      <c r="A1862" s="269">
        <v>45910.654317129629</v>
      </c>
      <c r="B1862" t="s">
        <v>1431</v>
      </c>
      <c r="C1862" t="s">
        <v>28</v>
      </c>
      <c r="D1862" t="s">
        <v>874</v>
      </c>
      <c r="E1862" t="s">
        <v>313</v>
      </c>
    </row>
    <row r="1863" spans="1:5" x14ac:dyDescent="0.2">
      <c r="A1863" s="269">
        <v>45910.654421296298</v>
      </c>
      <c r="B1863" t="s">
        <v>1431</v>
      </c>
      <c r="C1863" t="s">
        <v>28</v>
      </c>
      <c r="D1863" t="s">
        <v>1013</v>
      </c>
      <c r="E1863" t="s">
        <v>386</v>
      </c>
    </row>
    <row r="1864" spans="1:5" x14ac:dyDescent="0.2">
      <c r="A1864" s="269">
        <v>45910.654479166667</v>
      </c>
      <c r="B1864" t="s">
        <v>1431</v>
      </c>
      <c r="C1864" t="s">
        <v>28</v>
      </c>
      <c r="D1864" t="s">
        <v>1015</v>
      </c>
      <c r="E1864" t="s">
        <v>383</v>
      </c>
    </row>
    <row r="1865" spans="1:5" x14ac:dyDescent="0.2">
      <c r="A1865" s="269">
        <v>45910.654907407406</v>
      </c>
      <c r="B1865" t="s">
        <v>1431</v>
      </c>
      <c r="C1865" t="s">
        <v>28</v>
      </c>
      <c r="D1865" t="s">
        <v>977</v>
      </c>
      <c r="E1865">
        <v>5918.4</v>
      </c>
    </row>
    <row r="1866" spans="1:5" x14ac:dyDescent="0.2">
      <c r="A1866" s="269">
        <v>45910.654965277776</v>
      </c>
      <c r="B1866" t="s">
        <v>1431</v>
      </c>
      <c r="C1866" t="s">
        <v>28</v>
      </c>
      <c r="D1866" t="s">
        <v>1450</v>
      </c>
      <c r="E1866" t="s">
        <v>313</v>
      </c>
    </row>
    <row r="1867" spans="1:5" x14ac:dyDescent="0.2">
      <c r="A1867" s="269">
        <v>45910.655092592591</v>
      </c>
      <c r="B1867" t="s">
        <v>1431</v>
      </c>
      <c r="C1867" t="s">
        <v>28</v>
      </c>
      <c r="D1867" t="s">
        <v>747</v>
      </c>
      <c r="E1867" t="s">
        <v>397</v>
      </c>
    </row>
    <row r="1868" spans="1:5" x14ac:dyDescent="0.2">
      <c r="A1868" s="269">
        <v>45910.655150462961</v>
      </c>
      <c r="B1868" t="s">
        <v>1431</v>
      </c>
      <c r="C1868" t="s">
        <v>28</v>
      </c>
      <c r="D1868" t="s">
        <v>1018</v>
      </c>
      <c r="E1868" t="s">
        <v>318</v>
      </c>
    </row>
    <row r="1869" spans="1:5" x14ac:dyDescent="0.2">
      <c r="A1869" s="269">
        <v>45910.655532407407</v>
      </c>
      <c r="B1869" t="s">
        <v>1431</v>
      </c>
      <c r="C1869" t="s">
        <v>28</v>
      </c>
      <c r="D1869" t="s">
        <v>923</v>
      </c>
      <c r="E1869">
        <v>30.6</v>
      </c>
    </row>
    <row r="1870" spans="1:5" x14ac:dyDescent="0.2">
      <c r="A1870" s="269">
        <v>45910.65556712963</v>
      </c>
      <c r="B1870" t="s">
        <v>1431</v>
      </c>
      <c r="C1870" t="s">
        <v>28</v>
      </c>
      <c r="D1870" t="s">
        <v>1451</v>
      </c>
      <c r="E1870" t="s">
        <v>313</v>
      </c>
    </row>
    <row r="1871" spans="1:5" x14ac:dyDescent="0.2">
      <c r="A1871" s="269">
        <v>45910.655636574076</v>
      </c>
      <c r="B1871" t="s">
        <v>1431</v>
      </c>
      <c r="C1871" t="s">
        <v>28</v>
      </c>
      <c r="D1871" t="s">
        <v>1434</v>
      </c>
      <c r="E1871" t="s">
        <v>397</v>
      </c>
    </row>
    <row r="1872" spans="1:5" x14ac:dyDescent="0.2">
      <c r="A1872" s="269">
        <v>45910.655706018515</v>
      </c>
      <c r="B1872" t="s">
        <v>1431</v>
      </c>
      <c r="C1872" t="s">
        <v>28</v>
      </c>
      <c r="D1872" t="s">
        <v>1068</v>
      </c>
      <c r="E1872" t="s">
        <v>383</v>
      </c>
    </row>
    <row r="1873" spans="1:5" x14ac:dyDescent="0.2">
      <c r="A1873" s="269">
        <v>45910.65587962963</v>
      </c>
      <c r="B1873" t="s">
        <v>1431</v>
      </c>
      <c r="C1873" t="s">
        <v>28</v>
      </c>
      <c r="D1873" t="s">
        <v>918</v>
      </c>
      <c r="E1873">
        <v>6350</v>
      </c>
    </row>
    <row r="1874" spans="1:5" x14ac:dyDescent="0.2">
      <c r="A1874" s="269">
        <v>45910.655914351853</v>
      </c>
      <c r="B1874" t="s">
        <v>1431</v>
      </c>
      <c r="C1874" t="s">
        <v>28</v>
      </c>
      <c r="D1874" t="s">
        <v>1452</v>
      </c>
      <c r="E1874" t="s">
        <v>313</v>
      </c>
    </row>
    <row r="1875" spans="1:5" x14ac:dyDescent="0.2">
      <c r="A1875" s="269">
        <v>45910.655995370369</v>
      </c>
      <c r="B1875" t="s">
        <v>1431</v>
      </c>
      <c r="C1875" t="s">
        <v>28</v>
      </c>
      <c r="D1875" t="s">
        <v>1435</v>
      </c>
      <c r="E1875" t="s">
        <v>407</v>
      </c>
    </row>
    <row r="1876" spans="1:5" x14ac:dyDescent="0.2">
      <c r="A1876" s="269">
        <v>45910.656053240738</v>
      </c>
      <c r="B1876" t="s">
        <v>1431</v>
      </c>
      <c r="C1876" t="s">
        <v>28</v>
      </c>
      <c r="D1876" t="s">
        <v>1069</v>
      </c>
      <c r="E1876" t="s">
        <v>318</v>
      </c>
    </row>
    <row r="1877" spans="1:5" x14ac:dyDescent="0.2">
      <c r="A1877" s="269">
        <v>45910.656331018516</v>
      </c>
      <c r="B1877" t="s">
        <v>1431</v>
      </c>
      <c r="C1877" t="s">
        <v>28</v>
      </c>
      <c r="D1877" t="s">
        <v>924</v>
      </c>
      <c r="E1877">
        <v>64.2</v>
      </c>
    </row>
    <row r="1878" spans="1:5" x14ac:dyDescent="0.2">
      <c r="A1878" s="269">
        <v>45910.656365740739</v>
      </c>
      <c r="B1878" t="s">
        <v>1431</v>
      </c>
      <c r="C1878" t="s">
        <v>28</v>
      </c>
      <c r="D1878" t="s">
        <v>1453</v>
      </c>
      <c r="E1878" t="s">
        <v>313</v>
      </c>
    </row>
    <row r="1879" spans="1:5" x14ac:dyDescent="0.2">
      <c r="A1879" s="269">
        <v>45910.656435185185</v>
      </c>
      <c r="B1879" t="s">
        <v>1431</v>
      </c>
      <c r="C1879" t="s">
        <v>28</v>
      </c>
      <c r="D1879" t="s">
        <v>1436</v>
      </c>
      <c r="E1879" t="s">
        <v>407</v>
      </c>
    </row>
    <row r="1880" spans="1:5" x14ac:dyDescent="0.2">
      <c r="A1880" s="269">
        <v>45910.656481481485</v>
      </c>
      <c r="B1880" t="s">
        <v>1431</v>
      </c>
      <c r="C1880" t="s">
        <v>28</v>
      </c>
      <c r="D1880" t="s">
        <v>1438</v>
      </c>
      <c r="E1880" t="s">
        <v>383</v>
      </c>
    </row>
    <row r="1881" spans="1:5" x14ac:dyDescent="0.2">
      <c r="A1881" s="269">
        <v>45910.656724537039</v>
      </c>
      <c r="B1881" t="s">
        <v>1431</v>
      </c>
      <c r="C1881" t="s">
        <v>28</v>
      </c>
      <c r="D1881" t="s">
        <v>1439</v>
      </c>
      <c r="E1881">
        <v>5809</v>
      </c>
    </row>
    <row r="1882" spans="1:5" x14ac:dyDescent="0.2">
      <c r="A1882" s="269">
        <v>45910.656770833331</v>
      </c>
      <c r="B1882" t="s">
        <v>1431</v>
      </c>
      <c r="C1882" t="s">
        <v>28</v>
      </c>
      <c r="D1882" t="s">
        <v>1454</v>
      </c>
      <c r="E1882" t="s">
        <v>313</v>
      </c>
    </row>
    <row r="1883" spans="1:5" x14ac:dyDescent="0.2">
      <c r="A1883" s="269">
        <v>45910.657557870371</v>
      </c>
      <c r="B1883" t="s">
        <v>1431</v>
      </c>
      <c r="C1883" t="s">
        <v>27</v>
      </c>
      <c r="D1883" t="s">
        <v>956</v>
      </c>
      <c r="E1883" t="s">
        <v>1772</v>
      </c>
    </row>
    <row r="1884" spans="1:5" x14ac:dyDescent="0.2">
      <c r="A1884" s="269">
        <v>45910.657592592594</v>
      </c>
      <c r="B1884" t="s">
        <v>1431</v>
      </c>
      <c r="C1884" t="s">
        <v>27</v>
      </c>
      <c r="D1884" t="s">
        <v>658</v>
      </c>
      <c r="E1884" t="s">
        <v>1772</v>
      </c>
    </row>
    <row r="1885" spans="1:5" x14ac:dyDescent="0.2">
      <c r="A1885" s="269">
        <v>45910.65761574074</v>
      </c>
      <c r="B1885" t="s">
        <v>1431</v>
      </c>
      <c r="C1885" t="s">
        <v>27</v>
      </c>
      <c r="D1885" t="s">
        <v>1629</v>
      </c>
      <c r="E1885" t="s">
        <v>1772</v>
      </c>
    </row>
    <row r="1886" spans="1:5" x14ac:dyDescent="0.2">
      <c r="A1886" s="269">
        <v>45910.657638888886</v>
      </c>
      <c r="B1886" t="s">
        <v>1431</v>
      </c>
      <c r="C1886" t="s">
        <v>27</v>
      </c>
      <c r="D1886" t="s">
        <v>996</v>
      </c>
      <c r="E1886" t="s">
        <v>1772</v>
      </c>
    </row>
    <row r="1887" spans="1:5" x14ac:dyDescent="0.2">
      <c r="A1887" s="269">
        <v>45910.658101851855</v>
      </c>
      <c r="B1887" t="s">
        <v>1431</v>
      </c>
      <c r="C1887" t="s">
        <v>28</v>
      </c>
      <c r="D1887" t="s">
        <v>658</v>
      </c>
      <c r="E1887" t="s">
        <v>1772</v>
      </c>
    </row>
    <row r="1888" spans="1:5" x14ac:dyDescent="0.2">
      <c r="A1888" s="269">
        <v>45910.658125000002</v>
      </c>
      <c r="B1888" t="s">
        <v>1431</v>
      </c>
      <c r="C1888" t="s">
        <v>28</v>
      </c>
      <c r="D1888" t="s">
        <v>1629</v>
      </c>
      <c r="E1888" t="s">
        <v>1772</v>
      </c>
    </row>
    <row r="1889" spans="1:5" x14ac:dyDescent="0.2">
      <c r="A1889" s="269">
        <v>45910.658148148148</v>
      </c>
      <c r="B1889" t="s">
        <v>1431</v>
      </c>
      <c r="C1889" t="s">
        <v>28</v>
      </c>
      <c r="D1889" t="s">
        <v>996</v>
      </c>
      <c r="E1889" t="s">
        <v>1772</v>
      </c>
    </row>
    <row r="1890" spans="1:5" x14ac:dyDescent="0.2">
      <c r="A1890" s="269">
        <v>45910.658159722225</v>
      </c>
      <c r="B1890" t="s">
        <v>1431</v>
      </c>
      <c r="C1890" t="s">
        <v>28</v>
      </c>
      <c r="D1890" t="s">
        <v>1633</v>
      </c>
      <c r="E1890" t="s">
        <v>1772</v>
      </c>
    </row>
    <row r="1891" spans="1:5" x14ac:dyDescent="0.2">
      <c r="A1891" s="269">
        <v>45910.658182870371</v>
      </c>
      <c r="B1891" t="s">
        <v>1431</v>
      </c>
      <c r="C1891" t="s">
        <v>28</v>
      </c>
      <c r="D1891" t="s">
        <v>1019</v>
      </c>
      <c r="E1891" t="s">
        <v>1772</v>
      </c>
    </row>
    <row r="1892" spans="1:5" x14ac:dyDescent="0.2">
      <c r="A1892" s="269">
        <v>45910.658206018517</v>
      </c>
      <c r="B1892" t="s">
        <v>1431</v>
      </c>
      <c r="C1892" t="s">
        <v>28</v>
      </c>
      <c r="D1892" t="s">
        <v>1634</v>
      </c>
      <c r="E1892" t="s">
        <v>1772</v>
      </c>
    </row>
    <row r="1893" spans="1:5" x14ac:dyDescent="0.2">
      <c r="A1893" s="269">
        <v>45910.658229166664</v>
      </c>
      <c r="B1893" t="s">
        <v>1431</v>
      </c>
      <c r="C1893" t="s">
        <v>28</v>
      </c>
      <c r="D1893" t="s">
        <v>1635</v>
      </c>
      <c r="E1893" t="s">
        <v>1772</v>
      </c>
    </row>
    <row r="1894" spans="1:5" x14ac:dyDescent="0.2">
      <c r="A1894" s="269">
        <v>45910.658252314817</v>
      </c>
      <c r="B1894" t="s">
        <v>1431</v>
      </c>
      <c r="C1894" t="s">
        <v>28</v>
      </c>
      <c r="D1894" t="s">
        <v>1773</v>
      </c>
      <c r="E1894" t="s">
        <v>1772</v>
      </c>
    </row>
    <row r="1895" spans="1:5" x14ac:dyDescent="0.2">
      <c r="A1895" s="269">
        <v>45910.66511574074</v>
      </c>
      <c r="B1895" t="s">
        <v>1431</v>
      </c>
      <c r="C1895" t="s">
        <v>15</v>
      </c>
      <c r="D1895" t="s">
        <v>1774</v>
      </c>
    </row>
    <row r="1896" spans="1:5" x14ac:dyDescent="0.2">
      <c r="A1896" s="269">
        <v>45910.665266203701</v>
      </c>
      <c r="B1896" t="s">
        <v>1431</v>
      </c>
      <c r="C1896" t="s">
        <v>2</v>
      </c>
      <c r="D1896" t="s">
        <v>1462</v>
      </c>
      <c r="E1896">
        <v>2025</v>
      </c>
    </row>
    <row r="1897" spans="1:5" x14ac:dyDescent="0.2">
      <c r="A1897" s="269">
        <v>45910.665567129632</v>
      </c>
      <c r="B1897" t="s">
        <v>1431</v>
      </c>
      <c r="C1897" t="s">
        <v>103</v>
      </c>
      <c r="D1897" t="s">
        <v>1775</v>
      </c>
    </row>
    <row r="1898" spans="1:5" x14ac:dyDescent="0.2">
      <c r="A1898" s="269">
        <v>45910.665601851855</v>
      </c>
      <c r="B1898" t="s">
        <v>1431</v>
      </c>
      <c r="C1898" t="s">
        <v>103</v>
      </c>
      <c r="D1898" t="s">
        <v>1776</v>
      </c>
    </row>
    <row r="1899" spans="1:5" x14ac:dyDescent="0.2">
      <c r="A1899" s="269">
        <v>45910.665636574071</v>
      </c>
      <c r="B1899" t="s">
        <v>1431</v>
      </c>
      <c r="C1899" t="s">
        <v>103</v>
      </c>
      <c r="D1899" t="s">
        <v>1777</v>
      </c>
    </row>
    <row r="1900" spans="1:5" x14ac:dyDescent="0.2">
      <c r="A1900" s="269">
        <v>45910.665659722225</v>
      </c>
      <c r="B1900" t="s">
        <v>1431</v>
      </c>
      <c r="C1900" t="s">
        <v>103</v>
      </c>
      <c r="D1900" t="s">
        <v>1778</v>
      </c>
    </row>
    <row r="1901" spans="1:5" x14ac:dyDescent="0.2">
      <c r="A1901" s="269">
        <v>45910.668020833335</v>
      </c>
      <c r="B1901" t="s">
        <v>1431</v>
      </c>
      <c r="C1901" t="s">
        <v>103</v>
      </c>
      <c r="D1901" t="s">
        <v>983</v>
      </c>
      <c r="E1901">
        <v>23100</v>
      </c>
    </row>
    <row r="1902" spans="1:5" x14ac:dyDescent="0.2">
      <c r="A1902" s="269">
        <v>45910.668171296296</v>
      </c>
      <c r="B1902" t="s">
        <v>1431</v>
      </c>
      <c r="C1902" t="s">
        <v>103</v>
      </c>
      <c r="D1902" t="s">
        <v>1437</v>
      </c>
      <c r="E1902" s="442">
        <v>270844.76</v>
      </c>
    </row>
    <row r="1903" spans="1:5" x14ac:dyDescent="0.2">
      <c r="A1903" s="269">
        <v>45910.668287037035</v>
      </c>
      <c r="B1903" t="s">
        <v>1431</v>
      </c>
      <c r="C1903" t="s">
        <v>103</v>
      </c>
      <c r="D1903" t="s">
        <v>1066</v>
      </c>
      <c r="E1903">
        <v>25200</v>
      </c>
    </row>
    <row r="1904" spans="1:5" x14ac:dyDescent="0.2">
      <c r="A1904" s="269">
        <v>45910.668414351851</v>
      </c>
      <c r="B1904" t="s">
        <v>1431</v>
      </c>
      <c r="C1904" t="s">
        <v>103</v>
      </c>
      <c r="D1904" t="s">
        <v>973</v>
      </c>
      <c r="E1904" s="442">
        <v>302222.5</v>
      </c>
    </row>
    <row r="1905" spans="1:5" x14ac:dyDescent="0.2">
      <c r="A1905" s="269">
        <v>45910.668530092589</v>
      </c>
      <c r="B1905" t="s">
        <v>1431</v>
      </c>
      <c r="C1905" t="s">
        <v>103</v>
      </c>
      <c r="D1905" t="s">
        <v>994</v>
      </c>
      <c r="E1905">
        <v>25200</v>
      </c>
    </row>
    <row r="1906" spans="1:5" x14ac:dyDescent="0.2">
      <c r="A1906" s="269">
        <v>45910.668657407405</v>
      </c>
      <c r="B1906" t="s">
        <v>1431</v>
      </c>
      <c r="C1906" t="s">
        <v>103</v>
      </c>
      <c r="D1906" t="s">
        <v>976</v>
      </c>
      <c r="E1906" s="442">
        <v>311204.37</v>
      </c>
    </row>
    <row r="1907" spans="1:5" x14ac:dyDescent="0.2">
      <c r="A1907" s="269">
        <v>45910.668761574074</v>
      </c>
      <c r="B1907" t="s">
        <v>1431</v>
      </c>
      <c r="C1907" t="s">
        <v>103</v>
      </c>
      <c r="D1907" t="s">
        <v>1015</v>
      </c>
      <c r="E1907">
        <v>26600</v>
      </c>
    </row>
    <row r="1908" spans="1:5" x14ac:dyDescent="0.2">
      <c r="A1908" s="269">
        <v>45910.668900462966</v>
      </c>
      <c r="B1908" t="s">
        <v>1431</v>
      </c>
      <c r="C1908" t="s">
        <v>103</v>
      </c>
      <c r="D1908" t="s">
        <v>977</v>
      </c>
      <c r="E1908" s="442">
        <v>349826.18</v>
      </c>
    </row>
    <row r="1909" spans="1:5" x14ac:dyDescent="0.2">
      <c r="A1909" s="269">
        <v>45910.669027777774</v>
      </c>
      <c r="B1909" t="s">
        <v>1431</v>
      </c>
      <c r="C1909" t="s">
        <v>103</v>
      </c>
      <c r="D1909" t="s">
        <v>1018</v>
      </c>
      <c r="E1909">
        <v>30100</v>
      </c>
    </row>
    <row r="1910" spans="1:5" x14ac:dyDescent="0.2">
      <c r="A1910" s="269">
        <v>45910.66915509259</v>
      </c>
      <c r="B1910" t="s">
        <v>1431</v>
      </c>
      <c r="C1910" t="s">
        <v>103</v>
      </c>
      <c r="D1910" t="s">
        <v>923</v>
      </c>
      <c r="E1910" s="442">
        <v>356410.21</v>
      </c>
    </row>
    <row r="1911" spans="1:5" x14ac:dyDescent="0.2">
      <c r="A1911" s="269">
        <v>45910.669328703705</v>
      </c>
      <c r="B1911" t="s">
        <v>1431</v>
      </c>
      <c r="C1911" t="s">
        <v>103</v>
      </c>
      <c r="D1911" t="s">
        <v>1068</v>
      </c>
      <c r="E1911">
        <v>29400</v>
      </c>
    </row>
    <row r="1912" spans="1:5" x14ac:dyDescent="0.2">
      <c r="A1912" s="269">
        <v>45910.669479166667</v>
      </c>
      <c r="B1912" t="s">
        <v>1431</v>
      </c>
      <c r="C1912" t="s">
        <v>103</v>
      </c>
      <c r="D1912" t="s">
        <v>918</v>
      </c>
      <c r="E1912" s="442">
        <v>346796.83</v>
      </c>
    </row>
    <row r="1913" spans="1:5" x14ac:dyDescent="0.2">
      <c r="A1913" s="269">
        <v>45910.669560185182</v>
      </c>
      <c r="B1913" t="s">
        <v>1431</v>
      </c>
      <c r="C1913" t="s">
        <v>103</v>
      </c>
      <c r="D1913" t="s">
        <v>1435</v>
      </c>
      <c r="E1913" t="s">
        <v>390</v>
      </c>
    </row>
    <row r="1914" spans="1:5" x14ac:dyDescent="0.2">
      <c r="A1914" s="269">
        <v>45910.669745370367</v>
      </c>
      <c r="B1914" t="s">
        <v>1431</v>
      </c>
      <c r="C1914" t="s">
        <v>103</v>
      </c>
      <c r="D1914" t="s">
        <v>1069</v>
      </c>
      <c r="E1914">
        <v>30450</v>
      </c>
    </row>
    <row r="1915" spans="1:5" x14ac:dyDescent="0.2">
      <c r="A1915" s="269">
        <v>45910.669895833336</v>
      </c>
      <c r="B1915" t="s">
        <v>1431</v>
      </c>
      <c r="C1915" t="s">
        <v>103</v>
      </c>
      <c r="D1915" t="s">
        <v>924</v>
      </c>
      <c r="E1915" s="442">
        <v>369451.86</v>
      </c>
    </row>
    <row r="1916" spans="1:5" x14ac:dyDescent="0.2">
      <c r="A1916" s="269">
        <v>45910.670011574075</v>
      </c>
      <c r="B1916" t="s">
        <v>1431</v>
      </c>
      <c r="C1916" t="s">
        <v>103</v>
      </c>
      <c r="D1916" t="s">
        <v>1436</v>
      </c>
      <c r="E1916" t="s">
        <v>41</v>
      </c>
    </row>
    <row r="1917" spans="1:5" x14ac:dyDescent="0.2">
      <c r="A1917" s="269">
        <v>45910.670162037037</v>
      </c>
      <c r="B1917" t="s">
        <v>1431</v>
      </c>
      <c r="C1917" t="s">
        <v>103</v>
      </c>
      <c r="D1917" t="s">
        <v>1438</v>
      </c>
      <c r="E1917">
        <v>28350</v>
      </c>
    </row>
    <row r="1918" spans="1:5" x14ac:dyDescent="0.2">
      <c r="A1918" s="269">
        <v>45910.670324074075</v>
      </c>
      <c r="B1918" t="s">
        <v>1431</v>
      </c>
      <c r="C1918" t="s">
        <v>103</v>
      </c>
      <c r="D1918" t="s">
        <v>1439</v>
      </c>
      <c r="E1918" s="442">
        <v>368341.81</v>
      </c>
    </row>
    <row r="1919" spans="1:5" x14ac:dyDescent="0.2">
      <c r="A1919" s="269">
        <v>45910.670567129629</v>
      </c>
      <c r="B1919" t="s">
        <v>1431</v>
      </c>
      <c r="C1919" t="s">
        <v>103</v>
      </c>
      <c r="D1919" t="s">
        <v>937</v>
      </c>
      <c r="E1919" t="s">
        <v>112</v>
      </c>
    </row>
    <row r="1920" spans="1:5" x14ac:dyDescent="0.2">
      <c r="A1920" s="269">
        <v>45910.670752314814</v>
      </c>
      <c r="B1920" t="s">
        <v>1431</v>
      </c>
      <c r="C1920" t="s">
        <v>103</v>
      </c>
      <c r="D1920" t="s">
        <v>926</v>
      </c>
      <c r="E1920" t="s">
        <v>112</v>
      </c>
    </row>
    <row r="1921" spans="1:5" x14ac:dyDescent="0.2">
      <c r="A1921" s="269">
        <v>45910.671134259261</v>
      </c>
      <c r="B1921" t="s">
        <v>1431</v>
      </c>
      <c r="C1921" t="s">
        <v>103</v>
      </c>
      <c r="D1921" t="s">
        <v>874</v>
      </c>
      <c r="E1921" t="s">
        <v>112</v>
      </c>
    </row>
    <row r="1922" spans="1:5" x14ac:dyDescent="0.2">
      <c r="A1922" s="269">
        <v>45910.671296296299</v>
      </c>
      <c r="B1922" t="s">
        <v>1431</v>
      </c>
      <c r="C1922" t="s">
        <v>103</v>
      </c>
      <c r="D1922" t="s">
        <v>1450</v>
      </c>
      <c r="E1922" t="s">
        <v>112</v>
      </c>
    </row>
    <row r="1923" spans="1:5" x14ac:dyDescent="0.2">
      <c r="A1923" s="269">
        <v>45910.671377314815</v>
      </c>
      <c r="B1923" t="s">
        <v>1431</v>
      </c>
      <c r="C1923" t="s">
        <v>103</v>
      </c>
      <c r="D1923" t="s">
        <v>1451</v>
      </c>
      <c r="E1923" t="s">
        <v>112</v>
      </c>
    </row>
    <row r="1924" spans="1:5" x14ac:dyDescent="0.2">
      <c r="A1924" s="269">
        <v>45910.671493055554</v>
      </c>
      <c r="B1924" t="s">
        <v>1431</v>
      </c>
      <c r="C1924" t="s">
        <v>103</v>
      </c>
      <c r="D1924" t="s">
        <v>1452</v>
      </c>
      <c r="E1924" t="s">
        <v>112</v>
      </c>
    </row>
    <row r="1925" spans="1:5" x14ac:dyDescent="0.2">
      <c r="A1925" s="269">
        <v>45910.671817129631</v>
      </c>
      <c r="B1925" t="s">
        <v>1431</v>
      </c>
      <c r="C1925" t="s">
        <v>103</v>
      </c>
      <c r="D1925" t="s">
        <v>1453</v>
      </c>
      <c r="E1925" t="s">
        <v>112</v>
      </c>
    </row>
    <row r="1926" spans="1:5" x14ac:dyDescent="0.2">
      <c r="A1926" s="269">
        <v>45910.672048611108</v>
      </c>
      <c r="B1926" t="s">
        <v>1431</v>
      </c>
      <c r="C1926" t="s">
        <v>103</v>
      </c>
      <c r="D1926" t="s">
        <v>1454</v>
      </c>
      <c r="E1926" t="s">
        <v>112</v>
      </c>
    </row>
    <row r="1927" spans="1:5" x14ac:dyDescent="0.2">
      <c r="A1927" s="269">
        <v>45910.672303240739</v>
      </c>
      <c r="B1927" t="s">
        <v>1431</v>
      </c>
      <c r="C1927" t="s">
        <v>597</v>
      </c>
      <c r="D1927" t="s">
        <v>1779</v>
      </c>
      <c r="E1927" t="s">
        <v>39</v>
      </c>
    </row>
    <row r="1928" spans="1:5" x14ac:dyDescent="0.2">
      <c r="A1928" s="269">
        <v>45910.672523148147</v>
      </c>
      <c r="B1928" t="s">
        <v>1431</v>
      </c>
      <c r="C1928" t="s">
        <v>58</v>
      </c>
      <c r="D1928" t="s">
        <v>1780</v>
      </c>
    </row>
    <row r="1929" spans="1:5" x14ac:dyDescent="0.2">
      <c r="A1929" s="269">
        <v>45910.67255787037</v>
      </c>
      <c r="B1929" t="s">
        <v>1431</v>
      </c>
      <c r="C1929" t="s">
        <v>58</v>
      </c>
      <c r="D1929" t="s">
        <v>1781</v>
      </c>
    </row>
    <row r="1930" spans="1:5" x14ac:dyDescent="0.2">
      <c r="A1930" s="269">
        <v>45910.672592592593</v>
      </c>
      <c r="B1930" t="s">
        <v>1431</v>
      </c>
      <c r="C1930" t="s">
        <v>58</v>
      </c>
      <c r="D1930" t="s">
        <v>1782</v>
      </c>
    </row>
    <row r="1931" spans="1:5" x14ac:dyDescent="0.2">
      <c r="A1931" s="269">
        <v>45910.672615740739</v>
      </c>
      <c r="B1931" t="s">
        <v>1431</v>
      </c>
      <c r="C1931" t="s">
        <v>58</v>
      </c>
      <c r="D1931" t="s">
        <v>1783</v>
      </c>
    </row>
    <row r="1932" spans="1:5" x14ac:dyDescent="0.2">
      <c r="A1932" s="269">
        <v>45910.672662037039</v>
      </c>
      <c r="B1932" t="s">
        <v>1431</v>
      </c>
      <c r="C1932" t="s">
        <v>58</v>
      </c>
      <c r="D1932" t="s">
        <v>1566</v>
      </c>
    </row>
    <row r="1933" spans="1:5" x14ac:dyDescent="0.2">
      <c r="A1933" s="269">
        <v>45910.672731481478</v>
      </c>
      <c r="B1933" t="s">
        <v>1431</v>
      </c>
      <c r="C1933" t="s">
        <v>27</v>
      </c>
      <c r="D1933" t="s">
        <v>1784</v>
      </c>
    </row>
    <row r="1934" spans="1:5" x14ac:dyDescent="0.2">
      <c r="A1934" s="269">
        <v>45910.672754629632</v>
      </c>
      <c r="B1934" t="s">
        <v>1431</v>
      </c>
      <c r="C1934" t="s">
        <v>27</v>
      </c>
      <c r="D1934" t="s">
        <v>1785</v>
      </c>
    </row>
    <row r="1935" spans="1:5" x14ac:dyDescent="0.2">
      <c r="A1935" s="269">
        <v>45910.672777777778</v>
      </c>
      <c r="B1935" t="s">
        <v>1431</v>
      </c>
      <c r="C1935" t="s">
        <v>27</v>
      </c>
      <c r="D1935" t="s">
        <v>1786</v>
      </c>
    </row>
    <row r="1936" spans="1:5" x14ac:dyDescent="0.2">
      <c r="A1936" s="269">
        <v>45910.672789351855</v>
      </c>
      <c r="B1936" t="s">
        <v>1431</v>
      </c>
      <c r="C1936" t="s">
        <v>27</v>
      </c>
      <c r="D1936" t="s">
        <v>1787</v>
      </c>
    </row>
    <row r="1937" spans="1:5" x14ac:dyDescent="0.2">
      <c r="A1937" s="269">
        <v>45910.673090277778</v>
      </c>
      <c r="B1937" t="s">
        <v>1431</v>
      </c>
      <c r="C1937" t="s">
        <v>15</v>
      </c>
      <c r="D1937" t="s">
        <v>1746</v>
      </c>
    </row>
    <row r="1938" spans="1:5" x14ac:dyDescent="0.2">
      <c r="A1938" s="269">
        <v>45910.673113425924</v>
      </c>
      <c r="B1938" t="s">
        <v>1431</v>
      </c>
      <c r="C1938" t="s">
        <v>15</v>
      </c>
      <c r="D1938" t="s">
        <v>1746</v>
      </c>
      <c r="E1938">
        <v>0</v>
      </c>
    </row>
    <row r="1939" spans="1:5" x14ac:dyDescent="0.2">
      <c r="A1939" s="269">
        <v>45910.673148148147</v>
      </c>
      <c r="B1939" t="s">
        <v>1431</v>
      </c>
      <c r="C1939" t="s">
        <v>15</v>
      </c>
      <c r="D1939" t="s">
        <v>1771</v>
      </c>
    </row>
    <row r="1940" spans="1:5" x14ac:dyDescent="0.2">
      <c r="A1940" s="269">
        <v>45910.673333333332</v>
      </c>
      <c r="B1940" t="s">
        <v>1431</v>
      </c>
      <c r="C1940" t="s">
        <v>15</v>
      </c>
      <c r="D1940" t="s">
        <v>1745</v>
      </c>
    </row>
    <row r="1941" spans="1:5" x14ac:dyDescent="0.2">
      <c r="A1941" s="269">
        <v>45910.673391203702</v>
      </c>
      <c r="B1941" t="s">
        <v>1431</v>
      </c>
      <c r="C1941" t="s">
        <v>15</v>
      </c>
      <c r="D1941" t="s">
        <v>1745</v>
      </c>
      <c r="E1941" t="s">
        <v>338</v>
      </c>
    </row>
    <row r="1942" spans="1:5" x14ac:dyDescent="0.2">
      <c r="A1942" s="269">
        <v>45910.673587962963</v>
      </c>
      <c r="B1942" t="s">
        <v>1431</v>
      </c>
      <c r="C1942" t="s">
        <v>15</v>
      </c>
      <c r="D1942" t="s">
        <v>1788</v>
      </c>
      <c r="E1942" t="s">
        <v>1611</v>
      </c>
    </row>
    <row r="1943" spans="1:5" x14ac:dyDescent="0.2">
      <c r="A1943" s="269">
        <v>45910.673703703702</v>
      </c>
      <c r="B1943" t="s">
        <v>1431</v>
      </c>
      <c r="C1943" t="s">
        <v>15</v>
      </c>
      <c r="D1943" t="s">
        <v>1788</v>
      </c>
    </row>
    <row r="1944" spans="1:5" x14ac:dyDescent="0.2">
      <c r="A1944" s="269">
        <v>45910.674004629633</v>
      </c>
      <c r="B1944" t="s">
        <v>1431</v>
      </c>
      <c r="C1944" t="s">
        <v>15</v>
      </c>
      <c r="D1944" t="s">
        <v>994</v>
      </c>
      <c r="E1944">
        <v>4</v>
      </c>
    </row>
    <row r="1945" spans="1:5" x14ac:dyDescent="0.2">
      <c r="A1945" s="269">
        <v>45910.674062500002</v>
      </c>
      <c r="B1945" t="s">
        <v>1431</v>
      </c>
      <c r="C1945" t="s">
        <v>15</v>
      </c>
      <c r="D1945" t="s">
        <v>874</v>
      </c>
      <c r="E1945" t="s">
        <v>188</v>
      </c>
    </row>
    <row r="1946" spans="1:5" x14ac:dyDescent="0.2">
      <c r="A1946" s="269">
        <v>45910.674351851849</v>
      </c>
      <c r="B1946" t="s">
        <v>1431</v>
      </c>
      <c r="C1946" t="s">
        <v>15</v>
      </c>
      <c r="D1946" t="s">
        <v>994</v>
      </c>
      <c r="E1946">
        <v>1</v>
      </c>
    </row>
    <row r="1947" spans="1:5" x14ac:dyDescent="0.2">
      <c r="A1947" s="269">
        <v>45910.674386574072</v>
      </c>
      <c r="B1947" t="s">
        <v>1431</v>
      </c>
      <c r="C1947" t="s">
        <v>15</v>
      </c>
      <c r="D1947" t="s">
        <v>976</v>
      </c>
      <c r="E1947" t="s">
        <v>339</v>
      </c>
    </row>
    <row r="1948" spans="1:5" x14ac:dyDescent="0.2">
      <c r="A1948" s="269">
        <v>45910.674479166664</v>
      </c>
      <c r="B1948" t="s">
        <v>1431</v>
      </c>
      <c r="C1948" t="s">
        <v>15</v>
      </c>
      <c r="D1948" t="s">
        <v>1066</v>
      </c>
      <c r="E1948">
        <v>4</v>
      </c>
    </row>
    <row r="1949" spans="1:5" x14ac:dyDescent="0.2">
      <c r="A1949" s="269">
        <v>45910.674525462964</v>
      </c>
      <c r="B1949" t="s">
        <v>1431</v>
      </c>
      <c r="C1949" t="s">
        <v>15</v>
      </c>
      <c r="D1949" t="s">
        <v>874</v>
      </c>
      <c r="E1949" t="s">
        <v>352</v>
      </c>
    </row>
    <row r="1950" spans="1:5" x14ac:dyDescent="0.2">
      <c r="A1950" s="269">
        <v>45910.675821759258</v>
      </c>
      <c r="B1950" t="s">
        <v>1431</v>
      </c>
      <c r="C1950" t="s">
        <v>15</v>
      </c>
      <c r="D1950" t="s">
        <v>926</v>
      </c>
      <c r="E1950" t="s">
        <v>188</v>
      </c>
    </row>
    <row r="1951" spans="1:5" x14ac:dyDescent="0.2">
      <c r="A1951" s="269">
        <v>45910.675937499997</v>
      </c>
      <c r="B1951" t="s">
        <v>1431</v>
      </c>
      <c r="C1951" t="s">
        <v>15</v>
      </c>
      <c r="D1951" t="s">
        <v>1469</v>
      </c>
      <c r="E1951" t="s">
        <v>89</v>
      </c>
    </row>
    <row r="1952" spans="1:5" x14ac:dyDescent="0.2">
      <c r="A1952" s="269">
        <v>45910.676064814812</v>
      </c>
      <c r="B1952" t="s">
        <v>1431</v>
      </c>
      <c r="C1952" t="s">
        <v>15</v>
      </c>
      <c r="D1952" t="s">
        <v>1469</v>
      </c>
    </row>
    <row r="1953" spans="1:5" x14ac:dyDescent="0.2">
      <c r="A1953" s="269">
        <v>45910.676134259258</v>
      </c>
      <c r="B1953" t="s">
        <v>1431</v>
      </c>
      <c r="C1953" t="s">
        <v>15</v>
      </c>
      <c r="D1953" t="s">
        <v>1629</v>
      </c>
      <c r="E1953" t="s">
        <v>89</v>
      </c>
    </row>
    <row r="1954" spans="1:5" x14ac:dyDescent="0.2">
      <c r="A1954" s="269">
        <v>45910.677372685182</v>
      </c>
      <c r="B1954" t="s">
        <v>1431</v>
      </c>
      <c r="C1954" t="s">
        <v>15</v>
      </c>
      <c r="D1954" t="s">
        <v>1464</v>
      </c>
      <c r="E1954" s="443">
        <v>45911</v>
      </c>
    </row>
    <row r="1955" spans="1:5" x14ac:dyDescent="0.2">
      <c r="A1955" s="269">
        <v>45910.677731481483</v>
      </c>
      <c r="B1955" t="s">
        <v>1431</v>
      </c>
      <c r="C1955" t="s">
        <v>58</v>
      </c>
      <c r="D1955" t="s">
        <v>1464</v>
      </c>
      <c r="E1955" s="443">
        <v>45911</v>
      </c>
    </row>
    <row r="1956" spans="1:5" x14ac:dyDescent="0.2">
      <c r="A1956" s="269">
        <v>45910.677812499998</v>
      </c>
      <c r="B1956" t="s">
        <v>1431</v>
      </c>
      <c r="C1956" t="s">
        <v>58</v>
      </c>
      <c r="D1956" t="s">
        <v>946</v>
      </c>
      <c r="E1956" t="s">
        <v>343</v>
      </c>
    </row>
    <row r="1957" spans="1:5" x14ac:dyDescent="0.2">
      <c r="A1957" s="269">
        <v>45910.678437499999</v>
      </c>
      <c r="B1957" t="s">
        <v>1431</v>
      </c>
      <c r="C1957" t="s">
        <v>58</v>
      </c>
      <c r="D1957" t="s">
        <v>950</v>
      </c>
      <c r="E1957" t="s">
        <v>63</v>
      </c>
    </row>
    <row r="1958" spans="1:5" x14ac:dyDescent="0.2">
      <c r="A1958" s="269">
        <v>45910.678472222222</v>
      </c>
      <c r="B1958" t="s">
        <v>1431</v>
      </c>
      <c r="C1958" t="s">
        <v>58</v>
      </c>
      <c r="D1958" t="s">
        <v>951</v>
      </c>
      <c r="E1958" t="s">
        <v>338</v>
      </c>
    </row>
    <row r="1959" spans="1:5" x14ac:dyDescent="0.2">
      <c r="A1959" s="269">
        <v>45910.679178240738</v>
      </c>
      <c r="B1959" t="s">
        <v>1431</v>
      </c>
      <c r="C1959" t="s">
        <v>58</v>
      </c>
      <c r="D1959" t="s">
        <v>1483</v>
      </c>
      <c r="E1959">
        <v>5.0599999999999996</v>
      </c>
    </row>
    <row r="1960" spans="1:5" x14ac:dyDescent="0.2">
      <c r="A1960" s="269">
        <v>45910.679444444446</v>
      </c>
      <c r="B1960" t="s">
        <v>1431</v>
      </c>
      <c r="C1960" t="s">
        <v>58</v>
      </c>
      <c r="D1960" t="s">
        <v>958</v>
      </c>
      <c r="E1960">
        <v>4</v>
      </c>
    </row>
    <row r="1961" spans="1:5" x14ac:dyDescent="0.2">
      <c r="A1961" s="269">
        <v>45910.679525462961</v>
      </c>
      <c r="B1961" t="s">
        <v>1431</v>
      </c>
      <c r="C1961" t="s">
        <v>58</v>
      </c>
      <c r="D1961" t="s">
        <v>1433</v>
      </c>
      <c r="E1961" t="s">
        <v>365</v>
      </c>
    </row>
    <row r="1962" spans="1:5" x14ac:dyDescent="0.2">
      <c r="A1962" s="269">
        <v>45910.679560185185</v>
      </c>
      <c r="B1962" t="s">
        <v>1431</v>
      </c>
      <c r="C1962" t="s">
        <v>58</v>
      </c>
      <c r="D1962" t="s">
        <v>1471</v>
      </c>
      <c r="E1962" t="s">
        <v>63</v>
      </c>
    </row>
    <row r="1963" spans="1:5" x14ac:dyDescent="0.2">
      <c r="A1963" s="269">
        <v>45910.679594907408</v>
      </c>
      <c r="B1963" t="s">
        <v>1431</v>
      </c>
      <c r="C1963" t="s">
        <v>58</v>
      </c>
      <c r="D1963" t="s">
        <v>983</v>
      </c>
      <c r="E1963" t="s">
        <v>338</v>
      </c>
    </row>
    <row r="1964" spans="1:5" x14ac:dyDescent="0.2">
      <c r="A1964" s="269">
        <v>45910.680196759262</v>
      </c>
      <c r="B1964" t="s">
        <v>1431</v>
      </c>
      <c r="C1964" t="s">
        <v>58</v>
      </c>
      <c r="D1964" t="s">
        <v>937</v>
      </c>
      <c r="E1964">
        <v>267.89999999999998</v>
      </c>
    </row>
    <row r="1965" spans="1:5" x14ac:dyDescent="0.2">
      <c r="A1965" s="269">
        <v>45910.680960648147</v>
      </c>
      <c r="B1965" t="s">
        <v>1431</v>
      </c>
      <c r="C1965" t="s">
        <v>58</v>
      </c>
      <c r="D1965" t="s">
        <v>960</v>
      </c>
      <c r="E1965" t="s">
        <v>1789</v>
      </c>
    </row>
    <row r="1966" spans="1:5" x14ac:dyDescent="0.2">
      <c r="A1966" s="269">
        <v>45910.681192129632</v>
      </c>
      <c r="B1966" t="s">
        <v>1431</v>
      </c>
      <c r="C1966" t="s">
        <v>58</v>
      </c>
      <c r="D1966" t="s">
        <v>937</v>
      </c>
    </row>
    <row r="1967" spans="1:5" x14ac:dyDescent="0.2">
      <c r="A1967" s="269">
        <v>45910.681273148148</v>
      </c>
      <c r="B1967" t="s">
        <v>1431</v>
      </c>
      <c r="C1967" t="s">
        <v>58</v>
      </c>
      <c r="D1967" t="s">
        <v>937</v>
      </c>
      <c r="E1967">
        <v>45.13</v>
      </c>
    </row>
    <row r="1968" spans="1:5" x14ac:dyDescent="0.2">
      <c r="A1968" s="269">
        <v>45910.681342592594</v>
      </c>
      <c r="B1968" t="s">
        <v>1431</v>
      </c>
      <c r="C1968" t="s">
        <v>58</v>
      </c>
      <c r="D1968" t="s">
        <v>1529</v>
      </c>
      <c r="E1968">
        <v>466</v>
      </c>
    </row>
    <row r="1969" spans="1:5" x14ac:dyDescent="0.2">
      <c r="A1969" s="269">
        <v>45910.681689814817</v>
      </c>
      <c r="B1969" t="s">
        <v>1431</v>
      </c>
      <c r="C1969" t="s">
        <v>58</v>
      </c>
      <c r="D1969" t="s">
        <v>1024</v>
      </c>
      <c r="E1969" t="s">
        <v>1790</v>
      </c>
    </row>
    <row r="1970" spans="1:5" x14ac:dyDescent="0.2">
      <c r="A1970" s="269">
        <v>45910.681747685187</v>
      </c>
      <c r="B1970" t="s">
        <v>1431</v>
      </c>
      <c r="C1970" t="s">
        <v>58</v>
      </c>
      <c r="D1970" t="s">
        <v>1191</v>
      </c>
      <c r="E1970" t="s">
        <v>365</v>
      </c>
    </row>
    <row r="1971" spans="1:5" x14ac:dyDescent="0.2">
      <c r="A1971" s="269">
        <v>45910.681805555556</v>
      </c>
      <c r="B1971" t="s">
        <v>1431</v>
      </c>
      <c r="C1971" t="s">
        <v>58</v>
      </c>
      <c r="D1971" t="s">
        <v>1010</v>
      </c>
      <c r="E1971" t="s">
        <v>63</v>
      </c>
    </row>
    <row r="1972" spans="1:5" x14ac:dyDescent="0.2">
      <c r="A1972" s="269">
        <v>45910.681840277779</v>
      </c>
      <c r="B1972" t="s">
        <v>1431</v>
      </c>
      <c r="C1972" t="s">
        <v>58</v>
      </c>
      <c r="D1972" t="s">
        <v>1066</v>
      </c>
      <c r="E1972" t="s">
        <v>338</v>
      </c>
    </row>
    <row r="1973" spans="1:5" x14ac:dyDescent="0.2">
      <c r="A1973" s="269">
        <v>45910.681956018518</v>
      </c>
      <c r="B1973" t="s">
        <v>1431</v>
      </c>
      <c r="C1973" t="s">
        <v>58</v>
      </c>
      <c r="D1973" t="s">
        <v>926</v>
      </c>
      <c r="E1973">
        <v>74.33</v>
      </c>
    </row>
    <row r="1974" spans="1:5" x14ac:dyDescent="0.2">
      <c r="A1974" s="269">
        <v>45910.68204861111</v>
      </c>
      <c r="B1974" t="s">
        <v>1431</v>
      </c>
      <c r="C1974" t="s">
        <v>58</v>
      </c>
      <c r="D1974" t="s">
        <v>975</v>
      </c>
      <c r="E1974">
        <v>678</v>
      </c>
    </row>
    <row r="1975" spans="1:5" x14ac:dyDescent="0.2">
      <c r="A1975" s="269">
        <v>45910.682222222225</v>
      </c>
      <c r="B1975" t="s">
        <v>1431</v>
      </c>
      <c r="C1975" t="s">
        <v>58</v>
      </c>
      <c r="D1975" t="s">
        <v>972</v>
      </c>
      <c r="E1975" t="s">
        <v>1791</v>
      </c>
    </row>
    <row r="1976" spans="1:5" x14ac:dyDescent="0.2">
      <c r="A1976" s="269">
        <v>45910.682326388887</v>
      </c>
      <c r="B1976" t="s">
        <v>1431</v>
      </c>
      <c r="C1976" t="s">
        <v>58</v>
      </c>
      <c r="D1976" t="s">
        <v>795</v>
      </c>
      <c r="E1976" t="s">
        <v>365</v>
      </c>
    </row>
    <row r="1977" spans="1:5" x14ac:dyDescent="0.2">
      <c r="A1977" s="269">
        <v>45910.682372685187</v>
      </c>
      <c r="B1977" t="s">
        <v>1431</v>
      </c>
      <c r="C1977" t="s">
        <v>58</v>
      </c>
      <c r="D1977" t="s">
        <v>995</v>
      </c>
      <c r="E1977" t="s">
        <v>63</v>
      </c>
    </row>
    <row r="1978" spans="1:5" x14ac:dyDescent="0.2">
      <c r="A1978" s="269">
        <v>45910.682395833333</v>
      </c>
      <c r="B1978" t="s">
        <v>1431</v>
      </c>
      <c r="C1978" t="s">
        <v>58</v>
      </c>
      <c r="D1978" t="s">
        <v>994</v>
      </c>
      <c r="E1978" t="s">
        <v>338</v>
      </c>
    </row>
    <row r="1979" spans="1:5" x14ac:dyDescent="0.2">
      <c r="A1979" s="269">
        <v>45910.682870370372</v>
      </c>
      <c r="B1979" t="s">
        <v>1431</v>
      </c>
      <c r="C1979" t="s">
        <v>58</v>
      </c>
      <c r="D1979" t="s">
        <v>874</v>
      </c>
      <c r="E1979">
        <v>148.44</v>
      </c>
    </row>
    <row r="1980" spans="1:5" x14ac:dyDescent="0.2">
      <c r="A1980" s="269">
        <v>45910.682974537034</v>
      </c>
      <c r="B1980" t="s">
        <v>1431</v>
      </c>
      <c r="C1980" t="s">
        <v>58</v>
      </c>
      <c r="D1980" t="s">
        <v>974</v>
      </c>
      <c r="E1980">
        <v>1237</v>
      </c>
    </row>
    <row r="1981" spans="1:5" x14ac:dyDescent="0.2">
      <c r="A1981" s="269">
        <v>45910.683599537035</v>
      </c>
      <c r="B1981" t="s">
        <v>1431</v>
      </c>
      <c r="C1981" t="s">
        <v>58</v>
      </c>
      <c r="D1981" t="s">
        <v>1552</v>
      </c>
      <c r="E1981" t="s">
        <v>1792</v>
      </c>
    </row>
    <row r="1982" spans="1:5" x14ac:dyDescent="0.2">
      <c r="A1982" s="269">
        <v>45910.683692129627</v>
      </c>
      <c r="B1982" t="s">
        <v>1431</v>
      </c>
      <c r="C1982" t="s">
        <v>58</v>
      </c>
      <c r="D1982" t="s">
        <v>972</v>
      </c>
      <c r="E1982" t="s">
        <v>1793</v>
      </c>
    </row>
    <row r="1983" spans="1:5" x14ac:dyDescent="0.2">
      <c r="A1983" s="269">
        <v>45910.683842592596</v>
      </c>
      <c r="B1983" t="s">
        <v>1431</v>
      </c>
      <c r="C1983" t="s">
        <v>58</v>
      </c>
      <c r="D1983" t="s">
        <v>1024</v>
      </c>
      <c r="E1983" t="s">
        <v>1794</v>
      </c>
    </row>
    <row r="1984" spans="1:5" x14ac:dyDescent="0.2">
      <c r="A1984" s="269">
        <v>45910.684236111112</v>
      </c>
      <c r="B1984" t="s">
        <v>1431</v>
      </c>
      <c r="C1984" t="s">
        <v>58</v>
      </c>
      <c r="D1984" t="s">
        <v>1013</v>
      </c>
      <c r="E1984" t="s">
        <v>365</v>
      </c>
    </row>
    <row r="1985" spans="1:5" x14ac:dyDescent="0.2">
      <c r="A1985" s="269">
        <v>45910.684270833335</v>
      </c>
      <c r="B1985" t="s">
        <v>1431</v>
      </c>
      <c r="C1985" t="s">
        <v>58</v>
      </c>
      <c r="D1985" t="s">
        <v>1014</v>
      </c>
      <c r="E1985" t="s">
        <v>63</v>
      </c>
    </row>
    <row r="1986" spans="1:5" x14ac:dyDescent="0.2">
      <c r="A1986" s="269">
        <v>45910.684305555558</v>
      </c>
      <c r="B1986" t="s">
        <v>1431</v>
      </c>
      <c r="C1986" t="s">
        <v>58</v>
      </c>
      <c r="D1986" t="s">
        <v>1015</v>
      </c>
      <c r="E1986" t="s">
        <v>362</v>
      </c>
    </row>
    <row r="1987" spans="1:5" x14ac:dyDescent="0.2">
      <c r="A1987" s="269">
        <v>45910.684363425928</v>
      </c>
      <c r="B1987" t="s">
        <v>1431</v>
      </c>
      <c r="C1987" t="s">
        <v>58</v>
      </c>
      <c r="D1987" t="s">
        <v>1015</v>
      </c>
      <c r="E1987" t="s">
        <v>89</v>
      </c>
    </row>
    <row r="1988" spans="1:5" x14ac:dyDescent="0.2">
      <c r="A1988" s="269">
        <v>45910.684490740743</v>
      </c>
      <c r="B1988" t="s">
        <v>1431</v>
      </c>
      <c r="C1988" t="s">
        <v>58</v>
      </c>
      <c r="D1988" t="s">
        <v>1450</v>
      </c>
      <c r="E1988">
        <v>188.11</v>
      </c>
    </row>
    <row r="1989" spans="1:5" x14ac:dyDescent="0.2">
      <c r="A1989" s="269">
        <v>45910.684594907405</v>
      </c>
      <c r="B1989" t="s">
        <v>1431</v>
      </c>
      <c r="C1989" t="s">
        <v>58</v>
      </c>
      <c r="D1989" t="s">
        <v>1636</v>
      </c>
      <c r="E1989">
        <v>1619</v>
      </c>
    </row>
    <row r="1990" spans="1:5" x14ac:dyDescent="0.2">
      <c r="A1990" s="269">
        <v>45910.684907407405</v>
      </c>
      <c r="B1990" t="s">
        <v>1431</v>
      </c>
      <c r="C1990" t="s">
        <v>58</v>
      </c>
      <c r="D1990" t="s">
        <v>1016</v>
      </c>
      <c r="E1990" t="s">
        <v>1794</v>
      </c>
    </row>
    <row r="1991" spans="1:5" x14ac:dyDescent="0.2">
      <c r="A1991" s="269">
        <v>45910.685173611113</v>
      </c>
      <c r="B1991" t="s">
        <v>1431</v>
      </c>
      <c r="C1991" t="s">
        <v>58</v>
      </c>
      <c r="D1991" t="s">
        <v>1433</v>
      </c>
      <c r="E1991" t="s">
        <v>381</v>
      </c>
    </row>
    <row r="1992" spans="1:5" x14ac:dyDescent="0.2">
      <c r="A1992" s="269">
        <v>45910.685254629629</v>
      </c>
      <c r="B1992" t="s">
        <v>1431</v>
      </c>
      <c r="C1992" t="s">
        <v>58</v>
      </c>
      <c r="D1992" t="s">
        <v>795</v>
      </c>
      <c r="E1992" t="s">
        <v>381</v>
      </c>
    </row>
    <row r="1993" spans="1:5" x14ac:dyDescent="0.2">
      <c r="A1993" s="269">
        <v>45910.685335648152</v>
      </c>
      <c r="B1993" t="s">
        <v>1431</v>
      </c>
      <c r="C1993" t="s">
        <v>58</v>
      </c>
      <c r="D1993" t="s">
        <v>1013</v>
      </c>
      <c r="E1993" t="s">
        <v>381</v>
      </c>
    </row>
    <row r="1994" spans="1:5" x14ac:dyDescent="0.2">
      <c r="A1994" s="269">
        <v>45910.685682870368</v>
      </c>
      <c r="B1994" t="s">
        <v>1431</v>
      </c>
      <c r="C1994" t="s">
        <v>58</v>
      </c>
      <c r="D1994" t="s">
        <v>747</v>
      </c>
      <c r="E1994" t="s">
        <v>365</v>
      </c>
    </row>
    <row r="1995" spans="1:5" x14ac:dyDescent="0.2">
      <c r="A1995" s="269">
        <v>45910.685717592591</v>
      </c>
      <c r="B1995" t="s">
        <v>1431</v>
      </c>
      <c r="C1995" t="s">
        <v>58</v>
      </c>
      <c r="D1995" t="s">
        <v>1017</v>
      </c>
      <c r="E1995" t="s">
        <v>63</v>
      </c>
    </row>
    <row r="1996" spans="1:5" x14ac:dyDescent="0.2">
      <c r="A1996" s="269">
        <v>45910.685752314814</v>
      </c>
      <c r="B1996" t="s">
        <v>1431</v>
      </c>
      <c r="C1996" t="s">
        <v>58</v>
      </c>
      <c r="D1996" t="s">
        <v>1018</v>
      </c>
      <c r="E1996" t="s">
        <v>89</v>
      </c>
    </row>
    <row r="1997" spans="1:5" x14ac:dyDescent="0.2">
      <c r="A1997" s="269">
        <v>45910.685844907406</v>
      </c>
      <c r="B1997" t="s">
        <v>1431</v>
      </c>
      <c r="C1997" t="s">
        <v>58</v>
      </c>
      <c r="D1997" t="s">
        <v>1451</v>
      </c>
      <c r="E1997">
        <v>154.78</v>
      </c>
    </row>
    <row r="1998" spans="1:5" x14ac:dyDescent="0.2">
      <c r="A1998" s="269">
        <v>45910.685949074075</v>
      </c>
      <c r="B1998" t="s">
        <v>1431</v>
      </c>
      <c r="C1998" t="s">
        <v>58</v>
      </c>
      <c r="D1998" t="s">
        <v>1530</v>
      </c>
      <c r="E1998">
        <v>1533</v>
      </c>
    </row>
    <row r="1999" spans="1:5" x14ac:dyDescent="0.2">
      <c r="A1999" s="269">
        <v>45910.686041666668</v>
      </c>
      <c r="B1999" t="s">
        <v>1431</v>
      </c>
      <c r="C1999" t="s">
        <v>58</v>
      </c>
      <c r="D1999" t="s">
        <v>1553</v>
      </c>
      <c r="E1999" t="s">
        <v>1793</v>
      </c>
    </row>
    <row r="2000" spans="1:5" x14ac:dyDescent="0.2">
      <c r="A2000" s="269">
        <v>45910.686319444445</v>
      </c>
      <c r="B2000" t="s">
        <v>1431</v>
      </c>
      <c r="C2000" t="s">
        <v>58</v>
      </c>
      <c r="D2000" t="s">
        <v>1434</v>
      </c>
      <c r="E2000" t="s">
        <v>343</v>
      </c>
    </row>
    <row r="2001" spans="1:5" x14ac:dyDescent="0.2">
      <c r="A2001" s="269">
        <v>45910.686365740738</v>
      </c>
      <c r="B2001" t="s">
        <v>1431</v>
      </c>
      <c r="C2001" t="s">
        <v>58</v>
      </c>
      <c r="D2001" t="s">
        <v>1476</v>
      </c>
      <c r="E2001" t="s">
        <v>63</v>
      </c>
    </row>
    <row r="2002" spans="1:5" x14ac:dyDescent="0.2">
      <c r="A2002" s="269">
        <v>45910.686423611114</v>
      </c>
      <c r="B2002" t="s">
        <v>1431</v>
      </c>
      <c r="C2002" t="s">
        <v>58</v>
      </c>
      <c r="D2002" t="s">
        <v>1068</v>
      </c>
      <c r="E2002" t="s">
        <v>362</v>
      </c>
    </row>
    <row r="2003" spans="1:5" x14ac:dyDescent="0.2">
      <c r="A2003" s="269">
        <v>45910.686527777776</v>
      </c>
      <c r="B2003" t="s">
        <v>1431</v>
      </c>
      <c r="C2003" t="s">
        <v>58</v>
      </c>
      <c r="D2003" t="s">
        <v>1452</v>
      </c>
      <c r="E2003">
        <v>13.88</v>
      </c>
    </row>
    <row r="2004" spans="1:5" x14ac:dyDescent="0.2">
      <c r="A2004" s="269">
        <v>45910.686608796299</v>
      </c>
      <c r="B2004" t="s">
        <v>1431</v>
      </c>
      <c r="C2004" t="s">
        <v>58</v>
      </c>
      <c r="D2004" t="s">
        <v>925</v>
      </c>
      <c r="E2004">
        <v>29</v>
      </c>
    </row>
    <row r="2005" spans="1:5" x14ac:dyDescent="0.2">
      <c r="A2005" s="269">
        <v>45910.686712962961</v>
      </c>
      <c r="B2005" t="s">
        <v>1431</v>
      </c>
      <c r="C2005" t="s">
        <v>58</v>
      </c>
      <c r="D2005" t="s">
        <v>1554</v>
      </c>
      <c r="E2005" t="s">
        <v>1789</v>
      </c>
    </row>
    <row r="2006" spans="1:5" x14ac:dyDescent="0.2">
      <c r="A2006" s="269">
        <v>45910.686898148146</v>
      </c>
      <c r="B2006" t="s">
        <v>1431</v>
      </c>
      <c r="C2006" t="s">
        <v>58</v>
      </c>
      <c r="D2006" t="s">
        <v>1435</v>
      </c>
      <c r="E2006" t="s">
        <v>381</v>
      </c>
    </row>
    <row r="2007" spans="1:5" x14ac:dyDescent="0.2">
      <c r="A2007" s="269">
        <v>45910.686932870369</v>
      </c>
      <c r="B2007" t="s">
        <v>1431</v>
      </c>
      <c r="C2007" t="s">
        <v>58</v>
      </c>
      <c r="D2007" t="s">
        <v>1477</v>
      </c>
      <c r="E2007" t="s">
        <v>63</v>
      </c>
    </row>
    <row r="2008" spans="1:5" x14ac:dyDescent="0.2">
      <c r="A2008" s="269">
        <v>45910.686990740738</v>
      </c>
      <c r="B2008" t="s">
        <v>1431</v>
      </c>
      <c r="C2008" t="s">
        <v>58</v>
      </c>
      <c r="D2008" t="s">
        <v>1069</v>
      </c>
      <c r="E2008" t="s">
        <v>362</v>
      </c>
    </row>
    <row r="2009" spans="1:5" x14ac:dyDescent="0.2">
      <c r="A2009" s="269">
        <v>45910.68712962963</v>
      </c>
      <c r="B2009" t="s">
        <v>1431</v>
      </c>
      <c r="C2009" t="s">
        <v>58</v>
      </c>
      <c r="D2009" t="s">
        <v>1453</v>
      </c>
      <c r="E2009">
        <v>92.85</v>
      </c>
    </row>
    <row r="2010" spans="1:5" x14ac:dyDescent="0.2">
      <c r="A2010" s="269">
        <v>45910.687175925923</v>
      </c>
      <c r="B2010" t="s">
        <v>1431</v>
      </c>
      <c r="C2010" t="s">
        <v>58</v>
      </c>
      <c r="D2010" t="s">
        <v>1531</v>
      </c>
      <c r="E2010">
        <v>909</v>
      </c>
    </row>
    <row r="2011" spans="1:5" x14ac:dyDescent="0.2">
      <c r="A2011" s="269">
        <v>45910.687303240738</v>
      </c>
      <c r="B2011" t="s">
        <v>1431</v>
      </c>
      <c r="C2011" t="s">
        <v>58</v>
      </c>
      <c r="D2011" t="s">
        <v>1555</v>
      </c>
      <c r="E2011" t="s">
        <v>1794</v>
      </c>
    </row>
    <row r="2012" spans="1:5" x14ac:dyDescent="0.2">
      <c r="A2012" s="269">
        <v>45910.6874537037</v>
      </c>
      <c r="B2012" t="s">
        <v>1431</v>
      </c>
      <c r="C2012" t="s">
        <v>58</v>
      </c>
      <c r="D2012" t="s">
        <v>1436</v>
      </c>
      <c r="E2012" t="s">
        <v>365</v>
      </c>
    </row>
    <row r="2013" spans="1:5" x14ac:dyDescent="0.2">
      <c r="A2013" s="269">
        <v>45910.687488425923</v>
      </c>
      <c r="B2013" t="s">
        <v>1431</v>
      </c>
      <c r="C2013" t="s">
        <v>58</v>
      </c>
      <c r="D2013" t="s">
        <v>1478</v>
      </c>
      <c r="E2013" t="s">
        <v>63</v>
      </c>
    </row>
    <row r="2014" spans="1:5" x14ac:dyDescent="0.2">
      <c r="A2014" s="269">
        <v>45910.687534722223</v>
      </c>
      <c r="B2014" t="s">
        <v>1431</v>
      </c>
      <c r="C2014" t="s">
        <v>58</v>
      </c>
      <c r="D2014" t="s">
        <v>1438</v>
      </c>
      <c r="E2014" t="s">
        <v>371</v>
      </c>
    </row>
    <row r="2015" spans="1:5" x14ac:dyDescent="0.2">
      <c r="A2015" s="269">
        <v>45910.688437500001</v>
      </c>
      <c r="B2015" t="s">
        <v>1431</v>
      </c>
      <c r="C2015" t="s">
        <v>58</v>
      </c>
      <c r="D2015" t="s">
        <v>1454</v>
      </c>
      <c r="E2015">
        <v>167.01</v>
      </c>
    </row>
    <row r="2016" spans="1:5" x14ac:dyDescent="0.2">
      <c r="A2016" s="269">
        <v>45910.688518518517</v>
      </c>
      <c r="B2016" t="s">
        <v>1431</v>
      </c>
      <c r="C2016" t="s">
        <v>58</v>
      </c>
      <c r="D2016" t="s">
        <v>1795</v>
      </c>
      <c r="E2016">
        <v>1781</v>
      </c>
    </row>
    <row r="2017" spans="1:5" x14ac:dyDescent="0.2">
      <c r="A2017" s="269">
        <v>45910.688680555555</v>
      </c>
      <c r="B2017" t="s">
        <v>1431</v>
      </c>
      <c r="C2017" t="s">
        <v>58</v>
      </c>
      <c r="D2017" t="s">
        <v>1556</v>
      </c>
      <c r="E2017" t="s">
        <v>1793</v>
      </c>
    </row>
    <row r="2018" spans="1:5" x14ac:dyDescent="0.2">
      <c r="A2018" s="269">
        <v>45910.689027777778</v>
      </c>
      <c r="B2018" t="s">
        <v>1431</v>
      </c>
      <c r="C2018" t="s">
        <v>58</v>
      </c>
      <c r="D2018" t="s">
        <v>1438</v>
      </c>
      <c r="E2018" t="s">
        <v>362</v>
      </c>
    </row>
    <row r="2019" spans="1:5" x14ac:dyDescent="0.2">
      <c r="A2019" s="269">
        <v>45910.689293981479</v>
      </c>
      <c r="B2019" t="s">
        <v>1431</v>
      </c>
      <c r="C2019" t="s">
        <v>58</v>
      </c>
      <c r="D2019" t="s">
        <v>672</v>
      </c>
      <c r="E2019" t="s">
        <v>365</v>
      </c>
    </row>
    <row r="2020" spans="1:5" x14ac:dyDescent="0.2">
      <c r="A2020" s="269">
        <v>45910.689340277779</v>
      </c>
      <c r="B2020" t="s">
        <v>1431</v>
      </c>
      <c r="C2020" t="s">
        <v>58</v>
      </c>
      <c r="D2020" t="s">
        <v>1479</v>
      </c>
      <c r="E2020" t="s">
        <v>63</v>
      </c>
    </row>
    <row r="2021" spans="1:5" x14ac:dyDescent="0.2">
      <c r="A2021" s="269">
        <v>45910.689652777779</v>
      </c>
      <c r="B2021" t="s">
        <v>1431</v>
      </c>
      <c r="C2021" t="s">
        <v>58</v>
      </c>
      <c r="D2021" t="s">
        <v>1443</v>
      </c>
      <c r="E2021" t="s">
        <v>371</v>
      </c>
    </row>
    <row r="2022" spans="1:5" x14ac:dyDescent="0.2">
      <c r="A2022" s="269">
        <v>45910.689918981479</v>
      </c>
      <c r="B2022" t="s">
        <v>1431</v>
      </c>
      <c r="C2022" t="s">
        <v>58</v>
      </c>
      <c r="D2022" t="s">
        <v>1455</v>
      </c>
      <c r="E2022">
        <v>47.3</v>
      </c>
    </row>
    <row r="2023" spans="1:5" x14ac:dyDescent="0.2">
      <c r="A2023" s="269">
        <v>45910.690034722225</v>
      </c>
      <c r="B2023" t="s">
        <v>1431</v>
      </c>
      <c r="C2023" t="s">
        <v>58</v>
      </c>
      <c r="D2023" t="s">
        <v>668</v>
      </c>
      <c r="E2023">
        <v>204</v>
      </c>
    </row>
    <row r="2024" spans="1:5" x14ac:dyDescent="0.2">
      <c r="A2024" s="269">
        <v>45910.690208333333</v>
      </c>
      <c r="B2024" t="s">
        <v>1431</v>
      </c>
      <c r="C2024" t="s">
        <v>58</v>
      </c>
      <c r="D2024" t="s">
        <v>1557</v>
      </c>
      <c r="E2024" t="s">
        <v>1789</v>
      </c>
    </row>
    <row r="2025" spans="1:5" x14ac:dyDescent="0.2">
      <c r="A2025" s="269">
        <v>45910.691342592596</v>
      </c>
      <c r="B2025" t="s">
        <v>1431</v>
      </c>
      <c r="C2025" t="s">
        <v>58</v>
      </c>
      <c r="D2025" t="s">
        <v>672</v>
      </c>
      <c r="E2025" t="s">
        <v>343</v>
      </c>
    </row>
    <row r="2026" spans="1:5" x14ac:dyDescent="0.2">
      <c r="A2026" s="269">
        <v>45910.691481481481</v>
      </c>
      <c r="B2026" t="s">
        <v>1431</v>
      </c>
      <c r="C2026" t="s">
        <v>58</v>
      </c>
      <c r="D2026" t="s">
        <v>674</v>
      </c>
      <c r="E2026" t="s">
        <v>381</v>
      </c>
    </row>
    <row r="2027" spans="1:5" x14ac:dyDescent="0.2">
      <c r="A2027" s="269">
        <v>45910.691516203704</v>
      </c>
      <c r="B2027" t="s">
        <v>1431</v>
      </c>
      <c r="C2027" t="s">
        <v>58</v>
      </c>
      <c r="D2027" t="s">
        <v>1480</v>
      </c>
      <c r="E2027" t="s">
        <v>63</v>
      </c>
    </row>
    <row r="2028" spans="1:5" x14ac:dyDescent="0.2">
      <c r="A2028" s="269">
        <v>45910.691574074073</v>
      </c>
      <c r="B2028" t="s">
        <v>1431</v>
      </c>
      <c r="C2028" t="s">
        <v>58</v>
      </c>
      <c r="D2028" t="s">
        <v>1444</v>
      </c>
      <c r="E2028" t="s">
        <v>371</v>
      </c>
    </row>
    <row r="2029" spans="1:5" x14ac:dyDescent="0.2">
      <c r="A2029" s="269">
        <v>45910.691770833335</v>
      </c>
      <c r="B2029" t="s">
        <v>1431</v>
      </c>
      <c r="C2029" t="s">
        <v>58</v>
      </c>
      <c r="D2029" t="s">
        <v>1456</v>
      </c>
      <c r="E2029">
        <v>109.39</v>
      </c>
    </row>
    <row r="2030" spans="1:5" x14ac:dyDescent="0.2">
      <c r="A2030" s="269">
        <v>45910.691851851851</v>
      </c>
      <c r="B2030" t="s">
        <v>1431</v>
      </c>
      <c r="C2030" t="s">
        <v>58</v>
      </c>
      <c r="D2030" t="s">
        <v>1796</v>
      </c>
      <c r="E2030">
        <v>1121</v>
      </c>
    </row>
    <row r="2031" spans="1:5" x14ac:dyDescent="0.2">
      <c r="A2031" s="269">
        <v>45910.69195601852</v>
      </c>
      <c r="B2031" t="s">
        <v>1431</v>
      </c>
      <c r="C2031" t="s">
        <v>58</v>
      </c>
      <c r="D2031" t="s">
        <v>1558</v>
      </c>
      <c r="E2031" t="s">
        <v>1794</v>
      </c>
    </row>
    <row r="2032" spans="1:5" x14ac:dyDescent="0.2">
      <c r="A2032" s="269">
        <v>45910.698865740742</v>
      </c>
      <c r="B2032" t="s">
        <v>1431</v>
      </c>
      <c r="C2032" t="s">
        <v>58</v>
      </c>
      <c r="D2032" t="s">
        <v>675</v>
      </c>
      <c r="E2032" t="s">
        <v>365</v>
      </c>
    </row>
    <row r="2033" spans="1:5" x14ac:dyDescent="0.2">
      <c r="A2033" s="269">
        <v>45910.698900462965</v>
      </c>
      <c r="B2033" t="s">
        <v>1431</v>
      </c>
      <c r="C2033" t="s">
        <v>58</v>
      </c>
      <c r="D2033" t="s">
        <v>1481</v>
      </c>
      <c r="E2033" t="s">
        <v>63</v>
      </c>
    </row>
    <row r="2034" spans="1:5" x14ac:dyDescent="0.2">
      <c r="A2034" s="269">
        <v>45910.698958333334</v>
      </c>
      <c r="B2034" t="s">
        <v>1431</v>
      </c>
      <c r="C2034" t="s">
        <v>58</v>
      </c>
      <c r="D2034" t="s">
        <v>1446</v>
      </c>
      <c r="E2034" t="s">
        <v>371</v>
      </c>
    </row>
    <row r="2035" spans="1:5" x14ac:dyDescent="0.2">
      <c r="A2035" s="269">
        <v>45910.699108796296</v>
      </c>
      <c r="B2035" t="s">
        <v>1431</v>
      </c>
      <c r="C2035" t="s">
        <v>58</v>
      </c>
      <c r="D2035" t="s">
        <v>1457</v>
      </c>
      <c r="E2035">
        <v>171.35</v>
      </c>
    </row>
    <row r="2036" spans="1:5" x14ac:dyDescent="0.2">
      <c r="A2036" s="269">
        <v>45910.699224537035</v>
      </c>
      <c r="B2036" t="s">
        <v>1431</v>
      </c>
      <c r="C2036" t="s">
        <v>58</v>
      </c>
      <c r="D2036" t="s">
        <v>1532</v>
      </c>
      <c r="E2036">
        <v>1328</v>
      </c>
    </row>
    <row r="2037" spans="1:5" x14ac:dyDescent="0.2">
      <c r="A2037" s="269">
        <v>45910.699305555558</v>
      </c>
      <c r="B2037" t="s">
        <v>1431</v>
      </c>
      <c r="C2037" t="s">
        <v>58</v>
      </c>
      <c r="D2037" t="s">
        <v>1559</v>
      </c>
      <c r="E2037" t="s">
        <v>1793</v>
      </c>
    </row>
    <row r="2038" spans="1:5" x14ac:dyDescent="0.2">
      <c r="A2038" s="269">
        <v>45910.699652777781</v>
      </c>
      <c r="B2038" t="s">
        <v>1431</v>
      </c>
      <c r="C2038" t="s">
        <v>58</v>
      </c>
      <c r="D2038" t="s">
        <v>676</v>
      </c>
      <c r="E2038" t="s">
        <v>381</v>
      </c>
    </row>
    <row r="2039" spans="1:5" x14ac:dyDescent="0.2">
      <c r="A2039" s="269">
        <v>45910.699699074074</v>
      </c>
      <c r="B2039" t="s">
        <v>1431</v>
      </c>
      <c r="C2039" t="s">
        <v>58</v>
      </c>
      <c r="D2039" t="s">
        <v>1473</v>
      </c>
      <c r="E2039" t="s">
        <v>63</v>
      </c>
    </row>
    <row r="2040" spans="1:5" x14ac:dyDescent="0.2">
      <c r="A2040" s="269">
        <v>45910.699745370373</v>
      </c>
      <c r="B2040" t="s">
        <v>1431</v>
      </c>
      <c r="C2040" t="s">
        <v>58</v>
      </c>
      <c r="D2040" t="s">
        <v>1448</v>
      </c>
      <c r="E2040" t="s">
        <v>379</v>
      </c>
    </row>
    <row r="2041" spans="1:5" x14ac:dyDescent="0.2">
      <c r="A2041" s="269">
        <v>45910.699849537035</v>
      </c>
      <c r="B2041" t="s">
        <v>1431</v>
      </c>
      <c r="C2041" t="s">
        <v>58</v>
      </c>
      <c r="D2041" t="s">
        <v>1458</v>
      </c>
      <c r="E2041">
        <v>69.55</v>
      </c>
    </row>
    <row r="2042" spans="1:5" x14ac:dyDescent="0.2">
      <c r="A2042" s="269">
        <v>45910.699918981481</v>
      </c>
      <c r="B2042" t="s">
        <v>1431</v>
      </c>
      <c r="C2042" t="s">
        <v>58</v>
      </c>
      <c r="D2042" t="s">
        <v>1797</v>
      </c>
      <c r="E2042">
        <v>599</v>
      </c>
    </row>
    <row r="2043" spans="1:5" x14ac:dyDescent="0.2">
      <c r="A2043" s="269">
        <v>45910.700011574074</v>
      </c>
      <c r="B2043" t="s">
        <v>1431</v>
      </c>
      <c r="C2043" t="s">
        <v>58</v>
      </c>
      <c r="D2043" t="s">
        <v>1652</v>
      </c>
      <c r="E2043" t="s">
        <v>1794</v>
      </c>
    </row>
    <row r="2044" spans="1:5" x14ac:dyDescent="0.2">
      <c r="A2044" s="269">
        <v>45910.700162037036</v>
      </c>
      <c r="B2044" t="s">
        <v>1431</v>
      </c>
      <c r="C2044" t="s">
        <v>58</v>
      </c>
      <c r="D2044" t="s">
        <v>677</v>
      </c>
      <c r="E2044" t="s">
        <v>365</v>
      </c>
    </row>
    <row r="2045" spans="1:5" x14ac:dyDescent="0.2">
      <c r="A2045" s="269">
        <v>45910.700208333335</v>
      </c>
      <c r="B2045" t="s">
        <v>1431</v>
      </c>
      <c r="C2045" t="s">
        <v>58</v>
      </c>
      <c r="D2045" t="s">
        <v>1484</v>
      </c>
      <c r="E2045" t="s">
        <v>63</v>
      </c>
    </row>
    <row r="2046" spans="1:5" x14ac:dyDescent="0.2">
      <c r="A2046" s="269">
        <v>45910.700243055559</v>
      </c>
      <c r="B2046" t="s">
        <v>1431</v>
      </c>
      <c r="C2046" t="s">
        <v>58</v>
      </c>
      <c r="D2046" t="s">
        <v>1485</v>
      </c>
      <c r="E2046" t="s">
        <v>379</v>
      </c>
    </row>
    <row r="2047" spans="1:5" x14ac:dyDescent="0.2">
      <c r="A2047" s="269">
        <v>45910.70040509259</v>
      </c>
      <c r="B2047" t="s">
        <v>1431</v>
      </c>
      <c r="C2047" t="s">
        <v>58</v>
      </c>
      <c r="D2047" t="s">
        <v>1486</v>
      </c>
      <c r="E2047">
        <v>123.57</v>
      </c>
    </row>
    <row r="2048" spans="1:5" x14ac:dyDescent="0.2">
      <c r="A2048" s="269">
        <v>45910.700462962966</v>
      </c>
      <c r="B2048" t="s">
        <v>1431</v>
      </c>
      <c r="C2048" t="s">
        <v>58</v>
      </c>
      <c r="D2048" t="s">
        <v>1533</v>
      </c>
      <c r="E2048">
        <v>1080</v>
      </c>
    </row>
    <row r="2049" spans="1:5" x14ac:dyDescent="0.2">
      <c r="A2049" s="269">
        <v>45910.700590277775</v>
      </c>
      <c r="B2049" t="s">
        <v>1431</v>
      </c>
      <c r="C2049" t="s">
        <v>58</v>
      </c>
      <c r="D2049" t="s">
        <v>1561</v>
      </c>
      <c r="E2049" t="s">
        <v>1793</v>
      </c>
    </row>
    <row r="2050" spans="1:5" x14ac:dyDescent="0.2">
      <c r="A2050" s="269">
        <v>45910.700925925928</v>
      </c>
      <c r="B2050" t="s">
        <v>1431</v>
      </c>
      <c r="C2050" t="s">
        <v>58</v>
      </c>
      <c r="D2050" t="s">
        <v>678</v>
      </c>
      <c r="E2050" t="s">
        <v>343</v>
      </c>
    </row>
    <row r="2051" spans="1:5" x14ac:dyDescent="0.2">
      <c r="A2051" s="269">
        <v>45910.700972222221</v>
      </c>
      <c r="B2051" t="s">
        <v>1431</v>
      </c>
      <c r="C2051" t="s">
        <v>58</v>
      </c>
      <c r="D2051" t="s">
        <v>1487</v>
      </c>
      <c r="E2051" t="s">
        <v>63</v>
      </c>
    </row>
    <row r="2052" spans="1:5" x14ac:dyDescent="0.2">
      <c r="A2052" s="269">
        <v>45910.701041666667</v>
      </c>
      <c r="B2052" t="s">
        <v>1431</v>
      </c>
      <c r="C2052" t="s">
        <v>58</v>
      </c>
      <c r="D2052" t="s">
        <v>1488</v>
      </c>
      <c r="E2052" t="s">
        <v>386</v>
      </c>
    </row>
    <row r="2053" spans="1:5" x14ac:dyDescent="0.2">
      <c r="A2053" s="269">
        <v>45910.701412037037</v>
      </c>
      <c r="B2053" t="s">
        <v>1431</v>
      </c>
      <c r="C2053" t="s">
        <v>58</v>
      </c>
      <c r="D2053" t="s">
        <v>1489</v>
      </c>
      <c r="E2053">
        <v>7.09</v>
      </c>
    </row>
    <row r="2054" spans="1:5" x14ac:dyDescent="0.2">
      <c r="A2054" s="269">
        <v>45910.701493055552</v>
      </c>
      <c r="B2054" t="s">
        <v>1431</v>
      </c>
      <c r="C2054" t="s">
        <v>58</v>
      </c>
      <c r="D2054" t="s">
        <v>1798</v>
      </c>
      <c r="E2054">
        <v>11</v>
      </c>
    </row>
    <row r="2055" spans="1:5" x14ac:dyDescent="0.2">
      <c r="A2055" s="269">
        <v>45910.701597222222</v>
      </c>
      <c r="B2055" t="s">
        <v>1431</v>
      </c>
      <c r="C2055" t="s">
        <v>58</v>
      </c>
      <c r="D2055" t="s">
        <v>1654</v>
      </c>
      <c r="E2055" t="s">
        <v>1789</v>
      </c>
    </row>
    <row r="2056" spans="1:5" x14ac:dyDescent="0.2">
      <c r="A2056" s="269">
        <v>45910.701701388891</v>
      </c>
      <c r="B2056" t="s">
        <v>1431</v>
      </c>
      <c r="C2056" t="s">
        <v>58</v>
      </c>
      <c r="D2056" t="s">
        <v>1490</v>
      </c>
      <c r="E2056" t="s">
        <v>343</v>
      </c>
    </row>
    <row r="2057" spans="1:5" x14ac:dyDescent="0.2">
      <c r="A2057" s="269">
        <v>45910.701747685183</v>
      </c>
      <c r="B2057" t="s">
        <v>1431</v>
      </c>
      <c r="C2057" t="s">
        <v>58</v>
      </c>
      <c r="D2057" t="s">
        <v>1491</v>
      </c>
      <c r="E2057" t="s">
        <v>63</v>
      </c>
    </row>
    <row r="2058" spans="1:5" x14ac:dyDescent="0.2">
      <c r="A2058" s="269">
        <v>45910.701782407406</v>
      </c>
      <c r="B2058" t="s">
        <v>1431</v>
      </c>
      <c r="C2058" t="s">
        <v>58</v>
      </c>
      <c r="D2058" t="s">
        <v>1492</v>
      </c>
      <c r="E2058" t="s">
        <v>386</v>
      </c>
    </row>
    <row r="2059" spans="1:5" x14ac:dyDescent="0.2">
      <c r="A2059" s="269">
        <v>45910.701863425929</v>
      </c>
      <c r="B2059" t="s">
        <v>1431</v>
      </c>
      <c r="C2059" t="s">
        <v>58</v>
      </c>
      <c r="D2059" t="s">
        <v>1493</v>
      </c>
      <c r="E2059">
        <v>3.55</v>
      </c>
    </row>
    <row r="2060" spans="1:5" x14ac:dyDescent="0.2">
      <c r="A2060" s="269">
        <v>45910.701909722222</v>
      </c>
      <c r="B2060" t="s">
        <v>1431</v>
      </c>
      <c r="C2060" t="s">
        <v>58</v>
      </c>
      <c r="D2060" t="s">
        <v>1534</v>
      </c>
      <c r="E2060">
        <v>10</v>
      </c>
    </row>
    <row r="2061" spans="1:5" x14ac:dyDescent="0.2">
      <c r="A2061" s="269">
        <v>45910.702141203707</v>
      </c>
      <c r="B2061" t="s">
        <v>1431</v>
      </c>
      <c r="C2061" t="s">
        <v>58</v>
      </c>
      <c r="D2061" t="s">
        <v>1562</v>
      </c>
      <c r="E2061">
        <v>596</v>
      </c>
    </row>
    <row r="2062" spans="1:5" x14ac:dyDescent="0.2">
      <c r="A2062" s="269">
        <v>45910.702326388891</v>
      </c>
      <c r="B2062" t="s">
        <v>1431</v>
      </c>
      <c r="C2062" t="s">
        <v>58</v>
      </c>
      <c r="D2062" t="s">
        <v>1562</v>
      </c>
      <c r="E2062" t="s">
        <v>1799</v>
      </c>
    </row>
    <row r="2063" spans="1:5" x14ac:dyDescent="0.2">
      <c r="A2063" s="269">
        <v>45910.702511574076</v>
      </c>
      <c r="B2063" t="s">
        <v>1431</v>
      </c>
      <c r="C2063" t="s">
        <v>58</v>
      </c>
      <c r="D2063" t="s">
        <v>1494</v>
      </c>
      <c r="E2063" t="s">
        <v>381</v>
      </c>
    </row>
    <row r="2064" spans="1:5" x14ac:dyDescent="0.2">
      <c r="A2064" s="269">
        <v>45910.702557870369</v>
      </c>
      <c r="B2064" t="s">
        <v>1431</v>
      </c>
      <c r="C2064" t="s">
        <v>58</v>
      </c>
      <c r="D2064" t="s">
        <v>1495</v>
      </c>
      <c r="E2064" t="s">
        <v>63</v>
      </c>
    </row>
    <row r="2065" spans="1:5" x14ac:dyDescent="0.2">
      <c r="A2065" s="269">
        <v>45910.702615740738</v>
      </c>
      <c r="B2065" t="s">
        <v>1431</v>
      </c>
      <c r="C2065" t="s">
        <v>58</v>
      </c>
      <c r="D2065" t="s">
        <v>1496</v>
      </c>
      <c r="E2065" t="s">
        <v>386</v>
      </c>
    </row>
    <row r="2066" spans="1:5" x14ac:dyDescent="0.2">
      <c r="A2066" s="269">
        <v>45910.70275462963</v>
      </c>
      <c r="B2066" t="s">
        <v>1431</v>
      </c>
      <c r="C2066" t="s">
        <v>58</v>
      </c>
      <c r="D2066" t="s">
        <v>1497</v>
      </c>
      <c r="E2066">
        <v>45.13</v>
      </c>
    </row>
    <row r="2067" spans="1:5" x14ac:dyDescent="0.2">
      <c r="A2067" s="269">
        <v>45910.702824074076</v>
      </c>
      <c r="B2067" t="s">
        <v>1431</v>
      </c>
      <c r="C2067" t="s">
        <v>58</v>
      </c>
      <c r="D2067" t="s">
        <v>1800</v>
      </c>
      <c r="E2067">
        <v>466</v>
      </c>
    </row>
    <row r="2068" spans="1:5" x14ac:dyDescent="0.2">
      <c r="A2068" s="269">
        <v>45910.702893518515</v>
      </c>
      <c r="B2068" t="s">
        <v>1431</v>
      </c>
      <c r="C2068" t="s">
        <v>58</v>
      </c>
      <c r="D2068" t="s">
        <v>1657</v>
      </c>
      <c r="E2068" t="s">
        <v>1794</v>
      </c>
    </row>
    <row r="2069" spans="1:5" x14ac:dyDescent="0.2">
      <c r="A2069" s="269">
        <v>45910.703090277777</v>
      </c>
      <c r="B2069" t="s">
        <v>1431</v>
      </c>
      <c r="C2069" t="s">
        <v>58</v>
      </c>
      <c r="D2069" t="s">
        <v>1498</v>
      </c>
      <c r="E2069" t="s">
        <v>365</v>
      </c>
    </row>
    <row r="2070" spans="1:5" x14ac:dyDescent="0.2">
      <c r="A2070" s="269">
        <v>45910.703136574077</v>
      </c>
      <c r="B2070" t="s">
        <v>1431</v>
      </c>
      <c r="C2070" t="s">
        <v>58</v>
      </c>
      <c r="D2070" t="s">
        <v>1499</v>
      </c>
      <c r="E2070" t="s">
        <v>63</v>
      </c>
    </row>
    <row r="2071" spans="1:5" x14ac:dyDescent="0.2">
      <c r="A2071" s="269">
        <v>45910.703182870369</v>
      </c>
      <c r="B2071" t="s">
        <v>1431</v>
      </c>
      <c r="C2071" t="s">
        <v>58</v>
      </c>
      <c r="D2071" t="s">
        <v>1500</v>
      </c>
      <c r="E2071" t="s">
        <v>386</v>
      </c>
    </row>
    <row r="2072" spans="1:5" x14ac:dyDescent="0.2">
      <c r="A2072" s="269">
        <v>45910.703321759262</v>
      </c>
      <c r="B2072" t="s">
        <v>1431</v>
      </c>
      <c r="C2072" t="s">
        <v>58</v>
      </c>
      <c r="D2072" t="s">
        <v>1501</v>
      </c>
      <c r="E2072">
        <v>295.55</v>
      </c>
    </row>
    <row r="2073" spans="1:5" x14ac:dyDescent="0.2">
      <c r="A2073" s="269">
        <v>45910.703449074077</v>
      </c>
      <c r="B2073" t="s">
        <v>1431</v>
      </c>
      <c r="C2073" t="s">
        <v>58</v>
      </c>
      <c r="D2073" t="s">
        <v>1535</v>
      </c>
      <c r="E2073">
        <v>2904</v>
      </c>
    </row>
    <row r="2074" spans="1:5" x14ac:dyDescent="0.2">
      <c r="A2074" s="269">
        <v>45910.70380787037</v>
      </c>
      <c r="B2074" t="s">
        <v>1431</v>
      </c>
      <c r="C2074" t="s">
        <v>58</v>
      </c>
      <c r="D2074" t="s">
        <v>1563</v>
      </c>
      <c r="E2074" t="s">
        <v>1793</v>
      </c>
    </row>
    <row r="2075" spans="1:5" x14ac:dyDescent="0.2">
      <c r="A2075" s="269">
        <v>45910.704548611109</v>
      </c>
      <c r="B2075" t="s">
        <v>1431</v>
      </c>
      <c r="C2075" t="s">
        <v>58</v>
      </c>
      <c r="D2075" t="s">
        <v>1502</v>
      </c>
      <c r="E2075" t="s">
        <v>343</v>
      </c>
    </row>
    <row r="2076" spans="1:5" x14ac:dyDescent="0.2">
      <c r="A2076" s="269">
        <v>45910.704583333332</v>
      </c>
      <c r="B2076" t="s">
        <v>1431</v>
      </c>
      <c r="C2076" t="s">
        <v>58</v>
      </c>
      <c r="D2076" t="s">
        <v>1503</v>
      </c>
      <c r="E2076" t="s">
        <v>63</v>
      </c>
    </row>
    <row r="2077" spans="1:5" x14ac:dyDescent="0.2">
      <c r="A2077" s="269">
        <v>45910.704629629632</v>
      </c>
      <c r="B2077" t="s">
        <v>1431</v>
      </c>
      <c r="C2077" t="s">
        <v>58</v>
      </c>
      <c r="D2077" t="s">
        <v>1504</v>
      </c>
      <c r="E2077" t="s">
        <v>390</v>
      </c>
    </row>
    <row r="2078" spans="1:5" x14ac:dyDescent="0.2">
      <c r="A2078" s="269">
        <v>45910.704733796294</v>
      </c>
      <c r="B2078" t="s">
        <v>1431</v>
      </c>
      <c r="C2078" t="s">
        <v>58</v>
      </c>
      <c r="D2078" t="s">
        <v>1505</v>
      </c>
      <c r="E2078">
        <v>8.3699999999999992</v>
      </c>
    </row>
    <row r="2079" spans="1:5" x14ac:dyDescent="0.2">
      <c r="A2079" s="269">
        <v>45910.705138888887</v>
      </c>
      <c r="B2079" t="s">
        <v>1431</v>
      </c>
      <c r="C2079" t="s">
        <v>58</v>
      </c>
      <c r="D2079" t="s">
        <v>1801</v>
      </c>
      <c r="E2079">
        <v>14.4</v>
      </c>
    </row>
    <row r="2080" spans="1:5" x14ac:dyDescent="0.2">
      <c r="A2080" s="269">
        <v>45910.705254629633</v>
      </c>
      <c r="B2080" t="s">
        <v>1431</v>
      </c>
      <c r="C2080" t="s">
        <v>58</v>
      </c>
      <c r="D2080" t="s">
        <v>1666</v>
      </c>
      <c r="E2080" t="s">
        <v>1802</v>
      </c>
    </row>
    <row r="2081" spans="1:5" x14ac:dyDescent="0.2">
      <c r="A2081" s="269">
        <v>45910.705393518518</v>
      </c>
      <c r="B2081" t="s">
        <v>1431</v>
      </c>
      <c r="C2081" t="s">
        <v>58</v>
      </c>
      <c r="D2081" t="s">
        <v>1506</v>
      </c>
      <c r="E2081" t="s">
        <v>343</v>
      </c>
    </row>
    <row r="2082" spans="1:5" x14ac:dyDescent="0.2">
      <c r="A2082" s="269">
        <v>45910.705462962964</v>
      </c>
      <c r="B2082" t="s">
        <v>1431</v>
      </c>
      <c r="C2082" t="s">
        <v>58</v>
      </c>
      <c r="D2082" t="s">
        <v>1507</v>
      </c>
      <c r="E2082" t="s">
        <v>63</v>
      </c>
    </row>
    <row r="2083" spans="1:5" x14ac:dyDescent="0.2">
      <c r="A2083" s="269">
        <v>45910.70553240741</v>
      </c>
      <c r="B2083" t="s">
        <v>1431</v>
      </c>
      <c r="C2083" t="s">
        <v>58</v>
      </c>
      <c r="D2083" t="s">
        <v>1508</v>
      </c>
      <c r="E2083" t="s">
        <v>390</v>
      </c>
    </row>
    <row r="2084" spans="1:5" x14ac:dyDescent="0.2">
      <c r="A2084" s="269">
        <v>45910.705694444441</v>
      </c>
      <c r="B2084" t="s">
        <v>1431</v>
      </c>
      <c r="C2084" t="s">
        <v>58</v>
      </c>
      <c r="D2084" t="s">
        <v>1509</v>
      </c>
      <c r="E2084">
        <v>12.45</v>
      </c>
    </row>
    <row r="2085" spans="1:5" x14ac:dyDescent="0.2">
      <c r="A2085" s="269">
        <v>45910.705752314818</v>
      </c>
      <c r="B2085" t="s">
        <v>1431</v>
      </c>
      <c r="C2085" t="s">
        <v>58</v>
      </c>
      <c r="D2085" t="s">
        <v>1536</v>
      </c>
      <c r="E2085">
        <v>51</v>
      </c>
    </row>
    <row r="2086" spans="1:5" x14ac:dyDescent="0.2">
      <c r="A2086" s="269">
        <v>45910.705972222226</v>
      </c>
      <c r="B2086" t="s">
        <v>1431</v>
      </c>
      <c r="C2086" t="s">
        <v>58</v>
      </c>
      <c r="D2086" t="s">
        <v>1564</v>
      </c>
      <c r="E2086" t="s">
        <v>1803</v>
      </c>
    </row>
    <row r="2087" spans="1:5" x14ac:dyDescent="0.2">
      <c r="A2087" s="269">
        <v>45910.706111111111</v>
      </c>
      <c r="B2087" t="s">
        <v>1431</v>
      </c>
      <c r="C2087" t="s">
        <v>58</v>
      </c>
      <c r="D2087" t="s">
        <v>1510</v>
      </c>
      <c r="E2087" t="s">
        <v>381</v>
      </c>
    </row>
    <row r="2088" spans="1:5" x14ac:dyDescent="0.2">
      <c r="A2088" s="269">
        <v>45910.706157407411</v>
      </c>
      <c r="B2088" t="s">
        <v>1431</v>
      </c>
      <c r="C2088" t="s">
        <v>58</v>
      </c>
      <c r="D2088" t="s">
        <v>1511</v>
      </c>
      <c r="E2088" t="s">
        <v>63</v>
      </c>
    </row>
    <row r="2089" spans="1:5" x14ac:dyDescent="0.2">
      <c r="A2089" s="269">
        <v>45910.706226851849</v>
      </c>
      <c r="B2089" t="s">
        <v>1431</v>
      </c>
      <c r="C2089" t="s">
        <v>58</v>
      </c>
      <c r="D2089" t="s">
        <v>1512</v>
      </c>
      <c r="E2089" t="s">
        <v>390</v>
      </c>
    </row>
    <row r="2090" spans="1:5" x14ac:dyDescent="0.2">
      <c r="A2090" s="269">
        <v>45910.706400462965</v>
      </c>
      <c r="B2090" t="s">
        <v>1431</v>
      </c>
      <c r="C2090" t="s">
        <v>58</v>
      </c>
      <c r="D2090" t="s">
        <v>1513</v>
      </c>
      <c r="E2090">
        <v>79.069999999999993</v>
      </c>
    </row>
    <row r="2091" spans="1:5" x14ac:dyDescent="0.2">
      <c r="A2091" s="269">
        <v>45910.706469907411</v>
      </c>
      <c r="B2091" t="s">
        <v>1431</v>
      </c>
      <c r="C2091" t="s">
        <v>58</v>
      </c>
      <c r="D2091" t="s">
        <v>1804</v>
      </c>
      <c r="E2091">
        <v>544</v>
      </c>
    </row>
    <row r="2092" spans="1:5" x14ac:dyDescent="0.2">
      <c r="A2092" s="269">
        <v>45910.706620370373</v>
      </c>
      <c r="B2092" t="s">
        <v>1431</v>
      </c>
      <c r="C2092" t="s">
        <v>58</v>
      </c>
      <c r="D2092" t="s">
        <v>1670</v>
      </c>
      <c r="E2092" t="s">
        <v>1794</v>
      </c>
    </row>
    <row r="2093" spans="1:5" x14ac:dyDescent="0.2">
      <c r="A2093" s="269">
        <v>45910.706828703704</v>
      </c>
      <c r="B2093" t="s">
        <v>1431</v>
      </c>
      <c r="C2093" t="s">
        <v>58</v>
      </c>
      <c r="D2093" t="s">
        <v>1514</v>
      </c>
      <c r="E2093" t="s">
        <v>365</v>
      </c>
    </row>
    <row r="2094" spans="1:5" x14ac:dyDescent="0.2">
      <c r="A2094" s="269">
        <v>45910.706863425927</v>
      </c>
      <c r="B2094" t="s">
        <v>1431</v>
      </c>
      <c r="C2094" t="s">
        <v>58</v>
      </c>
      <c r="D2094" t="s">
        <v>1515</v>
      </c>
      <c r="E2094" t="s">
        <v>63</v>
      </c>
    </row>
    <row r="2095" spans="1:5" x14ac:dyDescent="0.2">
      <c r="A2095" s="269">
        <v>45910.70689814815</v>
      </c>
      <c r="B2095" t="s">
        <v>1431</v>
      </c>
      <c r="C2095" t="s">
        <v>58</v>
      </c>
      <c r="D2095" t="s">
        <v>1516</v>
      </c>
      <c r="E2095" t="s">
        <v>390</v>
      </c>
    </row>
    <row r="2096" spans="1:5" x14ac:dyDescent="0.2">
      <c r="A2096" s="269">
        <v>45910.707060185188</v>
      </c>
      <c r="B2096" t="s">
        <v>1431</v>
      </c>
      <c r="C2096" t="s">
        <v>58</v>
      </c>
      <c r="D2096" t="s">
        <v>1517</v>
      </c>
      <c r="E2096">
        <v>501.71</v>
      </c>
    </row>
    <row r="2097" spans="1:5" x14ac:dyDescent="0.2">
      <c r="A2097" s="269">
        <v>45910.707129629627</v>
      </c>
      <c r="B2097" t="s">
        <v>1431</v>
      </c>
      <c r="C2097" t="s">
        <v>58</v>
      </c>
      <c r="D2097" t="s">
        <v>1537</v>
      </c>
      <c r="E2097">
        <v>2251</v>
      </c>
    </row>
    <row r="2098" spans="1:5" x14ac:dyDescent="0.2">
      <c r="A2098" s="269">
        <v>45910.707499999997</v>
      </c>
      <c r="B2098" t="s">
        <v>1431</v>
      </c>
      <c r="C2098" t="s">
        <v>58</v>
      </c>
      <c r="D2098" t="s">
        <v>1565</v>
      </c>
      <c r="E2098" t="s">
        <v>1793</v>
      </c>
    </row>
    <row r="2099" spans="1:5" x14ac:dyDescent="0.2">
      <c r="A2099" s="269">
        <v>45910.707673611112</v>
      </c>
      <c r="B2099" t="s">
        <v>1431</v>
      </c>
      <c r="C2099" t="s">
        <v>58</v>
      </c>
      <c r="D2099" t="s">
        <v>1518</v>
      </c>
      <c r="E2099" t="s">
        <v>381</v>
      </c>
    </row>
    <row r="2100" spans="1:5" x14ac:dyDescent="0.2">
      <c r="A2100" s="269">
        <v>45910.707708333335</v>
      </c>
      <c r="B2100" t="s">
        <v>1431</v>
      </c>
      <c r="C2100" t="s">
        <v>58</v>
      </c>
      <c r="D2100" t="s">
        <v>1519</v>
      </c>
      <c r="E2100" t="s">
        <v>63</v>
      </c>
    </row>
    <row r="2101" spans="1:5" x14ac:dyDescent="0.2">
      <c r="A2101" s="269">
        <v>45910.707743055558</v>
      </c>
      <c r="B2101" t="s">
        <v>1431</v>
      </c>
      <c r="C2101" t="s">
        <v>58</v>
      </c>
      <c r="D2101" t="s">
        <v>1520</v>
      </c>
      <c r="E2101" t="s">
        <v>390</v>
      </c>
    </row>
    <row r="2102" spans="1:5" x14ac:dyDescent="0.2">
      <c r="A2102" s="269">
        <v>45910.70789351852</v>
      </c>
      <c r="B2102" t="s">
        <v>1431</v>
      </c>
      <c r="C2102" t="s">
        <v>58</v>
      </c>
      <c r="D2102" t="s">
        <v>1521</v>
      </c>
      <c r="E2102">
        <v>74.09</v>
      </c>
    </row>
    <row r="2103" spans="1:5" x14ac:dyDescent="0.2">
      <c r="A2103" s="269">
        <v>45910.707962962966</v>
      </c>
      <c r="B2103" t="s">
        <v>1431</v>
      </c>
      <c r="C2103" t="s">
        <v>58</v>
      </c>
      <c r="D2103" t="s">
        <v>1805</v>
      </c>
      <c r="E2103">
        <v>150</v>
      </c>
    </row>
    <row r="2104" spans="1:5" x14ac:dyDescent="0.2">
      <c r="A2104" s="269">
        <v>45910.70820601852</v>
      </c>
      <c r="B2104" t="s">
        <v>1431</v>
      </c>
      <c r="C2104" t="s">
        <v>58</v>
      </c>
      <c r="D2104" t="s">
        <v>1676</v>
      </c>
      <c r="E2104" t="s">
        <v>1792</v>
      </c>
    </row>
    <row r="2105" spans="1:5" x14ac:dyDescent="0.2">
      <c r="A2105" s="269">
        <v>45911.472418981481</v>
      </c>
      <c r="B2105" t="s">
        <v>1431</v>
      </c>
      <c r="C2105" t="s">
        <v>597</v>
      </c>
      <c r="D2105" t="s">
        <v>1806</v>
      </c>
      <c r="E2105" t="s">
        <v>39</v>
      </c>
    </row>
    <row r="2106" spans="1:5" x14ac:dyDescent="0.2">
      <c r="A2106" s="269">
        <v>45911.472800925927</v>
      </c>
      <c r="B2106" t="s">
        <v>1431</v>
      </c>
      <c r="C2106" t="s">
        <v>15</v>
      </c>
      <c r="D2106" t="s">
        <v>973</v>
      </c>
      <c r="E2106" t="s">
        <v>372</v>
      </c>
    </row>
    <row r="2107" spans="1:5" x14ac:dyDescent="0.2">
      <c r="A2107" s="269">
        <v>45911.474606481483</v>
      </c>
      <c r="B2107" t="s">
        <v>1431</v>
      </c>
      <c r="C2107" t="s">
        <v>15</v>
      </c>
      <c r="D2107" t="s">
        <v>975</v>
      </c>
      <c r="E2107">
        <v>5.4</v>
      </c>
    </row>
    <row r="2108" spans="1:5" x14ac:dyDescent="0.2">
      <c r="A2108" s="269">
        <v>45911.474733796298</v>
      </c>
      <c r="B2108" t="s">
        <v>1431</v>
      </c>
      <c r="C2108" t="s">
        <v>15</v>
      </c>
      <c r="D2108" t="s">
        <v>975</v>
      </c>
      <c r="E2108">
        <v>6</v>
      </c>
    </row>
    <row r="2109" spans="1:5" x14ac:dyDescent="0.2">
      <c r="A2109" s="269">
        <v>45911.593541666669</v>
      </c>
      <c r="B2109" t="s">
        <v>1431</v>
      </c>
      <c r="C2109" t="s">
        <v>27</v>
      </c>
      <c r="D2109" t="s">
        <v>946</v>
      </c>
      <c r="E2109" t="s">
        <v>37</v>
      </c>
    </row>
    <row r="2110" spans="1:5" x14ac:dyDescent="0.2">
      <c r="A2110" s="269">
        <v>45911.593611111108</v>
      </c>
      <c r="B2110" t="s">
        <v>1431</v>
      </c>
      <c r="C2110" t="s">
        <v>27</v>
      </c>
      <c r="D2110" t="s">
        <v>950</v>
      </c>
      <c r="E2110" t="s">
        <v>362</v>
      </c>
    </row>
    <row r="2111" spans="1:5" x14ac:dyDescent="0.2">
      <c r="A2111" s="269">
        <v>45911.593958333331</v>
      </c>
      <c r="B2111" t="s">
        <v>1431</v>
      </c>
      <c r="C2111" t="s">
        <v>27</v>
      </c>
      <c r="D2111" t="s">
        <v>777</v>
      </c>
      <c r="E2111">
        <v>9.32</v>
      </c>
    </row>
    <row r="2112" spans="1:5" x14ac:dyDescent="0.2">
      <c r="A2112" s="269">
        <v>45911.594039351854</v>
      </c>
      <c r="B2112" t="s">
        <v>1431</v>
      </c>
      <c r="C2112" t="s">
        <v>27</v>
      </c>
      <c r="D2112" t="s">
        <v>1433</v>
      </c>
      <c r="E2112" t="s">
        <v>37</v>
      </c>
    </row>
    <row r="2113" spans="1:5" x14ac:dyDescent="0.2">
      <c r="A2113" s="269">
        <v>45911.594108796293</v>
      </c>
      <c r="B2113" t="s">
        <v>1431</v>
      </c>
      <c r="C2113" t="s">
        <v>27</v>
      </c>
      <c r="D2113" t="s">
        <v>1471</v>
      </c>
      <c r="E2113" t="s">
        <v>386</v>
      </c>
    </row>
    <row r="2114" spans="1:5" x14ac:dyDescent="0.2">
      <c r="A2114" s="269">
        <v>45911.594328703701</v>
      </c>
      <c r="B2114" t="s">
        <v>1431</v>
      </c>
      <c r="C2114" t="s">
        <v>27</v>
      </c>
      <c r="D2114" t="s">
        <v>1437</v>
      </c>
      <c r="E2114">
        <v>14.37</v>
      </c>
    </row>
    <row r="2115" spans="1:5" x14ac:dyDescent="0.2">
      <c r="A2115" s="269">
        <v>45911.594467592593</v>
      </c>
      <c r="B2115" t="s">
        <v>1431</v>
      </c>
      <c r="C2115" t="s">
        <v>27</v>
      </c>
      <c r="D2115" t="s">
        <v>1191</v>
      </c>
      <c r="E2115" t="s">
        <v>37</v>
      </c>
    </row>
    <row r="2116" spans="1:5" x14ac:dyDescent="0.2">
      <c r="A2116" s="269">
        <v>45911.594502314816</v>
      </c>
      <c r="B2116" t="s">
        <v>1431</v>
      </c>
      <c r="C2116" t="s">
        <v>27</v>
      </c>
      <c r="D2116" t="s">
        <v>1010</v>
      </c>
      <c r="E2116" t="s">
        <v>397</v>
      </c>
    </row>
    <row r="2117" spans="1:5" x14ac:dyDescent="0.2">
      <c r="A2117" s="269">
        <v>45911.595104166663</v>
      </c>
      <c r="B2117" t="s">
        <v>1431</v>
      </c>
      <c r="C2117" t="s">
        <v>27</v>
      </c>
      <c r="D2117" t="s">
        <v>973</v>
      </c>
      <c r="E2117">
        <v>22.28</v>
      </c>
    </row>
    <row r="2118" spans="1:5" x14ac:dyDescent="0.2">
      <c r="A2118" s="269">
        <v>45911.599062499998</v>
      </c>
      <c r="B2118" t="s">
        <v>1431</v>
      </c>
      <c r="C2118" t="s">
        <v>26</v>
      </c>
      <c r="D2118" t="s">
        <v>1807</v>
      </c>
    </row>
    <row r="2119" spans="1:5" x14ac:dyDescent="0.2">
      <c r="A2119" s="269">
        <v>45911.599097222221</v>
      </c>
      <c r="B2119" t="s">
        <v>1431</v>
      </c>
      <c r="C2119" t="s">
        <v>26</v>
      </c>
      <c r="D2119" t="s">
        <v>1808</v>
      </c>
    </row>
    <row r="2120" spans="1:5" x14ac:dyDescent="0.2">
      <c r="A2120" s="269">
        <v>45911.599120370367</v>
      </c>
      <c r="B2120" t="s">
        <v>1431</v>
      </c>
      <c r="C2120" t="s">
        <v>26</v>
      </c>
      <c r="D2120" t="s">
        <v>1809</v>
      </c>
    </row>
    <row r="2121" spans="1:5" x14ac:dyDescent="0.2">
      <c r="A2121" s="269">
        <v>45911.59915509259</v>
      </c>
      <c r="B2121" t="s">
        <v>1431</v>
      </c>
      <c r="C2121" t="s">
        <v>26</v>
      </c>
      <c r="D2121" t="s">
        <v>1810</v>
      </c>
    </row>
    <row r="2122" spans="1:5" x14ac:dyDescent="0.2">
      <c r="A2122" s="269">
        <v>45911.599259259259</v>
      </c>
      <c r="B2122" t="s">
        <v>1431</v>
      </c>
      <c r="C2122" t="s">
        <v>26</v>
      </c>
      <c r="D2122" t="s">
        <v>1811</v>
      </c>
    </row>
    <row r="2123" spans="1:5" x14ac:dyDescent="0.2">
      <c r="A2123" s="269">
        <v>45911.599282407406</v>
      </c>
      <c r="B2123" t="s">
        <v>1431</v>
      </c>
      <c r="C2123" t="s">
        <v>26</v>
      </c>
      <c r="D2123" t="s">
        <v>1812</v>
      </c>
    </row>
    <row r="2124" spans="1:5" x14ac:dyDescent="0.2">
      <c r="A2124" s="269">
        <v>45911.599305555559</v>
      </c>
      <c r="B2124" t="s">
        <v>1431</v>
      </c>
      <c r="C2124" t="s">
        <v>26</v>
      </c>
      <c r="D2124" t="s">
        <v>1813</v>
      </c>
    </row>
    <row r="2125" spans="1:5" x14ac:dyDescent="0.2">
      <c r="A2125" s="269">
        <v>45911.599351851852</v>
      </c>
      <c r="B2125" t="s">
        <v>1431</v>
      </c>
      <c r="C2125" t="s">
        <v>26</v>
      </c>
      <c r="D2125" t="s">
        <v>1814</v>
      </c>
    </row>
    <row r="2126" spans="1:5" x14ac:dyDescent="0.2">
      <c r="A2126" s="269">
        <v>45911.599374999998</v>
      </c>
      <c r="B2126" t="s">
        <v>1431</v>
      </c>
      <c r="C2126" t="s">
        <v>26</v>
      </c>
      <c r="D2126" t="s">
        <v>1815</v>
      </c>
    </row>
    <row r="2127" spans="1:5" x14ac:dyDescent="0.2">
      <c r="A2127" s="269">
        <v>45911.599421296298</v>
      </c>
      <c r="B2127" t="s">
        <v>1431</v>
      </c>
      <c r="C2127" t="s">
        <v>26</v>
      </c>
      <c r="D2127" t="s">
        <v>1816</v>
      </c>
    </row>
    <row r="2128" spans="1:5" x14ac:dyDescent="0.2">
      <c r="A2128" s="269">
        <v>45911.59951388889</v>
      </c>
      <c r="B2128" t="s">
        <v>1431</v>
      </c>
      <c r="C2128" t="s">
        <v>26</v>
      </c>
      <c r="D2128" t="s">
        <v>1437</v>
      </c>
      <c r="E2128">
        <v>204</v>
      </c>
    </row>
    <row r="2129" spans="1:5" x14ac:dyDescent="0.2">
      <c r="A2129" s="269">
        <v>45911.599942129629</v>
      </c>
      <c r="B2129" t="s">
        <v>1431</v>
      </c>
      <c r="C2129" t="s">
        <v>26</v>
      </c>
      <c r="D2129" t="s">
        <v>937</v>
      </c>
      <c r="E2129" t="s">
        <v>1817</v>
      </c>
    </row>
    <row r="2130" spans="1:5" x14ac:dyDescent="0.2">
      <c r="A2130" s="269">
        <v>45911.599976851852</v>
      </c>
      <c r="B2130" t="s">
        <v>1431</v>
      </c>
      <c r="C2130" t="s">
        <v>26</v>
      </c>
      <c r="D2130" t="s">
        <v>937</v>
      </c>
    </row>
    <row r="2131" spans="1:5" x14ac:dyDescent="0.2">
      <c r="A2131" s="269">
        <v>45911.599976851852</v>
      </c>
      <c r="B2131" t="s">
        <v>1431</v>
      </c>
      <c r="C2131" t="s">
        <v>26</v>
      </c>
      <c r="D2131" t="s">
        <v>1437</v>
      </c>
    </row>
    <row r="2132" spans="1:5" x14ac:dyDescent="0.2">
      <c r="A2132" s="269">
        <v>45911.600208333337</v>
      </c>
      <c r="B2132" t="s">
        <v>1431</v>
      </c>
      <c r="C2132" t="s">
        <v>26</v>
      </c>
      <c r="D2132" t="s">
        <v>937</v>
      </c>
      <c r="E2132" t="s">
        <v>1818</v>
      </c>
    </row>
    <row r="2133" spans="1:5" x14ac:dyDescent="0.2">
      <c r="A2133" s="269">
        <v>45911.600254629629</v>
      </c>
      <c r="B2133" t="s">
        <v>1431</v>
      </c>
      <c r="C2133" t="s">
        <v>26</v>
      </c>
      <c r="D2133" t="s">
        <v>1437</v>
      </c>
      <c r="E2133">
        <v>204</v>
      </c>
    </row>
    <row r="2134" spans="1:5" x14ac:dyDescent="0.2">
      <c r="A2134" s="269">
        <v>45911.60083333333</v>
      </c>
      <c r="B2134" t="s">
        <v>1431</v>
      </c>
      <c r="C2134" t="s">
        <v>26</v>
      </c>
      <c r="D2134" t="s">
        <v>973</v>
      </c>
      <c r="E2134">
        <v>212</v>
      </c>
    </row>
    <row r="2135" spans="1:5" x14ac:dyDescent="0.2">
      <c r="A2135" s="269">
        <v>45911.600902777776</v>
      </c>
      <c r="B2135" t="s">
        <v>1431</v>
      </c>
      <c r="C2135" t="s">
        <v>26</v>
      </c>
      <c r="D2135" t="s">
        <v>976</v>
      </c>
      <c r="E2135">
        <v>215</v>
      </c>
    </row>
    <row r="2136" spans="1:5" x14ac:dyDescent="0.2">
      <c r="A2136" s="269">
        <v>45911.601076388892</v>
      </c>
      <c r="B2136" t="s">
        <v>1431</v>
      </c>
      <c r="C2136" t="s">
        <v>26</v>
      </c>
      <c r="D2136" t="s">
        <v>926</v>
      </c>
      <c r="E2136" t="s">
        <v>1819</v>
      </c>
    </row>
    <row r="2137" spans="1:5" x14ac:dyDescent="0.2">
      <c r="A2137" s="269">
        <v>45911.60125</v>
      </c>
      <c r="B2137" t="s">
        <v>1431</v>
      </c>
      <c r="C2137" t="s">
        <v>26</v>
      </c>
      <c r="D2137" t="s">
        <v>874</v>
      </c>
      <c r="E2137" t="s">
        <v>1820</v>
      </c>
    </row>
    <row r="2138" spans="1:5" x14ac:dyDescent="0.2">
      <c r="A2138" s="269">
        <v>45911.601446759261</v>
      </c>
      <c r="B2138" t="s">
        <v>1431</v>
      </c>
      <c r="C2138" t="s">
        <v>26</v>
      </c>
      <c r="D2138" t="s">
        <v>977</v>
      </c>
      <c r="E2138">
        <v>199</v>
      </c>
    </row>
    <row r="2139" spans="1:5" x14ac:dyDescent="0.2">
      <c r="A2139" s="269">
        <v>45911.601770833331</v>
      </c>
      <c r="B2139" t="s">
        <v>1431</v>
      </c>
      <c r="C2139" t="s">
        <v>26</v>
      </c>
      <c r="D2139" t="s">
        <v>1450</v>
      </c>
      <c r="E2139" t="s">
        <v>1821</v>
      </c>
    </row>
    <row r="2140" spans="1:5" x14ac:dyDescent="0.2">
      <c r="A2140" s="269">
        <v>45911.601851851854</v>
      </c>
      <c r="B2140" t="s">
        <v>1431</v>
      </c>
      <c r="C2140" t="s">
        <v>26</v>
      </c>
      <c r="D2140" t="s">
        <v>923</v>
      </c>
      <c r="E2140">
        <v>216</v>
      </c>
    </row>
    <row r="2141" spans="1:5" x14ac:dyDescent="0.2">
      <c r="A2141" s="269">
        <v>45911.602118055554</v>
      </c>
      <c r="B2141" t="s">
        <v>1431</v>
      </c>
      <c r="C2141" t="s">
        <v>26</v>
      </c>
      <c r="D2141" t="s">
        <v>1451</v>
      </c>
      <c r="E2141" t="s">
        <v>1822</v>
      </c>
    </row>
    <row r="2142" spans="1:5" x14ac:dyDescent="0.2">
      <c r="A2142" s="269">
        <v>45911.602581018517</v>
      </c>
      <c r="B2142" t="s">
        <v>1431</v>
      </c>
      <c r="C2142" t="s">
        <v>26</v>
      </c>
      <c r="D2142" t="s">
        <v>918</v>
      </c>
      <c r="E2142">
        <v>216</v>
      </c>
    </row>
    <row r="2143" spans="1:5" x14ac:dyDescent="0.2">
      <c r="A2143" s="269">
        <v>45911.602777777778</v>
      </c>
      <c r="B2143" t="s">
        <v>1431</v>
      </c>
      <c r="C2143" t="s">
        <v>26</v>
      </c>
      <c r="D2143" t="s">
        <v>1452</v>
      </c>
      <c r="E2143" t="s">
        <v>1823</v>
      </c>
    </row>
    <row r="2144" spans="1:5" x14ac:dyDescent="0.2">
      <c r="A2144" s="269">
        <v>45911.602893518517</v>
      </c>
      <c r="B2144" t="s">
        <v>1431</v>
      </c>
      <c r="C2144" t="s">
        <v>26</v>
      </c>
      <c r="D2144" t="s">
        <v>924</v>
      </c>
      <c r="E2144">
        <v>216</v>
      </c>
    </row>
    <row r="2145" spans="1:5" x14ac:dyDescent="0.2">
      <c r="A2145" s="269">
        <v>45911.603090277778</v>
      </c>
      <c r="B2145" t="s">
        <v>1431</v>
      </c>
      <c r="C2145" t="s">
        <v>26</v>
      </c>
      <c r="D2145" t="s">
        <v>1453</v>
      </c>
      <c r="E2145" t="s">
        <v>1824</v>
      </c>
    </row>
    <row r="2146" spans="1:5" x14ac:dyDescent="0.2">
      <c r="A2146" s="269">
        <v>45911.603206018517</v>
      </c>
      <c r="B2146" t="s">
        <v>1431</v>
      </c>
      <c r="C2146" t="s">
        <v>26</v>
      </c>
      <c r="D2146" t="s">
        <v>1439</v>
      </c>
      <c r="E2146">
        <v>219</v>
      </c>
    </row>
    <row r="2147" spans="1:5" x14ac:dyDescent="0.2">
      <c r="A2147" s="269">
        <v>45911.629143518519</v>
      </c>
      <c r="B2147" t="s">
        <v>1431</v>
      </c>
      <c r="C2147" t="s">
        <v>26</v>
      </c>
      <c r="D2147" t="s">
        <v>1454</v>
      </c>
      <c r="E2147" t="s">
        <v>1824</v>
      </c>
    </row>
    <row r="2148" spans="1:5" x14ac:dyDescent="0.2">
      <c r="A2148" s="269">
        <v>45911.629224537035</v>
      </c>
      <c r="B2148" t="s">
        <v>1431</v>
      </c>
      <c r="C2148" t="s">
        <v>26</v>
      </c>
      <c r="D2148" t="s">
        <v>1454</v>
      </c>
      <c r="E2148" t="s">
        <v>1824</v>
      </c>
    </row>
    <row r="2149" spans="1:5" x14ac:dyDescent="0.2">
      <c r="A2149" s="269">
        <v>45911.629386574074</v>
      </c>
      <c r="B2149" t="s">
        <v>1431</v>
      </c>
      <c r="C2149" t="s">
        <v>26</v>
      </c>
      <c r="D2149" t="s">
        <v>1454</v>
      </c>
      <c r="E2149" t="s">
        <v>1825</v>
      </c>
    </row>
    <row r="2150" spans="1:5" x14ac:dyDescent="0.2">
      <c r="A2150" s="269">
        <v>45911.648321759261</v>
      </c>
      <c r="B2150" t="s">
        <v>1431</v>
      </c>
      <c r="C2150" t="s">
        <v>26</v>
      </c>
      <c r="D2150" t="s">
        <v>1134</v>
      </c>
    </row>
    <row r="2151" spans="1:5" x14ac:dyDescent="0.2">
      <c r="A2151" s="269">
        <v>45911.648321759261</v>
      </c>
      <c r="B2151" t="s">
        <v>1431</v>
      </c>
      <c r="C2151" t="s">
        <v>26</v>
      </c>
      <c r="D2151" t="s">
        <v>1134</v>
      </c>
    </row>
    <row r="2152" spans="1:5" x14ac:dyDescent="0.2">
      <c r="A2152" s="269">
        <v>45911.648379629631</v>
      </c>
      <c r="B2152" t="s">
        <v>1431</v>
      </c>
      <c r="C2152" t="s">
        <v>26</v>
      </c>
      <c r="D2152" t="s">
        <v>1826</v>
      </c>
    </row>
    <row r="2153" spans="1:5" x14ac:dyDescent="0.2">
      <c r="A2153" s="269">
        <v>45911.648449074077</v>
      </c>
      <c r="B2153" t="s">
        <v>1431</v>
      </c>
      <c r="C2153" t="s">
        <v>26</v>
      </c>
      <c r="D2153" t="s">
        <v>1025</v>
      </c>
      <c r="E2153">
        <v>149</v>
      </c>
    </row>
    <row r="2154" spans="1:5" x14ac:dyDescent="0.2">
      <c r="A2154" s="269">
        <v>45911.648819444446</v>
      </c>
      <c r="B2154" t="s">
        <v>1431</v>
      </c>
      <c r="C2154" t="s">
        <v>26</v>
      </c>
      <c r="D2154" t="s">
        <v>978</v>
      </c>
      <c r="E2154">
        <v>150</v>
      </c>
    </row>
    <row r="2155" spans="1:5" x14ac:dyDescent="0.2">
      <c r="A2155" s="269">
        <v>45911.649293981478</v>
      </c>
      <c r="B2155" t="s">
        <v>1431</v>
      </c>
      <c r="C2155" t="s">
        <v>26</v>
      </c>
      <c r="D2155" t="s">
        <v>1571</v>
      </c>
      <c r="E2155">
        <v>155</v>
      </c>
    </row>
    <row r="2156" spans="1:5" x14ac:dyDescent="0.2">
      <c r="A2156" s="269">
        <v>45911.649675925924</v>
      </c>
      <c r="B2156" t="s">
        <v>1431</v>
      </c>
      <c r="C2156" t="s">
        <v>26</v>
      </c>
      <c r="D2156" t="s">
        <v>1574</v>
      </c>
      <c r="E2156">
        <v>150</v>
      </c>
    </row>
    <row r="2157" spans="1:5" x14ac:dyDescent="0.2">
      <c r="A2157" s="269">
        <v>45911.650173611109</v>
      </c>
      <c r="B2157" t="s">
        <v>1431</v>
      </c>
      <c r="C2157" t="s">
        <v>26</v>
      </c>
      <c r="D2157" t="s">
        <v>1577</v>
      </c>
      <c r="E2157">
        <v>150</v>
      </c>
    </row>
    <row r="2158" spans="1:5" x14ac:dyDescent="0.2">
      <c r="A2158" s="269">
        <v>45911.650208333333</v>
      </c>
      <c r="B2158" t="s">
        <v>1431</v>
      </c>
      <c r="C2158" t="s">
        <v>26</v>
      </c>
      <c r="D2158" t="s">
        <v>1580</v>
      </c>
      <c r="E2158">
        <v>150</v>
      </c>
    </row>
    <row r="2159" spans="1:5" x14ac:dyDescent="0.2">
      <c r="A2159" s="269">
        <v>45911.650312500002</v>
      </c>
      <c r="B2159" t="s">
        <v>1431</v>
      </c>
      <c r="C2159" t="s">
        <v>26</v>
      </c>
      <c r="D2159" t="s">
        <v>1583</v>
      </c>
      <c r="E2159">
        <v>150</v>
      </c>
    </row>
    <row r="2160" spans="1:5" x14ac:dyDescent="0.2">
      <c r="A2160" s="269">
        <v>45911.651145833333</v>
      </c>
      <c r="B2160" t="s">
        <v>1431</v>
      </c>
      <c r="C2160" t="s">
        <v>26</v>
      </c>
      <c r="D2160" t="s">
        <v>1586</v>
      </c>
      <c r="E2160">
        <v>148.91999999999999</v>
      </c>
    </row>
    <row r="2161" spans="1:5" x14ac:dyDescent="0.2">
      <c r="A2161" s="269">
        <v>45911.651180555556</v>
      </c>
      <c r="B2161" t="s">
        <v>1431</v>
      </c>
      <c r="C2161" t="s">
        <v>26</v>
      </c>
      <c r="D2161" t="s">
        <v>1583</v>
      </c>
    </row>
    <row r="2162" spans="1:5" x14ac:dyDescent="0.2">
      <c r="A2162" s="269">
        <v>45911.651678240742</v>
      </c>
      <c r="B2162" t="s">
        <v>1431</v>
      </c>
      <c r="C2162" t="s">
        <v>26</v>
      </c>
      <c r="D2162" t="s">
        <v>1583</v>
      </c>
      <c r="E2162">
        <v>150</v>
      </c>
    </row>
    <row r="2163" spans="1:5" x14ac:dyDescent="0.2">
      <c r="A2163" s="269">
        <v>45911.652928240743</v>
      </c>
      <c r="B2163" t="s">
        <v>1431</v>
      </c>
      <c r="C2163" t="s">
        <v>26</v>
      </c>
      <c r="D2163" t="s">
        <v>1134</v>
      </c>
      <c r="E2163" t="s">
        <v>364</v>
      </c>
    </row>
    <row r="2164" spans="1:5" x14ac:dyDescent="0.2">
      <c r="A2164" s="269">
        <v>45911.652974537035</v>
      </c>
      <c r="B2164" t="s">
        <v>1431</v>
      </c>
      <c r="C2164" t="s">
        <v>26</v>
      </c>
      <c r="D2164" t="s">
        <v>1568</v>
      </c>
      <c r="E2164" t="s">
        <v>364</v>
      </c>
    </row>
    <row r="2165" spans="1:5" x14ac:dyDescent="0.2">
      <c r="A2165" s="269">
        <v>45911.653020833335</v>
      </c>
      <c r="B2165" t="s">
        <v>1431</v>
      </c>
      <c r="C2165" t="s">
        <v>26</v>
      </c>
      <c r="D2165" t="s">
        <v>1570</v>
      </c>
      <c r="E2165" t="s">
        <v>364</v>
      </c>
    </row>
    <row r="2166" spans="1:5" x14ac:dyDescent="0.2">
      <c r="A2166" s="269">
        <v>45911.653078703705</v>
      </c>
      <c r="B2166" t="s">
        <v>1431</v>
      </c>
      <c r="C2166" t="s">
        <v>26</v>
      </c>
      <c r="D2166" t="s">
        <v>1573</v>
      </c>
      <c r="E2166" t="s">
        <v>364</v>
      </c>
    </row>
    <row r="2167" spans="1:5" x14ac:dyDescent="0.2">
      <c r="A2167" s="269">
        <v>45911.653113425928</v>
      </c>
      <c r="B2167" t="s">
        <v>1431</v>
      </c>
      <c r="C2167" t="s">
        <v>26</v>
      </c>
      <c r="D2167" t="s">
        <v>1576</v>
      </c>
      <c r="E2167" t="s">
        <v>364</v>
      </c>
    </row>
    <row r="2168" spans="1:5" x14ac:dyDescent="0.2">
      <c r="A2168" s="269">
        <v>45911.65315972222</v>
      </c>
      <c r="B2168" t="s">
        <v>1431</v>
      </c>
      <c r="C2168" t="s">
        <v>26</v>
      </c>
      <c r="D2168" t="s">
        <v>1579</v>
      </c>
      <c r="E2168" t="s">
        <v>364</v>
      </c>
    </row>
    <row r="2169" spans="1:5" x14ac:dyDescent="0.2">
      <c r="A2169" s="269">
        <v>45911.653229166666</v>
      </c>
      <c r="B2169" t="s">
        <v>1431</v>
      </c>
      <c r="C2169" t="s">
        <v>26</v>
      </c>
      <c r="D2169" t="s">
        <v>1582</v>
      </c>
      <c r="E2169" t="s">
        <v>364</v>
      </c>
    </row>
    <row r="2170" spans="1:5" x14ac:dyDescent="0.2">
      <c r="A2170" s="269">
        <v>45911.653275462966</v>
      </c>
      <c r="B2170" t="s">
        <v>1431</v>
      </c>
      <c r="C2170" t="s">
        <v>26</v>
      </c>
      <c r="D2170" t="s">
        <v>1585</v>
      </c>
      <c r="E2170" t="s">
        <v>364</v>
      </c>
    </row>
    <row r="2171" spans="1:5" x14ac:dyDescent="0.2">
      <c r="A2171" s="269">
        <v>45911.653923611113</v>
      </c>
      <c r="B2171" t="s">
        <v>1431</v>
      </c>
      <c r="C2171" t="s">
        <v>28</v>
      </c>
      <c r="D2171" t="s">
        <v>1827</v>
      </c>
    </row>
    <row r="2172" spans="1:5" x14ac:dyDescent="0.2">
      <c r="A2172" s="269">
        <v>45911.653981481482</v>
      </c>
      <c r="B2172" t="s">
        <v>1431</v>
      </c>
      <c r="C2172" t="s">
        <v>28</v>
      </c>
      <c r="D2172" t="s">
        <v>1827</v>
      </c>
      <c r="E2172" t="s">
        <v>397</v>
      </c>
    </row>
    <row r="2173" spans="1:5" x14ac:dyDescent="0.2">
      <c r="A2173" s="269">
        <v>45911.654652777775</v>
      </c>
      <c r="B2173" t="s">
        <v>1431</v>
      </c>
      <c r="C2173" t="s">
        <v>28</v>
      </c>
      <c r="D2173" t="s">
        <v>1828</v>
      </c>
    </row>
    <row r="2174" spans="1:5" x14ac:dyDescent="0.2">
      <c r="A2174" s="269">
        <v>45911.655497685184</v>
      </c>
      <c r="B2174" t="s">
        <v>1431</v>
      </c>
      <c r="C2174" t="s">
        <v>28</v>
      </c>
      <c r="D2174" t="s">
        <v>1437</v>
      </c>
      <c r="E2174">
        <v>479.7</v>
      </c>
    </row>
    <row r="2175" spans="1:5" x14ac:dyDescent="0.2">
      <c r="A2175" s="269">
        <v>45911.655763888892</v>
      </c>
      <c r="B2175" t="s">
        <v>1431</v>
      </c>
      <c r="C2175" t="s">
        <v>28</v>
      </c>
      <c r="D2175" t="s">
        <v>973</v>
      </c>
      <c r="E2175">
        <v>5995</v>
      </c>
    </row>
    <row r="2176" spans="1:5" x14ac:dyDescent="0.2">
      <c r="A2176" s="269">
        <v>45911.662199074075</v>
      </c>
      <c r="B2176" t="s">
        <v>1431</v>
      </c>
      <c r="C2176" t="s">
        <v>28</v>
      </c>
      <c r="D2176" t="s">
        <v>976</v>
      </c>
      <c r="E2176">
        <v>95.4</v>
      </c>
    </row>
    <row r="2177" spans="1:5" x14ac:dyDescent="0.2">
      <c r="A2177" s="269">
        <v>45911.663101851853</v>
      </c>
      <c r="B2177" t="s">
        <v>1431</v>
      </c>
      <c r="C2177" t="s">
        <v>28</v>
      </c>
      <c r="D2177" t="s">
        <v>977</v>
      </c>
      <c r="E2177">
        <v>5977.6</v>
      </c>
    </row>
    <row r="2178" spans="1:5" x14ac:dyDescent="0.2">
      <c r="A2178" s="269">
        <v>45911.663391203707</v>
      </c>
      <c r="B2178" t="s">
        <v>1431</v>
      </c>
      <c r="C2178" t="s">
        <v>28</v>
      </c>
      <c r="D2178" t="s">
        <v>1829</v>
      </c>
    </row>
    <row r="2179" spans="1:5" x14ac:dyDescent="0.2">
      <c r="A2179" s="269">
        <v>45911.663437499999</v>
      </c>
      <c r="B2179" t="s">
        <v>1431</v>
      </c>
      <c r="C2179" t="s">
        <v>28</v>
      </c>
      <c r="D2179" t="s">
        <v>1830</v>
      </c>
    </row>
    <row r="2180" spans="1:5" x14ac:dyDescent="0.2">
      <c r="A2180" s="269">
        <v>45911.663530092592</v>
      </c>
      <c r="B2180" t="s">
        <v>1431</v>
      </c>
      <c r="C2180" t="s">
        <v>28</v>
      </c>
      <c r="D2180" t="s">
        <v>1831</v>
      </c>
    </row>
    <row r="2181" spans="1:5" x14ac:dyDescent="0.2">
      <c r="A2181" s="269">
        <v>45911.663611111115</v>
      </c>
      <c r="B2181" t="s">
        <v>1431</v>
      </c>
      <c r="C2181" t="s">
        <v>28</v>
      </c>
      <c r="D2181" t="s">
        <v>1832</v>
      </c>
    </row>
    <row r="2182" spans="1:5" x14ac:dyDescent="0.2">
      <c r="A2182" s="269">
        <v>45911.69427083333</v>
      </c>
      <c r="B2182" t="s">
        <v>1431</v>
      </c>
      <c r="C2182" t="s">
        <v>28</v>
      </c>
      <c r="D2182" t="s">
        <v>923</v>
      </c>
      <c r="E2182">
        <v>210.7</v>
      </c>
    </row>
    <row r="2183" spans="1:5" x14ac:dyDescent="0.2">
      <c r="A2183" s="269">
        <v>45911.694363425922</v>
      </c>
      <c r="B2183" t="s">
        <v>1431</v>
      </c>
      <c r="C2183" t="s">
        <v>28</v>
      </c>
      <c r="D2183" t="s">
        <v>1451</v>
      </c>
      <c r="E2183" t="s">
        <v>313</v>
      </c>
    </row>
    <row r="2184" spans="1:5" x14ac:dyDescent="0.2">
      <c r="A2184" s="269">
        <v>45911.694513888891</v>
      </c>
      <c r="B2184" t="s">
        <v>1431</v>
      </c>
      <c r="C2184" t="s">
        <v>28</v>
      </c>
      <c r="D2184" t="s">
        <v>747</v>
      </c>
      <c r="E2184" t="s">
        <v>41</v>
      </c>
    </row>
    <row r="2185" spans="1:5" x14ac:dyDescent="0.2">
      <c r="A2185" s="269">
        <v>45911.694618055553</v>
      </c>
      <c r="B2185" t="s">
        <v>1431</v>
      </c>
      <c r="C2185" t="s">
        <v>28</v>
      </c>
      <c r="D2185" t="s">
        <v>1434</v>
      </c>
      <c r="E2185" t="s">
        <v>41</v>
      </c>
    </row>
    <row r="2186" spans="1:5" x14ac:dyDescent="0.2">
      <c r="A2186" s="269">
        <v>45911.694675925923</v>
      </c>
      <c r="B2186" t="s">
        <v>1431</v>
      </c>
      <c r="C2186" t="s">
        <v>28</v>
      </c>
      <c r="D2186" t="s">
        <v>1833</v>
      </c>
    </row>
    <row r="2187" spans="1:5" x14ac:dyDescent="0.2">
      <c r="A2187" s="269">
        <v>45911.696666666663</v>
      </c>
      <c r="B2187" t="s">
        <v>1431</v>
      </c>
      <c r="C2187" t="s">
        <v>28</v>
      </c>
      <c r="D2187" t="s">
        <v>1018</v>
      </c>
      <c r="E2187" t="s">
        <v>318</v>
      </c>
    </row>
    <row r="2188" spans="1:5" x14ac:dyDescent="0.2">
      <c r="A2188" s="269">
        <v>45911.696770833332</v>
      </c>
      <c r="B2188" t="s">
        <v>1431</v>
      </c>
      <c r="C2188" t="s">
        <v>28</v>
      </c>
      <c r="D2188" t="s">
        <v>1068</v>
      </c>
      <c r="E2188" t="s">
        <v>383</v>
      </c>
    </row>
    <row r="2189" spans="1:5" x14ac:dyDescent="0.2">
      <c r="A2189" s="269">
        <v>45911.696932870371</v>
      </c>
      <c r="B2189" t="s">
        <v>1431</v>
      </c>
      <c r="C2189" t="s">
        <v>28</v>
      </c>
      <c r="D2189" t="s">
        <v>918</v>
      </c>
      <c r="E2189">
        <v>5243.29</v>
      </c>
    </row>
    <row r="2190" spans="1:5" x14ac:dyDescent="0.2">
      <c r="A2190" s="269">
        <v>45911.696979166663</v>
      </c>
      <c r="B2190" t="s">
        <v>1431</v>
      </c>
      <c r="C2190" t="s">
        <v>28</v>
      </c>
      <c r="D2190" t="s">
        <v>1452</v>
      </c>
      <c r="E2190" t="s">
        <v>313</v>
      </c>
    </row>
    <row r="2191" spans="1:5" x14ac:dyDescent="0.2">
      <c r="A2191" s="269">
        <v>45911.697175925925</v>
      </c>
      <c r="B2191" t="s">
        <v>1431</v>
      </c>
      <c r="C2191" t="s">
        <v>28</v>
      </c>
      <c r="D2191" t="s">
        <v>1464</v>
      </c>
      <c r="E2191" s="443">
        <v>45911</v>
      </c>
    </row>
    <row r="2192" spans="1:5" x14ac:dyDescent="0.2">
      <c r="A2192" s="269">
        <v>45911.708136574074</v>
      </c>
      <c r="B2192" t="s">
        <v>1431</v>
      </c>
      <c r="C2192" t="s">
        <v>28</v>
      </c>
      <c r="D2192" t="s">
        <v>1834</v>
      </c>
    </row>
    <row r="2193" spans="1:5" x14ac:dyDescent="0.2">
      <c r="A2193" s="269">
        <v>45911.708194444444</v>
      </c>
      <c r="B2193" t="s">
        <v>1431</v>
      </c>
      <c r="C2193" t="s">
        <v>28</v>
      </c>
      <c r="D2193" t="s">
        <v>1835</v>
      </c>
    </row>
    <row r="2194" spans="1:5" x14ac:dyDescent="0.2">
      <c r="A2194" s="269">
        <v>45911.708240740743</v>
      </c>
      <c r="B2194" t="s">
        <v>1431</v>
      </c>
      <c r="C2194" t="s">
        <v>28</v>
      </c>
      <c r="D2194" t="s">
        <v>1836</v>
      </c>
    </row>
    <row r="2195" spans="1:5" x14ac:dyDescent="0.2">
      <c r="A2195" s="269">
        <v>45911.708275462966</v>
      </c>
      <c r="B2195" t="s">
        <v>1431</v>
      </c>
      <c r="C2195" t="s">
        <v>28</v>
      </c>
      <c r="D2195" t="s">
        <v>1837</v>
      </c>
    </row>
    <row r="2196" spans="1:5" x14ac:dyDescent="0.2">
      <c r="A2196" s="269">
        <v>45911.708368055559</v>
      </c>
      <c r="B2196" t="s">
        <v>1431</v>
      </c>
      <c r="C2196" t="s">
        <v>28</v>
      </c>
      <c r="D2196" t="s">
        <v>795</v>
      </c>
      <c r="E2196" t="s">
        <v>362</v>
      </c>
    </row>
    <row r="2197" spans="1:5" x14ac:dyDescent="0.2">
      <c r="A2197" s="269">
        <v>45911.708495370367</v>
      </c>
      <c r="B2197" t="s">
        <v>1431</v>
      </c>
      <c r="C2197" t="s">
        <v>28</v>
      </c>
      <c r="D2197" t="s">
        <v>994</v>
      </c>
      <c r="E2197" t="s">
        <v>317</v>
      </c>
    </row>
    <row r="2198" spans="1:5" x14ac:dyDescent="0.2">
      <c r="A2198" s="269">
        <v>45911.708668981482</v>
      </c>
      <c r="B2198" t="s">
        <v>1431</v>
      </c>
      <c r="C2198" t="s">
        <v>28</v>
      </c>
      <c r="D2198" t="s">
        <v>976</v>
      </c>
      <c r="E2198">
        <v>49.5</v>
      </c>
    </row>
    <row r="2199" spans="1:5" x14ac:dyDescent="0.2">
      <c r="A2199" s="269">
        <v>45911.708784722221</v>
      </c>
      <c r="B2199" t="s">
        <v>1431</v>
      </c>
      <c r="C2199" t="s">
        <v>28</v>
      </c>
      <c r="D2199" t="s">
        <v>874</v>
      </c>
      <c r="E2199" t="s">
        <v>345</v>
      </c>
    </row>
    <row r="2200" spans="1:5" x14ac:dyDescent="0.2">
      <c r="A2200" s="269">
        <v>45911.70888888889</v>
      </c>
      <c r="B2200" t="s">
        <v>1431</v>
      </c>
      <c r="C2200" t="s">
        <v>28</v>
      </c>
      <c r="D2200" t="s">
        <v>1013</v>
      </c>
      <c r="E2200" t="s">
        <v>386</v>
      </c>
    </row>
    <row r="2201" spans="1:5" x14ac:dyDescent="0.2">
      <c r="A2201" s="269">
        <v>45911.709131944444</v>
      </c>
      <c r="B2201" t="s">
        <v>1431</v>
      </c>
      <c r="C2201" t="s">
        <v>28</v>
      </c>
      <c r="D2201" t="s">
        <v>1015</v>
      </c>
      <c r="E2201" t="s">
        <v>318</v>
      </c>
    </row>
    <row r="2202" spans="1:5" x14ac:dyDescent="0.2">
      <c r="A2202" s="269">
        <v>45911.709236111114</v>
      </c>
      <c r="B2202" t="s">
        <v>1431</v>
      </c>
      <c r="C2202" t="s">
        <v>28</v>
      </c>
      <c r="D2202" t="s">
        <v>977</v>
      </c>
      <c r="E2202">
        <v>95.4</v>
      </c>
    </row>
    <row r="2203" spans="1:5" x14ac:dyDescent="0.2">
      <c r="A2203" s="269">
        <v>45911.709270833337</v>
      </c>
      <c r="B2203" t="s">
        <v>1431</v>
      </c>
      <c r="C2203" t="s">
        <v>28</v>
      </c>
      <c r="D2203" t="s">
        <v>1450</v>
      </c>
      <c r="E2203" t="s">
        <v>313</v>
      </c>
    </row>
    <row r="2204" spans="1:5" x14ac:dyDescent="0.2">
      <c r="A2204" s="269">
        <v>45911.709328703706</v>
      </c>
      <c r="B2204" t="s">
        <v>1431</v>
      </c>
      <c r="C2204" t="s">
        <v>28</v>
      </c>
      <c r="D2204" t="s">
        <v>747</v>
      </c>
      <c r="E2204" t="s">
        <v>386</v>
      </c>
    </row>
    <row r="2205" spans="1:5" x14ac:dyDescent="0.2">
      <c r="A2205" s="269">
        <v>45911.709374999999</v>
      </c>
      <c r="B2205" t="s">
        <v>1431</v>
      </c>
      <c r="C2205" t="s">
        <v>28</v>
      </c>
      <c r="D2205" t="s">
        <v>1018</v>
      </c>
      <c r="E2205" t="s">
        <v>383</v>
      </c>
    </row>
    <row r="2206" spans="1:5" x14ac:dyDescent="0.2">
      <c r="A2206" s="269">
        <v>45911.709537037037</v>
      </c>
      <c r="B2206" t="s">
        <v>1431</v>
      </c>
      <c r="C2206" t="s">
        <v>28</v>
      </c>
      <c r="D2206" t="s">
        <v>923</v>
      </c>
      <c r="E2206">
        <v>5977.6</v>
      </c>
    </row>
    <row r="2207" spans="1:5" x14ac:dyDescent="0.2">
      <c r="A2207" s="269">
        <v>45911.70957175926</v>
      </c>
      <c r="B2207" t="s">
        <v>1431</v>
      </c>
      <c r="C2207" t="s">
        <v>28</v>
      </c>
      <c r="D2207" t="s">
        <v>1451</v>
      </c>
      <c r="E2207" t="s">
        <v>313</v>
      </c>
    </row>
    <row r="2208" spans="1:5" x14ac:dyDescent="0.2">
      <c r="A2208" s="269">
        <v>45911.709780092591</v>
      </c>
      <c r="B2208" t="s">
        <v>1431</v>
      </c>
      <c r="C2208" t="s">
        <v>28</v>
      </c>
      <c r="D2208" t="s">
        <v>1434</v>
      </c>
      <c r="E2208" t="s">
        <v>41</v>
      </c>
    </row>
    <row r="2209" spans="1:5" x14ac:dyDescent="0.2">
      <c r="A2209" s="269">
        <v>45911.70988425926</v>
      </c>
      <c r="B2209" t="s">
        <v>1431</v>
      </c>
      <c r="C2209" t="s">
        <v>28</v>
      </c>
      <c r="D2209" t="s">
        <v>1434</v>
      </c>
      <c r="E2209" t="s">
        <v>386</v>
      </c>
    </row>
    <row r="2210" spans="1:5" x14ac:dyDescent="0.2">
      <c r="A2210" s="269">
        <v>45911.709988425922</v>
      </c>
      <c r="B2210" t="s">
        <v>1431</v>
      </c>
      <c r="C2210" t="s">
        <v>28</v>
      </c>
      <c r="D2210" t="s">
        <v>1068</v>
      </c>
      <c r="E2210" t="s">
        <v>317</v>
      </c>
    </row>
    <row r="2211" spans="1:5" x14ac:dyDescent="0.2">
      <c r="A2211" s="269">
        <v>45911.710069444445</v>
      </c>
      <c r="B2211" t="s">
        <v>1431</v>
      </c>
      <c r="C2211" t="s">
        <v>28</v>
      </c>
      <c r="D2211" t="s">
        <v>918</v>
      </c>
      <c r="E2211">
        <v>60</v>
      </c>
    </row>
    <row r="2212" spans="1:5" x14ac:dyDescent="0.2">
      <c r="A2212" s="269">
        <v>45911.710127314815</v>
      </c>
      <c r="B2212" t="s">
        <v>1431</v>
      </c>
      <c r="C2212" t="s">
        <v>28</v>
      </c>
      <c r="D2212" t="s">
        <v>1452</v>
      </c>
      <c r="E2212" t="s">
        <v>345</v>
      </c>
    </row>
    <row r="2213" spans="1:5" x14ac:dyDescent="0.2">
      <c r="A2213" s="269">
        <v>45911.710219907407</v>
      </c>
      <c r="B2213" t="s">
        <v>1431</v>
      </c>
      <c r="C2213" t="s">
        <v>28</v>
      </c>
      <c r="D2213" t="s">
        <v>1435</v>
      </c>
      <c r="E2213" t="s">
        <v>41</v>
      </c>
    </row>
    <row r="2214" spans="1:5" x14ac:dyDescent="0.2">
      <c r="A2214" s="269">
        <v>45911.710324074076</v>
      </c>
      <c r="B2214" t="s">
        <v>1431</v>
      </c>
      <c r="C2214" t="s">
        <v>28</v>
      </c>
      <c r="D2214" t="s">
        <v>1069</v>
      </c>
      <c r="E2214" t="s">
        <v>318</v>
      </c>
    </row>
    <row r="2215" spans="1:5" x14ac:dyDescent="0.2">
      <c r="A2215" s="269">
        <v>45911.710451388892</v>
      </c>
      <c r="B2215" t="s">
        <v>1431</v>
      </c>
      <c r="C2215" t="s">
        <v>28</v>
      </c>
      <c r="D2215" t="s">
        <v>924</v>
      </c>
      <c r="E2215">
        <v>210.7</v>
      </c>
    </row>
    <row r="2216" spans="1:5" x14ac:dyDescent="0.2">
      <c r="A2216" s="269">
        <v>45911.710520833331</v>
      </c>
      <c r="B2216" t="s">
        <v>1431</v>
      </c>
      <c r="C2216" t="s">
        <v>28</v>
      </c>
      <c r="D2216" t="s">
        <v>1453</v>
      </c>
      <c r="E2216" t="s">
        <v>313</v>
      </c>
    </row>
    <row r="2217" spans="1:5" x14ac:dyDescent="0.2">
      <c r="A2217" s="269">
        <v>45911.710601851853</v>
      </c>
      <c r="B2217" t="s">
        <v>1431</v>
      </c>
      <c r="C2217" t="s">
        <v>28</v>
      </c>
      <c r="D2217" t="s">
        <v>1436</v>
      </c>
      <c r="E2217" t="s">
        <v>41</v>
      </c>
    </row>
    <row r="2218" spans="1:5" x14ac:dyDescent="0.2">
      <c r="A2218" s="269">
        <v>45911.710717592592</v>
      </c>
      <c r="B2218" t="s">
        <v>1431</v>
      </c>
      <c r="C2218" t="s">
        <v>28</v>
      </c>
      <c r="D2218" t="s">
        <v>1438</v>
      </c>
      <c r="E2218" t="s">
        <v>383</v>
      </c>
    </row>
    <row r="2219" spans="1:5" x14ac:dyDescent="0.2">
      <c r="A2219" s="269">
        <v>45911.710844907408</v>
      </c>
      <c r="B2219" t="s">
        <v>1431</v>
      </c>
      <c r="C2219" t="s">
        <v>28</v>
      </c>
      <c r="D2219" t="s">
        <v>1439</v>
      </c>
      <c r="E2219">
        <v>5243.29</v>
      </c>
    </row>
    <row r="2220" spans="1:5" x14ac:dyDescent="0.2">
      <c r="A2220" s="269">
        <v>45911.710902777777</v>
      </c>
      <c r="B2220" t="s">
        <v>1431</v>
      </c>
      <c r="C2220" t="s">
        <v>28</v>
      </c>
      <c r="D2220" t="s">
        <v>1454</v>
      </c>
      <c r="E2220" t="s">
        <v>313</v>
      </c>
    </row>
    <row r="2221" spans="1:5" x14ac:dyDescent="0.2">
      <c r="A2221" s="269">
        <v>45911.710972222223</v>
      </c>
      <c r="B2221" t="s">
        <v>1431</v>
      </c>
      <c r="C2221" t="s">
        <v>28</v>
      </c>
      <c r="D2221" t="s">
        <v>672</v>
      </c>
      <c r="E2221" t="s">
        <v>41</v>
      </c>
    </row>
    <row r="2222" spans="1:5" x14ac:dyDescent="0.2">
      <c r="A2222" s="269">
        <v>45911.711030092592</v>
      </c>
      <c r="B2222" t="s">
        <v>1431</v>
      </c>
      <c r="C2222" t="s">
        <v>28</v>
      </c>
      <c r="D2222" t="s">
        <v>1443</v>
      </c>
      <c r="E2222" t="s">
        <v>317</v>
      </c>
    </row>
    <row r="2223" spans="1:5" x14ac:dyDescent="0.2">
      <c r="A2223" s="269">
        <v>45911.711296296293</v>
      </c>
      <c r="B2223" t="s">
        <v>1431</v>
      </c>
      <c r="C2223" t="s">
        <v>28</v>
      </c>
      <c r="D2223" t="s">
        <v>981</v>
      </c>
      <c r="E2223">
        <v>14</v>
      </c>
    </row>
    <row r="2224" spans="1:5" x14ac:dyDescent="0.2">
      <c r="A2224" s="269">
        <v>45911.711400462962</v>
      </c>
      <c r="B2224" t="s">
        <v>1431</v>
      </c>
      <c r="C2224" t="s">
        <v>28</v>
      </c>
      <c r="D2224" t="s">
        <v>1455</v>
      </c>
      <c r="E2224" t="s">
        <v>345</v>
      </c>
    </row>
    <row r="2225" spans="1:5" x14ac:dyDescent="0.2">
      <c r="A2225" s="269">
        <v>45911.717199074075</v>
      </c>
      <c r="B2225" t="s">
        <v>1431</v>
      </c>
      <c r="C2225" t="s">
        <v>28</v>
      </c>
      <c r="D2225" t="s">
        <v>658</v>
      </c>
      <c r="E2225" t="s">
        <v>1838</v>
      </c>
    </row>
    <row r="2226" spans="1:5" x14ac:dyDescent="0.2">
      <c r="A2226" s="269">
        <v>45911.717222222222</v>
      </c>
      <c r="B2226" t="s">
        <v>1431</v>
      </c>
      <c r="C2226" t="s">
        <v>28</v>
      </c>
      <c r="D2226" t="s">
        <v>1629</v>
      </c>
      <c r="E2226" t="s">
        <v>1838</v>
      </c>
    </row>
    <row r="2227" spans="1:5" x14ac:dyDescent="0.2">
      <c r="A2227" s="269">
        <v>45911.717233796298</v>
      </c>
      <c r="B2227" t="s">
        <v>1431</v>
      </c>
      <c r="C2227" t="s">
        <v>28</v>
      </c>
      <c r="D2227" t="s">
        <v>996</v>
      </c>
      <c r="E2227" t="s">
        <v>1838</v>
      </c>
    </row>
    <row r="2228" spans="1:5" x14ac:dyDescent="0.2">
      <c r="A2228" s="269">
        <v>45911.717256944445</v>
      </c>
      <c r="B2228" t="s">
        <v>1431</v>
      </c>
      <c r="C2228" t="s">
        <v>28</v>
      </c>
      <c r="D2228" t="s">
        <v>1633</v>
      </c>
      <c r="E2228" t="s">
        <v>1838</v>
      </c>
    </row>
    <row r="2229" spans="1:5" x14ac:dyDescent="0.2">
      <c r="A2229" s="269">
        <v>45911.717268518521</v>
      </c>
      <c r="B2229" t="s">
        <v>1431</v>
      </c>
      <c r="C2229" t="s">
        <v>28</v>
      </c>
      <c r="D2229" t="s">
        <v>1019</v>
      </c>
      <c r="E2229" t="s">
        <v>1838</v>
      </c>
    </row>
    <row r="2230" spans="1:5" x14ac:dyDescent="0.2">
      <c r="A2230" s="269">
        <v>45911.717291666668</v>
      </c>
      <c r="B2230" t="s">
        <v>1431</v>
      </c>
      <c r="C2230" t="s">
        <v>28</v>
      </c>
      <c r="D2230" t="s">
        <v>1634</v>
      </c>
      <c r="E2230" t="s">
        <v>1838</v>
      </c>
    </row>
    <row r="2231" spans="1:5" x14ac:dyDescent="0.2">
      <c r="A2231" s="269">
        <v>45911.717303240737</v>
      </c>
      <c r="B2231" t="s">
        <v>1431</v>
      </c>
      <c r="C2231" t="s">
        <v>28</v>
      </c>
      <c r="D2231" t="s">
        <v>1635</v>
      </c>
      <c r="E2231" t="s">
        <v>1838</v>
      </c>
    </row>
    <row r="2232" spans="1:5" x14ac:dyDescent="0.2">
      <c r="A2232" s="269">
        <v>45911.717314814814</v>
      </c>
      <c r="B2232" t="s">
        <v>1431</v>
      </c>
      <c r="C2232" t="s">
        <v>28</v>
      </c>
      <c r="D2232" t="s">
        <v>1773</v>
      </c>
      <c r="E2232" t="s">
        <v>1838</v>
      </c>
    </row>
    <row r="2233" spans="1:5" x14ac:dyDescent="0.2">
      <c r="A2233" s="269">
        <v>45911.717361111114</v>
      </c>
      <c r="B2233" t="s">
        <v>1431</v>
      </c>
      <c r="C2233" t="s">
        <v>28</v>
      </c>
      <c r="D2233" t="s">
        <v>1839</v>
      </c>
      <c r="E2233" t="s">
        <v>1838</v>
      </c>
    </row>
    <row r="2234" spans="1:5" x14ac:dyDescent="0.2">
      <c r="A2234" s="269">
        <v>45911.72079861111</v>
      </c>
      <c r="B2234" t="s">
        <v>1431</v>
      </c>
      <c r="C2234" t="s">
        <v>597</v>
      </c>
      <c r="D2234" t="s">
        <v>1806</v>
      </c>
      <c r="E2234" t="s">
        <v>39</v>
      </c>
    </row>
    <row r="2235" spans="1:5" x14ac:dyDescent="0.2">
      <c r="A2235" s="269">
        <v>45911.721412037034</v>
      </c>
      <c r="B2235" t="s">
        <v>1431</v>
      </c>
      <c r="C2235" t="s">
        <v>27</v>
      </c>
      <c r="D2235" t="s">
        <v>956</v>
      </c>
      <c r="E2235" t="s">
        <v>1840</v>
      </c>
    </row>
    <row r="2236" spans="1:5" x14ac:dyDescent="0.2">
      <c r="A2236" s="269">
        <v>45911.721770833334</v>
      </c>
      <c r="B2236" t="s">
        <v>1431</v>
      </c>
      <c r="C2236" t="s">
        <v>27</v>
      </c>
      <c r="D2236" t="s">
        <v>658</v>
      </c>
      <c r="E2236" t="s">
        <v>1841</v>
      </c>
    </row>
    <row r="2237" spans="1:5" x14ac:dyDescent="0.2">
      <c r="A2237" s="269">
        <v>45911.721886574072</v>
      </c>
      <c r="B2237" t="s">
        <v>1431</v>
      </c>
      <c r="C2237" t="s">
        <v>27</v>
      </c>
      <c r="D2237" t="s">
        <v>956</v>
      </c>
      <c r="E2237" t="s">
        <v>1842</v>
      </c>
    </row>
    <row r="2238" spans="1:5" x14ac:dyDescent="0.2">
      <c r="A2238" s="269">
        <v>45911.72216435185</v>
      </c>
      <c r="B2238" t="s">
        <v>1431</v>
      </c>
      <c r="C2238" t="s">
        <v>27</v>
      </c>
      <c r="D2238" t="s">
        <v>1629</v>
      </c>
      <c r="E2238" t="s">
        <v>1843</v>
      </c>
    </row>
    <row r="2239" spans="1:5" x14ac:dyDescent="0.2">
      <c r="A2239" s="269">
        <v>45916.910694444443</v>
      </c>
      <c r="B2239" t="s">
        <v>596</v>
      </c>
      <c r="C2239" t="s">
        <v>597</v>
      </c>
      <c r="D2239" t="s">
        <v>1806</v>
      </c>
      <c r="E2239" t="s">
        <v>39</v>
      </c>
    </row>
    <row r="2240" spans="1:5" x14ac:dyDescent="0.2">
      <c r="A2240" s="269">
        <v>45916.910891203705</v>
      </c>
      <c r="B2240" t="s">
        <v>596</v>
      </c>
      <c r="C2240" t="s">
        <v>27</v>
      </c>
      <c r="D2240" t="s">
        <v>1844</v>
      </c>
    </row>
    <row r="2241" spans="1:5" x14ac:dyDescent="0.2">
      <c r="A2241" s="269">
        <v>45916.910925925928</v>
      </c>
      <c r="B2241" t="s">
        <v>596</v>
      </c>
      <c r="C2241" t="s">
        <v>27</v>
      </c>
      <c r="D2241" t="s">
        <v>1845</v>
      </c>
      <c r="E2241" t="s">
        <v>53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1. Data Info and Summary</vt:lpstr>
      <vt:lpstr>2.1a Fuel - Buildings</vt:lpstr>
      <vt:lpstr>2.1b Fuel - Vehicles</vt:lpstr>
      <vt:lpstr>2.2 Refrigerants</vt:lpstr>
      <vt:lpstr>2.3a Electricity</vt:lpstr>
      <vt:lpstr>Sheet1</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2025-09-16T13:51:44Z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