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Zamboanga Branch/"/>
    </mc:Choice>
  </mc:AlternateContent>
  <xr:revisionPtr revIDLastSave="0" documentId="13_ncr:1_{B6B2D82E-D43B-1C4F-9CF6-1E9EB7C453C6}" xr6:coauthVersionLast="47" xr6:coauthVersionMax="47" xr10:uidLastSave="{00000000-0000-0000-0000-000000000000}"/>
  <bookViews>
    <workbookView xWindow="0" yWindow="660" windowWidth="29400" windowHeight="14720" tabRatio="781" activeTab="3"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1300" r:id="rId19"/>
    <pivotCache cacheId="1301" r:id="rId20"/>
    <pivotCache cacheId="1302" r:id="rId21"/>
    <pivotCache cacheId="1303" r:id="rId22"/>
    <pivotCache cacheId="1304" r:id="rId23"/>
    <pivotCache cacheId="1312"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N11"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10" i="40"/>
  <c r="I11" i="40" s="1"/>
  <c r="I12" i="40" s="1"/>
  <c r="I13" i="40" s="1"/>
  <c r="I14" i="40" s="1"/>
  <c r="I15" i="40" s="1"/>
  <c r="I16" i="40" s="1"/>
  <c r="I17" i="40" s="1"/>
  <c r="I18" i="40" s="1"/>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F13" i="38"/>
  <c r="E13" i="38"/>
  <c r="D13"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D11" i="38" s="1"/>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9" i="50" s="1"/>
  <c r="I10" i="50" s="1"/>
  <c r="I11" i="50" s="1"/>
  <c r="I19" i="40"/>
  <c r="I20" i="40" s="1"/>
  <c r="I21" i="40" s="1"/>
  <c r="I22" i="40" s="1"/>
  <c r="I23" i="40" s="1"/>
  <c r="I24" i="40" s="1"/>
  <c r="I25"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E11" i="38" l="1"/>
  <c r="F11" i="38"/>
  <c r="G11" i="38"/>
  <c r="E12" i="38"/>
  <c r="G12" i="38"/>
  <c r="F12" i="38"/>
  <c r="D12" i="38"/>
  <c r="D12" i="39"/>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E13" i="37" l="1"/>
  <c r="F13" i="37"/>
  <c r="D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2" i="44" l="1"/>
  <c r="F12" i="44"/>
  <c r="E12" i="44"/>
  <c r="D12" i="44"/>
  <c r="G11" i="44"/>
  <c r="F11" i="44"/>
  <c r="D11" i="44"/>
  <c r="E11"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3" i="34" l="1"/>
  <c r="E13" i="34"/>
  <c r="F13" i="34"/>
  <c r="G13" i="34"/>
  <c r="D14" i="34"/>
  <c r="E14" i="34"/>
  <c r="F14" i="34"/>
  <c r="G14" i="34"/>
  <c r="F12" i="34"/>
  <c r="D12" i="34"/>
  <c r="G12" i="34"/>
  <c r="E12" i="34"/>
  <c r="F11" i="34"/>
  <c r="G11" i="34"/>
  <c r="E11" i="34"/>
  <c r="D11" i="34"/>
  <c r="G15" i="34"/>
  <c r="E15" i="34"/>
  <c r="F15" i="34"/>
  <c r="D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<sst xmlns="http://schemas.openxmlformats.org/spreadsheetml/2006/main" count="6607" uniqueCount="1564">
  <si>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</si>
  <si>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</si>
  <si>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</si>
  <si>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</si>
  <si>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</si>
  <si>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</si>
  <si>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</si>
  <si>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</si>
  <si>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</si>
  <si>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</si>
  <si>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</si>
  <si>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</si>
  <si>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</si>
  <si>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</si>
  <si>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</si>
  <si>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</si>
  <si>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</si>
  <si>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</si>
  <si>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</si>
  <si>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</si>
  <si>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</si>
  <si>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</si>
  <si>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</si>
  <si>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</si>
  <si>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</si>
  <si>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</si>
  <si>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</si>
  <si>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</si>
  <si>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</si>
  <si>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</si>
  <si>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</si>
  <si>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</si>
  <si>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</si>
  <si>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</si>
  <si>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</si>
  <si>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</si>
  <si>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</si>
  <si>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</si>
  <si>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</si>
  <si>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</si>
  <si>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</si>
  <si>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</si>
  <si>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</si>
  <si>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</si>
  <si>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</si>
  <si>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</si>
  <si>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</si>
  <si>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</si>
  <si>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</si>
  <si>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</si>
  <si>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</si>
  <si>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</si>
  <si>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</si>
  <si>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</si>
  <si>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</si>
  <si>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</si>
  <si>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</si>
  <si>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</si>
  <si>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</si>
  <si>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</si>
  <si>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</si>
  <si>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</si>
  <si>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</si>
  <si>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</si>
  <si>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</si>
  <si>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</si>
  <si>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</si>
  <si>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</si>
  <si>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</si>
  <si>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</si>
  <si>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</si>
  <si>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</si>
  <si>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</si>
  <si>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</si>
  <si>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</si>
  <si>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</si>
  <si>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</si>
  <si>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</si>
  <si>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</si>
  <si>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</si>
  <si>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</si>
  <si>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</si>
  <si>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</si>
  <si>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</si>
  <si>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</si>
  <si>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</si>
  <si>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</si>
  <si>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</si>
  <si>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</si>
  <si>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</si>
  <si>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</si>
  <si>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</si>
  <si>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</si>
  <si>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</si>
  <si>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</si>
  <si>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</si>
  <si>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</si>
  <si>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</si>
  <si>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</si>
  <si>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</si>
  <si>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</si>
  <si>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</si>
  <si>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</si>
  <si>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</si>
  <si>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</si>
  <si>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</si>
  <si>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</si>
  <si>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</si>
  <si>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</si>
  <si>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</si>
  <si>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</si>
  <si>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</si>
  <si>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</si>
  <si>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</si>
  <si>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</si>
  <si>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</si>
  <si>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</si>
  <si>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</si>
  <si>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</si>
  <si>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</si>
  <si>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</si>
  <si>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</si>
  <si>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</si>
  <si>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</si>
  <si>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</si>
  <si>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</si>
  <si>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</si>
  <si>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</si>
  <si>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</si>
  <si>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</si>
  <si>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</si>
  <si>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</si>
  <si>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</si>
  <si>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</si>
  <si>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</si>
  <si>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</si>
  <si>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</si>
  <si>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</si>
  <si>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</si>
  <si>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</si>
  <si>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</si>
  <si>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</si>
  <si>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</si>
  <si>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</si>
  <si>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</si>
  <si>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</si>
  <si>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</si>
  <si>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</si>
  <si>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</si>
  <si>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</si>
  <si>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</si>
  <si>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</si>
  <si>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</si>
  <si>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</si>
  <si>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</si>
  <si>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</si>
  <si>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</si>
  <si>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</si>
  <si>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</si>
  <si>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</si>
  <si>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</si>
  <si>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</si>
  <si>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</si>
  <si>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</si>
  <si>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</si>
  <si>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</si>
  <si>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</si>
  <si>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</si>
  <si>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</si>
  <si>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</si>
  <si>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</si>
  <si>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</si>
  <si>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</si>
  <si>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</si>
  <si>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</si>
  <si>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</si>
  <si>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</si>
  <si>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</si>
  <si>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</si>
  <si>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</si>
  <si>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</si>
  <si>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</si>
  <si>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</si>
  <si>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</si>
  <si>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</si>
  <si>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</si>
  <si>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</si>
  <si>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</si>
  <si>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</si>
  <si>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</si>
  <si>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</si>
  <si>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</si>
  <si>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</si>
  <si>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</si>
  <si>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</si>
  <si>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</si>
  <si>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</si>
  <si>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</si>
  <si>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</si>
  <si>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</si>
  <si>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</si>
  <si>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</si>
  <si>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</si>
  <si>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</si>
  <si>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</si>
  <si>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</si>
  <si>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</si>
  <si>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</si>
  <si>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</si>
  <si>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</si>
  <si>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</si>
  <si>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</si>
  <si>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</si>
  <si>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</si>
  <si>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</si>
  <si>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</si>
  <si>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</si>
  <si>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</si>
  <si>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</si>
  <si>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</si>
  <si>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</si>
  <si>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</si>
  <si>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</si>
  <si>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</si>
  <si>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</si>
  <si>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</si>
  <si>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</si>
  <si>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</si>
  <si>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</si>
  <si>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</si>
  <si>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</si>
  <si>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</si>
  <si>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</si>
  <si>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</si>
  <si>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</si>
  <si>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</si>
  <si>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</si>
  <si>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</si>
  <si>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</si>
  <si>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</si>
  <si>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</si>
  <si>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</si>
  <si>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</si>
  <si>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</si>
  <si>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</si>
  <si>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</si>
  <si>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</si>
  <si>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</si>
  <si>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</si>
  <si>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</si>
  <si>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</si>
  <si>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</si>
  <si>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</si>
  <si>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</si>
  <si>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</si>
  <si>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</si>
  <si>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</si>
  <si>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</si>
  <si>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</si>
  <si>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</si>
  <si>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</si>
  <si>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</si>
  <si>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</si>
  <si>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</si>
  <si>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</si>
  <si>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</si>
  <si>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</si>
  <si>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</si>
  <si>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</si>
  <si>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</si>
  <si>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</si>
  <si>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</si>
  <si>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</si>
  <si>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</si>
  <si>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</si>
  <si>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</si>
  <si>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</si>
  <si>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</si>
  <si>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</si>
  <si>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</si>
  <si>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</si>
  <si>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</si>
  <si>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</si>
  <si>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</si>
  <si>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</si>
  <si>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</si>
  <si>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</si>
  <si>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</si>
  <si>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</si>
  <si>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</si>
  <si>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</si>
  <si>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</si>
  <si>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</si>
  <si>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</si>
  <si>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</si>
  <si>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</si>
  <si>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</si>
  <si>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</si>
  <si>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</si>
  <si>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</si>
  <si>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</si>
  <si>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</si>
  <si>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</si>
  <si>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</si>
  <si>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</si>
  <si>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</si>
  <si>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</si>
  <si>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</si>
  <si>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</si>
  <si>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</si>
  <si>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</si>
  <si>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</si>
  <si>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</si>
  <si>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</si>
  <si>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</si>
  <si>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</si>
  <si>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</si>
  <si>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</si>
  <si>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</si>
  <si>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</si>
  <si>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</si>
  <si>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</si>
  <si>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</si>
  <si>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</si>
  <si>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</si>
  <si>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</si>
  <si>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</si>
  <si>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</si>
  <si>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</si>
  <si>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</si>
  <si>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</si>
  <si>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</si>
  <si>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</si>
  <si>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</si>
  <si>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</si>
  <si>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</si>
  <si>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</si>
  <si>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</si>
  <si>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</si>
  <si>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</si>
  <si>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</si>
  <si>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</si>
  <si>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</si>
  <si>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</si>
  <si>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</si>
  <si>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</si>
  <si>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</si>
  <si>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</si>
  <si>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</si>
  <si>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</si>
  <si>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</si>
  <si>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</si>
  <si>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</si>
  <si>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</si>
  <si>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</si>
  <si>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</si>
  <si>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</si>
  <si>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</si>
  <si>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</si>
  <si>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</si>
  <si>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</si>
  <si>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</si>
  <si>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</si>
  <si>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</si>
  <si>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</si>
  <si>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</si>
  <si>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</si>
  <si>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</si>
  <si>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</si>
  <si>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</si>
  <si>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</si>
  <si>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</si>
  <si>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</si>
  <si>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</si>
  <si>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</si>
  <si>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</si>
  <si>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</si>
  <si>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</si>
  <si>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</si>
  <si>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</si>
  <si>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</si>
  <si>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</si>
  <si>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</si>
  <si>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</si>
  <si>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</si>
  <si>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</si>
  <si>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</si>
  <si>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</si>
  <si>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</si>
  <si>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</si>
  <si>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</si>
  <si>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</si>
  <si>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</si>
  <si>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</si>
  <si>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</si>
  <si>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</si>
  <si>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</si>
  <si>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</si>
  <si>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</si>
  <si>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</si>
  <si>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</si>
  <si>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</si>
  <si>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</si>
  <si>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</si>
  <si>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</si>
  <si>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</si>
  <si>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</si>
  <si>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</si>
  <si>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</si>
  <si>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</si>
  <si>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</si>
  <si>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</si>
  <si>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</si>
  <si>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</si>
  <si>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</si>
  <si>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</si>
  <si>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</si>
  <si>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</si>
  <si>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</si>
  <si>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</si>
  <si>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</si>
  <si>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</si>
  <si>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</si>
  <si>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</si>
  <si>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</si>
  <si>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</si>
  <si>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</si>
  <si>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</si>
  <si>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</si>
  <si>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</si>
  <si>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</si>
  <si>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</si>
  <si>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</si>
  <si>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</si>
  <si>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</si>
  <si>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</si>
  <si>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</si>
  <si>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</si>
  <si>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</si>
  <si>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</si>
  <si>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</si>
  <si>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</si>
  <si>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</si>
  <si>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</si>
  <si>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</si>
  <si>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</si>
  <si>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</si>
  <si>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</si>
  <si>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</si>
  <si>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</si>
  <si>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</si>
  <si>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</si>
  <si>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</si>
  <si>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</si>
  <si>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</si>
  <si>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</si>
  <si>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</si>
  <si>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</si>
  <si>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</si>
  <si>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</si>
  <si>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</si>
  <si>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</si>
  <si>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</si>
  <si>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</si>
  <si>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</si>
  <si>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</si>
  <si>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</si>
  <si>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</si>
  <si>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</si>
  <si>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</si>
  <si>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</si>
  <si>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</si>
  <si>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</si>
  <si>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</si>
  <si>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</si>
  <si>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</si>
  <si>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</si>
  <si>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</si>
  <si>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</si>
  <si>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</si>
  <si>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</si>
  <si>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</si>
  <si>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</si>
  <si>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</si>
  <si>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</si>
  <si>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</si>
  <si>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</si>
  <si>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</si>
  <si>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</si>
  <si>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</si>
  <si>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</si>
  <si>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</si>
  <si>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</si>
  <si>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</si>
  <si>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</si>
  <si>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</si>
  <si>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</si>
  <si>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</si>
  <si>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</si>
  <si>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</si>
  <si>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</si>
  <si>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</si>
  <si>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</si>
  <si>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</si>
  <si>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</si>
  <si>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</si>
  <si>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</si>
  <si>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</si>
  <si>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</si>
  <si>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</si>
  <si>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</si>
  <si>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</si>
  <si>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</si>
  <si>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</si>
  <si>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</si>
  <si>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</si>
  <si>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</si>
  <si>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</si>
  <si>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</si>
  <si>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</si>
  <si>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</si>
  <si>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</si>
  <si>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</si>
  <si>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</si>
  <si>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</si>
  <si>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</si>
  <si>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</si>
  <si>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</si>
  <si>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</si>
  <si>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</si>
  <si>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</si>
  <si>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</si>
  <si>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</si>
  <si>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</si>
  <si>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</si>
  <si>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</si>
  <si>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</si>
  <si>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</si>
  <si>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</si>
  <si>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</si>
  <si>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</si>
  <si>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</si>
  <si>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</si>
  <si>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</si>
  <si>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</si>
  <si>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</si>
  <si>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</si>
  <si>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</si>
  <si>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</si>
  <si>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</si>
  <si>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</si>
  <si>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</si>
  <si>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</si>
  <si>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</si>
  <si>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</si>
  <si>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</si>
  <si>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</si>
  <si>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</si>
  <si>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</si>
  <si>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</si>
  <si>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</si>
  <si>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</si>
  <si>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</si>
  <si>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</si>
  <si>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</si>
  <si>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</si>
  <si>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</si>
  <si>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</si>
  <si>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</si>
  <si>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</si>
  <si>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</si>
  <si>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</si>
  <si>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</si>
  <si>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</si>
  <si>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</si>
  <si>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</si>
  <si>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</si>
  <si>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</si>
  <si>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</si>
  <si>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</si>
  <si>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</si>
  <si>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</si>
  <si>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</si>
  <si>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</si>
  <si>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</si>
  <si>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</si>
  <si>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</si>
  <si>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</si>
  <si>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</si>
  <si>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</si>
  <si>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</si>
  <si>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</si>
  <si>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</si>
  <si>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</si>
  <si>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</si>
  <si>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</si>
  <si>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</si>
  <si>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</si>
  <si>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</si>
  <si>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</si>
  <si>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</si>
  <si>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</si>
  <si>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</si>
  <si>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</si>
  <si>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</si>
  <si>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</si>
  <si>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</si>
  <si>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</si>
  <si>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</si>
  <si>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</si>
  <si>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</si>
  <si>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</si>
  <si>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</si>
  <si>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</si>
  <si>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</si>
  <si>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</si>
  <si>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</si>
  <si>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</si>
  <si>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</si>
  <si>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</si>
  <si>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</si>
  <si>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</si>
  <si>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</si>
  <si>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</si>
  <si>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</si>
  <si>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</si>
  <si>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</si>
  <si>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</si>
  <si>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</si>
  <si>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</si>
  <si>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</si>
  <si>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</si>
  <si>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</si>
  <si>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</si>
  <si>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</si>
  <si>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</si>
  <si>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</si>
  <si>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</si>
  <si>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</si>
  <si>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</si>
  <si>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</si>
  <si>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</si>
  <si>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</si>
  <si>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</si>
  <si>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</si>
  <si>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</si>
  <si>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</si>
  <si>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</si>
  <si>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</si>
  <si>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</si>
  <si>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</si>
  <si>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</si>
  <si>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</si>
  <si>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</si>
  <si>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</si>
  <si>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</si>
  <si>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</si>
  <si>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</si>
  <si>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</si>
  <si>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</si>
  <si>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</si>
  <si>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</si>
  <si>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</si>
  <si>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</si>
  <si>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</si>
  <si>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</si>
  <si>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</si>
  <si>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</si>
  <si>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</si>
  <si>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</si>
  <si>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</si>
  <si>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</si>
  <si>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</si>
  <si>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</si>
  <si>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</si>
  <si>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</si>
  <si>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</si>
  <si>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</si>
  <si>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</si>
  <si>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</si>
  <si>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</si>
  <si>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</si>
  <si>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</si>
  <si>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</si>
  <si>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</si>
  <si>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</si>
  <si>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</si>
  <si>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</si>
  <si>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</si>
  <si>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</si>
  <si>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</si>
  <si>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</si>
  <si>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</si>
  <si>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</si>
  <si>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</si>
  <si>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</si>
  <si>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</si>
  <si>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</si>
  <si>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</si>
  <si>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</si>
  <si>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</si>
  <si>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</si>
  <si>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</si>
  <si>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</si>
  <si>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</si>
  <si>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</si>
  <si>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</si>
  <si>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</si>
  <si>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</si>
  <si>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</si>
  <si>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</si>
  <si>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</si>
  <si>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</si>
  <si>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</si>
  <si>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</si>
  <si>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</si>
  <si>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</si>
  <si>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</si>
  <si>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</si>
  <si>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</si>
  <si>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</si>
  <si>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</si>
  <si>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</si>
  <si>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</si>
  <si>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</si>
  <si>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</si>
  <si>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</si>
  <si>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</si>
  <si>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</si>
  <si>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</si>
  <si>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</si>
  <si>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</si>
  <si>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</si>
  <si>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</si>
  <si>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</si>
  <si>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</si>
  <si>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</si>
  <si>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</si>
  <si>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</si>
  <si>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</si>
  <si>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</si>
  <si>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</si>
  <si>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</si>
  <si>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</si>
  <si>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</si>
  <si>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</si>
  <si>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</si>
  <si>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</si>
  <si>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</si>
  <si>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</si>
  <si>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</si>
  <si>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</si>
  <si>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</si>
  <si>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</si>
  <si>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</si>
  <si>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</si>
  <si>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</si>
  <si>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</si>
  <si>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</si>
  <si>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</si>
  <si>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</si>
  <si>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</si>
  <si>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</si>
  <si>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</si>
  <si>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</si>
  <si>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</si>
  <si>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</si>
  <si>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</si>
  <si>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</si>
  <si>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</si>
  <si>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</si>
  <si>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</si>
  <si>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</si>
  <si>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</si>
  <si>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</si>
  <si>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</si>
  <si>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</si>
  <si>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</si>
  <si>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</si>
  <si>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</si>
  <si>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</si>
  <si>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</si>
  <si>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</si>
  <si>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</si>
  <si>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</si>
  <si>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</si>
  <si>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</si>
  <si>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</si>
  <si>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</si>
  <si>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</si>
  <si>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</si>
  <si>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</si>
  <si>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</si>
  <si>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</si>
  <si>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</si>
  <si>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</si>
  <si>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</si>
  <si>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</si>
  <si>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</si>
  <si>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</si>
  <si>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</si>
  <si>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</si>
  <si>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</si>
  <si>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</si>
  <si>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</si>
  <si>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</si>
  <si>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</si>
  <si>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</si>
  <si>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</si>
  <si>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</si>
  <si>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</si>
  <si>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</si>
  <si>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</si>
  <si>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</si>
  <si>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</si>
  <si>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</si>
  <si>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</si>
  <si>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</si>
  <si>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</si>
  <si>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</si>
  <si>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</si>
  <si>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</si>
  <si>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</si>
  <si>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</si>
  <si>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</si>
  <si>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</si>
  <si>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</si>
  <si>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</si>
  <si>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</si>
  <si>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</si>
  <si>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</si>
  <si>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</si>
  <si>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</si>
  <si>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</si>
  <si>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</si>
  <si>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</si>
  <si>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</si>
  <si>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</si>
  <si>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</si>
  <si>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</si>
  <si>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</si>
  <si>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</si>
  <si>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</si>
  <si>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</si>
  <si>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</si>
  <si>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</si>
  <si>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</si>
  <si>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</si>
  <si>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</si>
  <si>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</si>
  <si>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</si>
  <si>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</si>
  <si>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</si>
  <si>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</si>
  <si>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</si>
  <si>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</si>
  <si>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</si>
  <si>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</si>
  <si>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</si>
  <si>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</si>
  <si>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</si>
  <si>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</si>
  <si>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</si>
  <si>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</si>
  <si>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</si>
  <si>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</si>
  <si>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</si>
  <si>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</si>
  <si>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</si>
  <si>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</si>
  <si>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</si>
  <si>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</si>
  <si>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</si>
  <si>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</si>
  <si>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</si>
  <si>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</si>
  <si>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</si>
  <si>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</si>
  <si>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</si>
  <si>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</si>
  <si>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</si>
  <si>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</si>
  <si>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</si>
  <si>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</si>
  <si>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</si>
  <si>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</si>
  <si>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</si>
  <si>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</si>
  <si>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</si>
  <si>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</si>
  <si>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</si>
  <si>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</si>
  <si>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</si>
  <si>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</si>
  <si>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</si>
  <si>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</si>
  <si>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</si>
  <si>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</si>
  <si>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</si>
  <si>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</si>
  <si>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</si>
  <si>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</si>
  <si>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</si>
  <si>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</si>
  <si>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</si>
  <si>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</si>
  <si>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</si>
  <si>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</si>
  <si>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</si>
  <si>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</si>
  <si>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</si>
  <si>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</si>
  <si>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</si>
  <si>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</si>
  <si>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</si>
  <si>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</si>
  <si>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</si>
  <si>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</si>
  <si>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</si>
  <si>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</si>
  <si>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</si>
  <si>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</si>
  <si>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</si>
  <si>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</si>
  <si>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</si>
  <si>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</si>
  <si>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</si>
  <si>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</si>
  <si>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</si>
  <si>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</si>
  <si>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</si>
  <si>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</si>
  <si>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</si>
  <si>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</si>
  <si>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</si>
  <si>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</si>
  <si>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</si>
  <si>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</si>
  <si>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</si>
  <si>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</si>
  <si>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</si>
  <si>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</si>
  <si>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</si>
  <si>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</si>
  <si>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</si>
  <si>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</si>
  <si>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</si>
  <si>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</si>
  <si>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</si>
  <si>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</si>
  <si>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</si>
  <si>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</si>
  <si>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</si>
  <si>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</si>
  <si>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</si>
  <si>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</si>
  <si>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</si>
  <si>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</si>
  <si>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</si>
  <si>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</si>
  <si>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</si>
  <si>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</si>
  <si>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</si>
  <si>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</si>
  <si>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</si>
  <si>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</si>
  <si>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</si>
  <si>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</si>
  <si>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</si>
  <si>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</si>
  <si>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</si>
  <si>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</si>
  <si>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</si>
  <si>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</si>
  <si>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</si>
  <si>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</si>
  <si>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</si>
  <si>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</si>
  <si>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</si>
  <si>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</si>
  <si>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</si>
  <si>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</si>
  <si>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</si>
  <si>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</si>
  <si>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</si>
  <si>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</si>
  <si>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</si>
  <si>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</si>
  <si>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</si>
  <si>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</si>
  <si>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</si>
  <si>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</si>
  <si>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</si>
  <si>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</si>
  <si>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</si>
  <si>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</si>
  <si>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</si>
  <si>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</si>
  <si>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</si>
  <si>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</si>
  <si>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</si>
  <si>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</si>
  <si>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</si>
  <si>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</si>
  <si>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</si>
  <si>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</si>
  <si>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</si>
  <si>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</si>
  <si>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</si>
  <si>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</si>
  <si>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</si>
  <si>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</si>
  <si>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</si>
  <si>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</si>
  <si>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</si>
  <si>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</si>
  <si>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</si>
  <si>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</si>
  <si>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</si>
  <si>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</si>
  <si>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</si>
  <si>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</si>
  <si>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</si>
  <si>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</si>
  <si>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</si>
  <si>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</si>
  <si>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</si>
  <si>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</si>
  <si>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</si>
  <si>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</si>
  <si>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</si>
  <si>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</si>
  <si>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</si>
  <si>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</si>
  <si>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</si>
  <si>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</si>
  <si>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</si>
  <si>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</si>
  <si>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</si>
  <si>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</si>
  <si>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</si>
  <si>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</si>
  <si>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</si>
  <si>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</si>
  <si>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</si>
  <si>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</si>
  <si>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</si>
  <si>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</si>
  <si>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</si>
  <si>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</si>
  <si>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</si>
  <si>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</si>
  <si>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</si>
  <si>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</si>
  <si>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</si>
  <si>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</si>
  <si>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</si>
  <si>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</si>
  <si>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</si>
  <si>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</si>
  <si>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</si>
  <si>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</si>
  <si>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</si>
  <si>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</si>
  <si>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</si>
  <si>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</si>
  <si>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</si>
  <si>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</si>
  <si>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</si>
  <si>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</si>
  <si>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</si>
  <si>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</si>
  <si>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</si>
  <si>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</si>
  <si>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</si>
  <si>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</si>
  <si>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</si>
  <si>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</si>
  <si>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</si>
  <si>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</si>
  <si>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</si>
  <si>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</si>
  <si>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</si>
  <si>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</si>
  <si>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</si>
  <si>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</si>
  <si>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</si>
  <si>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</si>
  <si>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</si>
  <si>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</si>
  <si>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</si>
  <si>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</si>
  <si>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</si>
  <si>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</si>
  <si>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</si>
  <si>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</si>
  <si>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</si>
  <si>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</si>
  <si>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</si>
  <si>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</si>
  <si>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</si>
  <si>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</si>
  <si>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</si>
  <si>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</si>
  <si>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</si>
  <si>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</si>
  <si>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</si>
  <si>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</si>
  <si>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</si>
  <si>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</si>
  <si>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</si>
  <si>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</si>
  <si>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</si>
  <si>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</si>
  <si>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</si>
  <si>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</si>
  <si>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</si>
  <si>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</si>
  <si>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</si>
  <si>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</si>
  <si>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</si>
  <si>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</si>
  <si>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</si>
  <si>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</si>
  <si>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</si>
  <si>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</si>
  <si>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</si>
  <si>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</si>
  <si>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</si>
  <si>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</si>
  <si>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</si>
  <si>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</si>
  <si>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</si>
  <si>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</si>
  <si>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</si>
  <si>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</si>
  <si>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</si>
  <si>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</si>
  <si>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</si>
  <si>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</si>
  <si>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</si>
  <si>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</si>
  <si>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</si>
  <si>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</si>
  <si>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</si>
  <si>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</si>
  <si>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</si>
  <si>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</si>
  <si>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</si>
  <si>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</si>
  <si>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</si>
  <si>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</si>
  <si>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</si>
  <si>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</si>
  <si>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</si>
  <si>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</si>
  <si>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</si>
  <si>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</si>
  <si>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</si>
  <si>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</si>
  <si>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</si>
  <si>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</si>
  <si>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</si>
  <si>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</si>
  <si>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</si>
  <si>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</si>
  <si>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</si>
  <si>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</si>
  <si>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</si>
  <si>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</si>
  <si>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</si>
  <si>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</si>
  <si>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</si>
  <si>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</si>
  <si>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</si>
  <si>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</si>
  <si>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</si>
  <si>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</si>
  <si>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</si>
  <si>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</si>
  <si>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</si>
  <si>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</si>
  <si>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</si>
  <si>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</si>
  <si>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</si>
  <si>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</si>
  <si>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</si>
  <si>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</si>
  <si>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</si>
  <si>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</si>
  <si>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</si>
  <si>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</si>
  <si>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</si>
  <si>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</si>
  <si>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</si>
  <si>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</si>
  <si>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</si>
  <si>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</si>
  <si>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</si>
  <si>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</si>
  <si>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</si>
  <si>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</si>
  <si>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</si>
  <si>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</si>
  <si>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</si>
  <si>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</si>
  <si>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</si>
  <si>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</si>
  <si>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</si>
  <si>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</si>
  <si>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</si>
  <si>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</si>
  <si>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</si>
  <si>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</si>
  <si>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</si>
  <si>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</si>
  <si>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</si>
  <si>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</si>
  <si>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</si>
  <si>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</si>
  <si>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</si>
  <si>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</si>
  <si>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</si>
  <si>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</si>
  <si>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</si>
  <si>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</si>
  <si>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</si>
  <si>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</si>
  <si>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</si>
  <si>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</si>
  <si>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</si>
  <si>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</si>
  <si>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</si>
  <si>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</si>
  <si>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</si>
  <si>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</si>
  <si>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</si>
  <si>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</si>
  <si>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</si>
  <si>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</si>
  <si>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</si>
  <si>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</si>
  <si>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</si>
  <si>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</si>
  <si>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</si>
  <si>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</si>
  <si>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</si>
  <si>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</si>
  <si>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</si>
  <si>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</si>
  <si>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</si>
  <si>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</si>
  <si>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</si>
  <si>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</si>
  <si>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</si>
  <si>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</si>
  <si>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</si>
  <si>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</si>
  <si>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</si>
  <si>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</si>
  <si>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</si>
  <si>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</si>
  <si>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</si>
  <si>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</si>
  <si>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</si>
  <si>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</si>
  <si>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</si>
  <si>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</si>
  <si>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</si>
  <si>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</si>
  <si>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</si>
  <si>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</si>
  <si>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</si>
  <si>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</si>
  <si>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</si>
  <si>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</si>
  <si>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</si>
  <si>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</si>
  <si>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</si>
  <si>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</si>
  <si>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</si>
  <si>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</si>
  <si>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</si>
  <si>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</si>
  <si>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</si>
  <si>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</si>
  <si>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</si>
  <si>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</si>
  <si>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</si>
  <si>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</si>
  <si>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</si>
  <si>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</si>
  <si>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</si>
  <si>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</si>
  <si>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</si>
  <si>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</si>
  <si>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</si>
  <si>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</si>
  <si>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</si>
  <si>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</si>
  <si>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</si>
  <si>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</si>
  <si>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</si>
  <si>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</si>
  <si>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</si>
  <si>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</si>
  <si>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</si>
  <si>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</si>
  <si>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</si>
  <si>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</si>
  <si>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</si>
  <si>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</si>
  <si>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</si>
  <si>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</si>
  <si>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</si>
  <si>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</si>
  <si>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</si>
  <si>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</si>
  <si>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</si>
  <si>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</si>
  <si>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</si>
  <si>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</si>
  <si>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</si>
  <si>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</si>
  <si>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</si>
  <si>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</si>
  <si>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</si>
  <si>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</si>
  <si>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</si>
  <si>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</si>
  <si>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</si>
  <si>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</si>
  <si>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</si>
  <si>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</si>
  <si>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</si>
  <si>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</si>
  <si>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</si>
  <si>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</si>
  <si>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</si>
  <si>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</si>
  <si>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</si>
  <si>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</si>
  <si>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</si>
  <si>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</si>
  <si>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</si>
  <si>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</si>
  <si>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</si>
  <si>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</si>
  <si>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</si>
  <si>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</si>
  <si>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</si>
  <si>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</si>
  <si>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</si>
  <si>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</si>
  <si>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</si>
  <si>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</si>
  <si>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</si>
  <si>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</si>
  <si>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</si>
  <si>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</si>
  <si>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</si>
  <si>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</si>
  <si>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</si>
  <si>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</si>
  <si>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</si>
  <si>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</si>
  <si>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</si>
  <si>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</si>
  <si>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</si>
  <si>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</si>
  <si>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</si>
  <si>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</si>
  <si>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</si>
  <si>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</si>
  <si>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</si>
  <si>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</si>
  <si>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</si>
  <si>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</si>
  <si>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</si>
  <si>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</si>
  <si>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</si>
  <si>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</si>
  <si>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</si>
  <si>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</si>
  <si>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</si>
  <si>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</si>
  <si>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</si>
  <si>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</si>
  <si>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</si>
  <si>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</si>
  <si>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</si>
  <si>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</si>
  <si>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</si>
  <si>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</si>
  <si>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</si>
  <si>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</si>
  <si>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</si>
  <si>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</si>
  <si>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</si>
  <si>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</si>
  <si>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</si>
  <si>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</si>
  <si>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</si>
  <si>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</si>
  <si>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</si>
  <si>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</si>
  <si>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</si>
  <si>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</si>
  <si>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</si>
  <si>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</si>
  <si>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</si>
  <si>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</si>
  <si>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</si>
  <si>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</si>
  <si>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</si>
  <si>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</si>
  <si>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</si>
  <si>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</si>
  <si>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</si>
  <si>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</si>
  <si>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</si>
  <si>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</si>
  <si>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</si>
  <si>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</si>
  <si>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</si>
  <si>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</si>
  <si>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</si>
  <si>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</si>
  <si>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</si>
  <si>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</si>
  <si>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</si>
  <si>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550KVA/440KW KT19-G3 Cummins Generator Set</t>
  </si>
  <si>
    <t>GODOFREDO R. PARAGAS, JR.</t>
  </si>
  <si>
    <t>Mitsubishi Adventure (One Unit)</t>
  </si>
  <si>
    <t>Toyota Grandia (One Unit)</t>
  </si>
  <si>
    <t>Toyota Innova (One Unit)</t>
  </si>
  <si>
    <t>No Solar installed</t>
  </si>
  <si>
    <t>Estimated volume only. Data gathered from Q1 SMR</t>
  </si>
  <si>
    <t>Estimated volume only. Data gathered from Q2 SMR</t>
  </si>
  <si>
    <t>Destination (Landscaped Plants and the domestic waste to the septic tanks)</t>
  </si>
  <si>
    <t>Main Building (COD Area)</t>
  </si>
  <si>
    <t>Main Building (Entire)</t>
  </si>
  <si>
    <t>Main Building (CCTV Room)</t>
  </si>
  <si>
    <t>Auxiliary Building (Locker Rm)</t>
  </si>
  <si>
    <t>Main Guardhouse</t>
  </si>
  <si>
    <t>FORD 550 (SFX-883)</t>
  </si>
  <si>
    <t>Godofredo R. Paragas Jr.</t>
  </si>
  <si>
    <t>$R$37</t>
  </si>
  <si>
    <t>FORD 550 (131206)</t>
  </si>
  <si>
    <t xml:space="preserve">FORD 550 </t>
  </si>
  <si>
    <t>$R$43</t>
  </si>
  <si>
    <t>FORD 550 (131210)</t>
  </si>
  <si>
    <t>$J$26</t>
  </si>
  <si>
    <t>$J$27</t>
  </si>
  <si>
    <t>$J$28</t>
  </si>
  <si>
    <t>$J$29</t>
  </si>
  <si>
    <t>$J$30</t>
  </si>
  <si>
    <t>$J$31</t>
  </si>
  <si>
    <t>$J$32</t>
  </si>
  <si>
    <t>$J$26:$J$32</t>
  </si>
  <si>
    <t>$K$25</t>
  </si>
  <si>
    <t>$L$25</t>
  </si>
  <si>
    <t>$L$26</t>
  </si>
  <si>
    <t>$L$27</t>
  </si>
  <si>
    <t>$L$28</t>
  </si>
  <si>
    <t>$L$29</t>
  </si>
  <si>
    <t>$L$30</t>
  </si>
  <si>
    <t>$L$31</t>
  </si>
  <si>
    <t>$L$32</t>
  </si>
  <si>
    <t>$L$33</t>
  </si>
  <si>
    <t>$L$34</t>
  </si>
  <si>
    <t>$L$35</t>
  </si>
  <si>
    <t>$L$36</t>
  </si>
  <si>
    <t>$J$37</t>
  </si>
  <si>
    <t>$L$37</t>
  </si>
  <si>
    <t>$L$38</t>
  </si>
  <si>
    <t>$L$39</t>
  </si>
  <si>
    <t>$L$40</t>
  </si>
  <si>
    <t>$L$41</t>
  </si>
  <si>
    <t>$L$42</t>
  </si>
  <si>
    <t>$J$43</t>
  </si>
  <si>
    <t>$L$43</t>
  </si>
  <si>
    <t>$L$44</t>
  </si>
  <si>
    <t>$L$45</t>
  </si>
  <si>
    <t>$L$46</t>
  </si>
  <si>
    <t>$L$47</t>
  </si>
  <si>
    <t>$L$48</t>
  </si>
  <si>
    <t>$N$25</t>
  </si>
  <si>
    <t>$P$25</t>
  </si>
  <si>
    <t>$N$31</t>
  </si>
  <si>
    <t>$P$31</t>
  </si>
  <si>
    <t>$N$37</t>
  </si>
  <si>
    <t>$P$37</t>
  </si>
  <si>
    <t>$N$43</t>
  </si>
  <si>
    <t>$P$43</t>
  </si>
  <si>
    <t>$N$26</t>
  </si>
  <si>
    <t>$P$26</t>
  </si>
  <si>
    <t>$N$32</t>
  </si>
  <si>
    <t>$P$32</t>
  </si>
  <si>
    <t>$N$38</t>
  </si>
  <si>
    <t>$P$38</t>
  </si>
  <si>
    <t>$N$44</t>
  </si>
  <si>
    <t>$P$44</t>
  </si>
  <si>
    <t>$N$27</t>
  </si>
  <si>
    <t>$P$27</t>
  </si>
  <si>
    <t>$N$39</t>
  </si>
  <si>
    <t>$P$39</t>
  </si>
  <si>
    <t>$P$45</t>
  </si>
  <si>
    <t>$N$45</t>
  </si>
  <si>
    <t>$P$28</t>
  </si>
  <si>
    <t>$N$28</t>
  </si>
  <si>
    <t>$P$40</t>
  </si>
  <si>
    <t>$P$46</t>
  </si>
  <si>
    <t>$N$46</t>
  </si>
  <si>
    <t>$N$40</t>
  </si>
  <si>
    <t>$P$29</t>
  </si>
  <si>
    <t>$P$41</t>
  </si>
  <si>
    <t>$P$47</t>
  </si>
  <si>
    <t>$N$47</t>
  </si>
  <si>
    <t>$N$41</t>
  </si>
  <si>
    <t>$N$29</t>
  </si>
  <si>
    <t>$P$30</t>
  </si>
  <si>
    <t>$P$42</t>
  </si>
  <si>
    <t>$P$48</t>
  </si>
  <si>
    <t>$N$48</t>
  </si>
  <si>
    <t>$N$42</t>
  </si>
  <si>
    <t>$N$30</t>
  </si>
  <si>
    <t>$L$31:$L$36</t>
  </si>
  <si>
    <t>$N$31:$N$33</t>
  </si>
  <si>
    <t>$P$31:$P$33</t>
  </si>
  <si>
    <t>$R$31</t>
  </si>
  <si>
    <t>$N$31:$N$36</t>
  </si>
  <si>
    <t>$N$37:$N$42</t>
  </si>
  <si>
    <t>$P$31:$P$36</t>
  </si>
  <si>
    <t>$P$37:$P$42</t>
  </si>
  <si>
    <t>$P$43:$P$48</t>
  </si>
  <si>
    <t>$N$43:$N$48</t>
  </si>
  <si>
    <t>$J$43:$L$48</t>
  </si>
  <si>
    <t>$K$26</t>
  </si>
  <si>
    <t>$K$27</t>
  </si>
  <si>
    <t>$K$28</t>
  </si>
  <si>
    <t>$K$29</t>
  </si>
  <si>
    <t>$K$30</t>
  </si>
  <si>
    <t>$K$31</t>
  </si>
  <si>
    <t>$K$32</t>
  </si>
  <si>
    <t>$K$33</t>
  </si>
  <si>
    <t>$K$34</t>
  </si>
  <si>
    <t>$K$35</t>
  </si>
  <si>
    <t>$K$36</t>
  </si>
  <si>
    <t>$K$37</t>
  </si>
  <si>
    <t>$K$38</t>
  </si>
  <si>
    <t>$K$39</t>
  </si>
  <si>
    <t>$K$41</t>
  </si>
  <si>
    <t>$K$42</t>
  </si>
  <si>
    <t>This is based solely on the number of bags only, each measuring 40" x 40" in size.</t>
  </si>
  <si>
    <t>$O$14</t>
  </si>
  <si>
    <t>$O$15:$O$19</t>
  </si>
  <si>
    <t>This is based solely on the number of bags, each bag measuring 40" x 40" in size.</t>
  </si>
  <si>
    <t>$C$7</t>
  </si>
  <si>
    <t>$C$6</t>
  </si>
  <si>
    <t>$A$27:$E$40</t>
  </si>
  <si>
    <t>$I$13:$O$106</t>
  </si>
  <si>
    <t>$N$7:$N$11</t>
  </si>
  <si>
    <t>$J$25:$J$42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</si>
</sst>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1">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22.61715821759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9"/>
    </cacheField>
    <cacheField name="Vehicle Type" numFmtId="0">
      <sharedItems containsBlank="1" count="11">
        <s v="Multi-Purpose Vehicle"/>
        <s v="Van  "/>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4" u="1"/>
        <s v="Q3" u="1"/>
      </sharedItems>
    </cacheField>
    <cacheField name="Consumption" numFmtId="4">
      <sharedItems containsString="0" containsBlank="1" containsNumber="1" minValue="0.01" maxValue="286.73"/>
    </cacheField>
    <cacheField name="Unit" numFmtId="0">
      <sharedItems containsBlank="1"/>
    </cacheField>
    <cacheField name="Total kilometers travelled (all vehicles)" numFmtId="4">
      <sharedItems containsString="0" containsBlank="1" containsNumber="1" minValue="0.01" maxValue="1737"/>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6.2"/>
    <s v="Liters"/>
    <n v="281"/>
    <s v="Kilometers"/>
    <s v="Toyota Innova (One Unit)"/>
  </r>
  <r>
    <n v="2"/>
    <x v="0"/>
    <x v="0"/>
    <x v="1"/>
    <x v="0"/>
    <n v="36"/>
    <m/>
    <n v="181"/>
    <s v="Kilometers"/>
    <m/>
  </r>
  <r>
    <n v="3"/>
    <x v="0"/>
    <x v="0"/>
    <x v="2"/>
    <x v="0"/>
    <n v="286.73"/>
    <s v="Liters"/>
    <n v="1737"/>
    <s v="Kilometers"/>
    <m/>
  </r>
  <r>
    <n v="4"/>
    <x v="0"/>
    <x v="0"/>
    <x v="3"/>
    <x v="1"/>
    <n v="79.959999999999994"/>
    <s v="Liters"/>
    <n v="480"/>
    <s v="Kilometers"/>
    <m/>
  </r>
  <r>
    <n v="5"/>
    <x v="0"/>
    <x v="0"/>
    <x v="4"/>
    <x v="1"/>
    <n v="77.930000000000007"/>
    <s v="Liters"/>
    <n v="741"/>
    <s v="Kilometers"/>
    <m/>
  </r>
  <r>
    <n v="6"/>
    <x v="0"/>
    <x v="0"/>
    <x v="5"/>
    <x v="1"/>
    <n v="149.18"/>
    <s v="Liters"/>
    <n v="1418"/>
    <s v="Kilometers"/>
    <m/>
  </r>
  <r>
    <n v="7"/>
    <x v="1"/>
    <x v="0"/>
    <x v="0"/>
    <x v="0"/>
    <n v="12.4"/>
    <s v="Liters"/>
    <n v="62"/>
    <s v="Kilometers"/>
    <s v="Toyota Grandia (One Unit)"/>
  </r>
  <r>
    <n v="8"/>
    <x v="1"/>
    <x v="0"/>
    <x v="1"/>
    <x v="0"/>
    <n v="239.49"/>
    <s v="Liters"/>
    <n v="1557"/>
    <s v="Kilometers"/>
    <m/>
  </r>
  <r>
    <n v="9"/>
    <x v="1"/>
    <x v="0"/>
    <x v="2"/>
    <x v="0"/>
    <n v="163.91"/>
    <s v="Liters"/>
    <n v="1066"/>
    <s v="Kilometers"/>
    <m/>
  </r>
  <r>
    <n v="10"/>
    <x v="1"/>
    <x v="0"/>
    <x v="3"/>
    <x v="1"/>
    <n v="72.81"/>
    <s v="Liters"/>
    <n v="437"/>
    <s v="Kilometers"/>
    <m/>
  </r>
  <r>
    <n v="11"/>
    <x v="1"/>
    <x v="0"/>
    <x v="4"/>
    <x v="1"/>
    <n v="80.11"/>
    <s v="Liters"/>
    <n v="721"/>
    <s v="Kilometers"/>
    <m/>
  </r>
  <r>
    <n v="12"/>
    <x v="1"/>
    <x v="0"/>
    <x v="5"/>
    <x v="1"/>
    <n v="131.99"/>
    <s v="Liters"/>
    <n v="1188"/>
    <s v="Kilometers"/>
    <m/>
  </r>
  <r>
    <n v="13"/>
    <x v="0"/>
    <x v="0"/>
    <x v="0"/>
    <x v="0"/>
    <n v="0.01"/>
    <s v="Liters"/>
    <n v="0.01"/>
    <s v="Kilometers"/>
    <s v="Mitsubishi Adventure (One Unit)"/>
  </r>
  <r>
    <n v="14"/>
    <x v="0"/>
    <x v="0"/>
    <x v="1"/>
    <x v="0"/>
    <n v="11.4"/>
    <s v="Liters"/>
    <n v="57"/>
    <s v="Kilometers"/>
    <m/>
  </r>
  <r>
    <n v="15"/>
    <x v="0"/>
    <x v="0"/>
    <x v="2"/>
    <x v="0"/>
    <n v="30.2"/>
    <s v="Liters"/>
    <n v="151"/>
    <s v="Kilometers"/>
    <m/>
  </r>
  <r>
    <n v="16"/>
    <x v="0"/>
    <x v="0"/>
    <x v="3"/>
    <x v="1"/>
    <n v="16.75"/>
    <s v="Liters"/>
    <n v="67"/>
    <s v="Kilometers"/>
    <m/>
  </r>
  <r>
    <n v="17"/>
    <x v="0"/>
    <x v="0"/>
    <x v="4"/>
    <x v="1"/>
    <n v="17"/>
    <s v="Liters"/>
    <n v="68"/>
    <s v="Kilometers"/>
    <m/>
  </r>
  <r>
    <n v="18"/>
    <x v="0"/>
    <x v="0"/>
    <x v="5"/>
    <x v="1"/>
    <n v="27.75"/>
    <s v="Liters"/>
    <n v="111"/>
    <s v="Kilometers"/>
    <m/>
  </r>
  <r>
    <n v="19"/>
    <x v="2"/>
    <x v="0"/>
    <x v="0"/>
    <x v="0"/>
    <n v="9.14"/>
    <s v="Liters"/>
    <n v="27.4"/>
    <s v="Kilometers"/>
    <s v="FORD 550 (SFX-883)"/>
  </r>
  <r>
    <s v=""/>
    <x v="3"/>
    <x v="0"/>
    <x v="1"/>
    <x v="0"/>
    <n v="4.72"/>
    <s v="Liters"/>
    <n v="14.2"/>
    <s v="Kilometers"/>
    <m/>
  </r>
  <r>
    <s v=""/>
    <x v="3"/>
    <x v="0"/>
    <x v="2"/>
    <x v="0"/>
    <n v="10.119999999999999"/>
    <s v="Liters"/>
    <n v="30.4"/>
    <s v="Kilometers"/>
    <m/>
  </r>
  <r>
    <s v=""/>
    <x v="3"/>
    <x v="0"/>
    <x v="3"/>
    <x v="1"/>
    <n v="11.92"/>
    <s v="Liters"/>
    <n v="35.799999999999997"/>
    <s v="Kilometers"/>
    <m/>
  </r>
  <r>
    <s v=""/>
    <x v="3"/>
    <x v="0"/>
    <x v="4"/>
    <x v="1"/>
    <n v="10.02"/>
    <s v="Liters"/>
    <n v="30.1"/>
    <s v="Kilometers"/>
    <m/>
  </r>
  <r>
    <s v=""/>
    <x v="3"/>
    <x v="0"/>
    <x v="5"/>
    <x v="1"/>
    <n v="9.42"/>
    <s v="Liters"/>
    <n v="28.3"/>
    <s v="Kilometers"/>
    <m/>
  </r>
  <r>
    <e v="#VALUE!"/>
    <x v="2"/>
    <x v="0"/>
    <x v="0"/>
    <x v="0"/>
    <n v="6.83"/>
    <s v="Liters"/>
    <n v="20.5"/>
    <s v="Kilometers"/>
    <s v="FORD 550 (131206)"/>
  </r>
  <r>
    <s v=""/>
    <x v="3"/>
    <x v="0"/>
    <x v="1"/>
    <x v="0"/>
    <n v="3.36"/>
    <s v="Liters"/>
    <n v="10.1"/>
    <s v="Kilometers"/>
    <m/>
  </r>
  <r>
    <s v=""/>
    <x v="3"/>
    <x v="0"/>
    <x v="2"/>
    <x v="0"/>
    <n v="35.450000000000003"/>
    <s v="Liters"/>
    <n v="106.4"/>
    <s v="Kilometers"/>
    <m/>
  </r>
  <r>
    <s v=""/>
    <x v="3"/>
    <x v="0"/>
    <x v="3"/>
    <x v="1"/>
    <n v="9.99"/>
    <s v="Liters"/>
    <n v="30"/>
    <s v="Kilometers"/>
    <m/>
  </r>
  <r>
    <s v=""/>
    <x v="3"/>
    <x v="0"/>
    <x v="4"/>
    <x v="1"/>
    <n v="12.71"/>
    <s v="Liters"/>
    <n v="38.200000000000003"/>
    <s v="Kilometers"/>
    <m/>
  </r>
  <r>
    <s v=""/>
    <x v="3"/>
    <x v="0"/>
    <x v="5"/>
    <x v="1"/>
    <n v="10.78"/>
    <s v="Liters"/>
    <n v="32.4"/>
    <s v="Kilometers"/>
    <m/>
  </r>
  <r>
    <e v="#VALUE!"/>
    <x v="2"/>
    <x v="0"/>
    <x v="0"/>
    <x v="0"/>
    <n v="6.26"/>
    <s v="Liters"/>
    <n v="18.8"/>
    <s v="Kilometers"/>
    <s v="FORD 550 (131210)"/>
  </r>
  <r>
    <s v=""/>
    <x v="3"/>
    <x v="0"/>
    <x v="1"/>
    <x v="0"/>
    <n v="3.2"/>
    <s v="Liters"/>
    <n v="9.6"/>
    <s v="Kilometers"/>
    <m/>
  </r>
  <r>
    <s v=""/>
    <x v="3"/>
    <x v="0"/>
    <x v="2"/>
    <x v="0"/>
    <n v="35.57"/>
    <s v="Liters"/>
    <n v="106.8"/>
    <s v="Kilometers"/>
    <m/>
  </r>
  <r>
    <s v=""/>
    <x v="3"/>
    <x v="0"/>
    <x v="3"/>
    <x v="1"/>
    <n v="11.52"/>
    <s v="Liters"/>
    <n v="34.6"/>
    <s v="Kilometers"/>
    <m/>
  </r>
  <r>
    <s v=""/>
    <x v="3"/>
    <x v="0"/>
    <x v="4"/>
    <x v="1"/>
    <n v="9.85"/>
    <s v="Liters"/>
    <n v="29.6"/>
    <s v="Kilometers"/>
    <m/>
  </r>
  <r>
    <s v=""/>
    <x v="3"/>
    <x v="0"/>
    <x v="5"/>
    <x v="1"/>
    <n v="10.58"/>
    <s v="Liters"/>
    <n v="31.8"/>
    <s v="Kilometers"/>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1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3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40"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4"/>
        <item x="1"/>
        <item m="1" x="5"/>
        <item m="1" x="3"/>
        <item t="default"/>
      </items>
    </pivotField>
    <pivotField dataField="1" showAll="0"/>
    <pivotField showAll="0"/>
    <pivotField showAll="0"/>
    <pivotField showAll="0"/>
    <pivotField showAll="0"/>
  </pivotFields>
  <rowFields count="2">
    <field x="1"/>
    <field x="2"/>
  </rowFields>
  <rowItems count="10">
    <i>
      <x v="2"/>
    </i>
    <i r="1">
      <x/>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3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13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1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13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13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3" s="1"/>
        <i x="10" s="1" nd="1"/>
        <i x="5" s="1" nd="1"/>
        <i x="6" s="1" nd="1"/>
        <i x="7" s="1" nd="1"/>
        <i x="4" s="1" nd="1"/>
        <i x="9" s="1" nd="1"/>
        <i x="8"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5" s="1" nd="1"/>
        <i x="4"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10" dataDxfId="108" headerRowBorderDxfId="109" tableBorderDxfId="107">
  <autoFilter ref="I6:O12" xr:uid="{5D54EA1C-BF56-1C41-A397-8FB104BB2C69}"/>
  <tableColumns count="7">
    <tableColumn id="1" xr3:uid="{0736B116-FD52-4F4F-884D-77C731445CFF}" name="No." dataDxfId="106">
      <calculatedColumnFormula>IF(#REF!="","",$I7+1)</calculatedColumnFormula>
    </tableColumn>
    <tableColumn id="5" xr3:uid="{C603CCC2-2764-574B-B616-B1F220EFF63F}" name="Fuel Type" dataDxfId="105"/>
    <tableColumn id="6" xr3:uid="{29E6127A-1BBD-4D42-8A5A-1FA1E160EC19}" name="Month" dataDxfId="104"/>
    <tableColumn id="7" xr3:uid="{AAB63BD1-C28A-2145-9671-756792E786E6}" name="Quarter" dataDxfId="103">
      <calculatedColumnFormula>IF(Fuel_Blg[[#This Row],[Month]]&lt;&gt;"",VLOOKUP(Fuel_Blg[[#This Row],[Month]], dropdown!$S$4:$T$15, 2, FALSE),"")</calculatedColumnFormula>
    </tableColumn>
    <tableColumn id="8" xr3:uid="{2659C633-FEE7-7446-91C8-0ACAADD03760}" name="Consumption" dataDxfId="102"/>
    <tableColumn id="9" xr3:uid="{83261790-77E9-A84F-890F-8F209571520F}" name="Unit" dataDxfId="101">
      <calculatedColumnFormula>IF($J7="","",VLOOKUP($J7,dropdown!$P$3:$Q$8,2,FALSE))</calculatedColumnFormula>
    </tableColumn>
    <tableColumn id="10" xr3:uid="{ADF20B56-6D74-6149-B0C0-FB9AA3F5AC8E}" name="Remarks"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7" dataDxfId="95" headerRowBorderDxfId="96" tableBorderDxfId="94" totalsRowBorderDxfId="93">
  <autoFilter ref="I6:R106" xr:uid="{A85D45EB-1572-A543-812E-815536D59C14}"/>
  <tableColumns count="10">
    <tableColumn id="1" xr3:uid="{CA340CBE-9D85-6C42-9CA1-DDAD368521C3}" name="No." dataDxfId="92">
      <calculatedColumnFormula>IF($J7="","",$I6+1)</calculatedColumnFormula>
    </tableColumn>
    <tableColumn id="2" xr3:uid="{CFAD3D96-F137-044A-AE4C-49E5188E1144}" name="Vehicle Type" dataDxfId="91"/>
    <tableColumn id="3" xr3:uid="{5A421D87-7A43-B14E-BA71-EABB4924A663}" name="Fuel Type" dataDxfId="90"/>
    <tableColumn id="4" xr3:uid="{9C4094CC-7613-9147-BAF8-A31087280A9A}" name="Month" dataDxfId="89"/>
    <tableColumn id="10" xr3:uid="{5211A67F-348D-494D-AD2E-AD4A362BCD78}" name="Quarter" dataDxfId="88">
      <calculatedColumnFormula>IF(Fuel_Veh[[#This Row],[Month]]&lt;&gt;"",VLOOKUP(Fuel_Veh[[#This Row],[Month]], dropdown!$S$4:$T$15, 2, FALSE),"")</calculatedColumnFormula>
    </tableColumn>
    <tableColumn id="5" xr3:uid="{6EDA12F9-55D0-694A-BAB9-B15BDE58CA76}" name="Consumption" dataDxfId="87"/>
    <tableColumn id="7" xr3:uid="{E7761959-51F4-954F-B8FB-F46DCC54C53F}" name="Unit" dataDxfId="86">
      <calculatedColumnFormula>IF($K7="","",VLOOKUP($K7,dropdown!$P$14:$Q$18,2,FALSE))</calculatedColumnFormula>
    </tableColumn>
    <tableColumn id="8" xr3:uid="{AD5D0247-3B56-D146-B22E-45D44E44A249}" name="Total kilometers travelled (all vehicles)" dataDxfId="85"/>
    <tableColumn id="6" xr3:uid="{7D9E5DFA-64C2-4B06-A40F-0BC8CB602574}" name="Unit2" dataDxfId="84">
      <calculatedColumnFormula>IF($P7="","","Kilometers")</calculatedColumnFormula>
    </tableColumn>
    <tableColumn id="9" xr3:uid="{3C24034E-2544-5447-B927-0F565A869F60}" name="Remarks" dataDxfId="8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76" dataDxfId="75">
  <autoFilter ref="I8:W107" xr:uid="{4EA7077C-50F7-42D2-96F2-51568F67E7B2}"/>
  <tableColumns count="15">
    <tableColumn id="1" xr3:uid="{F5FCA22D-7063-431B-9399-42C43DB71411}" name="No." dataDxfId="74">
      <calculatedColumnFormula>IF($K9="","",$I8+1)</calculatedColumnFormula>
    </tableColumn>
    <tableColumn id="2" xr3:uid="{132030AD-4541-47EB-A337-EEE87637C1DE}" name="Location" dataDxfId="73"/>
    <tableColumn id="3" xr3:uid="{E38A8A42-DF98-463F-8F43-42FB3365C31D}" name="Equipment Category" dataDxfId="72"/>
    <tableColumn id="4" xr3:uid="{73A30FFB-A2D9-422E-811C-B1A1BA4CF2FF}" name="No. of Units" dataDxfId="71"/>
    <tableColumn id="5" xr3:uid="{C542C367-6C7C-4A2E-AFC0-70AA09658289}" name="Refrigerant" dataDxfId="70"/>
    <tableColumn id="6" xr3:uid="{A49CD649-8CDA-4BDE-9E6C-7CED9E0C5258}" name="Equipment Status" dataDxfId="69"/>
    <tableColumn id="7" xr3:uid="{496D94A5-FA4D-4CAE-BA86-0076C8252260}" name="Month Purchased" dataDxfId="68"/>
    <tableColumn id="8" xr3:uid="{C2C4A362-BE62-4AD9-8A32-0EE063613BFF}" name="Charge (kg)" dataDxfId="67"/>
    <tableColumn id="9" xr3:uid="{72FA09EB-82CD-4F9D-B0C6-9BC0E94D6119}" name="Month Recharged" dataDxfId="66"/>
    <tableColumn id="10" xr3:uid="{47F108D4-F5B0-471A-95AA-199B8E9D5D51}" name="Recharge (kg)" dataDxfId="65"/>
    <tableColumn id="11" xr3:uid="{7F5D579B-DB98-4EE1-9316-59541598F54B}" name="Month Disposed" dataDxfId="64"/>
    <tableColumn id="12" xr3:uid="{27D4DE6A-84A7-49EE-85CD-4A4C4CF0E9C1}" name="Capacity (kg)" dataDxfId="63"/>
    <tableColumn id="13" xr3:uid="{57B4A461-924D-48EC-A43C-5A1EEE91ED09}" name="Recovered (kg)" dataDxfId="62"/>
    <tableColumn id="14" xr3:uid="{4A88164E-A6C3-4FE4-8DE4-0C0950D809F0}" name="Quarter" dataDxfId="61">
      <calculatedColumnFormula>IFERROR(VLOOKUP($O9, dropdown!$S$4:$T$15, 2, FALSE),
 IFERROR(VLOOKUP($Q9, dropdown!$S$4:$T$15, 2, FALSE),
 IFERROR(VLOOKUP($S9, dropdown!$S$4:$T$15, 2, FALSE),
 "")))</calculatedColumnFormula>
    </tableColumn>
    <tableColumn id="15" xr3:uid="{D18D61D3-B9DB-40F4-9EBB-61DAFC976BF5}" name="Remarks" dataDxfId="6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59" tableBorderDxfId="58">
  <autoFilter ref="I7:O107" xr:uid="{4E808252-F12F-E841-AB57-6A82E4759C1A}"/>
  <tableColumns count="7">
    <tableColumn id="1" xr3:uid="{D5D30AA3-E573-734B-B6AB-3BC327F8D967}" name="No." dataDxfId="57"/>
    <tableColumn id="3" xr3:uid="{E49E940C-A64E-A446-B958-9A58950DBA26}" name="Month" dataDxfId="56"/>
    <tableColumn id="8" xr3:uid="{A32745C6-53F1-AF48-B40D-2062538BA76C}" name="Quarter" dataDxfId="55">
      <calculatedColumnFormula>IF(Electricity[[#This Row],[Month]]&lt;&gt;"",VLOOKUP(Electricity[[#This Row],[Month]], dropdown!$S$4:$T$15, 2, FALSE),"")</calculatedColumnFormula>
    </tableColumn>
    <tableColumn id="4" xr3:uid="{7BDA3B9E-E331-A040-8D00-68C0D245C2DD}" name="Consumption (kWh)" dataDxfId="54"/>
    <tableColumn id="5" xr3:uid="{4597EC97-806C-4E41-8BA3-E789252B06C0}" name="Cost (PHP)" dataDxfId="53"/>
    <tableColumn id="6" xr3:uid="{4139C44D-830B-F247-8F9C-494AF4CBED3A}" name="Utility Provider" dataDxfId="52"/>
    <tableColumn id="7" xr3:uid="{A1E305CA-3F3B-AC45-B4A9-903D25ED562F}" name="Remarks" dataDxfId="5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0" tableBorderDxfId="49">
  <autoFilter ref="I6:N106" xr:uid="{4E808252-F12F-E841-AB57-6A82E4759C1A}"/>
  <tableColumns count="6">
    <tableColumn id="1" xr3:uid="{96892042-DA4D-554E-B6C0-56CC2E778BE0}" name="No." dataDxfId="48">
      <calculatedColumnFormula>IF(Electricity6[[#This Row],[Month]]="","",1)</calculatedColumnFormula>
    </tableColumn>
    <tableColumn id="3" xr3:uid="{4D461598-2D62-B244-9F61-EF4079251355}" name="Month" dataDxfId="47"/>
    <tableColumn id="8" xr3:uid="{45DB6F9E-A541-A04C-BEB7-D0FD16821599}" name="Quarter" dataDxfId="46">
      <calculatedColumnFormula>IF(Electricity6[[#This Row],[Month]]&lt;&gt;"",VLOOKUP(Electricity6[[#This Row],[Month]], dropdown!$S$4:$T$15, 2, FALSE),"")</calculatedColumnFormula>
    </tableColumn>
    <tableColumn id="4" xr3:uid="{2384A887-6797-9D45-A82F-AD87B1CEA514}" name="Solar Energy Generated (kWh)" dataDxfId="45"/>
    <tableColumn id="6" xr3:uid="{C0C5600A-2A4F-42FA-A171-A7D77002B82E}" name="Operational Energy Demand - One Shift (kWH)" dataDxfId="44"/>
    <tableColumn id="7" xr3:uid="{0E49F2FA-DF95-494F-B55D-59E5FA7DFB31}" name="Remarks"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2" dataDxfId="40" headerRowBorderDxfId="41" tableBorderDxfId="39" totalsRowBorderDxfId="38">
  <autoFilter ref="I7:N107" xr:uid="{D1C0C9B2-779D-1649-AFF9-2DC747BD8D8E}"/>
  <tableColumns count="6">
    <tableColumn id="1" xr3:uid="{98251D21-9B72-FF46-855C-29CDFC3F8C49}" name="No." dataDxfId="37">
      <calculatedColumnFormula>IF(#REF!="","",$I7+1)</calculatedColumnFormula>
    </tableColumn>
    <tableColumn id="3" xr3:uid="{79584AA0-F1B7-3B41-BB42-77B2A9F16C14}" name="Month" dataDxfId="36"/>
    <tableColumn id="4" xr3:uid="{A3CA35C2-DBF2-C44A-8453-C1C3204D173D}" name="Quarter" dataDxfId="35">
      <calculatedColumnFormula>IF(water_in[[#This Row],[Month]]&lt;&gt;"",VLOOKUP(water_in[[#This Row],[Month]], dropdown!$S$4:$T$15, 2, FALSE),"")</calculatedColumnFormula>
    </tableColumn>
    <tableColumn id="5" xr3:uid="{94E41BA5-FE14-7A42-A566-007A23C80527}" name="Source" dataDxfId="34"/>
    <tableColumn id="6" xr3:uid="{06C9DE83-99A6-6E42-BFF6-BBB009F75383}" name="Volume (m3)" dataDxfId="33"/>
    <tableColumn id="7" xr3:uid="{76D3A7A4-7A71-A740-A5FE-E0978AE0D14C}" name="Remarks"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1" dataDxfId="29" headerRowBorderDxfId="30" tableBorderDxfId="28" totalsRowBorderDxfId="27">
  <autoFilter ref="P7:U107" xr:uid="{417FDA8E-3E35-E54B-B144-32DD667BE400}"/>
  <tableColumns count="6">
    <tableColumn id="1" xr3:uid="{C13D90C4-D898-7E42-BF11-5CEB6AE3F508}" name="No." dataDxfId="26">
      <calculatedColumnFormula>IF(#REF!="","",$P7+1)</calculatedColumnFormula>
    </tableColumn>
    <tableColumn id="3" xr3:uid="{FB4E4C5F-3555-F84A-866C-D2E830B01E5D}" name="Month" dataDxfId="25"/>
    <tableColumn id="4" xr3:uid="{619B28E5-6E0C-9445-94A5-CFE5B7E140CF}" name="Quarter" dataDxfId="24">
      <calculatedColumnFormula>IF(water_out[[#This Row],[Month]]&lt;&gt;"",VLOOKUP(water_out[[#This Row],[Month]], dropdown!$S$4:$T$15, 2, FALSE),"")</calculatedColumnFormula>
    </tableColumn>
    <tableColumn id="6" xr3:uid="{FC43882E-BF75-DA4D-B572-DC2FBD6873DC}" name="Water Destination" dataDxfId="23"/>
    <tableColumn id="2" xr3:uid="{10C062EB-B924-4DED-B867-1CB5A5574221}" name="Volume2 (m3)" dataDxfId="22"/>
    <tableColumn id="8" xr3:uid="{41D6224C-69B7-5E4A-8BC8-C342068A9656}" name="Remarks"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0" dataDxfId="19" tableBorderDxfId="18">
  <autoFilter ref="I12:O30" xr:uid="{644952C9-78B7-944D-8BFB-5F0BBB441E25}"/>
  <tableColumns count="7">
    <tableColumn id="1" xr3:uid="{905CBBCA-C4CE-E64F-8577-DD820D762EBE}" name="Component" dataDxfId="17"/>
    <tableColumn id="2" xr3:uid="{95B1D560-7606-8440-A263-1F3488DDCF60}" name="Chemical Formula" dataDxfId="16"/>
    <tableColumn id="3" xr3:uid="{BAFDD3D8-B5F1-0945-B68F-96F3F4D4E83A}" name="Molar Fraction (%)" dataDxfId="15"/>
    <tableColumn id="4" xr3:uid="{8ED09876-064B-5643-B346-8B9BE03FCA7C}" name="Total Moles (kg-mole/m3)" dataDxfId="14">
      <calculatedColumnFormula>IF(Waste_Gases[[#This Row],[Molar Fraction (%)]]=0,"",Waste_Gases[[#This Row],[Molar Fraction (%)]]*$D$15)</calculatedColumnFormula>
    </tableColumn>
    <tableColumn id="5" xr3:uid="{AF137C96-997B-0043-A824-BF6EB99BF204}" name="Molecular Weight" dataDxfId="13"/>
    <tableColumn id="6" xr3:uid="{45DE64DD-9AEC-7A47-BFD6-46841261F085}" name="Percent Carbon (%)" dataDxfId="12">
      <calculatedColumnFormula>Emission_Factors!$B$17/Waste_Gases[[#This Row],[Molecular Weight]]</calculatedColumnFormula>
    </tableColumn>
    <tableColumn id="7" xr3:uid="{2A4C64A5-A239-5A46-9E95-F45AEE05D934}" name="Carbon Content(kg/m3)" dataDxfId="11">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0" tableBorderDxfId="9">
  <autoFilter ref="I7:O104" xr:uid="{0230B550-3160-A24C-BB39-D77FBA7436E1}"/>
  <tableColumns count="7">
    <tableColumn id="1" xr3:uid="{E1E9FF9D-27E3-7D49-AEA6-2B1729AB118D}" name="No." dataDxfId="8"/>
    <tableColumn id="2" xr3:uid="{8380DC80-2805-C14F-AD3B-7C45100601CB}" name="Month" dataDxfId="7"/>
    <tableColumn id="3" xr3:uid="{8B50C8B1-2B60-7D48-8932-B0CD897CE645}" name="Quarter" dataDxfId="6">
      <calculatedColumnFormula>IF(Waste[[#This Row],[Month]]&lt;&gt;"",VLOOKUP(Waste[[#This Row],[Month]], dropdown!$S$4:$T$15, 2, FALSE),"")</calculatedColumnFormula>
    </tableColumn>
    <tableColumn id="4" xr3:uid="{1D0A3C03-9904-E148-8A78-B82195B0EA5C}" name="Waste Composition" dataDxfId="5"/>
    <tableColumn id="5" xr3:uid="{93373184-794D-CF48-B2C6-609884108023}" name="Weight (kg)" dataDxfId="4"/>
    <tableColumn id="6" xr3:uid="{AEA2ECE1-073B-3E43-BACD-0EDC33C61465}" name="Disposal/Recovery Method" dataDxfId="3"/>
    <tableColumn id="7" xr3:uid="{5D0BB89C-B4C6-D54A-A767-64E8AE7DDBFE}" name="Remarks"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087" totalsRowShown="0" headerRowDxfId="1">
  <autoFilter ref="A1:E1087"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B44" zoomScaleNormal="130" workbookViewId="0">
      <selection activeCell="F49" sqref="F49"/>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F10" sqref="F10"/>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437</v>
      </c>
      <c r="E2" s="445"/>
      <c r="F2" s="445"/>
      <c r="G2" s="446"/>
    </row>
    <row r="3" spans="3:7" x14ac:dyDescent="0.2">
      <c r="C3" s="117" t="s">
        <v>12</v>
      </c>
      <c r="D3" s="444">
        <v>2025</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x</v>
      </c>
      <c r="E10" s="183" t="str" cm="1">
        <f t="array" ref="E10">IF(SUMPRODUCT(--('2.2 Refrigerants'!E11:E13&gt;0))&gt;0, "x", "")</f>
        <v>x</v>
      </c>
      <c r="F10" s="183" t="str" cm="1">
        <f t="array" ref="F10">IF(SUMPRODUCT(--('2.2 Refrigerants'!F11:F13&gt;0))&gt;0, "x", "")</f>
        <v>x</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x</v>
      </c>
      <c r="E12" s="183" t="str">
        <f>IF('2.3b RE - Solar'!E11&lt;&gt;0,"x","")</f>
        <v>x</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3350</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1701.2600000000002</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262080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5.0999999999999999E-7</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1180</v>
      </c>
    </row>
    <row r="40" spans="3:5" x14ac:dyDescent="0.2">
      <c r="C40" s="189" t="str">
        <f>'2.4 Water'!B12</f>
        <v>Water Discharge</v>
      </c>
      <c r="D40" s="189" t="str">
        <f>'2.4 Water'!C12</f>
        <v>Cubic meters</v>
      </c>
      <c r="E40" s="190">
        <f>SUM('2.4 Water'!$D$12:$G$12)</f>
        <v>1180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345</v>
      </c>
    </row>
    <row r="48" spans="3:5" x14ac:dyDescent="0.2">
      <c r="C48" s="189" t="str">
        <f>'2.5 Waste'!B15</f>
        <v>Hazardous</v>
      </c>
      <c r="D48" s="189" t="str">
        <f>'2.5 Waste'!C15</f>
        <v>Kilograms</v>
      </c>
      <c r="E48" s="191">
        <f>SUM('2.5 Waste'!$D$14:$G$14)</f>
        <v>345</v>
      </c>
    </row>
    <row r="49" spans="3:5" x14ac:dyDescent="0.2">
      <c r="C49" s="189" t="str">
        <f>'2.5 Waste'!B16</f>
        <v>Residual/Landfill</v>
      </c>
      <c r="D49" s="189" t="str">
        <f>'2.5 Waste'!C16</f>
        <v>Kilograms</v>
      </c>
      <c r="E49" s="191">
        <f>SUM('2.5 Waste'!$D$14:$G$14)</f>
        <v>345</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zoomScaleNormal="100" workbookViewId="0">
      <selection activeCell="N7" sqref="N7:N11"/>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Zamboanga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7" t="s">
        <v>1432</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45910</v>
      </c>
      <c r="D7" s="448"/>
      <c r="E7" s="448"/>
      <c r="F7" s="448"/>
      <c r="G7" s="449"/>
      <c r="I7" s="194">
        <f>IF($M7="","",1)</f>
        <v>1</v>
      </c>
      <c r="J7" s="57" t="s">
        <v>37</v>
      </c>
      <c r="K7" s="58" t="s">
        <v>338</v>
      </c>
      <c r="L7" s="18" t="str">
        <f>IF(Fuel_Blg[[#This Row],[Month]]&lt;&gt;"",VLOOKUP(Fuel_Blg[[#This Row],[Month]], dropdown!$S$4:$T$15, 2, FALSE),"")</f>
        <v>Q1</v>
      </c>
      <c r="M7" s="29">
        <v>2075</v>
      </c>
      <c r="N7" s="17" t="str">
        <f>IF($J7="","",VLOOKUP($J7,dropdown!$P$3:$Q$8,2,FALSE))</f>
        <v>Liters</v>
      </c>
      <c r="O7" s="195" t="s">
        <v>1431</v>
      </c>
      <c r="P7" s="20"/>
    </row>
    <row r="8" spans="2:16" x14ac:dyDescent="0.2">
      <c r="I8" s="194"/>
      <c r="J8" s="57" t="s">
        <v>37</v>
      </c>
      <c r="K8" s="58" t="s">
        <v>89</v>
      </c>
      <c r="L8" s="18" t="str">
        <f>IF(Fuel_Blg[[#This Row],[Month]]&lt;&gt;"",VLOOKUP(Fuel_Blg[[#This Row],[Month]], dropdown!$S$4:$T$15, 2, FALSE),"")</f>
        <v>Q1</v>
      </c>
      <c r="M8" s="29">
        <v>250</v>
      </c>
      <c r="N8" s="17" t="str">
        <f>IF($J8="","",VLOOKUP($J8,dropdown!$P$3:$Q$8,2,FALSE))</f>
        <v>Liters</v>
      </c>
      <c r="O8" s="350" t="s">
        <v>1431</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425</v>
      </c>
      <c r="N9" s="17" t="str">
        <f>IF($J9="","",VLOOKUP($J9,dropdown!$P$3:$Q$8,2,FALSE))</f>
        <v>Liters</v>
      </c>
      <c r="O9" s="195" t="s">
        <v>1431</v>
      </c>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275</v>
      </c>
      <c r="N10" s="17" t="str">
        <f>IF($J10="","",VLOOKUP($J10,dropdown!$P$3:$Q$8,2,FALSE))</f>
        <v>Liters</v>
      </c>
      <c r="O10" s="195" t="s">
        <v>1431</v>
      </c>
      <c r="P10" s="20"/>
    </row>
    <row r="11" spans="2:16" x14ac:dyDescent="0.2">
      <c r="B11" s="17" t="str">
        <f>dropdown!$P4</f>
        <v>Diesel - Standby generator sets</v>
      </c>
      <c r="C11" s="17" t="str">
        <f>dropdown!$Q4</f>
        <v>Liters</v>
      </c>
      <c r="D11" s="41">
        <f>SUMIFS(Fuel_Blg[Consumption],Fuel_Blg[Quarter],D$10,Fuel_Blg[Fuel Type],$B$11)</f>
        <v>2750</v>
      </c>
      <c r="E11" s="41">
        <f>SUMIFS(Fuel_Blg[Consumption],Fuel_Blg[Quarter],E$10,Fuel_Blg[Fuel Type],$B$11)</f>
        <v>600</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150</v>
      </c>
      <c r="N11" s="17" t="str">
        <f>IF($J11="","",VLOOKUP($J11,dropdown!$P$3:$Q$8,2,FALSE))</f>
        <v>Liters</v>
      </c>
      <c r="O11" s="195" t="s">
        <v>1431</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175</v>
      </c>
      <c r="N12" s="17" t="str">
        <f>IF($J12="","",VLOOKUP($J12,dropdown!$P$3:$Q$8,2,FALSE))</f>
        <v>Liters</v>
      </c>
      <c r="O12" s="195" t="s">
        <v>1431</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9:O12 O6:O7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abSelected="1" topLeftCell="A18" zoomScaleNormal="100" workbookViewId="0">
      <selection activeCell="J25" sqref="J25:J42"/>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Zamboanga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1432</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45910</v>
      </c>
      <c r="D7" s="448"/>
      <c r="E7" s="448"/>
      <c r="F7" s="448"/>
      <c r="G7" s="449"/>
      <c r="I7" s="194">
        <f>IF($J7="","",1)</f>
        <v>1</v>
      </c>
      <c r="J7" s="57" t="s">
        <v>365</v>
      </c>
      <c r="K7" s="57" t="s">
        <v>63</v>
      </c>
      <c r="L7" s="58" t="s">
        <v>338</v>
      </c>
      <c r="M7" s="18" t="str">
        <f>IF(Fuel_Veh[[#This Row],[Month]]&lt;&gt;"",VLOOKUP(Fuel_Veh[[#This Row],[Month]], dropdown!$S$4:$T$15, 2, FALSE),"")</f>
        <v>Q1</v>
      </c>
      <c r="N7" s="29">
        <v>56.2</v>
      </c>
      <c r="O7" s="17" t="str">
        <f>IF($K7="","",VLOOKUP($K7,dropdown!$P$14:$Q$18,2,FALSE))</f>
        <v>Liters</v>
      </c>
      <c r="P7" s="29">
        <v>281</v>
      </c>
      <c r="Q7" s="17" t="str">
        <f t="shared" ref="Q7:Q70" si="0">IF($P7="","","Kilometers")</f>
        <v>Kilometers</v>
      </c>
      <c r="R7" s="195" t="s">
        <v>1435</v>
      </c>
    </row>
    <row r="8" spans="2:18" x14ac:dyDescent="0.2">
      <c r="I8" s="194">
        <f>IF($J8="","",$I7+1)</f>
        <v>2</v>
      </c>
      <c r="J8" s="57" t="s">
        <v>365</v>
      </c>
      <c r="K8" s="57" t="s">
        <v>63</v>
      </c>
      <c r="L8" s="58" t="s">
        <v>89</v>
      </c>
      <c r="M8" s="18" t="str">
        <f>IF(Fuel_Veh[[#This Row],[Month]]&lt;&gt;"",VLOOKUP(Fuel_Veh[[#This Row],[Month]], dropdown!$S$4:$T$15, 2, FALSE),"")</f>
        <v>Q1</v>
      </c>
      <c r="N8" s="29">
        <v>36</v>
      </c>
      <c r="O8" s="17"/>
      <c r="P8" s="29">
        <v>181</v>
      </c>
      <c r="Q8" s="17" t="str">
        <f t="shared" si="0"/>
        <v>Kilometers</v>
      </c>
      <c r="R8" s="195"/>
    </row>
    <row r="9" spans="2:18" x14ac:dyDescent="0.2">
      <c r="B9" s="14" t="s">
        <v>33</v>
      </c>
      <c r="C9" s="14"/>
      <c r="D9" s="14"/>
      <c r="E9" s="14"/>
      <c r="F9" s="14"/>
      <c r="G9" s="14"/>
      <c r="I9" s="194">
        <f>IF($J9="","",$I8+1)</f>
        <v>3</v>
      </c>
      <c r="J9" s="57" t="s">
        <v>365</v>
      </c>
      <c r="K9" s="57" t="s">
        <v>63</v>
      </c>
      <c r="L9" s="58" t="s">
        <v>362</v>
      </c>
      <c r="M9" s="18" t="str">
        <f>IF(Fuel_Veh[[#This Row],[Month]]&lt;&gt;"",VLOOKUP(Fuel_Veh[[#This Row],[Month]], dropdown!$S$4:$T$15, 2, FALSE),"")</f>
        <v>Q1</v>
      </c>
      <c r="N9" s="29">
        <v>286.73</v>
      </c>
      <c r="O9" s="17" t="str">
        <f>IF($K9="","",VLOOKUP($K9,dropdown!$P$14:$Q$18,2,FALSE))</f>
        <v>Liters</v>
      </c>
      <c r="P9" s="29">
        <v>1737</v>
      </c>
      <c r="Q9" s="17" t="str">
        <f t="shared" si="0"/>
        <v>Kilometers</v>
      </c>
      <c r="R9" s="195"/>
    </row>
    <row r="10" spans="2:18" x14ac:dyDescent="0.2">
      <c r="B10" s="13" t="s">
        <v>35</v>
      </c>
      <c r="C10" s="13" t="s">
        <v>51</v>
      </c>
      <c r="D10" s="40" t="s">
        <v>45</v>
      </c>
      <c r="E10" s="40" t="s">
        <v>149</v>
      </c>
      <c r="F10" s="40" t="s">
        <v>150</v>
      </c>
      <c r="G10" s="40" t="s">
        <v>151</v>
      </c>
      <c r="I10" s="194">
        <f>IF($J10="","",$I9+1)</f>
        <v>4</v>
      </c>
      <c r="J10" s="57" t="s">
        <v>365</v>
      </c>
      <c r="K10" s="57" t="s">
        <v>63</v>
      </c>
      <c r="L10" s="58" t="s">
        <v>371</v>
      </c>
      <c r="M10" s="18" t="str">
        <f>IF(Fuel_Veh[[#This Row],[Month]]&lt;&gt;"",VLOOKUP(Fuel_Veh[[#This Row],[Month]], dropdown!$S$4:$T$15, 2, FALSE),"")</f>
        <v>Q2</v>
      </c>
      <c r="N10" s="29">
        <v>79.959999999999994</v>
      </c>
      <c r="O10" s="17" t="str">
        <f>IF($K10="","",VLOOKUP($K10,dropdown!$P$14:$Q$18,2,FALSE))</f>
        <v>Liters</v>
      </c>
      <c r="P10" s="29">
        <v>480</v>
      </c>
      <c r="Q10" s="17" t="str">
        <f t="shared" si="0"/>
        <v>Kilometers</v>
      </c>
      <c r="R10" s="195"/>
    </row>
    <row r="11" spans="2:18" x14ac:dyDescent="0.2">
      <c r="B11" s="17" t="str">
        <f>dropdown!$P15</f>
        <v>Diesel - Transport vehicles</v>
      </c>
      <c r="C11" s="17" t="str">
        <f>dropdown!$Q15</f>
        <v>Liters</v>
      </c>
      <c r="D11" s="41">
        <f>SUMIFS(Fuel_Veh[Consumption],Fuel_Veh[Quarter],D$10,Fuel_Veh[Fuel Type],$B$11)</f>
        <v>950.99000000000012</v>
      </c>
      <c r="E11" s="41">
        <f>SUMIFS(Fuel_Veh[Consumption],Fuel_Veh[Quarter],E$10,Fuel_Veh[Fuel Type],$B$11)</f>
        <v>750.27</v>
      </c>
      <c r="F11" s="41">
        <f>SUMIFS(Fuel_Veh[Consumption],Fuel_Veh[Quarter],F$10,Fuel_Veh[Fuel Type],$B$11)</f>
        <v>0</v>
      </c>
      <c r="G11" s="41">
        <f>SUMIFS(Fuel_Veh[Consumption],Fuel_Veh[Quarter],G$10,Fuel_Veh[Fuel Type],$B$11)</f>
        <v>0</v>
      </c>
      <c r="I11" s="194">
        <f>IF($J11="","",$I10+1)</f>
        <v>5</v>
      </c>
      <c r="J11" s="57" t="s">
        <v>365</v>
      </c>
      <c r="K11" s="57" t="s">
        <v>63</v>
      </c>
      <c r="L11" s="58" t="s">
        <v>379</v>
      </c>
      <c r="M11" s="18" t="str">
        <f>IF(Fuel_Veh[[#This Row],[Month]]&lt;&gt;"",VLOOKUP(Fuel_Veh[[#This Row],[Month]], dropdown!$S$4:$T$15, 2, FALSE),"")</f>
        <v>Q2</v>
      </c>
      <c r="N11" s="29">
        <v>77.930000000000007</v>
      </c>
      <c r="O11" s="17" t="str">
        <f>IF($K11="","",VLOOKUP($K11,dropdown!$P$14:$Q$18,2,FALSE))</f>
        <v>Liters</v>
      </c>
      <c r="P11" s="29">
        <v>741</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365</v>
      </c>
      <c r="K12" s="57" t="s">
        <v>63</v>
      </c>
      <c r="L12" s="58" t="s">
        <v>386</v>
      </c>
      <c r="M12" s="18" t="str">
        <f>IF(Fuel_Veh[[#This Row],[Month]]&lt;&gt;"",VLOOKUP(Fuel_Veh[[#This Row],[Month]], dropdown!$S$4:$T$15, 2, FALSE),"")</f>
        <v>Q2</v>
      </c>
      <c r="N12" s="29">
        <v>149.18</v>
      </c>
      <c r="O12" s="17" t="str">
        <f>IF($K12="","",VLOOKUP($K12,dropdown!$P$14:$Q$18,2,FALSE))</f>
        <v>Liters</v>
      </c>
      <c r="P12" s="29">
        <v>1418</v>
      </c>
      <c r="Q12" s="17" t="str">
        <f t="shared" si="0"/>
        <v>Kilometers</v>
      </c>
      <c r="R12" s="195"/>
    </row>
    <row r="13" spans="2:18" ht="14" customHeight="1" x14ac:dyDescent="0.2">
      <c r="I13" s="194">
        <f t="shared" si="1"/>
        <v>7</v>
      </c>
      <c r="J13" s="57" t="s">
        <v>381</v>
      </c>
      <c r="K13" s="57" t="s">
        <v>63</v>
      </c>
      <c r="L13" s="58" t="s">
        <v>338</v>
      </c>
      <c r="M13" s="18" t="str">
        <f>IF(Fuel_Veh[[#This Row],[Month]]&lt;&gt;"",VLOOKUP(Fuel_Veh[[#This Row],[Month]], dropdown!$S$4:$T$15, 2, FALSE),"")</f>
        <v>Q1</v>
      </c>
      <c r="N13" s="29">
        <v>12.4</v>
      </c>
      <c r="O13" s="17" t="str">
        <f>IF($K13="","",VLOOKUP($K13,dropdown!$P$14:$Q$18,2,FALSE))</f>
        <v>Liters</v>
      </c>
      <c r="P13" s="29">
        <v>62</v>
      </c>
      <c r="Q13" s="17" t="str">
        <f t="shared" si="0"/>
        <v>Kilometers</v>
      </c>
      <c r="R13" s="195" t="s">
        <v>1434</v>
      </c>
    </row>
    <row r="14" spans="2:18" x14ac:dyDescent="0.2">
      <c r="B14" s="267" t="s">
        <v>38</v>
      </c>
      <c r="I14" s="194">
        <f t="shared" si="1"/>
        <v>8</v>
      </c>
      <c r="J14" s="57" t="s">
        <v>381</v>
      </c>
      <c r="K14" s="57" t="s">
        <v>63</v>
      </c>
      <c r="L14" s="58" t="s">
        <v>89</v>
      </c>
      <c r="M14" s="18" t="str">
        <f>IF(Fuel_Veh[[#This Row],[Month]]&lt;&gt;"",VLOOKUP(Fuel_Veh[[#This Row],[Month]], dropdown!$S$4:$T$15, 2, FALSE),"")</f>
        <v>Q1</v>
      </c>
      <c r="N14" s="29">
        <v>239.49</v>
      </c>
      <c r="O14" s="17" t="str">
        <f>IF($K14="","",VLOOKUP($K14,dropdown!$P$14:$Q$18,2,FALSE))</f>
        <v>Liters</v>
      </c>
      <c r="P14" s="29">
        <v>1557</v>
      </c>
      <c r="Q14" s="17" t="str">
        <f t="shared" si="0"/>
        <v>Kilometers</v>
      </c>
      <c r="R14" s="195"/>
    </row>
    <row r="15" spans="2:18" x14ac:dyDescent="0.2">
      <c r="B15" s="268" t="s">
        <v>175</v>
      </c>
      <c r="I15" s="194">
        <f t="shared" si="1"/>
        <v>9</v>
      </c>
      <c r="J15" s="57" t="s">
        <v>381</v>
      </c>
      <c r="K15" s="57" t="s">
        <v>63</v>
      </c>
      <c r="L15" s="58" t="s">
        <v>362</v>
      </c>
      <c r="M15" s="18" t="str">
        <f>IF(Fuel_Veh[[#This Row],[Month]]&lt;&gt;"",VLOOKUP(Fuel_Veh[[#This Row],[Month]], dropdown!$S$4:$T$15, 2, FALSE),"")</f>
        <v>Q1</v>
      </c>
      <c r="N15" s="29">
        <v>163.91</v>
      </c>
      <c r="O15" s="17" t="str">
        <f>IF($K15="","",VLOOKUP($K15,dropdown!$P$14:$Q$18,2,FALSE))</f>
        <v>Liters</v>
      </c>
      <c r="P15" s="29">
        <v>1066</v>
      </c>
      <c r="Q15" s="17" t="str">
        <f t="shared" si="0"/>
        <v>Kilometers</v>
      </c>
      <c r="R15" s="195"/>
    </row>
    <row r="16" spans="2:18" x14ac:dyDescent="0.2">
      <c r="B16" s="266" t="s">
        <v>176</v>
      </c>
      <c r="I16" s="194">
        <f t="shared" si="1"/>
        <v>10</v>
      </c>
      <c r="J16" s="57" t="s">
        <v>381</v>
      </c>
      <c r="K16" s="57" t="s">
        <v>63</v>
      </c>
      <c r="L16" s="58" t="s">
        <v>371</v>
      </c>
      <c r="M16" s="18" t="str">
        <f>IF(Fuel_Veh[[#This Row],[Month]]&lt;&gt;"",VLOOKUP(Fuel_Veh[[#This Row],[Month]], dropdown!$S$4:$T$15, 2, FALSE),"")</f>
        <v>Q2</v>
      </c>
      <c r="N16" s="29">
        <v>72.81</v>
      </c>
      <c r="O16" s="17" t="str">
        <f>IF($K16="","",VLOOKUP($K16,dropdown!$P$14:$Q$18,2,FALSE))</f>
        <v>Liters</v>
      </c>
      <c r="P16" s="29">
        <v>437</v>
      </c>
      <c r="Q16" s="17" t="str">
        <f t="shared" si="0"/>
        <v>Kilometers</v>
      </c>
      <c r="R16" s="195"/>
    </row>
    <row r="17" spans="2:18" x14ac:dyDescent="0.2">
      <c r="B17" s="17" t="s">
        <v>177</v>
      </c>
      <c r="I17" s="194">
        <f t="shared" si="1"/>
        <v>11</v>
      </c>
      <c r="J17" s="57" t="s">
        <v>381</v>
      </c>
      <c r="K17" s="57" t="s">
        <v>63</v>
      </c>
      <c r="L17" s="58" t="s">
        <v>379</v>
      </c>
      <c r="M17" s="18" t="str">
        <f>IF(Fuel_Veh[[#This Row],[Month]]&lt;&gt;"",VLOOKUP(Fuel_Veh[[#This Row],[Month]], dropdown!$S$4:$T$15, 2, FALSE),"")</f>
        <v>Q2</v>
      </c>
      <c r="N17" s="29">
        <v>80.11</v>
      </c>
      <c r="O17" s="17" t="str">
        <f>IF($K17="","",VLOOKUP($K17,dropdown!$P$14:$Q$18,2,FALSE))</f>
        <v>Liters</v>
      </c>
      <c r="P17" s="29">
        <v>721</v>
      </c>
      <c r="Q17" s="17" t="str">
        <f t="shared" si="0"/>
        <v>Kilometers</v>
      </c>
      <c r="R17" s="195"/>
    </row>
    <row r="18" spans="2:18" x14ac:dyDescent="0.2">
      <c r="I18" s="194">
        <f t="shared" si="1"/>
        <v>12</v>
      </c>
      <c r="J18" s="57" t="s">
        <v>381</v>
      </c>
      <c r="K18" s="57" t="s">
        <v>63</v>
      </c>
      <c r="L18" s="58" t="s">
        <v>386</v>
      </c>
      <c r="M18" s="18" t="str">
        <f>IF(Fuel_Veh[[#This Row],[Month]]&lt;&gt;"",VLOOKUP(Fuel_Veh[[#This Row],[Month]], dropdown!$S$4:$T$15, 2, FALSE),"")</f>
        <v>Q2</v>
      </c>
      <c r="N18" s="29">
        <v>131.99</v>
      </c>
      <c r="O18" s="17" t="str">
        <f>IF($K18="","",VLOOKUP($K18,dropdown!$P$14:$Q$18,2,FALSE))</f>
        <v>Liters</v>
      </c>
      <c r="P18" s="29">
        <v>1188</v>
      </c>
      <c r="Q18" s="17" t="str">
        <f t="shared" si="0"/>
        <v>Kilometers</v>
      </c>
      <c r="R18" s="195"/>
    </row>
    <row r="19" spans="2:18" x14ac:dyDescent="0.2">
      <c r="I19" s="194">
        <f t="shared" si="1"/>
        <v>13</v>
      </c>
      <c r="J19" s="57" t="s">
        <v>365</v>
      </c>
      <c r="K19" s="57" t="s">
        <v>63</v>
      </c>
      <c r="L19" s="58" t="s">
        <v>338</v>
      </c>
      <c r="M19" s="18" t="str">
        <f>IF(Fuel_Veh[[#This Row],[Month]]&lt;&gt;"",VLOOKUP(Fuel_Veh[[#This Row],[Month]], dropdown!$S$4:$T$15, 2, FALSE),"")</f>
        <v>Q1</v>
      </c>
      <c r="N19" s="29">
        <v>0.01</v>
      </c>
      <c r="O19" s="17" t="str">
        <f>IF($K19="","",VLOOKUP($K19,dropdown!$P$14:$Q$18,2,FALSE))</f>
        <v>Liters</v>
      </c>
      <c r="P19" s="29">
        <v>0.01</v>
      </c>
      <c r="Q19" s="17" t="str">
        <f t="shared" si="0"/>
        <v>Kilometers</v>
      </c>
      <c r="R19" s="195" t="s">
        <v>1433</v>
      </c>
    </row>
    <row r="20" spans="2:18" x14ac:dyDescent="0.2">
      <c r="I20" s="194">
        <f t="shared" si="1"/>
        <v>14</v>
      </c>
      <c r="J20" s="57" t="s">
        <v>365</v>
      </c>
      <c r="K20" s="57" t="s">
        <v>63</v>
      </c>
      <c r="L20" s="58" t="s">
        <v>89</v>
      </c>
      <c r="M20" s="18" t="str">
        <f>IF(Fuel_Veh[[#This Row],[Month]]&lt;&gt;"",VLOOKUP(Fuel_Veh[[#This Row],[Month]], dropdown!$S$4:$T$15, 2, FALSE),"")</f>
        <v>Q1</v>
      </c>
      <c r="N20" s="29">
        <v>11.4</v>
      </c>
      <c r="O20" s="17" t="str">
        <f>IF($K20="","",VLOOKUP($K20,dropdown!$P$14:$Q$18,2,FALSE))</f>
        <v>Liters</v>
      </c>
      <c r="P20" s="29">
        <v>57</v>
      </c>
      <c r="Q20" s="17" t="str">
        <f t="shared" si="0"/>
        <v>Kilometers</v>
      </c>
      <c r="R20" s="195"/>
    </row>
    <row r="21" spans="2:18" x14ac:dyDescent="0.2">
      <c r="I21" s="194">
        <f t="shared" si="1"/>
        <v>15</v>
      </c>
      <c r="J21" s="57" t="s">
        <v>365</v>
      </c>
      <c r="K21" s="57" t="s">
        <v>63</v>
      </c>
      <c r="L21" s="58" t="s">
        <v>362</v>
      </c>
      <c r="M21" s="18" t="str">
        <f>IF(Fuel_Veh[[#This Row],[Month]]&lt;&gt;"",VLOOKUP(Fuel_Veh[[#This Row],[Month]], dropdown!$S$4:$T$15, 2, FALSE),"")</f>
        <v>Q1</v>
      </c>
      <c r="N21" s="29">
        <v>30.2</v>
      </c>
      <c r="O21" s="17" t="str">
        <f>IF($K21="","",VLOOKUP($K21,dropdown!$P$14:$Q$18,2,FALSE))</f>
        <v>Liters</v>
      </c>
      <c r="P21" s="29">
        <v>151</v>
      </c>
      <c r="Q21" s="17" t="str">
        <f t="shared" si="0"/>
        <v>Kilometers</v>
      </c>
      <c r="R21" s="195"/>
    </row>
    <row r="22" spans="2:18" x14ac:dyDescent="0.2">
      <c r="I22" s="194">
        <f t="shared" si="1"/>
        <v>16</v>
      </c>
      <c r="J22" s="57" t="s">
        <v>365</v>
      </c>
      <c r="K22" s="57" t="s">
        <v>63</v>
      </c>
      <c r="L22" s="58" t="s">
        <v>371</v>
      </c>
      <c r="M22" s="18" t="str">
        <f>IF(Fuel_Veh[[#This Row],[Month]]&lt;&gt;"",VLOOKUP(Fuel_Veh[[#This Row],[Month]], dropdown!$S$4:$T$15, 2, FALSE),"")</f>
        <v>Q2</v>
      </c>
      <c r="N22" s="29">
        <v>16.75</v>
      </c>
      <c r="O22" s="17" t="str">
        <f>IF($K22="","",VLOOKUP($K22,dropdown!$P$14:$Q$18,2,FALSE))</f>
        <v>Liters</v>
      </c>
      <c r="P22" s="29">
        <v>67</v>
      </c>
      <c r="Q22" s="17" t="str">
        <f t="shared" si="0"/>
        <v>Kilometers</v>
      </c>
      <c r="R22" s="195"/>
    </row>
    <row r="23" spans="2:18" x14ac:dyDescent="0.2">
      <c r="I23" s="194">
        <f t="shared" si="1"/>
        <v>17</v>
      </c>
      <c r="J23" s="57" t="s">
        <v>365</v>
      </c>
      <c r="K23" s="57" t="s">
        <v>63</v>
      </c>
      <c r="L23" s="58" t="s">
        <v>379</v>
      </c>
      <c r="M23" s="18" t="str">
        <f>IF(Fuel_Veh[[#This Row],[Month]]&lt;&gt;"",VLOOKUP(Fuel_Veh[[#This Row],[Month]], dropdown!$S$4:$T$15, 2, FALSE),"")</f>
        <v>Q2</v>
      </c>
      <c r="N23" s="29">
        <v>17</v>
      </c>
      <c r="O23" s="17" t="str">
        <f>IF($K23="","",VLOOKUP($K23,dropdown!$P$14:$Q$18,2,FALSE))</f>
        <v>Liters</v>
      </c>
      <c r="P23" s="29">
        <v>68</v>
      </c>
      <c r="Q23" s="17" t="str">
        <f t="shared" si="0"/>
        <v>Kilometers</v>
      </c>
      <c r="R23" s="195"/>
    </row>
    <row r="24" spans="2:18" x14ac:dyDescent="0.2">
      <c r="I24" s="194">
        <f t="shared" si="1"/>
        <v>18</v>
      </c>
      <c r="J24" s="57" t="s">
        <v>365</v>
      </c>
      <c r="K24" s="57" t="s">
        <v>63</v>
      </c>
      <c r="L24" s="58" t="s">
        <v>386</v>
      </c>
      <c r="M24" s="18" t="str">
        <f>IF(Fuel_Veh[[#This Row],[Month]]&lt;&gt;"",VLOOKUP(Fuel_Veh[[#This Row],[Month]], dropdown!$S$4:$T$15, 2, FALSE),"")</f>
        <v>Q2</v>
      </c>
      <c r="N24" s="29">
        <v>27.75</v>
      </c>
      <c r="O24" s="17" t="str">
        <f>IF($K24="","",VLOOKUP($K24,dropdown!$P$14:$Q$18,2,FALSE))</f>
        <v>Liters</v>
      </c>
      <c r="P24" s="29">
        <v>111</v>
      </c>
      <c r="Q24" s="17" t="str">
        <f t="shared" si="0"/>
        <v>Kilometers</v>
      </c>
      <c r="R24" s="195"/>
    </row>
    <row r="25" spans="2:18" x14ac:dyDescent="0.2">
      <c r="I25" s="194">
        <f t="shared" si="1"/>
        <v>19</v>
      </c>
      <c r="J25" s="57" t="s">
        <v>343</v>
      </c>
      <c r="K25" s="57" t="s">
        <v>63</v>
      </c>
      <c r="L25" s="58" t="s">
        <v>338</v>
      </c>
      <c r="M25" s="18" t="str">
        <f>IF(Fuel_Veh[[#This Row],[Month]]&lt;&gt;"",VLOOKUP(Fuel_Veh[[#This Row],[Month]], dropdown!$S$4:$T$15, 2, FALSE),"")</f>
        <v>Q1</v>
      </c>
      <c r="N25" s="29">
        <v>9.14</v>
      </c>
      <c r="O25" s="17" t="str">
        <f>IF($K25="","",VLOOKUP($K25,dropdown!$P$14:$Q$18,2,FALSE))</f>
        <v>Liters</v>
      </c>
      <c r="P25" s="29">
        <v>27.4</v>
      </c>
      <c r="Q25" s="17" t="str">
        <f t="shared" si="0"/>
        <v>Kilometers</v>
      </c>
      <c r="R25" s="195" t="s">
        <v>1445</v>
      </c>
    </row>
    <row r="26" spans="2:18" x14ac:dyDescent="0.2">
      <c r="I26" s="194">
        <f t="shared" si="1"/>
        <v>20</v>
      </c>
      <c r="J26" s="57" t="s">
        <v>343</v>
      </c>
      <c r="K26" s="57" t="s">
        <v>63</v>
      </c>
      <c r="L26" s="196" t="s">
        <v>89</v>
      </c>
      <c r="M26" s="18" t="str">
        <f>IF(Fuel_Veh[[#This Row],[Month]]&lt;&gt;"",VLOOKUP(Fuel_Veh[[#This Row],[Month]], dropdown!$S$4:$T$15, 2, FALSE),"")</f>
        <v>Q1</v>
      </c>
      <c r="N26" s="197">
        <v>4.72</v>
      </c>
      <c r="O26" s="198" t="str">
        <f>IF($K26="","",VLOOKUP($K26,dropdown!$P$14:$Q$18,2,FALSE))</f>
        <v>Liters</v>
      </c>
      <c r="P26" s="197">
        <v>14.2</v>
      </c>
      <c r="Q26" s="17" t="str">
        <f t="shared" si="0"/>
        <v>Kilometers</v>
      </c>
      <c r="R26" s="199"/>
    </row>
    <row r="27" spans="2:18" x14ac:dyDescent="0.2">
      <c r="I27" s="194">
        <f t="shared" si="1"/>
        <v>21</v>
      </c>
      <c r="J27" s="57" t="s">
        <v>343</v>
      </c>
      <c r="K27" s="57" t="s">
        <v>63</v>
      </c>
      <c r="L27" s="58" t="s">
        <v>362</v>
      </c>
      <c r="M27" s="18" t="str">
        <f>IF(Fuel_Veh[[#This Row],[Month]]&lt;&gt;"",VLOOKUP(Fuel_Veh[[#This Row],[Month]], dropdown!$S$4:$T$15, 2, FALSE),"")</f>
        <v>Q1</v>
      </c>
      <c r="N27" s="29">
        <v>10.119999999999999</v>
      </c>
      <c r="O27" s="17" t="str">
        <f>IF($K27="","",VLOOKUP($K27,dropdown!$P$14:$Q$18,2,FALSE))</f>
        <v>Liters</v>
      </c>
      <c r="P27" s="29">
        <v>30.4</v>
      </c>
      <c r="Q27" s="17" t="str">
        <f t="shared" si="0"/>
        <v>Kilometers</v>
      </c>
      <c r="R27" s="195"/>
    </row>
    <row r="28" spans="2:18" x14ac:dyDescent="0.2">
      <c r="I28" s="194">
        <f t="shared" si="1"/>
        <v>22</v>
      </c>
      <c r="J28" s="57" t="s">
        <v>343</v>
      </c>
      <c r="K28" s="57" t="s">
        <v>63</v>
      </c>
      <c r="L28" s="58" t="s">
        <v>371</v>
      </c>
      <c r="M28" s="18" t="str">
        <f>IF(Fuel_Veh[[#This Row],[Month]]&lt;&gt;"",VLOOKUP(Fuel_Veh[[#This Row],[Month]], dropdown!$S$4:$T$15, 2, FALSE),"")</f>
        <v>Q2</v>
      </c>
      <c r="N28" s="29">
        <v>11.92</v>
      </c>
      <c r="O28" s="17" t="str">
        <f>IF($K28="","",VLOOKUP($K28,dropdown!$P$14:$Q$18,2,FALSE))</f>
        <v>Liters</v>
      </c>
      <c r="P28" s="29">
        <v>35.799999999999997</v>
      </c>
      <c r="Q28" s="17" t="str">
        <f t="shared" si="0"/>
        <v>Kilometers</v>
      </c>
      <c r="R28" s="195"/>
    </row>
    <row r="29" spans="2:18" x14ac:dyDescent="0.2">
      <c r="I29" s="194">
        <f t="shared" si="1"/>
        <v>23</v>
      </c>
      <c r="J29" s="57" t="s">
        <v>343</v>
      </c>
      <c r="K29" s="57" t="s">
        <v>63</v>
      </c>
      <c r="L29" s="58" t="s">
        <v>379</v>
      </c>
      <c r="M29" s="18" t="str">
        <f>IF(Fuel_Veh[[#This Row],[Month]]&lt;&gt;"",VLOOKUP(Fuel_Veh[[#This Row],[Month]], dropdown!$S$4:$T$15, 2, FALSE),"")</f>
        <v>Q2</v>
      </c>
      <c r="N29" s="29">
        <v>10.02</v>
      </c>
      <c r="O29" s="17" t="str">
        <f>IF($K29="","",VLOOKUP($K29,dropdown!$P$14:$Q$18,2,FALSE))</f>
        <v>Liters</v>
      </c>
      <c r="P29" s="29">
        <v>30.1</v>
      </c>
      <c r="Q29" s="17" t="str">
        <f t="shared" si="0"/>
        <v>Kilometers</v>
      </c>
      <c r="R29" s="195"/>
    </row>
    <row r="30" spans="2:18" x14ac:dyDescent="0.2">
      <c r="I30" s="194">
        <f t="shared" si="1"/>
        <v>24</v>
      </c>
      <c r="J30" s="57" t="s">
        <v>343</v>
      </c>
      <c r="K30" s="345" t="s">
        <v>63</v>
      </c>
      <c r="L30" s="196" t="s">
        <v>386</v>
      </c>
      <c r="M30" s="18" t="str">
        <f>IF(Fuel_Veh[[#This Row],[Month]]&lt;&gt;"",VLOOKUP(Fuel_Veh[[#This Row],[Month]], dropdown!$S$4:$T$15, 2, FALSE),"")</f>
        <v>Q2</v>
      </c>
      <c r="N30" s="197">
        <v>9.42</v>
      </c>
      <c r="O30" s="198" t="str">
        <f>IF($K30="","",VLOOKUP($K30,dropdown!$P$14:$Q$18,2,FALSE))</f>
        <v>Liters</v>
      </c>
      <c r="P30" s="197">
        <v>28.3</v>
      </c>
      <c r="Q30" s="17" t="str">
        <f t="shared" si="0"/>
        <v>Kilometers</v>
      </c>
      <c r="R30" s="199"/>
    </row>
    <row r="31" spans="2:18" x14ac:dyDescent="0.2">
      <c r="I31" s="194">
        <f t="shared" si="1"/>
        <v>25</v>
      </c>
      <c r="J31" s="57" t="s">
        <v>343</v>
      </c>
      <c r="K31" s="57" t="s">
        <v>63</v>
      </c>
      <c r="L31" s="58" t="s">
        <v>338</v>
      </c>
      <c r="M31" s="18" t="str">
        <f>IF(Fuel_Veh[[#This Row],[Month]]&lt;&gt;"",VLOOKUP(Fuel_Veh[[#This Row],[Month]], dropdown!$S$4:$T$15, 2, FALSE),"")</f>
        <v>Q1</v>
      </c>
      <c r="N31" s="29">
        <v>6.83</v>
      </c>
      <c r="O31" s="17" t="str">
        <f>IF($K31="","",VLOOKUP($K31,dropdown!$P$14:$Q$18,2,FALSE))</f>
        <v>Liters</v>
      </c>
      <c r="P31" s="29">
        <v>20.5</v>
      </c>
      <c r="Q31" s="17" t="str">
        <f t="shared" si="0"/>
        <v>Kilometers</v>
      </c>
      <c r="R31" s="199" t="s">
        <v>1448</v>
      </c>
    </row>
    <row r="32" spans="2:18" x14ac:dyDescent="0.2">
      <c r="I32" s="194">
        <f t="shared" si="1"/>
        <v>26</v>
      </c>
      <c r="J32" s="57" t="s">
        <v>343</v>
      </c>
      <c r="K32" s="57" t="s">
        <v>63</v>
      </c>
      <c r="L32" s="58" t="s">
        <v>89</v>
      </c>
      <c r="M32" s="18" t="str">
        <f>IF(Fuel_Veh[[#This Row],[Month]]&lt;&gt;"",VLOOKUP(Fuel_Veh[[#This Row],[Month]], dropdown!$S$4:$T$15, 2, FALSE),"")</f>
        <v>Q1</v>
      </c>
      <c r="N32" s="29">
        <v>3.36</v>
      </c>
      <c r="O32" s="17" t="str">
        <f>IF($K32="","",VLOOKUP($K32,dropdown!$P$14:$Q$18,2,FALSE))</f>
        <v>Liters</v>
      </c>
      <c r="P32" s="29">
        <v>10.1</v>
      </c>
      <c r="Q32" s="17" t="str">
        <f t="shared" si="0"/>
        <v>Kilometers</v>
      </c>
      <c r="R32" s="199"/>
    </row>
    <row r="33" spans="9:18" x14ac:dyDescent="0.2">
      <c r="I33" s="194">
        <f t="shared" si="1"/>
        <v>27</v>
      </c>
      <c r="J33" s="57" t="s">
        <v>343</v>
      </c>
      <c r="K33" s="57" t="s">
        <v>63</v>
      </c>
      <c r="L33" s="58" t="s">
        <v>362</v>
      </c>
      <c r="M33" s="18" t="str">
        <f>IF(Fuel_Veh[[#This Row],[Month]]&lt;&gt;"",VLOOKUP(Fuel_Veh[[#This Row],[Month]], dropdown!$S$4:$T$15, 2, FALSE),"")</f>
        <v>Q1</v>
      </c>
      <c r="N33" s="29">
        <v>35.450000000000003</v>
      </c>
      <c r="O33" s="17" t="str">
        <f>IF($K33="","",VLOOKUP($K33,dropdown!$P$14:$Q$18,2,FALSE))</f>
        <v>Liters</v>
      </c>
      <c r="P33" s="29">
        <v>106.4</v>
      </c>
      <c r="Q33" s="17" t="str">
        <f t="shared" si="0"/>
        <v>Kilometers</v>
      </c>
      <c r="R33" s="199"/>
    </row>
    <row r="34" spans="9:18" x14ac:dyDescent="0.2">
      <c r="I34" s="194">
        <f t="shared" si="1"/>
        <v>28</v>
      </c>
      <c r="J34" s="57" t="s">
        <v>343</v>
      </c>
      <c r="K34" s="57" t="s">
        <v>63</v>
      </c>
      <c r="L34" s="58" t="s">
        <v>371</v>
      </c>
      <c r="M34" s="18" t="str">
        <f>IF(Fuel_Veh[[#This Row],[Month]]&lt;&gt;"",VLOOKUP(Fuel_Veh[[#This Row],[Month]], dropdown!$S$4:$T$15, 2, FALSE),"")</f>
        <v>Q2</v>
      </c>
      <c r="N34" s="29">
        <v>9.99</v>
      </c>
      <c r="O34" s="17" t="str">
        <f>IF($K34="","",VLOOKUP($K34,dropdown!$P$14:$Q$18,2,FALSE))</f>
        <v>Liters</v>
      </c>
      <c r="P34" s="29">
        <v>30</v>
      </c>
      <c r="Q34" s="17" t="str">
        <f t="shared" si="0"/>
        <v>Kilometers</v>
      </c>
      <c r="R34" s="199"/>
    </row>
    <row r="35" spans="9:18" x14ac:dyDescent="0.2">
      <c r="I35" s="194">
        <f t="shared" si="1"/>
        <v>29</v>
      </c>
      <c r="J35" s="57" t="s">
        <v>343</v>
      </c>
      <c r="K35" s="57" t="s">
        <v>63</v>
      </c>
      <c r="L35" s="58" t="s">
        <v>379</v>
      </c>
      <c r="M35" s="18" t="str">
        <f>IF(Fuel_Veh[[#This Row],[Month]]&lt;&gt;"",VLOOKUP(Fuel_Veh[[#This Row],[Month]], dropdown!$S$4:$T$15, 2, FALSE),"")</f>
        <v>Q2</v>
      </c>
      <c r="N35" s="29">
        <v>12.71</v>
      </c>
      <c r="O35" s="17" t="str">
        <f>IF($K35="","",VLOOKUP($K35,dropdown!$P$14:$Q$18,2,FALSE))</f>
        <v>Liters</v>
      </c>
      <c r="P35" s="29">
        <v>38.200000000000003</v>
      </c>
      <c r="Q35" s="17" t="str">
        <f t="shared" si="0"/>
        <v>Kilometers</v>
      </c>
      <c r="R35" s="199"/>
    </row>
    <row r="36" spans="9:18" x14ac:dyDescent="0.2">
      <c r="I36" s="194">
        <f t="shared" si="1"/>
        <v>30</v>
      </c>
      <c r="J36" s="57" t="s">
        <v>343</v>
      </c>
      <c r="K36" s="57" t="s">
        <v>63</v>
      </c>
      <c r="L36" s="58" t="s">
        <v>386</v>
      </c>
      <c r="M36" s="18" t="str">
        <f>IF(Fuel_Veh[[#This Row],[Month]]&lt;&gt;"",VLOOKUP(Fuel_Veh[[#This Row],[Month]], dropdown!$S$4:$T$15, 2, FALSE),"")</f>
        <v>Q2</v>
      </c>
      <c r="N36" s="29">
        <v>10.78</v>
      </c>
      <c r="O36" s="17" t="str">
        <f>IF($K36="","",VLOOKUP($K36,dropdown!$P$14:$Q$18,2,FALSE))</f>
        <v>Liters</v>
      </c>
      <c r="P36" s="29">
        <v>32.4</v>
      </c>
      <c r="Q36" s="17" t="str">
        <f t="shared" si="0"/>
        <v>Kilometers</v>
      </c>
      <c r="R36" s="199"/>
    </row>
    <row r="37" spans="9:18" x14ac:dyDescent="0.2">
      <c r="I37" s="194">
        <f t="shared" si="1"/>
        <v>31</v>
      </c>
      <c r="J37" s="57" t="s">
        <v>343</v>
      </c>
      <c r="K37" s="57" t="s">
        <v>63</v>
      </c>
      <c r="L37" s="58" t="s">
        <v>338</v>
      </c>
      <c r="M37" s="18" t="str">
        <f>IF(Fuel_Veh[[#This Row],[Month]]&lt;&gt;"",VLOOKUP(Fuel_Veh[[#This Row],[Month]], dropdown!$S$4:$T$15, 2, FALSE),"")</f>
        <v>Q1</v>
      </c>
      <c r="N37" s="29">
        <v>6.26</v>
      </c>
      <c r="O37" s="17" t="str">
        <f>IF($K37="","",VLOOKUP($K37,dropdown!$P$14:$Q$18,2,FALSE))</f>
        <v>Liters</v>
      </c>
      <c r="P37" s="29">
        <v>18.8</v>
      </c>
      <c r="Q37" s="17" t="str">
        <f t="shared" ref="Q37:Q48" si="2">IF($P37="","","Kilometers")</f>
        <v>Kilometers</v>
      </c>
      <c r="R37" s="199" t="s">
        <v>1451</v>
      </c>
    </row>
    <row r="38" spans="9:18" x14ac:dyDescent="0.2">
      <c r="I38" s="194">
        <f t="shared" si="1"/>
        <v>32</v>
      </c>
      <c r="J38" s="57" t="s">
        <v>343</v>
      </c>
      <c r="K38" s="57" t="s">
        <v>63</v>
      </c>
      <c r="L38" s="58" t="s">
        <v>89</v>
      </c>
      <c r="M38" s="18" t="str">
        <f>IF(Fuel_Veh[[#This Row],[Month]]&lt;&gt;"",VLOOKUP(Fuel_Veh[[#This Row],[Month]], dropdown!$S$4:$T$15, 2, FALSE),"")</f>
        <v>Q1</v>
      </c>
      <c r="N38" s="29">
        <v>3.2</v>
      </c>
      <c r="O38" s="17" t="str">
        <f>IF($K38="","",VLOOKUP($K38,dropdown!$P$14:$Q$18,2,FALSE))</f>
        <v>Liters</v>
      </c>
      <c r="P38" s="29">
        <v>9.6</v>
      </c>
      <c r="Q38" s="17" t="str">
        <f t="shared" si="2"/>
        <v>Kilometers</v>
      </c>
      <c r="R38" s="199"/>
    </row>
    <row r="39" spans="9:18" x14ac:dyDescent="0.2">
      <c r="I39" s="194">
        <f t="shared" si="1"/>
        <v>33</v>
      </c>
      <c r="J39" s="57" t="s">
        <v>343</v>
      </c>
      <c r="K39" s="57" t="s">
        <v>63</v>
      </c>
      <c r="L39" s="58" t="s">
        <v>362</v>
      </c>
      <c r="M39" s="18" t="str">
        <f>IF(Fuel_Veh[[#This Row],[Month]]&lt;&gt;"",VLOOKUP(Fuel_Veh[[#This Row],[Month]], dropdown!$S$4:$T$15, 2, FALSE),"")</f>
        <v>Q1</v>
      </c>
      <c r="N39" s="29">
        <v>35.57</v>
      </c>
      <c r="O39" s="17" t="str">
        <f>IF($K39="","",VLOOKUP($K39,dropdown!$P$14:$Q$18,2,FALSE))</f>
        <v>Liters</v>
      </c>
      <c r="P39" s="29">
        <v>106.8</v>
      </c>
      <c r="Q39" s="17" t="str">
        <f t="shared" si="2"/>
        <v>Kilometers</v>
      </c>
      <c r="R39" s="199"/>
    </row>
    <row r="40" spans="9:18" x14ac:dyDescent="0.2">
      <c r="I40" s="194">
        <f t="shared" si="1"/>
        <v>34</v>
      </c>
      <c r="J40" s="57" t="s">
        <v>343</v>
      </c>
      <c r="K40" s="57" t="s">
        <v>63</v>
      </c>
      <c r="L40" s="58" t="s">
        <v>371</v>
      </c>
      <c r="M40" s="18" t="str">
        <f>IF(Fuel_Veh[[#This Row],[Month]]&lt;&gt;"",VLOOKUP(Fuel_Veh[[#This Row],[Month]], dropdown!$S$4:$T$15, 2, FALSE),"")</f>
        <v>Q2</v>
      </c>
      <c r="N40" s="29">
        <v>11.52</v>
      </c>
      <c r="O40" s="17" t="str">
        <f>IF($K40="","",VLOOKUP($K40,dropdown!$P$14:$Q$18,2,FALSE))</f>
        <v>Liters</v>
      </c>
      <c r="P40" s="29">
        <v>34.6</v>
      </c>
      <c r="Q40" s="17" t="str">
        <f t="shared" si="2"/>
        <v>Kilometers</v>
      </c>
      <c r="R40" s="199"/>
    </row>
    <row r="41" spans="9:18" x14ac:dyDescent="0.2">
      <c r="I41" s="194">
        <f t="shared" si="1"/>
        <v>35</v>
      </c>
      <c r="J41" s="57" t="s">
        <v>343</v>
      </c>
      <c r="K41" s="57" t="s">
        <v>63</v>
      </c>
      <c r="L41" s="58" t="s">
        <v>379</v>
      </c>
      <c r="M41" s="18" t="str">
        <f>IF(Fuel_Veh[[#This Row],[Month]]&lt;&gt;"",VLOOKUP(Fuel_Veh[[#This Row],[Month]], dropdown!$S$4:$T$15, 2, FALSE),"")</f>
        <v>Q2</v>
      </c>
      <c r="N41" s="29">
        <v>9.85</v>
      </c>
      <c r="O41" s="17" t="str">
        <f>IF($K41="","",VLOOKUP($K41,dropdown!$P$14:$Q$18,2,FALSE))</f>
        <v>Liters</v>
      </c>
      <c r="P41" s="29">
        <v>29.6</v>
      </c>
      <c r="Q41" s="17" t="str">
        <f t="shared" si="2"/>
        <v>Kilometers</v>
      </c>
      <c r="R41" s="199"/>
    </row>
    <row r="42" spans="9:18" x14ac:dyDescent="0.2">
      <c r="I42" s="194">
        <f t="shared" si="1"/>
        <v>36</v>
      </c>
      <c r="J42" s="57" t="s">
        <v>343</v>
      </c>
      <c r="K42" s="57" t="s">
        <v>63</v>
      </c>
      <c r="L42" s="58" t="s">
        <v>386</v>
      </c>
      <c r="M42" s="18" t="str">
        <f>IF(Fuel_Veh[[#This Row],[Month]]&lt;&gt;"",VLOOKUP(Fuel_Veh[[#This Row],[Month]], dropdown!$S$4:$T$15, 2, FALSE),"")</f>
        <v>Q2</v>
      </c>
      <c r="N42" s="29">
        <v>10.58</v>
      </c>
      <c r="O42" s="17" t="str">
        <f>IF($K42="","",VLOOKUP($K42,dropdown!$P$14:$Q$18,2,FALSE))</f>
        <v>Liters</v>
      </c>
      <c r="P42" s="29">
        <v>31.8</v>
      </c>
      <c r="Q42" s="17" t="str">
        <f t="shared" si="2"/>
        <v>Kilometers</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2"/>
        <v/>
      </c>
      <c r="R43" s="350"/>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2"/>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2"/>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2"/>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2"/>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2"/>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3">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3"/>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3"/>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3"/>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3"/>
        <v/>
      </c>
      <c r="R75" s="199"/>
    </row>
    <row r="76" spans="9:18" x14ac:dyDescent="0.2">
      <c r="I76" s="194" t="str">
        <f t="shared" ref="I76:I77" si="4">IF($J76="","",$I75+1)</f>
        <v/>
      </c>
      <c r="J76" s="57"/>
      <c r="K76" s="57"/>
      <c r="L76" s="58"/>
      <c r="M76" s="18" t="str">
        <f>IF(Fuel_Veh[[#This Row],[Month]]&lt;&gt;"",VLOOKUP(Fuel_Veh[[#This Row],[Month]], dropdown!$S$4:$T$15, 2, FALSE),"")</f>
        <v/>
      </c>
      <c r="N76" s="29"/>
      <c r="O76" s="17" t="str">
        <f>IF($K76="","",VLOOKUP($K76,dropdown!$P$14:$Q$18,2,FALSE))</f>
        <v/>
      </c>
      <c r="P76" s="29"/>
      <c r="Q76" s="17" t="str">
        <f t="shared" si="3"/>
        <v/>
      </c>
      <c r="R76" s="199"/>
    </row>
    <row r="77" spans="9:18" x14ac:dyDescent="0.2">
      <c r="I77" s="194" t="str">
        <f t="shared" si="4"/>
        <v/>
      </c>
      <c r="J77" s="57"/>
      <c r="K77" s="57"/>
      <c r="L77" s="58"/>
      <c r="M77" s="18" t="str">
        <f>IF(Fuel_Veh[[#This Row],[Month]]&lt;&gt;"",VLOOKUP(Fuel_Veh[[#This Row],[Month]], dropdown!$S$4:$T$15, 2, FALSE),"")</f>
        <v/>
      </c>
      <c r="N77" s="29"/>
      <c r="O77" s="17" t="str">
        <f>IF($K77="","",VLOOKUP($K77,dropdown!$P$14:$Q$18,2,FALSE))</f>
        <v/>
      </c>
      <c r="P77" s="29"/>
      <c r="Q77" s="17" t="str">
        <f t="shared" si="3"/>
        <v/>
      </c>
      <c r="R77" s="199"/>
    </row>
    <row r="78" spans="9:18" x14ac:dyDescent="0.2">
      <c r="I78" s="194" t="str">
        <f t="shared" ref="I78:I85" si="5">IF($J78="","",$I77+1)</f>
        <v/>
      </c>
      <c r="J78" s="57"/>
      <c r="K78" s="57"/>
      <c r="L78" s="58"/>
      <c r="M78" s="18" t="str">
        <f>IF(Fuel_Veh[[#This Row],[Month]]&lt;&gt;"",VLOOKUP(Fuel_Veh[[#This Row],[Month]], dropdown!$S$4:$T$15, 2, FALSE),"")</f>
        <v/>
      </c>
      <c r="N78" s="29"/>
      <c r="O78" s="17" t="str">
        <f>IF($K78="","",VLOOKUP($K78,dropdown!$P$14:$Q$18,2,FALSE))</f>
        <v/>
      </c>
      <c r="P78" s="29"/>
      <c r="Q78" s="17" t="str">
        <f t="shared" si="3"/>
        <v/>
      </c>
      <c r="R78" s="199"/>
    </row>
    <row r="79" spans="9:18" x14ac:dyDescent="0.2">
      <c r="I79" s="194" t="str">
        <f t="shared" si="5"/>
        <v/>
      </c>
      <c r="J79" s="57"/>
      <c r="K79" s="57"/>
      <c r="L79" s="58"/>
      <c r="M79" s="18" t="str">
        <f>IF(Fuel_Veh[[#This Row],[Month]]&lt;&gt;"",VLOOKUP(Fuel_Veh[[#This Row],[Month]], dropdown!$S$4:$T$15, 2, FALSE),"")</f>
        <v/>
      </c>
      <c r="N79" s="29"/>
      <c r="O79" s="17" t="str">
        <f>IF($K79="","",VLOOKUP($K79,dropdown!$P$14:$Q$18,2,FALSE))</f>
        <v/>
      </c>
      <c r="P79" s="29"/>
      <c r="Q79" s="17" t="str">
        <f t="shared" si="3"/>
        <v/>
      </c>
      <c r="R79" s="199"/>
    </row>
    <row r="80" spans="9:18" x14ac:dyDescent="0.2">
      <c r="I80" s="194" t="str">
        <f t="shared" si="5"/>
        <v/>
      </c>
      <c r="J80" s="57"/>
      <c r="K80" s="57"/>
      <c r="L80" s="58"/>
      <c r="M80" s="18" t="str">
        <f>IF(Fuel_Veh[[#This Row],[Month]]&lt;&gt;"",VLOOKUP(Fuel_Veh[[#This Row],[Month]], dropdown!$S$4:$T$15, 2, FALSE),"")</f>
        <v/>
      </c>
      <c r="N80" s="29"/>
      <c r="O80" s="17" t="str">
        <f>IF($K80="","",VLOOKUP($K80,dropdown!$P$14:$Q$18,2,FALSE))</f>
        <v/>
      </c>
      <c r="P80" s="29"/>
      <c r="Q80" s="17" t="str">
        <f t="shared" si="3"/>
        <v/>
      </c>
      <c r="R80" s="199"/>
    </row>
    <row r="81" spans="9:18" x14ac:dyDescent="0.2">
      <c r="I81" s="194" t="str">
        <f t="shared" si="5"/>
        <v/>
      </c>
      <c r="J81" s="57"/>
      <c r="K81" s="57"/>
      <c r="L81" s="58"/>
      <c r="M81" s="18" t="str">
        <f>IF(Fuel_Veh[[#This Row],[Month]]&lt;&gt;"",VLOOKUP(Fuel_Veh[[#This Row],[Month]], dropdown!$S$4:$T$15, 2, FALSE),"")</f>
        <v/>
      </c>
      <c r="N81" s="29"/>
      <c r="O81" s="17" t="str">
        <f>IF($K81="","",VLOOKUP($K81,dropdown!$P$14:$Q$18,2,FALSE))</f>
        <v/>
      </c>
      <c r="P81" s="29"/>
      <c r="Q81" s="17" t="str">
        <f t="shared" si="3"/>
        <v/>
      </c>
      <c r="R81" s="199"/>
    </row>
    <row r="82" spans="9:18" x14ac:dyDescent="0.2">
      <c r="I82" s="194" t="str">
        <f t="shared" si="5"/>
        <v/>
      </c>
      <c r="J82" s="57"/>
      <c r="K82" s="57"/>
      <c r="L82" s="58"/>
      <c r="M82" s="18" t="str">
        <f>IF(Fuel_Veh[[#This Row],[Month]]&lt;&gt;"",VLOOKUP(Fuel_Veh[[#This Row],[Month]], dropdown!$S$4:$T$15, 2, FALSE),"")</f>
        <v/>
      </c>
      <c r="N82" s="29"/>
      <c r="O82" s="17" t="str">
        <f>IF($K82="","",VLOOKUP($K82,dropdown!$P$14:$Q$18,2,FALSE))</f>
        <v/>
      </c>
      <c r="P82" s="29"/>
      <c r="Q82" s="17" t="str">
        <f t="shared" si="3"/>
        <v/>
      </c>
      <c r="R82" s="199"/>
    </row>
    <row r="83" spans="9:18" x14ac:dyDescent="0.2">
      <c r="I83" s="194" t="str">
        <f t="shared" si="5"/>
        <v/>
      </c>
      <c r="J83" s="57"/>
      <c r="K83" s="57"/>
      <c r="L83" s="58"/>
      <c r="M83" s="18" t="str">
        <f>IF(Fuel_Veh[[#This Row],[Month]]&lt;&gt;"",VLOOKUP(Fuel_Veh[[#This Row],[Month]], dropdown!$S$4:$T$15, 2, FALSE),"")</f>
        <v/>
      </c>
      <c r="N83" s="29"/>
      <c r="O83" s="17" t="str">
        <f>IF($K83="","",VLOOKUP($K83,dropdown!$P$14:$Q$18,2,FALSE))</f>
        <v/>
      </c>
      <c r="P83" s="29"/>
      <c r="Q83" s="17" t="str">
        <f t="shared" si="3"/>
        <v/>
      </c>
      <c r="R83" s="199"/>
    </row>
    <row r="84" spans="9:18" x14ac:dyDescent="0.2">
      <c r="I84" s="194" t="str">
        <f t="shared" si="5"/>
        <v/>
      </c>
      <c r="J84" s="57"/>
      <c r="K84" s="57"/>
      <c r="L84" s="58"/>
      <c r="M84" s="18" t="str">
        <f>IF(Fuel_Veh[[#This Row],[Month]]&lt;&gt;"",VLOOKUP(Fuel_Veh[[#This Row],[Month]], dropdown!$S$4:$T$15, 2, FALSE),"")</f>
        <v/>
      </c>
      <c r="N84" s="29"/>
      <c r="O84" s="17" t="str">
        <f>IF($K84="","",VLOOKUP($K84,dropdown!$P$14:$Q$18,2,FALSE))</f>
        <v/>
      </c>
      <c r="P84" s="29"/>
      <c r="Q84" s="17" t="str">
        <f t="shared" si="3"/>
        <v/>
      </c>
      <c r="R84" s="199"/>
    </row>
    <row r="85" spans="9:18" x14ac:dyDescent="0.2">
      <c r="I85" s="194" t="str">
        <f t="shared" si="5"/>
        <v/>
      </c>
      <c r="J85" s="57"/>
      <c r="K85" s="57"/>
      <c r="L85" s="58"/>
      <c r="M85" s="18" t="str">
        <f>IF(Fuel_Veh[[#This Row],[Month]]&lt;&gt;"",VLOOKUP(Fuel_Veh[[#This Row],[Month]], dropdown!$S$4:$T$15, 2, FALSE),"")</f>
        <v/>
      </c>
      <c r="N85" s="29"/>
      <c r="O85" s="17" t="str">
        <f>IF($K85="","",VLOOKUP($K85,dropdown!$P$14:$Q$18,2,FALSE))</f>
        <v/>
      </c>
      <c r="P85" s="29"/>
      <c r="Q85" s="17" t="str">
        <f t="shared" si="3"/>
        <v/>
      </c>
      <c r="R85" s="199"/>
    </row>
    <row r="86" spans="9:18" x14ac:dyDescent="0.2">
      <c r="I86" s="194" t="str">
        <f t="shared" ref="I86:I106" si="6">IF($J86="","",$I85+1)</f>
        <v/>
      </c>
      <c r="J86" s="57"/>
      <c r="K86" s="57"/>
      <c r="L86" s="58"/>
      <c r="M86" s="18" t="str">
        <f>IF(Fuel_Veh[[#This Row],[Month]]&lt;&gt;"",VLOOKUP(Fuel_Veh[[#This Row],[Month]], dropdown!$S$4:$T$15, 2, FALSE),"")</f>
        <v/>
      </c>
      <c r="N86" s="29"/>
      <c r="O86" s="17" t="str">
        <f>IF($K86="","",VLOOKUP($K86,dropdown!$P$14:$Q$18,2,FALSE))</f>
        <v/>
      </c>
      <c r="P86" s="29"/>
      <c r="Q86" s="17" t="str">
        <f t="shared" si="3"/>
        <v/>
      </c>
      <c r="R86" s="199"/>
    </row>
    <row r="87" spans="9:18" x14ac:dyDescent="0.2">
      <c r="I87" s="194" t="str">
        <f t="shared" si="6"/>
        <v/>
      </c>
      <c r="J87" s="57"/>
      <c r="K87" s="57"/>
      <c r="L87" s="58"/>
      <c r="M87" s="18" t="str">
        <f>IF(Fuel_Veh[[#This Row],[Month]]&lt;&gt;"",VLOOKUP(Fuel_Veh[[#This Row],[Month]], dropdown!$S$4:$T$15, 2, FALSE),"")</f>
        <v/>
      </c>
      <c r="N87" s="29"/>
      <c r="O87" s="17" t="str">
        <f>IF($K87="","",VLOOKUP($K87,dropdown!$P$14:$Q$18,2,FALSE))</f>
        <v/>
      </c>
      <c r="P87" s="29"/>
      <c r="Q87" s="17" t="str">
        <f t="shared" si="3"/>
        <v/>
      </c>
      <c r="R87" s="199"/>
    </row>
    <row r="88" spans="9:18" x14ac:dyDescent="0.2">
      <c r="I88" s="194" t="str">
        <f t="shared" si="6"/>
        <v/>
      </c>
      <c r="J88" s="57"/>
      <c r="K88" s="57"/>
      <c r="L88" s="58"/>
      <c r="M88" s="18" t="str">
        <f>IF(Fuel_Veh[[#This Row],[Month]]&lt;&gt;"",VLOOKUP(Fuel_Veh[[#This Row],[Month]], dropdown!$S$4:$T$15, 2, FALSE),"")</f>
        <v/>
      </c>
      <c r="N88" s="29"/>
      <c r="O88" s="17" t="str">
        <f>IF($K88="","",VLOOKUP($K88,dropdown!$P$14:$Q$18,2,FALSE))</f>
        <v/>
      </c>
      <c r="P88" s="29"/>
      <c r="Q88" s="17" t="str">
        <f t="shared" si="3"/>
        <v/>
      </c>
      <c r="R88" s="199"/>
    </row>
    <row r="89" spans="9:18" x14ac:dyDescent="0.2">
      <c r="I89" s="194" t="str">
        <f t="shared" si="6"/>
        <v/>
      </c>
      <c r="J89" s="57"/>
      <c r="K89" s="57"/>
      <c r="L89" s="58"/>
      <c r="M89" s="18" t="str">
        <f>IF(Fuel_Veh[[#This Row],[Month]]&lt;&gt;"",VLOOKUP(Fuel_Veh[[#This Row],[Month]], dropdown!$S$4:$T$15, 2, FALSE),"")</f>
        <v/>
      </c>
      <c r="N89" s="29"/>
      <c r="O89" s="17" t="str">
        <f>IF($K89="","",VLOOKUP($K89,dropdown!$P$14:$Q$18,2,FALSE))</f>
        <v/>
      </c>
      <c r="P89" s="29"/>
      <c r="Q89" s="17" t="str">
        <f t="shared" si="3"/>
        <v/>
      </c>
      <c r="R89" s="199"/>
    </row>
    <row r="90" spans="9:18" x14ac:dyDescent="0.2">
      <c r="I90" s="194" t="str">
        <f t="shared" si="6"/>
        <v/>
      </c>
      <c r="J90" s="57"/>
      <c r="K90" s="57"/>
      <c r="L90" s="58"/>
      <c r="M90" s="18" t="str">
        <f>IF(Fuel_Veh[[#This Row],[Month]]&lt;&gt;"",VLOOKUP(Fuel_Veh[[#This Row],[Month]], dropdown!$S$4:$T$15, 2, FALSE),"")</f>
        <v/>
      </c>
      <c r="N90" s="29"/>
      <c r="O90" s="17" t="str">
        <f>IF($K90="","",VLOOKUP($K90,dropdown!$P$14:$Q$18,2,FALSE))</f>
        <v/>
      </c>
      <c r="P90" s="29"/>
      <c r="Q90" s="17" t="str">
        <f t="shared" si="3"/>
        <v/>
      </c>
      <c r="R90" s="199"/>
    </row>
    <row r="91" spans="9:18" x14ac:dyDescent="0.2">
      <c r="I91" s="194" t="str">
        <f t="shared" si="6"/>
        <v/>
      </c>
      <c r="J91" s="57"/>
      <c r="K91" s="57"/>
      <c r="L91" s="58"/>
      <c r="M91" s="18" t="str">
        <f>IF(Fuel_Veh[[#This Row],[Month]]&lt;&gt;"",VLOOKUP(Fuel_Veh[[#This Row],[Month]], dropdown!$S$4:$T$15, 2, FALSE),"")</f>
        <v/>
      </c>
      <c r="N91" s="29"/>
      <c r="O91" s="17" t="str">
        <f>IF($K91="","",VLOOKUP($K91,dropdown!$P$14:$Q$18,2,FALSE))</f>
        <v/>
      </c>
      <c r="P91" s="29"/>
      <c r="Q91" s="17" t="str">
        <f t="shared" si="3"/>
        <v/>
      </c>
      <c r="R91" s="199"/>
    </row>
    <row r="92" spans="9:18" x14ac:dyDescent="0.2">
      <c r="I92" s="194" t="str">
        <f t="shared" si="6"/>
        <v/>
      </c>
      <c r="J92" s="57"/>
      <c r="K92" s="57"/>
      <c r="L92" s="58"/>
      <c r="M92" s="18" t="str">
        <f>IF(Fuel_Veh[[#This Row],[Month]]&lt;&gt;"",VLOOKUP(Fuel_Veh[[#This Row],[Month]], dropdown!$S$4:$T$15, 2, FALSE),"")</f>
        <v/>
      </c>
      <c r="N92" s="29"/>
      <c r="O92" s="17" t="str">
        <f>IF($K92="","",VLOOKUP($K92,dropdown!$P$14:$Q$18,2,FALSE))</f>
        <v/>
      </c>
      <c r="P92" s="29"/>
      <c r="Q92" s="17" t="str">
        <f t="shared" si="3"/>
        <v/>
      </c>
      <c r="R92" s="199"/>
    </row>
    <row r="93" spans="9:18" x14ac:dyDescent="0.2">
      <c r="I93" s="194" t="str">
        <f t="shared" si="6"/>
        <v/>
      </c>
      <c r="J93" s="57"/>
      <c r="K93" s="57"/>
      <c r="L93" s="58"/>
      <c r="M93" s="18" t="str">
        <f>IF(Fuel_Veh[[#This Row],[Month]]&lt;&gt;"",VLOOKUP(Fuel_Veh[[#This Row],[Month]], dropdown!$S$4:$T$15, 2, FALSE),"")</f>
        <v/>
      </c>
      <c r="N93" s="29"/>
      <c r="O93" s="17" t="str">
        <f>IF($K93="","",VLOOKUP($K93,dropdown!$P$14:$Q$18,2,FALSE))</f>
        <v/>
      </c>
      <c r="P93" s="29"/>
      <c r="Q93" s="17" t="str">
        <f t="shared" si="3"/>
        <v/>
      </c>
      <c r="R93" s="199"/>
    </row>
    <row r="94" spans="9:18" x14ac:dyDescent="0.2">
      <c r="I94" s="194" t="str">
        <f t="shared" si="6"/>
        <v/>
      </c>
      <c r="J94" s="57"/>
      <c r="K94" s="57"/>
      <c r="L94" s="58"/>
      <c r="M94" s="18" t="str">
        <f>IF(Fuel_Veh[[#This Row],[Month]]&lt;&gt;"",VLOOKUP(Fuel_Veh[[#This Row],[Month]], dropdown!$S$4:$T$15, 2, FALSE),"")</f>
        <v/>
      </c>
      <c r="N94" s="29"/>
      <c r="O94" s="17" t="str">
        <f>IF($K94="","",VLOOKUP($K94,dropdown!$P$14:$Q$18,2,FALSE))</f>
        <v/>
      </c>
      <c r="P94" s="29"/>
      <c r="Q94" s="17" t="str">
        <f t="shared" si="3"/>
        <v/>
      </c>
      <c r="R94" s="199"/>
    </row>
    <row r="95" spans="9:18" x14ac:dyDescent="0.2">
      <c r="I95" s="194" t="str">
        <f t="shared" si="6"/>
        <v/>
      </c>
      <c r="J95" s="57"/>
      <c r="K95" s="57"/>
      <c r="L95" s="58"/>
      <c r="M95" s="18" t="str">
        <f>IF(Fuel_Veh[[#This Row],[Month]]&lt;&gt;"",VLOOKUP(Fuel_Veh[[#This Row],[Month]], dropdown!$S$4:$T$15, 2, FALSE),"")</f>
        <v/>
      </c>
      <c r="N95" s="29"/>
      <c r="O95" s="17" t="str">
        <f>IF($K95="","",VLOOKUP($K95,dropdown!$P$14:$Q$18,2,FALSE))</f>
        <v/>
      </c>
      <c r="P95" s="29"/>
      <c r="Q95" s="17" t="str">
        <f t="shared" si="3"/>
        <v/>
      </c>
      <c r="R95" s="199"/>
    </row>
    <row r="96" spans="9:18" x14ac:dyDescent="0.2">
      <c r="I96" s="194" t="str">
        <f t="shared" si="6"/>
        <v/>
      </c>
      <c r="J96" s="57"/>
      <c r="K96" s="57"/>
      <c r="L96" s="58"/>
      <c r="M96" s="18" t="str">
        <f>IF(Fuel_Veh[[#This Row],[Month]]&lt;&gt;"",VLOOKUP(Fuel_Veh[[#This Row],[Month]], dropdown!$S$4:$T$15, 2, FALSE),"")</f>
        <v/>
      </c>
      <c r="N96" s="29"/>
      <c r="O96" s="17" t="str">
        <f>IF($K96="","",VLOOKUP($K96,dropdown!$P$14:$Q$18,2,FALSE))</f>
        <v/>
      </c>
      <c r="P96" s="29"/>
      <c r="Q96" s="17" t="str">
        <f t="shared" si="3"/>
        <v/>
      </c>
      <c r="R96" s="199"/>
    </row>
    <row r="97" spans="9:18" x14ac:dyDescent="0.2">
      <c r="I97" s="194" t="str">
        <f t="shared" si="6"/>
        <v/>
      </c>
      <c r="J97" s="57"/>
      <c r="K97" s="57"/>
      <c r="L97" s="58"/>
      <c r="M97" s="18" t="str">
        <f>IF(Fuel_Veh[[#This Row],[Month]]&lt;&gt;"",VLOOKUP(Fuel_Veh[[#This Row],[Month]], dropdown!$S$4:$T$15, 2, FALSE),"")</f>
        <v/>
      </c>
      <c r="N97" s="29"/>
      <c r="O97" s="17" t="str">
        <f>IF($K97="","",VLOOKUP($K97,dropdown!$P$14:$Q$18,2,FALSE))</f>
        <v/>
      </c>
      <c r="P97" s="29"/>
      <c r="Q97" s="17" t="str">
        <f t="shared" si="3"/>
        <v/>
      </c>
      <c r="R97" s="199"/>
    </row>
    <row r="98" spans="9:18" x14ac:dyDescent="0.2">
      <c r="I98" s="194" t="str">
        <f t="shared" si="6"/>
        <v/>
      </c>
      <c r="J98" s="57"/>
      <c r="K98" s="57"/>
      <c r="L98" s="58"/>
      <c r="M98" s="18" t="str">
        <f>IF(Fuel_Veh[[#This Row],[Month]]&lt;&gt;"",VLOOKUP(Fuel_Veh[[#This Row],[Month]], dropdown!$S$4:$T$15, 2, FALSE),"")</f>
        <v/>
      </c>
      <c r="N98" s="29"/>
      <c r="O98" s="17" t="str">
        <f>IF($K98="","",VLOOKUP($K98,dropdown!$P$14:$Q$18,2,FALSE))</f>
        <v/>
      </c>
      <c r="P98" s="29"/>
      <c r="Q98" s="17" t="str">
        <f t="shared" si="3"/>
        <v/>
      </c>
      <c r="R98" s="199"/>
    </row>
    <row r="99" spans="9:18" x14ac:dyDescent="0.2">
      <c r="I99" s="194" t="str">
        <f t="shared" si="6"/>
        <v/>
      </c>
      <c r="J99" s="57"/>
      <c r="K99" s="57"/>
      <c r="L99" s="58"/>
      <c r="M99" s="18" t="str">
        <f>IF(Fuel_Veh[[#This Row],[Month]]&lt;&gt;"",VLOOKUP(Fuel_Veh[[#This Row],[Month]], dropdown!$S$4:$T$15, 2, FALSE),"")</f>
        <v/>
      </c>
      <c r="N99" s="29"/>
      <c r="O99" s="17" t="str">
        <f>IF($K99="","",VLOOKUP($K99,dropdown!$P$14:$Q$18,2,FALSE))</f>
        <v/>
      </c>
      <c r="P99" s="29"/>
      <c r="Q99" s="17" t="str">
        <f t="shared" si="3"/>
        <v/>
      </c>
      <c r="R99" s="199"/>
    </row>
    <row r="100" spans="9:18" x14ac:dyDescent="0.2">
      <c r="I100" s="194" t="str">
        <f t="shared" si="6"/>
        <v/>
      </c>
      <c r="J100" s="57"/>
      <c r="K100" s="57"/>
      <c r="L100" s="58"/>
      <c r="M100" s="18" t="str">
        <f>IF(Fuel_Veh[[#This Row],[Month]]&lt;&gt;"",VLOOKUP(Fuel_Veh[[#This Row],[Month]], dropdown!$S$4:$T$15, 2, FALSE),"")</f>
        <v/>
      </c>
      <c r="N100" s="29"/>
      <c r="O100" s="17" t="str">
        <f>IF($K100="","",VLOOKUP($K100,dropdown!$P$14:$Q$18,2,FALSE))</f>
        <v/>
      </c>
      <c r="P100" s="29"/>
      <c r="Q100" s="17" t="str">
        <f t="shared" si="3"/>
        <v/>
      </c>
      <c r="R100" s="199"/>
    </row>
    <row r="101" spans="9:18" x14ac:dyDescent="0.2">
      <c r="I101" s="194" t="str">
        <f t="shared" si="6"/>
        <v/>
      </c>
      <c r="J101" s="57"/>
      <c r="K101" s="57"/>
      <c r="L101" s="58"/>
      <c r="M101" s="18" t="str">
        <f>IF(Fuel_Veh[[#This Row],[Month]]&lt;&gt;"",VLOOKUP(Fuel_Veh[[#This Row],[Month]], dropdown!$S$4:$T$15, 2, FALSE),"")</f>
        <v/>
      </c>
      <c r="N101" s="29"/>
      <c r="O101" s="17" t="str">
        <f>IF($K101="","",VLOOKUP($K101,dropdown!$P$14:$Q$18,2,FALSE))</f>
        <v/>
      </c>
      <c r="P101" s="29"/>
      <c r="Q101" s="17" t="str">
        <f t="shared" si="3"/>
        <v/>
      </c>
      <c r="R101" s="199"/>
    </row>
    <row r="102" spans="9:18" x14ac:dyDescent="0.2">
      <c r="I102" s="194" t="str">
        <f t="shared" si="6"/>
        <v/>
      </c>
      <c r="J102" s="57"/>
      <c r="K102" s="57"/>
      <c r="L102" s="58"/>
      <c r="M102" s="18" t="str">
        <f>IF(Fuel_Veh[[#This Row],[Month]]&lt;&gt;"",VLOOKUP(Fuel_Veh[[#This Row],[Month]], dropdown!$S$4:$T$15, 2, FALSE),"")</f>
        <v/>
      </c>
      <c r="N102" s="29"/>
      <c r="O102" s="17" t="str">
        <f>IF($K102="","",VLOOKUP($K102,dropdown!$P$14:$Q$18,2,FALSE))</f>
        <v/>
      </c>
      <c r="P102" s="29"/>
      <c r="Q102" s="17" t="str">
        <f t="shared" si="3"/>
        <v/>
      </c>
      <c r="R102" s="199"/>
    </row>
    <row r="103" spans="9:18" x14ac:dyDescent="0.2">
      <c r="I103" s="194" t="str">
        <f t="shared" si="6"/>
        <v/>
      </c>
      <c r="J103" s="57"/>
      <c r="K103" s="57"/>
      <c r="L103" s="58"/>
      <c r="M103" s="18" t="str">
        <f>IF(Fuel_Veh[[#This Row],[Month]]&lt;&gt;"",VLOOKUP(Fuel_Veh[[#This Row],[Month]], dropdown!$S$4:$T$15, 2, FALSE),"")</f>
        <v/>
      </c>
      <c r="N103" s="29"/>
      <c r="O103" s="17" t="str">
        <f>IF($K103="","",VLOOKUP($K103,dropdown!$P$14:$Q$18,2,FALSE))</f>
        <v/>
      </c>
      <c r="P103" s="29"/>
      <c r="Q103" s="17" t="str">
        <f t="shared" si="3"/>
        <v/>
      </c>
      <c r="R103" s="199"/>
    </row>
    <row r="104" spans="9:18" x14ac:dyDescent="0.2">
      <c r="I104" s="194" t="str">
        <f t="shared" si="6"/>
        <v/>
      </c>
      <c r="J104" s="57"/>
      <c r="K104" s="57"/>
      <c r="L104" s="58"/>
      <c r="M104" s="18" t="str">
        <f>IF(Fuel_Veh[[#This Row],[Month]]&lt;&gt;"",VLOOKUP(Fuel_Veh[[#This Row],[Month]], dropdown!$S$4:$T$15, 2, FALSE),"")</f>
        <v/>
      </c>
      <c r="N104" s="29"/>
      <c r="O104" s="17" t="str">
        <f>IF($K104="","",VLOOKUP($K104,dropdown!$P$14:$Q$18,2,FALSE))</f>
        <v/>
      </c>
      <c r="P104" s="29"/>
      <c r="Q104" s="17" t="str">
        <f t="shared" si="3"/>
        <v/>
      </c>
      <c r="R104" s="199"/>
    </row>
    <row r="105" spans="9:18" x14ac:dyDescent="0.2">
      <c r="I105" s="194" t="str">
        <f t="shared" si="6"/>
        <v/>
      </c>
      <c r="J105" s="57"/>
      <c r="K105" s="57"/>
      <c r="L105" s="58"/>
      <c r="M105" s="18" t="str">
        <f>IF(Fuel_Veh[[#This Row],[Month]]&lt;&gt;"",VLOOKUP(Fuel_Veh[[#This Row],[Month]], dropdown!$S$4:$T$15, 2, FALSE),"")</f>
        <v/>
      </c>
      <c r="N105" s="29"/>
      <c r="O105" s="17" t="str">
        <f>IF($K105="","",VLOOKUP($K105,dropdown!$P$14:$Q$18,2,FALSE))</f>
        <v/>
      </c>
      <c r="P105" s="29"/>
      <c r="Q105" s="17" t="str">
        <f t="shared" si="3"/>
        <v/>
      </c>
      <c r="R105" s="199"/>
    </row>
    <row r="106" spans="9:18" x14ac:dyDescent="0.2">
      <c r="I106" s="194" t="str">
        <f t="shared" si="6"/>
        <v/>
      </c>
      <c r="J106" s="57"/>
      <c r="K106" s="57"/>
      <c r="L106" s="58"/>
      <c r="M106" s="18" t="str">
        <f>IF(Fuel_Veh[[#This Row],[Month]]&lt;&gt;"",VLOOKUP(Fuel_Veh[[#This Row],[Month]], dropdown!$S$4:$T$15, 2, FALSE),"")</f>
        <v/>
      </c>
      <c r="N106" s="29"/>
      <c r="O106" s="17" t="str">
        <f>IF($K106="","",VLOOKUP($K106,dropdown!$P$14:$Q$18,2,FALSE))</f>
        <v/>
      </c>
      <c r="P106" s="29"/>
      <c r="Q106" s="17" t="str">
        <f t="shared" si="3"/>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P6:P106 N19:N106 N6:N16 R44:R106 R6:R42" name="Range1"/>
  </protectedRanges>
  <mergeCells count="2">
    <mergeCell ref="C6:G6"/>
    <mergeCell ref="C7:G7"/>
  </mergeCells>
  <conditionalFormatting sqref="K7:Q16 K19:Q106 K17:M18 O17:Q18">
    <cfRule type="expression" dxfId="99" priority="1">
      <formula>$J7="BEV"</formula>
    </cfRule>
  </conditionalFormatting>
  <conditionalFormatting sqref="N16">
    <cfRule type="expression" dxfId="98" priority="8">
      <formula>$J18="BEV"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I7" zoomScale="115" zoomScaleNormal="115" workbookViewId="0">
      <selection activeCell="M17" sqref="M1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Zamboanga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1432</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0">
        <v>45910</v>
      </c>
      <c r="D7" s="448"/>
      <c r="E7" s="448"/>
      <c r="F7" s="448"/>
      <c r="G7" s="449"/>
      <c r="I7" s="418" t="s">
        <v>154</v>
      </c>
      <c r="J7" s="417"/>
      <c r="K7" s="415"/>
      <c r="L7" s="415"/>
      <c r="M7" s="415"/>
      <c r="N7" s="415"/>
      <c r="O7" s="455" t="s">
        <v>183</v>
      </c>
      <c r="P7" s="455"/>
      <c r="Q7" s="456" t="s">
        <v>184</v>
      </c>
      <c r="R7" s="457"/>
      <c r="S7" s="458" t="s">
        <v>86</v>
      </c>
      <c r="T7" s="459"/>
      <c r="U7" s="459"/>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1441</v>
      </c>
      <c r="K9" s="391" t="s">
        <v>197</v>
      </c>
      <c r="L9" s="392">
        <v>16</v>
      </c>
      <c r="M9" s="393" t="s">
        <v>380</v>
      </c>
      <c r="N9" s="419" t="s">
        <v>352</v>
      </c>
      <c r="O9" s="397"/>
      <c r="P9" s="398"/>
      <c r="Q9" s="397" t="s">
        <v>338</v>
      </c>
      <c r="R9" s="399">
        <v>0</v>
      </c>
      <c r="S9" s="397"/>
      <c r="T9" s="399"/>
      <c r="U9" s="399"/>
      <c r="V9" s="430" t="str">
        <f>IFERROR(VLOOKUP($O9, dropdown!$S$4:$T$15, 2, FALSE),
 IFERROR(VLOOKUP($Q9, dropdown!$S$4:$T$15, 2, FALSE),
 IFERROR(VLOOKUP($S9, dropdown!$S$4:$T$15, 2, FALSE),
 "")))</f>
        <v>Q1</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1440</v>
      </c>
      <c r="K10" s="57" t="s">
        <v>200</v>
      </c>
      <c r="L10" s="28">
        <v>5</v>
      </c>
      <c r="M10" s="264" t="s">
        <v>380</v>
      </c>
      <c r="N10" s="401" t="s">
        <v>352</v>
      </c>
      <c r="O10" s="397"/>
      <c r="P10" s="398"/>
      <c r="Q10" s="397" t="s">
        <v>89</v>
      </c>
      <c r="R10" s="399">
        <v>0</v>
      </c>
      <c r="S10" s="397"/>
      <c r="T10" s="399"/>
      <c r="U10" s="399"/>
      <c r="V10" s="430" t="str">
        <f>IFERROR(VLOOKUP($O10, dropdown!$S$4:$T$15, 2, FALSE),
 IFERROR(VLOOKUP($Q10, dropdown!$S$4:$T$15, 2, FALSE),
 IFERROR(VLOOKUP($S10, dropdown!$S$4:$T$15, 2, FALSE),
 "")))</f>
        <v>Q1</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2</v>
      </c>
      <c r="G11" s="176">
        <f>SUMIFS($L$9:$L$107,$N$9:$N$107,$B11,$V$9:$V$107,$G$10)</f>
        <v>0</v>
      </c>
      <c r="I11" s="18">
        <f t="shared" si="0"/>
        <v>3</v>
      </c>
      <c r="J11" s="435" t="s">
        <v>1442</v>
      </c>
      <c r="K11" s="57" t="s">
        <v>200</v>
      </c>
      <c r="L11" s="28">
        <v>3</v>
      </c>
      <c r="M11" s="264" t="s">
        <v>380</v>
      </c>
      <c r="N11" s="401" t="s">
        <v>352</v>
      </c>
      <c r="O11" s="397"/>
      <c r="P11" s="398"/>
      <c r="Q11" s="397" t="s">
        <v>362</v>
      </c>
      <c r="R11" s="399">
        <v>0</v>
      </c>
      <c r="S11" s="397"/>
      <c r="T11" s="399"/>
      <c r="U11" s="399"/>
      <c r="V11" s="430" t="str">
        <f>IFERROR(VLOOKUP($O11, dropdown!$S$4:$T$15, 2, FALSE),
 IFERROR(VLOOKUP($Q11, dropdown!$S$4:$T$15, 2, FALSE),
 IFERROR(VLOOKUP($S11, dropdown!$S$4:$T$15, 2, FALSE),
 "")))</f>
        <v>Q1</v>
      </c>
      <c r="W11" s="28"/>
      <c r="X11" s="56"/>
      <c r="AB11" s="11"/>
      <c r="AE11" s="11"/>
    </row>
    <row r="12" spans="2:31" ht="14" x14ac:dyDescent="0.2">
      <c r="B12" s="17" t="s">
        <v>184</v>
      </c>
      <c r="C12" s="17" t="s">
        <v>189</v>
      </c>
      <c r="D12" s="176">
        <f>SUMIFS($L$9:$L$107,$N$9:$N$107,$B12,$V$9:$V$107,$D$10)</f>
        <v>24</v>
      </c>
      <c r="E12" s="176">
        <f>SUMIFS($L$9:$L$107,$N$9:$N$107,$B12,$V$9:$V$107,$E$10)</f>
        <v>3</v>
      </c>
      <c r="F12" s="176">
        <f>SUMIFS($L$9:$L$107,$N$9:$N$107,$B12,$V$9:$V$107,$F$10)</f>
        <v>0</v>
      </c>
      <c r="G12" s="176">
        <f>SUMIFS($L$9:$L$107,$N$9:$N$107,$B12,$V$9:$V$107,$G$10)</f>
        <v>0</v>
      </c>
      <c r="I12" s="18">
        <f t="shared" si="0"/>
        <v>4</v>
      </c>
      <c r="J12" s="435" t="s">
        <v>1442</v>
      </c>
      <c r="K12" s="57" t="s">
        <v>200</v>
      </c>
      <c r="L12" s="28">
        <v>2</v>
      </c>
      <c r="M12" s="264" t="s">
        <v>372</v>
      </c>
      <c r="N12" s="401" t="s">
        <v>352</v>
      </c>
      <c r="O12" s="397"/>
      <c r="P12" s="398"/>
      <c r="Q12" s="397" t="s">
        <v>371</v>
      </c>
      <c r="R12" s="399">
        <v>0</v>
      </c>
      <c r="S12" s="397"/>
      <c r="T12" s="399"/>
      <c r="U12" s="399"/>
      <c r="V12" s="430" t="str">
        <f>IFERROR(VLOOKUP($O12, dropdown!$S$4:$T$15, 2, FALSE),
 IFERROR(VLOOKUP($Q12, dropdown!$S$4:$T$15, 2, FALSE),
 IFERROR(VLOOKUP($S12, dropdown!$S$4:$T$15, 2, FALSE),
 "")))</f>
        <v>Q2</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5" t="s">
        <v>1444</v>
      </c>
      <c r="K13" s="57" t="s">
        <v>200</v>
      </c>
      <c r="L13" s="28">
        <v>2</v>
      </c>
      <c r="M13" s="264" t="s">
        <v>372</v>
      </c>
      <c r="N13" s="401" t="s">
        <v>188</v>
      </c>
      <c r="O13" s="397" t="s">
        <v>390</v>
      </c>
      <c r="P13" s="398">
        <v>0.6</v>
      </c>
      <c r="Q13" s="397"/>
      <c r="R13" s="399"/>
      <c r="S13" s="397"/>
      <c r="T13" s="399"/>
      <c r="U13" s="399"/>
      <c r="V13" s="430" t="str">
        <f>IFERROR(VLOOKUP($O13, dropdown!$S$4:$T$15, 2, FALSE),
 IFERROR(VLOOKUP($Q13, dropdown!$S$4:$T$15, 2, FALSE),
 IFERROR(VLOOKUP($S13, dropdown!$S$4:$T$15, 2, FALSE),
 "")))</f>
        <v>Q3</v>
      </c>
      <c r="W13" s="28"/>
      <c r="AB13" s="11"/>
      <c r="AE13" s="11"/>
    </row>
    <row r="14" spans="2:31" ht="17" customHeight="1" x14ac:dyDescent="0.2">
      <c r="D14" s="177" t="str">
        <f>IF(SUM(D$11:D$13)&gt;0,"x","")</f>
        <v>x</v>
      </c>
      <c r="E14" s="177" t="str">
        <f t="shared" ref="E14:G14" si="1">IF(SUM(E$11:E$13)&gt;0,"x","")</f>
        <v>x</v>
      </c>
      <c r="F14" s="177" t="str">
        <f t="shared" si="1"/>
        <v>x</v>
      </c>
      <c r="G14" s="177" t="str">
        <f t="shared" si="1"/>
        <v/>
      </c>
      <c r="I14" s="18">
        <f t="shared" si="0"/>
        <v>6</v>
      </c>
      <c r="J14" s="435" t="s">
        <v>1443</v>
      </c>
      <c r="K14" s="57" t="s">
        <v>200</v>
      </c>
      <c r="L14" s="28">
        <v>1</v>
      </c>
      <c r="M14" s="264" t="s">
        <v>372</v>
      </c>
      <c r="N14" s="401" t="s">
        <v>352</v>
      </c>
      <c r="O14" s="397"/>
      <c r="P14" s="398"/>
      <c r="Q14" s="397" t="s">
        <v>386</v>
      </c>
      <c r="R14" s="399">
        <v>0</v>
      </c>
      <c r="S14" s="397"/>
      <c r="T14" s="399"/>
      <c r="U14" s="399"/>
      <c r="V14" s="430" t="str">
        <f>IFERROR(VLOOKUP($O14, dropdown!$S$4:$T$15, 2, FALSE),
 IFERROR(VLOOKUP($Q14, dropdown!$S$4:$T$15, 2, FALSE),
 IFERROR(VLOOKUP($S14, dropdown!$S$4:$T$15, 2, FALSE),
 "")))</f>
        <v>Q2</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60" t="s">
        <v>192</v>
      </c>
      <c r="C22" s="451" t="s">
        <v>5</v>
      </c>
      <c r="D22" s="452"/>
      <c r="E22" s="451" t="s">
        <v>193</v>
      </c>
      <c r="F22" s="453"/>
      <c r="G22" s="453"/>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61"/>
      <c r="C23" s="451"/>
      <c r="D23" s="452"/>
      <c r="E23" s="451"/>
      <c r="F23" s="453"/>
      <c r="G23" s="453"/>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82" priority="6">
      <formula>$N9="New installation"</formula>
    </cfRule>
  </conditionalFormatting>
  <conditionalFormatting sqref="P9:P107">
    <cfRule type="expression" dxfId="81" priority="5">
      <formula>$N9="New installation"</formula>
    </cfRule>
  </conditionalFormatting>
  <conditionalFormatting sqref="Q9:Q107">
    <cfRule type="expression" dxfId="80" priority="4">
      <formula>$N9="In operation"</formula>
    </cfRule>
  </conditionalFormatting>
  <conditionalFormatting sqref="R9:R107">
    <cfRule type="expression" dxfId="79" priority="3">
      <formula>$N9="In operation"</formula>
    </cfRule>
  </conditionalFormatting>
  <conditionalFormatting sqref="S9:S107">
    <cfRule type="expression" dxfId="78" priority="2">
      <formula>$N9="Disposed"</formula>
    </cfRule>
  </conditionalFormatting>
  <conditionalFormatting sqref="T9:U107">
    <cfRule type="expression" dxfId="77"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1" zoomScaleNormal="100" workbookViewId="0">
      <selection activeCell="C6" sqref="C6:G6"/>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Zamboanga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1432</v>
      </c>
      <c r="D6" s="448"/>
      <c r="E6" s="448"/>
      <c r="F6" s="448"/>
      <c r="G6" s="449"/>
    </row>
    <row r="7" spans="2:17" ht="12.75" customHeight="1" x14ac:dyDescent="0.2">
      <c r="B7" s="278" t="s">
        <v>174</v>
      </c>
      <c r="C7" s="450">
        <v>45910</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39312</v>
      </c>
      <c r="M8" s="47">
        <v>412975.28</v>
      </c>
      <c r="N8" s="165" t="s">
        <v>559</v>
      </c>
      <c r="O8" s="195"/>
      <c r="P8" s="48"/>
      <c r="Q8" s="20"/>
    </row>
    <row r="9" spans="2:17" x14ac:dyDescent="0.2">
      <c r="I9" s="194"/>
      <c r="J9" s="58" t="s">
        <v>89</v>
      </c>
      <c r="K9" s="426" t="str">
        <f>IF(Electricity[[#This Row],[Month]]&lt;&gt;"",VLOOKUP(Electricity[[#This Row],[Month]], dropdown!$S$4:$T$15, 2, FALSE),"")</f>
        <v>Q1</v>
      </c>
      <c r="L9" s="29">
        <v>43974</v>
      </c>
      <c r="M9" s="47">
        <v>454660.48</v>
      </c>
      <c r="N9" s="165" t="s">
        <v>559</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39858</v>
      </c>
      <c r="M10" s="47">
        <v>398896.27</v>
      </c>
      <c r="N10" s="165" t="s">
        <v>559</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46074</v>
      </c>
      <c r="M11" s="47">
        <v>490898.36</v>
      </c>
      <c r="N11" s="165" t="s">
        <v>559</v>
      </c>
      <c r="O11" s="195"/>
      <c r="P11" s="48"/>
      <c r="Q11" s="20"/>
    </row>
    <row r="12" spans="2:17" x14ac:dyDescent="0.2">
      <c r="B12" s="17" t="s">
        <v>207</v>
      </c>
      <c r="C12" s="17" t="s">
        <v>208</v>
      </c>
      <c r="D12" s="41">
        <f>SUMIFS(Electricity[Consumption (kWh)],Electricity[Quarter],D$11)</f>
        <v>123144</v>
      </c>
      <c r="E12" s="41">
        <f>SUMIFS(Electricity[Consumption (kWh)],Electricity[Quarter],E$11)</f>
        <v>138936</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45822</v>
      </c>
      <c r="M12" s="47">
        <v>484869.86</v>
      </c>
      <c r="N12" s="165" t="s">
        <v>559</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47040</v>
      </c>
      <c r="M13" s="47">
        <v>454560.43</v>
      </c>
      <c r="N13" s="165" t="s">
        <v>559</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C1" zoomScaleNormal="142" workbookViewId="0">
      <selection activeCell="C8" sqref="C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Zamboanga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7" t="s">
        <v>1432</v>
      </c>
      <c r="D6" s="448"/>
      <c r="E6" s="448"/>
      <c r="F6" s="448"/>
      <c r="G6" s="449"/>
      <c r="I6" s="248" t="s">
        <v>173</v>
      </c>
      <c r="J6" s="249" t="s">
        <v>39</v>
      </c>
      <c r="K6" s="249" t="s">
        <v>43</v>
      </c>
      <c r="L6" s="250" t="s">
        <v>115</v>
      </c>
      <c r="M6" s="352" t="s">
        <v>212</v>
      </c>
      <c r="N6" s="253" t="s">
        <v>54</v>
      </c>
      <c r="O6" s="349"/>
    </row>
    <row r="7" spans="2:16" x14ac:dyDescent="0.2">
      <c r="B7" s="278" t="s">
        <v>174</v>
      </c>
      <c r="C7" s="450">
        <v>45910</v>
      </c>
      <c r="D7" s="448"/>
      <c r="E7" s="448"/>
      <c r="F7" s="448"/>
      <c r="G7" s="449"/>
      <c r="I7" s="194">
        <f>IF(Electricity6[[#This Row],[Month]]="","",1)</f>
        <v>1</v>
      </c>
      <c r="J7" s="58" t="s">
        <v>338</v>
      </c>
      <c r="K7" s="18" t="str">
        <f>IF(Electricity6[[#This Row],[Month]]&lt;&gt;"",VLOOKUP(Electricity6[[#This Row],[Month]], dropdown!$S$4:$T$15, 2, FALSE),"")</f>
        <v>Q1</v>
      </c>
      <c r="L7" s="29">
        <v>9.9999999999999995E-8</v>
      </c>
      <c r="M7" s="350">
        <v>9.9999999999999995E-7</v>
      </c>
      <c r="N7" s="195" t="s">
        <v>1436</v>
      </c>
    </row>
    <row r="8" spans="2:16" x14ac:dyDescent="0.2">
      <c r="B8" s="258"/>
      <c r="C8" s="258"/>
      <c r="D8" s="258"/>
      <c r="E8" s="258"/>
      <c r="F8" s="258"/>
      <c r="G8" s="258"/>
      <c r="I8" s="194">
        <f>IF(Electricity6[[#This Row],[Month]]="","",I7+1)</f>
        <v>2</v>
      </c>
      <c r="J8" s="58" t="s">
        <v>89</v>
      </c>
      <c r="K8" s="18" t="str">
        <f>IF(Electricity6[[#This Row],[Month]]&lt;&gt;"",VLOOKUP(Electricity6[[#This Row],[Month]], dropdown!$S$4:$T$15, 2, FALSE),"")</f>
        <v>Q1</v>
      </c>
      <c r="L8" s="29">
        <v>9.9999999999999995E-8</v>
      </c>
      <c r="M8" s="350">
        <v>9.9999999999999995E-8</v>
      </c>
      <c r="N8" s="195" t="s">
        <v>1436</v>
      </c>
    </row>
    <row r="9" spans="2:16" ht="15" x14ac:dyDescent="0.2">
      <c r="B9" s="334" t="s">
        <v>213</v>
      </c>
      <c r="C9" s="14"/>
      <c r="D9" s="14"/>
      <c r="E9" s="14"/>
      <c r="F9" s="14"/>
      <c r="G9" s="14"/>
      <c r="I9" s="194">
        <f>IF(Electricity6[[#This Row],[Month]]="","",I8+1)</f>
        <v>3</v>
      </c>
      <c r="J9" s="58" t="s">
        <v>362</v>
      </c>
      <c r="K9" s="18" t="str">
        <f>IF(Electricity6[[#This Row],[Month]]&lt;&gt;"",VLOOKUP(Electricity6[[#This Row],[Month]], dropdown!$S$4:$T$15, 2, FALSE),"")</f>
        <v>Q1</v>
      </c>
      <c r="L9" s="29">
        <v>9.9999999999999995E-8</v>
      </c>
      <c r="M9" s="350">
        <v>9.9999999999999995E-8</v>
      </c>
      <c r="N9" s="195" t="s">
        <v>1436</v>
      </c>
    </row>
    <row r="10" spans="2:16" x14ac:dyDescent="0.2">
      <c r="B10" s="13" t="s">
        <v>214</v>
      </c>
      <c r="C10" s="13" t="s">
        <v>51</v>
      </c>
      <c r="D10" s="40" t="s">
        <v>45</v>
      </c>
      <c r="E10" s="40" t="s">
        <v>149</v>
      </c>
      <c r="F10" s="40" t="s">
        <v>150</v>
      </c>
      <c r="G10" s="40" t="s">
        <v>151</v>
      </c>
      <c r="I10" s="194">
        <f>IF(Electricity6[[#This Row],[Month]]="","",I9+1)</f>
        <v>4</v>
      </c>
      <c r="J10" s="58" t="s">
        <v>371</v>
      </c>
      <c r="K10" s="18" t="str">
        <f>IF(Electricity6[[#This Row],[Month]]&lt;&gt;"",VLOOKUP(Electricity6[[#This Row],[Month]], dropdown!$S$4:$T$15, 2, FALSE),"")</f>
        <v>Q2</v>
      </c>
      <c r="L10" s="29">
        <v>9.9999999999999995E-8</v>
      </c>
      <c r="M10" s="350">
        <v>9.9999999999999995E-8</v>
      </c>
      <c r="N10" s="195" t="s">
        <v>1436</v>
      </c>
    </row>
    <row r="11" spans="2:16" x14ac:dyDescent="0.2">
      <c r="B11" s="17" t="s">
        <v>207</v>
      </c>
      <c r="C11" s="17" t="s">
        <v>208</v>
      </c>
      <c r="D11" s="41">
        <f>SUMIFS(Electricity6[Solar Energy Generated (kWh)],Electricity6[Quarter],D$10)</f>
        <v>2.9999999999999999E-7</v>
      </c>
      <c r="E11" s="41">
        <f>SUMIFS(Electricity6[Solar Energy Generated (kWh)],Electricity6[Quarter],E$10)</f>
        <v>2.1E-7</v>
      </c>
      <c r="F11" s="41">
        <f>SUMIFS(Electricity6[Solar Energy Generated (kWh)],Electricity6[Quarter],F$10)</f>
        <v>0</v>
      </c>
      <c r="G11" s="41">
        <f>SUMIFS(Electricity6[Solar Energy Generated (kWh)],Electricity6[Quarter],G$10)</f>
        <v>0</v>
      </c>
      <c r="I11" s="194">
        <f>IF(Electricity6[[#This Row],[Month]]="","",I10+1)</f>
        <v>5</v>
      </c>
      <c r="J11" s="58" t="s">
        <v>379</v>
      </c>
      <c r="K11" s="18" t="str">
        <f>IF(Electricity6[[#This Row],[Month]]&lt;&gt;"",VLOOKUP(Electricity6[[#This Row],[Month]], dropdown!$S$4:$T$15, 2, FALSE),"")</f>
        <v>Q2</v>
      </c>
      <c r="L11" s="29">
        <v>9.9999999999999995E-8</v>
      </c>
      <c r="M11" s="350">
        <v>9.9999999999999995E-8</v>
      </c>
      <c r="N11" s="195" t="s">
        <v>1436</v>
      </c>
    </row>
    <row r="12" spans="2:16" s="258" customFormat="1" x14ac:dyDescent="0.2">
      <c r="B12" s="11"/>
      <c r="C12" s="11"/>
      <c r="D12" s="167" t="str">
        <f>IF(SUM(D$11:D$11)&gt;0,"x","")</f>
        <v>x</v>
      </c>
      <c r="E12" s="167" t="str">
        <f>IF(SUM(E$11:E$11)&gt;0,"x","")</f>
        <v>x</v>
      </c>
      <c r="F12" s="167" t="str">
        <f>IF(SUM(F$11:F$11)&gt;0,"x","")</f>
        <v/>
      </c>
      <c r="G12" s="167" t="str">
        <f>IF(SUM(G$11:G$11)&gt;0,"x","")</f>
        <v/>
      </c>
      <c r="H12" s="20"/>
      <c r="I12" s="194">
        <f>IF(Electricity6[[#This Row],[Month]]="","",I11+1)</f>
        <v>6</v>
      </c>
      <c r="J12" s="58" t="s">
        <v>386</v>
      </c>
      <c r="K12" s="18" t="str">
        <f>IF(Electricity6[[#This Row],[Month]]&lt;&gt;"",VLOOKUP(Electricity6[[#This Row],[Month]], dropdown!$S$4:$T$15, 2, FALSE),"")</f>
        <v>Q2</v>
      </c>
      <c r="L12" s="29">
        <v>1E-8</v>
      </c>
      <c r="M12" s="350">
        <v>9.9999999999999995E-8</v>
      </c>
      <c r="N12" s="195" t="s">
        <v>1436</v>
      </c>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C8" sqref="C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Zamboanga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1432</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0">
        <v>45910</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207</v>
      </c>
      <c r="N8" s="195"/>
      <c r="O8" s="44"/>
      <c r="P8" s="194">
        <f>IF($T8="","",1)</f>
        <v>1</v>
      </c>
      <c r="Q8" s="58" t="s">
        <v>338</v>
      </c>
      <c r="R8" s="18" t="str">
        <f>IF(water_out[[#This Row],[Month]]&lt;&gt;"",VLOOKUP(water_out[[#This Row],[Month]], dropdown!$S$4:$T$15, 2, FALSE),"")</f>
        <v>Q1</v>
      </c>
      <c r="S8" s="60" t="s">
        <v>364</v>
      </c>
      <c r="T8" s="29">
        <v>207</v>
      </c>
      <c r="U8" s="195" t="s">
        <v>1439</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209</v>
      </c>
      <c r="N9" s="195"/>
      <c r="O9" s="44"/>
      <c r="P9" s="194">
        <f>IF($T9="","",$P8+1)</f>
        <v>2</v>
      </c>
      <c r="Q9" s="58" t="s">
        <v>89</v>
      </c>
      <c r="R9" s="18" t="str">
        <f>IF(water_out[[#This Row],[Month]]&lt;&gt;"",VLOOKUP(water_out[[#This Row],[Month]], dropdown!$S$4:$T$15, 2, FALSE),"")</f>
        <v>Q1</v>
      </c>
      <c r="S9" s="60" t="s">
        <v>364</v>
      </c>
      <c r="T9" s="29">
        <v>209</v>
      </c>
      <c r="U9" s="195" t="s">
        <v>1439</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189</v>
      </c>
      <c r="N10" s="195"/>
      <c r="O10" s="44"/>
      <c r="P10" s="194">
        <f t="shared" ref="P10:P73" si="1">IF($T10="","",$P9+1)</f>
        <v>3</v>
      </c>
      <c r="Q10" s="58" t="s">
        <v>362</v>
      </c>
      <c r="R10" s="18" t="str">
        <f>IF(water_out[[#This Row],[Month]]&lt;&gt;"",VLOOKUP(water_out[[#This Row],[Month]], dropdown!$S$4:$T$15, 2, FALSE),"")</f>
        <v>Q1</v>
      </c>
      <c r="S10" s="60" t="s">
        <v>364</v>
      </c>
      <c r="T10" s="29">
        <v>189</v>
      </c>
      <c r="U10" s="195" t="s">
        <v>1439</v>
      </c>
      <c r="W10" s="20"/>
    </row>
    <row r="11" spans="2:23" ht="14" x14ac:dyDescent="0.2">
      <c r="B11" s="17" t="s">
        <v>120</v>
      </c>
      <c r="C11" s="17" t="s">
        <v>220</v>
      </c>
      <c r="D11" s="41">
        <f>SUMIFS(water_in[Volume (m3)],water_in[Quarter],D$10)</f>
        <v>605</v>
      </c>
      <c r="E11" s="41">
        <f>SUMIFS(water_in[Volume (m3)],water_in[Quarter],E$10)</f>
        <v>575</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186</v>
      </c>
      <c r="N11" s="195"/>
      <c r="O11" s="44"/>
      <c r="P11" s="194">
        <f t="shared" si="1"/>
        <v>4</v>
      </c>
      <c r="Q11" s="58" t="s">
        <v>371</v>
      </c>
      <c r="R11" s="18" t="str">
        <f>IF(water_out[[#This Row],[Month]]&lt;&gt;"",VLOOKUP(water_out[[#This Row],[Month]], dropdown!$S$4:$T$15, 2, FALSE),"")</f>
        <v>Q2</v>
      </c>
      <c r="S11" s="60" t="s">
        <v>364</v>
      </c>
      <c r="T11" s="29">
        <v>186</v>
      </c>
      <c r="U11" s="195" t="s">
        <v>1439</v>
      </c>
      <c r="W11" s="20"/>
    </row>
    <row r="12" spans="2:23" ht="14" x14ac:dyDescent="0.2">
      <c r="B12" s="17" t="s">
        <v>128</v>
      </c>
      <c r="C12" s="17" t="s">
        <v>220</v>
      </c>
      <c r="D12" s="41">
        <f>SUMIFS(water_out[Volume2 (m3)],water_out[Quarter],D$10)</f>
        <v>605</v>
      </c>
      <c r="E12" s="41">
        <f>SUMIFS(water_out[Volume2 (m3)],water_out[Quarter],E$10)</f>
        <v>575</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219</v>
      </c>
      <c r="N12" s="195"/>
      <c r="O12" s="44" t="str">
        <f>IF(J12="","",VLOOKUP($J12,dropdown!$S$3:$T$15,2,FALSE))</f>
        <v>Q2</v>
      </c>
      <c r="P12" s="194">
        <f t="shared" si="1"/>
        <v>5</v>
      </c>
      <c r="Q12" s="58" t="s">
        <v>379</v>
      </c>
      <c r="R12" s="18" t="str">
        <f>IF(water_out[[#This Row],[Month]]&lt;&gt;"",VLOOKUP(water_out[[#This Row],[Month]], dropdown!$S$4:$T$15, 2, FALSE),"")</f>
        <v>Q2</v>
      </c>
      <c r="S12" s="60" t="s">
        <v>364</v>
      </c>
      <c r="T12" s="29">
        <v>219</v>
      </c>
      <c r="U12" s="195" t="s">
        <v>1439</v>
      </c>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170</v>
      </c>
      <c r="N13" s="195"/>
      <c r="O13" s="44" t="str">
        <f>IF(J13="","",VLOOKUP($J13,dropdown!$S$3:$T$15,2,FALSE))</f>
        <v>Q2</v>
      </c>
      <c r="P13" s="194">
        <f t="shared" si="1"/>
        <v>6</v>
      </c>
      <c r="Q13" s="58" t="s">
        <v>386</v>
      </c>
      <c r="R13" s="18" t="str">
        <f>IF(water_out[[#This Row],[Month]]&lt;&gt;"",VLOOKUP(water_out[[#This Row],[Month]], dropdown!$S$4:$T$15, 2, FALSE),"")</f>
        <v>Q2</v>
      </c>
      <c r="S13" s="60" t="s">
        <v>364</v>
      </c>
      <c r="T13" s="29">
        <v>170</v>
      </c>
      <c r="U13" s="195" t="s">
        <v>1439</v>
      </c>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Zamboanga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B5" zoomScaleNormal="100" workbookViewId="0">
      <selection activeCell="C6" sqref="C6:G6"/>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Zamboanga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1432</v>
      </c>
      <c r="D6" s="448"/>
      <c r="E6" s="448"/>
      <c r="F6" s="448"/>
      <c r="G6" s="449"/>
      <c r="I6" s="409" t="s">
        <v>282</v>
      </c>
      <c r="J6" s="407"/>
      <c r="K6" s="407"/>
      <c r="L6" s="407"/>
      <c r="M6" s="408"/>
      <c r="N6" s="407"/>
      <c r="O6" s="407"/>
      <c r="Q6" s="44"/>
    </row>
    <row r="7" spans="2:17" ht="25.5" customHeight="1" x14ac:dyDescent="0.2">
      <c r="B7" s="278" t="s">
        <v>174</v>
      </c>
      <c r="C7" s="450">
        <v>45910</v>
      </c>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383</v>
      </c>
      <c r="M8" s="29">
        <v>1600</v>
      </c>
      <c r="N8" s="57" t="s">
        <v>313</v>
      </c>
      <c r="O8" s="195" t="s">
        <v>1437</v>
      </c>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383</v>
      </c>
      <c r="M9" s="29">
        <v>1600</v>
      </c>
      <c r="N9" s="57" t="s">
        <v>313</v>
      </c>
      <c r="O9" s="195" t="s">
        <v>1437</v>
      </c>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383</v>
      </c>
      <c r="M10" s="29">
        <v>1600</v>
      </c>
      <c r="N10" s="57" t="s">
        <v>313</v>
      </c>
      <c r="O10" s="195" t="s">
        <v>1437</v>
      </c>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383</v>
      </c>
      <c r="M11" s="29">
        <v>1900</v>
      </c>
      <c r="N11" s="57" t="s">
        <v>313</v>
      </c>
      <c r="O11" s="195" t="s">
        <v>1438</v>
      </c>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383</v>
      </c>
      <c r="M12" s="29">
        <v>1900</v>
      </c>
      <c r="N12" s="57" t="s">
        <v>313</v>
      </c>
      <c r="O12" s="195" t="s">
        <v>1438</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383</v>
      </c>
      <c r="M13" s="29">
        <v>1900</v>
      </c>
      <c r="N13" s="57" t="s">
        <v>313</v>
      </c>
      <c r="O13" s="195" t="s">
        <v>1438</v>
      </c>
    </row>
    <row r="14" spans="2:17" ht="14" customHeight="1" x14ac:dyDescent="0.2">
      <c r="B14" s="17" t="str">
        <f>dropdown!$B7</f>
        <v>Security</v>
      </c>
      <c r="C14" s="17" t="s">
        <v>283</v>
      </c>
      <c r="D14" s="41">
        <f>SUMIFS(Waste[Weight (kg)],Waste[Quarter],D$10,Waste[Waste Composition],$B14)</f>
        <v>209</v>
      </c>
      <c r="E14" s="41">
        <f>SUMIFS(Waste[Weight (kg)],Waste[Quarter],E$10,Waste[Waste Composition],$B14)</f>
        <v>136</v>
      </c>
      <c r="F14" s="41">
        <f>SUMIFS(Waste[Weight (kg)],Waste[Quarter],F$10,Waste[Waste Composition],$B14)</f>
        <v>0</v>
      </c>
      <c r="G14" s="41">
        <f>SUMIFS(Waste[Weight (kg)],Waste[Quarter],G$10,Waste[Waste Composition],$B14)</f>
        <v>0</v>
      </c>
      <c r="I14" s="194">
        <f t="shared" si="0"/>
        <v>7</v>
      </c>
      <c r="J14" s="58" t="s">
        <v>338</v>
      </c>
      <c r="K14" s="194" t="str">
        <f>IF(Waste[[#This Row],[Month]]&lt;&gt;"",VLOOKUP(Waste[[#This Row],[Month]], dropdown!$S$4:$T$15, 2, FALSE),"")</f>
        <v>Q1</v>
      </c>
      <c r="L14" s="57" t="s">
        <v>367</v>
      </c>
      <c r="M14" s="29">
        <v>83</v>
      </c>
      <c r="N14" s="57" t="s">
        <v>313</v>
      </c>
      <c r="O14" s="195" t="s">
        <v>1557</v>
      </c>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367</v>
      </c>
      <c r="M15" s="29">
        <v>71</v>
      </c>
      <c r="N15" s="57" t="s">
        <v>313</v>
      </c>
      <c r="O15" s="195" t="s">
        <v>1557</v>
      </c>
    </row>
    <row r="16" spans="2:17" x14ac:dyDescent="0.2">
      <c r="B16" s="17" t="str">
        <f>dropdown!$B9</f>
        <v>Residual/Landfill</v>
      </c>
      <c r="C16" s="17" t="s">
        <v>283</v>
      </c>
      <c r="D16" s="41">
        <f>SUMIFS(Waste[Weight (kg)],Waste[Quarter],D$10,Waste[Waste Composition],$B16)</f>
        <v>4800</v>
      </c>
      <c r="E16" s="41">
        <f>SUMIFS(Waste[Weight (kg)],Waste[Quarter],E$10,Waste[Waste Composition],$B16)</f>
        <v>5700</v>
      </c>
      <c r="F16" s="41">
        <f>SUMIFS(Waste[Weight (kg)],Waste[Quarter],F$10,Waste[Waste Composition],$B16)</f>
        <v>0</v>
      </c>
      <c r="G16" s="41">
        <f>SUMIFS(Waste[Weight (kg)],Waste[Quarter],G$10,Waste[Waste Composition],$B16)</f>
        <v>0</v>
      </c>
      <c r="I16" s="194">
        <f t="shared" si="0"/>
        <v>9</v>
      </c>
      <c r="J16" s="58" t="s">
        <v>362</v>
      </c>
      <c r="K16" s="194" t="str">
        <f>IF(Waste[[#This Row],[Month]]&lt;&gt;"",VLOOKUP(Waste[[#This Row],[Month]], dropdown!$S$4:$T$15, 2, FALSE),"")</f>
        <v>Q1</v>
      </c>
      <c r="L16" s="57" t="s">
        <v>367</v>
      </c>
      <c r="M16" s="29">
        <v>55</v>
      </c>
      <c r="N16" s="57" t="s">
        <v>313</v>
      </c>
      <c r="O16" s="195" t="s">
        <v>1557</v>
      </c>
    </row>
    <row r="17" spans="2:15" x14ac:dyDescent="0.2">
      <c r="I17" s="194">
        <f t="shared" si="0"/>
        <v>10</v>
      </c>
      <c r="J17" s="58" t="s">
        <v>371</v>
      </c>
      <c r="K17" s="194" t="str">
        <f>IF(Waste[[#This Row],[Month]]&lt;&gt;"",VLOOKUP(Waste[[#This Row],[Month]], dropdown!$S$4:$T$15, 2, FALSE),"")</f>
        <v>Q2</v>
      </c>
      <c r="L17" s="57" t="s">
        <v>367</v>
      </c>
      <c r="M17" s="29">
        <v>61</v>
      </c>
      <c r="N17" s="57" t="s">
        <v>313</v>
      </c>
      <c r="O17" s="195" t="s">
        <v>1557</v>
      </c>
    </row>
    <row r="18" spans="2:15" x14ac:dyDescent="0.2">
      <c r="B18" s="267" t="s">
        <v>38</v>
      </c>
      <c r="I18" s="194">
        <f t="shared" si="0"/>
        <v>11</v>
      </c>
      <c r="J18" s="58" t="s">
        <v>379</v>
      </c>
      <c r="K18" s="194" t="str">
        <f>IF(Waste[[#This Row],[Month]]&lt;&gt;"",VLOOKUP(Waste[[#This Row],[Month]], dropdown!$S$4:$T$15, 2, FALSE),"")</f>
        <v>Q2</v>
      </c>
      <c r="L18" s="57" t="s">
        <v>367</v>
      </c>
      <c r="M18" s="29">
        <v>21</v>
      </c>
      <c r="N18" s="57" t="s">
        <v>313</v>
      </c>
      <c r="O18" s="195" t="s">
        <v>1557</v>
      </c>
    </row>
    <row r="19" spans="2:15" x14ac:dyDescent="0.2">
      <c r="B19" s="268" t="s">
        <v>175</v>
      </c>
      <c r="I19" s="194">
        <f t="shared" ref="I19" si="1">IF($J19="","",$I18+1)</f>
        <v>12</v>
      </c>
      <c r="J19" s="58" t="s">
        <v>386</v>
      </c>
      <c r="K19" s="194" t="str">
        <f>IF(Waste[[#This Row],[Month]]&lt;&gt;"",VLOOKUP(Waste[[#This Row],[Month]], dropdown!$S$4:$T$15, 2, FALSE),"")</f>
        <v>Q2</v>
      </c>
      <c r="L19" s="57" t="s">
        <v>367</v>
      </c>
      <c r="M19" s="29">
        <v>54</v>
      </c>
      <c r="N19" s="57" t="s">
        <v>313</v>
      </c>
      <c r="O19" s="195" t="s">
        <v>1557</v>
      </c>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Zamboanga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3350</v>
      </c>
      <c r="G13" s="73" t="str">
        <f>'1. Data Info and Summary'!$D18</f>
        <v>Liters</v>
      </c>
      <c r="I13" s="76">
        <f>VLOOKUP($E13,Emission_Factors!$A$1:$G$20,5,FALSE)</f>
        <v>2.68</v>
      </c>
      <c r="J13" s="141">
        <f>F13*I13</f>
        <v>8978</v>
      </c>
      <c r="L13" s="73" t="s">
        <v>155</v>
      </c>
      <c r="M13" s="78">
        <f>SUM('2.3a Electricity'!$D$12:$G$12)</f>
        <v>262080</v>
      </c>
      <c r="N13" s="73" t="str">
        <f>'2.3a Electricity'!$C$12</f>
        <v>Kilowatt-hour</v>
      </c>
      <c r="P13" s="76">
        <f>VLOOKUP($L13,Emission_Factors!$A$1:$G$20,5,FALSE)</f>
        <v>0.56000000000000005</v>
      </c>
      <c r="Q13" s="141">
        <f>M13*P13</f>
        <v>146764.80000000002</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8978</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1701.2600000000002</v>
      </c>
      <c r="G22" s="73" t="str">
        <f>'1. Data Info and Summary'!$D26</f>
        <v>Liters</v>
      </c>
      <c r="I22" s="76">
        <f>VLOOKUP($E22,Emission_Factors!$A$1:$G$20,5,FALSE)</f>
        <v>2.68</v>
      </c>
      <c r="J22" s="141">
        <f>F22*I22</f>
        <v>4559.3768000000009</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4559.3768000000009</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v>92.420000000000016</v>
      </c>
      <c r="D31" s="337">
        <v>96.789999999999992</v>
      </c>
      <c r="E31" s="337">
        <v>189.21</v>
      </c>
      <c r="I31" s="20"/>
      <c r="J31" s="20"/>
      <c r="K31" s="21"/>
      <c r="L31" s="21"/>
      <c r="M31" s="22"/>
      <c r="N31" s="22"/>
      <c r="O31" s="11"/>
      <c r="P31" s="22"/>
      <c r="Q31" s="20"/>
      <c r="R31" s="20"/>
      <c r="S31" s="44"/>
    </row>
    <row r="32" spans="1:19" outlineLevel="1" x14ac:dyDescent="0.2">
      <c r="A32" s="203" t="s">
        <v>63</v>
      </c>
      <c r="B32" s="337"/>
      <c r="C32" s="337">
        <v>92.420000000000016</v>
      </c>
      <c r="D32" s="337">
        <v>96.789999999999992</v>
      </c>
      <c r="E32" s="337">
        <v>189.21</v>
      </c>
      <c r="I32" s="20"/>
      <c r="J32" s="20"/>
      <c r="K32" s="21"/>
      <c r="L32" s="21"/>
      <c r="M32" s="22"/>
      <c r="N32" s="22"/>
      <c r="O32" s="11"/>
      <c r="P32" s="22"/>
      <c r="Q32" s="20"/>
      <c r="R32" s="20"/>
      <c r="S32" s="44"/>
    </row>
    <row r="33" spans="1:19" outlineLevel="1" x14ac:dyDescent="0.2">
      <c r="A33" s="203" t="s">
        <v>300</v>
      </c>
      <c r="B33" s="337"/>
      <c r="C33" s="337"/>
      <c r="D33" s="337"/>
      <c r="E33" s="337"/>
      <c r="I33" s="20"/>
      <c r="J33" s="20"/>
      <c r="K33" s="21"/>
      <c r="L33" s="21"/>
      <c r="M33" s="22"/>
      <c r="N33" s="22"/>
      <c r="O33" s="11"/>
      <c r="P33" s="22"/>
      <c r="Q33" s="20"/>
      <c r="R33" s="20"/>
      <c r="S33" s="44"/>
    </row>
    <row r="34" spans="1:19" outlineLevel="1" x14ac:dyDescent="0.2">
      <c r="A34" s="19" t="s">
        <v>343</v>
      </c>
      <c r="B34" s="337"/>
      <c r="C34" s="337">
        <v>22.23</v>
      </c>
      <c r="D34" s="337"/>
      <c r="E34" s="337">
        <v>22.23</v>
      </c>
      <c r="I34" s="20"/>
      <c r="J34" s="20"/>
      <c r="K34" s="21"/>
      <c r="L34" s="21"/>
      <c r="M34" s="22"/>
      <c r="N34" s="22"/>
      <c r="O34" s="11"/>
      <c r="P34" s="22"/>
      <c r="Q34" s="20"/>
      <c r="R34" s="20"/>
      <c r="S34" s="44"/>
    </row>
    <row r="35" spans="1:19" outlineLevel="1" x14ac:dyDescent="0.2">
      <c r="A35" s="203" t="s">
        <v>63</v>
      </c>
      <c r="B35" s="337"/>
      <c r="C35" s="337">
        <v>22.23</v>
      </c>
      <c r="D35" s="337"/>
      <c r="E35" s="337">
        <v>22.23</v>
      </c>
      <c r="I35" s="20"/>
      <c r="J35" s="20"/>
      <c r="K35" s="21"/>
      <c r="L35" s="21"/>
      <c r="M35" s="22"/>
      <c r="N35" s="22"/>
      <c r="O35" s="11"/>
      <c r="P35" s="22"/>
      <c r="Q35" s="20"/>
      <c r="R35" s="20"/>
      <c r="S35" s="44"/>
    </row>
    <row r="36" spans="1:19" outlineLevel="1" x14ac:dyDescent="0.2">
      <c r="A36" s="19" t="s">
        <v>365</v>
      </c>
      <c r="B36" s="337"/>
      <c r="C36" s="337">
        <v>420.53999999999996</v>
      </c>
      <c r="D36" s="337">
        <v>368.57</v>
      </c>
      <c r="E36" s="337">
        <v>789.1099999999999</v>
      </c>
      <c r="H36" s="12"/>
      <c r="I36" s="20"/>
      <c r="J36" s="20"/>
      <c r="K36" s="21"/>
      <c r="L36" s="21"/>
      <c r="M36" s="22"/>
      <c r="N36" s="22"/>
      <c r="O36" s="11"/>
      <c r="P36" s="22"/>
      <c r="Q36" s="20"/>
      <c r="R36" s="20"/>
      <c r="S36" s="44"/>
    </row>
    <row r="37" spans="1:19" outlineLevel="1" x14ac:dyDescent="0.2">
      <c r="A37" s="203" t="s">
        <v>63</v>
      </c>
      <c r="B37" s="337"/>
      <c r="C37" s="337">
        <v>420.53999999999996</v>
      </c>
      <c r="D37" s="337">
        <v>368.57</v>
      </c>
      <c r="E37" s="337">
        <v>789.1099999999999</v>
      </c>
      <c r="H37" s="12"/>
      <c r="I37" s="20"/>
      <c r="J37" s="20"/>
      <c r="K37" s="21"/>
      <c r="L37" s="21"/>
      <c r="M37" s="22"/>
      <c r="N37" s="22"/>
      <c r="O37" s="11"/>
      <c r="P37" s="22"/>
      <c r="Q37" s="20"/>
      <c r="R37" s="20"/>
      <c r="S37" s="44"/>
    </row>
    <row r="38" spans="1:19" outlineLevel="1" x14ac:dyDescent="0.2">
      <c r="A38" s="19" t="s">
        <v>381</v>
      </c>
      <c r="B38" s="337"/>
      <c r="C38" s="337">
        <v>415.8</v>
      </c>
      <c r="D38" s="337">
        <v>284.91000000000003</v>
      </c>
      <c r="E38" s="337">
        <v>700.71</v>
      </c>
      <c r="H38" s="12"/>
      <c r="I38" s="20"/>
      <c r="J38" s="20"/>
      <c r="K38" s="21"/>
      <c r="L38" s="21"/>
      <c r="M38" s="22"/>
      <c r="N38" s="22"/>
      <c r="O38" s="11"/>
      <c r="P38" s="22"/>
      <c r="Q38" s="20"/>
      <c r="R38" s="20"/>
      <c r="S38" s="44"/>
    </row>
    <row r="39" spans="1:19" outlineLevel="1" x14ac:dyDescent="0.2">
      <c r="A39" s="203" t="s">
        <v>63</v>
      </c>
      <c r="B39" s="337"/>
      <c r="C39" s="337">
        <v>415.8</v>
      </c>
      <c r="D39" s="337">
        <v>284.91000000000003</v>
      </c>
      <c r="E39" s="337">
        <v>700.71</v>
      </c>
      <c r="H39" s="12"/>
      <c r="I39" s="20"/>
      <c r="J39" s="20"/>
      <c r="K39" s="21"/>
      <c r="L39" s="21"/>
      <c r="M39" s="22"/>
      <c r="N39" s="22"/>
      <c r="O39" s="11"/>
      <c r="P39" s="22"/>
      <c r="Q39" s="20"/>
      <c r="R39" s="20"/>
      <c r="S39" s="44"/>
    </row>
    <row r="40" spans="1:19" outlineLevel="1" x14ac:dyDescent="0.2">
      <c r="A40" s="19" t="s">
        <v>297</v>
      </c>
      <c r="B40" s="337"/>
      <c r="C40" s="337">
        <v>950.99</v>
      </c>
      <c r="D40" s="337">
        <v>750.27</v>
      </c>
      <c r="E40" s="337">
        <v>1701.26</v>
      </c>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087"/>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45910.384039351855</v>
      </c>
      <c r="B927" t="s">
        <v>1446</v>
      </c>
      <c r="C927" t="s">
        <v>58</v>
      </c>
      <c r="D927" t="s">
        <v>1447</v>
      </c>
      <c r="E927" t="s">
        <v>1445</v>
      </c>
    </row>
    <row r="928" spans="1:5" x14ac:dyDescent="0.2">
      <c r="A928" s="269">
        <v>45910.384212962963</v>
      </c>
      <c r="B928" t="s">
        <v>1446</v>
      </c>
      <c r="C928" t="s">
        <v>58</v>
      </c>
      <c r="D928" t="s">
        <v>1447</v>
      </c>
      <c r="E928" t="s">
        <v>1448</v>
      </c>
    </row>
    <row r="929" spans="1:5" x14ac:dyDescent="0.2">
      <c r="A929" s="269">
        <v>45910.384467592594</v>
      </c>
      <c r="B929" t="s">
        <v>1446</v>
      </c>
      <c r="C929" t="s">
        <v>58</v>
      </c>
      <c r="D929" t="s">
        <v>1450</v>
      </c>
      <c r="E929" t="s">
        <v>1449</v>
      </c>
    </row>
    <row r="930" spans="1:5" x14ac:dyDescent="0.2">
      <c r="A930" s="269">
        <v>45910.384629629632</v>
      </c>
      <c r="B930" t="s">
        <v>1446</v>
      </c>
      <c r="C930" t="s">
        <v>58</v>
      </c>
      <c r="D930" t="s">
        <v>1450</v>
      </c>
      <c r="E930" t="s">
        <v>1451</v>
      </c>
    </row>
    <row r="931" spans="1:5" x14ac:dyDescent="0.2">
      <c r="A931" s="269">
        <v>45910.384745370371</v>
      </c>
      <c r="B931" t="s">
        <v>1446</v>
      </c>
      <c r="C931" t="s">
        <v>58</v>
      </c>
      <c r="D931" t="s">
        <v>1452</v>
      </c>
      <c r="E931" t="s">
        <v>343</v>
      </c>
    </row>
    <row r="932" spans="1:5" x14ac:dyDescent="0.2">
      <c r="A932" s="269">
        <v>45910.384756944448</v>
      </c>
      <c r="B932" t="s">
        <v>1446</v>
      </c>
      <c r="C932" t="s">
        <v>58</v>
      </c>
      <c r="D932" t="s">
        <v>1453</v>
      </c>
      <c r="E932" t="s">
        <v>343</v>
      </c>
    </row>
    <row r="933" spans="1:5" x14ac:dyDescent="0.2">
      <c r="A933" s="269">
        <v>45910.384780092594</v>
      </c>
      <c r="B933" t="s">
        <v>1446</v>
      </c>
      <c r="C933" t="s">
        <v>58</v>
      </c>
      <c r="D933" t="s">
        <v>1454</v>
      </c>
      <c r="E933" t="s">
        <v>343</v>
      </c>
    </row>
    <row r="934" spans="1:5" x14ac:dyDescent="0.2">
      <c r="A934" s="269">
        <v>45910.38480324074</v>
      </c>
      <c r="B934" t="s">
        <v>1446</v>
      </c>
      <c r="C934" t="s">
        <v>58</v>
      </c>
      <c r="D934" t="s">
        <v>1455</v>
      </c>
      <c r="E934" t="s">
        <v>343</v>
      </c>
    </row>
    <row r="935" spans="1:5" x14ac:dyDescent="0.2">
      <c r="A935" s="269">
        <v>45910.384826388887</v>
      </c>
      <c r="B935" t="s">
        <v>1446</v>
      </c>
      <c r="C935" t="s">
        <v>58</v>
      </c>
      <c r="D935" t="s">
        <v>1456</v>
      </c>
      <c r="E935" t="s">
        <v>343</v>
      </c>
    </row>
    <row r="936" spans="1:5" x14ac:dyDescent="0.2">
      <c r="A936" s="269">
        <v>45910.38484953704</v>
      </c>
      <c r="B936" t="s">
        <v>1446</v>
      </c>
      <c r="C936" t="s">
        <v>58</v>
      </c>
      <c r="D936" t="s">
        <v>1457</v>
      </c>
      <c r="E936" t="s">
        <v>343</v>
      </c>
    </row>
    <row r="937" spans="1:5" x14ac:dyDescent="0.2">
      <c r="A937" s="269">
        <v>45910.38486111111</v>
      </c>
      <c r="B937" t="s">
        <v>1446</v>
      </c>
      <c r="C937" t="s">
        <v>58</v>
      </c>
      <c r="D937" t="s">
        <v>1457</v>
      </c>
      <c r="E937" t="s">
        <v>343</v>
      </c>
    </row>
    <row r="938" spans="1:5" x14ac:dyDescent="0.2">
      <c r="A938" s="269">
        <v>45910.384884259256</v>
      </c>
      <c r="B938" t="s">
        <v>1446</v>
      </c>
      <c r="C938" t="s">
        <v>58</v>
      </c>
      <c r="D938" t="s">
        <v>1458</v>
      </c>
      <c r="E938" t="s">
        <v>343</v>
      </c>
    </row>
    <row r="939" spans="1:5" x14ac:dyDescent="0.2">
      <c r="A939" s="269">
        <v>45910.385196759256</v>
      </c>
      <c r="B939" t="s">
        <v>1446</v>
      </c>
      <c r="C939" t="s">
        <v>58</v>
      </c>
      <c r="D939" t="s">
        <v>1459</v>
      </c>
    </row>
    <row r="940" spans="1:5" x14ac:dyDescent="0.2">
      <c r="A940" s="269">
        <v>45910.385266203702</v>
      </c>
      <c r="B940" t="s">
        <v>1446</v>
      </c>
      <c r="C940" t="s">
        <v>58</v>
      </c>
      <c r="D940" t="s">
        <v>1460</v>
      </c>
      <c r="E940" t="s">
        <v>63</v>
      </c>
    </row>
    <row r="941" spans="1:5" x14ac:dyDescent="0.2">
      <c r="A941" s="269">
        <v>45910.385312500002</v>
      </c>
      <c r="B941" t="s">
        <v>1446</v>
      </c>
      <c r="C941" t="s">
        <v>58</v>
      </c>
      <c r="D941" t="s">
        <v>1461</v>
      </c>
      <c r="E941" t="s">
        <v>338</v>
      </c>
    </row>
    <row r="942" spans="1:5" x14ac:dyDescent="0.2">
      <c r="A942" s="269">
        <v>45910.385335648149</v>
      </c>
      <c r="B942" t="s">
        <v>1446</v>
      </c>
      <c r="C942" t="s">
        <v>58</v>
      </c>
      <c r="D942" t="s">
        <v>1462</v>
      </c>
      <c r="E942" t="s">
        <v>89</v>
      </c>
    </row>
    <row r="943" spans="1:5" x14ac:dyDescent="0.2">
      <c r="A943" s="269">
        <v>45910.385370370372</v>
      </c>
      <c r="B943" t="s">
        <v>1446</v>
      </c>
      <c r="C943" t="s">
        <v>58</v>
      </c>
      <c r="D943" t="s">
        <v>1463</v>
      </c>
      <c r="E943" t="s">
        <v>362</v>
      </c>
    </row>
    <row r="944" spans="1:5" x14ac:dyDescent="0.2">
      <c r="A944" s="269">
        <v>45910.385405092595</v>
      </c>
      <c r="B944" t="s">
        <v>1446</v>
      </c>
      <c r="C944" t="s">
        <v>58</v>
      </c>
      <c r="D944" t="s">
        <v>1464</v>
      </c>
      <c r="E944" t="s">
        <v>371</v>
      </c>
    </row>
    <row r="945" spans="1:5" x14ac:dyDescent="0.2">
      <c r="A945" s="269">
        <v>45910.385428240741</v>
      </c>
      <c r="B945" t="s">
        <v>1446</v>
      </c>
      <c r="C945" t="s">
        <v>58</v>
      </c>
      <c r="D945" t="s">
        <v>1465</v>
      </c>
      <c r="E945" t="s">
        <v>379</v>
      </c>
    </row>
    <row r="946" spans="1:5" x14ac:dyDescent="0.2">
      <c r="A946" s="269">
        <v>45910.385439814818</v>
      </c>
      <c r="B946" t="s">
        <v>1446</v>
      </c>
      <c r="C946" t="s">
        <v>58</v>
      </c>
      <c r="D946" t="s">
        <v>1466</v>
      </c>
      <c r="E946" t="s">
        <v>386</v>
      </c>
    </row>
    <row r="947" spans="1:5" x14ac:dyDescent="0.2">
      <c r="A947" s="269">
        <v>45910.387546296297</v>
      </c>
      <c r="B947" t="s">
        <v>1446</v>
      </c>
      <c r="C947" t="s">
        <v>58</v>
      </c>
      <c r="D947" t="s">
        <v>1467</v>
      </c>
      <c r="E947" t="s">
        <v>338</v>
      </c>
    </row>
    <row r="948" spans="1:5" x14ac:dyDescent="0.2">
      <c r="A948" s="269">
        <v>45910.387557870374</v>
      </c>
      <c r="B948" t="s">
        <v>1446</v>
      </c>
      <c r="C948" t="s">
        <v>58</v>
      </c>
      <c r="D948" t="s">
        <v>1467</v>
      </c>
      <c r="E948" t="s">
        <v>338</v>
      </c>
    </row>
    <row r="949" spans="1:5" x14ac:dyDescent="0.2">
      <c r="A949" s="269">
        <v>45910.38758101852</v>
      </c>
      <c r="B949" t="s">
        <v>1446</v>
      </c>
      <c r="C949" t="s">
        <v>58</v>
      </c>
      <c r="D949" t="s">
        <v>1467</v>
      </c>
      <c r="E949" t="s">
        <v>89</v>
      </c>
    </row>
    <row r="950" spans="1:5" x14ac:dyDescent="0.2">
      <c r="A950" s="269">
        <v>45910.387592592589</v>
      </c>
      <c r="B950" t="s">
        <v>1446</v>
      </c>
      <c r="C950" t="s">
        <v>58</v>
      </c>
      <c r="D950" t="s">
        <v>1468</v>
      </c>
      <c r="E950" t="s">
        <v>362</v>
      </c>
    </row>
    <row r="951" spans="1:5" x14ac:dyDescent="0.2">
      <c r="A951" s="269">
        <v>45910.387615740743</v>
      </c>
      <c r="B951" t="s">
        <v>1446</v>
      </c>
      <c r="C951" t="s">
        <v>58</v>
      </c>
      <c r="D951" t="s">
        <v>1469</v>
      </c>
      <c r="E951" t="s">
        <v>371</v>
      </c>
    </row>
    <row r="952" spans="1:5" x14ac:dyDescent="0.2">
      <c r="A952" s="269">
        <v>45910.387627314813</v>
      </c>
      <c r="B952" t="s">
        <v>1446</v>
      </c>
      <c r="C952" t="s">
        <v>58</v>
      </c>
      <c r="D952" t="s">
        <v>1470</v>
      </c>
      <c r="E952" t="s">
        <v>379</v>
      </c>
    </row>
    <row r="953" spans="1:5" x14ac:dyDescent="0.2">
      <c r="A953" s="269">
        <v>45910.387650462966</v>
      </c>
      <c r="B953" t="s">
        <v>1446</v>
      </c>
      <c r="C953" t="s">
        <v>58</v>
      </c>
      <c r="D953" t="s">
        <v>1471</v>
      </c>
      <c r="E953" t="s">
        <v>386</v>
      </c>
    </row>
    <row r="954" spans="1:5" x14ac:dyDescent="0.2">
      <c r="A954" s="269">
        <v>45910.387731481482</v>
      </c>
      <c r="B954" t="s">
        <v>1446</v>
      </c>
      <c r="C954" t="s">
        <v>58</v>
      </c>
      <c r="D954" t="s">
        <v>1467</v>
      </c>
      <c r="E954" t="s">
        <v>338</v>
      </c>
    </row>
    <row r="955" spans="1:5" x14ac:dyDescent="0.2">
      <c r="A955" s="269">
        <v>45910.387754629628</v>
      </c>
      <c r="B955" t="s">
        <v>1446</v>
      </c>
      <c r="C955" t="s">
        <v>58</v>
      </c>
      <c r="D955" t="s">
        <v>1468</v>
      </c>
      <c r="E955" t="s">
        <v>362</v>
      </c>
    </row>
    <row r="956" spans="1:5" x14ac:dyDescent="0.2">
      <c r="A956" s="269">
        <v>45910.387766203705</v>
      </c>
      <c r="B956" t="s">
        <v>1446</v>
      </c>
      <c r="C956" t="s">
        <v>58</v>
      </c>
      <c r="D956" t="s">
        <v>1468</v>
      </c>
      <c r="E956" t="s">
        <v>89</v>
      </c>
    </row>
    <row r="957" spans="1:5" x14ac:dyDescent="0.2">
      <c r="A957" s="269">
        <v>45910.387800925928</v>
      </c>
      <c r="B957" t="s">
        <v>1446</v>
      </c>
      <c r="C957" t="s">
        <v>58</v>
      </c>
      <c r="D957" t="s">
        <v>1469</v>
      </c>
      <c r="E957" t="s">
        <v>362</v>
      </c>
    </row>
    <row r="958" spans="1:5" x14ac:dyDescent="0.2">
      <c r="A958" s="269">
        <v>45910.387824074074</v>
      </c>
      <c r="B958" t="s">
        <v>1446</v>
      </c>
      <c r="C958" t="s">
        <v>58</v>
      </c>
      <c r="D958" t="s">
        <v>1470</v>
      </c>
      <c r="E958" t="s">
        <v>371</v>
      </c>
    </row>
    <row r="959" spans="1:5" x14ac:dyDescent="0.2">
      <c r="A959" s="269">
        <v>45910.38784722222</v>
      </c>
      <c r="B959" t="s">
        <v>1446</v>
      </c>
      <c r="C959" t="s">
        <v>58</v>
      </c>
      <c r="D959" t="s">
        <v>1471</v>
      </c>
      <c r="E959" t="s">
        <v>379</v>
      </c>
    </row>
    <row r="960" spans="1:5" x14ac:dyDescent="0.2">
      <c r="A960" s="269">
        <v>45910.387870370374</v>
      </c>
      <c r="B960" t="s">
        <v>1446</v>
      </c>
      <c r="C960" t="s">
        <v>58</v>
      </c>
      <c r="D960" t="s">
        <v>1472</v>
      </c>
      <c r="E960" t="s">
        <v>386</v>
      </c>
    </row>
    <row r="961" spans="1:5" x14ac:dyDescent="0.2">
      <c r="A961" s="269">
        <v>45910.387939814813</v>
      </c>
      <c r="B961" t="s">
        <v>1446</v>
      </c>
      <c r="C961" t="s">
        <v>58</v>
      </c>
      <c r="D961" t="s">
        <v>1457</v>
      </c>
      <c r="E961" t="s">
        <v>343</v>
      </c>
    </row>
    <row r="962" spans="1:5" x14ac:dyDescent="0.2">
      <c r="A962" s="269">
        <v>45910.388020833336</v>
      </c>
      <c r="B962" t="s">
        <v>1446</v>
      </c>
      <c r="C962" t="s">
        <v>58</v>
      </c>
      <c r="D962" t="s">
        <v>1473</v>
      </c>
      <c r="E962" t="s">
        <v>343</v>
      </c>
    </row>
    <row r="963" spans="1:5" x14ac:dyDescent="0.2">
      <c r="A963" s="269">
        <v>45910.388055555559</v>
      </c>
      <c r="B963" t="s">
        <v>1446</v>
      </c>
      <c r="C963" t="s">
        <v>58</v>
      </c>
      <c r="D963" t="s">
        <v>1474</v>
      </c>
      <c r="E963" t="s">
        <v>338</v>
      </c>
    </row>
    <row r="964" spans="1:5" x14ac:dyDescent="0.2">
      <c r="A964" s="269">
        <v>45910.388067129628</v>
      </c>
      <c r="B964" t="s">
        <v>1446</v>
      </c>
      <c r="C964" t="s">
        <v>58</v>
      </c>
      <c r="D964" t="s">
        <v>1475</v>
      </c>
      <c r="E964" t="s">
        <v>89</v>
      </c>
    </row>
    <row r="965" spans="1:5" x14ac:dyDescent="0.2">
      <c r="A965" s="269">
        <v>45910.388090277775</v>
      </c>
      <c r="B965" t="s">
        <v>1446</v>
      </c>
      <c r="C965" t="s">
        <v>58</v>
      </c>
      <c r="D965" t="s">
        <v>1476</v>
      </c>
      <c r="E965" t="s">
        <v>362</v>
      </c>
    </row>
    <row r="966" spans="1:5" x14ac:dyDescent="0.2">
      <c r="A966" s="269">
        <v>45910.388113425928</v>
      </c>
      <c r="B966" t="s">
        <v>1446</v>
      </c>
      <c r="C966" t="s">
        <v>58</v>
      </c>
      <c r="D966" t="s">
        <v>1477</v>
      </c>
      <c r="E966" t="s">
        <v>371</v>
      </c>
    </row>
    <row r="967" spans="1:5" x14ac:dyDescent="0.2">
      <c r="A967" s="269">
        <v>45910.388136574074</v>
      </c>
      <c r="B967" t="s">
        <v>1446</v>
      </c>
      <c r="C967" t="s">
        <v>58</v>
      </c>
      <c r="D967" t="s">
        <v>1478</v>
      </c>
      <c r="E967" t="s">
        <v>379</v>
      </c>
    </row>
    <row r="968" spans="1:5" x14ac:dyDescent="0.2">
      <c r="A968" s="269">
        <v>45910.388171296298</v>
      </c>
      <c r="B968" t="s">
        <v>1446</v>
      </c>
      <c r="C968" t="s">
        <v>58</v>
      </c>
      <c r="D968" t="s">
        <v>1479</v>
      </c>
      <c r="E968" t="s">
        <v>386</v>
      </c>
    </row>
    <row r="969" spans="1:5" x14ac:dyDescent="0.2">
      <c r="A969" s="269">
        <v>45910.388240740744</v>
      </c>
      <c r="B969" t="s">
        <v>1446</v>
      </c>
      <c r="C969" t="s">
        <v>58</v>
      </c>
      <c r="D969" t="s">
        <v>1480</v>
      </c>
      <c r="E969" t="s">
        <v>343</v>
      </c>
    </row>
    <row r="970" spans="1:5" x14ac:dyDescent="0.2">
      <c r="A970" s="269">
        <v>45910.38826388889</v>
      </c>
      <c r="B970" t="s">
        <v>1446</v>
      </c>
      <c r="C970" t="s">
        <v>58</v>
      </c>
      <c r="D970" t="s">
        <v>1481</v>
      </c>
      <c r="E970" t="s">
        <v>338</v>
      </c>
    </row>
    <row r="971" spans="1:5" x14ac:dyDescent="0.2">
      <c r="A971" s="269">
        <v>45910.388287037036</v>
      </c>
      <c r="B971" t="s">
        <v>1446</v>
      </c>
      <c r="C971" t="s">
        <v>58</v>
      </c>
      <c r="D971" t="s">
        <v>1482</v>
      </c>
      <c r="E971" t="s">
        <v>89</v>
      </c>
    </row>
    <row r="972" spans="1:5" x14ac:dyDescent="0.2">
      <c r="A972" s="269">
        <v>45910.388310185182</v>
      </c>
      <c r="B972" t="s">
        <v>1446</v>
      </c>
      <c r="C972" t="s">
        <v>58</v>
      </c>
      <c r="D972" t="s">
        <v>1483</v>
      </c>
      <c r="E972" t="s">
        <v>362</v>
      </c>
    </row>
    <row r="973" spans="1:5" x14ac:dyDescent="0.2">
      <c r="A973" s="269">
        <v>45910.388333333336</v>
      </c>
      <c r="B973" t="s">
        <v>1446</v>
      </c>
      <c r="C973" t="s">
        <v>58</v>
      </c>
      <c r="D973" t="s">
        <v>1484</v>
      </c>
      <c r="E973" t="s">
        <v>371</v>
      </c>
    </row>
    <row r="974" spans="1:5" x14ac:dyDescent="0.2">
      <c r="A974" s="269">
        <v>45910.388368055559</v>
      </c>
      <c r="B974" t="s">
        <v>1446</v>
      </c>
      <c r="C974" t="s">
        <v>58</v>
      </c>
      <c r="D974" t="s">
        <v>1485</v>
      </c>
      <c r="E974" t="s">
        <v>379</v>
      </c>
    </row>
    <row r="975" spans="1:5" x14ac:dyDescent="0.2">
      <c r="A975" s="269">
        <v>45910.388391203705</v>
      </c>
      <c r="B975" t="s">
        <v>1446</v>
      </c>
      <c r="C975" t="s">
        <v>58</v>
      </c>
      <c r="D975" t="s">
        <v>1486</v>
      </c>
      <c r="E975" t="s">
        <v>386</v>
      </c>
    </row>
    <row r="976" spans="1:5" x14ac:dyDescent="0.2">
      <c r="A976" s="269">
        <v>45910.388506944444</v>
      </c>
      <c r="B976" t="s">
        <v>1446</v>
      </c>
      <c r="C976" t="s">
        <v>58</v>
      </c>
      <c r="D976" t="s">
        <v>1487</v>
      </c>
      <c r="E976">
        <v>27.4</v>
      </c>
    </row>
    <row r="977" spans="1:5" x14ac:dyDescent="0.2">
      <c r="A977" s="269">
        <v>45910.388599537036</v>
      </c>
      <c r="B977" t="s">
        <v>1446</v>
      </c>
      <c r="C977" t="s">
        <v>58</v>
      </c>
      <c r="D977" t="s">
        <v>1487</v>
      </c>
      <c r="E977">
        <v>9.14</v>
      </c>
    </row>
    <row r="978" spans="1:5" x14ac:dyDescent="0.2">
      <c r="A978" s="269">
        <v>45910.388645833336</v>
      </c>
      <c r="B978" t="s">
        <v>1446</v>
      </c>
      <c r="C978" t="s">
        <v>58</v>
      </c>
      <c r="D978" t="s">
        <v>1488</v>
      </c>
      <c r="E978">
        <v>27.4</v>
      </c>
    </row>
    <row r="979" spans="1:5" x14ac:dyDescent="0.2">
      <c r="A979" s="269">
        <v>45910.388819444444</v>
      </c>
      <c r="B979" t="s">
        <v>1446</v>
      </c>
      <c r="C979" t="s">
        <v>58</v>
      </c>
      <c r="D979" t="s">
        <v>1489</v>
      </c>
      <c r="E979">
        <v>0</v>
      </c>
    </row>
    <row r="980" spans="1:5" x14ac:dyDescent="0.2">
      <c r="A980" s="269">
        <v>45910.388831018521</v>
      </c>
      <c r="B980" t="s">
        <v>1446</v>
      </c>
      <c r="C980" t="s">
        <v>58</v>
      </c>
      <c r="D980" t="s">
        <v>1490</v>
      </c>
      <c r="E980">
        <v>0</v>
      </c>
    </row>
    <row r="981" spans="1:5" x14ac:dyDescent="0.2">
      <c r="A981" s="269">
        <v>45910.389386574076</v>
      </c>
      <c r="B981" t="s">
        <v>1446</v>
      </c>
      <c r="C981" t="s">
        <v>58</v>
      </c>
      <c r="D981" t="s">
        <v>1491</v>
      </c>
      <c r="E981">
        <v>6.83</v>
      </c>
    </row>
    <row r="982" spans="1:5" x14ac:dyDescent="0.2">
      <c r="A982" s="269">
        <v>45910.389409722222</v>
      </c>
      <c r="B982" t="s">
        <v>1446</v>
      </c>
      <c r="C982" t="s">
        <v>58</v>
      </c>
      <c r="D982" t="s">
        <v>1492</v>
      </c>
      <c r="E982">
        <v>20.5</v>
      </c>
    </row>
    <row r="983" spans="1:5" x14ac:dyDescent="0.2">
      <c r="A983" s="269">
        <v>45910.389490740738</v>
      </c>
      <c r="B983" t="s">
        <v>1446</v>
      </c>
      <c r="C983" t="s">
        <v>58</v>
      </c>
      <c r="D983" t="s">
        <v>1493</v>
      </c>
      <c r="E983">
        <v>6.26</v>
      </c>
    </row>
    <row r="984" spans="1:5" x14ac:dyDescent="0.2">
      <c r="A984" s="269">
        <v>45910.389513888891</v>
      </c>
      <c r="B984" t="s">
        <v>1446</v>
      </c>
      <c r="C984" t="s">
        <v>58</v>
      </c>
      <c r="D984" t="s">
        <v>1494</v>
      </c>
      <c r="E984">
        <v>18.8</v>
      </c>
    </row>
    <row r="985" spans="1:5" x14ac:dyDescent="0.2">
      <c r="A985" s="269">
        <v>45910.390092592592</v>
      </c>
      <c r="B985" t="s">
        <v>1446</v>
      </c>
      <c r="C985" t="s">
        <v>58</v>
      </c>
      <c r="D985" t="s">
        <v>1495</v>
      </c>
      <c r="E985">
        <v>4.72</v>
      </c>
    </row>
    <row r="986" spans="1:5" x14ac:dyDescent="0.2">
      <c r="A986" s="269">
        <v>45910.390138888892</v>
      </c>
      <c r="B986" t="s">
        <v>1446</v>
      </c>
      <c r="C986" t="s">
        <v>58</v>
      </c>
      <c r="D986" t="s">
        <v>1496</v>
      </c>
      <c r="E986">
        <v>8.82</v>
      </c>
    </row>
    <row r="987" spans="1:5" x14ac:dyDescent="0.2">
      <c r="A987" s="269">
        <v>45910.390196759261</v>
      </c>
      <c r="B987" t="s">
        <v>1446</v>
      </c>
      <c r="C987" t="s">
        <v>58</v>
      </c>
      <c r="D987" t="s">
        <v>1497</v>
      </c>
      <c r="E987">
        <v>0</v>
      </c>
    </row>
    <row r="988" spans="1:5" x14ac:dyDescent="0.2">
      <c r="A988" s="269">
        <v>45910.390219907407</v>
      </c>
      <c r="B988" t="s">
        <v>1446</v>
      </c>
      <c r="C988" t="s">
        <v>58</v>
      </c>
      <c r="D988" t="s">
        <v>1498</v>
      </c>
      <c r="E988">
        <v>0</v>
      </c>
    </row>
    <row r="989" spans="1:5" x14ac:dyDescent="0.2">
      <c r="A989" s="269">
        <v>45910.390324074076</v>
      </c>
      <c r="B989" t="s">
        <v>1446</v>
      </c>
      <c r="C989" t="s">
        <v>58</v>
      </c>
      <c r="D989" t="s">
        <v>1499</v>
      </c>
      <c r="E989">
        <v>3.36</v>
      </c>
    </row>
    <row r="990" spans="1:5" x14ac:dyDescent="0.2">
      <c r="A990" s="269">
        <v>45910.3903587963</v>
      </c>
      <c r="B990" t="s">
        <v>1446</v>
      </c>
      <c r="C990" t="s">
        <v>58</v>
      </c>
      <c r="D990" t="s">
        <v>1500</v>
      </c>
      <c r="E990">
        <v>6.28</v>
      </c>
    </row>
    <row r="991" spans="1:5" x14ac:dyDescent="0.2">
      <c r="A991" s="269">
        <v>45910.390428240738</v>
      </c>
      <c r="B991" t="s">
        <v>1446</v>
      </c>
      <c r="C991" t="s">
        <v>58</v>
      </c>
      <c r="D991" t="s">
        <v>1501</v>
      </c>
      <c r="E991">
        <v>3.2</v>
      </c>
    </row>
    <row r="992" spans="1:5" x14ac:dyDescent="0.2">
      <c r="A992" s="269">
        <v>45910.390451388892</v>
      </c>
      <c r="B992" t="s">
        <v>1446</v>
      </c>
      <c r="C992" t="s">
        <v>58</v>
      </c>
      <c r="D992" t="s">
        <v>1502</v>
      </c>
      <c r="E992">
        <v>5.97</v>
      </c>
    </row>
    <row r="993" spans="1:5" x14ac:dyDescent="0.2">
      <c r="A993" s="269">
        <v>45910.390983796293</v>
      </c>
      <c r="B993" t="s">
        <v>1446</v>
      </c>
      <c r="C993" t="s">
        <v>58</v>
      </c>
      <c r="D993" t="s">
        <v>1496</v>
      </c>
      <c r="E993">
        <v>14</v>
      </c>
    </row>
    <row r="994" spans="1:5" x14ac:dyDescent="0.2">
      <c r="A994" s="269">
        <v>45910.391076388885</v>
      </c>
      <c r="B994" t="s">
        <v>1446</v>
      </c>
      <c r="C994" t="s">
        <v>58</v>
      </c>
      <c r="D994" t="s">
        <v>1496</v>
      </c>
      <c r="E994">
        <v>14.2</v>
      </c>
    </row>
    <row r="995" spans="1:5" x14ac:dyDescent="0.2">
      <c r="A995" s="269">
        <v>45910.391168981485</v>
      </c>
      <c r="B995" t="s">
        <v>1446</v>
      </c>
      <c r="C995" t="s">
        <v>58</v>
      </c>
      <c r="D995" t="s">
        <v>1500</v>
      </c>
      <c r="E995">
        <v>10.1</v>
      </c>
    </row>
    <row r="996" spans="1:5" x14ac:dyDescent="0.2">
      <c r="A996" s="269">
        <v>45910.391226851854</v>
      </c>
      <c r="B996" t="s">
        <v>1446</v>
      </c>
      <c r="C996" t="s">
        <v>58</v>
      </c>
      <c r="D996" t="s">
        <v>1502</v>
      </c>
      <c r="E996">
        <v>9.6</v>
      </c>
    </row>
    <row r="997" spans="1:5" x14ac:dyDescent="0.2">
      <c r="A997" s="269">
        <v>45910.392974537041</v>
      </c>
      <c r="B997" t="s">
        <v>1446</v>
      </c>
      <c r="C997" t="s">
        <v>58</v>
      </c>
      <c r="D997" t="s">
        <v>1503</v>
      </c>
      <c r="E997">
        <v>10.119999999999999</v>
      </c>
    </row>
    <row r="998" spans="1:5" x14ac:dyDescent="0.2">
      <c r="A998" s="269">
        <v>45910.393009259256</v>
      </c>
      <c r="B998" t="s">
        <v>1446</v>
      </c>
      <c r="C998" t="s">
        <v>58</v>
      </c>
      <c r="D998" t="s">
        <v>1504</v>
      </c>
      <c r="E998">
        <v>30.4</v>
      </c>
    </row>
    <row r="999" spans="1:5" x14ac:dyDescent="0.2">
      <c r="A999" s="269">
        <v>45910.393182870372</v>
      </c>
      <c r="B999" t="s">
        <v>1446</v>
      </c>
      <c r="C999" t="s">
        <v>58</v>
      </c>
      <c r="D999" t="s">
        <v>1505</v>
      </c>
      <c r="E999">
        <v>35.450000000000003</v>
      </c>
    </row>
    <row r="1000" spans="1:5" x14ac:dyDescent="0.2">
      <c r="A1000" s="269">
        <v>45910.393229166664</v>
      </c>
      <c r="B1000" t="s">
        <v>1446</v>
      </c>
      <c r="C1000" t="s">
        <v>58</v>
      </c>
      <c r="D1000" t="s">
        <v>1506</v>
      </c>
      <c r="E1000">
        <v>106.4</v>
      </c>
    </row>
    <row r="1001" spans="1:5" x14ac:dyDescent="0.2">
      <c r="A1001" s="269">
        <v>45910.393275462964</v>
      </c>
      <c r="B1001" t="s">
        <v>1446</v>
      </c>
      <c r="C1001" t="s">
        <v>58</v>
      </c>
      <c r="D1001" t="s">
        <v>1507</v>
      </c>
      <c r="E1001">
        <v>106.8</v>
      </c>
    </row>
    <row r="1002" spans="1:5" x14ac:dyDescent="0.2">
      <c r="A1002" s="269">
        <v>45910.393321759257</v>
      </c>
      <c r="B1002" t="s">
        <v>1446</v>
      </c>
      <c r="C1002" t="s">
        <v>58</v>
      </c>
      <c r="D1002" t="s">
        <v>1508</v>
      </c>
      <c r="E1002">
        <v>35.57</v>
      </c>
    </row>
    <row r="1003" spans="1:5" x14ac:dyDescent="0.2">
      <c r="A1003" s="269">
        <v>45910.39403935185</v>
      </c>
      <c r="B1003" t="s">
        <v>1446</v>
      </c>
      <c r="C1003" t="s">
        <v>58</v>
      </c>
      <c r="D1003" t="s">
        <v>1509</v>
      </c>
      <c r="E1003">
        <v>35.799999999999997</v>
      </c>
    </row>
    <row r="1004" spans="1:5" x14ac:dyDescent="0.2">
      <c r="A1004" s="269">
        <v>45910.394224537034</v>
      </c>
      <c r="B1004" t="s">
        <v>1446</v>
      </c>
      <c r="C1004" t="s">
        <v>58</v>
      </c>
      <c r="D1004" t="s">
        <v>1510</v>
      </c>
      <c r="E1004">
        <v>11.92</v>
      </c>
    </row>
    <row r="1005" spans="1:5" x14ac:dyDescent="0.2">
      <c r="A1005" s="269">
        <v>45910.394675925927</v>
      </c>
      <c r="B1005" t="s">
        <v>1446</v>
      </c>
      <c r="C1005" t="s">
        <v>58</v>
      </c>
      <c r="D1005" t="s">
        <v>1511</v>
      </c>
      <c r="E1005">
        <v>30</v>
      </c>
    </row>
    <row r="1006" spans="1:5" x14ac:dyDescent="0.2">
      <c r="A1006" s="269">
        <v>45910.394768518519</v>
      </c>
      <c r="B1006" t="s">
        <v>1446</v>
      </c>
      <c r="C1006" t="s">
        <v>58</v>
      </c>
      <c r="D1006" t="s">
        <v>1512</v>
      </c>
      <c r="E1006">
        <v>34.6</v>
      </c>
    </row>
    <row r="1007" spans="1:5" x14ac:dyDescent="0.2">
      <c r="A1007" s="269">
        <v>45910.394953703704</v>
      </c>
      <c r="B1007" t="s">
        <v>1446</v>
      </c>
      <c r="C1007" t="s">
        <v>58</v>
      </c>
      <c r="D1007" t="s">
        <v>1513</v>
      </c>
      <c r="E1007">
        <v>11.52</v>
      </c>
    </row>
    <row r="1008" spans="1:5" x14ac:dyDescent="0.2">
      <c r="A1008" s="269">
        <v>45910.39508101852</v>
      </c>
      <c r="B1008" t="s">
        <v>1446</v>
      </c>
      <c r="C1008" t="s">
        <v>58</v>
      </c>
      <c r="D1008" t="s">
        <v>1514</v>
      </c>
      <c r="E1008">
        <v>9.99</v>
      </c>
    </row>
    <row r="1009" spans="1:5" x14ac:dyDescent="0.2">
      <c r="A1009" s="269">
        <v>45910.395474537036</v>
      </c>
      <c r="B1009" t="s">
        <v>1446</v>
      </c>
      <c r="C1009" t="s">
        <v>58</v>
      </c>
      <c r="D1009" t="s">
        <v>1515</v>
      </c>
      <c r="E1009">
        <v>30.1</v>
      </c>
    </row>
    <row r="1010" spans="1:5" x14ac:dyDescent="0.2">
      <c r="A1010" s="269">
        <v>45910.395555555559</v>
      </c>
      <c r="B1010" t="s">
        <v>1446</v>
      </c>
      <c r="C1010" t="s">
        <v>58</v>
      </c>
      <c r="D1010" t="s">
        <v>1516</v>
      </c>
      <c r="E1010">
        <v>38.200000000000003</v>
      </c>
    </row>
    <row r="1011" spans="1:5" x14ac:dyDescent="0.2">
      <c r="A1011" s="269">
        <v>45910.395648148151</v>
      </c>
      <c r="B1011" t="s">
        <v>1446</v>
      </c>
      <c r="C1011" t="s">
        <v>58</v>
      </c>
      <c r="D1011" t="s">
        <v>1517</v>
      </c>
      <c r="E1011">
        <v>29.6</v>
      </c>
    </row>
    <row r="1012" spans="1:5" x14ac:dyDescent="0.2">
      <c r="A1012" s="269">
        <v>45910.395787037036</v>
      </c>
      <c r="B1012" t="s">
        <v>1446</v>
      </c>
      <c r="C1012" t="s">
        <v>58</v>
      </c>
      <c r="D1012" t="s">
        <v>1518</v>
      </c>
      <c r="E1012">
        <v>9.85</v>
      </c>
    </row>
    <row r="1013" spans="1:5" x14ac:dyDescent="0.2">
      <c r="A1013" s="269">
        <v>45910.395833333336</v>
      </c>
      <c r="B1013" t="s">
        <v>1446</v>
      </c>
      <c r="C1013" t="s">
        <v>58</v>
      </c>
      <c r="D1013" t="s">
        <v>1519</v>
      </c>
      <c r="E1013">
        <v>12.71</v>
      </c>
    </row>
    <row r="1014" spans="1:5" x14ac:dyDescent="0.2">
      <c r="A1014" s="269">
        <v>45910.395868055559</v>
      </c>
      <c r="B1014" t="s">
        <v>1446</v>
      </c>
      <c r="C1014" t="s">
        <v>58</v>
      </c>
      <c r="D1014" t="s">
        <v>1520</v>
      </c>
      <c r="E1014">
        <v>10.02</v>
      </c>
    </row>
    <row r="1015" spans="1:5" x14ac:dyDescent="0.2">
      <c r="A1015" s="269">
        <v>45910.396203703705</v>
      </c>
      <c r="B1015" t="s">
        <v>1446</v>
      </c>
      <c r="C1015" t="s">
        <v>58</v>
      </c>
      <c r="D1015" t="s">
        <v>1521</v>
      </c>
      <c r="E1015">
        <v>28.3</v>
      </c>
    </row>
    <row r="1016" spans="1:5" x14ac:dyDescent="0.2">
      <c r="A1016" s="269">
        <v>45910.396273148152</v>
      </c>
      <c r="B1016" t="s">
        <v>1446</v>
      </c>
      <c r="C1016" t="s">
        <v>58</v>
      </c>
      <c r="D1016" t="s">
        <v>1522</v>
      </c>
      <c r="E1016">
        <v>32.4</v>
      </c>
    </row>
    <row r="1017" spans="1:5" x14ac:dyDescent="0.2">
      <c r="A1017" s="269">
        <v>45910.396319444444</v>
      </c>
      <c r="B1017" t="s">
        <v>1446</v>
      </c>
      <c r="C1017" t="s">
        <v>58</v>
      </c>
      <c r="D1017" t="s">
        <v>1523</v>
      </c>
      <c r="E1017">
        <v>31.8</v>
      </c>
    </row>
    <row r="1018" spans="1:5" x14ac:dyDescent="0.2">
      <c r="A1018" s="269">
        <v>45910.396435185183</v>
      </c>
      <c r="B1018" t="s">
        <v>1446</v>
      </c>
      <c r="C1018" t="s">
        <v>58</v>
      </c>
      <c r="D1018" t="s">
        <v>1524</v>
      </c>
      <c r="E1018">
        <v>10.58</v>
      </c>
    </row>
    <row r="1019" spans="1:5" x14ac:dyDescent="0.2">
      <c r="A1019" s="269">
        <v>45910.396493055552</v>
      </c>
      <c r="B1019" t="s">
        <v>1446</v>
      </c>
      <c r="C1019" t="s">
        <v>58</v>
      </c>
      <c r="D1019" t="s">
        <v>1525</v>
      </c>
      <c r="E1019">
        <v>10.78</v>
      </c>
    </row>
    <row r="1020" spans="1:5" x14ac:dyDescent="0.2">
      <c r="A1020" s="269">
        <v>45910.396527777775</v>
      </c>
      <c r="B1020" t="s">
        <v>1446</v>
      </c>
      <c r="C1020" t="s">
        <v>58</v>
      </c>
      <c r="D1020" t="s">
        <v>1526</v>
      </c>
      <c r="E1020">
        <v>9.42</v>
      </c>
    </row>
    <row r="1021" spans="1:5" x14ac:dyDescent="0.2">
      <c r="A1021" s="269">
        <v>45910.397118055553</v>
      </c>
      <c r="B1021" t="s">
        <v>1446</v>
      </c>
      <c r="C1021" t="s">
        <v>58</v>
      </c>
      <c r="D1021" t="s">
        <v>1527</v>
      </c>
    </row>
    <row r="1022" spans="1:5" x14ac:dyDescent="0.2">
      <c r="A1022" s="269">
        <v>45910.397164351853</v>
      </c>
      <c r="B1022" t="s">
        <v>1446</v>
      </c>
      <c r="C1022" t="s">
        <v>58</v>
      </c>
      <c r="D1022" t="s">
        <v>1528</v>
      </c>
    </row>
    <row r="1023" spans="1:5" x14ac:dyDescent="0.2">
      <c r="A1023" s="269">
        <v>45910.397175925929</v>
      </c>
      <c r="B1023" t="s">
        <v>1446</v>
      </c>
      <c r="C1023" t="s">
        <v>58</v>
      </c>
      <c r="D1023" t="s">
        <v>1529</v>
      </c>
    </row>
    <row r="1024" spans="1:5" x14ac:dyDescent="0.2">
      <c r="A1024" s="269">
        <v>45910.397187499999</v>
      </c>
      <c r="B1024" t="s">
        <v>1446</v>
      </c>
      <c r="C1024" t="s">
        <v>58</v>
      </c>
      <c r="D1024" t="s">
        <v>1530</v>
      </c>
    </row>
    <row r="1025" spans="1:5" x14ac:dyDescent="0.2">
      <c r="A1025" s="269">
        <v>45910.397199074076</v>
      </c>
      <c r="B1025" t="s">
        <v>1446</v>
      </c>
      <c r="C1025" t="s">
        <v>58</v>
      </c>
      <c r="D1025" t="s">
        <v>1457</v>
      </c>
    </row>
    <row r="1026" spans="1:5" x14ac:dyDescent="0.2">
      <c r="A1026" s="269">
        <v>45910.400324074071</v>
      </c>
      <c r="B1026" t="s">
        <v>1446</v>
      </c>
      <c r="C1026" t="s">
        <v>58</v>
      </c>
      <c r="D1026" t="s">
        <v>1467</v>
      </c>
      <c r="E1026" t="s">
        <v>338</v>
      </c>
    </row>
    <row r="1027" spans="1:5" x14ac:dyDescent="0.2">
      <c r="A1027" s="269">
        <v>45910.400347222225</v>
      </c>
      <c r="B1027" t="s">
        <v>1446</v>
      </c>
      <c r="C1027" t="s">
        <v>58</v>
      </c>
      <c r="D1027" t="s">
        <v>1468</v>
      </c>
      <c r="E1027" t="s">
        <v>89</v>
      </c>
    </row>
    <row r="1028" spans="1:5" x14ac:dyDescent="0.2">
      <c r="A1028" s="269">
        <v>45910.400370370371</v>
      </c>
      <c r="B1028" t="s">
        <v>1446</v>
      </c>
      <c r="C1028" t="s">
        <v>58</v>
      </c>
      <c r="D1028" t="s">
        <v>1468</v>
      </c>
      <c r="E1028" t="s">
        <v>362</v>
      </c>
    </row>
    <row r="1029" spans="1:5" x14ac:dyDescent="0.2">
      <c r="A1029" s="269">
        <v>45910.400405092594</v>
      </c>
      <c r="B1029" t="s">
        <v>1446</v>
      </c>
      <c r="C1029" t="s">
        <v>58</v>
      </c>
      <c r="D1029" t="s">
        <v>1468</v>
      </c>
      <c r="E1029" t="s">
        <v>89</v>
      </c>
    </row>
    <row r="1030" spans="1:5" x14ac:dyDescent="0.2">
      <c r="A1030" s="269">
        <v>45910.40042824074</v>
      </c>
      <c r="B1030" t="s">
        <v>1446</v>
      </c>
      <c r="C1030" t="s">
        <v>58</v>
      </c>
      <c r="D1030" t="s">
        <v>1469</v>
      </c>
      <c r="E1030" t="s">
        <v>362</v>
      </c>
    </row>
    <row r="1031" spans="1:5" x14ac:dyDescent="0.2">
      <c r="A1031" s="269">
        <v>45910.400451388887</v>
      </c>
      <c r="B1031" t="s">
        <v>1446</v>
      </c>
      <c r="C1031" t="s">
        <v>58</v>
      </c>
      <c r="D1031" t="s">
        <v>1470</v>
      </c>
      <c r="E1031" t="s">
        <v>371</v>
      </c>
    </row>
    <row r="1032" spans="1:5" x14ac:dyDescent="0.2">
      <c r="A1032" s="269">
        <v>45910.40047453704</v>
      </c>
      <c r="B1032" t="s">
        <v>1446</v>
      </c>
      <c r="C1032" t="s">
        <v>58</v>
      </c>
      <c r="D1032" t="s">
        <v>1471</v>
      </c>
      <c r="E1032" t="s">
        <v>379</v>
      </c>
    </row>
    <row r="1033" spans="1:5" x14ac:dyDescent="0.2">
      <c r="A1033" s="269">
        <v>45910.400497685187</v>
      </c>
      <c r="B1033" t="s">
        <v>1446</v>
      </c>
      <c r="C1033" t="s">
        <v>58</v>
      </c>
      <c r="D1033" t="s">
        <v>1472</v>
      </c>
      <c r="E1033" t="s">
        <v>386</v>
      </c>
    </row>
    <row r="1034" spans="1:5" x14ac:dyDescent="0.2">
      <c r="A1034" s="269">
        <v>45910.400590277779</v>
      </c>
      <c r="B1034" t="s">
        <v>1446</v>
      </c>
      <c r="C1034" t="s">
        <v>58</v>
      </c>
      <c r="D1034" t="s">
        <v>1531</v>
      </c>
      <c r="E1034">
        <v>6.83</v>
      </c>
    </row>
    <row r="1035" spans="1:5" x14ac:dyDescent="0.2">
      <c r="A1035" s="269">
        <v>45910.400636574072</v>
      </c>
      <c r="B1035" t="s">
        <v>1446</v>
      </c>
      <c r="C1035" t="s">
        <v>58</v>
      </c>
      <c r="D1035" t="s">
        <v>1532</v>
      </c>
    </row>
    <row r="1036" spans="1:5" x14ac:dyDescent="0.2">
      <c r="A1036" s="269">
        <v>45910.400729166664</v>
      </c>
      <c r="B1036" t="s">
        <v>1446</v>
      </c>
      <c r="C1036" t="s">
        <v>58</v>
      </c>
      <c r="D1036" t="s">
        <v>1530</v>
      </c>
      <c r="E1036" t="s">
        <v>1448</v>
      </c>
    </row>
    <row r="1037" spans="1:5" x14ac:dyDescent="0.2">
      <c r="A1037" s="269">
        <v>45910.400763888887</v>
      </c>
      <c r="B1037" t="s">
        <v>1446</v>
      </c>
      <c r="C1037" t="s">
        <v>58</v>
      </c>
      <c r="D1037" t="s">
        <v>1447</v>
      </c>
    </row>
    <row r="1038" spans="1:5" x14ac:dyDescent="0.2">
      <c r="A1038" s="269">
        <v>45910.40084490741</v>
      </c>
      <c r="B1038" t="s">
        <v>1446</v>
      </c>
      <c r="C1038" t="s">
        <v>58</v>
      </c>
      <c r="D1038" t="s">
        <v>1533</v>
      </c>
      <c r="E1038">
        <v>20.5</v>
      </c>
    </row>
    <row r="1039" spans="1:5" x14ac:dyDescent="0.2">
      <c r="A1039" s="269">
        <v>45910.400914351849</v>
      </c>
      <c r="B1039" t="s">
        <v>1446</v>
      </c>
      <c r="C1039" t="s">
        <v>58</v>
      </c>
      <c r="D1039" t="s">
        <v>1534</v>
      </c>
    </row>
    <row r="1040" spans="1:5" x14ac:dyDescent="0.2">
      <c r="A1040" s="269">
        <v>45910.400983796295</v>
      </c>
      <c r="B1040" t="s">
        <v>1446</v>
      </c>
      <c r="C1040" t="s">
        <v>58</v>
      </c>
      <c r="D1040" t="s">
        <v>1450</v>
      </c>
    </row>
    <row r="1041" spans="1:5" x14ac:dyDescent="0.2">
      <c r="A1041" s="269">
        <v>45910.400983796295</v>
      </c>
      <c r="B1041" t="s">
        <v>1446</v>
      </c>
      <c r="C1041" t="s">
        <v>58</v>
      </c>
      <c r="D1041" t="s">
        <v>1447</v>
      </c>
      <c r="E1041" t="s">
        <v>1451</v>
      </c>
    </row>
    <row r="1042" spans="1:5" x14ac:dyDescent="0.2">
      <c r="A1042" s="269">
        <v>45910.401041666664</v>
      </c>
      <c r="B1042" t="s">
        <v>1446</v>
      </c>
      <c r="C1042" t="s">
        <v>58</v>
      </c>
      <c r="D1042" t="s">
        <v>1535</v>
      </c>
    </row>
    <row r="1043" spans="1:5" x14ac:dyDescent="0.2">
      <c r="A1043" s="269">
        <v>45910.401041666664</v>
      </c>
      <c r="B1043" t="s">
        <v>1446</v>
      </c>
      <c r="C1043" t="s">
        <v>58</v>
      </c>
      <c r="D1043" t="s">
        <v>1534</v>
      </c>
      <c r="E1043">
        <v>18.8</v>
      </c>
    </row>
    <row r="1044" spans="1:5" x14ac:dyDescent="0.2">
      <c r="A1044" s="269">
        <v>45910.401099537034</v>
      </c>
      <c r="B1044" t="s">
        <v>1446</v>
      </c>
      <c r="C1044" t="s">
        <v>58</v>
      </c>
      <c r="D1044" t="s">
        <v>1535</v>
      </c>
      <c r="E1044">
        <v>18.8</v>
      </c>
    </row>
    <row r="1045" spans="1:5" x14ac:dyDescent="0.2">
      <c r="A1045" s="269">
        <v>45910.401099537034</v>
      </c>
      <c r="B1045" t="s">
        <v>1446</v>
      </c>
      <c r="C1045" t="s">
        <v>58</v>
      </c>
      <c r="D1045" t="s">
        <v>1534</v>
      </c>
    </row>
    <row r="1046" spans="1:5" x14ac:dyDescent="0.2">
      <c r="A1046" s="269">
        <v>45910.40111111111</v>
      </c>
      <c r="B1046" t="s">
        <v>1446</v>
      </c>
      <c r="C1046" t="s">
        <v>58</v>
      </c>
      <c r="D1046" t="s">
        <v>1534</v>
      </c>
    </row>
    <row r="1047" spans="1:5" x14ac:dyDescent="0.2">
      <c r="A1047" s="269">
        <v>45910.401203703703</v>
      </c>
      <c r="B1047" t="s">
        <v>1446</v>
      </c>
      <c r="C1047" t="s">
        <v>58</v>
      </c>
      <c r="D1047" t="s">
        <v>1534</v>
      </c>
      <c r="E1047">
        <v>18.8</v>
      </c>
    </row>
    <row r="1048" spans="1:5" x14ac:dyDescent="0.2">
      <c r="A1048" s="269">
        <v>45910.401238425926</v>
      </c>
      <c r="B1048" t="s">
        <v>1446</v>
      </c>
      <c r="C1048" t="s">
        <v>58</v>
      </c>
      <c r="D1048" t="s">
        <v>1535</v>
      </c>
    </row>
    <row r="1049" spans="1:5" x14ac:dyDescent="0.2">
      <c r="A1049" s="269">
        <v>45910.401296296295</v>
      </c>
      <c r="B1049" t="s">
        <v>1446</v>
      </c>
      <c r="C1049" t="s">
        <v>58</v>
      </c>
      <c r="D1049" t="s">
        <v>1532</v>
      </c>
      <c r="E1049">
        <v>6.26</v>
      </c>
    </row>
    <row r="1050" spans="1:5" x14ac:dyDescent="0.2">
      <c r="A1050" s="269">
        <v>45910.401331018518</v>
      </c>
      <c r="B1050" t="s">
        <v>1446</v>
      </c>
      <c r="C1050" t="s">
        <v>58</v>
      </c>
      <c r="D1050" t="s">
        <v>1536</v>
      </c>
    </row>
    <row r="1051" spans="1:5" x14ac:dyDescent="0.2">
      <c r="A1051" s="269">
        <v>45910.401377314818</v>
      </c>
      <c r="B1051" t="s">
        <v>1446</v>
      </c>
      <c r="C1051" t="s">
        <v>58</v>
      </c>
      <c r="D1051" t="s">
        <v>1537</v>
      </c>
    </row>
    <row r="1052" spans="1:5" x14ac:dyDescent="0.2">
      <c r="A1052" s="269">
        <v>45910.40152777778</v>
      </c>
      <c r="B1052" t="s">
        <v>1446</v>
      </c>
      <c r="C1052" t="s">
        <v>58</v>
      </c>
      <c r="D1052" t="s">
        <v>1457</v>
      </c>
      <c r="E1052" t="s">
        <v>343</v>
      </c>
    </row>
    <row r="1053" spans="1:5" x14ac:dyDescent="0.2">
      <c r="A1053" s="269">
        <v>45910.402418981481</v>
      </c>
      <c r="B1053" t="s">
        <v>1446</v>
      </c>
      <c r="C1053" t="s">
        <v>58</v>
      </c>
      <c r="D1053" t="s">
        <v>1538</v>
      </c>
      <c r="E1053" t="s">
        <v>63</v>
      </c>
    </row>
    <row r="1054" spans="1:5" x14ac:dyDescent="0.2">
      <c r="A1054" s="269">
        <v>45910.402430555558</v>
      </c>
      <c r="B1054" t="s">
        <v>1446</v>
      </c>
      <c r="C1054" t="s">
        <v>58</v>
      </c>
      <c r="D1054" t="s">
        <v>1539</v>
      </c>
      <c r="E1054" t="s">
        <v>63</v>
      </c>
    </row>
    <row r="1055" spans="1:5" x14ac:dyDescent="0.2">
      <c r="A1055" s="269">
        <v>45910.402442129627</v>
      </c>
      <c r="B1055" t="s">
        <v>1446</v>
      </c>
      <c r="C1055" t="s">
        <v>58</v>
      </c>
      <c r="D1055" t="s">
        <v>1540</v>
      </c>
      <c r="E1055" t="s">
        <v>63</v>
      </c>
    </row>
    <row r="1056" spans="1:5" x14ac:dyDescent="0.2">
      <c r="A1056" s="269">
        <v>45910.402465277781</v>
      </c>
      <c r="B1056" t="s">
        <v>1446</v>
      </c>
      <c r="C1056" t="s">
        <v>58</v>
      </c>
      <c r="D1056" t="s">
        <v>1541</v>
      </c>
      <c r="E1056" t="s">
        <v>63</v>
      </c>
    </row>
    <row r="1057" spans="1:5" x14ac:dyDescent="0.2">
      <c r="A1057" s="269">
        <v>45910.402488425927</v>
      </c>
      <c r="B1057" t="s">
        <v>1446</v>
      </c>
      <c r="C1057" t="s">
        <v>58</v>
      </c>
      <c r="D1057" t="s">
        <v>1542</v>
      </c>
      <c r="E1057" t="s">
        <v>63</v>
      </c>
    </row>
    <row r="1058" spans="1:5" x14ac:dyDescent="0.2">
      <c r="A1058" s="269">
        <v>45910.40252314815</v>
      </c>
      <c r="B1058" t="s">
        <v>1446</v>
      </c>
      <c r="C1058" t="s">
        <v>58</v>
      </c>
      <c r="D1058" t="s">
        <v>1543</v>
      </c>
      <c r="E1058" t="s">
        <v>63</v>
      </c>
    </row>
    <row r="1059" spans="1:5" x14ac:dyDescent="0.2">
      <c r="A1059" s="269">
        <v>45910.402546296296</v>
      </c>
      <c r="B1059" t="s">
        <v>1446</v>
      </c>
      <c r="C1059" t="s">
        <v>58</v>
      </c>
      <c r="D1059" t="s">
        <v>1544</v>
      </c>
      <c r="E1059" t="s">
        <v>63</v>
      </c>
    </row>
    <row r="1060" spans="1:5" x14ac:dyDescent="0.2">
      <c r="A1060" s="269">
        <v>45910.402557870373</v>
      </c>
      <c r="B1060" t="s">
        <v>1446</v>
      </c>
      <c r="C1060" t="s">
        <v>58</v>
      </c>
      <c r="D1060" t="s">
        <v>1545</v>
      </c>
      <c r="E1060" t="s">
        <v>63</v>
      </c>
    </row>
    <row r="1061" spans="1:5" x14ac:dyDescent="0.2">
      <c r="A1061" s="269">
        <v>45910.402569444443</v>
      </c>
      <c r="B1061" t="s">
        <v>1446</v>
      </c>
      <c r="C1061" t="s">
        <v>58</v>
      </c>
      <c r="D1061" t="s">
        <v>1546</v>
      </c>
      <c r="E1061" t="s">
        <v>63</v>
      </c>
    </row>
    <row r="1062" spans="1:5" x14ac:dyDescent="0.2">
      <c r="A1062" s="269">
        <v>45910.402581018519</v>
      </c>
      <c r="B1062" t="s">
        <v>1446</v>
      </c>
      <c r="C1062" t="s">
        <v>58</v>
      </c>
      <c r="D1062" t="s">
        <v>1547</v>
      </c>
      <c r="E1062" t="s">
        <v>63</v>
      </c>
    </row>
    <row r="1063" spans="1:5" x14ac:dyDescent="0.2">
      <c r="A1063" s="269">
        <v>45910.402592592596</v>
      </c>
      <c r="B1063" t="s">
        <v>1446</v>
      </c>
      <c r="C1063" t="s">
        <v>58</v>
      </c>
      <c r="D1063" t="s">
        <v>1548</v>
      </c>
      <c r="E1063" t="s">
        <v>63</v>
      </c>
    </row>
    <row r="1064" spans="1:5" x14ac:dyDescent="0.2">
      <c r="A1064" s="269">
        <v>45910.402615740742</v>
      </c>
      <c r="B1064" t="s">
        <v>1446</v>
      </c>
      <c r="C1064" t="s">
        <v>58</v>
      </c>
      <c r="D1064" t="s">
        <v>1549</v>
      </c>
      <c r="E1064" t="s">
        <v>63</v>
      </c>
    </row>
    <row r="1065" spans="1:5" x14ac:dyDescent="0.2">
      <c r="A1065" s="269">
        <v>45910.402638888889</v>
      </c>
      <c r="B1065" t="s">
        <v>1446</v>
      </c>
      <c r="C1065" t="s">
        <v>58</v>
      </c>
      <c r="D1065" t="s">
        <v>1550</v>
      </c>
      <c r="E1065" t="s">
        <v>63</v>
      </c>
    </row>
    <row r="1066" spans="1:5" x14ac:dyDescent="0.2">
      <c r="A1066" s="269">
        <v>45910.402650462966</v>
      </c>
      <c r="B1066" t="s">
        <v>1446</v>
      </c>
      <c r="C1066" t="s">
        <v>58</v>
      </c>
      <c r="D1066" t="s">
        <v>1551</v>
      </c>
      <c r="E1066" t="s">
        <v>63</v>
      </c>
    </row>
    <row r="1067" spans="1:5" x14ac:dyDescent="0.2">
      <c r="A1067" s="269">
        <v>45910.402662037035</v>
      </c>
      <c r="B1067" t="s">
        <v>1446</v>
      </c>
      <c r="C1067" t="s">
        <v>58</v>
      </c>
      <c r="D1067" t="s">
        <v>639</v>
      </c>
      <c r="E1067" t="s">
        <v>63</v>
      </c>
    </row>
    <row r="1068" spans="1:5" x14ac:dyDescent="0.2">
      <c r="A1068" s="269">
        <v>45910.402673611112</v>
      </c>
      <c r="B1068" t="s">
        <v>1446</v>
      </c>
      <c r="C1068" t="s">
        <v>58</v>
      </c>
      <c r="D1068" t="s">
        <v>1552</v>
      </c>
      <c r="E1068" t="s">
        <v>63</v>
      </c>
    </row>
    <row r="1069" spans="1:5" x14ac:dyDescent="0.2">
      <c r="A1069" s="269">
        <v>45910.402685185189</v>
      </c>
      <c r="B1069" t="s">
        <v>1446</v>
      </c>
      <c r="C1069" t="s">
        <v>58</v>
      </c>
      <c r="D1069" t="s">
        <v>1553</v>
      </c>
      <c r="E1069" t="s">
        <v>63</v>
      </c>
    </row>
    <row r="1070" spans="1:5" x14ac:dyDescent="0.2">
      <c r="A1070" s="269">
        <v>45910.40425925926</v>
      </c>
      <c r="B1070" t="s">
        <v>1446</v>
      </c>
      <c r="C1070" t="s">
        <v>28</v>
      </c>
      <c r="D1070" t="s">
        <v>1555</v>
      </c>
      <c r="E1070" t="s">
        <v>1554</v>
      </c>
    </row>
    <row r="1071" spans="1:5" x14ac:dyDescent="0.2">
      <c r="A1071" s="269">
        <v>45910.404305555552</v>
      </c>
      <c r="B1071" t="s">
        <v>1446</v>
      </c>
      <c r="C1071" t="s">
        <v>28</v>
      </c>
      <c r="D1071" t="s">
        <v>1556</v>
      </c>
      <c r="E1071" t="s">
        <v>1554</v>
      </c>
    </row>
    <row r="1072" spans="1:5" x14ac:dyDescent="0.2">
      <c r="A1072" s="269">
        <v>45910.404560185183</v>
      </c>
      <c r="B1072" t="s">
        <v>1446</v>
      </c>
      <c r="C1072" t="s">
        <v>28</v>
      </c>
      <c r="D1072" t="s">
        <v>1555</v>
      </c>
      <c r="E1072" t="s">
        <v>1557</v>
      </c>
    </row>
    <row r="1073" spans="1:5" x14ac:dyDescent="0.2">
      <c r="A1073" s="269">
        <v>45910.404606481483</v>
      </c>
      <c r="B1073" t="s">
        <v>1446</v>
      </c>
      <c r="C1073" t="s">
        <v>28</v>
      </c>
      <c r="D1073" t="s">
        <v>1556</v>
      </c>
      <c r="E1073" t="s">
        <v>1557</v>
      </c>
    </row>
    <row r="1074" spans="1:5" x14ac:dyDescent="0.2">
      <c r="A1074" s="269">
        <v>45910.40488425926</v>
      </c>
      <c r="B1074" t="s">
        <v>1446</v>
      </c>
      <c r="C1074" t="s">
        <v>28</v>
      </c>
      <c r="D1074" t="s">
        <v>1558</v>
      </c>
      <c r="E1074" s="442">
        <v>45910</v>
      </c>
    </row>
    <row r="1075" spans="1:5" x14ac:dyDescent="0.2">
      <c r="A1075" s="269">
        <v>45910.404942129629</v>
      </c>
      <c r="B1075" t="s">
        <v>1446</v>
      </c>
      <c r="C1075" t="s">
        <v>26</v>
      </c>
      <c r="D1075" t="s">
        <v>1558</v>
      </c>
      <c r="E1075" s="442">
        <v>45910</v>
      </c>
    </row>
    <row r="1076" spans="1:5" x14ac:dyDescent="0.2">
      <c r="A1076" s="269">
        <v>45910.404999999999</v>
      </c>
      <c r="B1076" t="s">
        <v>1446</v>
      </c>
      <c r="C1076" t="s">
        <v>25</v>
      </c>
      <c r="D1076" t="s">
        <v>1558</v>
      </c>
      <c r="E1076" s="442">
        <v>45910</v>
      </c>
    </row>
    <row r="1077" spans="1:5" x14ac:dyDescent="0.2">
      <c r="A1077" s="269">
        <v>45910.405046296299</v>
      </c>
      <c r="B1077" t="s">
        <v>1446</v>
      </c>
      <c r="C1077" t="s">
        <v>103</v>
      </c>
      <c r="D1077" t="s">
        <v>1558</v>
      </c>
      <c r="E1077" s="442">
        <v>45910</v>
      </c>
    </row>
    <row r="1078" spans="1:5" x14ac:dyDescent="0.2">
      <c r="A1078" s="269">
        <v>45910.405231481483</v>
      </c>
      <c r="B1078" t="s">
        <v>1446</v>
      </c>
      <c r="C1078" t="s">
        <v>15</v>
      </c>
      <c r="D1078" t="s">
        <v>1559</v>
      </c>
      <c r="E1078" t="s">
        <v>1432</v>
      </c>
    </row>
    <row r="1079" spans="1:5" x14ac:dyDescent="0.2">
      <c r="A1079" s="269">
        <v>45910.405324074076</v>
      </c>
      <c r="B1079" t="s">
        <v>1446</v>
      </c>
      <c r="C1079" t="s">
        <v>15</v>
      </c>
      <c r="D1079" t="s">
        <v>1558</v>
      </c>
      <c r="E1079" s="442">
        <v>45910</v>
      </c>
    </row>
    <row r="1080" spans="1:5" x14ac:dyDescent="0.2">
      <c r="A1080" s="269">
        <v>45910.405509259261</v>
      </c>
      <c r="B1080" t="s">
        <v>1446</v>
      </c>
      <c r="C1080" t="s">
        <v>58</v>
      </c>
      <c r="D1080" t="s">
        <v>1559</v>
      </c>
      <c r="E1080" t="s">
        <v>1432</v>
      </c>
    </row>
    <row r="1081" spans="1:5" x14ac:dyDescent="0.2">
      <c r="A1081" s="269">
        <v>45910.405601851853</v>
      </c>
      <c r="B1081" t="s">
        <v>1446</v>
      </c>
      <c r="C1081" t="s">
        <v>58</v>
      </c>
      <c r="D1081" t="s">
        <v>1558</v>
      </c>
      <c r="E1081" s="442">
        <v>45910</v>
      </c>
    </row>
    <row r="1082" spans="1:5" x14ac:dyDescent="0.2">
      <c r="A1082" s="269">
        <v>45910.405694444446</v>
      </c>
      <c r="B1082" t="s">
        <v>1446</v>
      </c>
      <c r="C1082" t="s">
        <v>27</v>
      </c>
      <c r="D1082" t="s">
        <v>1558</v>
      </c>
      <c r="E1082" s="442">
        <v>45910</v>
      </c>
    </row>
    <row r="1083" spans="1:5" x14ac:dyDescent="0.2">
      <c r="A1083" s="269">
        <v>45917.583715277775</v>
      </c>
      <c r="B1083" t="s">
        <v>596</v>
      </c>
      <c r="C1083" t="s">
        <v>597</v>
      </c>
      <c r="D1083" t="s">
        <v>1560</v>
      </c>
      <c r="E1083" t="s">
        <v>39</v>
      </c>
    </row>
    <row r="1084" spans="1:5" x14ac:dyDescent="0.2">
      <c r="A1084" s="269">
        <v>45917.583923611113</v>
      </c>
      <c r="B1084" t="s">
        <v>596</v>
      </c>
      <c r="C1084" t="s">
        <v>27</v>
      </c>
      <c r="D1084" t="s">
        <v>1561</v>
      </c>
    </row>
    <row r="1085" spans="1:5" x14ac:dyDescent="0.2">
      <c r="A1085" s="269">
        <v>45917.584004629629</v>
      </c>
      <c r="B1085" t="s">
        <v>596</v>
      </c>
      <c r="C1085" t="s">
        <v>27</v>
      </c>
      <c r="D1085" t="s">
        <v>1562</v>
      </c>
      <c r="E1085" t="s">
        <v>53</v>
      </c>
    </row>
    <row r="1086" spans="1:5" x14ac:dyDescent="0.2">
      <c r="A1086" s="269">
        <v>45922.617152777777</v>
      </c>
      <c r="B1086" t="s">
        <v>596</v>
      </c>
      <c r="C1086" t="s">
        <v>597</v>
      </c>
      <c r="D1086" t="s">
        <v>1560</v>
      </c>
      <c r="E1086" t="s">
        <v>39</v>
      </c>
    </row>
    <row r="1087" spans="1:5" x14ac:dyDescent="0.2">
      <c r="A1087" s="269">
        <v>45922.617280092592</v>
      </c>
      <c r="B1087" t="s">
        <v>596</v>
      </c>
      <c r="C1087" t="s">
        <v>58</v>
      </c>
      <c r="D1087" t="s">
        <v>1563</v>
      </c>
      <c r="E1087" t="s">
        <v>343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2025-09-22T06:48:56Z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