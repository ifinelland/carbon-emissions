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2.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3.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codeName="{E5D1E7B1-6628-F0F0-D09B-76B25B5F3CD3}"/>
  <workbookPr codeName="ThisWorkbook" hidePivotFieldList="1" defaultThemeVersion="166925"/>
  <mc:AlternateContent xmlns:mc="http://schemas.openxmlformats.org/markup-compatibility/2006">
    <mc:Choice Requires="x15">
      <x15ac:absPath xmlns:x15ac="http://schemas.microsoft.com/office/spreadsheetml/2010/11/ac" url="/Users/finellajianna/carbon-emissions/Data/Zamboanga Branch/"/>
    </mc:Choice>
  </mc:AlternateContent>
  <xr:revisionPtr revIDLastSave="0" documentId="13_ncr:1_{5EF7F8F0-365C-5846-B6C0-4D2404174483}" xr6:coauthVersionLast="47" xr6:coauthVersionMax="47" xr10:uidLastSave="{00000000-0000-0000-0000-000000000000}"/>
  <bookViews>
    <workbookView xWindow="0" yWindow="660" windowWidth="29400" windowHeight="14720" tabRatio="781" activeTab="3" xr2:uid="{886A8D89-6609-4846-8644-18317714B220}"/>
  </bookViews>
  <sheets>
    <sheet name="Instructions" sheetId="1" r:id="rId1"/>
    <sheet name="1. Data Info and Summary" sheetId="37" r:id="rId2"/>
    <sheet name="2.1a Fuel - Buildings" sheetId="34" r:id="rId3"/>
    <sheet name="2.1b Fuel - Vehicles" sheetId="44" r:id="rId4"/>
    <sheet name="2.2 Refrigerants" sheetId="38" r:id="rId5"/>
    <sheet name="2.3a Electricity" sheetId="39" r:id="rId6"/>
    <sheet name="2.3b RE - Solar" sheetId="50" r:id="rId7"/>
    <sheet name="2.4 Water" sheetId="41" r:id="rId8"/>
    <sheet name="2.7 Waste Gases" sheetId="48" state="hidden" r:id="rId9"/>
    <sheet name="2.5 Waste" sheetId="40" r:id="rId10"/>
    <sheet name="3. Emissions Summary" sheetId="43" state="hidden" r:id="rId11"/>
    <sheet name="4. Dashboard" sheetId="51" state="hidden" r:id="rId12"/>
    <sheet name="dropdown" sheetId="30" state="hidden" r:id="rId13"/>
    <sheet name="Emission_Factors" sheetId="42" state="hidden" r:id="rId14"/>
    <sheet name="Change Log" sheetId="49" state="hidden" r:id="rId15"/>
    <sheet name="Sheet2" sheetId="45" state="hidden" r:id="rId16"/>
    <sheet name="Metrics" sheetId="9" state="hidden" r:id="rId17"/>
  </sheets>
  <externalReferences>
    <externalReference r:id="rId18"/>
  </externalReferences>
  <definedNames>
    <definedName name="Impact_flag">#REF!</definedName>
    <definedName name="Index">#REF!</definedName>
    <definedName name="IndexArray">#REF!</definedName>
    <definedName name="ja">#REF!</definedName>
    <definedName name="LatestChange">#REF!</definedName>
    <definedName name="LatestPerson">#REF!</definedName>
    <definedName name="LatestVersion">#REF!</definedName>
    <definedName name="materail1">#REF!</definedName>
    <definedName name="Material">#REF!</definedName>
    <definedName name="ModelName">#REF!</definedName>
    <definedName name="Quality_flag">#REF!</definedName>
    <definedName name="Risk_flag">#REF!</definedName>
    <definedName name="Slicer_Disposal_Method1">#N/A</definedName>
    <definedName name="Slicer_Facility_Account11">#N/A</definedName>
    <definedName name="Slicer_Facility_Account2">#N/A</definedName>
    <definedName name="Slicer_Fuel_Type11">#N/A</definedName>
    <definedName name="Slicer_Fuel_Type2">#N/A</definedName>
    <definedName name="Slicer_Month11">#N/A</definedName>
    <definedName name="Slicer_Month211">#N/A</definedName>
    <definedName name="Slicer_Month22">#N/A</definedName>
    <definedName name="Slicer_Month31">#N/A</definedName>
    <definedName name="Slicer_Month41">#N/A</definedName>
    <definedName name="Slicer_Month51">#N/A</definedName>
    <definedName name="Slicer_Month6">#N/A</definedName>
    <definedName name="Slicer_Quarter111">#N/A</definedName>
    <definedName name="Slicer_Quarter12">#N/A</definedName>
    <definedName name="Slicer_Quarter21">#N/A</definedName>
    <definedName name="Slicer_Quarter31">#N/A</definedName>
    <definedName name="Slicer_Quarter41">#N/A</definedName>
    <definedName name="Slicer_Quarter5">#N/A</definedName>
    <definedName name="Slicer_Source_Description11">#N/A</definedName>
    <definedName name="Slicer_Source_Description2">#N/A</definedName>
    <definedName name="Slicer_Source1">#N/A</definedName>
    <definedName name="Slicer_Utility_Provider1">#N/A</definedName>
    <definedName name="Slicer_Vehicle_Type1">#N/A</definedName>
    <definedName name="Slicer_Waste_Composition1">#N/A</definedName>
    <definedName name="Slicer_Water_Destination1">#N/A</definedName>
    <definedName name="Status_Checking">#REF!</definedName>
    <definedName name="Status_Overall">#REF!</definedName>
    <definedName name="Status_Update">#REF!</definedName>
    <definedName name="t_Water_supply">#REF!</definedName>
    <definedName name="t_Water_treatment">#REF!</definedName>
    <definedName name="Team">#REF!</definedName>
    <definedName name="Total_WTT_EF_Gen">[1]Calc2_UK_WTT_Elec!#REF!</definedName>
    <definedName name="Year_Reporting_WTT">[1]Calc2_UK_WTT_Elec!#REF!</definedName>
    <definedName name="YesNo">#REF!</definedName>
  </definedNames>
  <calcPr calcId="191028"/>
  <pivotCaches>
    <pivotCache cacheId="1287" r:id="rId19"/>
    <pivotCache cacheId="1288" r:id="rId20"/>
    <pivotCache cacheId="1289" r:id="rId21"/>
    <pivotCache cacheId="1290" r:id="rId22"/>
    <pivotCache cacheId="1291" r:id="rId23"/>
    <pivotCache cacheId="1299" r:id="rId24"/>
  </pivotCaches>
  <extLst>
    <ext xmlns:x14="http://schemas.microsoft.com/office/spreadsheetml/2009/9/main" uri="{BBE1A952-AA13-448e-AADC-164F8A28A991}">
      <x14:slicerCaches>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N8" i="34" l="1"/>
  <c r="N9" i="34"/>
  <c r="I104" i="40"/>
  <c r="I103" i="40"/>
  <c r="I102" i="40"/>
  <c r="I101" i="40"/>
  <c r="I100" i="40"/>
  <c r="I99" i="40"/>
  <c r="I98" i="40"/>
  <c r="I97" i="40"/>
  <c r="I96" i="40"/>
  <c r="I95" i="40"/>
  <c r="I94" i="40"/>
  <c r="I93" i="40"/>
  <c r="I92" i="40"/>
  <c r="I91" i="40"/>
  <c r="I90" i="40"/>
  <c r="I89" i="40"/>
  <c r="I88" i="40"/>
  <c r="I87" i="40"/>
  <c r="I86" i="40"/>
  <c r="I85" i="40"/>
  <c r="I84" i="40"/>
  <c r="I83" i="40"/>
  <c r="I82" i="40"/>
  <c r="I81" i="40"/>
  <c r="I80" i="40"/>
  <c r="I79" i="40"/>
  <c r="I78" i="40"/>
  <c r="I77" i="40"/>
  <c r="I76" i="40"/>
  <c r="I75" i="40"/>
  <c r="I74" i="40"/>
  <c r="I73" i="40"/>
  <c r="I72" i="40"/>
  <c r="I71" i="40"/>
  <c r="I70" i="40"/>
  <c r="I69" i="40"/>
  <c r="I68" i="40"/>
  <c r="I67" i="40"/>
  <c r="I66" i="40"/>
  <c r="I65" i="40"/>
  <c r="I64" i="40"/>
  <c r="I63" i="40"/>
  <c r="I62" i="40"/>
  <c r="I61" i="40"/>
  <c r="I60" i="40"/>
  <c r="I59" i="40"/>
  <c r="I58" i="40"/>
  <c r="I57" i="40"/>
  <c r="I56" i="40"/>
  <c r="I55" i="40"/>
  <c r="I54" i="40"/>
  <c r="I53" i="40"/>
  <c r="I52" i="40"/>
  <c r="I51" i="40"/>
  <c r="I50" i="40"/>
  <c r="I49" i="40"/>
  <c r="I48" i="40"/>
  <c r="I47" i="40"/>
  <c r="I46" i="40"/>
  <c r="I45" i="40"/>
  <c r="I44" i="40"/>
  <c r="I43" i="40"/>
  <c r="I42" i="40"/>
  <c r="I41" i="40"/>
  <c r="I40" i="40"/>
  <c r="I39" i="40"/>
  <c r="I38" i="40"/>
  <c r="I37" i="40"/>
  <c r="I36" i="40"/>
  <c r="I35" i="40"/>
  <c r="I34" i="40"/>
  <c r="I33" i="40"/>
  <c r="I32" i="40"/>
  <c r="I31" i="40"/>
  <c r="I30" i="40"/>
  <c r="I29" i="40"/>
  <c r="I28" i="40"/>
  <c r="I27" i="40"/>
  <c r="I26" i="40"/>
  <c r="I25" i="40"/>
  <c r="I24" i="40"/>
  <c r="I23" i="40"/>
  <c r="I22" i="40"/>
  <c r="I21" i="40"/>
  <c r="I20" i="40"/>
  <c r="I18" i="40"/>
  <c r="I17" i="40"/>
  <c r="I16" i="40"/>
  <c r="I15" i="40"/>
  <c r="I14" i="40"/>
  <c r="I13" i="40"/>
  <c r="I12" i="40"/>
  <c r="I10" i="40"/>
  <c r="I11" i="40" s="1"/>
  <c r="I9" i="40"/>
  <c r="I8" i="40"/>
  <c r="K23" i="50"/>
  <c r="K22" i="50"/>
  <c r="K21" i="50"/>
  <c r="K20" i="50"/>
  <c r="K19" i="50"/>
  <c r="K18" i="50"/>
  <c r="K17" i="50"/>
  <c r="K16" i="50"/>
  <c r="K15" i="50"/>
  <c r="K14" i="50"/>
  <c r="K13" i="50"/>
  <c r="K12" i="50"/>
  <c r="K11" i="50"/>
  <c r="K10" i="50"/>
  <c r="K9" i="50"/>
  <c r="K8" i="50"/>
  <c r="I23" i="50"/>
  <c r="I22" i="50"/>
  <c r="I21" i="50"/>
  <c r="I20" i="50"/>
  <c r="I19" i="50"/>
  <c r="I18" i="50"/>
  <c r="I17" i="50"/>
  <c r="I16" i="50"/>
  <c r="I15" i="50"/>
  <c r="I14" i="50"/>
  <c r="I13" i="50"/>
  <c r="I12" i="50"/>
  <c r="I11" i="50"/>
  <c r="I8" i="44"/>
  <c r="R9" i="41"/>
  <c r="R10" i="41"/>
  <c r="R11" i="41"/>
  <c r="R12" i="41"/>
  <c r="R13" i="41"/>
  <c r="R14" i="41"/>
  <c r="R15" i="41"/>
  <c r="R16" i="41"/>
  <c r="R17" i="41"/>
  <c r="R18" i="41"/>
  <c r="R19" i="41"/>
  <c r="R20" i="41"/>
  <c r="R21" i="41"/>
  <c r="R22" i="41"/>
  <c r="R23" i="41"/>
  <c r="R24" i="41"/>
  <c r="R25" i="41"/>
  <c r="R26" i="41"/>
  <c r="R27" i="41"/>
  <c r="R28" i="41"/>
  <c r="R29" i="41"/>
  <c r="R30" i="41"/>
  <c r="R31" i="41"/>
  <c r="R32" i="41"/>
  <c r="R33" i="41"/>
  <c r="R34" i="41"/>
  <c r="R35" i="41"/>
  <c r="R36" i="41"/>
  <c r="R37" i="41"/>
  <c r="R38" i="41"/>
  <c r="R39" i="41"/>
  <c r="R40" i="41"/>
  <c r="R41" i="41"/>
  <c r="R42" i="41"/>
  <c r="R43" i="41"/>
  <c r="R44" i="41"/>
  <c r="R45" i="41"/>
  <c r="R46" i="41"/>
  <c r="R47" i="41"/>
  <c r="R48" i="41"/>
  <c r="R49" i="41"/>
  <c r="R50" i="41"/>
  <c r="R51" i="41"/>
  <c r="R52" i="41"/>
  <c r="R53" i="41"/>
  <c r="R54" i="41"/>
  <c r="R55" i="41"/>
  <c r="R56" i="41"/>
  <c r="R57" i="41"/>
  <c r="R58" i="41"/>
  <c r="R59" i="41"/>
  <c r="R60" i="41"/>
  <c r="R61" i="41"/>
  <c r="R62" i="41"/>
  <c r="R63" i="41"/>
  <c r="R64" i="41"/>
  <c r="R65" i="41"/>
  <c r="R66" i="41"/>
  <c r="R67" i="41"/>
  <c r="R68" i="41"/>
  <c r="R69" i="41"/>
  <c r="R70" i="41"/>
  <c r="R71" i="41"/>
  <c r="R72" i="41"/>
  <c r="R73" i="41"/>
  <c r="R74" i="41"/>
  <c r="R75" i="41"/>
  <c r="R76" i="41"/>
  <c r="R77" i="41"/>
  <c r="R78" i="41"/>
  <c r="R79" i="41"/>
  <c r="R80" i="41"/>
  <c r="R81" i="41"/>
  <c r="R82" i="41"/>
  <c r="R83" i="41"/>
  <c r="R84" i="41"/>
  <c r="R85" i="41"/>
  <c r="R86" i="41"/>
  <c r="R87" i="41"/>
  <c r="R88" i="41"/>
  <c r="R89" i="41"/>
  <c r="R90" i="41"/>
  <c r="R91" i="41"/>
  <c r="R92" i="41"/>
  <c r="R93" i="41"/>
  <c r="R94" i="41"/>
  <c r="R95" i="41"/>
  <c r="R96" i="41"/>
  <c r="R97" i="41"/>
  <c r="R98" i="41"/>
  <c r="R99" i="41"/>
  <c r="R100" i="41"/>
  <c r="R101" i="41"/>
  <c r="R102" i="41"/>
  <c r="R103" i="41"/>
  <c r="R104" i="41"/>
  <c r="R105" i="41"/>
  <c r="R106" i="41"/>
  <c r="R107" i="41"/>
  <c r="M15" i="44" l="1"/>
  <c r="M8" i="44"/>
  <c r="M9" i="44"/>
  <c r="M10" i="44"/>
  <c r="M11" i="44"/>
  <c r="M12" i="44"/>
  <c r="M13" i="44"/>
  <c r="M14" i="44"/>
  <c r="M16" i="44"/>
  <c r="M17" i="44"/>
  <c r="M18" i="44"/>
  <c r="M19" i="44"/>
  <c r="M20" i="44"/>
  <c r="M21" i="44"/>
  <c r="M22" i="44"/>
  <c r="M23" i="44"/>
  <c r="M24" i="44"/>
  <c r="M25" i="44"/>
  <c r="M26" i="44"/>
  <c r="M27" i="44"/>
  <c r="M28" i="44"/>
  <c r="M29" i="44"/>
  <c r="M30" i="44"/>
  <c r="M31" i="44"/>
  <c r="M32" i="44"/>
  <c r="M33" i="44"/>
  <c r="M34" i="44"/>
  <c r="M35" i="44"/>
  <c r="M36" i="44"/>
  <c r="M37" i="44"/>
  <c r="M38" i="44"/>
  <c r="M39" i="44"/>
  <c r="M40" i="44"/>
  <c r="M41" i="44"/>
  <c r="M42" i="44"/>
  <c r="M43" i="44"/>
  <c r="M44" i="44"/>
  <c r="M45" i="44"/>
  <c r="M46" i="44"/>
  <c r="M47" i="44"/>
  <c r="M48" i="44"/>
  <c r="M49" i="44"/>
  <c r="M50" i="44"/>
  <c r="M51" i="44"/>
  <c r="M52" i="44"/>
  <c r="M53" i="44"/>
  <c r="M54" i="44"/>
  <c r="M55" i="44"/>
  <c r="M56" i="44"/>
  <c r="M57" i="44"/>
  <c r="M58" i="44"/>
  <c r="M59" i="44"/>
  <c r="M60" i="44"/>
  <c r="M61" i="44"/>
  <c r="M62" i="44"/>
  <c r="M63" i="44"/>
  <c r="M64" i="44"/>
  <c r="M65" i="44"/>
  <c r="M66" i="44"/>
  <c r="M67" i="44"/>
  <c r="M68" i="44"/>
  <c r="M69" i="44"/>
  <c r="M70" i="44"/>
  <c r="M71" i="44"/>
  <c r="M72" i="44"/>
  <c r="M73" i="44"/>
  <c r="M74" i="44"/>
  <c r="M75" i="44"/>
  <c r="M76" i="44"/>
  <c r="M77" i="44"/>
  <c r="M78" i="44"/>
  <c r="M79" i="44"/>
  <c r="M80" i="44"/>
  <c r="M81" i="44"/>
  <c r="M82" i="44"/>
  <c r="M83" i="44"/>
  <c r="M84" i="44"/>
  <c r="M85" i="44"/>
  <c r="M86" i="44"/>
  <c r="M87" i="44"/>
  <c r="M88" i="44"/>
  <c r="M89" i="44"/>
  <c r="M90" i="44"/>
  <c r="M91" i="44"/>
  <c r="M92" i="44"/>
  <c r="M93" i="44"/>
  <c r="M94" i="44"/>
  <c r="M95" i="44"/>
  <c r="M96" i="44"/>
  <c r="M97" i="44"/>
  <c r="M98" i="44"/>
  <c r="M99" i="44"/>
  <c r="M100" i="44"/>
  <c r="M101" i="44"/>
  <c r="M102" i="44"/>
  <c r="M103" i="44"/>
  <c r="M104" i="44"/>
  <c r="M105" i="44"/>
  <c r="M106" i="44"/>
  <c r="K10" i="39"/>
  <c r="K9" i="39"/>
  <c r="K11" i="39"/>
  <c r="K12" i="39"/>
  <c r="K13" i="39"/>
  <c r="K14" i="39"/>
  <c r="K15" i="39"/>
  <c r="K16" i="39"/>
  <c r="K17" i="39"/>
  <c r="K18" i="39"/>
  <c r="K19" i="39"/>
  <c r="K20" i="39"/>
  <c r="K21" i="39"/>
  <c r="K22" i="39"/>
  <c r="K23" i="39"/>
  <c r="K24" i="39"/>
  <c r="K25" i="39"/>
  <c r="K26" i="39"/>
  <c r="K27" i="39"/>
  <c r="K28" i="39"/>
  <c r="K29" i="39"/>
  <c r="K30" i="39"/>
  <c r="K31" i="39"/>
  <c r="K32" i="39"/>
  <c r="K33" i="39"/>
  <c r="K34" i="39"/>
  <c r="K35" i="39"/>
  <c r="K36" i="39"/>
  <c r="K37" i="39"/>
  <c r="K38" i="39"/>
  <c r="K39" i="39"/>
  <c r="K40" i="39"/>
  <c r="K41" i="39"/>
  <c r="K42" i="39"/>
  <c r="K43" i="39"/>
  <c r="K44" i="39"/>
  <c r="K45" i="39"/>
  <c r="K46" i="39"/>
  <c r="K47" i="39"/>
  <c r="K48" i="39"/>
  <c r="K49" i="39"/>
  <c r="K50" i="39"/>
  <c r="K51" i="39"/>
  <c r="K52" i="39"/>
  <c r="K53" i="39"/>
  <c r="K54" i="39"/>
  <c r="K55" i="39"/>
  <c r="K56" i="39"/>
  <c r="K57" i="39"/>
  <c r="K58" i="39"/>
  <c r="K59" i="39"/>
  <c r="K60" i="39"/>
  <c r="K61" i="39"/>
  <c r="K62" i="39"/>
  <c r="K63" i="39"/>
  <c r="K64" i="39"/>
  <c r="K65" i="39"/>
  <c r="K66" i="39"/>
  <c r="K67" i="39"/>
  <c r="K68" i="39"/>
  <c r="K69" i="39"/>
  <c r="K70" i="39"/>
  <c r="K71" i="39"/>
  <c r="K72" i="39"/>
  <c r="K73" i="39"/>
  <c r="K74" i="39"/>
  <c r="K75" i="39"/>
  <c r="K76" i="39"/>
  <c r="K77" i="39"/>
  <c r="K78" i="39"/>
  <c r="K79" i="39"/>
  <c r="K80" i="39"/>
  <c r="K81" i="39"/>
  <c r="K82" i="39"/>
  <c r="K83" i="39"/>
  <c r="K84" i="39"/>
  <c r="K85" i="39"/>
  <c r="K86" i="39"/>
  <c r="K87" i="39"/>
  <c r="K88" i="39"/>
  <c r="K89" i="39"/>
  <c r="K90" i="39"/>
  <c r="K91" i="39"/>
  <c r="K92" i="39"/>
  <c r="K93" i="39"/>
  <c r="K94" i="39"/>
  <c r="K95" i="39"/>
  <c r="K96" i="39"/>
  <c r="K97" i="39"/>
  <c r="K98" i="39"/>
  <c r="K99" i="39"/>
  <c r="K100" i="39"/>
  <c r="K101" i="39"/>
  <c r="K102" i="39"/>
  <c r="K103" i="39"/>
  <c r="K104" i="39"/>
  <c r="K105" i="39"/>
  <c r="K106" i="39"/>
  <c r="K107" i="39"/>
  <c r="K8" i="39"/>
  <c r="V10" i="38"/>
  <c r="V9" i="38"/>
  <c r="G13" i="38"/>
  <c r="F13" i="38"/>
  <c r="E13" i="38"/>
  <c r="D13" i="38"/>
  <c r="Q8" i="44"/>
  <c r="Q9" i="44"/>
  <c r="Q10" i="44"/>
  <c r="Q11" i="44"/>
  <c r="Q12" i="44"/>
  <c r="Q13" i="44"/>
  <c r="Q14" i="44"/>
  <c r="Q15" i="44"/>
  <c r="Q16" i="44"/>
  <c r="Q17" i="44"/>
  <c r="Q18" i="44"/>
  <c r="Q19" i="44"/>
  <c r="Q20" i="44"/>
  <c r="Q21" i="44"/>
  <c r="Q22" i="44"/>
  <c r="Q23" i="44"/>
  <c r="Q24" i="44"/>
  <c r="Q25" i="44"/>
  <c r="Q26" i="44"/>
  <c r="Q27" i="44"/>
  <c r="Q28" i="44"/>
  <c r="Q29" i="44"/>
  <c r="Q30" i="44"/>
  <c r="Q31" i="44"/>
  <c r="Q32" i="44"/>
  <c r="Q33" i="44"/>
  <c r="Q34" i="44"/>
  <c r="Q35" i="44"/>
  <c r="Q36" i="44"/>
  <c r="Q37" i="44"/>
  <c r="Q38" i="44"/>
  <c r="Q39" i="44"/>
  <c r="Q40" i="44"/>
  <c r="Q41" i="44"/>
  <c r="Q42" i="44"/>
  <c r="Q43" i="44"/>
  <c r="Q44" i="44"/>
  <c r="Q45" i="44"/>
  <c r="Q46" i="44"/>
  <c r="Q47" i="44"/>
  <c r="Q48" i="44"/>
  <c r="Q49" i="44"/>
  <c r="Q50" i="44"/>
  <c r="Q51" i="44"/>
  <c r="Q52" i="44"/>
  <c r="Q53" i="44"/>
  <c r="Q54" i="44"/>
  <c r="Q55" i="44"/>
  <c r="Q56" i="44"/>
  <c r="Q57" i="44"/>
  <c r="Q58" i="44"/>
  <c r="Q59" i="44"/>
  <c r="Q60" i="44"/>
  <c r="Q61" i="44"/>
  <c r="Q62" i="44"/>
  <c r="Q63" i="44"/>
  <c r="Q64" i="44"/>
  <c r="Q65" i="44"/>
  <c r="Q66" i="44"/>
  <c r="Q67" i="44"/>
  <c r="Q68" i="44"/>
  <c r="Q69" i="44"/>
  <c r="Q70" i="44"/>
  <c r="Q71" i="44"/>
  <c r="Q72" i="44"/>
  <c r="Q73" i="44"/>
  <c r="Q74" i="44"/>
  <c r="Q75" i="44"/>
  <c r="Q76" i="44"/>
  <c r="Q77" i="44"/>
  <c r="Q78" i="44"/>
  <c r="Q79" i="44"/>
  <c r="Q80" i="44"/>
  <c r="Q81" i="44"/>
  <c r="Q82" i="44"/>
  <c r="Q83" i="44"/>
  <c r="Q84" i="44"/>
  <c r="Q85" i="44"/>
  <c r="Q86" i="44"/>
  <c r="Q87" i="44"/>
  <c r="Q88" i="44"/>
  <c r="Q89" i="44"/>
  <c r="Q90" i="44"/>
  <c r="Q91" i="44"/>
  <c r="Q92" i="44"/>
  <c r="Q93" i="44"/>
  <c r="Q94" i="44"/>
  <c r="Q95" i="44"/>
  <c r="Q96" i="44"/>
  <c r="Q97" i="44"/>
  <c r="Q98" i="44"/>
  <c r="Q99" i="44"/>
  <c r="Q100" i="44"/>
  <c r="Q101" i="44"/>
  <c r="Q102" i="44"/>
  <c r="Q103" i="44"/>
  <c r="Q104" i="44"/>
  <c r="Q105" i="44"/>
  <c r="Q106" i="44"/>
  <c r="Q7" i="44"/>
  <c r="L8" i="34"/>
  <c r="L9" i="34"/>
  <c r="L10" i="34"/>
  <c r="L11" i="34"/>
  <c r="L12" i="34"/>
  <c r="L13" i="34"/>
  <c r="L14" i="34"/>
  <c r="L15" i="34"/>
  <c r="L16" i="34"/>
  <c r="L17" i="34"/>
  <c r="L18" i="34"/>
  <c r="C49" i="37"/>
  <c r="D49" i="37"/>
  <c r="C48" i="37"/>
  <c r="D48" i="37"/>
  <c r="C34" i="37"/>
  <c r="D34" i="37"/>
  <c r="C35" i="37"/>
  <c r="D35" i="37"/>
  <c r="L7" i="34"/>
  <c r="K9" i="41"/>
  <c r="K10" i="41"/>
  <c r="K11" i="41"/>
  <c r="K12" i="41"/>
  <c r="K13" i="41"/>
  <c r="K14" i="41"/>
  <c r="K15" i="41"/>
  <c r="K16" i="41"/>
  <c r="K17" i="41"/>
  <c r="K18" i="41"/>
  <c r="K19" i="41"/>
  <c r="K20" i="41"/>
  <c r="K21" i="41"/>
  <c r="K22" i="41"/>
  <c r="K23" i="41"/>
  <c r="K24" i="41"/>
  <c r="K25" i="41"/>
  <c r="K26" i="41"/>
  <c r="K27"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K82" i="41"/>
  <c r="K83" i="41"/>
  <c r="K84" i="41"/>
  <c r="K85" i="41"/>
  <c r="K86" i="41"/>
  <c r="K87" i="41"/>
  <c r="K88" i="41"/>
  <c r="K89" i="41"/>
  <c r="K90" i="41"/>
  <c r="K91" i="41"/>
  <c r="K92" i="41"/>
  <c r="K93" i="41"/>
  <c r="K94" i="41"/>
  <c r="K95" i="41"/>
  <c r="K96" i="41"/>
  <c r="K97" i="41"/>
  <c r="K98" i="41"/>
  <c r="K99" i="41"/>
  <c r="K100" i="41"/>
  <c r="K101" i="41"/>
  <c r="K102" i="41"/>
  <c r="K103" i="41"/>
  <c r="K104" i="41"/>
  <c r="K105" i="41"/>
  <c r="K106" i="41"/>
  <c r="K107" i="41"/>
  <c r="P20" i="41"/>
  <c r="P21" i="41"/>
  <c r="P22" i="41"/>
  <c r="P23" i="41"/>
  <c r="P24" i="41"/>
  <c r="P25" i="41"/>
  <c r="P26" i="41"/>
  <c r="P27" i="41"/>
  <c r="P28" i="41"/>
  <c r="P29" i="41"/>
  <c r="P30" i="41"/>
  <c r="P31" i="41"/>
  <c r="P32" i="41"/>
  <c r="P33" i="41"/>
  <c r="P34" i="41"/>
  <c r="P35" i="41"/>
  <c r="P36" i="41"/>
  <c r="P37" i="41"/>
  <c r="P38" i="41"/>
  <c r="P39" i="41"/>
  <c r="P40" i="41"/>
  <c r="P41" i="41"/>
  <c r="P42" i="41"/>
  <c r="P43" i="41"/>
  <c r="P44" i="41"/>
  <c r="P45" i="41"/>
  <c r="P46" i="41"/>
  <c r="P47" i="41"/>
  <c r="P48" i="41"/>
  <c r="P49" i="41"/>
  <c r="P50" i="41"/>
  <c r="P51" i="41"/>
  <c r="P52" i="41"/>
  <c r="P53" i="41"/>
  <c r="P54" i="41"/>
  <c r="P55" i="41"/>
  <c r="P56" i="41"/>
  <c r="P57" i="41"/>
  <c r="P58" i="41"/>
  <c r="P59" i="41"/>
  <c r="P60" i="41"/>
  <c r="P61" i="41"/>
  <c r="P62" i="41"/>
  <c r="P63" i="41"/>
  <c r="P64" i="41"/>
  <c r="P65" i="41"/>
  <c r="P66" i="41"/>
  <c r="P67" i="41"/>
  <c r="P68" i="41"/>
  <c r="P69" i="41"/>
  <c r="P70" i="41"/>
  <c r="P71" i="41"/>
  <c r="P72" i="41"/>
  <c r="P73" i="41"/>
  <c r="P74" i="41"/>
  <c r="P75" i="41"/>
  <c r="P76" i="41"/>
  <c r="P77" i="41"/>
  <c r="P78" i="41"/>
  <c r="P79" i="41"/>
  <c r="P80" i="41"/>
  <c r="P81" i="41"/>
  <c r="P82" i="41"/>
  <c r="P83" i="41"/>
  <c r="P84" i="41"/>
  <c r="P85" i="41"/>
  <c r="P86" i="41"/>
  <c r="P87" i="41"/>
  <c r="P88" i="41"/>
  <c r="P89" i="41"/>
  <c r="P90" i="41"/>
  <c r="P91" i="41"/>
  <c r="P92" i="41"/>
  <c r="P93" i="41"/>
  <c r="P94" i="41"/>
  <c r="P95" i="41"/>
  <c r="P96" i="41"/>
  <c r="P97" i="41"/>
  <c r="P98" i="41"/>
  <c r="P99" i="41"/>
  <c r="P100" i="41"/>
  <c r="P101" i="41"/>
  <c r="P102" i="41"/>
  <c r="P103" i="41"/>
  <c r="P104" i="41"/>
  <c r="P105" i="41"/>
  <c r="P106" i="41"/>
  <c r="P107" i="41"/>
  <c r="P8" i="41"/>
  <c r="P9" i="41" s="1"/>
  <c r="P10" i="41" s="1"/>
  <c r="P11" i="41" s="1"/>
  <c r="P12" i="41" s="1"/>
  <c r="P13" i="41" s="1"/>
  <c r="P14" i="41" s="1"/>
  <c r="P15" i="41" s="1"/>
  <c r="P16" i="41" s="1"/>
  <c r="P17" i="41" s="1"/>
  <c r="P18" i="41" s="1"/>
  <c r="P19" i="41" s="1"/>
  <c r="I20" i="41"/>
  <c r="I21" i="41"/>
  <c r="I22" i="41"/>
  <c r="I23" i="41"/>
  <c r="I24" i="41"/>
  <c r="I25" i="41"/>
  <c r="I26" i="41"/>
  <c r="I27" i="41"/>
  <c r="I28" i="41"/>
  <c r="I29" i="41"/>
  <c r="I30" i="41"/>
  <c r="I31" i="41"/>
  <c r="I32" i="41"/>
  <c r="I33" i="41"/>
  <c r="I34" i="41"/>
  <c r="I35" i="41"/>
  <c r="I36" i="41"/>
  <c r="I37" i="41"/>
  <c r="I38" i="41"/>
  <c r="I39" i="41"/>
  <c r="I40" i="41"/>
  <c r="I41" i="41"/>
  <c r="I42" i="41"/>
  <c r="I43" i="41"/>
  <c r="I44" i="41"/>
  <c r="I45" i="41"/>
  <c r="I46" i="41"/>
  <c r="I47" i="41"/>
  <c r="I48" i="41"/>
  <c r="I49" i="41"/>
  <c r="I50" i="41"/>
  <c r="I51" i="41"/>
  <c r="I52" i="41"/>
  <c r="I53" i="41"/>
  <c r="I54" i="41"/>
  <c r="I55" i="41"/>
  <c r="I56" i="41"/>
  <c r="I57" i="41"/>
  <c r="I58" i="41"/>
  <c r="I59" i="41"/>
  <c r="I60" i="41"/>
  <c r="I61" i="41"/>
  <c r="I62" i="41"/>
  <c r="I63" i="41"/>
  <c r="I64" i="41"/>
  <c r="I65" i="41"/>
  <c r="I66" i="41"/>
  <c r="I67" i="41"/>
  <c r="I68" i="41"/>
  <c r="I69" i="41"/>
  <c r="I70" i="41"/>
  <c r="I71" i="41"/>
  <c r="I72" i="41"/>
  <c r="I73" i="41"/>
  <c r="I74" i="41"/>
  <c r="I75" i="41"/>
  <c r="I76" i="41"/>
  <c r="I77" i="41"/>
  <c r="I78" i="41"/>
  <c r="I79" i="41"/>
  <c r="I80" i="41"/>
  <c r="I81" i="41"/>
  <c r="I82" i="41"/>
  <c r="I83" i="41"/>
  <c r="I84" i="41"/>
  <c r="I85" i="41"/>
  <c r="I86" i="41"/>
  <c r="I87" i="41"/>
  <c r="I88" i="41"/>
  <c r="I89" i="41"/>
  <c r="I90" i="41"/>
  <c r="I91" i="41"/>
  <c r="I92" i="41"/>
  <c r="I93" i="41"/>
  <c r="I94" i="41"/>
  <c r="I95" i="41"/>
  <c r="I96" i="41"/>
  <c r="I97" i="41"/>
  <c r="I98" i="41"/>
  <c r="I99" i="41"/>
  <c r="I100" i="41"/>
  <c r="I101" i="41"/>
  <c r="I102" i="41"/>
  <c r="I103" i="41"/>
  <c r="I104" i="41"/>
  <c r="I105" i="41"/>
  <c r="I106" i="41"/>
  <c r="I107" i="41"/>
  <c r="I8" i="41"/>
  <c r="I9" i="41" s="1"/>
  <c r="I10" i="41" s="1"/>
  <c r="I11" i="41" s="1"/>
  <c r="I12" i="41" s="1"/>
  <c r="I13" i="41" s="1"/>
  <c r="I14" i="41" s="1"/>
  <c r="I15" i="41" s="1"/>
  <c r="I16" i="41" s="1"/>
  <c r="I17" i="41" s="1"/>
  <c r="I18" i="41" s="1"/>
  <c r="I19" i="41" s="1"/>
  <c r="K9" i="40"/>
  <c r="K10" i="40"/>
  <c r="K11" i="40"/>
  <c r="K12" i="40"/>
  <c r="K13" i="40"/>
  <c r="K14" i="40"/>
  <c r="K15" i="40"/>
  <c r="K16" i="40"/>
  <c r="K17" i="40"/>
  <c r="K18" i="40"/>
  <c r="K19" i="40"/>
  <c r="K20" i="40"/>
  <c r="K21" i="40"/>
  <c r="K22" i="40"/>
  <c r="K23" i="40"/>
  <c r="K24" i="40"/>
  <c r="K25" i="40"/>
  <c r="K26" i="40"/>
  <c r="K27" i="40"/>
  <c r="K28" i="40"/>
  <c r="K29" i="40"/>
  <c r="K30" i="40"/>
  <c r="K31" i="40"/>
  <c r="K32" i="40"/>
  <c r="K33" i="40"/>
  <c r="K34" i="40"/>
  <c r="K35" i="40"/>
  <c r="K36" i="40"/>
  <c r="K37" i="40"/>
  <c r="K38" i="40"/>
  <c r="K39" i="40"/>
  <c r="K40" i="40"/>
  <c r="K41" i="40"/>
  <c r="K42" i="40"/>
  <c r="K43" i="40"/>
  <c r="K44" i="40"/>
  <c r="K45" i="40"/>
  <c r="K46" i="40"/>
  <c r="K47" i="40"/>
  <c r="K48" i="40"/>
  <c r="K49" i="40"/>
  <c r="K50" i="40"/>
  <c r="K51" i="40"/>
  <c r="K52" i="40"/>
  <c r="K53" i="40"/>
  <c r="K54" i="40"/>
  <c r="K55" i="40"/>
  <c r="K56" i="40"/>
  <c r="K57" i="40"/>
  <c r="K58" i="40"/>
  <c r="K59" i="40"/>
  <c r="K60" i="40"/>
  <c r="K61" i="40"/>
  <c r="K62" i="40"/>
  <c r="K63" i="40"/>
  <c r="K64" i="40"/>
  <c r="K65" i="40"/>
  <c r="K66" i="40"/>
  <c r="K67" i="40"/>
  <c r="K68" i="40"/>
  <c r="K69" i="40"/>
  <c r="K70" i="40"/>
  <c r="K71" i="40"/>
  <c r="K72" i="40"/>
  <c r="K73" i="40"/>
  <c r="K74" i="40"/>
  <c r="K75" i="40"/>
  <c r="K76" i="40"/>
  <c r="K77" i="40"/>
  <c r="K78" i="40"/>
  <c r="K79" i="40"/>
  <c r="K80" i="40"/>
  <c r="K81" i="40"/>
  <c r="K82" i="40"/>
  <c r="K83" i="40"/>
  <c r="K84" i="40"/>
  <c r="K85" i="40"/>
  <c r="K86" i="40"/>
  <c r="K87" i="40"/>
  <c r="K88" i="40"/>
  <c r="K89" i="40"/>
  <c r="K90" i="40"/>
  <c r="K91" i="40"/>
  <c r="K92" i="40"/>
  <c r="K93" i="40"/>
  <c r="K94" i="40"/>
  <c r="K95" i="40"/>
  <c r="K96" i="40"/>
  <c r="K97" i="40"/>
  <c r="K98" i="40"/>
  <c r="K99" i="40"/>
  <c r="K100" i="40"/>
  <c r="K101" i="40"/>
  <c r="K102" i="40"/>
  <c r="K103" i="40"/>
  <c r="K104" i="40"/>
  <c r="K8" i="40"/>
  <c r="I10" i="34"/>
  <c r="I11" i="34" s="1"/>
  <c r="I12" i="34" s="1"/>
  <c r="I13" i="34" s="1"/>
  <c r="I14" i="34" s="1"/>
  <c r="I15" i="34" s="1"/>
  <c r="I16" i="34" s="1"/>
  <c r="I17" i="34" s="1"/>
  <c r="I18" i="34" s="1"/>
  <c r="I7" i="34"/>
  <c r="I18" i="39"/>
  <c r="I19" i="39"/>
  <c r="I20" i="39"/>
  <c r="I21" i="39"/>
  <c r="I22" i="39"/>
  <c r="I23" i="39"/>
  <c r="I24" i="39"/>
  <c r="I25" i="39"/>
  <c r="I26" i="39"/>
  <c r="I27" i="39"/>
  <c r="I28" i="39"/>
  <c r="I29" i="39"/>
  <c r="I30" i="39"/>
  <c r="I31" i="39"/>
  <c r="I32" i="39"/>
  <c r="I33" i="39"/>
  <c r="I34" i="39"/>
  <c r="I35" i="39"/>
  <c r="I36" i="39"/>
  <c r="I37" i="39"/>
  <c r="I38" i="39"/>
  <c r="I39" i="39"/>
  <c r="I40" i="39"/>
  <c r="I41" i="39"/>
  <c r="I42" i="39"/>
  <c r="I43" i="39"/>
  <c r="I44" i="39"/>
  <c r="I45" i="39"/>
  <c r="I46" i="39"/>
  <c r="I47" i="39"/>
  <c r="I48" i="39"/>
  <c r="I49" i="39"/>
  <c r="I50" i="39"/>
  <c r="I51" i="39"/>
  <c r="I52" i="39"/>
  <c r="I53" i="39"/>
  <c r="I54" i="39"/>
  <c r="I55" i="39"/>
  <c r="I56" i="39"/>
  <c r="I57" i="39"/>
  <c r="I58" i="39"/>
  <c r="I59" i="39"/>
  <c r="I60" i="39"/>
  <c r="I61" i="39"/>
  <c r="I62" i="39"/>
  <c r="I63" i="39"/>
  <c r="I64" i="39"/>
  <c r="I65" i="39"/>
  <c r="I66" i="39"/>
  <c r="I67" i="39"/>
  <c r="I68" i="39"/>
  <c r="I69" i="39"/>
  <c r="I70" i="39"/>
  <c r="I71" i="39"/>
  <c r="I72" i="39"/>
  <c r="I73" i="39"/>
  <c r="I74" i="39"/>
  <c r="I75" i="39"/>
  <c r="I76" i="39"/>
  <c r="I77" i="39"/>
  <c r="I78" i="39"/>
  <c r="I79" i="39"/>
  <c r="I80" i="39"/>
  <c r="I81" i="39"/>
  <c r="I82" i="39"/>
  <c r="I83" i="39"/>
  <c r="I84" i="39"/>
  <c r="I85" i="39"/>
  <c r="I86" i="39"/>
  <c r="I87" i="39"/>
  <c r="I88" i="39"/>
  <c r="I89" i="39"/>
  <c r="I90" i="39"/>
  <c r="I91" i="39"/>
  <c r="I92" i="39"/>
  <c r="I93" i="39"/>
  <c r="I94" i="39"/>
  <c r="I95" i="39"/>
  <c r="I96" i="39"/>
  <c r="I97" i="39"/>
  <c r="I98" i="39"/>
  <c r="I99" i="39"/>
  <c r="I100" i="39"/>
  <c r="I101" i="39"/>
  <c r="I102" i="39"/>
  <c r="I103" i="39"/>
  <c r="I104" i="39"/>
  <c r="I105" i="39"/>
  <c r="I106" i="39"/>
  <c r="I107" i="39"/>
  <c r="I8" i="39"/>
  <c r="D44" i="1"/>
  <c r="B16" i="40"/>
  <c r="B15" i="40"/>
  <c r="V11" i="38"/>
  <c r="V12" i="38"/>
  <c r="V13" i="38"/>
  <c r="E11" i="38" s="1"/>
  <c r="V14" i="38"/>
  <c r="V15" i="38"/>
  <c r="V16" i="38"/>
  <c r="V17" i="38"/>
  <c r="V18" i="38"/>
  <c r="V19" i="38"/>
  <c r="V20" i="38"/>
  <c r="V21" i="38"/>
  <c r="V22" i="38"/>
  <c r="V23" i="38"/>
  <c r="V24" i="38"/>
  <c r="V25" i="38"/>
  <c r="V26" i="38"/>
  <c r="V27" i="38"/>
  <c r="V28" i="38"/>
  <c r="V29" i="38"/>
  <c r="V30" i="38"/>
  <c r="V31" i="38"/>
  <c r="V32" i="38"/>
  <c r="V33" i="38"/>
  <c r="V34" i="38"/>
  <c r="V35" i="38"/>
  <c r="V36" i="38"/>
  <c r="V37" i="38"/>
  <c r="V38" i="38"/>
  <c r="V39" i="38"/>
  <c r="V40" i="38"/>
  <c r="V41" i="38"/>
  <c r="V42" i="38"/>
  <c r="V43" i="38"/>
  <c r="V44" i="38"/>
  <c r="V45" i="38"/>
  <c r="V46" i="38"/>
  <c r="V47" i="38"/>
  <c r="V48" i="38"/>
  <c r="V49" i="38"/>
  <c r="V50" i="38"/>
  <c r="V51" i="38"/>
  <c r="V52" i="38"/>
  <c r="V53" i="38"/>
  <c r="V54" i="38"/>
  <c r="V55" i="38"/>
  <c r="V56" i="38"/>
  <c r="V57" i="38"/>
  <c r="V58" i="38"/>
  <c r="V59" i="38"/>
  <c r="V60" i="38"/>
  <c r="V61" i="38"/>
  <c r="V62" i="38"/>
  <c r="V63" i="38"/>
  <c r="V64" i="38"/>
  <c r="V65" i="38"/>
  <c r="V66" i="38"/>
  <c r="V67" i="38"/>
  <c r="V68" i="38"/>
  <c r="V69" i="38"/>
  <c r="V70" i="38"/>
  <c r="V71" i="38"/>
  <c r="V72" i="38"/>
  <c r="V73" i="38"/>
  <c r="V74" i="38"/>
  <c r="V75" i="38"/>
  <c r="V76" i="38"/>
  <c r="V77" i="38"/>
  <c r="V78" i="38"/>
  <c r="V79" i="38"/>
  <c r="V80" i="38"/>
  <c r="V81" i="38"/>
  <c r="V82" i="38"/>
  <c r="V83" i="38"/>
  <c r="V84" i="38"/>
  <c r="V85" i="38"/>
  <c r="V86" i="38"/>
  <c r="V87" i="38"/>
  <c r="V88" i="38"/>
  <c r="V89" i="38"/>
  <c r="V90" i="38"/>
  <c r="V91" i="38"/>
  <c r="V92" i="38"/>
  <c r="V93" i="38"/>
  <c r="V94" i="38"/>
  <c r="V95" i="38"/>
  <c r="V96" i="38"/>
  <c r="V97" i="38"/>
  <c r="V98" i="38"/>
  <c r="V99" i="38"/>
  <c r="V100" i="38"/>
  <c r="V101" i="38"/>
  <c r="V102" i="38"/>
  <c r="V103" i="38"/>
  <c r="V104" i="38"/>
  <c r="V105" i="38"/>
  <c r="V106" i="38"/>
  <c r="V107" i="38"/>
  <c r="I24" i="50"/>
  <c r="I25" i="50"/>
  <c r="I26" i="50"/>
  <c r="I27" i="50"/>
  <c r="I28" i="50"/>
  <c r="I29" i="50"/>
  <c r="I30" i="50"/>
  <c r="I31" i="50"/>
  <c r="I32" i="50"/>
  <c r="I33" i="50"/>
  <c r="I34" i="50"/>
  <c r="I35" i="50"/>
  <c r="I36" i="50"/>
  <c r="I37" i="50"/>
  <c r="I38" i="50"/>
  <c r="I39" i="50"/>
  <c r="I40" i="50"/>
  <c r="I41" i="50"/>
  <c r="I42" i="50"/>
  <c r="I43" i="50"/>
  <c r="I44" i="50"/>
  <c r="I45" i="50"/>
  <c r="I46" i="50"/>
  <c r="I47" i="50"/>
  <c r="I48" i="50"/>
  <c r="I49" i="50"/>
  <c r="I50" i="50"/>
  <c r="I51" i="50"/>
  <c r="I52" i="50"/>
  <c r="I53" i="50"/>
  <c r="I54" i="50"/>
  <c r="I55" i="50"/>
  <c r="I56" i="50"/>
  <c r="I57" i="50"/>
  <c r="I58" i="50"/>
  <c r="I59" i="50"/>
  <c r="I60" i="50"/>
  <c r="I61" i="50"/>
  <c r="I62" i="50"/>
  <c r="I63" i="50"/>
  <c r="I64" i="50"/>
  <c r="I65" i="50"/>
  <c r="I66" i="50"/>
  <c r="I67" i="50"/>
  <c r="I68" i="50"/>
  <c r="I69" i="50"/>
  <c r="I70" i="50"/>
  <c r="I71" i="50"/>
  <c r="I72" i="50"/>
  <c r="I73" i="50"/>
  <c r="I74" i="50"/>
  <c r="I75" i="50"/>
  <c r="I76" i="50"/>
  <c r="I77" i="50"/>
  <c r="I78" i="50"/>
  <c r="I79" i="50"/>
  <c r="I80" i="50"/>
  <c r="I81" i="50"/>
  <c r="I82" i="50"/>
  <c r="I83" i="50"/>
  <c r="I84" i="50"/>
  <c r="I85" i="50"/>
  <c r="I86" i="50"/>
  <c r="I87" i="50"/>
  <c r="I88" i="50"/>
  <c r="I89" i="50"/>
  <c r="I90" i="50"/>
  <c r="I91" i="50"/>
  <c r="I92" i="50"/>
  <c r="I93" i="50"/>
  <c r="I94" i="50"/>
  <c r="I95" i="50"/>
  <c r="I96" i="50"/>
  <c r="I97" i="50"/>
  <c r="I98" i="50"/>
  <c r="I99" i="50"/>
  <c r="I100" i="50"/>
  <c r="I101" i="50"/>
  <c r="I102" i="50"/>
  <c r="I103" i="50"/>
  <c r="I104" i="50"/>
  <c r="I105" i="50"/>
  <c r="I106" i="50"/>
  <c r="I7" i="50"/>
  <c r="I8" i="50" s="1"/>
  <c r="I9" i="50" s="1"/>
  <c r="I10" i="50" s="1"/>
  <c r="I19" i="40"/>
  <c r="K24" i="50"/>
  <c r="K25" i="50"/>
  <c r="K26" i="50"/>
  <c r="K27" i="50"/>
  <c r="K28" i="50"/>
  <c r="K29" i="50"/>
  <c r="K30" i="50"/>
  <c r="K31" i="50"/>
  <c r="K32" i="50"/>
  <c r="K33" i="50"/>
  <c r="K34" i="50"/>
  <c r="K35" i="50"/>
  <c r="K36" i="50"/>
  <c r="K37" i="50"/>
  <c r="K38" i="50"/>
  <c r="K39" i="50"/>
  <c r="K40" i="50"/>
  <c r="K41" i="50"/>
  <c r="K42" i="50"/>
  <c r="K43" i="50"/>
  <c r="K44" i="50"/>
  <c r="K45" i="50"/>
  <c r="K46" i="50"/>
  <c r="K47" i="50"/>
  <c r="K48" i="50"/>
  <c r="K49" i="50"/>
  <c r="K50" i="50"/>
  <c r="K51" i="50"/>
  <c r="K52" i="50"/>
  <c r="K53" i="50"/>
  <c r="K54" i="50"/>
  <c r="K55" i="50"/>
  <c r="K56" i="50"/>
  <c r="K57" i="50"/>
  <c r="K58" i="50"/>
  <c r="K59" i="50"/>
  <c r="K60" i="50"/>
  <c r="K61" i="50"/>
  <c r="K62" i="50"/>
  <c r="K63" i="50"/>
  <c r="K64" i="50"/>
  <c r="K65" i="50"/>
  <c r="K66" i="50"/>
  <c r="K67" i="50"/>
  <c r="K68" i="50"/>
  <c r="K69" i="50"/>
  <c r="K70" i="50"/>
  <c r="K71" i="50"/>
  <c r="K72" i="50"/>
  <c r="K73" i="50"/>
  <c r="K74" i="50"/>
  <c r="K75" i="50"/>
  <c r="K76" i="50"/>
  <c r="K77" i="50"/>
  <c r="K78" i="50"/>
  <c r="K79" i="50"/>
  <c r="K80" i="50"/>
  <c r="K81" i="50"/>
  <c r="K82" i="50"/>
  <c r="K83" i="50"/>
  <c r="K84" i="50"/>
  <c r="K85" i="50"/>
  <c r="K86" i="50"/>
  <c r="K87" i="50"/>
  <c r="K88" i="50"/>
  <c r="K89" i="50"/>
  <c r="K90" i="50"/>
  <c r="K91" i="50"/>
  <c r="K92" i="50"/>
  <c r="K93" i="50"/>
  <c r="K94" i="50"/>
  <c r="K95" i="50"/>
  <c r="K96" i="50"/>
  <c r="K97" i="50"/>
  <c r="K98" i="50"/>
  <c r="K99" i="50"/>
  <c r="K100" i="50"/>
  <c r="K101" i="50"/>
  <c r="K102" i="50"/>
  <c r="K103" i="50"/>
  <c r="K104" i="50"/>
  <c r="K105" i="50"/>
  <c r="K106" i="50"/>
  <c r="E12" i="38" l="1"/>
  <c r="F12" i="38"/>
  <c r="G12" i="38"/>
  <c r="D12" i="38"/>
  <c r="F11" i="38"/>
  <c r="D11" i="38"/>
  <c r="G11" i="38"/>
  <c r="D12" i="39"/>
  <c r="D4" i="40"/>
  <c r="D4" i="41"/>
  <c r="D4" i="50"/>
  <c r="D4" i="39"/>
  <c r="D4" i="34"/>
  <c r="D4" i="44"/>
  <c r="D4" i="38"/>
  <c r="O7" i="44" l="1"/>
  <c r="M7" i="44"/>
  <c r="G12" i="44" l="1"/>
  <c r="G11" i="44"/>
  <c r="F12" i="44"/>
  <c r="F11" i="44"/>
  <c r="E12" i="44"/>
  <c r="E11" i="44"/>
  <c r="D12" i="44"/>
  <c r="D11" i="44"/>
  <c r="O86" i="44"/>
  <c r="O87" i="44"/>
  <c r="O88" i="44"/>
  <c r="O89" i="44"/>
  <c r="O90" i="44"/>
  <c r="O91" i="44"/>
  <c r="O92" i="44"/>
  <c r="O93" i="44"/>
  <c r="O94" i="44"/>
  <c r="O95" i="44"/>
  <c r="O96" i="44"/>
  <c r="O97" i="44"/>
  <c r="O98" i="44"/>
  <c r="O99" i="44"/>
  <c r="O100" i="44"/>
  <c r="O101" i="44"/>
  <c r="O102" i="44"/>
  <c r="O103" i="44"/>
  <c r="O104" i="44"/>
  <c r="O105" i="44"/>
  <c r="O106" i="44"/>
  <c r="O78" i="44"/>
  <c r="O79" i="44"/>
  <c r="O80" i="44"/>
  <c r="O81" i="44"/>
  <c r="O82" i="44"/>
  <c r="O83" i="44"/>
  <c r="O84" i="44"/>
  <c r="O85" i="44"/>
  <c r="O46" i="44"/>
  <c r="O47" i="44"/>
  <c r="O48" i="44"/>
  <c r="O49" i="44"/>
  <c r="O50" i="44"/>
  <c r="O51" i="44"/>
  <c r="O52" i="44"/>
  <c r="O53" i="44"/>
  <c r="O54" i="44"/>
  <c r="O55" i="44"/>
  <c r="O56" i="44"/>
  <c r="O57" i="44"/>
  <c r="O58" i="44"/>
  <c r="O59" i="44"/>
  <c r="O60" i="44"/>
  <c r="O61" i="44"/>
  <c r="O62" i="44"/>
  <c r="O63" i="44"/>
  <c r="O64" i="44"/>
  <c r="O65" i="44"/>
  <c r="O66" i="44"/>
  <c r="O67" i="44"/>
  <c r="O68" i="44"/>
  <c r="O69" i="44"/>
  <c r="O70" i="44"/>
  <c r="O71" i="44"/>
  <c r="O72" i="44"/>
  <c r="O73" i="44"/>
  <c r="O74" i="44"/>
  <c r="O75" i="44"/>
  <c r="O76" i="44"/>
  <c r="O77" i="44"/>
  <c r="O36" i="44"/>
  <c r="O37" i="44"/>
  <c r="O38" i="44"/>
  <c r="O39" i="44"/>
  <c r="O40" i="44"/>
  <c r="O41" i="44"/>
  <c r="O42" i="44"/>
  <c r="O43" i="44"/>
  <c r="O44" i="44"/>
  <c r="O45" i="44"/>
  <c r="O31" i="44"/>
  <c r="O32" i="44"/>
  <c r="O33" i="44"/>
  <c r="O34" i="44"/>
  <c r="O35" i="44"/>
  <c r="O27" i="44"/>
  <c r="O28" i="44"/>
  <c r="O29" i="44"/>
  <c r="O30" i="44"/>
  <c r="N15" i="34" l="1"/>
  <c r="N16" i="34"/>
  <c r="N17" i="34"/>
  <c r="N18" i="34"/>
  <c r="N13" i="34"/>
  <c r="N12" i="34"/>
  <c r="N11" i="34"/>
  <c r="N10" i="34"/>
  <c r="D14" i="1"/>
  <c r="D15" i="1" s="1"/>
  <c r="D16" i="1" s="1"/>
  <c r="D17" i="1" s="1"/>
  <c r="D18" i="1" s="1"/>
  <c r="D19" i="1" s="1"/>
  <c r="D20" i="1" s="1"/>
  <c r="D21" i="1" s="1"/>
  <c r="D73" i="1" l="1"/>
  <c r="D74" i="1" s="1"/>
  <c r="D75" i="1" s="1"/>
  <c r="D76" i="1" s="1"/>
  <c r="D77" i="1" s="1"/>
  <c r="D78" i="1" s="1"/>
  <c r="K7" i="50"/>
  <c r="B4" i="50"/>
  <c r="K8" i="41"/>
  <c r="R8" i="41"/>
  <c r="O19" i="44"/>
  <c r="O20" i="44"/>
  <c r="G12" i="41" l="1"/>
  <c r="F12" i="41"/>
  <c r="E12" i="41"/>
  <c r="D12" i="41"/>
  <c r="G11" i="41"/>
  <c r="F11" i="41"/>
  <c r="E11" i="41"/>
  <c r="D11" i="41"/>
  <c r="F15" i="40"/>
  <c r="G16" i="40"/>
  <c r="E15" i="40"/>
  <c r="D16" i="40"/>
  <c r="E16" i="40"/>
  <c r="G15" i="40"/>
  <c r="D15" i="40"/>
  <c r="F16" i="40"/>
  <c r="E11" i="50"/>
  <c r="D11" i="50"/>
  <c r="G11" i="50"/>
  <c r="F11" i="50"/>
  <c r="E12" i="39"/>
  <c r="G12" i="39"/>
  <c r="G11" i="37" s="1" a="1"/>
  <c r="G11" i="37" s="1"/>
  <c r="F12" i="39"/>
  <c r="F11" i="37" s="1" a="1"/>
  <c r="F11" i="37" s="1"/>
  <c r="E13" i="37" l="1"/>
  <c r="F13" i="37"/>
  <c r="D13" i="37"/>
  <c r="G13" i="37"/>
  <c r="F12" i="50"/>
  <c r="F12" i="37"/>
  <c r="D12" i="37"/>
  <c r="E35" i="37"/>
  <c r="G12" i="50"/>
  <c r="G12" i="37"/>
  <c r="E12" i="50"/>
  <c r="E12" i="37"/>
  <c r="E11" i="37" a="1"/>
  <c r="E11" i="37" s="1"/>
  <c r="D11" i="37" a="1"/>
  <c r="D11" i="37" s="1"/>
  <c r="D12" i="50"/>
  <c r="L13" i="48"/>
  <c r="L14" i="48"/>
  <c r="L15" i="48"/>
  <c r="L16" i="48"/>
  <c r="L17" i="48"/>
  <c r="L18" i="48"/>
  <c r="L19" i="48"/>
  <c r="L20" i="48"/>
  <c r="L21" i="48"/>
  <c r="L22" i="48"/>
  <c r="L23" i="48"/>
  <c r="L24" i="48"/>
  <c r="L25" i="48"/>
  <c r="L26" i="48"/>
  <c r="L27" i="48"/>
  <c r="L28" i="48"/>
  <c r="K29" i="48"/>
  <c r="L29" i="48" s="1"/>
  <c r="O18" i="48"/>
  <c r="O19" i="48"/>
  <c r="O20" i="48"/>
  <c r="O21" i="48"/>
  <c r="O22" i="48"/>
  <c r="O23" i="48"/>
  <c r="O24" i="48"/>
  <c r="O25" i="48"/>
  <c r="O26" i="48"/>
  <c r="O27" i="48"/>
  <c r="N13" i="48"/>
  <c r="N14" i="48"/>
  <c r="N15" i="48"/>
  <c r="N16" i="48"/>
  <c r="N17" i="48"/>
  <c r="N18" i="48"/>
  <c r="N19" i="48"/>
  <c r="N20" i="48"/>
  <c r="N21" i="48"/>
  <c r="N22" i="48"/>
  <c r="N23" i="48"/>
  <c r="N24" i="48"/>
  <c r="N25" i="48"/>
  <c r="N26" i="48"/>
  <c r="N27" i="48"/>
  <c r="N28" i="48"/>
  <c r="N7" i="34"/>
  <c r="O28" i="48"/>
  <c r="D4" i="48"/>
  <c r="B4" i="48"/>
  <c r="N14" i="34"/>
  <c r="O9" i="44"/>
  <c r="I7" i="44"/>
  <c r="I9" i="44" s="1"/>
  <c r="I10" i="44" s="1"/>
  <c r="L30" i="48" l="1"/>
  <c r="K30" i="48"/>
  <c r="G16" i="48"/>
  <c r="D16" i="48"/>
  <c r="E16" i="48"/>
  <c r="F16" i="48" l="1"/>
  <c r="D41" i="1" l="1"/>
  <c r="D42" i="1" s="1"/>
  <c r="D45" i="1" s="1"/>
  <c r="D46" i="1" s="1"/>
  <c r="D47" i="1" s="1"/>
  <c r="B4" i="38"/>
  <c r="N156" i="45"/>
  <c r="N155" i="45"/>
  <c r="N154" i="45"/>
  <c r="N153" i="45"/>
  <c r="N152" i="45"/>
  <c r="N151" i="45"/>
  <c r="N150" i="45"/>
  <c r="N149" i="45"/>
  <c r="N148" i="45"/>
  <c r="N147" i="45"/>
  <c r="N146" i="45"/>
  <c r="N145" i="45"/>
  <c r="N144" i="45"/>
  <c r="N143" i="45"/>
  <c r="N142" i="45"/>
  <c r="N141" i="45"/>
  <c r="N140" i="45"/>
  <c r="N139" i="45"/>
  <c r="N138" i="45"/>
  <c r="N137" i="45"/>
  <c r="N136" i="45"/>
  <c r="N135" i="45"/>
  <c r="N134" i="45"/>
  <c r="N133" i="45"/>
  <c r="N132" i="45"/>
  <c r="N131" i="45"/>
  <c r="N130" i="45"/>
  <c r="N129" i="45"/>
  <c r="N128" i="45"/>
  <c r="N127" i="45"/>
  <c r="N126" i="45"/>
  <c r="N125" i="45"/>
  <c r="N124" i="45"/>
  <c r="N123" i="45"/>
  <c r="N122" i="45"/>
  <c r="N121" i="45"/>
  <c r="N120" i="45"/>
  <c r="N119" i="45"/>
  <c r="N118" i="45"/>
  <c r="N117" i="45"/>
  <c r="N116" i="45"/>
  <c r="N115" i="45"/>
  <c r="N114" i="45"/>
  <c r="N113" i="45"/>
  <c r="N112" i="45"/>
  <c r="N111" i="45"/>
  <c r="N110" i="45"/>
  <c r="N109" i="45"/>
  <c r="N108" i="45"/>
  <c r="N107" i="45"/>
  <c r="N106" i="45"/>
  <c r="N105" i="45"/>
  <c r="N104" i="45"/>
  <c r="N103" i="45"/>
  <c r="N102" i="45"/>
  <c r="N101" i="45"/>
  <c r="N100" i="45"/>
  <c r="N99" i="45"/>
  <c r="N98" i="45"/>
  <c r="N97" i="45"/>
  <c r="N96" i="45"/>
  <c r="N95" i="45"/>
  <c r="N94" i="45"/>
  <c r="N93" i="45"/>
  <c r="N92" i="45"/>
  <c r="N91" i="45"/>
  <c r="N90" i="45"/>
  <c r="N89" i="45"/>
  <c r="N88" i="45"/>
  <c r="N87" i="45"/>
  <c r="N86" i="45"/>
  <c r="N85" i="45"/>
  <c r="N84" i="45"/>
  <c r="N83" i="45"/>
  <c r="N82" i="45"/>
  <c r="N81" i="45"/>
  <c r="N80" i="45"/>
  <c r="N79" i="45"/>
  <c r="N78" i="45"/>
  <c r="N77" i="45"/>
  <c r="N76" i="45"/>
  <c r="N75" i="45"/>
  <c r="N74" i="45"/>
  <c r="N73" i="45"/>
  <c r="N72" i="45"/>
  <c r="N71" i="45"/>
  <c r="N70" i="45"/>
  <c r="N69" i="45"/>
  <c r="N68" i="45"/>
  <c r="N67" i="45"/>
  <c r="N66" i="45"/>
  <c r="N65" i="45"/>
  <c r="N64" i="45"/>
  <c r="N63" i="45"/>
  <c r="N62" i="45"/>
  <c r="N61" i="45"/>
  <c r="N60" i="45"/>
  <c r="N59" i="45"/>
  <c r="N58" i="45"/>
  <c r="N57" i="45"/>
  <c r="N56" i="45"/>
  <c r="N55" i="45"/>
  <c r="N54" i="45"/>
  <c r="N53" i="45"/>
  <c r="N52" i="45"/>
  <c r="N51" i="45"/>
  <c r="N50" i="45"/>
  <c r="N49" i="45"/>
  <c r="N48" i="45"/>
  <c r="N47" i="45"/>
  <c r="N46" i="45"/>
  <c r="N45" i="45"/>
  <c r="N44" i="45"/>
  <c r="N43" i="45"/>
  <c r="N42" i="45"/>
  <c r="N41" i="45"/>
  <c r="N40" i="45"/>
  <c r="N39" i="45"/>
  <c r="N38" i="45"/>
  <c r="N37" i="45"/>
  <c r="N36" i="45"/>
  <c r="N35" i="45"/>
  <c r="N34" i="45"/>
  <c r="N33" i="45"/>
  <c r="N32" i="45"/>
  <c r="N31" i="45"/>
  <c r="N30" i="45"/>
  <c r="N29" i="45"/>
  <c r="N28" i="45"/>
  <c r="N27" i="45"/>
  <c r="N26" i="45"/>
  <c r="N25" i="45"/>
  <c r="N24" i="45"/>
  <c r="N23" i="45"/>
  <c r="N22" i="45"/>
  <c r="N21" i="45"/>
  <c r="N20" i="45"/>
  <c r="N19" i="45"/>
  <c r="N18" i="45"/>
  <c r="N17" i="45"/>
  <c r="N16" i="45"/>
  <c r="N15" i="45"/>
  <c r="N14" i="45"/>
  <c r="N13" i="45"/>
  <c r="N12" i="45"/>
  <c r="N11" i="45"/>
  <c r="N10" i="45"/>
  <c r="N9" i="45"/>
  <c r="N8" i="45"/>
  <c r="N7" i="45"/>
  <c r="N6" i="45"/>
  <c r="N5" i="45"/>
  <c r="N4" i="45"/>
  <c r="N3" i="45"/>
  <c r="N2" i="45"/>
  <c r="C17" i="37"/>
  <c r="D17" i="37"/>
  <c r="C43" i="37"/>
  <c r="D43" i="37"/>
  <c r="D44" i="37"/>
  <c r="D45" i="37"/>
  <c r="D46" i="37"/>
  <c r="D47" i="37"/>
  <c r="C25" i="37"/>
  <c r="D25" i="37"/>
  <c r="C30" i="37"/>
  <c r="D30" i="37"/>
  <c r="C31" i="37"/>
  <c r="D31" i="37"/>
  <c r="C38" i="37"/>
  <c r="D38" i="37"/>
  <c r="C39" i="37"/>
  <c r="D39" i="37"/>
  <c r="C40" i="37"/>
  <c r="D40" i="37"/>
  <c r="D48" i="1" l="1"/>
  <c r="D49" i="1" s="1"/>
  <c r="D50" i="1" s="1"/>
  <c r="B10" i="38"/>
  <c r="D10" i="37" a="1"/>
  <c r="D10" i="37" s="1"/>
  <c r="D117" i="1"/>
  <c r="D118" i="1" s="1"/>
  <c r="D104" i="1"/>
  <c r="D61" i="1"/>
  <c r="D62" i="1" s="1"/>
  <c r="D63" i="1" s="1"/>
  <c r="D64" i="1" s="1"/>
  <c r="D65" i="1" s="1"/>
  <c r="D66" i="1" s="1"/>
  <c r="D67" i="1" s="1"/>
  <c r="D68" i="1" s="1"/>
  <c r="D26" i="1"/>
  <c r="D27" i="1" s="1"/>
  <c r="D28" i="1" s="1"/>
  <c r="D29" i="1" s="1"/>
  <c r="D30" i="1" s="1"/>
  <c r="D7" i="1"/>
  <c r="D8" i="1" s="1"/>
  <c r="D9" i="1" s="1"/>
  <c r="E21" i="43"/>
  <c r="O26" i="44"/>
  <c r="O25" i="44"/>
  <c r="O24" i="44"/>
  <c r="O23" i="44"/>
  <c r="O22" i="44"/>
  <c r="O21" i="44"/>
  <c r="O18" i="44"/>
  <c r="O17" i="44"/>
  <c r="O16" i="44"/>
  <c r="O15" i="44"/>
  <c r="O14" i="44"/>
  <c r="O13" i="44"/>
  <c r="O12" i="44"/>
  <c r="O11" i="44"/>
  <c r="O10" i="44"/>
  <c r="C12" i="44"/>
  <c r="C11" i="44"/>
  <c r="B12" i="44"/>
  <c r="B11" i="44"/>
  <c r="I11" i="44"/>
  <c r="I12" i="44" s="1"/>
  <c r="I13" i="44" s="1"/>
  <c r="I14" i="44" s="1"/>
  <c r="I15" i="44" s="1"/>
  <c r="I16" i="44" s="1"/>
  <c r="I17" i="44" s="1"/>
  <c r="I18" i="44" s="1"/>
  <c r="I19" i="44" s="1"/>
  <c r="I20" i="44" s="1"/>
  <c r="I21" i="44" s="1"/>
  <c r="I22" i="44" s="1"/>
  <c r="I23" i="44" s="1"/>
  <c r="I24" i="44" s="1"/>
  <c r="I25" i="44" s="1"/>
  <c r="I26" i="44" s="1"/>
  <c r="I27" i="44" s="1"/>
  <c r="I28" i="44" s="1"/>
  <c r="I29" i="44" s="1"/>
  <c r="I30" i="44" s="1"/>
  <c r="I31" i="44" s="1"/>
  <c r="I32" i="44" s="1"/>
  <c r="I33" i="44" s="1"/>
  <c r="I34" i="44" s="1"/>
  <c r="I35" i="44" s="1"/>
  <c r="I36" i="44" s="1"/>
  <c r="I37" i="44" s="1"/>
  <c r="I38" i="44" s="1"/>
  <c r="I39" i="44" s="1"/>
  <c r="I40" i="44" s="1"/>
  <c r="I41" i="44" s="1"/>
  <c r="I42" i="44" s="1"/>
  <c r="I43" i="44" s="1"/>
  <c r="I44" i="44" s="1"/>
  <c r="I45" i="44" s="1"/>
  <c r="I46" i="44" s="1"/>
  <c r="I47" i="44" s="1"/>
  <c r="I48" i="44" s="1"/>
  <c r="I49" i="44" s="1"/>
  <c r="I50" i="44" s="1"/>
  <c r="I51" i="44" s="1"/>
  <c r="I52" i="44" s="1"/>
  <c r="I53" i="44" s="1"/>
  <c r="I54" i="44" s="1"/>
  <c r="I55" i="44" s="1"/>
  <c r="I56" i="44" s="1"/>
  <c r="I57" i="44" s="1"/>
  <c r="I58" i="44" s="1"/>
  <c r="I59" i="44" s="1"/>
  <c r="I60" i="44" s="1"/>
  <c r="I61" i="44" s="1"/>
  <c r="I62" i="44" s="1"/>
  <c r="I63" i="44" s="1"/>
  <c r="I64" i="44" s="1"/>
  <c r="I65" i="44" s="1"/>
  <c r="I66" i="44" s="1"/>
  <c r="I67" i="44" s="1"/>
  <c r="I68" i="44" s="1"/>
  <c r="I69" i="44" s="1"/>
  <c r="I70" i="44" s="1"/>
  <c r="I71" i="44" s="1"/>
  <c r="I72" i="44" s="1"/>
  <c r="I73" i="44" s="1"/>
  <c r="I74" i="44" s="1"/>
  <c r="I75" i="44" s="1"/>
  <c r="I76" i="44" s="1"/>
  <c r="I77" i="44" s="1"/>
  <c r="I78" i="44" s="1"/>
  <c r="I79" i="44" s="1"/>
  <c r="I80" i="44" s="1"/>
  <c r="I81" i="44" s="1"/>
  <c r="I82" i="44" s="1"/>
  <c r="I83" i="44" s="1"/>
  <c r="I84" i="44" s="1"/>
  <c r="I85" i="44" s="1"/>
  <c r="I86" i="44" s="1"/>
  <c r="I87" i="44" s="1"/>
  <c r="I88" i="44" s="1"/>
  <c r="I89" i="44" s="1"/>
  <c r="I90" i="44" s="1"/>
  <c r="I91" i="44" s="1"/>
  <c r="I92" i="44" s="1"/>
  <c r="I93" i="44" s="1"/>
  <c r="I94" i="44" s="1"/>
  <c r="I95" i="44" s="1"/>
  <c r="I96" i="44" s="1"/>
  <c r="I97" i="44" s="1"/>
  <c r="I98" i="44" s="1"/>
  <c r="I99" i="44" s="1"/>
  <c r="I100" i="44" s="1"/>
  <c r="I101" i="44" s="1"/>
  <c r="I102" i="44" s="1"/>
  <c r="I103" i="44" s="1"/>
  <c r="I104" i="44" s="1"/>
  <c r="I105" i="44" s="1"/>
  <c r="I106" i="44" s="1"/>
  <c r="B4" i="44"/>
  <c r="C7" i="43"/>
  <c r="C6" i="43"/>
  <c r="P13" i="43"/>
  <c r="N13" i="43"/>
  <c r="N12" i="43"/>
  <c r="L12" i="43"/>
  <c r="E12" i="43"/>
  <c r="V36" i="41"/>
  <c r="V35" i="41"/>
  <c r="V34" i="41"/>
  <c r="V33" i="41"/>
  <c r="V32" i="41"/>
  <c r="V31" i="41"/>
  <c r="V30" i="41"/>
  <c r="V29" i="41"/>
  <c r="V28" i="41"/>
  <c r="V27" i="41"/>
  <c r="V26" i="41"/>
  <c r="V25" i="41"/>
  <c r="V24" i="41"/>
  <c r="V23" i="41"/>
  <c r="V22" i="41"/>
  <c r="V21" i="41"/>
  <c r="V20" i="41"/>
  <c r="V19" i="41"/>
  <c r="V18" i="41"/>
  <c r="O26" i="41"/>
  <c r="O25" i="41"/>
  <c r="O24" i="41"/>
  <c r="O23" i="41"/>
  <c r="O22" i="41"/>
  <c r="O21" i="41"/>
  <c r="O20" i="41"/>
  <c r="O19" i="41"/>
  <c r="O18" i="41"/>
  <c r="O17" i="41"/>
  <c r="O16" i="41"/>
  <c r="O15" i="41"/>
  <c r="O14" i="41"/>
  <c r="O13" i="41"/>
  <c r="O12" i="41"/>
  <c r="B4" i="41"/>
  <c r="B12" i="40"/>
  <c r="B13" i="40"/>
  <c r="B14" i="40"/>
  <c r="B11" i="40"/>
  <c r="B4" i="40"/>
  <c r="I9" i="38"/>
  <c r="G11" i="40" l="1"/>
  <c r="E11" i="40"/>
  <c r="D11" i="40"/>
  <c r="F11" i="40"/>
  <c r="F14" i="40"/>
  <c r="G14" i="40"/>
  <c r="D14" i="40"/>
  <c r="E14" i="40"/>
  <c r="G13" i="40"/>
  <c r="F13" i="40"/>
  <c r="D13" i="40"/>
  <c r="E13" i="40"/>
  <c r="G12" i="40"/>
  <c r="D12" i="40"/>
  <c r="E12" i="40"/>
  <c r="F12" i="40"/>
  <c r="D51" i="1"/>
  <c r="D52" i="1" s="1"/>
  <c r="D53" i="1" s="1"/>
  <c r="D54" i="1" s="1"/>
  <c r="D55" i="1" s="1"/>
  <c r="D56" i="1" s="1"/>
  <c r="E10" i="37" a="1"/>
  <c r="E10" i="37" s="1"/>
  <c r="F10" i="37" a="1"/>
  <c r="F10" i="37" s="1"/>
  <c r="G10" i="37" a="1"/>
  <c r="G10" i="37" s="1"/>
  <c r="I10" i="38"/>
  <c r="I11" i="38" s="1"/>
  <c r="I12" i="38" s="1"/>
  <c r="I13" i="38" s="1"/>
  <c r="I14" i="38" s="1"/>
  <c r="I15" i="38" s="1"/>
  <c r="I16" i="38" s="1"/>
  <c r="I17" i="38" s="1"/>
  <c r="I18" i="38" s="1"/>
  <c r="I19" i="38" s="1"/>
  <c r="I20" i="38" s="1"/>
  <c r="I21" i="38" s="1"/>
  <c r="I22" i="38" s="1"/>
  <c r="I23" i="38" s="1"/>
  <c r="I24" i="38" s="1"/>
  <c r="I25" i="38" s="1"/>
  <c r="I26" i="38" s="1"/>
  <c r="I27" i="38" s="1"/>
  <c r="I28" i="38" s="1"/>
  <c r="I29" i="38" s="1"/>
  <c r="I30" i="38" s="1"/>
  <c r="I31" i="38" s="1"/>
  <c r="I32" i="38" s="1"/>
  <c r="I33" i="38" s="1"/>
  <c r="I34" i="38" s="1"/>
  <c r="I35" i="38" s="1"/>
  <c r="I36" i="38" s="1"/>
  <c r="I37" i="38" s="1"/>
  <c r="I38" i="38" s="1"/>
  <c r="I39" i="38" s="1"/>
  <c r="I40" i="38" s="1"/>
  <c r="I41" i="38" s="1"/>
  <c r="I42" i="38" s="1"/>
  <c r="I43" i="38" s="1"/>
  <c r="I44" i="38" s="1"/>
  <c r="I45" i="38" s="1"/>
  <c r="I46" i="38" s="1"/>
  <c r="I47" i="38" s="1"/>
  <c r="I48" i="38" s="1"/>
  <c r="I49" i="38" s="1"/>
  <c r="I50" i="38" s="1"/>
  <c r="I51" i="38" s="1"/>
  <c r="I52" i="38" s="1"/>
  <c r="I53" i="38" s="1"/>
  <c r="I54" i="38" s="1"/>
  <c r="I55" i="38" s="1"/>
  <c r="I56" i="38" s="1"/>
  <c r="I57" i="38" s="1"/>
  <c r="I58" i="38" s="1"/>
  <c r="I59" i="38" s="1"/>
  <c r="I60" i="38" s="1"/>
  <c r="I61" i="38" s="1"/>
  <c r="I62" i="38" s="1"/>
  <c r="I63" i="38" s="1"/>
  <c r="I64" i="38" s="1"/>
  <c r="I65" i="38" s="1"/>
  <c r="I66" i="38" s="1"/>
  <c r="I67" i="38" s="1"/>
  <c r="I68" i="38" s="1"/>
  <c r="I69" i="38" s="1"/>
  <c r="I70" i="38" s="1"/>
  <c r="I71" i="38" s="1"/>
  <c r="I72" i="38" s="1"/>
  <c r="I73" i="38" s="1"/>
  <c r="I74" i="38" s="1"/>
  <c r="I75" i="38" s="1"/>
  <c r="I76" i="38" s="1"/>
  <c r="I77" i="38" s="1"/>
  <c r="I78" i="38" s="1"/>
  <c r="I79" i="38" s="1"/>
  <c r="I80" i="38" s="1"/>
  <c r="I81" i="38" s="1"/>
  <c r="I82" i="38" s="1"/>
  <c r="I83" i="38" s="1"/>
  <c r="I84" i="38" s="1"/>
  <c r="I85" i="38" s="1"/>
  <c r="I86" i="38" s="1"/>
  <c r="I87" i="38" s="1"/>
  <c r="I88" i="38" s="1"/>
  <c r="I89" i="38" s="1"/>
  <c r="I90" i="38" s="1"/>
  <c r="I91" i="38" s="1"/>
  <c r="I92" i="38" s="1"/>
  <c r="I93" i="38" s="1"/>
  <c r="I94" i="38" s="1"/>
  <c r="I95" i="38" s="1"/>
  <c r="I96" i="38" s="1"/>
  <c r="I97" i="38" s="1"/>
  <c r="I98" i="38" s="1"/>
  <c r="I99" i="38" s="1"/>
  <c r="I100" i="38" s="1"/>
  <c r="I101" i="38" s="1"/>
  <c r="I102" i="38" s="1"/>
  <c r="I103" i="38" s="1"/>
  <c r="I104" i="38" s="1"/>
  <c r="I105" i="38" s="1"/>
  <c r="I106" i="38" s="1"/>
  <c r="I107" i="38" s="1"/>
  <c r="D31" i="1"/>
  <c r="D32" i="1" s="1"/>
  <c r="D33" i="1" s="1"/>
  <c r="D34" i="1" s="1"/>
  <c r="D35" i="1" s="1"/>
  <c r="D36" i="1" s="1"/>
  <c r="C47" i="37"/>
  <c r="C46" i="37"/>
  <c r="C45" i="37"/>
  <c r="C44" i="37"/>
  <c r="C27" i="37"/>
  <c r="E23" i="43" s="1"/>
  <c r="I23" i="43" s="1"/>
  <c r="C26" i="37"/>
  <c r="E22" i="43" s="1"/>
  <c r="I22" i="43" s="1"/>
  <c r="D26" i="37"/>
  <c r="G22" i="43" s="1"/>
  <c r="D27" i="37"/>
  <c r="G23" i="43" s="1"/>
  <c r="E14" i="38"/>
  <c r="G14" i="38"/>
  <c r="D14" i="38"/>
  <c r="F14" i="38"/>
  <c r="P30" i="39"/>
  <c r="P29" i="39"/>
  <c r="P28" i="39"/>
  <c r="P27" i="39"/>
  <c r="P26" i="39"/>
  <c r="P25" i="39"/>
  <c r="C12" i="34"/>
  <c r="D19" i="37" s="1"/>
  <c r="C13" i="34"/>
  <c r="D20" i="37" s="1"/>
  <c r="C14" i="34"/>
  <c r="D21" i="37" s="1"/>
  <c r="C15" i="34"/>
  <c r="D22" i="37" s="1"/>
  <c r="C11" i="34"/>
  <c r="D18" i="37" s="1"/>
  <c r="B12" i="34"/>
  <c r="B13" i="34"/>
  <c r="B14" i="34"/>
  <c r="B15" i="34"/>
  <c r="B11" i="34"/>
  <c r="B4" i="39"/>
  <c r="D14" i="34" l="1"/>
  <c r="G14" i="34"/>
  <c r="E14" i="34"/>
  <c r="F14" i="34"/>
  <c r="D13" i="34"/>
  <c r="G13" i="34"/>
  <c r="E13" i="34"/>
  <c r="F13" i="34"/>
  <c r="F12" i="34"/>
  <c r="D12" i="34"/>
  <c r="G12" i="34"/>
  <c r="E12" i="34"/>
  <c r="F11" i="34"/>
  <c r="G11" i="34"/>
  <c r="E11" i="34"/>
  <c r="D11" i="34"/>
  <c r="G15" i="34"/>
  <c r="E15" i="34"/>
  <c r="F15" i="34"/>
  <c r="D15" i="34"/>
  <c r="E48" i="37"/>
  <c r="E49" i="37"/>
  <c r="F14" i="37" a="1"/>
  <c r="F14" i="37" s="1"/>
  <c r="D14" i="37" a="1"/>
  <c r="D14" i="37" s="1"/>
  <c r="E14" i="37" a="1"/>
  <c r="E14" i="37" s="1"/>
  <c r="G14" i="37" a="1"/>
  <c r="G14" i="37" s="1"/>
  <c r="G9" i="37" a="1"/>
  <c r="G9" i="37" s="1"/>
  <c r="F9" i="37" a="1"/>
  <c r="F9" i="37" s="1"/>
  <c r="D9" i="37" a="1"/>
  <c r="D9" i="37" s="1"/>
  <c r="E9" i="37" a="1"/>
  <c r="E9" i="37" s="1"/>
  <c r="C20" i="37"/>
  <c r="E15" i="43" s="1"/>
  <c r="I15" i="43" s="1"/>
  <c r="C19" i="37"/>
  <c r="E14" i="43" s="1"/>
  <c r="I14" i="43" s="1"/>
  <c r="C22" i="37"/>
  <c r="E17" i="43" s="1"/>
  <c r="I17" i="43" s="1"/>
  <c r="C21" i="37"/>
  <c r="E16" i="43" s="1"/>
  <c r="I16" i="43" s="1"/>
  <c r="G13" i="41"/>
  <c r="F13" i="41"/>
  <c r="C18" i="37"/>
  <c r="E13" i="43" s="1"/>
  <c r="I13" i="43" s="1"/>
  <c r="E40" i="37"/>
  <c r="E13" i="41"/>
  <c r="E46" i="37"/>
  <c r="E47" i="37"/>
  <c r="E44" i="37"/>
  <c r="E45" i="37"/>
  <c r="D13" i="41"/>
  <c r="E39" i="37"/>
  <c r="E26" i="37"/>
  <c r="F22" i="43" s="1"/>
  <c r="J22" i="43" s="1"/>
  <c r="E27" i="37"/>
  <c r="F23" i="43" s="1"/>
  <c r="J23" i="43" s="1"/>
  <c r="G13" i="43"/>
  <c r="G17" i="43"/>
  <c r="G15" i="43"/>
  <c r="G16" i="43"/>
  <c r="G14" i="43"/>
  <c r="D8" i="37" l="1" a="1"/>
  <c r="D8" i="37" s="1"/>
  <c r="G8" i="37" a="1"/>
  <c r="G8" i="37" s="1"/>
  <c r="F8" i="37" a="1"/>
  <c r="F8" i="37" s="1"/>
  <c r="E8" i="37" a="1"/>
  <c r="E8" i="37" s="1"/>
  <c r="E18" i="37"/>
  <c r="E13" i="39"/>
  <c r="F13" i="39"/>
  <c r="G13" i="39"/>
  <c r="D13" i="39"/>
  <c r="E31" i="37"/>
  <c r="J24" i="43"/>
  <c r="M13" i="43"/>
  <c r="Q13" i="43" s="1"/>
  <c r="B4" i="34"/>
  <c r="E21" i="37" l="1"/>
  <c r="F16" i="43" s="1"/>
  <c r="J16" i="43" s="1"/>
  <c r="F13" i="43"/>
  <c r="J13" i="43" s="1"/>
  <c r="E20" i="37"/>
  <c r="F15" i="43" s="1"/>
  <c r="J15" i="43" s="1"/>
  <c r="E22" i="37"/>
  <c r="F17" i="43" s="1"/>
  <c r="J17" i="43" s="1"/>
  <c r="E19" i="37" l="1"/>
  <c r="F14" i="43" s="1"/>
  <c r="J14" i="43" s="1"/>
  <c r="J18" i="43" s="1"/>
  <c r="O16" i="48" l="1"/>
  <c r="O29" i="48"/>
  <c r="O17" i="48"/>
  <c r="O15" i="48"/>
  <c r="O14" i="48"/>
  <c r="O13" i="48"/>
  <c r="O30" i="48" l="1"/>
  <c r="B18" i="4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<sst xmlns="http://schemas.openxmlformats.org/spreadsheetml/2006/main" count="7418" uniqueCount="1688">
  <si>
    <t>INSTRUCTIONS</t>
  </si>
  <si>
    <t>Instructions for each Sheet (Link)</t>
  </si>
  <si>
    <t>1. Data Info and Summary</t>
  </si>
  <si>
    <t>No</t>
  </si>
  <si>
    <t>Data</t>
  </si>
  <si>
    <t>Description</t>
  </si>
  <si>
    <t>Response Format</t>
  </si>
  <si>
    <t>Example/s</t>
  </si>
  <si>
    <t>BSP Facility</t>
  </si>
  <si>
    <t>Your BSP branch/office</t>
  </si>
  <si>
    <t>Text (dropdown)</t>
  </si>
  <si>
    <t>Head Office</t>
  </si>
  <si>
    <t>Reporting Year</t>
  </si>
  <si>
    <t>Year covered</t>
  </si>
  <si>
    <t>Number (dropdown)</t>
  </si>
  <si>
    <t>2.2 Refrigerants</t>
  </si>
  <si>
    <t>Covered Quarters</t>
  </si>
  <si>
    <t>Auto populated table indicating the reporting quarters covered by the submission</t>
  </si>
  <si>
    <t>Text (auto)</t>
  </si>
  <si>
    <t>X</t>
  </si>
  <si>
    <t>2.3 Electricity</t>
  </si>
  <si>
    <t>Summary</t>
  </si>
  <si>
    <t>No input needed. This part of the sheet is automated.</t>
  </si>
  <si>
    <t>Number (auto)</t>
  </si>
  <si>
    <t>-</t>
  </si>
  <si>
    <t>2.3b RE - Solar</t>
  </si>
  <si>
    <t>2.4 Water</t>
  </si>
  <si>
    <t>2.1a Fuel - Buildings</t>
  </si>
  <si>
    <t>2.5 Waste</t>
  </si>
  <si>
    <t>Information</t>
  </si>
  <si>
    <t>No input needed. This part of the sheet is linked to '1. Data Info and Summary'.</t>
  </si>
  <si>
    <t>Text (auto), Number (auto)</t>
  </si>
  <si>
    <t>Head Office, 2024</t>
  </si>
  <si>
    <t>Summary of Fuel Consumption</t>
  </si>
  <si>
    <t>Number (Column I)</t>
  </si>
  <si>
    <t>Fuel Type</t>
  </si>
  <si>
    <r>
      <t xml:space="preserve">Select the appropriate fuel type from the dropdown list:
</t>
    </r>
    <r>
      <rPr>
        <b/>
        <sz val="11"/>
        <color theme="1"/>
        <rFont val="Calibri"/>
        <family val="2"/>
        <scheme val="minor"/>
      </rPr>
      <t>1. Diesel - Standby generator sets
2. Diesel - Others
3. Gasoline - Others
4. LPG - Heating and cooking
5. Compressed natural gas</t>
    </r>
  </si>
  <si>
    <t>Diesel - Standby generator sets</t>
  </si>
  <si>
    <t>Legend</t>
  </si>
  <si>
    <t>Month</t>
  </si>
  <si>
    <t>Month when the fuel was consumed</t>
  </si>
  <si>
    <t>Aug</t>
  </si>
  <si>
    <t>White Fill - Text input</t>
  </si>
  <si>
    <t>Quarter</t>
  </si>
  <si>
    <t xml:space="preserve">No input needed. </t>
  </si>
  <si>
    <t>Q1</t>
  </si>
  <si>
    <t>Light Blue Fill - Dropdown input</t>
  </si>
  <si>
    <t>Consumption</t>
  </si>
  <si>
    <t>Amount of fuel consumed per Fuel Type for the whole BSP facility</t>
  </si>
  <si>
    <t>Number (2 decimal points)</t>
  </si>
  <si>
    <t>Grey - Automated / No input (locked)</t>
  </si>
  <si>
    <t>Unit</t>
  </si>
  <si>
    <t>No input needed. Input will be based on 'Fuel Type'</t>
  </si>
  <si>
    <t>Liters</t>
  </si>
  <si>
    <t>Remarks</t>
  </si>
  <si>
    <t>Any relevant information that can provide more clarity on the data or that you think will be useful to the Sustainability Office (e.g., equipment name, generator set model)</t>
  </si>
  <si>
    <t>Text</t>
  </si>
  <si>
    <t>Cummins Model No. 603 DFGB Diesel Engine Generator Set No. 1</t>
  </si>
  <si>
    <t>2.1b Fuel - Vehicles</t>
  </si>
  <si>
    <t>Vehicle Type</t>
  </si>
  <si>
    <r>
      <t xml:space="preserve">Select the appropriate vehicle type from the dropdown list:
</t>
    </r>
    <r>
      <rPr>
        <b/>
        <sz val="11"/>
        <color rgb="FF000000"/>
        <rFont val="Calibri"/>
        <family val="2"/>
        <scheme val="minor"/>
      </rPr>
      <t>1. Armored vehicles
2. Sedan
3. Multi-purpose vehicles 
4. Sport utility vehicles (SUV)
5. Vans
6. Mini bus/coaster
7. Hybrid-Sedan
8. Hybrid-SUV
9. Others</t>
    </r>
  </si>
  <si>
    <t>Service Vehicles</t>
  </si>
  <si>
    <r>
      <t xml:space="preserve">Select the appropriate fuel type from the dropdown list:
</t>
    </r>
    <r>
      <rPr>
        <b/>
        <sz val="11"/>
        <color theme="1"/>
        <rFont val="Calibri"/>
        <family val="2"/>
        <scheme val="minor"/>
      </rPr>
      <t>1. Diesel - Transport vehicles
2. Gasoline - Transport vehicles</t>
    </r>
  </si>
  <si>
    <t>Diesel - Transport vehicles</t>
  </si>
  <si>
    <t>Total kilometers travelled</t>
  </si>
  <si>
    <t>Total distance travelled by the vehicle(s) for the given month, in kilometers</t>
  </si>
  <si>
    <t>Number (2 decimal places)</t>
  </si>
  <si>
    <t>Unit2</t>
  </si>
  <si>
    <t>No input needed.</t>
  </si>
  <si>
    <t>Kilometers</t>
  </si>
  <si>
    <t>Any relevant information that can provide more clarity on the data or that you think will be useful to the Sustainability Office</t>
  </si>
  <si>
    <t>Summary of Refrigerant Use</t>
  </si>
  <si>
    <t>Location</t>
  </si>
  <si>
    <t>Location of the refrigerant-containing unit</t>
  </si>
  <si>
    <t>Five-storey building</t>
  </si>
  <si>
    <t>Equipment Category</t>
  </si>
  <si>
    <r>
      <t xml:space="preserve">Select the appropriate equipment category: 
</t>
    </r>
    <r>
      <rPr>
        <b/>
        <sz val="11"/>
        <color theme="1"/>
        <rFont val="Calibri"/>
        <family val="2"/>
        <scheme val="minor"/>
      </rPr>
      <t>1. Domestic Refrigeration</t>
    </r>
    <r>
      <rPr>
        <sz val="11"/>
        <color theme="1"/>
        <rFont val="Calibri"/>
        <family val="2"/>
        <scheme val="minor"/>
      </rPr>
      <t xml:space="preserve"> - e.g., Pantry refrigerator in executive lounge or staff pantry
</t>
    </r>
    <r>
      <rPr>
        <b/>
        <sz val="11"/>
        <color theme="1"/>
        <rFont val="Calibri"/>
        <family val="2"/>
        <scheme val="minor"/>
      </rPr>
      <t>2. Chillers</t>
    </r>
    <r>
      <rPr>
        <sz val="11"/>
        <color theme="1"/>
        <rFont val="Calibri"/>
        <family val="2"/>
        <scheme val="minor"/>
      </rPr>
      <t xml:space="preserve"> - e.g., Chillers in HVAC systems
</t>
    </r>
    <r>
      <rPr>
        <b/>
        <sz val="11"/>
        <color theme="1"/>
        <rFont val="Calibri"/>
        <family val="2"/>
        <scheme val="minor"/>
      </rPr>
      <t>3. Residential and Commercial Airconditioning, incl. Heat Pumps</t>
    </r>
    <r>
      <rPr>
        <sz val="11"/>
        <color theme="1"/>
        <rFont val="Calibri"/>
        <family val="2"/>
        <scheme val="minor"/>
      </rPr>
      <t xml:space="preserve"> - e.g., Split-type or centralized AC in BSP offices, meeting rooms, data centers
</t>
    </r>
    <r>
      <rPr>
        <b/>
        <sz val="11"/>
        <color theme="1"/>
        <rFont val="Calibri"/>
        <family val="2"/>
        <scheme val="minor"/>
      </rPr>
      <t>4. Mobile Air Conditioners</t>
    </r>
    <r>
      <rPr>
        <sz val="11"/>
        <color theme="1"/>
        <rFont val="Calibri"/>
        <family val="2"/>
        <scheme val="minor"/>
      </rPr>
      <t xml:space="preserve"> - e.g., Vehicle A/C in BSP armored vans or service vehicles
</t>
    </r>
    <r>
      <rPr>
        <b/>
        <sz val="11"/>
        <color theme="1"/>
        <rFont val="Calibri"/>
        <family val="2"/>
        <scheme val="minor"/>
      </rPr>
      <t>5. Others</t>
    </r>
  </si>
  <si>
    <t>Residential and Commercial Airconditioning, incl. Heat Pumps</t>
  </si>
  <si>
    <t>No. of Units</t>
  </si>
  <si>
    <t>Total number of refrigerant-containing units of the same specification</t>
  </si>
  <si>
    <t>Number</t>
  </si>
  <si>
    <t>Refrigerant</t>
  </si>
  <si>
    <t>Select the type of refrigerant used</t>
  </si>
  <si>
    <t>R-410A</t>
  </si>
  <si>
    <t>Equipment Status</t>
  </si>
  <si>
    <r>
      <t xml:space="preserve">Select the status of the equipment as of the reporting period:
</t>
    </r>
    <r>
      <rPr>
        <b/>
        <sz val="11"/>
        <color theme="1"/>
        <rFont val="Calibri"/>
        <family val="2"/>
        <scheme val="minor"/>
      </rPr>
      <t>1. New installation</t>
    </r>
    <r>
      <rPr>
        <sz val="11"/>
        <color theme="1"/>
        <rFont val="Calibri"/>
        <family val="2"/>
        <scheme val="minor"/>
      </rPr>
      <t xml:space="preserve"> – recently installed
</t>
    </r>
    <r>
      <rPr>
        <b/>
        <sz val="11"/>
        <color theme="1"/>
        <rFont val="Calibri"/>
        <family val="2"/>
        <scheme val="minor"/>
      </rPr>
      <t>2. In operation</t>
    </r>
    <r>
      <rPr>
        <sz val="11"/>
        <color theme="1"/>
        <rFont val="Calibri"/>
        <family val="2"/>
        <scheme val="minor"/>
      </rPr>
      <t xml:space="preserve"> – actively used and maintained
</t>
    </r>
    <r>
      <rPr>
        <b/>
        <sz val="11"/>
        <color theme="1"/>
        <rFont val="Calibri"/>
        <family val="2"/>
        <scheme val="minor"/>
      </rPr>
      <t>3. Disposed</t>
    </r>
    <r>
      <rPr>
        <sz val="11"/>
        <color theme="1"/>
        <rFont val="Calibri"/>
        <family val="2"/>
        <scheme val="minor"/>
      </rPr>
      <t xml:space="preserve"> – decommissioned or permanently taken out of use</t>
    </r>
  </si>
  <si>
    <t>Disposed</t>
  </si>
  <si>
    <t>Month purchased</t>
  </si>
  <si>
    <t>Month when the equipment/refrigerant was purchased/installed</t>
  </si>
  <si>
    <t>Feb</t>
  </si>
  <si>
    <t>Charge (kg)</t>
  </si>
  <si>
    <t>Actual or estimated refrigerant charge per unit, in kilograms
Provide total consumed for the reporting period</t>
  </si>
  <si>
    <t>Month Recharged</t>
  </si>
  <si>
    <t>Month of most recent recharge/refilled</t>
  </si>
  <si>
    <t>Recharge</t>
  </si>
  <si>
    <t>Total sum of the refrigerant added to the unit/s, in kilograms</t>
  </si>
  <si>
    <t>Month Disposed</t>
  </si>
  <si>
    <t>Month when the unit was disposed</t>
  </si>
  <si>
    <t>Capacity</t>
  </si>
  <si>
    <t>Total sum of the full capacity for all units, in kilograms</t>
  </si>
  <si>
    <t>Recovered (kg)</t>
  </si>
  <si>
    <t>Total measured refrigerant charge recovered at the time of disposal, in kilograms</t>
  </si>
  <si>
    <t>Window ACU, XYZ Building</t>
  </si>
  <si>
    <t>2.3a Electricity</t>
  </si>
  <si>
    <t>Summary of Electricity Consumption</t>
  </si>
  <si>
    <t>Month when the electricity was consumed (first month if 2-month billing period)</t>
  </si>
  <si>
    <t>Consumption (kWh)</t>
  </si>
  <si>
    <t>Power consumption, in kWh (of the whole BSP facility)</t>
  </si>
  <si>
    <t>Cost (PHP)</t>
  </si>
  <si>
    <t>Cost of electricity consumption, in PHP</t>
  </si>
  <si>
    <t>Utility Provider</t>
  </si>
  <si>
    <t>Your distribution utility or electric cooperative.</t>
  </si>
  <si>
    <t>MERALCO</t>
  </si>
  <si>
    <t>Billing period: Aug 11 - Sep 10</t>
  </si>
  <si>
    <t>2.3b Renewable Energy - Solar (if applicable)</t>
  </si>
  <si>
    <t>Solar Energy Generated (kWh)</t>
  </si>
  <si>
    <t>Power generated, in kWh</t>
  </si>
  <si>
    <t>Operational Energy Demand (kWh)</t>
  </si>
  <si>
    <t>Energy demand, in kWh</t>
  </si>
  <si>
    <t>Summary of Water Consumption</t>
  </si>
  <si>
    <t>Water Intake</t>
  </si>
  <si>
    <t>Month when water was consumed (first month if 2-month billing period)</t>
  </si>
  <si>
    <t>Source</t>
  </si>
  <si>
    <r>
      <t xml:space="preserve">Select the water source from the dropdown list:
</t>
    </r>
    <r>
      <rPr>
        <b/>
        <sz val="11"/>
        <color theme="1"/>
        <rFont val="Calibri"/>
        <family val="2"/>
        <scheme val="minor"/>
      </rPr>
      <t>1. Third-party Water
2. Collected Rainwater
3. Recycled Water
4. Industrial Process Water
5. Other Source</t>
    </r>
  </si>
  <si>
    <t>Third-party Water</t>
  </si>
  <si>
    <t>Volume (m3)</t>
  </si>
  <si>
    <t>Volume of water consumed, in cubic meters (of the whole BSP facility)</t>
  </si>
  <si>
    <t>Billing period: Aug 15 - Sep 14</t>
  </si>
  <si>
    <t>Water Discharge</t>
  </si>
  <si>
    <t>Month when water was discharged</t>
  </si>
  <si>
    <t>Volume of water discharged, in cubic meters (of the whole BSP facility)</t>
  </si>
  <si>
    <t>Water Destination</t>
  </si>
  <si>
    <r>
      <t xml:space="preserve">Select the destination of water consumed:
</t>
    </r>
    <r>
      <rPr>
        <b/>
        <sz val="11"/>
        <color theme="1"/>
        <rFont val="Calibri"/>
        <family val="2"/>
        <scheme val="minor"/>
      </rPr>
      <t>1. Onsite Treatment Facility
2. External Treatment Facility
3. Others</t>
    </r>
  </si>
  <si>
    <t>External Treatment Facility</t>
  </si>
  <si>
    <t>Summary of Waste Disposed/Recovered</t>
  </si>
  <si>
    <t>Waste Disposal and Recovery</t>
  </si>
  <si>
    <t>Month when waste was disposed/recovered</t>
  </si>
  <si>
    <t>Waste Composition</t>
  </si>
  <si>
    <r>
      <rPr>
        <b/>
        <sz val="11"/>
        <color rgb="FF000000"/>
        <rFont val="Calibri"/>
        <family val="2"/>
      </rPr>
      <t xml:space="preserve">Categorization of waste:
</t>
    </r>
    <r>
      <rPr>
        <sz val="11"/>
        <color rgb="FF000000"/>
        <rFont val="Calibri"/>
        <family val="2"/>
      </rPr>
      <t xml:space="preserve">1. </t>
    </r>
    <r>
      <rPr>
        <b/>
        <sz val="11"/>
        <color rgb="FF000000"/>
        <rFont val="Calibri"/>
        <family val="2"/>
      </rPr>
      <t xml:space="preserve">Compostable </t>
    </r>
    <r>
      <rPr>
        <sz val="11"/>
        <color rgb="FF000000"/>
        <rFont val="Calibri"/>
        <family val="2"/>
      </rPr>
      <t xml:space="preserve">- organic waste that can be broken down to compost such as leftover foods, twigs, and leaves
2. </t>
    </r>
    <r>
      <rPr>
        <b/>
        <sz val="11"/>
        <color rgb="FF000000"/>
        <rFont val="Calibri"/>
        <family val="2"/>
      </rPr>
      <t>Recyclable</t>
    </r>
    <r>
      <rPr>
        <sz val="11"/>
        <color rgb="FF000000"/>
        <rFont val="Calibri"/>
        <family val="2"/>
      </rPr>
      <t xml:space="preserve"> - waste that are either saleable, or non-saleable but can be processed and reused
3.</t>
    </r>
    <r>
      <rPr>
        <b/>
        <sz val="11"/>
        <color rgb="FF000000"/>
        <rFont val="Calibri"/>
        <family val="2"/>
      </rPr>
      <t xml:space="preserve"> Security</t>
    </r>
    <r>
      <rPr>
        <sz val="11"/>
        <color rgb="FF000000"/>
        <rFont val="Calibri"/>
        <family val="2"/>
      </rPr>
      <t xml:space="preserve"> - non-hazardous waste generated from currency production operations
4. </t>
    </r>
    <r>
      <rPr>
        <b/>
        <sz val="11"/>
        <color rgb="FF000000"/>
        <rFont val="Calibri"/>
        <family val="2"/>
      </rPr>
      <t>Hazardou</t>
    </r>
    <r>
      <rPr>
        <sz val="11"/>
        <color rgb="FF000000"/>
        <rFont val="Calibri"/>
        <family val="2"/>
      </rPr>
      <t xml:space="preserve">s - wastes containing hazardous substances that are no longer recyclable such as inks and ink-contamindated materials, and waste from electrical and electronic equipment
5. </t>
    </r>
    <r>
      <rPr>
        <b/>
        <sz val="11"/>
        <color rgb="FF000000"/>
        <rFont val="Calibri"/>
        <family val="2"/>
      </rPr>
      <t>Infectious</t>
    </r>
    <r>
      <rPr>
        <sz val="11"/>
        <color rgb="FF000000"/>
        <rFont val="Calibri"/>
        <family val="2"/>
      </rPr>
      <t xml:space="preserve"> - contaminated health care wastes
6. </t>
    </r>
    <r>
      <rPr>
        <b/>
        <sz val="11"/>
        <color rgb="FF000000"/>
        <rFont val="Calibri"/>
        <family val="2"/>
      </rPr>
      <t>Residual</t>
    </r>
    <r>
      <rPr>
        <sz val="11"/>
        <color rgb="FF000000"/>
        <rFont val="Calibri"/>
        <family val="2"/>
      </rPr>
      <t>/</t>
    </r>
    <r>
      <rPr>
        <b/>
        <sz val="11"/>
        <color rgb="FF000000"/>
        <rFont val="Calibri"/>
        <family val="2"/>
      </rPr>
      <t>Landfill</t>
    </r>
    <r>
      <rPr>
        <sz val="11"/>
        <color rgb="FF000000"/>
        <rFont val="Calibri"/>
        <family val="2"/>
      </rPr>
      <t xml:space="preserve"> - other non-compostable and non-recyclable waste</t>
    </r>
  </si>
  <si>
    <t>Compostable</t>
  </si>
  <si>
    <t>Weight (kg)</t>
  </si>
  <si>
    <t>Weight of waste generated, in kilograms</t>
  </si>
  <si>
    <t>Disposal/Recovery Method</t>
  </si>
  <si>
    <r>
      <t xml:space="preserve">Select the waste disposal/recovery method:
</t>
    </r>
    <r>
      <rPr>
        <b/>
        <sz val="11"/>
        <color rgb="FF000000"/>
        <rFont val="Calibri"/>
        <family val="2"/>
        <scheme val="minor"/>
      </rPr>
      <t>1. LGU garbage collection
2. Waste treatment company
3. Recycling service provider
4. Composting
5. In-house recycling/repurposing
6. Auction/Donation
7. Others</t>
    </r>
  </si>
  <si>
    <t>LGU Garbage Collection</t>
  </si>
  <si>
    <t>3. Emissions Summary</t>
  </si>
  <si>
    <t>Emissions Summary</t>
  </si>
  <si>
    <t>No input needed. This part of the sheet is automated--computed based summary data, e.g. fuel, electricity.</t>
  </si>
  <si>
    <t>SUMMARY</t>
  </si>
  <si>
    <t>Q2</t>
  </si>
  <si>
    <t>Q3</t>
  </si>
  <si>
    <t>Q4</t>
  </si>
  <si>
    <t>Fuel - Buildings</t>
  </si>
  <si>
    <t>Fuel - Vehicles</t>
  </si>
  <si>
    <t>Refrigerants</t>
  </si>
  <si>
    <t>Electricity</t>
  </si>
  <si>
    <t>Renewable Energy - Solar</t>
  </si>
  <si>
    <t>Water</t>
  </si>
  <si>
    <t>Waste</t>
  </si>
  <si>
    <t>FUEL - BUILDINGS</t>
  </si>
  <si>
    <t>Total</t>
  </si>
  <si>
    <t>FUEL - VEHICLES</t>
  </si>
  <si>
    <t>ELECTRICITY</t>
  </si>
  <si>
    <t>RENEWABLE ENERGY - SOLAR</t>
  </si>
  <si>
    <t>WATER</t>
  </si>
  <si>
    <t>WASTE</t>
  </si>
  <si>
    <t>Disposed/
Recovered</t>
  </si>
  <si>
    <t>Fuel Consumption - Buildings (Additional note/s)</t>
  </si>
  <si>
    <t>Year</t>
  </si>
  <si>
    <t>Report</t>
  </si>
  <si>
    <t>This form is patterned after DOE's Monthly Fuel Consumption Report.</t>
  </si>
  <si>
    <t>FUEL</t>
  </si>
  <si>
    <t>Preparer</t>
  </si>
  <si>
    <t>No.</t>
  </si>
  <si>
    <t>Date Submitted</t>
  </si>
  <si>
    <t>Text input</t>
  </si>
  <si>
    <t>Dropdown input</t>
  </si>
  <si>
    <t>Automated / No input</t>
  </si>
  <si>
    <t>add more rows if necessary</t>
  </si>
  <si>
    <t>Monthly Fuel Consumption - Fuel (Additional note/s)</t>
  </si>
  <si>
    <t>Total kilometers travelled (all vehicles)</t>
  </si>
  <si>
    <t>Refrigerant Use  (Additional note/s)</t>
  </si>
  <si>
    <t>REFRIGERANTS</t>
  </si>
  <si>
    <t>New</t>
  </si>
  <si>
    <t>In Operation</t>
  </si>
  <si>
    <t>Month Purchased</t>
  </si>
  <si>
    <t>Recharge (kg)</t>
  </si>
  <si>
    <t>Capacity (kg)</t>
  </si>
  <si>
    <t>New installation</t>
  </si>
  <si>
    <t>No. of units</t>
  </si>
  <si>
    <t>Default no input, can change to white or blue</t>
  </si>
  <si>
    <t>Description and Examples of Equipment Categories</t>
  </si>
  <si>
    <t>Category</t>
  </si>
  <si>
    <t>Examples</t>
  </si>
  <si>
    <t>Domestic Refrigeration</t>
  </si>
  <si>
    <t>Refrigeration appliances typically found in household settings.</t>
  </si>
  <si>
    <t>Pantry refrigerator in executive lounge or staff pantry</t>
  </si>
  <si>
    <t>Chillers</t>
  </si>
  <si>
    <t>Systems producing chilled water for cooling large spaces or industrial processes.</t>
  </si>
  <si>
    <t>Chillers in HVAC systems</t>
  </si>
  <si>
    <t>Residential and Commercial A/C, including Heat Pumps</t>
  </si>
  <si>
    <t>Air-conditioning and heat pump systems used in residential and commercial buildings.</t>
  </si>
  <si>
    <t>Split-type or centralized AC in BSP offices, meeting rooms, data centers</t>
  </si>
  <si>
    <t>Mobile Air Conditioners</t>
  </si>
  <si>
    <t>Air-conditioning systems installed in vehicles for occupant cooling.</t>
  </si>
  <si>
    <t>Vehicle A/C in BSP armored vans or service vehicles</t>
  </si>
  <si>
    <t>Electricity Consumption (Additional note/s)</t>
  </si>
  <si>
    <t>Quantity</t>
  </si>
  <si>
    <t>Kilowatt-hour</t>
  </si>
  <si>
    <t>Renewable Energy Generation (Additional note/s)</t>
  </si>
  <si>
    <t>Accomplish this sheet only if the BSP facility has solar panels.</t>
  </si>
  <si>
    <t>RENEWABLE ENERGY</t>
  </si>
  <si>
    <t>Operational Energy Demand - One Shift (kWH)</t>
  </si>
  <si>
    <t>Summary of Solar Energy Generated</t>
  </si>
  <si>
    <t>Energy</t>
  </si>
  <si>
    <t>Water (Additional note/s)</t>
  </si>
  <si>
    <t>If billing/metering period covers 2 months, input Month 1.</t>
  </si>
  <si>
    <t>Example: Mar 15-Apr 14, input Mar. You may indicate in the remarks column the full billing/metering period.</t>
  </si>
  <si>
    <t>Volume2 (m3)</t>
  </si>
  <si>
    <t>Summary of Water Use</t>
  </si>
  <si>
    <t>Cubic meters</t>
  </si>
  <si>
    <t>Direct Emissions from Waste Gas Streams</t>
  </si>
  <si>
    <t xml:space="preserve">1.  This tool is designed to apply the CO2 emission factor calculation methodology for a gas waste stream as provided in the Climate Leaders Program - Direct Emissions from </t>
  </si>
  <si>
    <t>WASTE GASES</t>
  </si>
  <si>
    <t>Stationary Combustion Sources Guidance Document (May 2008). This tool can also be used to approximate emissions for other combustion sources such as gas welding and gas metal cutting.</t>
  </si>
  <si>
    <r>
      <rPr>
        <b/>
        <i/>
        <sz val="10"/>
        <color theme="1"/>
        <rFont val="Calibri"/>
        <family val="2"/>
        <scheme val="minor"/>
      </rPr>
      <t xml:space="preserve">Instructions: </t>
    </r>
    <r>
      <rPr>
        <i/>
        <sz val="10"/>
        <color theme="1"/>
        <rFont val="Calibri"/>
        <family val="2"/>
        <scheme val="minor"/>
      </rPr>
      <t xml:space="preserve">  Enter molar fraction (as a percentage) for each gas component in the Data Entry table.
</t>
    </r>
  </si>
  <si>
    <t>Author/s</t>
  </si>
  <si>
    <t>Approver</t>
  </si>
  <si>
    <t>Enter total amount waste gas stream combusted in the green cell on the DATA ENTRY section</t>
  </si>
  <si>
    <t>Email Address</t>
  </si>
  <si>
    <t>Date Accomplished</t>
  </si>
  <si>
    <t>Data Entry</t>
  </si>
  <si>
    <t>Data Entry Table</t>
  </si>
  <si>
    <t>Waste Stream Gas Combusted</t>
  </si>
  <si>
    <t>Component</t>
  </si>
  <si>
    <t>Chemical Formula</t>
  </si>
  <si>
    <t>Molar Fraction (%)</t>
  </si>
  <si>
    <r>
      <t>Total Moles (kg-mole/m</t>
    </r>
    <r>
      <rPr>
        <b/>
        <vertAlign val="superscript"/>
        <sz val="10"/>
        <color theme="0"/>
        <rFont val="Arial"/>
        <family val="2"/>
      </rPr>
      <t>3</t>
    </r>
    <r>
      <rPr>
        <b/>
        <sz val="10"/>
        <color theme="0"/>
        <rFont val="Arial"/>
        <family val="2"/>
      </rPr>
      <t>)</t>
    </r>
  </si>
  <si>
    <t>Molecular Weight</t>
  </si>
  <si>
    <t>Percent Carbon (%)</t>
  </si>
  <si>
    <r>
      <t>Carbon Content(kg/m</t>
    </r>
    <r>
      <rPr>
        <b/>
        <vertAlign val="superscript"/>
        <sz val="10"/>
        <color theme="0"/>
        <rFont val="Arial"/>
        <family val="2"/>
      </rPr>
      <t>3</t>
    </r>
    <r>
      <rPr>
        <b/>
        <sz val="10"/>
        <color theme="0"/>
        <rFont val="Arial"/>
        <family val="2"/>
      </rPr>
      <t>)</t>
    </r>
  </si>
  <si>
    <r>
      <t>m</t>
    </r>
    <r>
      <rPr>
        <vertAlign val="superscript"/>
        <sz val="10"/>
        <rFont val="Arial"/>
        <family val="2"/>
      </rPr>
      <t>3</t>
    </r>
  </si>
  <si>
    <t>Carbon Monoxide</t>
  </si>
  <si>
    <t>CO</t>
  </si>
  <si>
    <t>Gas total no. of moles per unit volume</t>
  </si>
  <si>
    <t>Carbon Dioxide</t>
  </si>
  <si>
    <r>
      <t>CO</t>
    </r>
    <r>
      <rPr>
        <vertAlign val="subscript"/>
        <sz val="9"/>
        <rFont val="Arial"/>
        <family val="2"/>
      </rPr>
      <t>2</t>
    </r>
    <r>
      <rPr>
        <sz val="9"/>
        <color theme="1"/>
        <rFont val="Calibri"/>
        <family val="2"/>
        <scheme val="minor"/>
      </rPr>
      <t xml:space="preserve"> </t>
    </r>
  </si>
  <si>
    <t>kg·mol/m³</t>
  </si>
  <si>
    <t>Methane</t>
  </si>
  <si>
    <r>
      <t>CH</t>
    </r>
    <r>
      <rPr>
        <vertAlign val="subscript"/>
        <sz val="9"/>
        <rFont val="Arial"/>
        <family val="2"/>
      </rPr>
      <t>4</t>
    </r>
    <r>
      <rPr>
        <sz val="9"/>
        <color theme="1"/>
        <rFont val="Calibri"/>
        <family val="2"/>
        <scheme val="minor"/>
      </rPr>
      <t xml:space="preserve"> </t>
    </r>
  </si>
  <si>
    <t>Acetylene</t>
  </si>
  <si>
    <r>
      <t>C</t>
    </r>
    <r>
      <rPr>
        <vertAlign val="subscript"/>
        <sz val="9"/>
        <rFont val="Arial"/>
        <family val="2"/>
      </rPr>
      <t>2</t>
    </r>
    <r>
      <rPr>
        <sz val="9"/>
        <color theme="1"/>
        <rFont val="Calibri"/>
        <family val="2"/>
        <scheme val="minor"/>
      </rPr>
      <t>H</t>
    </r>
    <r>
      <rPr>
        <vertAlign val="subscript"/>
        <sz val="9"/>
        <rFont val="Arial"/>
        <family val="2"/>
      </rPr>
      <t>2</t>
    </r>
    <r>
      <rPr>
        <sz val="9"/>
        <color theme="1"/>
        <rFont val="Calibri"/>
        <family val="2"/>
        <scheme val="minor"/>
      </rPr>
      <t xml:space="preserve"> </t>
    </r>
  </si>
  <si>
    <t>Total CO2 (kg)</t>
  </si>
  <si>
    <t>Oxidation Factor</t>
  </si>
  <si>
    <t>Ethylene</t>
  </si>
  <si>
    <r>
      <t>C</t>
    </r>
    <r>
      <rPr>
        <vertAlign val="subscript"/>
        <sz val="9"/>
        <rFont val="Arial"/>
        <family val="2"/>
      </rPr>
      <t>2</t>
    </r>
    <r>
      <rPr>
        <sz val="9"/>
        <color theme="1"/>
        <rFont val="Calibri"/>
        <family val="2"/>
        <scheme val="minor"/>
      </rPr>
      <t>H</t>
    </r>
    <r>
      <rPr>
        <vertAlign val="subscript"/>
        <sz val="9"/>
        <rFont val="Arial"/>
        <family val="2"/>
      </rPr>
      <t>4</t>
    </r>
    <r>
      <rPr>
        <sz val="9"/>
        <color theme="1"/>
        <rFont val="Calibri"/>
        <family val="2"/>
        <scheme val="minor"/>
      </rPr>
      <t xml:space="preserve"> </t>
    </r>
  </si>
  <si>
    <t>%</t>
  </si>
  <si>
    <t>Ethane</t>
  </si>
  <si>
    <r>
      <t>C</t>
    </r>
    <r>
      <rPr>
        <vertAlign val="subscript"/>
        <sz val="9"/>
        <rFont val="Arial"/>
        <family val="2"/>
      </rPr>
      <t>2</t>
    </r>
    <r>
      <rPr>
        <sz val="9"/>
        <color theme="1"/>
        <rFont val="Calibri"/>
        <family val="2"/>
        <scheme val="minor"/>
      </rPr>
      <t>H</t>
    </r>
    <r>
      <rPr>
        <vertAlign val="subscript"/>
        <sz val="9"/>
        <rFont val="Arial"/>
        <family val="2"/>
      </rPr>
      <t>6</t>
    </r>
    <r>
      <rPr>
        <sz val="9"/>
        <color theme="1"/>
        <rFont val="Calibri"/>
        <family val="2"/>
        <scheme val="minor"/>
      </rPr>
      <t xml:space="preserve"> </t>
    </r>
  </si>
  <si>
    <t>If oxidation factor is not known, use 100% as default value</t>
  </si>
  <si>
    <t>Propylene</t>
  </si>
  <si>
    <r>
      <t>C</t>
    </r>
    <r>
      <rPr>
        <vertAlign val="subscript"/>
        <sz val="9"/>
        <rFont val="Arial"/>
        <family val="2"/>
      </rPr>
      <t>3</t>
    </r>
    <r>
      <rPr>
        <sz val="9"/>
        <color theme="1"/>
        <rFont val="Calibri"/>
        <family val="2"/>
        <scheme val="minor"/>
      </rPr>
      <t>H</t>
    </r>
    <r>
      <rPr>
        <vertAlign val="subscript"/>
        <sz val="9"/>
        <rFont val="Arial"/>
        <family val="2"/>
      </rPr>
      <t>6</t>
    </r>
    <r>
      <rPr>
        <sz val="9"/>
        <color theme="1"/>
        <rFont val="Calibri"/>
        <family val="2"/>
        <scheme val="minor"/>
      </rPr>
      <t xml:space="preserve"> </t>
    </r>
  </si>
  <si>
    <t>Propane</t>
  </si>
  <si>
    <r>
      <t>C</t>
    </r>
    <r>
      <rPr>
        <vertAlign val="subscript"/>
        <sz val="9"/>
        <rFont val="Arial"/>
        <family val="2"/>
      </rPr>
      <t>3</t>
    </r>
    <r>
      <rPr>
        <sz val="9"/>
        <color theme="1"/>
        <rFont val="Calibri"/>
        <family val="2"/>
        <scheme val="minor"/>
      </rPr>
      <t>H</t>
    </r>
    <r>
      <rPr>
        <vertAlign val="subscript"/>
        <sz val="9"/>
        <rFont val="Arial"/>
        <family val="2"/>
      </rPr>
      <t>8</t>
    </r>
    <r>
      <rPr>
        <sz val="9"/>
        <color theme="1"/>
        <rFont val="Calibri"/>
        <family val="2"/>
        <scheme val="minor"/>
      </rPr>
      <t xml:space="preserve"> </t>
    </r>
  </si>
  <si>
    <t>n-Butane</t>
  </si>
  <si>
    <r>
      <t>C</t>
    </r>
    <r>
      <rPr>
        <vertAlign val="subscript"/>
        <sz val="9"/>
        <rFont val="Arial"/>
        <family val="2"/>
      </rPr>
      <t>4</t>
    </r>
    <r>
      <rPr>
        <sz val="9"/>
        <color theme="1"/>
        <rFont val="Calibri"/>
        <family val="2"/>
        <scheme val="minor"/>
      </rPr>
      <t>H</t>
    </r>
    <r>
      <rPr>
        <vertAlign val="subscript"/>
        <sz val="9"/>
        <rFont val="Arial"/>
        <family val="2"/>
      </rPr>
      <t>10</t>
    </r>
    <r>
      <rPr>
        <sz val="9"/>
        <color theme="1"/>
        <rFont val="Calibri"/>
        <family val="2"/>
        <scheme val="minor"/>
      </rPr>
      <t xml:space="preserve"> </t>
    </r>
  </si>
  <si>
    <t>Benzene</t>
  </si>
  <si>
    <r>
      <t>C</t>
    </r>
    <r>
      <rPr>
        <vertAlign val="subscript"/>
        <sz val="9"/>
        <rFont val="Arial"/>
        <family val="2"/>
      </rPr>
      <t>6</t>
    </r>
    <r>
      <rPr>
        <sz val="9"/>
        <color theme="1"/>
        <rFont val="Calibri"/>
        <family val="2"/>
        <scheme val="minor"/>
      </rPr>
      <t>H</t>
    </r>
    <r>
      <rPr>
        <vertAlign val="subscript"/>
        <sz val="9"/>
        <rFont val="Arial"/>
        <family val="2"/>
      </rPr>
      <t>6</t>
    </r>
    <r>
      <rPr>
        <sz val="9"/>
        <color theme="1"/>
        <rFont val="Calibri"/>
        <family val="2"/>
        <scheme val="minor"/>
      </rPr>
      <t xml:space="preserve"> </t>
    </r>
  </si>
  <si>
    <t>Hexane</t>
  </si>
  <si>
    <r>
      <t>C</t>
    </r>
    <r>
      <rPr>
        <vertAlign val="subscript"/>
        <sz val="9"/>
        <rFont val="Arial"/>
        <family val="2"/>
      </rPr>
      <t>6</t>
    </r>
    <r>
      <rPr>
        <sz val="9"/>
        <color theme="1"/>
        <rFont val="Calibri"/>
        <family val="2"/>
        <scheme val="minor"/>
      </rPr>
      <t>H</t>
    </r>
    <r>
      <rPr>
        <vertAlign val="subscript"/>
        <sz val="9"/>
        <rFont val="Arial"/>
        <family val="2"/>
      </rPr>
      <t>14</t>
    </r>
    <r>
      <rPr>
        <sz val="9"/>
        <color theme="1"/>
        <rFont val="Calibri"/>
        <family val="2"/>
        <scheme val="minor"/>
      </rPr>
      <t xml:space="preserve"> </t>
    </r>
  </si>
  <si>
    <t>Toluene</t>
  </si>
  <si>
    <r>
      <t>C</t>
    </r>
    <r>
      <rPr>
        <vertAlign val="subscript"/>
        <sz val="9"/>
        <rFont val="Arial"/>
        <family val="2"/>
      </rPr>
      <t>7</t>
    </r>
    <r>
      <rPr>
        <sz val="9"/>
        <color theme="1"/>
        <rFont val="Calibri"/>
        <family val="2"/>
        <scheme val="minor"/>
      </rPr>
      <t>H</t>
    </r>
    <r>
      <rPr>
        <vertAlign val="subscript"/>
        <sz val="9"/>
        <rFont val="Arial"/>
        <family val="2"/>
      </rPr>
      <t>8</t>
    </r>
    <r>
      <rPr>
        <sz val="9"/>
        <color theme="1"/>
        <rFont val="Calibri"/>
        <family val="2"/>
        <scheme val="minor"/>
      </rPr>
      <t xml:space="preserve"> </t>
    </r>
  </si>
  <si>
    <t>Octane</t>
  </si>
  <si>
    <r>
      <t>C</t>
    </r>
    <r>
      <rPr>
        <vertAlign val="subscript"/>
        <sz val="9"/>
        <rFont val="Arial"/>
        <family val="2"/>
      </rPr>
      <t>8</t>
    </r>
    <r>
      <rPr>
        <sz val="9"/>
        <color theme="1"/>
        <rFont val="Calibri"/>
        <family val="2"/>
        <scheme val="minor"/>
      </rPr>
      <t>H</t>
    </r>
    <r>
      <rPr>
        <vertAlign val="subscript"/>
        <sz val="9"/>
        <rFont val="Arial"/>
        <family val="2"/>
      </rPr>
      <t>18</t>
    </r>
    <r>
      <rPr>
        <sz val="9"/>
        <color theme="1"/>
        <rFont val="Calibri"/>
        <family val="2"/>
        <scheme val="minor"/>
      </rPr>
      <t xml:space="preserve"> </t>
    </r>
  </si>
  <si>
    <t>Ethanol</t>
  </si>
  <si>
    <r>
      <t>C</t>
    </r>
    <r>
      <rPr>
        <vertAlign val="subscript"/>
        <sz val="9"/>
        <rFont val="Arial"/>
        <family val="2"/>
      </rPr>
      <t>2</t>
    </r>
    <r>
      <rPr>
        <sz val="9"/>
        <color theme="1"/>
        <rFont val="Calibri"/>
        <family val="2"/>
        <scheme val="minor"/>
      </rPr>
      <t>H</t>
    </r>
    <r>
      <rPr>
        <vertAlign val="subscript"/>
        <sz val="9"/>
        <rFont val="Arial"/>
        <family val="2"/>
      </rPr>
      <t>5</t>
    </r>
    <r>
      <rPr>
        <sz val="9"/>
        <color theme="1"/>
        <rFont val="Calibri"/>
        <family val="2"/>
        <scheme val="minor"/>
      </rPr>
      <t>OH</t>
    </r>
  </si>
  <si>
    <t>Acetone</t>
  </si>
  <si>
    <r>
      <t>CH</t>
    </r>
    <r>
      <rPr>
        <vertAlign val="subscript"/>
        <sz val="9"/>
        <rFont val="Arial"/>
        <family val="2"/>
      </rPr>
      <t>3</t>
    </r>
    <r>
      <rPr>
        <sz val="9"/>
        <color theme="1"/>
        <rFont val="Calibri"/>
        <family val="2"/>
        <scheme val="minor"/>
      </rPr>
      <t>COCH</t>
    </r>
    <r>
      <rPr>
        <vertAlign val="subscript"/>
        <sz val="9"/>
        <rFont val="Arial"/>
        <family val="2"/>
      </rPr>
      <t>3</t>
    </r>
    <r>
      <rPr>
        <sz val="9"/>
        <color theme="1"/>
        <rFont val="Calibri"/>
        <family val="2"/>
        <scheme val="minor"/>
      </rPr>
      <t xml:space="preserve"> </t>
    </r>
  </si>
  <si>
    <t>Tetrahydrofuran</t>
  </si>
  <si>
    <r>
      <t>C</t>
    </r>
    <r>
      <rPr>
        <vertAlign val="subscript"/>
        <sz val="9"/>
        <rFont val="Arial"/>
        <family val="2"/>
      </rPr>
      <t>4</t>
    </r>
    <r>
      <rPr>
        <sz val="9"/>
        <color theme="1"/>
        <rFont val="Calibri"/>
        <family val="2"/>
        <scheme val="minor"/>
      </rPr>
      <t>H</t>
    </r>
    <r>
      <rPr>
        <vertAlign val="subscript"/>
        <sz val="9"/>
        <rFont val="Arial"/>
        <family val="2"/>
      </rPr>
      <t>8</t>
    </r>
    <r>
      <rPr>
        <sz val="9"/>
        <color theme="1"/>
        <rFont val="Calibri"/>
        <family val="2"/>
        <scheme val="minor"/>
      </rPr>
      <t>O</t>
    </r>
  </si>
  <si>
    <t>Other non-carbon</t>
  </si>
  <si>
    <t>Monthly Waste Disposal (Additional note/s)</t>
  </si>
  <si>
    <t>Waste Disposal</t>
  </si>
  <si>
    <t>Kilograms</t>
  </si>
  <si>
    <t>EMISSIONS SUMMARY (DO NOT EDIT)</t>
  </si>
  <si>
    <t>SCOPE 1 (DIRECT EMISSIONS)</t>
  </si>
  <si>
    <t>SCOPE 2 (INDIRECT EMISSIONS)</t>
  </si>
  <si>
    <t>STATIONARY COMBUSTION</t>
  </si>
  <si>
    <t>SCOPE 2 - ELECTRICITY</t>
  </si>
  <si>
    <t>Amount</t>
  </si>
  <si>
    <t>EF</t>
  </si>
  <si>
    <t>kg CO2e</t>
  </si>
  <si>
    <t>TOTAL</t>
  </si>
  <si>
    <t>MOBILE COMBUSTION</t>
  </si>
  <si>
    <t>(All)</t>
  </si>
  <si>
    <t>Sum of Consumption</t>
  </si>
  <si>
    <t>Row Labels</t>
  </si>
  <si>
    <t>Grand Total</t>
  </si>
  <si>
    <t>Diesel - Others</t>
  </si>
  <si>
    <t>Column Labels</t>
  </si>
  <si>
    <t>(blank)</t>
  </si>
  <si>
    <t>Sum of Consumption (kWh)</t>
  </si>
  <si>
    <t>Building 2</t>
  </si>
  <si>
    <t>Building 3</t>
  </si>
  <si>
    <t>Building 1</t>
  </si>
  <si>
    <t>RE</t>
  </si>
  <si>
    <t>Water Intake -Sum of Volume (m3)</t>
  </si>
  <si>
    <t>Recycled Water</t>
  </si>
  <si>
    <t>Building 4</t>
  </si>
  <si>
    <t>Collected Rainwater</t>
  </si>
  <si>
    <t>Water Discharge - Sum of Volume (m3)</t>
  </si>
  <si>
    <t>Reuse (e.g., irrigation, flushing, among others)</t>
  </si>
  <si>
    <t>Sum of Weight (kg)</t>
  </si>
  <si>
    <t>LGU garbage collection</t>
  </si>
  <si>
    <t>Non-biodegradable</t>
  </si>
  <si>
    <t>N/A</t>
  </si>
  <si>
    <t>Biodegradable</t>
  </si>
  <si>
    <t>Hazardous</t>
  </si>
  <si>
    <t>Recyclable</t>
  </si>
  <si>
    <t>Disposal</t>
  </si>
  <si>
    <t>Type</t>
  </si>
  <si>
    <t>Recovery</t>
  </si>
  <si>
    <t>Onsite or Offsite</t>
  </si>
  <si>
    <t>Facility Type/Operations</t>
  </si>
  <si>
    <t>Fuel Type - Stationary</t>
  </si>
  <si>
    <t>Q</t>
  </si>
  <si>
    <t>Y/N</t>
  </si>
  <si>
    <t>Equipment Lifecycle Stage</t>
  </si>
  <si>
    <t>Water Source</t>
  </si>
  <si>
    <t>Treatment</t>
  </si>
  <si>
    <t>Category (Ref)</t>
  </si>
  <si>
    <t>DU</t>
  </si>
  <si>
    <t>D</t>
  </si>
  <si>
    <t>Recycling service provider</t>
  </si>
  <si>
    <t>Onsite</t>
  </si>
  <si>
    <t>Bacolod Branch</t>
  </si>
  <si>
    <t>Visayas</t>
  </si>
  <si>
    <t>Office</t>
  </si>
  <si>
    <t>Jan</t>
  </si>
  <si>
    <t>R134A</t>
  </si>
  <si>
    <t>Yes</t>
  </si>
  <si>
    <t>Onsite Treatment Facility</t>
  </si>
  <si>
    <t>Y</t>
  </si>
  <si>
    <t>Armored Vehicle</t>
  </si>
  <si>
    <t>ABRECO</t>
  </si>
  <si>
    <t>Waste treatment company</t>
  </si>
  <si>
    <t>R</t>
  </si>
  <si>
    <t>Composting</t>
  </si>
  <si>
    <t>Offsite</t>
  </si>
  <si>
    <t>Batac Branch</t>
  </si>
  <si>
    <t>North Luzon</t>
  </si>
  <si>
    <t>R141B</t>
  </si>
  <si>
    <t>In operation</t>
  </si>
  <si>
    <t>N</t>
  </si>
  <si>
    <t>Sedan</t>
  </si>
  <si>
    <t>AEC</t>
  </si>
  <si>
    <t>Infectious</t>
  </si>
  <si>
    <t>Recycling Service Provider</t>
  </si>
  <si>
    <t>In-house recycling/repurposing</t>
  </si>
  <si>
    <t>Butuan Branch</t>
  </si>
  <si>
    <t>Mindanao</t>
  </si>
  <si>
    <t>Gasoline - Others</t>
  </si>
  <si>
    <t>Mar</t>
  </si>
  <si>
    <t>R22</t>
  </si>
  <si>
    <t>Others</t>
  </si>
  <si>
    <t>Multi-Purpose Vehicle</t>
  </si>
  <si>
    <t>AKELCO</t>
  </si>
  <si>
    <t>Security</t>
  </si>
  <si>
    <t>Incineration with energy recovery</t>
  </si>
  <si>
    <t>Cabanatuan Branch</t>
  </si>
  <si>
    <t>LPG - Heating and cooking</t>
  </si>
  <si>
    <t>Apr</t>
  </si>
  <si>
    <t>R32</t>
  </si>
  <si>
    <t>Industrial Process Water</t>
  </si>
  <si>
    <t>Sport Utility Vehicle  (SUV)</t>
  </si>
  <si>
    <t>ALECO/APEC</t>
  </si>
  <si>
    <t>In-house recyling/repurposing</t>
  </si>
  <si>
    <t>Cagayan De Oro Branch</t>
  </si>
  <si>
    <t>Compressed natural gas</t>
  </si>
  <si>
    <t>May</t>
  </si>
  <si>
    <t>R410A</t>
  </si>
  <si>
    <t xml:space="preserve">Van  </t>
  </si>
  <si>
    <t>ANECO</t>
  </si>
  <si>
    <t>Residual/Landfill</t>
  </si>
  <si>
    <t>Auction/Donation</t>
  </si>
  <si>
    <t>Cotabato Branch</t>
  </si>
  <si>
    <t>Jun</t>
  </si>
  <si>
    <t>Mini Bus/Coaster</t>
  </si>
  <si>
    <t>ANTECO</t>
  </si>
  <si>
    <t>Dagupan Branch</t>
  </si>
  <si>
    <t>Jul</t>
  </si>
  <si>
    <t>Hybrid-Sedan</t>
  </si>
  <si>
    <t>ASELCO</t>
  </si>
  <si>
    <t>Dumaguete Branch</t>
  </si>
  <si>
    <t>Hybrid-SUV</t>
  </si>
  <si>
    <t>AURELCO</t>
  </si>
  <si>
    <t>General Santos Branch</t>
  </si>
  <si>
    <t>Sep</t>
  </si>
  <si>
    <t>BANELCO</t>
  </si>
  <si>
    <t>Metro Manila</t>
  </si>
  <si>
    <t>Oct</t>
  </si>
  <si>
    <t>BASELCO</t>
  </si>
  <si>
    <t>Iloilo Branch</t>
  </si>
  <si>
    <t>Fuel Type - Mobile</t>
  </si>
  <si>
    <t>Nov</t>
  </si>
  <si>
    <t>BATANELCO</t>
  </si>
  <si>
    <t>La Union Branch</t>
  </si>
  <si>
    <t>Dec</t>
  </si>
  <si>
    <t>BATELEC I</t>
  </si>
  <si>
    <t>Legazpi Branch</t>
  </si>
  <si>
    <t>South Luzon</t>
  </si>
  <si>
    <t>Gasoline - Transport vehicles</t>
  </si>
  <si>
    <t>BATELEC II</t>
  </si>
  <si>
    <t>Lucena Branch</t>
  </si>
  <si>
    <t>BENECO</t>
  </si>
  <si>
    <t>Mindanao Regional Office</t>
  </si>
  <si>
    <t>BEZ</t>
  </si>
  <si>
    <t>North Luzon Regional Office</t>
  </si>
  <si>
    <t>BILECO</t>
  </si>
  <si>
    <t>Ozamiz Branch</t>
  </si>
  <si>
    <t>BISELCO</t>
  </si>
  <si>
    <t>Puerto Princesa Branch</t>
  </si>
  <si>
    <t>BLCI</t>
  </si>
  <si>
    <t>Roxas Branch</t>
  </si>
  <si>
    <t>BOHECO I</t>
  </si>
  <si>
    <t>San Fernando Branch</t>
  </si>
  <si>
    <t>BOHECO II</t>
  </si>
  <si>
    <t>Security Plant Complex</t>
  </si>
  <si>
    <t>Bumbaran</t>
  </si>
  <si>
    <t>South Luzon Regional Office</t>
  </si>
  <si>
    <t>BUSECO</t>
  </si>
  <si>
    <t>Tacloban Branch</t>
  </si>
  <si>
    <t>CAGELCO I</t>
  </si>
  <si>
    <t>Tuguegarao Branch</t>
  </si>
  <si>
    <t>CAGELCO II</t>
  </si>
  <si>
    <t>Visayas Regional Office</t>
  </si>
  <si>
    <t>CAMELCO</t>
  </si>
  <si>
    <t>Zamboanga Branch</t>
  </si>
  <si>
    <t>CANORECO</t>
  </si>
  <si>
    <t>CAPELCO</t>
  </si>
  <si>
    <t>CASELCO</t>
  </si>
  <si>
    <t>CASURECO I</t>
  </si>
  <si>
    <t>CASURECO II</t>
  </si>
  <si>
    <t>CASURECO III</t>
  </si>
  <si>
    <t>CASURECO IV</t>
  </si>
  <si>
    <t>CEBECO I</t>
  </si>
  <si>
    <t>CEBECO II</t>
  </si>
  <si>
    <t>CEBECO III</t>
  </si>
  <si>
    <t>CEDC</t>
  </si>
  <si>
    <t>CELCO</t>
  </si>
  <si>
    <t>CELCOR</t>
  </si>
  <si>
    <t>CENECO</t>
  </si>
  <si>
    <t>CENPELCO</t>
  </si>
  <si>
    <t>CEPALCO</t>
  </si>
  <si>
    <t>CLPC</t>
  </si>
  <si>
    <t>Concepcion</t>
  </si>
  <si>
    <t>Corcuera</t>
  </si>
  <si>
    <t>COTELCO</t>
  </si>
  <si>
    <t>COTELCO - PPALMA</t>
  </si>
  <si>
    <t>DANECO</t>
  </si>
  <si>
    <t>DASURECO</t>
  </si>
  <si>
    <t>DECORP</t>
  </si>
  <si>
    <t>DIELCO</t>
  </si>
  <si>
    <t>DLPC</t>
  </si>
  <si>
    <t>DORECO</t>
  </si>
  <si>
    <t>DORELCO</t>
  </si>
  <si>
    <t>ESAMELCO</t>
  </si>
  <si>
    <t>FBPC</t>
  </si>
  <si>
    <t>FIBECO</t>
  </si>
  <si>
    <t>FICELCO</t>
  </si>
  <si>
    <t>FLECO</t>
  </si>
  <si>
    <t>GUIMELCO</t>
  </si>
  <si>
    <t>HFMPC</t>
  </si>
  <si>
    <t>IEC</t>
  </si>
  <si>
    <t>IFELCO</t>
  </si>
  <si>
    <t>ILECO I</t>
  </si>
  <si>
    <t>ILECO II</t>
  </si>
  <si>
    <t>ILECO III</t>
  </si>
  <si>
    <t>ILPI</t>
  </si>
  <si>
    <t>INEC</t>
  </si>
  <si>
    <t>ISECO</t>
  </si>
  <si>
    <t>ISELCO I</t>
  </si>
  <si>
    <t>ISELCO II</t>
  </si>
  <si>
    <t>KAELCO</t>
  </si>
  <si>
    <t>LANECO</t>
  </si>
  <si>
    <t>LASURECO</t>
  </si>
  <si>
    <t>LEYECO II</t>
  </si>
  <si>
    <t>LEYECO III</t>
  </si>
  <si>
    <t>LEYECO IV</t>
  </si>
  <si>
    <t>LEYECO V</t>
  </si>
  <si>
    <t>LEZ</t>
  </si>
  <si>
    <t>LUBELCO</t>
  </si>
  <si>
    <t>LUECO</t>
  </si>
  <si>
    <t>LUELCO</t>
  </si>
  <si>
    <t>MAGELCO</t>
  </si>
  <si>
    <t>MALVEZ</t>
  </si>
  <si>
    <t>MARELCO</t>
  </si>
  <si>
    <t>MASELCO</t>
  </si>
  <si>
    <t>MECO</t>
  </si>
  <si>
    <t>MEPC</t>
  </si>
  <si>
    <t>MEZ</t>
  </si>
  <si>
    <t>MMPC</t>
  </si>
  <si>
    <t>MOELCI I</t>
  </si>
  <si>
    <t>MOELCI II</t>
  </si>
  <si>
    <t>MOPRECO</t>
  </si>
  <si>
    <t>MORESCO I</t>
  </si>
  <si>
    <t>MORESCO II</t>
  </si>
  <si>
    <t>NEECO I</t>
  </si>
  <si>
    <t>NEECO II-AREA 1</t>
  </si>
  <si>
    <t>NEECO II-AREA 2</t>
  </si>
  <si>
    <t>NEPC</t>
  </si>
  <si>
    <t>NOCECO</t>
  </si>
  <si>
    <t>NORDECO</t>
  </si>
  <si>
    <t>NONECO</t>
  </si>
  <si>
    <t>NORECO I</t>
  </si>
  <si>
    <t>NORECO II</t>
  </si>
  <si>
    <t>NORSAMELCO</t>
  </si>
  <si>
    <t>NUVELCO</t>
  </si>
  <si>
    <t>OEDC</t>
  </si>
  <si>
    <t>OMECO</t>
  </si>
  <si>
    <t>ORMECO</t>
  </si>
  <si>
    <t>PALECO</t>
  </si>
  <si>
    <t>PAMES</t>
  </si>
  <si>
    <t>PANELCO I</t>
  </si>
  <si>
    <t>PANELCO III</t>
  </si>
  <si>
    <t>PELCO I</t>
  </si>
  <si>
    <t>PELCO II</t>
  </si>
  <si>
    <t>PELCO III</t>
  </si>
  <si>
    <t>PENELCO</t>
  </si>
  <si>
    <t>PRESCO</t>
  </si>
  <si>
    <t>PROSIELCO</t>
  </si>
  <si>
    <t>QUEZELCO I</t>
  </si>
  <si>
    <t>QUEZELCO II</t>
  </si>
  <si>
    <t>QUIRELCO</t>
  </si>
  <si>
    <t>ROMELCO</t>
  </si>
  <si>
    <t>SAJELCO</t>
  </si>
  <si>
    <t>SAMELCO I</t>
  </si>
  <si>
    <t>SAMELCO II</t>
  </si>
  <si>
    <t>SEZ</t>
  </si>
  <si>
    <t>SFELAPCO</t>
  </si>
  <si>
    <t>SIARELCO</t>
  </si>
  <si>
    <t>SIASELCO</t>
  </si>
  <si>
    <t>SOCOTECO I</t>
  </si>
  <si>
    <t>SOCOTECO II</t>
  </si>
  <si>
    <t>SOLECO</t>
  </si>
  <si>
    <t>SORECO I</t>
  </si>
  <si>
    <t>SORECO II</t>
  </si>
  <si>
    <t>SUKELCO</t>
  </si>
  <si>
    <t>SULECO</t>
  </si>
  <si>
    <t>SURNECO</t>
  </si>
  <si>
    <t>SURSECO I</t>
  </si>
  <si>
    <t>SURSECO II</t>
  </si>
  <si>
    <t>TARELCO I</t>
  </si>
  <si>
    <t>TARELCO II</t>
  </si>
  <si>
    <t>TAWELCO</t>
  </si>
  <si>
    <t>TEI</t>
  </si>
  <si>
    <t>TIELCO</t>
  </si>
  <si>
    <t>TISELCO</t>
  </si>
  <si>
    <t>VECO</t>
  </si>
  <si>
    <t>ZAMCELCO</t>
  </si>
  <si>
    <t>ZAMECO I</t>
  </si>
  <si>
    <t>ZAMECO II</t>
  </si>
  <si>
    <t>ZAMSURECO I</t>
  </si>
  <si>
    <t>ZAMSURECO II</t>
  </si>
  <si>
    <t>ZANECO</t>
  </si>
  <si>
    <t>Fuel Type (VLOOKUP)</t>
  </si>
  <si>
    <t>Energy Source</t>
  </si>
  <si>
    <t>Emission Factor (kg CO2e per unit)</t>
  </si>
  <si>
    <t>Source/Notes</t>
  </si>
  <si>
    <t>Stationary Combustion</t>
  </si>
  <si>
    <t>Diesel</t>
  </si>
  <si>
    <t>Litre</t>
  </si>
  <si>
    <t>Default IPCC</t>
  </si>
  <si>
    <t>Gasoline</t>
  </si>
  <si>
    <t>LPG</t>
  </si>
  <si>
    <t>kg</t>
  </si>
  <si>
    <t>Natural Gas</t>
  </si>
  <si>
    <t>m3</t>
  </si>
  <si>
    <t>Mobile Combustion</t>
  </si>
  <si>
    <t>Philippine Grid 2022</t>
  </si>
  <si>
    <t>kWh</t>
  </si>
  <si>
    <t>DOE 2022 EF (placeholder)</t>
  </si>
  <si>
    <t>Fugitive</t>
  </si>
  <si>
    <t>R-134a</t>
  </si>
  <si>
    <t>IPCC AR5 GWP</t>
  </si>
  <si>
    <t>R-410a</t>
  </si>
  <si>
    <t>Shipping fuel</t>
  </si>
  <si>
    <t>Molecular Weights</t>
  </si>
  <si>
    <t>Element</t>
  </si>
  <si>
    <t>Atomic Weight</t>
  </si>
  <si>
    <t>Carbon</t>
  </si>
  <si>
    <t>Timestamp</t>
  </si>
  <si>
    <t>User</t>
  </si>
  <si>
    <t>Sheet</t>
  </si>
  <si>
    <t xml:space="preserve">Cell </t>
  </si>
  <si>
    <t>New Value</t>
  </si>
  <si>
    <t>Microsoft Office User</t>
  </si>
  <si>
    <t>4. Dashboard</t>
  </si>
  <si>
    <t>$81:$101</t>
  </si>
  <si>
    <t>$81:$97</t>
  </si>
  <si>
    <t>$B$81:$R$98</t>
  </si>
  <si>
    <t>$A$81:$Q$98</t>
  </si>
  <si>
    <t>$A$105:$F$105</t>
  </si>
  <si>
    <t>$A$105</t>
  </si>
  <si>
    <t>$A$107:$U$138</t>
  </si>
  <si>
    <t>$104:$104</t>
  </si>
  <si>
    <t>$A$141:$F$141</t>
  </si>
  <si>
    <t>$A$141</t>
  </si>
  <si>
    <t>$A$142:$P$162</t>
  </si>
  <si>
    <t>$A$142:$Q$162</t>
  </si>
  <si>
    <t>$A$143:$P$163</t>
  </si>
  <si>
    <t>Instructions</t>
  </si>
  <si>
    <t>$26:$26</t>
  </si>
  <si>
    <t>$27:$27</t>
  </si>
  <si>
    <t>$26:$30</t>
  </si>
  <si>
    <t>$26:$34</t>
  </si>
  <si>
    <t>$D$27:$H$37</t>
  </si>
  <si>
    <t>$38:$43</t>
  </si>
  <si>
    <t>$35:$35</t>
  </si>
  <si>
    <t>$D$35:$H$35</t>
  </si>
  <si>
    <t>$E$32</t>
  </si>
  <si>
    <t>Facility</t>
  </si>
  <si>
    <t>$F$32</t>
  </si>
  <si>
    <t>Facility Name/Code/Number</t>
  </si>
  <si>
    <t>$33:$33</t>
  </si>
  <si>
    <t>$E$33</t>
  </si>
  <si>
    <t>Facility Type</t>
  </si>
  <si>
    <t>$D$32:$D$39</t>
  </si>
  <si>
    <t>$F$33</t>
  </si>
  <si>
    <t>Select the appropriate type of facility:
1. Office
2. Production Area</t>
  </si>
  <si>
    <t>$G$33</t>
  </si>
  <si>
    <t>$H$33</t>
  </si>
  <si>
    <t>Production Area</t>
  </si>
  <si>
    <t>$L$39:$L$47</t>
  </si>
  <si>
    <t>dropdown</t>
  </si>
  <si>
    <t>$X$4</t>
  </si>
  <si>
    <t>$X$5:$X$9</t>
  </si>
  <si>
    <t>$N$5</t>
  </si>
  <si>
    <t>Select the appropriate type of facility:
1. Office</t>
  </si>
  <si>
    <t>$K$40</t>
  </si>
  <si>
    <t>$K$40:$K$47</t>
  </si>
  <si>
    <t>$B$13:$I$21</t>
  </si>
  <si>
    <t>$A$27:$H$35</t>
  </si>
  <si>
    <t>$B$13:$H$21</t>
  </si>
  <si>
    <t>2.3b RE</t>
  </si>
  <si>
    <t>$B$12:$H$20</t>
  </si>
  <si>
    <t>$A$81:$G$89</t>
  </si>
  <si>
    <t>$A$56:$G$64</t>
  </si>
  <si>
    <t>2.6 Waste</t>
  </si>
  <si>
    <t>$B$12:$G$30</t>
  </si>
  <si>
    <t>$A$143:$F$161</t>
  </si>
  <si>
    <t>$B$15:$G$23</t>
  </si>
  <si>
    <t>$A$4:$F$12</t>
  </si>
  <si>
    <t>2.5 Water</t>
  </si>
  <si>
    <t>$B$30:$F$42</t>
  </si>
  <si>
    <t>$A$123:$E$135</t>
  </si>
  <si>
    <t>$B$13:$F$25</t>
  </si>
  <si>
    <t>$A$106:$E$118</t>
  </si>
  <si>
    <t>$O$8</t>
  </si>
  <si>
    <t>$P$17:$P$23</t>
  </si>
  <si>
    <t>$I$25:$Q$147</t>
  </si>
  <si>
    <t>$I$19:$I$147</t>
  </si>
  <si>
    <t>$I$18:$I$147</t>
  </si>
  <si>
    <t>$117:$147</t>
  </si>
  <si>
    <t>$I$118</t>
  </si>
  <si>
    <t>$J$18:$L$116</t>
  </si>
  <si>
    <t>$M$18:$M$116</t>
  </si>
  <si>
    <t>$N$17:$N$116</t>
  </si>
  <si>
    <t>$P$16</t>
  </si>
  <si>
    <t>$I$4:$J$6</t>
  </si>
  <si>
    <t>$15:$15</t>
  </si>
  <si>
    <t>$14:$14</t>
  </si>
  <si>
    <t>$J$16</t>
  </si>
  <si>
    <t>s</t>
  </si>
  <si>
    <t>$J$17</t>
  </si>
  <si>
    <t>$J$18</t>
  </si>
  <si>
    <t>$J$19</t>
  </si>
  <si>
    <t>$J$20</t>
  </si>
  <si>
    <t>$J$21</t>
  </si>
  <si>
    <t>$J$16:$J$21</t>
  </si>
  <si>
    <t>$O$16:$O$114</t>
  </si>
  <si>
    <t>$B$14:$G$20</t>
  </si>
  <si>
    <t>$I$6:$N$12</t>
  </si>
  <si>
    <t>$F$6:$K$12</t>
  </si>
  <si>
    <t>$B$23:$B$26</t>
  </si>
  <si>
    <t>$M$6:$M$9</t>
  </si>
  <si>
    <t>2.1a Fuel - Buildings (2)</t>
  </si>
  <si>
    <t>$S$14:$W$31</t>
  </si>
  <si>
    <t>$I$14:$Q$116</t>
  </si>
  <si>
    <t>$V$14:$AD$116</t>
  </si>
  <si>
    <t>$A$14:$I$116</t>
  </si>
  <si>
    <t>$A:$A</t>
  </si>
  <si>
    <t>$C$2:$H$4</t>
  </si>
  <si>
    <t>$B$2:$G$4</t>
  </si>
  <si>
    <t>$C$7:$D$7</t>
  </si>
  <si>
    <t>$B$7:$C$7</t>
  </si>
  <si>
    <t>$B$8:$C$8</t>
  </si>
  <si>
    <t>$B$9:$C$9</t>
  </si>
  <si>
    <t>$B$10:$C$10</t>
  </si>
  <si>
    <t>$B$11:$C$11</t>
  </si>
  <si>
    <t>$G$6:$L$12</t>
  </si>
  <si>
    <t>$L$16:$Q$22</t>
  </si>
  <si>
    <t>$F$3:$F$4</t>
  </si>
  <si>
    <t>$E$3:$E$4</t>
  </si>
  <si>
    <t>$J$2:$S$4</t>
  </si>
  <si>
    <t>$G$2:$P$4</t>
  </si>
  <si>
    <t>Fuel Consumption - Buildings</t>
  </si>
  <si>
    <t>$B$6:$C$11</t>
  </si>
  <si>
    <t>$B$16:$C$21</t>
  </si>
  <si>
    <t>$B$6:$G$12</t>
  </si>
  <si>
    <t>$B$16:$C$26</t>
  </si>
  <si>
    <t>$B$14:$C$24</t>
  </si>
  <si>
    <t>$R:$R</t>
  </si>
  <si>
    <t>$I$6:$Q$108</t>
  </si>
  <si>
    <t>$C$15:$G$15</t>
  </si>
  <si>
    <t>$C$16:$G$16</t>
  </si>
  <si>
    <t>$C$17:$G$17</t>
  </si>
  <si>
    <t>$C$18:$G$18</t>
  </si>
  <si>
    <t>$C$19:$G$19</t>
  </si>
  <si>
    <t>$B$26:$G$32</t>
  </si>
  <si>
    <t>$B$21:$B$24</t>
  </si>
  <si>
    <t>$B$34:$B$37</t>
  </si>
  <si>
    <t>$B$14:$G$19</t>
  </si>
  <si>
    <t>$B$6:$G$11</t>
  </si>
  <si>
    <t>$B$26:$G$37</t>
  </si>
  <si>
    <t>$B$13:$G$24</t>
  </si>
  <si>
    <t>$K:$K</t>
  </si>
  <si>
    <t>$J$6</t>
  </si>
  <si>
    <t>Emission Source</t>
  </si>
  <si>
    <t>$D$33:$D$38</t>
  </si>
  <si>
    <t>xxx</t>
  </si>
  <si>
    <t>$13:$13</t>
  </si>
  <si>
    <t>$I$4:$R$7</t>
  </si>
  <si>
    <t>$C$7:$G$7</t>
  </si>
  <si>
    <t>$C$8:$G$8</t>
  </si>
  <si>
    <t>$C$9:$G$9</t>
  </si>
  <si>
    <t>$C$10:$G$10</t>
  </si>
  <si>
    <t>$C$11:$G$11</t>
  </si>
  <si>
    <t>$I$13:$R$33</t>
  </si>
  <si>
    <t>$I$6:$R$26</t>
  </si>
  <si>
    <t>$B$14:$G$23</t>
  </si>
  <si>
    <t>$B$13:$G$22</t>
  </si>
  <si>
    <t>$I$6:$R$30</t>
  </si>
  <si>
    <t>$R$31:$R$35</t>
  </si>
  <si>
    <t>$R$36:$R$45</t>
  </si>
  <si>
    <t>$R$46:$R$77</t>
  </si>
  <si>
    <t>$I$12:$I$77</t>
  </si>
  <si>
    <t>$J$12</t>
  </si>
  <si>
    <t>$J$11:$J$77</t>
  </si>
  <si>
    <t>$I$11:$I$77</t>
  </si>
  <si>
    <t>$R$78:$R$85</t>
  </si>
  <si>
    <t>$R$86:$R$109</t>
  </si>
  <si>
    <t>$J$76:$J$109</t>
  </si>
  <si>
    <t>$107:$109</t>
  </si>
  <si>
    <t>$I$108</t>
  </si>
  <si>
    <t>$J$12:$J$106</t>
  </si>
  <si>
    <t>$M$7:$M$106</t>
  </si>
  <si>
    <t>Kar Lyle A. Constantino</t>
  </si>
  <si>
    <t>$A$27:$G$35</t>
  </si>
  <si>
    <t>$A$4:$C$9</t>
  </si>
  <si>
    <t>$H$32</t>
  </si>
  <si>
    <t>Basement Power Center (5-storey building)</t>
  </si>
  <si>
    <t>$B$18:$B$21</t>
  </si>
  <si>
    <t>$B$14:$B$17</t>
  </si>
  <si>
    <t>Basement Power Center, New Power Center Building</t>
  </si>
  <si>
    <t>$F$38</t>
  </si>
  <si>
    <t xml:space="preserve">Any relevant information that can provide more clarity on the data or that you think will be useful to the Sustainability Office (e.g., </t>
  </si>
  <si>
    <t>Any relevant information that can provide more clarity on the data or that you think will be useful to the Sustainability Office (e.g., equipment name of generator set)</t>
  </si>
  <si>
    <t>$H$38</t>
  </si>
  <si>
    <t xml:space="preserve">Cummins </t>
  </si>
  <si>
    <t>Location where fuel was consumed</t>
  </si>
  <si>
    <t>Any relevant information that can provide more clarity on the data or that you think will be useful to the Sustainability Office (e.g., equipment name or generator set model)</t>
  </si>
  <si>
    <t>$B$20:$B$24</t>
  </si>
  <si>
    <t>$B$19:$B$23</t>
  </si>
  <si>
    <t>$I$14:$Y$29</t>
  </si>
  <si>
    <t>$I$7:$Y$22</t>
  </si>
  <si>
    <t>$C$5</t>
  </si>
  <si>
    <t>$M$7</t>
  </si>
  <si>
    <t>Equipment Lifecycle Stage as of 0</t>
  </si>
  <si>
    <t>Equipment Lifecycle Stage as of Year 0</t>
  </si>
  <si>
    <t>$D$4</t>
  </si>
  <si>
    <t>$AE$13:$AG$20</t>
  </si>
  <si>
    <t>$B$25:$D$32</t>
  </si>
  <si>
    <t>$D$26:$D$32</t>
  </si>
  <si>
    <t>$E$26:$E$32</t>
  </si>
  <si>
    <t>$32:$32</t>
  </si>
  <si>
    <t>$B$29:$G$31</t>
  </si>
  <si>
    <t>$B$30:$G$32</t>
  </si>
  <si>
    <t>$B$30</t>
  </si>
  <si>
    <t>$B$31:$G$32</t>
  </si>
  <si>
    <t>$B$32:$G$33</t>
  </si>
  <si>
    <t>$B$33:$G$33</t>
  </si>
  <si>
    <t>$B$34:$G$34</t>
  </si>
  <si>
    <t>$I$22:$Y$117</t>
  </si>
  <si>
    <t>$I$10</t>
  </si>
  <si>
    <t>$J$10</t>
  </si>
  <si>
    <t>$J$10:$J$117</t>
  </si>
  <si>
    <t>$109:$117</t>
  </si>
  <si>
    <t>$J$10:$J$108</t>
  </si>
  <si>
    <t>$I$110</t>
  </si>
  <si>
    <t>$B$20:$B$23</t>
  </si>
  <si>
    <t>$B$19:$B$22</t>
  </si>
  <si>
    <t>$I$23:$P$116</t>
  </si>
  <si>
    <t>$J$15:$J$116</t>
  </si>
  <si>
    <t>$108:$116</t>
  </si>
  <si>
    <t>$J$17:$J$107</t>
  </si>
  <si>
    <t>$I$109</t>
  </si>
  <si>
    <t>$I$15</t>
  </si>
  <si>
    <t>$I$16:$P$30</t>
  </si>
  <si>
    <t>$I$6:$P$20</t>
  </si>
  <si>
    <t>$I$2</t>
  </si>
  <si>
    <t>Electricity Consumption  (Additional note/s)</t>
  </si>
  <si>
    <t>Monthly Waste Generation (Additional note/s)</t>
  </si>
  <si>
    <t>$I$16:$Q$27</t>
  </si>
  <si>
    <t>$I$6:$Q$17</t>
  </si>
  <si>
    <t>$14:$15</t>
  </si>
  <si>
    <t>$I$14:$Q$25</t>
  </si>
  <si>
    <t>$B$14:$G$37</t>
  </si>
  <si>
    <t>$B$13:$G$36</t>
  </si>
  <si>
    <t>Summary of Waste Disposed</t>
  </si>
  <si>
    <t>$I$16:$Y$36</t>
  </si>
  <si>
    <t>$I$6:$Y$26</t>
  </si>
  <si>
    <t>$Z:$Z</t>
  </si>
  <si>
    <t>$F$21</t>
  </si>
  <si>
    <t>Purchase any industrial gases for use in your business (gases may be purchased for use in manufacturing, testing, or laboratories)</t>
  </si>
  <si>
    <t>$O:$O</t>
  </si>
  <si>
    <t>$P:$Q</t>
  </si>
  <si>
    <t>$B$23:$G$32</t>
  </si>
  <si>
    <t>$23:$23</t>
  </si>
  <si>
    <t>$B$7:$G$12</t>
  </si>
  <si>
    <t>$I$6:$O$20</t>
  </si>
  <si>
    <t>$I$5:$O$19</t>
  </si>
  <si>
    <t>$N$6</t>
  </si>
  <si>
    <t>$M$6</t>
  </si>
  <si>
    <t>$B$23:$G$31</t>
  </si>
  <si>
    <t>$B$13:$G$21</t>
  </si>
  <si>
    <t>$B$17:$B$20</t>
  </si>
  <si>
    <t>$I$6:$O$107</t>
  </si>
  <si>
    <t>$J$14:$J$107</t>
  </si>
  <si>
    <t>$I$21:$I$107</t>
  </si>
  <si>
    <t>$107:$107</t>
  </si>
  <si>
    <t>$J$15:$J$106</t>
  </si>
  <si>
    <t>$B$13</t>
  </si>
  <si>
    <t>$B$15:$G$24</t>
  </si>
  <si>
    <t>$S$7:$Y$107</t>
  </si>
  <si>
    <t>$I$7:$O$107</t>
  </si>
  <si>
    <t>$J$12:$J$107</t>
  </si>
  <si>
    <t>$I$6:$Q$107</t>
  </si>
  <si>
    <t>$M:$M</t>
  </si>
  <si>
    <t>$R$13:$U$45</t>
  </si>
  <si>
    <t>$19:$20</t>
  </si>
  <si>
    <t>$R$15:$T$45</t>
  </si>
  <si>
    <t>$26:$27</t>
  </si>
  <si>
    <t>$K$7:$K$103</t>
  </si>
  <si>
    <t>$R:$Y</t>
  </si>
  <si>
    <t>$V:$V</t>
  </si>
  <si>
    <t>$AK$5</t>
  </si>
  <si>
    <t>$AK$5:$AK$8</t>
  </si>
  <si>
    <t>$AK$6</t>
  </si>
  <si>
    <t xml:space="preserve">Sport Utility Vehicle  </t>
  </si>
  <si>
    <t>$AK$7</t>
  </si>
  <si>
    <t>$AK$8</t>
  </si>
  <si>
    <t xml:space="preserve">	
Mini Bus</t>
  </si>
  <si>
    <t>\Mini Bus</t>
  </si>
  <si>
    <t>Mini Bus</t>
  </si>
  <si>
    <t>$AK$9</t>
  </si>
  <si>
    <t>$F$116</t>
  </si>
  <si>
    <t>Categorization of waste:
1. Compostable - organic waste that can be broken down to compost such as leftover foods, twigs, and leaves
2. Recyclable - waste that are either saleable, or non-saleable but can be processed and reused
3. Infectious - contaminated health care wastes
4. Security - non-hazardous waste generated from currency production operations
5. Hazardous - wastes containing hazardous substances that are no longer recyclable such as inks and ink-contamindated materials, and waste from electrical and electronic equipment
6. Residual - other non-compostable and non-recyclable waste</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</si>
  <si>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 - other non-compostable and non-recyclable waste</t>
  </si>
  <si>
    <t>$F$117</t>
  </si>
  <si>
    <t>$B$4:$B$9</t>
  </si>
  <si>
    <t>$B$4</t>
  </si>
  <si>
    <t>$D$8</t>
  </si>
  <si>
    <t>$G$8</t>
  </si>
  <si>
    <t>$N$10</t>
  </si>
  <si>
    <t>$F$106</t>
  </si>
  <si>
    <t>Select the destination of water consumed:
1. Onsite Treatment Facility
2. External Treatment Facility
3. Reuse
4. Untreated</t>
  </si>
  <si>
    <t>Select the destination of water consumed:
1. Onsite Treatment Facility
2. External Treatment Facility
3. Untreated
4. Others</t>
  </si>
  <si>
    <t>Select the destination of water consumed:
1. Onsite Treatment Facility
2. External Treatment Facility
3. Others</t>
  </si>
  <si>
    <t>$AG$6</t>
  </si>
  <si>
    <t>Other</t>
  </si>
  <si>
    <t>$AG$7</t>
  </si>
  <si>
    <t>$AE$8</t>
  </si>
  <si>
    <t>$B$32</t>
  </si>
  <si>
    <t>$B$31</t>
  </si>
  <si>
    <t>$B$23</t>
  </si>
  <si>
    <t>Default no input, can change to white</t>
  </si>
  <si>
    <t>$F$67</t>
  </si>
  <si>
    <t xml:space="preserve">Name of the building or </t>
  </si>
  <si>
    <t>Name of the building or bill</t>
  </si>
  <si>
    <t>Name of what is being billed</t>
  </si>
  <si>
    <t>Name of what is being billed (e.g., customer name in bill, xxx)</t>
  </si>
  <si>
    <t>Name or identifier of what is being billed (e.g., customer name or location as reflected in the electricity bill)</t>
  </si>
  <si>
    <t>$D$75</t>
  </si>
  <si>
    <t>$B$7:$C$14</t>
  </si>
  <si>
    <t>$E$12:$E$15</t>
  </si>
  <si>
    <t>$E$4:$I$10</t>
  </si>
  <si>
    <t>$B$8:$F$14</t>
  </si>
  <si>
    <t>$K$7:$R$28</t>
  </si>
  <si>
    <t>$K$24:$R$45</t>
  </si>
  <si>
    <t>$K$7:$O$13</t>
  </si>
  <si>
    <t>$K$15:$R$36</t>
  </si>
  <si>
    <t>$E:$I</t>
  </si>
  <si>
    <t>$J$15:$M$20</t>
  </si>
  <si>
    <t>$F$38:$I$43</t>
  </si>
  <si>
    <t>$E:$E</t>
  </si>
  <si>
    <t>$B$4:$C$5</t>
  </si>
  <si>
    <t>$E$1:$F$2</t>
  </si>
  <si>
    <t>$B:$C</t>
  </si>
  <si>
    <t>$D$8:$H$12</t>
  </si>
  <si>
    <t>$D$8:$H$9</t>
  </si>
  <si>
    <t>$D$10:$H$14</t>
  </si>
  <si>
    <t>$F$13</t>
  </si>
  <si>
    <t>$D$16:$H$126</t>
  </si>
  <si>
    <t>$D$11:$H$121</t>
  </si>
  <si>
    <t>$1:$1</t>
  </si>
  <si>
    <t>$6:$6</t>
  </si>
  <si>
    <t>$H:$J</t>
  </si>
  <si>
    <t>$M$13</t>
  </si>
  <si>
    <t>$F$48</t>
  </si>
  <si>
    <t xml:space="preserve">Actual or estimated refrigerant charge per unit, in kilograms
</t>
  </si>
  <si>
    <t>Actual or estimated refrigerant charge per unit, in kilograms
Provide total consumed in a year</t>
  </si>
  <si>
    <t>Actual or estimated refrigerant charge per unit, in kilograms
Provide total consumed for the year</t>
  </si>
  <si>
    <t>$M$12</t>
  </si>
  <si>
    <t>$M$14</t>
  </si>
  <si>
    <t>$P$13</t>
  </si>
  <si>
    <t>$N$9</t>
  </si>
  <si>
    <t>$F$62</t>
  </si>
  <si>
    <t>Name or identifier of what is being billed (e.g., customer name as reflected in the electricity bill or building name)</t>
  </si>
  <si>
    <t>Name or identifier of unit being billed (e.g., customer name as reflected in the electricity bill or building name)</t>
  </si>
  <si>
    <t>$F$89</t>
  </si>
  <si>
    <t>$F$97</t>
  </si>
  <si>
    <t>$E$75</t>
  </si>
  <si>
    <t>$J:$J</t>
  </si>
  <si>
    <t>$I$7</t>
  </si>
  <si>
    <t>$I$8:$I$106</t>
  </si>
  <si>
    <t>$I$8</t>
  </si>
  <si>
    <t>$N$8</t>
  </si>
  <si>
    <t>$E$89</t>
  </si>
  <si>
    <t>Facility/Building</t>
  </si>
  <si>
    <t>$E$97</t>
  </si>
  <si>
    <t>$E$62</t>
  </si>
  <si>
    <t>$I$9:$I$106</t>
  </si>
  <si>
    <t>$75:$75</t>
  </si>
  <si>
    <t>$F$29</t>
  </si>
  <si>
    <t>Vehicles that fall within organizational boundary such as:
1. Armored vehicles
2. Multi-purpose vehicles 
3. Sport utility vehicles 
4. Vans
5. Mini bus
6. Others</t>
  </si>
  <si>
    <t>$J$7</t>
  </si>
  <si>
    <t>$K$15:$K$22</t>
  </si>
  <si>
    <t>$S$15:$S$32</t>
  </si>
  <si>
    <t>$A$27:$D$35</t>
  </si>
  <si>
    <t>$K$7</t>
  </si>
  <si>
    <t>$L$7</t>
  </si>
  <si>
    <t>State</t>
  </si>
  <si>
    <t>$I$9:$V$9</t>
  </si>
  <si>
    <t>$I$9:$V$108</t>
  </si>
  <si>
    <t>$I$10:$V$109</t>
  </si>
  <si>
    <t>$O$7</t>
  </si>
  <si>
    <t>Column1</t>
  </si>
  <si>
    <t>$P$7</t>
  </si>
  <si>
    <t>Column2</t>
  </si>
  <si>
    <t>$R$7</t>
  </si>
  <si>
    <t>Column3</t>
  </si>
  <si>
    <t>$T$7</t>
  </si>
  <si>
    <t>Column4</t>
  </si>
  <si>
    <t>$U$7</t>
  </si>
  <si>
    <t>Column5</t>
  </si>
  <si>
    <t>$N:$N</t>
  </si>
  <si>
    <t>$I$108:$V$108</t>
  </si>
  <si>
    <t>$W:$W</t>
  </si>
  <si>
    <t>$W$7</t>
  </si>
  <si>
    <t>$T$9:$T$107</t>
  </si>
  <si>
    <t>$R$10:$R$107</t>
  </si>
  <si>
    <t>$R$9</t>
  </si>
  <si>
    <t>$M$9</t>
  </si>
  <si>
    <t>$P$10</t>
  </si>
  <si>
    <t>$P$9</t>
  </si>
  <si>
    <t>$M$10</t>
  </si>
  <si>
    <t>$M$11</t>
  </si>
  <si>
    <t>$T$9</t>
  </si>
  <si>
    <t>$U$9</t>
  </si>
  <si>
    <t>$V$9</t>
  </si>
  <si>
    <t>$M$16</t>
  </si>
  <si>
    <t>$W$9</t>
  </si>
  <si>
    <t>$L$8</t>
  </si>
  <si>
    <t>$W$108</t>
  </si>
  <si>
    <t>$W$9:$W$107</t>
  </si>
  <si>
    <t>$T$16</t>
  </si>
  <si>
    <t>$D$15</t>
  </si>
  <si>
    <t>$D$16</t>
  </si>
  <si>
    <t>$B$15</t>
  </si>
  <si>
    <t>$B$16</t>
  </si>
  <si>
    <t>Existing</t>
  </si>
  <si>
    <t>$B$17</t>
  </si>
  <si>
    <t>New Installation</t>
  </si>
  <si>
    <t>$L$10</t>
  </si>
  <si>
    <t>$K$10</t>
  </si>
  <si>
    <t>$O$10</t>
  </si>
  <si>
    <t>$E$15:$G$15</t>
  </si>
  <si>
    <t>$E$15</t>
  </si>
  <si>
    <t>$D$15:$D$17</t>
  </si>
  <si>
    <t>$D$15:$E$15</t>
  </si>
  <si>
    <t>$E$15:$E$17</t>
  </si>
  <si>
    <t>$F$15</t>
  </si>
  <si>
    <t>$F$16</t>
  </si>
  <si>
    <t>$E$16</t>
  </si>
  <si>
    <t>$E$17</t>
  </si>
  <si>
    <t>$F$15:$F$17</t>
  </si>
  <si>
    <t>$G$15:$G$17</t>
  </si>
  <si>
    <t>$G$15</t>
  </si>
  <si>
    <t>$G$16</t>
  </si>
  <si>
    <t>$K$9</t>
  </si>
  <si>
    <t>$D$17</t>
  </si>
  <si>
    <t>$D$15:$G$15</t>
  </si>
  <si>
    <t>$J$11</t>
  </si>
  <si>
    <t>$K$11</t>
  </si>
  <si>
    <t>$L$11</t>
  </si>
  <si>
    <t>$R$11</t>
  </si>
  <si>
    <t>$K$12</t>
  </si>
  <si>
    <t>$L$12</t>
  </si>
  <si>
    <t>$O$12</t>
  </si>
  <si>
    <t>$I$108:$X$108</t>
  </si>
  <si>
    <t>$Y$13:$Y$29</t>
  </si>
  <si>
    <t>$AF$13:$AF$23</t>
  </si>
  <si>
    <t>$I$3:$AE$5</t>
  </si>
  <si>
    <t>$R$8</t>
  </si>
  <si>
    <t>$T$8</t>
  </si>
  <si>
    <t>$E$47</t>
  </si>
  <si>
    <t>$F$47</t>
  </si>
  <si>
    <t>Select the current (as of reporting year) state of the equipment:
1. New installation – recently installed
2. In operation – actively used and maintained
3. Disposed – decommissioned or permanently taken out of use</t>
  </si>
  <si>
    <t>$E$49</t>
  </si>
  <si>
    <t>$F$49</t>
  </si>
  <si>
    <t>Monthwhen equipment/refrigerant was purchased/installed</t>
  </si>
  <si>
    <t>$48:$48</t>
  </si>
  <si>
    <t>$D$48:$H$48</t>
  </si>
  <si>
    <t>$D$50</t>
  </si>
  <si>
    <t>$E$50</t>
  </si>
  <si>
    <t>$F$50</t>
  </si>
  <si>
    <t>Sum of the full capacity for all units</t>
  </si>
  <si>
    <t>$Q:$Q</t>
  </si>
  <si>
    <t>$50:$50</t>
  </si>
  <si>
    <t>$D$49</t>
  </si>
  <si>
    <t>$D$49:$D$55</t>
  </si>
  <si>
    <t>$D$49:$D$54</t>
  </si>
  <si>
    <t>$51:$51</t>
  </si>
  <si>
    <t>$E$51</t>
  </si>
  <si>
    <t>$F$51</t>
  </si>
  <si>
    <t>Gas added to the unit, in kilograms</t>
  </si>
  <si>
    <t>$G$51:$H$51</t>
  </si>
  <si>
    <t>$G$48:$H$48</t>
  </si>
  <si>
    <t>$52:$52</t>
  </si>
  <si>
    <t>$D$50:$D$53</t>
  </si>
  <si>
    <t>$53:$53</t>
  </si>
  <si>
    <t>$E$53</t>
  </si>
  <si>
    <t>$F$53</t>
  </si>
  <si>
    <t>$D$52:$D$55</t>
  </si>
  <si>
    <t>$G$53:$H$53</t>
  </si>
  <si>
    <t>$D$73:$D$78</t>
  </si>
  <si>
    <t>$B$20:$G$31</t>
  </si>
  <si>
    <t>$B$22:$G$33</t>
  </si>
  <si>
    <t>Summary of Waste Recovered</t>
  </si>
  <si>
    <t>$B$18:$B$19</t>
  </si>
  <si>
    <t>$B$19:$B$20</t>
  </si>
  <si>
    <t>$C$18:$C$20</t>
  </si>
  <si>
    <t>$D$15:$D$20</t>
  </si>
  <si>
    <t>$D$19</t>
  </si>
  <si>
    <t>$E$15:$E$20</t>
  </si>
  <si>
    <t>$L$9</t>
  </si>
  <si>
    <t>Residual</t>
  </si>
  <si>
    <t>$L$13</t>
  </si>
  <si>
    <t>$L$14</t>
  </si>
  <si>
    <t>$F$15:$F$20</t>
  </si>
  <si>
    <t>$F$17</t>
  </si>
  <si>
    <t>$F$20</t>
  </si>
  <si>
    <t>$G$15:$G$20</t>
  </si>
  <si>
    <t>$G$17</t>
  </si>
  <si>
    <t>Select the appropriate vehicle type from the dropdown list:
1. Armored vehicles
2. Multi-purpose vehicles 
3. Sport utility vehicles 
4. Vans
5. Mini bus
6. Others</t>
  </si>
  <si>
    <t>$34:$34</t>
  </si>
  <si>
    <t>$D$34:$D$36</t>
  </si>
  <si>
    <t>$X:$AD</t>
  </si>
  <si>
    <t>$S$16</t>
  </si>
  <si>
    <t>$Q$2</t>
  </si>
  <si>
    <t>Monthly Waste Recovery Methods (Additional note/s)</t>
  </si>
  <si>
    <t>$D$107</t>
  </si>
  <si>
    <t>$E$105</t>
  </si>
  <si>
    <t>$E$106</t>
  </si>
  <si>
    <t>$I$6:$W$105</t>
  </si>
  <si>
    <t>$I$7:$W$106</t>
  </si>
  <si>
    <t>$I$6</t>
  </si>
  <si>
    <t>$Q$6:$W$6</t>
  </si>
  <si>
    <t>$Q$6</t>
  </si>
  <si>
    <t>Waste Recovery</t>
  </si>
  <si>
    <t>$E$107</t>
  </si>
  <si>
    <t>$E$113</t>
  </si>
  <si>
    <t>Disposal Method</t>
  </si>
  <si>
    <t>$E$112</t>
  </si>
  <si>
    <t>$115:$122</t>
  </si>
  <si>
    <t>$D$108:$D$114</t>
  </si>
  <si>
    <t>$D$115</t>
  </si>
  <si>
    <t>$D$116:$D$122</t>
  </si>
  <si>
    <t>$E$108</t>
  </si>
  <si>
    <t>$E$114</t>
  </si>
  <si>
    <t>$E$116:$E$122</t>
  </si>
  <si>
    <t>$E$121</t>
  </si>
  <si>
    <t>Recovert Method</t>
  </si>
  <si>
    <t>Recovery Method</t>
  </si>
  <si>
    <t>$F$113</t>
  </si>
  <si>
    <t>Select the Disposal method:
1. LGU garbage collection
2. Other disposal operations
Recovery:
1. Recycling service provider
2. Composting
4. In-house recycling/repurposing
5. Incineration with energy recovery</t>
  </si>
  <si>
    <t>Select the Disposal method:
1. LGU garbage collection
2. Other disposal operations</t>
  </si>
  <si>
    <t>Select the waste disposal method:
1. LGU garbage collection
2. Other disposal operations</t>
  </si>
  <si>
    <t>$F$121</t>
  </si>
  <si>
    <t>Recovery:
1. Recycling service provider
2. Composting
4. In-house recycling/repurposing
5. Incineration with energy recovery</t>
  </si>
  <si>
    <t>Select the waste recovery method:
1. Recycling service provider
2. Composting
4. In-house recycling/repurposing
5. Incineration with energy recovery</t>
  </si>
  <si>
    <t>$J$113:$J$117</t>
  </si>
  <si>
    <t xml:space="preserve">Select the waste disposal method:
1. LGU garbage collection
2. Waste treatment company
3. </t>
  </si>
  <si>
    <t>$J$115</t>
  </si>
  <si>
    <t>Incineration (w/o energy recovery)</t>
  </si>
  <si>
    <t>Select the waste disposal method:
1. LGU garbage collection
2. Waste treatment company
3. Incineration (w/o energy recovery)</t>
  </si>
  <si>
    <t xml:space="preserve">Select the waste disposal method:
1. LGU garbage collection
2. Waste treatment company
3. Incineration (w/o energy recovery)
</t>
  </si>
  <si>
    <t>$J$116</t>
  </si>
  <si>
    <t>Select the waste disposal method:
1. LGU garbage collection
2. Waste treatment company
3. Incineration (w/o energy recovery)
4. Auction/Donation
5. Others</t>
  </si>
  <si>
    <t>$J$111:$J$120</t>
  </si>
  <si>
    <t>Select the waste disposal method:
1. LGU garbage collection
2. Waste treatment company
3. Incineration (w/o energy recovery)
4. Auction/Donation
5. Others</t>
  </si>
  <si>
    <t>Select the waste recovery method:
1. Recycling service provider
2. Composting
4. In-house recycling/repurposing
5. Incineration with energy recovery</t>
  </si>
  <si>
    <t>$J$114:$J$118</t>
  </si>
  <si>
    <t>Select the waste recovery method:
1. Recycling service provider
2. Composting
4. In-house recycling/repurposing
5. Incineration with energy recovery
6. Others</t>
  </si>
  <si>
    <t>Select the waste recovery method:
1. Recycling service provider
2. Composting
3. In-house recycling/repurposing
4. Incineration with energy recovery
5. Others</t>
  </si>
  <si>
    <t>$J$113:$J$119</t>
  </si>
  <si>
    <t>$D$56</t>
  </si>
  <si>
    <t>$S$16:$U$16</t>
  </si>
  <si>
    <t>$E$46</t>
  </si>
  <si>
    <t>$F$46</t>
  </si>
  <si>
    <t>Select the current (as of reporting year) status of the equipment:
1. New installation – recently installed
2. In operation – actively used and maintained
3. Disposed – decommissioned or permanently taken out of use</t>
  </si>
  <si>
    <t>Select the status of the equipment as of the reporting period:
1. New installation – recently installed
2. In operation – actively used and maintained
3. Disposed – decommissioned or permanently taken out of use</t>
  </si>
  <si>
    <t>$Q$8</t>
  </si>
  <si>
    <t>$S$8</t>
  </si>
  <si>
    <t>$D$12:$D$13</t>
  </si>
  <si>
    <t>x</t>
  </si>
  <si>
    <t>$D$13</t>
  </si>
  <si>
    <t>$D$13:$G$13</t>
  </si>
  <si>
    <t>$B$28</t>
  </si>
  <si>
    <t>$B$30:$B$33</t>
  </si>
  <si>
    <t>$B$32:$B$35</t>
  </si>
  <si>
    <t>$B$28:$B$29</t>
  </si>
  <si>
    <t>$C$27:$C$29</t>
  </si>
  <si>
    <t>$D$24</t>
  </si>
  <si>
    <t>$D$24:$G$24</t>
  </si>
  <si>
    <t>$E$24</t>
  </si>
  <si>
    <t>$D$24:$D$29</t>
  </si>
  <si>
    <t>$D$25</t>
  </si>
  <si>
    <t>$D$26</t>
  </si>
  <si>
    <t>$E$24:$G$24</t>
  </si>
  <si>
    <t>$F$24</t>
  </si>
  <si>
    <t>$E$24:$E$29</t>
  </si>
  <si>
    <t>$F$24:$F$29</t>
  </si>
  <si>
    <t>$G$24:$G$29</t>
  </si>
  <si>
    <t>$G$26</t>
  </si>
  <si>
    <t>$E$25</t>
  </si>
  <si>
    <t>$E$26</t>
  </si>
  <si>
    <t>$E$25:$G$25</t>
  </si>
  <si>
    <t>$F$25</t>
  </si>
  <si>
    <t>$E$26:$G$26</t>
  </si>
  <si>
    <t>$E$27:$G$27</t>
  </si>
  <si>
    <t>$E$28:$G$29</t>
  </si>
  <si>
    <t>$E$28</t>
  </si>
  <si>
    <t>$E$29</t>
  </si>
  <si>
    <t>$G$28</t>
  </si>
  <si>
    <t>$Q$8:$Y$17</t>
  </si>
  <si>
    <t>$I$8:$O$18</t>
  </si>
  <si>
    <t>$E$26:$J$28</t>
  </si>
  <si>
    <t>$E$26:$J$30</t>
  </si>
  <si>
    <t>$AK$10</t>
  </si>
  <si>
    <t>EV-Sedan</t>
  </si>
  <si>
    <t>$AK$11</t>
  </si>
  <si>
    <t>EV-SUV</t>
  </si>
  <si>
    <t>$B$16:$B$19</t>
  </si>
  <si>
    <t>$B$10:$B$17</t>
  </si>
  <si>
    <t>$B$11:$B$18</t>
  </si>
  <si>
    <t>$B$15:$B$18</t>
  </si>
  <si>
    <t>$B$10</t>
  </si>
  <si>
    <t>$F$19</t>
  </si>
  <si>
    <t>Amount of fuel consumed for the whole BSP facility</t>
  </si>
  <si>
    <t>EV/Hybrid-Sedan</t>
  </si>
  <si>
    <t>EV/Hybrid-SUV</t>
  </si>
  <si>
    <t>$F$28</t>
  </si>
  <si>
    <t>Select the appropriate vehicle type from the dropdown list:
1. Armored vehicles
2. Multi-purpose vehicles 
3. Sport utility vehicles 
4. Vans
5. Mini bus
6. EV/Hybrid-Sedan
7. Battery Electric Vehicle (BEV)
8. Others</t>
  </si>
  <si>
    <t>Select the appropriate vehicle type from the dropdown list:
1. Armored vehicles
2. Multi-purpose vehicles 
3. Sport utility vehicles (SUV)
4. Vans
5. Mini bus
6. EV/Hybrid-Sedan
7. EV/Hybrid-SUV
8. Others</t>
  </si>
  <si>
    <t>Select the appropriate vehicle type from the dropdown list:
1. Armored vehicles
2. Sedan
2. Multi-purpose vehicles 
3. Sport utility vehicles (SUV)
4. Vans
5. Mini bus
6. EV/Hybrid-Sedan
7. EV/Hybrid-SUV
8. Others</t>
  </si>
  <si>
    <t>Select the appropriate vehicle type from the dropdown list:
1. Armored vehicles
2. Sedan
3. Multi-purpose vehicles 
4. Sport utility vehicles (SUV)
5. Vans
6. Mini bus
7. EV/Hybrid-Sedan
8. EV/Hybrid-SUV
9. Others</t>
  </si>
  <si>
    <t>Amount of fuel consumed per fuel type for the whole BSP facility</t>
  </si>
  <si>
    <t>Select the appropriate vehicle type from the dropdown list:
1. Armored vehicles
2. Sedan
3. Multi-purpose vehicles 
4. Sport utility vehicles (SUV)
5. Vans
6. Mini bus/coaster
7. Hybrid-Sedan
8. Hybrid-SUV
9. Others</t>
  </si>
  <si>
    <t>$A$27:$E$35</t>
  </si>
  <si>
    <t>$J$9</t>
  </si>
  <si>
    <t>$F$65</t>
  </si>
  <si>
    <t>$F$91</t>
  </si>
  <si>
    <t>$B$9</t>
  </si>
  <si>
    <t>$F$110</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</si>
  <si>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Residual/Landfill - other non-compostable and non-recyclable waste</t>
  </si>
  <si>
    <t>$32:$34</t>
  </si>
  <si>
    <t>$31:$31</t>
  </si>
  <si>
    <t>$32:$36</t>
  </si>
  <si>
    <t>$C$32</t>
  </si>
  <si>
    <t>$C$33</t>
  </si>
  <si>
    <t>$D$34</t>
  </si>
  <si>
    <t>$C$34</t>
  </si>
  <si>
    <t>$D$33</t>
  </si>
  <si>
    <t>$E$34</t>
  </si>
  <si>
    <t>$12:$12</t>
  </si>
  <si>
    <t>$C$12</t>
  </si>
  <si>
    <t>$D$12</t>
  </si>
  <si>
    <t>$D$12:$G$12</t>
  </si>
  <si>
    <t>$C$48:$E$48</t>
  </si>
  <si>
    <t>$C$49:$E$49</t>
  </si>
  <si>
    <t>$D$70</t>
  </si>
  <si>
    <t>2.3b Renewable Energy - Solar</t>
  </si>
  <si>
    <t>$P:$P</t>
  </si>
  <si>
    <t>$P$2:$P$110</t>
  </si>
  <si>
    <t>$O$2:$O$4</t>
  </si>
  <si>
    <t>$O$5</t>
  </si>
  <si>
    <t>$I$8:$I$23</t>
  </si>
  <si>
    <t>$K$8:$K$23</t>
  </si>
  <si>
    <t>$I$9</t>
  </si>
  <si>
    <t>$I$9:$I$104</t>
  </si>
  <si>
    <t>$B$6</t>
  </si>
  <si>
    <t>$D$3:$G$3</t>
  </si>
  <si>
    <t>$F$111</t>
  </si>
  <si>
    <t>Select the waste disposal/recovery method:
1. LGU garbage collection
2. Waste treatment company
3. Recycling service provider
4. Composting
5. In-house recycling/repurposing
6. Auction/Donation
7. Others</t>
  </si>
  <si>
    <t>$I$3</t>
  </si>
  <si>
    <t>$I$4</t>
  </si>
  <si>
    <t>Accomplish this sheet only if the BSP facility has solar panels</t>
  </si>
  <si>
    <t>$E$43</t>
  </si>
  <si>
    <t>$A$27:$C$33</t>
  </si>
  <si>
    <t>Distribution Utility</t>
  </si>
  <si>
    <t>Grid</t>
  </si>
  <si>
    <t>Region</t>
  </si>
  <si>
    <t>Abra Electric Cooperative, Inc.</t>
  </si>
  <si>
    <t>EC-CDA</t>
  </si>
  <si>
    <t>Luzon</t>
  </si>
  <si>
    <t>CAR</t>
  </si>
  <si>
    <t>Angeles Electric Corporation</t>
  </si>
  <si>
    <t>PIOU</t>
  </si>
  <si>
    <t>Region 3</t>
  </si>
  <si>
    <t>Aklan Electric Cooperative, Inc.</t>
  </si>
  <si>
    <t>NEA-EC</t>
  </si>
  <si>
    <t>Region 6</t>
  </si>
  <si>
    <t>Albay Electric Cooperative, Inc./Albay Power Energy Corporation</t>
  </si>
  <si>
    <t>Region 5</t>
  </si>
  <si>
    <t>Agusan del Norte Electric Cooperative, Inc.</t>
  </si>
  <si>
    <t>CARAGA</t>
  </si>
  <si>
    <t>Antique Electric Cooperative, Inc.</t>
  </si>
  <si>
    <t>Agusan del Sur Electric Cooperative, Inc.</t>
  </si>
  <si>
    <t>Aurora Electric Cooperative, Inc.</t>
  </si>
  <si>
    <t>Bantayan Electric Cooperative, Inc.</t>
  </si>
  <si>
    <t>SPUG-EC</t>
  </si>
  <si>
    <t>Region 7</t>
  </si>
  <si>
    <t>Banton/ROMELCO</t>
  </si>
  <si>
    <t>Banton Electric System/Romblon Electric Cooperative, Inc.</t>
  </si>
  <si>
    <t>LGUOU</t>
  </si>
  <si>
    <t>Region 4B</t>
  </si>
  <si>
    <t>Basilan Electric Cooperative, Inc.</t>
  </si>
  <si>
    <t>ARMM</t>
  </si>
  <si>
    <t>Batanes Electric Cooperative, Inc.</t>
  </si>
  <si>
    <t>Region 2</t>
  </si>
  <si>
    <t>Batangas I Electric Cooperative, Inc.</t>
  </si>
  <si>
    <t>Region 4A</t>
  </si>
  <si>
    <t>Batangas II Electric Cooperative, Inc.</t>
  </si>
  <si>
    <t>Benguet Electric Cooperative, Inc.</t>
  </si>
  <si>
    <t>Balamban Enerzone Corporation</t>
  </si>
  <si>
    <t>Biliran Electric Cooperative, Inc.</t>
  </si>
  <si>
    <t>Region 8</t>
  </si>
  <si>
    <t>Busuanga Island Electric Cooperative, Inc</t>
  </si>
  <si>
    <t>Bohol Light Company, Inc.</t>
  </si>
  <si>
    <t>Bohol I Electric Cooperative, Inc.</t>
  </si>
  <si>
    <t>Bohol II Electric Cooperative, Inc.</t>
  </si>
  <si>
    <t>Bumbaran Electric Cooperative, Inc.</t>
  </si>
  <si>
    <t>Bukidnon II Electric Cooperative, Inc.</t>
  </si>
  <si>
    <t>Region 10</t>
  </si>
  <si>
    <t>Cagayan I Electric Cooperative, Inc.</t>
  </si>
  <si>
    <t>Cagayan II Electric Cooperative, Inc.</t>
  </si>
  <si>
    <t>Camiguin Electric Cooperative, Inc.</t>
  </si>
  <si>
    <t>Camarines Norte Electric Cooperative, Inc</t>
  </si>
  <si>
    <t>Capiz Electric Cooperative, Inc.</t>
  </si>
  <si>
    <t>Cagayan de Sulu Electric Cooperative, Inc.</t>
  </si>
  <si>
    <t>Camarines Sur I Electric Cooperative, Inc</t>
  </si>
  <si>
    <t>Camarines Sur II Electric Cooperative, Inc</t>
  </si>
  <si>
    <t>Camarines Sur III Electric Cooperative, Inc</t>
  </si>
  <si>
    <t>Camarines Sur IV Electric Cooperative, Inc</t>
  </si>
  <si>
    <t>Cebu I Electric Cooperative, Inc.</t>
  </si>
  <si>
    <t>Cebu II Electric Cooperative, Inc.</t>
  </si>
  <si>
    <t>Cebu III Electric Cooperative, Inc.</t>
  </si>
  <si>
    <t>Clark Electric Distribution Corporation</t>
  </si>
  <si>
    <t>Camotes Electric Cooperative, Inc.</t>
  </si>
  <si>
    <t>Cabanatuan Electric Corporation</t>
  </si>
  <si>
    <t>Central Negros Electric Cooperative, Inc.</t>
  </si>
  <si>
    <t>Central Pangasinan Electric Cooperative, Inc.</t>
  </si>
  <si>
    <t>Region 1</t>
  </si>
  <si>
    <t>Cagayan Electric Power and Light Company, Inc.</t>
  </si>
  <si>
    <t>Cotabato Light and Power Company</t>
  </si>
  <si>
    <t>Region 12</t>
  </si>
  <si>
    <t>Concepcion Electric System</t>
  </si>
  <si>
    <t>Corcuera Electric System</t>
  </si>
  <si>
    <t>Cotabato Electric Cooperative, Inc.</t>
  </si>
  <si>
    <t>Cotabato Electric Cooperative, Inc. - PPALMA</t>
  </si>
  <si>
    <t>Davao del Norte Electric Cooperative, Inc.</t>
  </si>
  <si>
    <t>Region 11</t>
  </si>
  <si>
    <t>Davao del Sur Electric Cooperative, Inc.</t>
  </si>
  <si>
    <t>Dagupan Electric Corporation</t>
  </si>
  <si>
    <t>Dinagat Island Electric Cooperative, Inc.</t>
  </si>
  <si>
    <t>Davao Light and Power Company</t>
  </si>
  <si>
    <t>Davao Oriental Electric Cooperative, Inc.</t>
  </si>
  <si>
    <t>Don Orestes Romualdez, Electric Cooperative, Inc.</t>
  </si>
  <si>
    <t>Eastern Samar Electric Cooperative, Inc.</t>
  </si>
  <si>
    <t>First Bay Power Corporation</t>
  </si>
  <si>
    <t>First Bukidnon Electric Cooperative, Inc.</t>
  </si>
  <si>
    <t>First Catanduanes Electric Cooperative, Inc.</t>
  </si>
  <si>
    <t>First Laguna Electric Cooperative, Inc.</t>
  </si>
  <si>
    <t>Guimaras Electric Cooperative, Inc.</t>
  </si>
  <si>
    <t>Hilabaan Fishermen's Multi-Purpose Cooperative</t>
  </si>
  <si>
    <t>MPC</t>
  </si>
  <si>
    <t>IEEC</t>
  </si>
  <si>
    <t>Ibaan Electric and Engineering Corporation</t>
  </si>
  <si>
    <t>Ifugao Electric Cooperative, Inc.</t>
  </si>
  <si>
    <t>Iloilo I Electric Cooperative, Inc.</t>
  </si>
  <si>
    <t>Iloilo II Electric Cooperative, Inc.</t>
  </si>
  <si>
    <t>Iloilo III Electric Cooperative, Inc.</t>
  </si>
  <si>
    <t>Iligan Light and Power, Inc.</t>
  </si>
  <si>
    <t>Ilocos Norte Electric Cooperative, Inc.</t>
  </si>
  <si>
    <t>Ilocos Sur Electric Cooperative, Inc.</t>
  </si>
  <si>
    <t>Isabela I Electric Cooperative, Inc.</t>
  </si>
  <si>
    <t>Isabela II Electric Cooperative, Inc.</t>
  </si>
  <si>
    <t>Kalinga-Apayao Electric Cooperative, Inc.</t>
  </si>
  <si>
    <t>Lanao del Norte Electric Cooperative, Inc.</t>
  </si>
  <si>
    <t>Lanao del Sur Electric Cooperative, Inc.</t>
  </si>
  <si>
    <t>Leyte II Electric Cooperative, Inc.</t>
  </si>
  <si>
    <t>Leyte III Electric Cooperative, Inc.</t>
  </si>
  <si>
    <t>Leyte IV Electric Cooperative, Inc.</t>
  </si>
  <si>
    <t>Leyte V Electric Cooperative, Inc.</t>
  </si>
  <si>
    <t>Lima Enerzone Corporation</t>
  </si>
  <si>
    <t>Region IV A</t>
  </si>
  <si>
    <t>Lubang Electric Cooperative, Inc</t>
  </si>
  <si>
    <t>La Union Electric Company, Inc.</t>
  </si>
  <si>
    <t>La Union Electric Cooperative, Inc.</t>
  </si>
  <si>
    <t>Maguindanao Electric Cooperative, Inc.</t>
  </si>
  <si>
    <t>Marinduque Electric Cooperative, Inc</t>
  </si>
  <si>
    <t>Masbate Electric Cooperative, Inc</t>
  </si>
  <si>
    <t>Mactan Electric Company, Inc.</t>
  </si>
  <si>
    <t>More Electric and Power Corporation</t>
  </si>
  <si>
    <t>Manila Electric Company</t>
  </si>
  <si>
    <t>NCR</t>
  </si>
  <si>
    <t>Mactan Enerzone Corporation</t>
  </si>
  <si>
    <t>Maripipi Multi-Purpose Electric Cooperative</t>
  </si>
  <si>
    <t>Misamis Occidental I Electric Cooperative, Inc.</t>
  </si>
  <si>
    <t>Misamis Occidental II Electric Cooperative, Inc.</t>
  </si>
  <si>
    <t>Mountain Province Electric Cooperative, Inc.</t>
  </si>
  <si>
    <t>Misamis Oriental I Rural Electric Cooperative, Inc.</t>
  </si>
  <si>
    <t>Misamis Oriental II Electric Cooperative, Inc.</t>
  </si>
  <si>
    <t>Nueva Ecija I Electric Cooperative, Inc.</t>
  </si>
  <si>
    <t>Nueva Ecija II Electric Cooperative, Inc.(Area 1)</t>
  </si>
  <si>
    <t>Nueva Ecija II Electric Cooperative, Inc.(Area 2)</t>
  </si>
  <si>
    <t>Negros Occidental Electric Cooperative, Inc.</t>
  </si>
  <si>
    <t>Northern Negros Electric Cooperative, Inc.</t>
  </si>
  <si>
    <t>Negros Oriental I Electric Cooperative, Inc.</t>
  </si>
  <si>
    <t>Negros Oriental II Electric Cooperative, Inc.</t>
  </si>
  <si>
    <t>Northern Samar Electric Cooperative, Inc.</t>
  </si>
  <si>
    <t>Nueva Vizcaya Electric Cooperative, Inc.</t>
  </si>
  <si>
    <t>Olongapo Electricity Distribution Company, Inc.</t>
  </si>
  <si>
    <t>Occidental Mindoro Electric Cooperative, Inc</t>
  </si>
  <si>
    <t>Oriental Mindoro Electric Cooperative, Inc</t>
  </si>
  <si>
    <t>Palawan Electric Cooperative, Inc</t>
  </si>
  <si>
    <t>SPUG-EC CDA</t>
  </si>
  <si>
    <t>Pantabangan Municipal Electric System</t>
  </si>
  <si>
    <t>Pangasinan I Electric Cooperative, Inc.</t>
  </si>
  <si>
    <t>Pangasinan III Electric Cooperative, Inc.</t>
  </si>
  <si>
    <t>Pampanga I Electric Cooperative, Inc.</t>
  </si>
  <si>
    <t>Pampanga II Electric Cooperative, Inc.</t>
  </si>
  <si>
    <t>Pampanga III Electric Cooperative, Inc.</t>
  </si>
  <si>
    <t>Peninsula Electric Cooperative, Inc.</t>
  </si>
  <si>
    <t>Pampanga Rural Electric Service Cooperative, Inc.</t>
  </si>
  <si>
    <t>Province of Siquijor Electric Cooperative, Inc.</t>
  </si>
  <si>
    <t>Quezon I Electric Cooperative, Inc</t>
  </si>
  <si>
    <t>Quezon II Electric Cooperative, Inc</t>
  </si>
  <si>
    <t>Quirino Electric Cooperative, Inc.</t>
  </si>
  <si>
    <t>Romblon Electric Cooperative, Inc</t>
  </si>
  <si>
    <t>San Jose City Electric Cooperative, Inc.</t>
  </si>
  <si>
    <t>Samar I Electric Cooperative, Inc.</t>
  </si>
  <si>
    <t>Samar II Electric Cooperative, Inc.</t>
  </si>
  <si>
    <t>Subic Enerzone Corporation</t>
  </si>
  <si>
    <t>San Fernando Electric and Power Company, Inc.</t>
  </si>
  <si>
    <t>Siargao Electric Cooperative, Inc.</t>
  </si>
  <si>
    <t>Siasi Electric Cooperative, Inc.</t>
  </si>
  <si>
    <t>South Cotabato I Electric Cooperative, Inc.</t>
  </si>
  <si>
    <t>South Cotabato II Electric Cooperative, Inc.</t>
  </si>
  <si>
    <t>Southern Leyte Electric Cooperative, Inc.</t>
  </si>
  <si>
    <t>Sorsogon I Electric Cooperative, Inc</t>
  </si>
  <si>
    <t>Sorsogon II Electric Cooperative, Inc</t>
  </si>
  <si>
    <t>Sultan Kudarat Electric Cooperative, Inc.</t>
  </si>
  <si>
    <t>Sulu Electric Cooperative, Inc.</t>
  </si>
  <si>
    <t>Surigao del Norte Electric Cooperative, Inc.</t>
  </si>
  <si>
    <t>Surigao del Sur I Electric Cooperative, Inc.</t>
  </si>
  <si>
    <t>Surigao del Sur II Electric Cooperative, Inc.</t>
  </si>
  <si>
    <t>Tarlac I Electric Cooperative, Inc.</t>
  </si>
  <si>
    <t>Tarlac II Electric Cooperative, Inc.</t>
  </si>
  <si>
    <t>Tawi-tawi Electric Cooperative, Inc.</t>
  </si>
  <si>
    <t>Tarlac Electric, Inc</t>
  </si>
  <si>
    <t>Tabas Island Electric Cooperative, Inc</t>
  </si>
  <si>
    <t>Ticao Island Electric Cooperative, Inc.</t>
  </si>
  <si>
    <t>Visayan Electric Company, Inc.</t>
  </si>
  <si>
    <t>Zamboanga City Electric Cooperative, Inc.</t>
  </si>
  <si>
    <t>Region 9</t>
  </si>
  <si>
    <t>Zambales I Electric Cooperative, Inc.</t>
  </si>
  <si>
    <t>Zambales II Electric Cooperative, Inc.</t>
  </si>
  <si>
    <t>Zamboanga del Sur I Electric Cooperative, Inc.</t>
  </si>
  <si>
    <t>Zamboanga del Sur II Electric Cooperative, Inc.</t>
  </si>
  <si>
    <t>Zamboanga del Norte Electric Cooperative, Inc.</t>
  </si>
  <si>
    <t>GRI</t>
  </si>
  <si>
    <t>GRI Metrics</t>
  </si>
  <si>
    <t xml:space="preserve">Sample Report Metrics (Givaudan) </t>
  </si>
  <si>
    <t>Fuel</t>
  </si>
  <si>
    <t>305: Emissions p.669</t>
  </si>
  <si>
    <t>same as Givaudan</t>
  </si>
  <si>
    <r>
      <rPr>
        <b/>
        <sz val="11"/>
        <color theme="1"/>
        <rFont val="Calibri"/>
        <family val="2"/>
        <scheme val="minor"/>
      </rPr>
      <t>Scope 1</t>
    </r>
    <r>
      <rPr>
        <sz val="11"/>
        <color theme="1"/>
        <rFont val="Calibri"/>
        <family val="2"/>
        <scheme val="minor"/>
      </rPr>
      <t xml:space="preserve">
From direct energy sources
From biogenic sources
</t>
    </r>
    <r>
      <rPr>
        <b/>
        <sz val="11"/>
        <color theme="1"/>
        <rFont val="Calibri"/>
        <family val="2"/>
        <scheme val="minor"/>
      </rPr>
      <t>Scope 2</t>
    </r>
    <r>
      <rPr>
        <sz val="11"/>
        <color theme="1"/>
        <rFont val="Calibri"/>
        <family val="2"/>
        <scheme val="minor"/>
      </rPr>
      <t xml:space="preserve">
From indirect energy sources
From biogenic sources
</t>
    </r>
    <r>
      <rPr>
        <b/>
        <sz val="11"/>
        <color theme="1"/>
        <rFont val="Calibri"/>
        <family val="2"/>
        <scheme val="minor"/>
      </rPr>
      <t>Scope 3</t>
    </r>
    <r>
      <rPr>
        <sz val="11"/>
        <color theme="1"/>
        <rFont val="Calibri"/>
        <family val="2"/>
        <scheme val="minor"/>
      </rPr>
      <t xml:space="preserve">
Purchased good and services - Raw materials, Other Indirect materials &amp; services categories (excluding existing categories), Packaging
Capital goods
Fuel- and energy-related activities
Upstream transportation and distribution
Waste generated in operations
Business travel
Employee commuting
Downstream transportation and distribution - Outbound product to customers, Outbound intercompany deliveries</t>
    </r>
  </si>
  <si>
    <t>p.78</t>
  </si>
  <si>
    <t>302: Energy p. 616</t>
  </si>
  <si>
    <t xml:space="preserve">Note: If the organization generates electricity from a nonrenewable or renewable fuel source and then consumes the generated electricity, the energy consumption shall be counted once under fuel consumption.
</t>
  </si>
  <si>
    <r>
      <rPr>
        <b/>
        <sz val="11"/>
        <color theme="1"/>
        <rFont val="Calibri"/>
        <family val="2"/>
        <scheme val="minor"/>
      </rPr>
      <t>Energy</t>
    </r>
    <r>
      <rPr>
        <sz val="11"/>
        <color theme="1"/>
        <rFont val="Calibri"/>
        <family val="2"/>
        <scheme val="minor"/>
      </rPr>
      <t xml:space="preserve">
Direct energy consumption primary sources
Indirect energy: purchased electricity and steam
</t>
    </r>
    <r>
      <rPr>
        <b/>
        <sz val="11"/>
        <color theme="1"/>
        <rFont val="Calibri"/>
        <family val="2"/>
        <scheme val="minor"/>
      </rPr>
      <t>Energy efficiency</t>
    </r>
    <r>
      <rPr>
        <sz val="11"/>
        <color theme="1"/>
        <rFont val="Calibri"/>
        <family val="2"/>
        <scheme val="minor"/>
      </rPr>
      <t xml:space="preserve">
Direct energy efficiency
Indirect energy efficiency</t>
    </r>
  </si>
  <si>
    <t>303: Water and Effluents p. 632</t>
  </si>
  <si>
    <t>Identify water source and discharge</t>
  </si>
  <si>
    <r>
      <t xml:space="preserve">Water Intake
</t>
    </r>
    <r>
      <rPr>
        <sz val="11"/>
        <color theme="1"/>
        <rFont val="Calibri"/>
        <family val="2"/>
        <scheme val="minor"/>
      </rPr>
      <t xml:space="preserve">Surface water
Groundwater
Seawater
Third-party water - purchased water
Rainwater collected and stored by the reporting organization
Third-party water - wastewater from another organization
</t>
    </r>
    <r>
      <rPr>
        <b/>
        <sz val="11"/>
        <color theme="1"/>
        <rFont val="Calibri"/>
        <family val="2"/>
        <scheme val="minor"/>
      </rPr>
      <t xml:space="preserve">Water discharge
</t>
    </r>
    <r>
      <rPr>
        <sz val="11"/>
        <color theme="1"/>
        <rFont val="Calibri"/>
        <family val="2"/>
        <scheme val="minor"/>
      </rPr>
      <t xml:space="preserve">To the environment w/o biological treatment
To the environment after biological treatment
To external treatment facility w/o pre-treatment
To external treatment facility with pre-treatment
Water consumption
COD load of water discharged to the environment
</t>
    </r>
  </si>
  <si>
    <t>306: Waste p. 703</t>
  </si>
  <si>
    <r>
      <rPr>
        <b/>
        <sz val="11"/>
        <color theme="1"/>
        <rFont val="Calibri"/>
        <family val="2"/>
        <scheme val="minor"/>
      </rPr>
      <t>Hazardous waste</t>
    </r>
    <r>
      <rPr>
        <sz val="11"/>
        <color theme="1"/>
        <rFont val="Calibri"/>
        <family val="2"/>
        <scheme val="minor"/>
      </rPr>
      <t xml:space="preserve">
Preparation for reuse
Recycling
Other recovery operations
Incinerated - without energy recovery offsite, with energy recovery
Landfilled
</t>
    </r>
    <r>
      <rPr>
        <b/>
        <sz val="11"/>
        <color theme="1"/>
        <rFont val="Calibri"/>
        <family val="2"/>
        <scheme val="minor"/>
      </rPr>
      <t xml:space="preserve">Non-hazardous waste
</t>
    </r>
    <r>
      <rPr>
        <sz val="11"/>
        <color theme="1"/>
        <rFont val="Calibri"/>
        <family val="2"/>
        <scheme val="minor"/>
      </rPr>
      <t>Preparation for reuse
Recycling - Recycling, Composted, Biogas production
Other recovery operations
Incinerated - without energy recovery, with energy recovery
Landfilled</t>
    </r>
  </si>
  <si>
    <t>$B$5:$B$12</t>
  </si>
  <si>
    <t>$B$7</t>
  </si>
  <si>
    <t>550KVA/440KW KT19-G3 Cummins Generator Set</t>
  </si>
  <si>
    <t>GODOFREDO R. PARAGAS, JR.</t>
  </si>
  <si>
    <t>Mitsubishi Adventure (One Unit)</t>
  </si>
  <si>
    <t>Toyota Grandia (One Unit)</t>
  </si>
  <si>
    <t>Toyota Innova (One Unit)</t>
  </si>
  <si>
    <t>No Solar installed</t>
  </si>
  <si>
    <t>Jan-Mar no disposal</t>
  </si>
  <si>
    <t>Apr-Jun no disposal</t>
  </si>
  <si>
    <t>Oct-Dec no disposal</t>
  </si>
  <si>
    <t>Estimated volume only. Data gathered from Q4 SMR</t>
  </si>
  <si>
    <t>Estimated volume only. Data gathered from Q1 SMR</t>
  </si>
  <si>
    <t>Estimated volume only. Data gathered from Q2 SMR</t>
  </si>
  <si>
    <t>Estimated volume only. Data gathered from Q3 SMR</t>
  </si>
  <si>
    <t>Godofredo R. Paragas Jr.</t>
  </si>
  <si>
    <t>$Q$9</t>
  </si>
  <si>
    <t>$Q$10</t>
  </si>
  <si>
    <t>$Q$11</t>
  </si>
  <si>
    <t>$Q$12</t>
  </si>
  <si>
    <t>$Q$13</t>
  </si>
  <si>
    <t>$Q$14</t>
  </si>
  <si>
    <t>$Q$15</t>
  </si>
  <si>
    <t>$Q$16</t>
  </si>
  <si>
    <t>$Q$17</t>
  </si>
  <si>
    <t>$Q$18</t>
  </si>
  <si>
    <t>$Q$19</t>
  </si>
  <si>
    <t>$S$9</t>
  </si>
  <si>
    <t>$S$10</t>
  </si>
  <si>
    <t>$S$11</t>
  </si>
  <si>
    <t>$S$12</t>
  </si>
  <si>
    <t>$S$13</t>
  </si>
  <si>
    <t>$S$14</t>
  </si>
  <si>
    <t>$S$15</t>
  </si>
  <si>
    <t>$S$17</t>
  </si>
  <si>
    <t>$S$18</t>
  </si>
  <si>
    <t>$S$19</t>
  </si>
  <si>
    <t>$T$10</t>
  </si>
  <si>
    <t>$T$11</t>
  </si>
  <si>
    <t>$T$12</t>
  </si>
  <si>
    <t>$T$13</t>
  </si>
  <si>
    <t>$T$14</t>
  </si>
  <si>
    <t>$T$15</t>
  </si>
  <si>
    <t>$T$17</t>
  </si>
  <si>
    <t>$T$18</t>
  </si>
  <si>
    <t>$T$19</t>
  </si>
  <si>
    <t>Destination (Landscaped Plants and the domestic waste to the septic tanks)</t>
  </si>
  <si>
    <t>$U$8</t>
  </si>
  <si>
    <t>$V$7</t>
  </si>
  <si>
    <t>$U$10</t>
  </si>
  <si>
    <t>$U$11</t>
  </si>
  <si>
    <t>$U$12</t>
  </si>
  <si>
    <t>$U$13</t>
  </si>
  <si>
    <t>$U$14</t>
  </si>
  <si>
    <t>$U$15</t>
  </si>
  <si>
    <t>$U$16</t>
  </si>
  <si>
    <t>$U$17</t>
  </si>
  <si>
    <t>$U$18</t>
  </si>
  <si>
    <t>$U$19</t>
  </si>
  <si>
    <t>$A$27:$G$37</t>
  </si>
  <si>
    <t>Main Building (Entire)</t>
  </si>
  <si>
    <t>Main Building (COD Area)</t>
  </si>
  <si>
    <t>Main Building (CCTV Room)</t>
  </si>
  <si>
    <t>Main Guardhouse</t>
  </si>
  <si>
    <t>$J$13</t>
  </si>
  <si>
    <t>Auxiliary Building (Locker Rm)</t>
  </si>
  <si>
    <t>$J$14</t>
  </si>
  <si>
    <t>$K$14</t>
  </si>
  <si>
    <t>$K$13</t>
  </si>
  <si>
    <t>$N$11</t>
  </si>
  <si>
    <t>$N$12</t>
  </si>
  <si>
    <t>$N$13</t>
  </si>
  <si>
    <t>$N$14</t>
  </si>
  <si>
    <t>$O$13</t>
  </si>
  <si>
    <t>$R$13</t>
  </si>
  <si>
    <t>$R$12</t>
  </si>
  <si>
    <t>No recharding was done</t>
  </si>
  <si>
    <t>$W$10</t>
  </si>
  <si>
    <t>$W$13</t>
  </si>
  <si>
    <t>$C$7</t>
  </si>
  <si>
    <t>$C$6</t>
  </si>
  <si>
    <t>SEPT. 10, 2025</t>
  </si>
  <si>
    <t>$J$8</t>
  </si>
  <si>
    <t>$J$15</t>
  </si>
  <si>
    <t>$L$11:$L$18</t>
  </si>
  <si>
    <t>$M$11:$M$18</t>
  </si>
  <si>
    <t>$N$11:$N$18</t>
  </si>
  <si>
    <t>$J$42</t>
  </si>
  <si>
    <t>$K$42</t>
  </si>
  <si>
    <t>$L$42</t>
  </si>
  <si>
    <t>$L$43</t>
  </si>
  <si>
    <t>$L$44</t>
  </si>
  <si>
    <t>$L$45</t>
  </si>
  <si>
    <t>$L$46</t>
  </si>
  <si>
    <t>$L$47</t>
  </si>
  <si>
    <t>$L$48</t>
  </si>
  <si>
    <t>$L$49</t>
  </si>
  <si>
    <t>$L$50</t>
  </si>
  <si>
    <t>$L$51</t>
  </si>
  <si>
    <t>$L$52</t>
  </si>
  <si>
    <t>$L$53</t>
  </si>
  <si>
    <t>$K$54</t>
  </si>
  <si>
    <t>$L$54</t>
  </si>
  <si>
    <t>$L$54:$L$65</t>
  </si>
  <si>
    <t>$K$66</t>
  </si>
  <si>
    <t>$L$66:$L$77</t>
  </si>
  <si>
    <t>FORD 550</t>
  </si>
  <si>
    <t>$R$42</t>
  </si>
  <si>
    <t>FORD 550 (SFX-883)</t>
  </si>
  <si>
    <t>$R$54</t>
  </si>
  <si>
    <t>FORD 550 (131206)</t>
  </si>
  <si>
    <t>$R$66</t>
  </si>
  <si>
    <t>FORD 550 (131210)</t>
  </si>
  <si>
    <t>$N$42</t>
  </si>
  <si>
    <t>$N$43</t>
  </si>
  <si>
    <t>$N$44</t>
  </si>
  <si>
    <t>$N$45</t>
  </si>
  <si>
    <t>$N$46</t>
  </si>
  <si>
    <t>$N$47</t>
  </si>
  <si>
    <t>$N$48</t>
  </si>
  <si>
    <t>$N$49</t>
  </si>
  <si>
    <t>$N$50</t>
  </si>
  <si>
    <t>$N$51</t>
  </si>
  <si>
    <t>$N$52</t>
  </si>
  <si>
    <t>$N$53</t>
  </si>
  <si>
    <t>$P$42</t>
  </si>
  <si>
    <t>$P$43</t>
  </si>
  <si>
    <t>$P$44</t>
  </si>
  <si>
    <t>$P$45</t>
  </si>
  <si>
    <t>$P$46</t>
  </si>
  <si>
    <t>$P$47</t>
  </si>
  <si>
    <t>$P$48</t>
  </si>
  <si>
    <t>$P$49</t>
  </si>
  <si>
    <t>$P$50</t>
  </si>
  <si>
    <t>$P$51</t>
  </si>
  <si>
    <t>$P$52</t>
  </si>
  <si>
    <t>$P$53</t>
  </si>
  <si>
    <t>$N$54</t>
  </si>
  <si>
    <t>$N$55</t>
  </si>
  <si>
    <t>$N$56</t>
  </si>
  <si>
    <t>$N$57</t>
  </si>
  <si>
    <t>$N$58</t>
  </si>
  <si>
    <t>$N$59</t>
  </si>
  <si>
    <t>$N$60</t>
  </si>
  <si>
    <t>$N$61</t>
  </si>
  <si>
    <t>$N$62</t>
  </si>
  <si>
    <t>$N$63</t>
  </si>
  <si>
    <t>$N$64</t>
  </si>
  <si>
    <t>$N$65</t>
  </si>
  <si>
    <t>$P$54</t>
  </si>
  <si>
    <t>$P$55</t>
  </si>
  <si>
    <t>$P$56</t>
  </si>
  <si>
    <t>$P$57</t>
  </si>
  <si>
    <t>$P$58</t>
  </si>
  <si>
    <t>$P$59</t>
  </si>
  <si>
    <t>$P$60</t>
  </si>
  <si>
    <t>$P$61</t>
  </si>
  <si>
    <t>$P$62</t>
  </si>
  <si>
    <t>$P$63</t>
  </si>
  <si>
    <t>$P$64</t>
  </si>
  <si>
    <t>$P$65</t>
  </si>
  <si>
    <t>$N$66</t>
  </si>
  <si>
    <t>$N$67</t>
  </si>
  <si>
    <t>$N$68</t>
  </si>
  <si>
    <t>$N$69</t>
  </si>
  <si>
    <t>$N$70</t>
  </si>
  <si>
    <t>$N$71</t>
  </si>
  <si>
    <t>$N$72</t>
  </si>
  <si>
    <t>$N$73</t>
  </si>
  <si>
    <t>$N$74</t>
  </si>
  <si>
    <t>$N$75</t>
  </si>
  <si>
    <t>$N$76</t>
  </si>
  <si>
    <t>$N$77</t>
  </si>
  <si>
    <t>$P$66</t>
  </si>
  <si>
    <t>$P$67</t>
  </si>
  <si>
    <t>$P$68</t>
  </si>
  <si>
    <t>$P$69</t>
  </si>
  <si>
    <t>$P$70</t>
  </si>
  <si>
    <t>$P$71</t>
  </si>
  <si>
    <t>$P$72</t>
  </si>
  <si>
    <t>$P$73</t>
  </si>
  <si>
    <t>$P$74</t>
  </si>
  <si>
    <t>$P$75</t>
  </si>
  <si>
    <t>$P$76</t>
  </si>
  <si>
    <t>$P$77</t>
  </si>
  <si>
    <t>$N$16</t>
  </si>
  <si>
    <t>$N$17</t>
  </si>
  <si>
    <t>$N$18</t>
  </si>
  <si>
    <t>$P$17</t>
  </si>
  <si>
    <t>$P$18</t>
  </si>
  <si>
    <t>$N$28</t>
  </si>
  <si>
    <t>$N$29</t>
  </si>
  <si>
    <t>$N$30</t>
  </si>
  <si>
    <t>$P$28</t>
  </si>
  <si>
    <t>$P$29</t>
  </si>
  <si>
    <t>$P$30</t>
  </si>
  <si>
    <t>$N$39</t>
  </si>
  <si>
    <t>$N$40</t>
  </si>
  <si>
    <t>$N$41</t>
  </si>
  <si>
    <t>$P$39</t>
  </si>
  <si>
    <t>$P$40</t>
  </si>
  <si>
    <t>$P$41</t>
  </si>
  <si>
    <t>$J$54</t>
  </si>
  <si>
    <t>$J$66</t>
  </si>
  <si>
    <t>$K$43</t>
  </si>
  <si>
    <t>$K$44</t>
  </si>
  <si>
    <t>$K$45</t>
  </si>
  <si>
    <t>$K$46</t>
  </si>
  <si>
    <t>$K$48</t>
  </si>
  <si>
    <t>$K$47</t>
  </si>
  <si>
    <t>$K$49</t>
  </si>
  <si>
    <t>$K$51</t>
  </si>
  <si>
    <t>$K$50</t>
  </si>
  <si>
    <t>$K$52</t>
  </si>
  <si>
    <t>$K$53</t>
  </si>
  <si>
    <t>$K$55</t>
  </si>
  <si>
    <t>$K$56</t>
  </si>
  <si>
    <t>$K$57</t>
  </si>
  <si>
    <t>$K$58</t>
  </si>
  <si>
    <t>$K$59</t>
  </si>
  <si>
    <t>$K$60</t>
  </si>
  <si>
    <t>$K$61</t>
  </si>
  <si>
    <t>$K$63</t>
  </si>
  <si>
    <t>$K$62</t>
  </si>
  <si>
    <t>$K$64</t>
  </si>
  <si>
    <t>$K$65</t>
  </si>
  <si>
    <t>$K$67</t>
  </si>
  <si>
    <t>$K$68</t>
  </si>
  <si>
    <t>$K$69</t>
  </si>
  <si>
    <t>$K$70</t>
  </si>
  <si>
    <t>$K$71</t>
  </si>
  <si>
    <t>$K$72</t>
  </si>
  <si>
    <t>$K$73</t>
  </si>
  <si>
    <t>$K$74</t>
  </si>
  <si>
    <t>$K$75</t>
  </si>
  <si>
    <t>$K$76</t>
  </si>
  <si>
    <t>$K$77</t>
  </si>
  <si>
    <t>Hazardous Wastes were disposed on 26 Sept. 2025 through accredited Transporter "DCH Ecogreen Solutions"</t>
  </si>
  <si>
    <t>The quantity is based solely on the number of bags, each measuring 40" x 40" in size.</t>
  </si>
  <si>
    <t>$A$27:$G$40</t>
  </si>
  <si>
    <t>$K$8</t>
  </si>
  <si>
    <t>$J$32</t>
  </si>
  <si>
    <t>$J$33</t>
  </si>
  <si>
    <t>$J$34</t>
  </si>
  <si>
    <t>$J$35</t>
  </si>
  <si>
    <t>$J$36</t>
  </si>
  <si>
    <t>$J$38</t>
  </si>
  <si>
    <t>$J$37</t>
  </si>
  <si>
    <t>$J$39</t>
  </si>
  <si>
    <t>$J$40</t>
  </si>
  <si>
    <t>$J$41</t>
  </si>
  <si>
    <t>Armored Vehicle 1 - FORD 550 (SFX-883)</t>
  </si>
  <si>
    <t>Armored Vehicle 2 - FORD 550 (131206)</t>
  </si>
  <si>
    <t>Armored Vehicle 3 - FORD 550 (131210)</t>
  </si>
  <si>
    <t>$N$7:$N$9</t>
  </si>
  <si>
    <t>$I$19:$O$106</t>
  </si>
  <si>
    <t>$J$42:$J$53</t>
  </si>
  <si>
    <t>$J$54:$J$66</t>
  </si>
  <si>
    <t>$J$66:$J$77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</si>
</sst>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_€_-;\-* #,##0.00\ _€_-;_-* &quot;-&quot;??\ _€_-;_-@_-"/>
    <numFmt numFmtId="165" formatCode="&quot;₱&quot;#,##0.00"/>
    <numFmt numFmtId="166" formatCode="0.0000"/>
    <numFmt numFmtId="167" formatCode="#,##0.0000"/>
    <numFmt numFmtId="168" formatCode="0.00;[Red]0.00"/>
  </numFmts>
  <fonts count="46" x14ac:knownFonts="1">
    <font>
      <sz val="11"/>
      <color theme="1"/>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sz val="11"/>
      <name val="Calibri"/>
      <family val="2"/>
      <scheme val="minor"/>
    </font>
    <font>
      <i/>
      <sz val="11"/>
      <color theme="1"/>
      <name val="Calibri"/>
      <family val="2"/>
      <scheme val="minor"/>
    </font>
    <font>
      <sz val="12"/>
      <color theme="1"/>
      <name val="Calibri"/>
      <family val="2"/>
      <scheme val="minor"/>
    </font>
    <font>
      <u/>
      <sz val="12"/>
      <color theme="10"/>
      <name val="Calibri"/>
      <family val="2"/>
      <scheme val="minor"/>
    </font>
    <font>
      <sz val="10"/>
      <color theme="1"/>
      <name val="Calibri"/>
      <family val="2"/>
      <scheme val="minor"/>
    </font>
    <font>
      <sz val="10"/>
      <color theme="0" tint="-0.14999847407452621"/>
      <name val="Calibri"/>
      <family val="2"/>
      <scheme val="minor"/>
    </font>
    <font>
      <b/>
      <sz val="14"/>
      <color theme="1"/>
      <name val="Calibri"/>
      <family val="2"/>
      <scheme val="minor"/>
    </font>
    <font>
      <b/>
      <sz val="18"/>
      <color theme="1"/>
      <name val="Calibri"/>
      <family val="2"/>
      <scheme val="minor"/>
    </font>
    <font>
      <b/>
      <sz val="10"/>
      <color theme="1"/>
      <name val="Calibri"/>
      <family val="2"/>
      <scheme val="minor"/>
    </font>
    <font>
      <sz val="10"/>
      <color theme="0" tint="-4.9989318521683403E-2"/>
      <name val="Calibri"/>
      <family val="2"/>
      <scheme val="minor"/>
    </font>
    <font>
      <sz val="10"/>
      <color theme="0"/>
      <name val="Calibri"/>
      <family val="2"/>
      <scheme val="minor"/>
    </font>
    <font>
      <sz val="10"/>
      <name val="Arial"/>
      <family val="2"/>
    </font>
    <font>
      <sz val="14"/>
      <color theme="1"/>
      <name val="Calibri"/>
      <family val="2"/>
      <scheme val="minor"/>
    </font>
    <font>
      <sz val="9"/>
      <color theme="1"/>
      <name val="Calibri"/>
      <family val="2"/>
      <scheme val="minor"/>
    </font>
    <font>
      <sz val="8"/>
      <color theme="1"/>
      <name val="Calibri"/>
      <family val="2"/>
      <scheme val="minor"/>
    </font>
    <font>
      <i/>
      <sz val="8"/>
      <color theme="1"/>
      <name val="Calibri"/>
      <family val="2"/>
      <scheme val="minor"/>
    </font>
    <font>
      <b/>
      <sz val="8"/>
      <name val="Calibri"/>
      <family val="2"/>
      <scheme val="minor"/>
    </font>
    <font>
      <i/>
      <sz val="10"/>
      <color theme="1"/>
      <name val="Calibri"/>
      <family val="2"/>
      <scheme val="minor"/>
    </font>
    <font>
      <sz val="9"/>
      <color theme="0"/>
      <name val="Calibri"/>
      <family val="2"/>
      <scheme val="minor"/>
    </font>
    <font>
      <b/>
      <sz val="9"/>
      <color theme="1"/>
      <name val="Calibri"/>
      <family val="2"/>
      <scheme val="minor"/>
    </font>
    <font>
      <b/>
      <sz val="10"/>
      <color theme="0"/>
      <name val="Calibri"/>
      <family val="2"/>
      <scheme val="minor"/>
    </font>
    <font>
      <b/>
      <sz val="14"/>
      <color theme="0"/>
      <name val="Calibri"/>
      <family val="2"/>
      <scheme val="minor"/>
    </font>
    <font>
      <u/>
      <sz val="11"/>
      <color theme="10"/>
      <name val="Calibri"/>
      <family val="2"/>
      <scheme val="minor"/>
    </font>
    <font>
      <b/>
      <sz val="11"/>
      <color theme="0"/>
      <name val="Calibri"/>
      <family val="2"/>
      <scheme val="minor"/>
    </font>
    <font>
      <b/>
      <sz val="12"/>
      <color theme="0"/>
      <name val="Calibri"/>
      <family val="2"/>
      <scheme val="minor"/>
    </font>
    <font>
      <b/>
      <i/>
      <sz val="10"/>
      <name val="Calibri"/>
      <family val="2"/>
      <scheme val="minor"/>
    </font>
    <font>
      <b/>
      <sz val="16"/>
      <color rgb="FF0A0A0A"/>
      <name val="Helvetica Neue"/>
      <family val="2"/>
    </font>
    <font>
      <sz val="16"/>
      <color rgb="FF0A0A0A"/>
      <name val="Helvetica Neue"/>
      <family val="2"/>
    </font>
    <font>
      <sz val="16"/>
      <color rgb="FF265892"/>
      <name val="Helvetica Neue"/>
      <family val="2"/>
    </font>
    <font>
      <sz val="11"/>
      <color theme="1"/>
      <name val="Calibri"/>
      <family val="2"/>
      <scheme val="minor"/>
    </font>
    <font>
      <b/>
      <sz val="10"/>
      <name val="Arial"/>
      <family val="2"/>
    </font>
    <font>
      <vertAlign val="superscript"/>
      <sz val="10"/>
      <name val="Arial"/>
      <family val="2"/>
    </font>
    <font>
      <vertAlign val="subscript"/>
      <sz val="9"/>
      <name val="Arial"/>
      <family val="2"/>
    </font>
    <font>
      <b/>
      <vertAlign val="superscript"/>
      <sz val="10"/>
      <color theme="0"/>
      <name val="Arial"/>
      <family val="2"/>
    </font>
    <font>
      <b/>
      <sz val="10"/>
      <color theme="0"/>
      <name val="Arial"/>
      <family val="2"/>
    </font>
    <font>
      <b/>
      <i/>
      <sz val="10"/>
      <color theme="1"/>
      <name val="Calibri"/>
      <family val="2"/>
      <scheme val="minor"/>
    </font>
    <font>
      <sz val="8"/>
      <name val="Calibri"/>
      <family val="2"/>
      <scheme val="minor"/>
    </font>
    <font>
      <sz val="11"/>
      <color rgb="FF000000"/>
      <name val="Calibri"/>
      <family val="2"/>
      <scheme val="minor"/>
    </font>
    <font>
      <b/>
      <sz val="11"/>
      <color rgb="FF000000"/>
      <name val="Calibri"/>
      <family val="2"/>
      <scheme val="minor"/>
    </font>
    <font>
      <b/>
      <sz val="11"/>
      <color rgb="FF000000"/>
      <name val="Calibri"/>
      <family val="2"/>
    </font>
    <font>
      <sz val="11"/>
      <color rgb="FF000000"/>
      <name val="Calibri"/>
      <family val="2"/>
    </font>
    <font>
      <b/>
      <u/>
      <sz val="11"/>
      <color theme="1"/>
      <name val="Calibri"/>
      <family val="2"/>
      <scheme val="minor"/>
    </font>
  </fonts>
  <fills count="32">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theme="0" tint="-4.9989318521683403E-2"/>
        <bgColor indexed="64"/>
      </patternFill>
    </fill>
    <fill>
      <patternFill patternType="solid">
        <fgColor theme="2" tint="-0.49998474074526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rgb="FFFFFF00"/>
        <bgColor indexed="64"/>
      </patternFill>
    </fill>
    <fill>
      <patternFill patternType="solid">
        <fgColor rgb="FF7030A0"/>
        <bgColor indexed="64"/>
      </patternFill>
    </fill>
    <fill>
      <patternFill patternType="solid">
        <fgColor rgb="FF00B0F0"/>
        <bgColor indexed="64"/>
      </patternFill>
    </fill>
    <fill>
      <patternFill patternType="solid">
        <fgColor theme="5" tint="0.79998168889431442"/>
        <bgColor indexed="64"/>
      </patternFill>
    </fill>
    <fill>
      <patternFill patternType="solid">
        <fgColor theme="1" tint="0.499984740745262"/>
        <bgColor indexed="64"/>
      </patternFill>
    </fill>
    <fill>
      <patternFill patternType="solid">
        <fgColor rgb="FFFB7567"/>
        <bgColor indexed="64"/>
      </patternFill>
    </fill>
    <fill>
      <patternFill patternType="solid">
        <fgColor rgb="FF9079EF"/>
        <bgColor indexed="64"/>
      </patternFill>
    </fill>
    <fill>
      <patternFill patternType="solid">
        <fgColor theme="7" tint="0.39997558519241921"/>
        <bgColor indexed="64"/>
      </patternFill>
    </fill>
    <fill>
      <patternFill patternType="solid">
        <fgColor theme="9"/>
        <bgColor indexed="64"/>
      </patternFill>
    </fill>
    <fill>
      <patternFill patternType="solid">
        <fgColor theme="5"/>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rgb="FF62C3EF"/>
        <bgColor indexed="64"/>
      </patternFill>
    </fill>
    <fill>
      <patternFill patternType="solid">
        <fgColor rgb="FFC0C0C0"/>
        <bgColor indexed="64"/>
      </patternFill>
    </fill>
    <fill>
      <patternFill patternType="solid">
        <fgColor rgb="FF002060"/>
        <bgColor indexed="64"/>
      </patternFill>
    </fill>
    <fill>
      <patternFill patternType="solid">
        <fgColor theme="9" tint="0.79998168889431442"/>
        <bgColor indexed="64"/>
      </patternFill>
    </fill>
    <fill>
      <patternFill patternType="solid">
        <fgColor rgb="FFC00000"/>
        <bgColor indexed="64"/>
      </patternFill>
    </fill>
    <fill>
      <patternFill patternType="solid">
        <fgColor rgb="FF00B050"/>
        <bgColor indexed="64"/>
      </patternFill>
    </fill>
  </fills>
  <borders count="66">
    <border>
      <left/>
      <right/>
      <top/>
      <bottom/>
      <diagonal/>
    </border>
    <border>
      <left style="dotted">
        <color indexed="64"/>
      </left>
      <right style="dotted">
        <color indexed="64"/>
      </right>
      <top style="dotted">
        <color indexed="64"/>
      </top>
      <bottom style="dotted">
        <color indexed="64"/>
      </bottom>
      <diagonal/>
    </border>
    <border>
      <left style="thin">
        <color indexed="64"/>
      </left>
      <right style="thin">
        <color indexed="64"/>
      </right>
      <top style="thin">
        <color indexed="64"/>
      </top>
      <bottom/>
      <diagonal/>
    </border>
    <border>
      <left style="dotted">
        <color theme="2" tint="-0.499984740745262"/>
      </left>
      <right style="dotted">
        <color theme="2" tint="-0.499984740745262"/>
      </right>
      <top style="dotted">
        <color theme="2" tint="-0.499984740745262"/>
      </top>
      <bottom style="dotted">
        <color theme="2" tint="-0.499984740745262"/>
      </bottom>
      <diagonal/>
    </border>
    <border>
      <left style="dotted">
        <color theme="2" tint="-0.499984740745262"/>
      </left>
      <right/>
      <top style="dotted">
        <color theme="2" tint="-0.499984740745262"/>
      </top>
      <bottom style="dotted">
        <color theme="2" tint="-0.499984740745262"/>
      </bottom>
      <diagonal/>
    </border>
    <border>
      <left/>
      <right style="dotted">
        <color theme="2" tint="-0.499984740745262"/>
      </right>
      <top style="dotted">
        <color theme="2" tint="-0.499984740745262"/>
      </top>
      <bottom style="dotted">
        <color theme="2" tint="-0.499984740745262"/>
      </bottom>
      <diagonal/>
    </border>
    <border>
      <left style="dotted">
        <color theme="2" tint="-0.499984740745262"/>
      </left>
      <right style="dotted">
        <color theme="2" tint="-0.499984740745262"/>
      </right>
      <top/>
      <bottom style="dotted">
        <color theme="2" tint="-0.499984740745262"/>
      </bottom>
      <diagonal/>
    </border>
    <border>
      <left style="dotted">
        <color theme="2" tint="-0.499984740745262"/>
      </left>
      <right style="dotted">
        <color theme="2" tint="-0.499984740745262"/>
      </right>
      <top style="dotted">
        <color theme="2" tint="-0.499984740745262"/>
      </top>
      <bottom/>
      <diagonal/>
    </border>
    <border>
      <left style="dotted">
        <color theme="2" tint="-0.499984740745262"/>
      </left>
      <right/>
      <top/>
      <bottom/>
      <diagonal/>
    </border>
    <border>
      <left/>
      <right style="dotted">
        <color theme="2" tint="-0.499984740745262"/>
      </right>
      <top/>
      <bottom/>
      <diagonal/>
    </border>
    <border>
      <left style="dotted">
        <color theme="2" tint="-0.499984740745262"/>
      </left>
      <right/>
      <top/>
      <bottom style="dotted">
        <color theme="2" tint="-0.499984740745262"/>
      </bottom>
      <diagonal/>
    </border>
    <border>
      <left/>
      <right/>
      <top/>
      <bottom style="dotted">
        <color theme="2" tint="-0.499984740745262"/>
      </bottom>
      <diagonal/>
    </border>
    <border>
      <left/>
      <right style="dotted">
        <color theme="2" tint="-0.499984740745262"/>
      </right>
      <top/>
      <bottom style="dotted">
        <color theme="2" tint="-0.499984740745262"/>
      </bottom>
      <diagonal/>
    </border>
    <border>
      <left/>
      <right/>
      <top style="dotted">
        <color theme="2" tint="-0.499984740745262"/>
      </top>
      <bottom style="dotted">
        <color theme="2" tint="-0.499984740745262"/>
      </bottom>
      <diagonal/>
    </border>
    <border>
      <left style="hair">
        <color theme="1"/>
      </left>
      <right style="hair">
        <color theme="1"/>
      </right>
      <top style="hair">
        <color theme="1"/>
      </top>
      <bottom style="hair">
        <color theme="1"/>
      </bottom>
      <diagonal/>
    </border>
    <border>
      <left style="hair">
        <color theme="1"/>
      </left>
      <right style="hair">
        <color theme="1"/>
      </right>
      <top style="hair">
        <color theme="1"/>
      </top>
      <bottom/>
      <diagonal/>
    </border>
    <border>
      <left style="hair">
        <color theme="1"/>
      </left>
      <right style="hair">
        <color theme="1"/>
      </right>
      <top/>
      <bottom/>
      <diagonal/>
    </border>
    <border>
      <left style="hair">
        <color theme="1"/>
      </left>
      <right style="hair">
        <color theme="1"/>
      </right>
      <top/>
      <bottom style="hair">
        <color theme="1"/>
      </bottom>
      <diagonal/>
    </border>
    <border>
      <left style="hair">
        <color theme="1"/>
      </left>
      <right/>
      <top style="hair">
        <color theme="1"/>
      </top>
      <bottom/>
      <diagonal/>
    </border>
    <border>
      <left/>
      <right/>
      <top style="hair">
        <color theme="1"/>
      </top>
      <bottom/>
      <diagonal/>
    </border>
    <border>
      <left/>
      <right style="hair">
        <color theme="1"/>
      </right>
      <top style="hair">
        <color theme="1"/>
      </top>
      <bottom/>
      <diagonal/>
    </border>
    <border>
      <left style="hair">
        <color theme="1"/>
      </left>
      <right/>
      <top style="hair">
        <color theme="1"/>
      </top>
      <bottom style="hair">
        <color theme="1"/>
      </bottom>
      <diagonal/>
    </border>
    <border>
      <left/>
      <right/>
      <top style="hair">
        <color theme="1"/>
      </top>
      <bottom style="hair">
        <color theme="1"/>
      </bottom>
      <diagonal/>
    </border>
    <border>
      <left/>
      <right style="hair">
        <color theme="1"/>
      </right>
      <top style="hair">
        <color theme="1"/>
      </top>
      <bottom style="hair">
        <color theme="1"/>
      </bottom>
      <diagonal/>
    </border>
    <border>
      <left/>
      <right style="dotted">
        <color theme="2" tint="-0.499984740745262"/>
      </right>
      <top style="dotted">
        <color theme="2" tint="-0.499984740745262"/>
      </top>
      <bottom/>
      <diagonal/>
    </border>
    <border>
      <left style="dotted">
        <color theme="2" tint="-0.499984740745262"/>
      </left>
      <right/>
      <top style="dotted">
        <color theme="2" tint="-0.499984740745262"/>
      </top>
      <bottom/>
      <diagonal/>
    </border>
    <border>
      <left/>
      <right/>
      <top style="dotted">
        <color theme="2" tint="-0.499984740745262"/>
      </top>
      <bottom/>
      <diagonal/>
    </border>
    <border>
      <left style="dotted">
        <color theme="2" tint="-0.499984740745262"/>
      </left>
      <right style="dotted">
        <color theme="2" tint="-0.499984740745262"/>
      </right>
      <top/>
      <bottom/>
      <diagonal/>
    </border>
    <border>
      <left style="medium">
        <color indexed="64"/>
      </left>
      <right/>
      <top style="medium">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dashed">
        <color indexed="64"/>
      </left>
      <right/>
      <top style="dashed">
        <color indexed="64"/>
      </top>
      <bottom/>
      <diagonal/>
    </border>
    <border>
      <left/>
      <right/>
      <top style="dashed">
        <color indexed="64"/>
      </top>
      <bottom/>
      <diagonal/>
    </border>
    <border>
      <left style="dashed">
        <color indexed="64"/>
      </left>
      <right/>
      <top/>
      <bottom style="dashed">
        <color indexed="64"/>
      </bottom>
      <diagonal/>
    </border>
    <border>
      <left/>
      <right/>
      <top/>
      <bottom style="dashed">
        <color indexed="64"/>
      </bottom>
      <diagonal/>
    </border>
    <border>
      <left style="dashed">
        <color theme="0" tint="-0.499984740745262"/>
      </left>
      <right/>
      <top style="dashed">
        <color theme="0" tint="-0.499984740745262"/>
      </top>
      <bottom style="dashed">
        <color theme="0" tint="-0.499984740745262"/>
      </bottom>
      <diagonal/>
    </border>
    <border>
      <left/>
      <right/>
      <top style="dashed">
        <color theme="0" tint="-0.499984740745262"/>
      </top>
      <bottom style="dashed">
        <color theme="0" tint="-0.499984740745262"/>
      </bottom>
      <diagonal/>
    </border>
    <border>
      <left/>
      <right style="dashed">
        <color theme="0" tint="-0.499984740745262"/>
      </right>
      <top style="dashed">
        <color theme="0" tint="-0.499984740745262"/>
      </top>
      <bottom style="dashed">
        <color theme="0" tint="-0.499984740745262"/>
      </bottom>
      <diagonal/>
    </border>
    <border>
      <left style="dashed">
        <color theme="0" tint="-0.34998626667073579"/>
      </left>
      <right/>
      <top style="dashed">
        <color theme="0" tint="-0.34998626667073579"/>
      </top>
      <bottom/>
      <diagonal/>
    </border>
    <border>
      <left/>
      <right/>
      <top style="dashed">
        <color theme="0" tint="-0.34998626667073579"/>
      </top>
      <bottom/>
      <diagonal/>
    </border>
    <border>
      <left/>
      <right style="dashed">
        <color theme="0" tint="-0.34998626667073579"/>
      </right>
      <top style="dashed">
        <color theme="0" tint="-0.34998626667073579"/>
      </top>
      <bottom/>
      <diagonal/>
    </border>
    <border>
      <left style="dashed">
        <color theme="0" tint="-0.34998626667073579"/>
      </left>
      <right/>
      <top/>
      <bottom/>
      <diagonal/>
    </border>
    <border>
      <left/>
      <right style="dashed">
        <color theme="0" tint="-0.34998626667073579"/>
      </right>
      <top/>
      <bottom/>
      <diagonal/>
    </border>
    <border>
      <left style="dashed">
        <color theme="0" tint="-0.34998626667073579"/>
      </left>
      <right/>
      <top/>
      <bottom style="dashed">
        <color theme="0" tint="-0.34998626667073579"/>
      </bottom>
      <diagonal/>
    </border>
    <border>
      <left/>
      <right/>
      <top/>
      <bottom style="dashed">
        <color theme="0" tint="-0.34998626667073579"/>
      </bottom>
      <diagonal/>
    </border>
    <border>
      <left/>
      <right style="dashed">
        <color theme="0" tint="-0.34998626667073579"/>
      </right>
      <top/>
      <bottom style="dashed">
        <color theme="0" tint="-0.34998626667073579"/>
      </bottom>
      <diagonal/>
    </border>
    <border>
      <left/>
      <right style="dotted">
        <color theme="2" tint="-0.499984740745262"/>
      </right>
      <top style="dashed">
        <color indexed="64"/>
      </top>
      <bottom/>
      <diagonal/>
    </border>
    <border>
      <left/>
      <right style="dotted">
        <color theme="2" tint="-0.499984740745262"/>
      </right>
      <top/>
      <bottom style="dashed">
        <color indexed="64"/>
      </bottom>
      <diagonal/>
    </border>
    <border>
      <left/>
      <right/>
      <top style="dotted">
        <color rgb="FF757171"/>
      </top>
      <bottom style="dotted">
        <color theme="2" tint="-0.499984740745262"/>
      </bottom>
      <diagonal/>
    </border>
    <border>
      <left/>
      <right style="dotted">
        <color theme="2" tint="-0.499984740745262"/>
      </right>
      <top style="dotted">
        <color theme="2" tint="-0.499984740745262"/>
      </top>
      <bottom style="dashed">
        <color theme="0" tint="-0.34998626667073579"/>
      </bottom>
      <diagonal/>
    </border>
    <border>
      <left/>
      <right style="dotted">
        <color theme="2" tint="-0.499984740745262"/>
      </right>
      <top style="dashed">
        <color theme="0" tint="-0.34998626667073579"/>
      </top>
      <bottom/>
      <diagonal/>
    </border>
    <border>
      <left/>
      <right style="dotted">
        <color theme="2" tint="-0.499984740745262"/>
      </right>
      <top/>
      <bottom style="dashed">
        <color theme="0" tint="-0.34998626667073579"/>
      </bottom>
      <diagonal/>
    </border>
    <border>
      <left style="dotted">
        <color theme="2" tint="-0.499984740745262"/>
      </left>
      <right/>
      <top style="dotted">
        <color theme="2" tint="-0.499984740745262"/>
      </top>
      <bottom style="dashed">
        <color theme="0" tint="-0.34998626667073579"/>
      </bottom>
      <diagonal/>
    </border>
    <border>
      <left/>
      <right/>
      <top style="dotted">
        <color theme="2" tint="-0.499984740745262"/>
      </top>
      <bottom style="dashed">
        <color theme="0" tint="-0.34998626667073579"/>
      </bottom>
      <diagonal/>
    </border>
    <border>
      <left/>
      <right style="dotted">
        <color rgb="FF000000"/>
      </right>
      <top style="dotted">
        <color rgb="FF000000"/>
      </top>
      <bottom style="dotted">
        <color rgb="FF000000"/>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style="hair">
        <color auto="1"/>
      </left>
      <right style="hair">
        <color auto="1"/>
      </right>
      <top/>
      <bottom style="hair">
        <color auto="1"/>
      </bottom>
      <diagonal/>
    </border>
    <border>
      <left style="dotted">
        <color rgb="FF000000"/>
      </left>
      <right/>
      <top/>
      <bottom/>
      <diagonal/>
    </border>
    <border>
      <left style="dotted">
        <color rgb="FF000000"/>
      </left>
      <right style="dotted">
        <color rgb="FF000000"/>
      </right>
      <top style="dotted">
        <color rgb="FF000000"/>
      </top>
      <bottom style="dotted">
        <color rgb="FF000000"/>
      </bottom>
      <diagonal/>
    </border>
    <border>
      <left/>
      <right style="hair">
        <color auto="1"/>
      </right>
      <top style="hair">
        <color auto="1"/>
      </top>
      <bottom style="hair">
        <color auto="1"/>
      </bottom>
      <diagonal/>
    </border>
    <border>
      <left/>
      <right style="dotted">
        <color rgb="FF000000"/>
      </right>
      <top style="dotted">
        <color theme="2" tint="-0.499984740745262"/>
      </top>
      <bottom style="dotted">
        <color theme="2" tint="-0.499984740745262"/>
      </bottom>
      <diagonal/>
    </border>
  </borders>
  <cellStyleXfs count="7">
    <xf numFmtId="0" fontId="0" fillId="0" borderId="0"/>
    <xf numFmtId="0" fontId="6" fillId="0" borderId="0"/>
    <xf numFmtId="0" fontId="7" fillId="0" borderId="0" applyNumberFormat="0" applyFill="0" applyBorder="0" applyAlignment="0" applyProtection="0"/>
    <xf numFmtId="164" fontId="6" fillId="0" borderId="0" applyFont="0" applyFill="0" applyBorder="0" applyAlignment="0" applyProtection="0"/>
    <xf numFmtId="9" fontId="6" fillId="0" borderId="0" applyFont="0" applyFill="0" applyBorder="0" applyAlignment="0" applyProtection="0"/>
    <xf numFmtId="0" fontId="26" fillId="0" borderId="0" applyNumberFormat="0" applyFill="0" applyBorder="0" applyAlignment="0" applyProtection="0"/>
    <xf numFmtId="9" fontId="33" fillId="0" borderId="0" applyFont="0" applyFill="0" applyBorder="0" applyAlignment="0" applyProtection="0"/>
  </cellStyleXfs>
  <cellXfs count="465">
    <xf numFmtId="0" fontId="0" fillId="0" borderId="0" xfId="0"/>
    <xf numFmtId="0" fontId="1" fillId="0" borderId="0" xfId="0" applyFont="1"/>
    <xf numFmtId="0" fontId="0" fillId="0" borderId="1" xfId="0" applyBorder="1"/>
    <xf numFmtId="0" fontId="1" fillId="0" borderId="0" xfId="0" applyFont="1" applyAlignment="1">
      <alignment vertical="top"/>
    </xf>
    <xf numFmtId="0" fontId="0" fillId="0" borderId="0" xfId="0" applyAlignment="1">
      <alignment vertical="top"/>
    </xf>
    <xf numFmtId="0" fontId="2" fillId="2" borderId="2" xfId="0" applyFont="1" applyFill="1" applyBorder="1" applyAlignment="1">
      <alignment horizontal="left"/>
    </xf>
    <xf numFmtId="0" fontId="0" fillId="0" borderId="0" xfId="0" applyAlignment="1">
      <alignment wrapText="1"/>
    </xf>
    <xf numFmtId="0" fontId="1" fillId="0" borderId="0" xfId="0" applyFont="1" applyAlignment="1">
      <alignment wrapText="1"/>
    </xf>
    <xf numFmtId="0" fontId="5" fillId="0" borderId="0" xfId="0" applyFont="1" applyAlignment="1">
      <alignment wrapText="1"/>
    </xf>
    <xf numFmtId="0" fontId="0" fillId="0" borderId="0" xfId="0" applyAlignment="1">
      <alignment vertical="center"/>
    </xf>
    <xf numFmtId="0" fontId="0" fillId="0" borderId="0" xfId="0" applyAlignment="1">
      <alignment horizontal="center" vertical="center"/>
    </xf>
    <xf numFmtId="0" fontId="8" fillId="3" borderId="0" xfId="0" applyFont="1" applyFill="1"/>
    <xf numFmtId="0" fontId="8" fillId="3" borderId="0" xfId="0" applyFont="1" applyFill="1" applyAlignment="1">
      <alignment horizontal="center"/>
    </xf>
    <xf numFmtId="0" fontId="12" fillId="6" borderId="3" xfId="0" applyFont="1" applyFill="1" applyBorder="1"/>
    <xf numFmtId="0" fontId="12" fillId="8" borderId="3" xfId="0" applyFont="1" applyFill="1" applyBorder="1"/>
    <xf numFmtId="0" fontId="2" fillId="2" borderId="3" xfId="0" applyFont="1" applyFill="1" applyBorder="1" applyAlignment="1">
      <alignment horizontal="left"/>
    </xf>
    <xf numFmtId="0" fontId="0" fillId="0" borderId="3" xfId="0" applyBorder="1"/>
    <xf numFmtId="0" fontId="8" fillId="9" borderId="3" xfId="0" applyFont="1" applyFill="1" applyBorder="1"/>
    <xf numFmtId="0" fontId="8" fillId="9" borderId="3" xfId="0" applyFont="1" applyFill="1" applyBorder="1" applyAlignment="1">
      <alignment horizontal="center"/>
    </xf>
    <xf numFmtId="0" fontId="0" fillId="0" borderId="0" xfId="0" applyAlignment="1">
      <alignment horizontal="left"/>
    </xf>
    <xf numFmtId="0" fontId="8" fillId="3" borderId="0" xfId="0" applyFont="1" applyFill="1" applyProtection="1">
      <protection locked="0"/>
    </xf>
    <xf numFmtId="0" fontId="8" fillId="3" borderId="0" xfId="0" applyFont="1" applyFill="1" applyAlignment="1" applyProtection="1">
      <alignment horizontal="center"/>
      <protection locked="0"/>
    </xf>
    <xf numFmtId="4" fontId="8" fillId="3" borderId="0" xfId="0" applyNumberFormat="1" applyFont="1" applyFill="1" applyProtection="1">
      <protection locked="0"/>
    </xf>
    <xf numFmtId="0" fontId="8" fillId="3" borderId="9" xfId="0" applyFont="1" applyFill="1" applyBorder="1" applyProtection="1">
      <protection locked="0"/>
    </xf>
    <xf numFmtId="0" fontId="8" fillId="3" borderId="11" xfId="0" applyFont="1" applyFill="1" applyBorder="1" applyProtection="1">
      <protection locked="0"/>
    </xf>
    <xf numFmtId="0" fontId="8" fillId="3" borderId="11" xfId="0" applyFont="1" applyFill="1" applyBorder="1" applyAlignment="1" applyProtection="1">
      <alignment horizontal="center"/>
      <protection locked="0"/>
    </xf>
    <xf numFmtId="4" fontId="8" fillId="3" borderId="11" xfId="0" applyNumberFormat="1" applyFont="1" applyFill="1" applyBorder="1" applyProtection="1">
      <protection locked="0"/>
    </xf>
    <xf numFmtId="0" fontId="8" fillId="3" borderId="12" xfId="0" applyFont="1" applyFill="1" applyBorder="1" applyProtection="1">
      <protection locked="0"/>
    </xf>
    <xf numFmtId="0" fontId="8" fillId="3" borderId="3" xfId="0" applyFont="1" applyFill="1" applyBorder="1" applyProtection="1">
      <protection locked="0"/>
    </xf>
    <xf numFmtId="4" fontId="8" fillId="3" borderId="3" xfId="0" applyNumberFormat="1" applyFont="1" applyFill="1" applyBorder="1" applyProtection="1">
      <protection locked="0"/>
    </xf>
    <xf numFmtId="0" fontId="12" fillId="8" borderId="4" xfId="0" applyFont="1" applyFill="1" applyBorder="1"/>
    <xf numFmtId="0" fontId="8" fillId="8" borderId="13" xfId="0" applyFont="1" applyFill="1" applyBorder="1"/>
    <xf numFmtId="0" fontId="8" fillId="8" borderId="5" xfId="0" applyFont="1" applyFill="1" applyBorder="1"/>
    <xf numFmtId="0" fontId="12" fillId="6" borderId="8" xfId="0" applyFont="1" applyFill="1" applyBorder="1"/>
    <xf numFmtId="0" fontId="12" fillId="6" borderId="0" xfId="0" applyFont="1" applyFill="1"/>
    <xf numFmtId="0" fontId="12" fillId="6" borderId="0" xfId="0" applyFont="1" applyFill="1" applyAlignment="1">
      <alignment horizontal="left"/>
    </xf>
    <xf numFmtId="0" fontId="12" fillId="6" borderId="9" xfId="0" applyFont="1" applyFill="1" applyBorder="1"/>
    <xf numFmtId="0" fontId="8" fillId="9" borderId="11" xfId="0" applyFont="1" applyFill="1" applyBorder="1"/>
    <xf numFmtId="0" fontId="8" fillId="9" borderId="11" xfId="0" applyFont="1" applyFill="1" applyBorder="1" applyAlignment="1">
      <alignment horizontal="left"/>
    </xf>
    <xf numFmtId="0" fontId="8" fillId="9" borderId="12" xfId="0" applyFont="1" applyFill="1" applyBorder="1"/>
    <xf numFmtId="0" fontId="12" fillId="6" borderId="3" xfId="0" applyFont="1" applyFill="1" applyBorder="1" applyAlignment="1">
      <alignment horizontal="center"/>
    </xf>
    <xf numFmtId="4" fontId="8" fillId="9" borderId="3" xfId="0" applyNumberFormat="1" applyFont="1" applyFill="1" applyBorder="1"/>
    <xf numFmtId="0" fontId="8" fillId="3" borderId="10" xfId="0" applyFont="1" applyFill="1" applyBorder="1" applyAlignment="1">
      <alignment horizontal="center"/>
    </xf>
    <xf numFmtId="0" fontId="8" fillId="3" borderId="11" xfId="0" applyFont="1" applyFill="1" applyBorder="1"/>
    <xf numFmtId="0" fontId="13" fillId="3" borderId="0" xfId="0" applyFont="1" applyFill="1" applyProtection="1">
      <protection hidden="1"/>
    </xf>
    <xf numFmtId="0" fontId="13" fillId="3" borderId="0" xfId="0" applyFont="1" applyFill="1" applyAlignment="1" applyProtection="1">
      <alignment horizontal="left"/>
      <protection hidden="1"/>
    </xf>
    <xf numFmtId="165" fontId="8" fillId="3" borderId="0" xfId="0" applyNumberFormat="1" applyFont="1" applyFill="1" applyProtection="1">
      <protection locked="0"/>
    </xf>
    <xf numFmtId="165" fontId="8" fillId="3" borderId="3" xfId="0" applyNumberFormat="1" applyFont="1" applyFill="1" applyBorder="1" applyProtection="1">
      <protection locked="0"/>
    </xf>
    <xf numFmtId="0" fontId="9" fillId="3" borderId="0" xfId="0" applyFont="1" applyFill="1"/>
    <xf numFmtId="0" fontId="15" fillId="0" borderId="3" xfId="0" applyFont="1" applyBorder="1" applyAlignment="1">
      <alignment horizontal="left"/>
    </xf>
    <xf numFmtId="0" fontId="0" fillId="0" borderId="3" xfId="0" applyBorder="1" applyAlignment="1">
      <alignment horizontal="left"/>
    </xf>
    <xf numFmtId="0" fontId="4" fillId="0" borderId="3" xfId="0" applyFont="1" applyBorder="1"/>
    <xf numFmtId="0" fontId="16" fillId="3" borderId="0" xfId="0" applyFont="1" applyFill="1" applyAlignment="1">
      <alignment vertical="center"/>
    </xf>
    <xf numFmtId="0" fontId="16" fillId="3" borderId="0" xfId="0" applyFont="1" applyFill="1" applyAlignment="1">
      <alignment horizontal="left" vertical="center"/>
    </xf>
    <xf numFmtId="0" fontId="8" fillId="3" borderId="8" xfId="0" applyFont="1" applyFill="1" applyBorder="1" applyAlignment="1">
      <alignment horizontal="left"/>
    </xf>
    <xf numFmtId="0" fontId="9" fillId="3" borderId="0" xfId="0" applyFont="1" applyFill="1" applyAlignment="1">
      <alignment vertical="center"/>
    </xf>
    <xf numFmtId="0" fontId="8" fillId="3" borderId="0" xfId="0" applyFont="1" applyFill="1" applyAlignment="1">
      <alignment vertical="center"/>
    </xf>
    <xf numFmtId="0" fontId="8" fillId="11" borderId="3" xfId="0" applyFont="1" applyFill="1" applyBorder="1" applyProtection="1">
      <protection locked="0"/>
    </xf>
    <xf numFmtId="0" fontId="8" fillId="11" borderId="3" xfId="0" applyFont="1" applyFill="1" applyBorder="1" applyAlignment="1" applyProtection="1">
      <alignment horizontal="center"/>
      <protection locked="0"/>
    </xf>
    <xf numFmtId="0" fontId="16" fillId="11" borderId="3" xfId="0" applyFont="1" applyFill="1" applyBorder="1" applyAlignment="1">
      <alignment horizontal="left" vertical="center"/>
    </xf>
    <xf numFmtId="4" fontId="8" fillId="11" borderId="3" xfId="0" applyNumberFormat="1" applyFont="1" applyFill="1" applyBorder="1" applyProtection="1">
      <protection locked="0"/>
    </xf>
    <xf numFmtId="0" fontId="14" fillId="14" borderId="13" xfId="0" applyFont="1" applyFill="1" applyBorder="1" applyAlignment="1" applyProtection="1">
      <alignment horizontal="center"/>
      <protection locked="0"/>
    </xf>
    <xf numFmtId="0" fontId="14" fillId="14" borderId="13" xfId="0" applyFont="1" applyFill="1" applyBorder="1" applyProtection="1">
      <protection locked="0"/>
    </xf>
    <xf numFmtId="0" fontId="14" fillId="15" borderId="13" xfId="0" applyFont="1" applyFill="1" applyBorder="1" applyAlignment="1" applyProtection="1">
      <alignment horizontal="center"/>
      <protection locked="0"/>
    </xf>
    <xf numFmtId="4" fontId="14" fillId="15" borderId="13" xfId="0" applyNumberFormat="1" applyFont="1" applyFill="1" applyBorder="1" applyProtection="1">
      <protection locked="0"/>
    </xf>
    <xf numFmtId="0" fontId="12" fillId="4" borderId="3" xfId="0" applyFont="1" applyFill="1" applyBorder="1" applyAlignment="1" applyProtection="1">
      <alignment vertical="center"/>
      <protection locked="0"/>
    </xf>
    <xf numFmtId="4" fontId="12" fillId="4" borderId="3" xfId="0" applyNumberFormat="1" applyFont="1" applyFill="1" applyBorder="1" applyAlignment="1" applyProtection="1">
      <alignment vertical="center" wrapText="1"/>
      <protection locked="0"/>
    </xf>
    <xf numFmtId="0" fontId="8" fillId="15" borderId="13" xfId="0" applyFont="1" applyFill="1" applyBorder="1" applyProtection="1">
      <protection locked="0"/>
    </xf>
    <xf numFmtId="0" fontId="13" fillId="3" borderId="0" xfId="0" applyFont="1" applyFill="1" applyAlignment="1" applyProtection="1">
      <alignment horizontal="center" vertical="center"/>
      <protection hidden="1"/>
    </xf>
    <xf numFmtId="0" fontId="16" fillId="3" borderId="0" xfId="0" applyFont="1" applyFill="1" applyAlignment="1">
      <alignment horizontal="right" vertical="center"/>
    </xf>
    <xf numFmtId="0" fontId="10" fillId="12" borderId="4" xfId="0" applyFont="1" applyFill="1" applyBorder="1" applyAlignment="1">
      <alignment vertical="center"/>
    </xf>
    <xf numFmtId="0" fontId="10" fillId="3" borderId="0" xfId="0" applyFont="1" applyFill="1" applyAlignment="1">
      <alignment horizontal="left" vertical="center"/>
    </xf>
    <xf numFmtId="0" fontId="10" fillId="5" borderId="0" xfId="0" applyFont="1" applyFill="1" applyAlignment="1">
      <alignment vertical="center"/>
    </xf>
    <xf numFmtId="0" fontId="16" fillId="9" borderId="0" xfId="0" applyFont="1" applyFill="1" applyAlignment="1">
      <alignment vertical="center"/>
    </xf>
    <xf numFmtId="0" fontId="16" fillId="3" borderId="0" xfId="0" applyFont="1" applyFill="1" applyAlignment="1">
      <alignment horizontal="center" vertical="center"/>
    </xf>
    <xf numFmtId="0" fontId="10" fillId="5" borderId="0" xfId="0" applyFont="1" applyFill="1" applyAlignment="1">
      <alignment horizontal="center" vertical="center"/>
    </xf>
    <xf numFmtId="0" fontId="16" fillId="9" borderId="0" xfId="0" applyFont="1" applyFill="1" applyAlignment="1">
      <alignment horizontal="center" vertical="center"/>
    </xf>
    <xf numFmtId="0" fontId="10" fillId="3" borderId="0" xfId="0" applyFont="1" applyFill="1" applyAlignment="1">
      <alignment vertical="center"/>
    </xf>
    <xf numFmtId="4" fontId="16" fillId="9" borderId="0" xfId="0" applyNumberFormat="1" applyFont="1" applyFill="1" applyAlignment="1">
      <alignment horizontal="right" vertical="center"/>
    </xf>
    <xf numFmtId="0" fontId="10" fillId="5" borderId="0" xfId="0" applyFont="1" applyFill="1" applyAlignment="1">
      <alignment horizontal="right" vertical="center"/>
    </xf>
    <xf numFmtId="0" fontId="3" fillId="19" borderId="0" xfId="0" applyFont="1" applyFill="1" applyAlignment="1">
      <alignment vertical="center"/>
    </xf>
    <xf numFmtId="0" fontId="0" fillId="11" borderId="16" xfId="0" applyFill="1" applyBorder="1" applyAlignment="1" applyProtection="1">
      <alignment vertical="center"/>
      <protection locked="0"/>
    </xf>
    <xf numFmtId="0" fontId="1" fillId="4" borderId="14" xfId="0" applyFont="1" applyFill="1" applyBorder="1" applyAlignment="1" applyProtection="1">
      <alignment vertical="center"/>
      <protection locked="0"/>
    </xf>
    <xf numFmtId="0" fontId="1" fillId="4" borderId="14" xfId="0" applyFont="1" applyFill="1" applyBorder="1"/>
    <xf numFmtId="0" fontId="3" fillId="18" borderId="18" xfId="0" applyFont="1" applyFill="1" applyBorder="1" applyAlignment="1">
      <alignment vertical="center"/>
    </xf>
    <xf numFmtId="0" fontId="3" fillId="20" borderId="18" xfId="0" applyFont="1" applyFill="1" applyBorder="1" applyAlignment="1">
      <alignment vertical="center"/>
    </xf>
    <xf numFmtId="0" fontId="0" fillId="0" borderId="14" xfId="0" applyBorder="1" applyAlignment="1">
      <alignment horizontal="center" vertical="center"/>
    </xf>
    <xf numFmtId="0" fontId="3" fillId="15" borderId="18" xfId="0" applyFont="1" applyFill="1" applyBorder="1" applyAlignment="1">
      <alignment vertical="center"/>
    </xf>
    <xf numFmtId="0" fontId="3" fillId="21" borderId="18" xfId="0" applyFont="1" applyFill="1" applyBorder="1" applyAlignment="1">
      <alignment vertical="center"/>
    </xf>
    <xf numFmtId="0" fontId="0" fillId="0" borderId="14" xfId="0" applyBorder="1" applyAlignment="1">
      <alignment horizontal="left" vertical="center"/>
    </xf>
    <xf numFmtId="0" fontId="0" fillId="0" borderId="14" xfId="0" applyBorder="1" applyAlignment="1">
      <alignment vertical="center"/>
    </xf>
    <xf numFmtId="0" fontId="0" fillId="0" borderId="14" xfId="0" applyBorder="1" applyAlignment="1">
      <alignment vertical="center" wrapText="1"/>
    </xf>
    <xf numFmtId="0" fontId="0" fillId="11" borderId="14" xfId="0" applyFill="1" applyBorder="1" applyAlignment="1">
      <alignment vertical="center"/>
    </xf>
    <xf numFmtId="0" fontId="0" fillId="11" borderId="14" xfId="0" applyFill="1" applyBorder="1" applyAlignment="1">
      <alignment horizontal="left" vertical="center"/>
    </xf>
    <xf numFmtId="0" fontId="0" fillId="0" borderId="0" xfId="0" applyAlignment="1">
      <alignment vertical="center" wrapText="1"/>
    </xf>
    <xf numFmtId="0" fontId="0" fillId="0" borderId="0" xfId="0" applyAlignment="1">
      <alignment horizontal="left" vertical="center"/>
    </xf>
    <xf numFmtId="0" fontId="1" fillId="18" borderId="19" xfId="0" applyFont="1" applyFill="1" applyBorder="1" applyAlignment="1">
      <alignment vertical="center"/>
    </xf>
    <xf numFmtId="0" fontId="1" fillId="18" borderId="19" xfId="0" applyFont="1" applyFill="1" applyBorder="1" applyAlignment="1">
      <alignment vertical="center" wrapText="1"/>
    </xf>
    <xf numFmtId="0" fontId="1" fillId="18" borderId="20" xfId="0" applyFont="1" applyFill="1" applyBorder="1" applyAlignment="1">
      <alignment horizontal="left" vertical="center"/>
    </xf>
    <xf numFmtId="0" fontId="0" fillId="11" borderId="14" xfId="0" applyFill="1" applyBorder="1" applyAlignment="1">
      <alignment horizontal="left" vertical="center" wrapText="1"/>
    </xf>
    <xf numFmtId="0" fontId="0" fillId="0" borderId="14" xfId="0" applyBorder="1" applyAlignment="1">
      <alignment horizontal="left" vertical="center" wrapText="1"/>
    </xf>
    <xf numFmtId="0" fontId="1" fillId="19" borderId="0" xfId="0" applyFont="1" applyFill="1" applyAlignment="1">
      <alignment vertical="center"/>
    </xf>
    <xf numFmtId="0" fontId="1" fillId="19" borderId="0" xfId="0" applyFont="1" applyFill="1" applyAlignment="1">
      <alignment vertical="center" wrapText="1"/>
    </xf>
    <xf numFmtId="0" fontId="1" fillId="19" borderId="0" xfId="0" applyFont="1" applyFill="1" applyAlignment="1">
      <alignment horizontal="left" vertical="center"/>
    </xf>
    <xf numFmtId="0" fontId="0" fillId="0" borderId="0" xfId="0" applyAlignment="1">
      <alignment horizontal="left" vertical="center" wrapText="1"/>
    </xf>
    <xf numFmtId="0" fontId="1" fillId="20" borderId="19" xfId="0" applyFont="1" applyFill="1" applyBorder="1" applyAlignment="1">
      <alignment vertical="center"/>
    </xf>
    <xf numFmtId="0" fontId="1" fillId="20" borderId="19" xfId="0" applyFont="1" applyFill="1" applyBorder="1" applyAlignment="1">
      <alignment vertical="center" wrapText="1"/>
    </xf>
    <xf numFmtId="0" fontId="1" fillId="20" borderId="20" xfId="0" applyFont="1" applyFill="1" applyBorder="1" applyAlignment="1">
      <alignment horizontal="left" vertical="center"/>
    </xf>
    <xf numFmtId="4" fontId="0" fillId="0" borderId="14" xfId="0" applyNumberFormat="1" applyBorder="1" applyAlignment="1">
      <alignment horizontal="left" vertical="center" wrapText="1"/>
    </xf>
    <xf numFmtId="0" fontId="1" fillId="15" borderId="19" xfId="0" applyFont="1" applyFill="1" applyBorder="1" applyAlignment="1">
      <alignment vertical="center"/>
    </xf>
    <xf numFmtId="0" fontId="1" fillId="15" borderId="19" xfId="0" applyFont="1" applyFill="1" applyBorder="1" applyAlignment="1">
      <alignment vertical="center" wrapText="1"/>
    </xf>
    <xf numFmtId="0" fontId="1" fillId="15" borderId="20" xfId="0" applyFont="1" applyFill="1" applyBorder="1" applyAlignment="1">
      <alignment horizontal="left" vertical="center"/>
    </xf>
    <xf numFmtId="0" fontId="1" fillId="21" borderId="19" xfId="0" applyFont="1" applyFill="1" applyBorder="1" applyAlignment="1">
      <alignment vertical="center"/>
    </xf>
    <xf numFmtId="0" fontId="1" fillId="21" borderId="19" xfId="0" applyFont="1" applyFill="1" applyBorder="1" applyAlignment="1">
      <alignment vertical="center" wrapText="1"/>
    </xf>
    <xf numFmtId="0" fontId="1" fillId="21" borderId="20" xfId="0" applyFont="1" applyFill="1" applyBorder="1" applyAlignment="1">
      <alignment horizontal="left" vertical="center"/>
    </xf>
    <xf numFmtId="0" fontId="0" fillId="0" borderId="14" xfId="0" applyBorder="1" applyAlignment="1">
      <alignment horizontal="left" vertical="center" indent="3"/>
    </xf>
    <xf numFmtId="0" fontId="0" fillId="0" borderId="14" xfId="0" applyBorder="1" applyAlignment="1">
      <alignment horizontal="left" vertical="center" wrapText="1" indent="3"/>
    </xf>
    <xf numFmtId="0" fontId="10" fillId="12" borderId="4" xfId="0" applyFont="1" applyFill="1" applyBorder="1" applyAlignment="1" applyProtection="1">
      <alignment horizontal="left" vertical="center"/>
      <protection locked="0"/>
    </xf>
    <xf numFmtId="0" fontId="16" fillId="3" borderId="0" xfId="0" applyFont="1" applyFill="1" applyAlignment="1" applyProtection="1">
      <alignment vertical="center"/>
      <protection locked="0"/>
    </xf>
    <xf numFmtId="0" fontId="23" fillId="12" borderId="3" xfId="0" applyFont="1" applyFill="1" applyBorder="1"/>
    <xf numFmtId="0" fontId="17" fillId="3" borderId="3" xfId="0" applyFont="1" applyFill="1" applyBorder="1"/>
    <xf numFmtId="0" fontId="17" fillId="11" borderId="3" xfId="0" applyFont="1" applyFill="1" applyBorder="1"/>
    <xf numFmtId="0" fontId="17" fillId="9" borderId="3" xfId="0" applyFont="1" applyFill="1" applyBorder="1"/>
    <xf numFmtId="0" fontId="24" fillId="14" borderId="4" xfId="0" applyFont="1" applyFill="1" applyBorder="1" applyAlignment="1">
      <alignment horizontal="left"/>
    </xf>
    <xf numFmtId="3" fontId="14" fillId="14" borderId="13" xfId="0" applyNumberFormat="1" applyFont="1" applyFill="1" applyBorder="1" applyAlignment="1" applyProtection="1">
      <alignment horizontal="center"/>
      <protection locked="0"/>
    </xf>
    <xf numFmtId="0" fontId="19" fillId="3" borderId="0" xfId="0" applyFont="1" applyFill="1" applyAlignment="1" applyProtection="1">
      <alignment horizontal="center"/>
      <protection locked="0"/>
    </xf>
    <xf numFmtId="3" fontId="8" fillId="3" borderId="0" xfId="0" applyNumberFormat="1" applyFont="1" applyFill="1" applyAlignment="1" applyProtection="1">
      <alignment horizontal="center"/>
      <protection locked="0"/>
    </xf>
    <xf numFmtId="0" fontId="3" fillId="22" borderId="18" xfId="0" applyFont="1" applyFill="1" applyBorder="1" applyAlignment="1">
      <alignment vertical="center"/>
    </xf>
    <xf numFmtId="0" fontId="1" fillId="22" borderId="19" xfId="0" applyFont="1" applyFill="1" applyBorder="1" applyAlignment="1">
      <alignment vertical="center"/>
    </xf>
    <xf numFmtId="0" fontId="1" fillId="22" borderId="19" xfId="0" applyFont="1" applyFill="1" applyBorder="1" applyAlignment="1">
      <alignment vertical="center" wrapText="1"/>
    </xf>
    <xf numFmtId="0" fontId="1" fillId="22" borderId="20" xfId="0" applyFont="1" applyFill="1" applyBorder="1" applyAlignment="1">
      <alignment horizontal="left" vertical="center"/>
    </xf>
    <xf numFmtId="0" fontId="24" fillId="15" borderId="13" xfId="0" applyFont="1" applyFill="1" applyBorder="1" applyAlignment="1" applyProtection="1">
      <alignment horizontal="left"/>
      <protection locked="0"/>
    </xf>
    <xf numFmtId="0" fontId="21" fillId="3" borderId="11" xfId="0" applyFont="1" applyFill="1" applyBorder="1" applyAlignment="1" applyProtection="1">
      <alignment horizontal="left"/>
      <protection locked="0"/>
    </xf>
    <xf numFmtId="0" fontId="8" fillId="15" borderId="13" xfId="0" applyFont="1" applyFill="1" applyBorder="1"/>
    <xf numFmtId="0" fontId="12" fillId="4" borderId="3" xfId="0" applyFont="1" applyFill="1" applyBorder="1" applyAlignment="1">
      <alignment vertical="center"/>
    </xf>
    <xf numFmtId="0" fontId="24" fillId="15" borderId="4" xfId="0" applyFont="1" applyFill="1" applyBorder="1" applyAlignment="1">
      <alignment horizontal="left"/>
    </xf>
    <xf numFmtId="0" fontId="21" fillId="3" borderId="10" xfId="0" applyFont="1" applyFill="1" applyBorder="1" applyAlignment="1">
      <alignment horizontal="left"/>
    </xf>
    <xf numFmtId="0" fontId="11" fillId="0" borderId="0" xfId="0" applyFont="1"/>
    <xf numFmtId="0" fontId="0" fillId="3" borderId="14" xfId="0" applyFill="1" applyBorder="1" applyAlignment="1">
      <alignment vertical="center"/>
    </xf>
    <xf numFmtId="0" fontId="0" fillId="3" borderId="14" xfId="0" applyFill="1" applyBorder="1" applyAlignment="1">
      <alignment horizontal="left" vertical="center"/>
    </xf>
    <xf numFmtId="2" fontId="0" fillId="3" borderId="14" xfId="0" applyNumberFormat="1" applyFill="1" applyBorder="1" applyAlignment="1">
      <alignment horizontal="left" vertical="center"/>
    </xf>
    <xf numFmtId="4" fontId="16" fillId="9" borderId="0" xfId="0" applyNumberFormat="1" applyFont="1" applyFill="1" applyAlignment="1">
      <alignment vertical="center"/>
    </xf>
    <xf numFmtId="4" fontId="8" fillId="15" borderId="13" xfId="0" applyNumberFormat="1" applyFont="1" applyFill="1" applyBorder="1" applyProtection="1">
      <protection locked="0"/>
    </xf>
    <xf numFmtId="0" fontId="0" fillId="0" borderId="18" xfId="0" applyBorder="1" applyAlignment="1">
      <alignment horizontal="center" vertical="center"/>
    </xf>
    <xf numFmtId="0" fontId="0" fillId="0" borderId="19" xfId="0" applyBorder="1" applyAlignment="1">
      <alignment vertical="center"/>
    </xf>
    <xf numFmtId="0" fontId="0" fillId="0" borderId="19" xfId="0" applyBorder="1" applyAlignment="1">
      <alignment vertical="center" wrapText="1"/>
    </xf>
    <xf numFmtId="0" fontId="0" fillId="0" borderId="20" xfId="0" applyBorder="1" applyAlignment="1">
      <alignment horizontal="left" vertical="center" wrapText="1"/>
    </xf>
    <xf numFmtId="0" fontId="10" fillId="9" borderId="0" xfId="0" applyFont="1" applyFill="1" applyAlignment="1">
      <alignment vertical="center"/>
    </xf>
    <xf numFmtId="4" fontId="10" fillId="9" borderId="0" xfId="0" applyNumberFormat="1" applyFont="1" applyFill="1" applyAlignment="1">
      <alignment vertical="center"/>
    </xf>
    <xf numFmtId="0" fontId="28" fillId="17" borderId="18" xfId="0" applyFont="1" applyFill="1" applyBorder="1" applyAlignment="1">
      <alignment vertical="center"/>
    </xf>
    <xf numFmtId="0" fontId="27" fillId="17" borderId="19" xfId="0" applyFont="1" applyFill="1" applyBorder="1" applyAlignment="1">
      <alignment vertical="center"/>
    </xf>
    <xf numFmtId="0" fontId="27" fillId="17" borderId="19" xfId="0" applyFont="1" applyFill="1" applyBorder="1" applyAlignment="1">
      <alignment vertical="center" wrapText="1"/>
    </xf>
    <xf numFmtId="0" fontId="27" fillId="17" borderId="20" xfId="0" applyFont="1" applyFill="1" applyBorder="1" applyAlignment="1">
      <alignment horizontal="left" vertical="center"/>
    </xf>
    <xf numFmtId="0" fontId="1" fillId="23" borderId="14" xfId="0" applyFont="1" applyFill="1" applyBorder="1" applyAlignment="1">
      <alignment horizontal="center" vertical="center"/>
    </xf>
    <xf numFmtId="0" fontId="1" fillId="23" borderId="14" xfId="0" applyFont="1" applyFill="1" applyBorder="1" applyAlignment="1">
      <alignment vertical="center"/>
    </xf>
    <xf numFmtId="0" fontId="1" fillId="23" borderId="14" xfId="0" applyFont="1" applyFill="1" applyBorder="1" applyAlignment="1">
      <alignment vertical="center" wrapText="1"/>
    </xf>
    <xf numFmtId="0" fontId="1" fillId="23" borderId="14" xfId="0" applyFont="1" applyFill="1" applyBorder="1" applyAlignment="1">
      <alignment horizontal="left" vertical="center"/>
    </xf>
    <xf numFmtId="0" fontId="0" fillId="3" borderId="15" xfId="0" applyFill="1" applyBorder="1" applyAlignment="1" applyProtection="1">
      <alignment vertical="center"/>
      <protection locked="0"/>
    </xf>
    <xf numFmtId="0" fontId="0" fillId="5" borderId="14" xfId="0" applyFill="1" applyBorder="1" applyAlignment="1">
      <alignment vertical="center"/>
    </xf>
    <xf numFmtId="0" fontId="0" fillId="5" borderId="14" xfId="0" applyFill="1" applyBorder="1" applyAlignment="1">
      <alignment horizontal="left" vertical="center"/>
    </xf>
    <xf numFmtId="0" fontId="0" fillId="5" borderId="17" xfId="0" applyFill="1" applyBorder="1" applyAlignment="1" applyProtection="1">
      <alignment vertical="center"/>
      <protection locked="0"/>
    </xf>
    <xf numFmtId="0" fontId="8" fillId="9" borderId="10" xfId="0" applyFont="1" applyFill="1" applyBorder="1" applyAlignment="1">
      <alignment horizontal="left"/>
    </xf>
    <xf numFmtId="0" fontId="0" fillId="3" borderId="14" xfId="0" applyFill="1" applyBorder="1" applyAlignment="1">
      <alignment vertical="center" wrapText="1"/>
    </xf>
    <xf numFmtId="0" fontId="4" fillId="0" borderId="0" xfId="0" applyFont="1"/>
    <xf numFmtId="165" fontId="8" fillId="3" borderId="0" xfId="0" applyNumberFormat="1" applyFont="1" applyFill="1" applyAlignment="1" applyProtection="1">
      <alignment horizontal="center" vertical="center"/>
      <protection locked="0"/>
    </xf>
    <xf numFmtId="165" fontId="8" fillId="11" borderId="3" xfId="0" applyNumberFormat="1" applyFont="1" applyFill="1" applyBorder="1" applyAlignment="1" applyProtection="1">
      <alignment horizontal="center" vertical="center"/>
      <protection locked="0"/>
    </xf>
    <xf numFmtId="0" fontId="29" fillId="3" borderId="0" xfId="0" applyFont="1" applyFill="1" applyAlignment="1">
      <alignment vertical="center"/>
    </xf>
    <xf numFmtId="0" fontId="14" fillId="3" borderId="0" xfId="0" applyFont="1" applyFill="1" applyAlignment="1">
      <alignment horizontal="center"/>
    </xf>
    <xf numFmtId="0" fontId="21" fillId="3" borderId="0" xfId="0" applyFont="1" applyFill="1"/>
    <xf numFmtId="0" fontId="26" fillId="0" borderId="0" xfId="5"/>
    <xf numFmtId="0" fontId="30" fillId="0" borderId="0" xfId="0" applyFont="1"/>
    <xf numFmtId="0" fontId="31" fillId="0" borderId="0" xfId="0" applyFont="1"/>
    <xf numFmtId="0" fontId="32" fillId="0" borderId="0" xfId="0" applyFont="1"/>
    <xf numFmtId="0" fontId="0" fillId="3" borderId="0" xfId="0" applyFill="1"/>
    <xf numFmtId="0" fontId="0" fillId="3" borderId="0" xfId="0" applyFill="1" applyAlignment="1">
      <alignment vertical="center"/>
    </xf>
    <xf numFmtId="4" fontId="12" fillId="6" borderId="3" xfId="0" applyNumberFormat="1" applyFont="1" applyFill="1" applyBorder="1"/>
    <xf numFmtId="3" fontId="8" fillId="9" borderId="3" xfId="0" applyNumberFormat="1" applyFont="1" applyFill="1" applyBorder="1" applyAlignment="1">
      <alignment horizontal="center"/>
    </xf>
    <xf numFmtId="0" fontId="14" fillId="3" borderId="0" xfId="0" applyFont="1" applyFill="1" applyAlignment="1">
      <alignment horizontal="center" vertical="center"/>
    </xf>
    <xf numFmtId="0" fontId="10" fillId="12" borderId="14" xfId="0" applyFont="1" applyFill="1" applyBorder="1" applyAlignment="1">
      <alignment vertical="center"/>
    </xf>
    <xf numFmtId="0" fontId="10" fillId="12" borderId="14" xfId="0" applyFont="1" applyFill="1" applyBorder="1" applyAlignment="1">
      <alignment horizontal="center" vertical="center"/>
    </xf>
    <xf numFmtId="0" fontId="10" fillId="9" borderId="17" xfId="0" applyFont="1" applyFill="1" applyBorder="1" applyAlignment="1">
      <alignment vertical="center"/>
    </xf>
    <xf numFmtId="0" fontId="16" fillId="9" borderId="17" xfId="0" applyFont="1" applyFill="1" applyBorder="1" applyAlignment="1">
      <alignment horizontal="center" vertical="center"/>
    </xf>
    <xf numFmtId="0" fontId="10" fillId="9" borderId="14" xfId="0" applyFont="1" applyFill="1" applyBorder="1" applyAlignment="1">
      <alignment vertical="center"/>
    </xf>
    <xf numFmtId="0" fontId="16" fillId="9" borderId="14" xfId="0" applyFont="1" applyFill="1" applyBorder="1" applyAlignment="1">
      <alignment horizontal="center" vertical="center"/>
    </xf>
    <xf numFmtId="0" fontId="10" fillId="6" borderId="4" xfId="0" applyFont="1" applyFill="1" applyBorder="1" applyAlignment="1">
      <alignment horizontal="left" vertical="center"/>
    </xf>
    <xf numFmtId="0" fontId="10" fillId="6" borderId="13" xfId="0" applyFont="1" applyFill="1" applyBorder="1" applyAlignment="1">
      <alignment horizontal="left" vertical="center"/>
    </xf>
    <xf numFmtId="0" fontId="10" fillId="6" borderId="5" xfId="0" applyFont="1" applyFill="1" applyBorder="1" applyAlignment="1">
      <alignment horizontal="left" vertical="center"/>
    </xf>
    <xf numFmtId="0" fontId="10" fillId="4" borderId="3" xfId="0" applyFont="1" applyFill="1" applyBorder="1" applyAlignment="1">
      <alignment vertical="center"/>
    </xf>
    <xf numFmtId="0" fontId="10" fillId="4" borderId="3" xfId="0" applyFont="1" applyFill="1" applyBorder="1" applyAlignment="1">
      <alignment horizontal="center" vertical="center"/>
    </xf>
    <xf numFmtId="0" fontId="16" fillId="9" borderId="3" xfId="0" applyFont="1" applyFill="1" applyBorder="1" applyAlignment="1">
      <alignment vertical="center"/>
    </xf>
    <xf numFmtId="4" fontId="16" fillId="9" borderId="3" xfId="0" applyNumberFormat="1" applyFont="1" applyFill="1" applyBorder="1" applyAlignment="1">
      <alignment horizontal="right" vertical="center"/>
    </xf>
    <xf numFmtId="4" fontId="16" fillId="9" borderId="3" xfId="0" applyNumberFormat="1" applyFont="1" applyFill="1" applyBorder="1" applyAlignment="1">
      <alignment vertical="center"/>
    </xf>
    <xf numFmtId="0" fontId="10" fillId="4" borderId="3" xfId="0" applyFont="1" applyFill="1" applyBorder="1" applyAlignment="1">
      <alignment horizontal="right" vertical="center"/>
    </xf>
    <xf numFmtId="0" fontId="0" fillId="3" borderId="0" xfId="0" applyFill="1" applyAlignment="1">
      <alignment horizontal="center"/>
    </xf>
    <xf numFmtId="0" fontId="8" fillId="9" borderId="5" xfId="0" applyFont="1" applyFill="1" applyBorder="1" applyAlignment="1">
      <alignment horizontal="center"/>
    </xf>
    <xf numFmtId="0" fontId="8" fillId="3" borderId="4" xfId="0" applyFont="1" applyFill="1" applyBorder="1" applyProtection="1">
      <protection locked="0"/>
    </xf>
    <xf numFmtId="0" fontId="8" fillId="11" borderId="7" xfId="0" applyFont="1" applyFill="1" applyBorder="1" applyAlignment="1" applyProtection="1">
      <alignment horizontal="center"/>
      <protection locked="0"/>
    </xf>
    <xf numFmtId="4" fontId="8" fillId="3" borderId="7" xfId="0" applyNumberFormat="1" applyFont="1" applyFill="1" applyBorder="1" applyProtection="1">
      <protection locked="0"/>
    </xf>
    <xf numFmtId="0" fontId="8" fillId="9" borderId="7" xfId="0" applyFont="1" applyFill="1" applyBorder="1"/>
    <xf numFmtId="0" fontId="8" fillId="3" borderId="25" xfId="0" applyFont="1" applyFill="1" applyBorder="1" applyProtection="1">
      <protection locked="0"/>
    </xf>
    <xf numFmtId="0" fontId="0" fillId="0" borderId="0" xfId="0" pivotButton="1"/>
    <xf numFmtId="0" fontId="8" fillId="9" borderId="0" xfId="0" applyFont="1" applyFill="1"/>
    <xf numFmtId="0" fontId="8" fillId="4" borderId="13" xfId="0" applyFont="1" applyFill="1" applyBorder="1"/>
    <xf numFmtId="0" fontId="0" fillId="0" borderId="0" xfId="0" applyAlignment="1">
      <alignment horizontal="left" indent="1"/>
    </xf>
    <xf numFmtId="0" fontId="12" fillId="24" borderId="12" xfId="0" applyFont="1" applyFill="1" applyBorder="1" applyAlignment="1">
      <alignment horizontal="center" vertical="center"/>
    </xf>
    <xf numFmtId="0" fontId="12" fillId="24" borderId="6" xfId="0" applyFont="1" applyFill="1" applyBorder="1" applyAlignment="1" applyProtection="1">
      <alignment horizontal="center" vertical="center"/>
      <protection locked="0"/>
    </xf>
    <xf numFmtId="4" fontId="12" fillId="24" borderId="6" xfId="0" applyNumberFormat="1" applyFont="1" applyFill="1" applyBorder="1" applyAlignment="1" applyProtection="1">
      <alignment horizontal="center" vertical="center" wrapText="1"/>
      <protection locked="0"/>
    </xf>
    <xf numFmtId="0" fontId="12" fillId="24" borderId="10" xfId="0" applyFont="1" applyFill="1" applyBorder="1" applyAlignment="1">
      <alignment horizontal="center" vertical="center"/>
    </xf>
    <xf numFmtId="0" fontId="12" fillId="24" borderId="11" xfId="0" applyFont="1" applyFill="1" applyBorder="1" applyAlignment="1" applyProtection="1">
      <alignment horizontal="center" vertical="center"/>
      <protection locked="0"/>
    </xf>
    <xf numFmtId="0" fontId="12" fillId="24" borderId="3" xfId="0" applyFont="1" applyFill="1" applyBorder="1" applyAlignment="1">
      <alignment horizontal="center"/>
    </xf>
    <xf numFmtId="0" fontId="8" fillId="9" borderId="8" xfId="0" applyFont="1" applyFill="1" applyBorder="1" applyAlignment="1">
      <alignment horizontal="left"/>
    </xf>
    <xf numFmtId="0" fontId="8" fillId="9" borderId="9" xfId="0" applyFont="1" applyFill="1" applyBorder="1"/>
    <xf numFmtId="0" fontId="8" fillId="0" borderId="0" xfId="0" applyFont="1" applyAlignment="1">
      <alignment horizontal="left"/>
    </xf>
    <xf numFmtId="0" fontId="8" fillId="0" borderId="0" xfId="0" applyFont="1"/>
    <xf numFmtId="0" fontId="2" fillId="2" borderId="0" xfId="0" applyFont="1" applyFill="1" applyAlignment="1">
      <alignment horizontal="left"/>
    </xf>
    <xf numFmtId="0" fontId="8" fillId="9" borderId="5" xfId="0" applyFont="1" applyFill="1" applyBorder="1" applyProtection="1">
      <protection locked="0"/>
    </xf>
    <xf numFmtId="0" fontId="12" fillId="25" borderId="12" xfId="0" applyFont="1" applyFill="1" applyBorder="1" applyAlignment="1">
      <alignment horizontal="center" vertical="center"/>
    </xf>
    <xf numFmtId="0" fontId="12" fillId="25" borderId="6" xfId="0" applyFont="1" applyFill="1" applyBorder="1" applyAlignment="1" applyProtection="1">
      <alignment horizontal="center" vertical="center"/>
      <protection locked="0"/>
    </xf>
    <xf numFmtId="165" fontId="12" fillId="25" borderId="6" xfId="0" applyNumberFormat="1" applyFont="1" applyFill="1" applyBorder="1" applyAlignment="1" applyProtection="1">
      <alignment horizontal="center" vertical="center"/>
      <protection locked="0"/>
    </xf>
    <xf numFmtId="165" fontId="12" fillId="25" borderId="27" xfId="0" applyNumberFormat="1" applyFont="1" applyFill="1" applyBorder="1" applyAlignment="1" applyProtection="1">
      <alignment horizontal="center" vertical="center"/>
      <protection locked="0"/>
    </xf>
    <xf numFmtId="0" fontId="17" fillId="9" borderId="5" xfId="0" applyFont="1" applyFill="1" applyBorder="1" applyAlignment="1">
      <alignment horizontal="center"/>
    </xf>
    <xf numFmtId="0" fontId="24" fillId="25" borderId="6" xfId="0" applyFont="1" applyFill="1" applyBorder="1" applyAlignment="1" applyProtection="1">
      <alignment horizontal="center" vertical="center"/>
      <protection locked="0"/>
    </xf>
    <xf numFmtId="166" fontId="8" fillId="9" borderId="4" xfId="0" applyNumberFormat="1" applyFont="1" applyFill="1" applyBorder="1" applyProtection="1">
      <protection locked="0"/>
    </xf>
    <xf numFmtId="165" fontId="24" fillId="25" borderId="27" xfId="0" applyNumberFormat="1" applyFont="1" applyFill="1" applyBorder="1" applyAlignment="1" applyProtection="1">
      <alignment horizontal="center" vertical="center"/>
      <protection locked="0"/>
    </xf>
    <xf numFmtId="0" fontId="34" fillId="26" borderId="0" xfId="0" applyFont="1" applyFill="1"/>
    <xf numFmtId="0" fontId="0" fillId="26" borderId="0" xfId="0" applyFill="1"/>
    <xf numFmtId="0" fontId="0" fillId="27" borderId="28" xfId="0" applyFill="1" applyBorder="1"/>
    <xf numFmtId="0" fontId="0" fillId="27" borderId="30" xfId="0" applyFill="1" applyBorder="1"/>
    <xf numFmtId="0" fontId="0" fillId="0" borderId="31" xfId="0" applyBorder="1"/>
    <xf numFmtId="0" fontId="0" fillId="0" borderId="29" xfId="0" applyBorder="1"/>
    <xf numFmtId="9" fontId="17" fillId="11" borderId="3" xfId="6" applyFont="1" applyFill="1" applyBorder="1" applyAlignment="1" applyProtection="1">
      <alignment horizontal="center" vertical="center"/>
      <protection locked="0"/>
    </xf>
    <xf numFmtId="2" fontId="17" fillId="3" borderId="3" xfId="0" applyNumberFormat="1" applyFont="1" applyFill="1" applyBorder="1" applyAlignment="1" applyProtection="1">
      <alignment horizontal="center"/>
      <protection locked="0"/>
    </xf>
    <xf numFmtId="167" fontId="17" fillId="9" borderId="3" xfId="0" applyNumberFormat="1" applyFont="1" applyFill="1" applyBorder="1" applyAlignment="1" applyProtection="1">
      <alignment horizontal="center"/>
      <protection locked="0"/>
    </xf>
    <xf numFmtId="4" fontId="17" fillId="9" borderId="3" xfId="0" applyNumberFormat="1" applyFont="1" applyFill="1" applyBorder="1" applyAlignment="1" applyProtection="1">
      <alignment horizontal="center"/>
      <protection locked="0"/>
    </xf>
    <xf numFmtId="2" fontId="17" fillId="9" borderId="3" xfId="0" applyNumberFormat="1" applyFont="1" applyFill="1" applyBorder="1" applyAlignment="1" applyProtection="1">
      <alignment horizontal="center"/>
      <protection locked="0"/>
    </xf>
    <xf numFmtId="0" fontId="23" fillId="9" borderId="5" xfId="0" applyFont="1" applyFill="1" applyBorder="1" applyAlignment="1">
      <alignment horizontal="center"/>
    </xf>
    <xf numFmtId="0" fontId="23" fillId="9" borderId="5" xfId="0" applyFont="1" applyFill="1" applyBorder="1" applyAlignment="1" applyProtection="1">
      <alignment horizontal="center"/>
      <protection locked="0"/>
    </xf>
    <xf numFmtId="9" fontId="23" fillId="9" borderId="5" xfId="6" applyFont="1" applyFill="1" applyBorder="1" applyAlignment="1">
      <alignment horizontal="right"/>
    </xf>
    <xf numFmtId="4" fontId="23" fillId="9" borderId="3" xfId="0" applyNumberFormat="1" applyFont="1" applyFill="1" applyBorder="1" applyAlignment="1" applyProtection="1">
      <alignment horizontal="center"/>
      <protection locked="0"/>
    </xf>
    <xf numFmtId="165" fontId="23" fillId="9" borderId="3" xfId="0" applyNumberFormat="1" applyFont="1" applyFill="1" applyBorder="1" applyAlignment="1" applyProtection="1">
      <alignment horizontal="center"/>
      <protection locked="0"/>
    </xf>
    <xf numFmtId="9" fontId="23" fillId="9" borderId="3" xfId="6" applyFont="1" applyFill="1" applyBorder="1" applyAlignment="1" applyProtection="1">
      <alignment horizontal="center" vertical="center"/>
      <protection locked="0"/>
    </xf>
    <xf numFmtId="2" fontId="23" fillId="9" borderId="3" xfId="0" applyNumberFormat="1" applyFont="1" applyFill="1" applyBorder="1" applyAlignment="1" applyProtection="1">
      <alignment horizontal="center"/>
      <protection locked="0"/>
    </xf>
    <xf numFmtId="9" fontId="17" fillId="9" borderId="3" xfId="6" applyFont="1" applyFill="1" applyBorder="1" applyProtection="1">
      <protection locked="0"/>
    </xf>
    <xf numFmtId="1" fontId="17" fillId="9" borderId="3" xfId="0" applyNumberFormat="1" applyFont="1" applyFill="1" applyBorder="1" applyAlignment="1" applyProtection="1">
      <alignment horizontal="center"/>
      <protection locked="0"/>
    </xf>
    <xf numFmtId="9" fontId="17" fillId="9" borderId="3" xfId="6" applyFont="1" applyFill="1" applyBorder="1" applyAlignment="1" applyProtection="1">
      <alignment horizontal="center" vertical="center"/>
      <protection locked="0"/>
    </xf>
    <xf numFmtId="2" fontId="1" fillId="9" borderId="0" xfId="0" applyNumberFormat="1" applyFont="1" applyFill="1" applyAlignment="1">
      <alignment horizontal="center"/>
    </xf>
    <xf numFmtId="165" fontId="8" fillId="3" borderId="7" xfId="0" applyNumberFormat="1" applyFont="1" applyFill="1" applyBorder="1" applyProtection="1">
      <protection locked="0"/>
    </xf>
    <xf numFmtId="165" fontId="8" fillId="11" borderId="7" xfId="0" applyNumberFormat="1" applyFont="1" applyFill="1" applyBorder="1" applyAlignment="1" applyProtection="1">
      <alignment horizontal="center" vertical="center"/>
      <protection locked="0"/>
    </xf>
    <xf numFmtId="0" fontId="12" fillId="28" borderId="12" xfId="0" applyFont="1" applyFill="1" applyBorder="1" applyAlignment="1">
      <alignment horizontal="center" vertical="center"/>
    </xf>
    <xf numFmtId="0" fontId="12" fillId="28" borderId="6"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wrapText="1"/>
      <protection locked="0"/>
    </xf>
    <xf numFmtId="165" fontId="12" fillId="28" borderId="6" xfId="0" applyNumberFormat="1" applyFont="1" applyFill="1" applyBorder="1" applyAlignment="1" applyProtection="1">
      <alignment horizontal="center" vertical="center"/>
      <protection locked="0"/>
    </xf>
    <xf numFmtId="165" fontId="12" fillId="28" borderId="27" xfId="0" applyNumberFormat="1" applyFont="1" applyFill="1" applyBorder="1" applyAlignment="1" applyProtection="1">
      <alignment horizontal="center" vertical="center"/>
      <protection locked="0"/>
    </xf>
    <xf numFmtId="0" fontId="12" fillId="28" borderId="11"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protection locked="0"/>
    </xf>
    <xf numFmtId="4" fontId="12" fillId="28" borderId="27" xfId="0" applyNumberFormat="1" applyFont="1" applyFill="1" applyBorder="1" applyAlignment="1" applyProtection="1">
      <alignment horizontal="center" vertical="center" wrapText="1"/>
      <protection locked="0"/>
    </xf>
    <xf numFmtId="0" fontId="10" fillId="4" borderId="4" xfId="0" applyFont="1" applyFill="1" applyBorder="1"/>
    <xf numFmtId="0" fontId="10" fillId="8" borderId="4" xfId="0" applyFont="1" applyFill="1" applyBorder="1"/>
    <xf numFmtId="0" fontId="8" fillId="0" borderId="0" xfId="0" applyFont="1" applyProtection="1">
      <protection locked="0"/>
    </xf>
    <xf numFmtId="0" fontId="9" fillId="0" borderId="0" xfId="0" applyFont="1"/>
    <xf numFmtId="4" fontId="8" fillId="11" borderId="7" xfId="0" applyNumberFormat="1" applyFont="1" applyFill="1" applyBorder="1" applyProtection="1">
      <protection locked="0"/>
    </xf>
    <xf numFmtId="4" fontId="12" fillId="28" borderId="6" xfId="0" applyNumberFormat="1" applyFont="1" applyFill="1" applyBorder="1" applyAlignment="1" applyProtection="1">
      <alignment horizontal="center" wrapText="1"/>
      <protection locked="0"/>
    </xf>
    <xf numFmtId="0" fontId="12" fillId="28" borderId="11" xfId="0" applyFont="1" applyFill="1" applyBorder="1" applyAlignment="1" applyProtection="1">
      <alignment horizontal="center"/>
      <protection locked="0"/>
    </xf>
    <xf numFmtId="4" fontId="0" fillId="0" borderId="0" xfId="0" applyNumberFormat="1"/>
    <xf numFmtId="0" fontId="8" fillId="11" borderId="4" xfId="0" applyFont="1" applyFill="1" applyBorder="1" applyProtection="1">
      <protection locked="0"/>
    </xf>
    <xf numFmtId="0" fontId="2" fillId="2" borderId="8" xfId="0" applyFont="1" applyFill="1" applyBorder="1" applyAlignment="1">
      <alignment horizontal="left"/>
    </xf>
    <xf numFmtId="0" fontId="8" fillId="11" borderId="3" xfId="0" applyFont="1" applyFill="1" applyBorder="1"/>
    <xf numFmtId="0" fontId="12" fillId="12" borderId="3" xfId="0" applyFont="1" applyFill="1" applyBorder="1"/>
    <xf numFmtId="0" fontId="8" fillId="3" borderId="3" xfId="0" applyFont="1" applyFill="1" applyBorder="1"/>
    <xf numFmtId="22" fontId="0" fillId="0" borderId="0" xfId="0" applyNumberFormat="1"/>
    <xf numFmtId="0" fontId="1" fillId="5" borderId="0" xfId="0" applyFont="1" applyFill="1" applyAlignment="1">
      <alignment horizontal="center"/>
    </xf>
    <xf numFmtId="0" fontId="8" fillId="3" borderId="0" xfId="0" applyFont="1" applyFill="1" applyAlignment="1">
      <alignment horizontal="left"/>
    </xf>
    <xf numFmtId="0" fontId="21" fillId="3" borderId="0" xfId="0" applyFont="1" applyFill="1" applyAlignment="1">
      <alignment horizontal="left" vertical="center"/>
    </xf>
    <xf numFmtId="0" fontId="8" fillId="3" borderId="32" xfId="0" applyFont="1" applyFill="1" applyBorder="1" applyAlignment="1">
      <alignment horizontal="left"/>
    </xf>
    <xf numFmtId="0" fontId="8" fillId="3" borderId="33" xfId="0" applyFont="1" applyFill="1" applyBorder="1" applyProtection="1">
      <protection locked="0"/>
    </xf>
    <xf numFmtId="0" fontId="8" fillId="3" borderId="33" xfId="0" applyFont="1" applyFill="1" applyBorder="1" applyAlignment="1" applyProtection="1">
      <alignment horizontal="center"/>
      <protection locked="0"/>
    </xf>
    <xf numFmtId="0" fontId="8" fillId="3" borderId="35" xfId="0" applyFont="1" applyFill="1" applyBorder="1" applyProtection="1">
      <protection locked="0"/>
    </xf>
    <xf numFmtId="0" fontId="8" fillId="3" borderId="35" xfId="0" applyFont="1" applyFill="1" applyBorder="1" applyAlignment="1" applyProtection="1">
      <alignment horizontal="center"/>
      <protection locked="0"/>
    </xf>
    <xf numFmtId="0" fontId="12" fillId="12" borderId="4" xfId="0" applyFont="1" applyFill="1" applyBorder="1" applyAlignment="1" applyProtection="1">
      <alignment horizontal="left" vertical="center"/>
      <protection locked="0"/>
    </xf>
    <xf numFmtId="0" fontId="8" fillId="3" borderId="3" xfId="0" applyFont="1" applyFill="1" applyBorder="1" applyAlignment="1" applyProtection="1">
      <alignment horizontal="left" vertical="center"/>
      <protection locked="0"/>
    </xf>
    <xf numFmtId="16" fontId="8" fillId="3" borderId="3" xfId="0" applyNumberFormat="1" applyFont="1" applyFill="1" applyBorder="1" applyAlignment="1" applyProtection="1">
      <alignment horizontal="left" vertical="center"/>
      <protection locked="0"/>
    </xf>
    <xf numFmtId="0" fontId="10" fillId="4" borderId="36" xfId="0" applyFont="1" applyFill="1" applyBorder="1"/>
    <xf numFmtId="0" fontId="12" fillId="4" borderId="37" xfId="0" applyFont="1" applyFill="1" applyBorder="1"/>
    <xf numFmtId="0" fontId="12" fillId="4" borderId="38" xfId="0" applyFont="1" applyFill="1" applyBorder="1"/>
    <xf numFmtId="0" fontId="8" fillId="3" borderId="39" xfId="0" applyFont="1" applyFill="1" applyBorder="1" applyAlignment="1">
      <alignment horizontal="left"/>
    </xf>
    <xf numFmtId="0" fontId="8" fillId="3" borderId="40" xfId="0" applyFont="1" applyFill="1" applyBorder="1" applyProtection="1">
      <protection locked="0"/>
    </xf>
    <xf numFmtId="0" fontId="8" fillId="3" borderId="40" xfId="0" applyFont="1" applyFill="1" applyBorder="1" applyAlignment="1" applyProtection="1">
      <alignment horizontal="center"/>
      <protection locked="0"/>
    </xf>
    <xf numFmtId="4" fontId="8" fillId="3" borderId="40" xfId="0" applyNumberFormat="1" applyFont="1" applyFill="1" applyBorder="1" applyProtection="1">
      <protection locked="0"/>
    </xf>
    <xf numFmtId="0" fontId="8" fillId="3" borderId="40" xfId="0" applyFont="1" applyFill="1" applyBorder="1"/>
    <xf numFmtId="0" fontId="8" fillId="3" borderId="41" xfId="0" applyFont="1" applyFill="1" applyBorder="1" applyProtection="1">
      <protection locked="0"/>
    </xf>
    <xf numFmtId="0" fontId="8" fillId="3" borderId="42" xfId="0" applyFont="1" applyFill="1" applyBorder="1" applyAlignment="1">
      <alignment horizontal="left"/>
    </xf>
    <xf numFmtId="0" fontId="8" fillId="3" borderId="43" xfId="0" applyFont="1" applyFill="1" applyBorder="1" applyProtection="1">
      <protection locked="0"/>
    </xf>
    <xf numFmtId="0" fontId="21" fillId="3" borderId="45" xfId="0" applyFont="1" applyFill="1" applyBorder="1" applyAlignment="1">
      <alignment horizontal="left" vertical="center"/>
    </xf>
    <xf numFmtId="0" fontId="8" fillId="3" borderId="45" xfId="0" applyFont="1" applyFill="1" applyBorder="1" applyProtection="1">
      <protection locked="0"/>
    </xf>
    <xf numFmtId="0" fontId="8" fillId="3" borderId="45" xfId="0" applyFont="1" applyFill="1" applyBorder="1" applyAlignment="1" applyProtection="1">
      <alignment horizontal="center"/>
      <protection locked="0"/>
    </xf>
    <xf numFmtId="4" fontId="8" fillId="3" borderId="45" xfId="0" applyNumberFormat="1" applyFont="1" applyFill="1" applyBorder="1" applyProtection="1">
      <protection locked="0"/>
    </xf>
    <xf numFmtId="0" fontId="8" fillId="3" borderId="45" xfId="0" applyFont="1" applyFill="1" applyBorder="1"/>
    <xf numFmtId="0" fontId="8" fillId="3" borderId="46" xfId="0" applyFont="1" applyFill="1" applyBorder="1" applyProtection="1">
      <protection locked="0"/>
    </xf>
    <xf numFmtId="0" fontId="19" fillId="3" borderId="0" xfId="0" applyFont="1" applyFill="1" applyAlignment="1" applyProtection="1">
      <alignment horizontal="center" vertical="center"/>
      <protection locked="0"/>
    </xf>
    <xf numFmtId="0" fontId="0" fillId="3" borderId="40" xfId="0" applyFill="1" applyBorder="1" applyAlignment="1">
      <alignment vertical="center"/>
    </xf>
    <xf numFmtId="0" fontId="19" fillId="3" borderId="40" xfId="0" applyFont="1" applyFill="1" applyBorder="1" applyAlignment="1" applyProtection="1">
      <alignment horizontal="center"/>
      <protection locked="0"/>
    </xf>
    <xf numFmtId="0" fontId="19" fillId="3" borderId="44" xfId="0" applyFont="1" applyFill="1" applyBorder="1" applyAlignment="1">
      <alignment horizontal="center"/>
    </xf>
    <xf numFmtId="0" fontId="19" fillId="3" borderId="45" xfId="0" applyFont="1" applyFill="1" applyBorder="1" applyProtection="1">
      <protection locked="0"/>
    </xf>
    <xf numFmtId="3" fontId="19" fillId="3" borderId="45" xfId="0" applyNumberFormat="1" applyFont="1" applyFill="1" applyBorder="1" applyAlignment="1" applyProtection="1">
      <alignment horizontal="center"/>
      <protection locked="0"/>
    </xf>
    <xf numFmtId="0" fontId="19" fillId="3" borderId="45" xfId="0" applyFont="1" applyFill="1" applyBorder="1" applyAlignment="1" applyProtection="1">
      <alignment horizontal="center"/>
      <protection locked="0"/>
    </xf>
    <xf numFmtId="4" fontId="19" fillId="3" borderId="45" xfId="0" applyNumberFormat="1" applyFont="1" applyFill="1" applyBorder="1" applyAlignment="1" applyProtection="1">
      <alignment horizontal="center"/>
      <protection locked="0"/>
    </xf>
    <xf numFmtId="16" fontId="8" fillId="3" borderId="0" xfId="0" applyNumberFormat="1" applyFont="1" applyFill="1" applyAlignment="1" applyProtection="1">
      <alignment horizontal="left" vertical="center"/>
      <protection locked="0"/>
    </xf>
    <xf numFmtId="0" fontId="12" fillId="13" borderId="25" xfId="0" applyFont="1" applyFill="1" applyBorder="1" applyAlignment="1">
      <alignment horizontal="left"/>
    </xf>
    <xf numFmtId="0" fontId="8" fillId="13" borderId="26" xfId="0" applyFont="1" applyFill="1" applyBorder="1" applyProtection="1">
      <protection locked="0"/>
    </xf>
    <xf numFmtId="0" fontId="8" fillId="13" borderId="26" xfId="0" applyFont="1" applyFill="1" applyBorder="1" applyAlignment="1" applyProtection="1">
      <alignment horizontal="center"/>
      <protection locked="0"/>
    </xf>
    <xf numFmtId="4" fontId="8" fillId="13" borderId="26" xfId="0" applyNumberFormat="1" applyFont="1" applyFill="1" applyBorder="1" applyProtection="1">
      <protection locked="0"/>
    </xf>
    <xf numFmtId="165" fontId="8" fillId="13" borderId="26" xfId="0" applyNumberFormat="1" applyFont="1" applyFill="1" applyBorder="1" applyProtection="1">
      <protection locked="0"/>
    </xf>
    <xf numFmtId="165" fontId="8" fillId="13" borderId="26" xfId="0" applyNumberFormat="1" applyFont="1" applyFill="1" applyBorder="1" applyAlignment="1" applyProtection="1">
      <alignment horizontal="center" vertical="center"/>
      <protection locked="0"/>
    </xf>
    <xf numFmtId="0" fontId="8" fillId="13" borderId="24" xfId="0" applyFont="1" applyFill="1" applyBorder="1" applyProtection="1">
      <protection locked="0"/>
    </xf>
    <xf numFmtId="165" fontId="8" fillId="3" borderId="40" xfId="0" applyNumberFormat="1" applyFont="1" applyFill="1" applyBorder="1" applyProtection="1">
      <protection locked="0"/>
    </xf>
    <xf numFmtId="165" fontId="8" fillId="3" borderId="40" xfId="0" applyNumberFormat="1" applyFont="1" applyFill="1" applyBorder="1" applyAlignment="1" applyProtection="1">
      <alignment horizontal="center" vertical="center"/>
      <protection locked="0"/>
    </xf>
    <xf numFmtId="0" fontId="8" fillId="3" borderId="42" xfId="0" applyFont="1" applyFill="1" applyBorder="1" applyAlignment="1">
      <alignment horizontal="center"/>
    </xf>
    <xf numFmtId="0" fontId="8" fillId="3" borderId="44" xfId="0" applyFont="1" applyFill="1" applyBorder="1" applyAlignment="1">
      <alignment horizontal="center"/>
    </xf>
    <xf numFmtId="165" fontId="8" fillId="3" borderId="45" xfId="0" applyNumberFormat="1" applyFont="1" applyFill="1" applyBorder="1" applyProtection="1">
      <protection locked="0"/>
    </xf>
    <xf numFmtId="165" fontId="8" fillId="3" borderId="45" xfId="0" applyNumberFormat="1" applyFont="1" applyFill="1" applyBorder="1" applyAlignment="1" applyProtection="1">
      <alignment horizontal="center" vertical="center"/>
      <protection locked="0"/>
    </xf>
    <xf numFmtId="0" fontId="8" fillId="3" borderId="44" xfId="0" applyFont="1" applyFill="1" applyBorder="1" applyAlignment="1">
      <alignment horizontal="left"/>
    </xf>
    <xf numFmtId="0" fontId="39" fillId="3" borderId="0" xfId="0" applyFont="1" applyFill="1" applyAlignment="1">
      <alignment horizontal="left"/>
    </xf>
    <xf numFmtId="0" fontId="21" fillId="3" borderId="0" xfId="0" applyFont="1" applyFill="1" applyAlignment="1">
      <alignment horizontal="left"/>
    </xf>
    <xf numFmtId="0" fontId="21" fillId="3" borderId="44" xfId="0" applyFont="1" applyFill="1" applyBorder="1" applyAlignment="1">
      <alignment horizontal="left"/>
    </xf>
    <xf numFmtId="0" fontId="21" fillId="3" borderId="42" xfId="0" applyFont="1" applyFill="1" applyBorder="1" applyAlignment="1">
      <alignment horizontal="left"/>
    </xf>
    <xf numFmtId="0" fontId="8" fillId="29" borderId="4" xfId="0" applyFont="1" applyFill="1" applyBorder="1" applyProtection="1">
      <protection locked="0"/>
    </xf>
    <xf numFmtId="0" fontId="8" fillId="29" borderId="5" xfId="0" applyFont="1" applyFill="1" applyBorder="1" applyProtection="1">
      <protection locked="0"/>
    </xf>
    <xf numFmtId="0" fontId="12" fillId="0" borderId="0" xfId="0" applyFont="1" applyAlignment="1" applyProtection="1">
      <alignment horizontal="left" vertical="center"/>
      <protection locked="0"/>
    </xf>
    <xf numFmtId="16" fontId="8" fillId="0" borderId="0" xfId="0" applyNumberFormat="1" applyFont="1" applyAlignment="1" applyProtection="1">
      <alignment horizontal="left" vertical="center"/>
      <protection locked="0"/>
    </xf>
    <xf numFmtId="9" fontId="8" fillId="29" borderId="4" xfId="6" applyFont="1" applyFill="1" applyBorder="1" applyProtection="1">
      <protection locked="0"/>
    </xf>
    <xf numFmtId="0" fontId="17" fillId="29" borderId="3" xfId="0" applyFont="1" applyFill="1" applyBorder="1"/>
    <xf numFmtId="9" fontId="17" fillId="29" borderId="3" xfId="6" applyFont="1" applyFill="1" applyBorder="1" applyProtection="1">
      <protection locked="0"/>
    </xf>
    <xf numFmtId="1" fontId="17" fillId="29" borderId="3" xfId="0" applyNumberFormat="1" applyFont="1" applyFill="1" applyBorder="1" applyAlignment="1" applyProtection="1">
      <alignment horizontal="center"/>
      <protection locked="0"/>
    </xf>
    <xf numFmtId="0" fontId="21" fillId="3" borderId="0" xfId="0" applyFont="1" applyFill="1" applyAlignment="1" applyProtection="1">
      <alignment horizontal="left"/>
      <protection locked="0"/>
    </xf>
    <xf numFmtId="0" fontId="1" fillId="8" borderId="3" xfId="0" applyFont="1" applyFill="1" applyBorder="1"/>
    <xf numFmtId="0" fontId="0" fillId="0" borderId="19" xfId="0" applyBorder="1" applyAlignment="1">
      <alignment horizontal="left" vertical="center"/>
    </xf>
    <xf numFmtId="0" fontId="1" fillId="0" borderId="22" xfId="0" applyFont="1" applyBorder="1" applyAlignment="1">
      <alignment horizontal="center" vertical="center"/>
    </xf>
    <xf numFmtId="168" fontId="0" fillId="0" borderId="0" xfId="0" applyNumberFormat="1"/>
    <xf numFmtId="0" fontId="8" fillId="3" borderId="34" xfId="0" applyFont="1" applyFill="1" applyBorder="1" applyAlignment="1">
      <alignment horizontal="left"/>
    </xf>
    <xf numFmtId="0" fontId="19" fillId="3" borderId="40" xfId="0" applyFont="1" applyFill="1" applyBorder="1" applyAlignment="1" applyProtection="1">
      <alignment horizontal="center" vertical="center"/>
      <protection locked="0"/>
    </xf>
    <xf numFmtId="4" fontId="19" fillId="3" borderId="40" xfId="0" applyNumberFormat="1" applyFont="1" applyFill="1" applyBorder="1" applyAlignment="1" applyProtection="1">
      <alignment horizontal="center" vertical="center"/>
      <protection locked="0"/>
    </xf>
    <xf numFmtId="0" fontId="19" fillId="3" borderId="42" xfId="0" applyFont="1" applyFill="1" applyBorder="1" applyAlignment="1">
      <alignment horizontal="center" vertical="center"/>
    </xf>
    <xf numFmtId="3" fontId="19" fillId="3" borderId="40" xfId="0" applyNumberFormat="1" applyFont="1" applyFill="1" applyBorder="1" applyAlignment="1" applyProtection="1">
      <alignment horizontal="center" vertical="center"/>
      <protection locked="0"/>
    </xf>
    <xf numFmtId="0" fontId="19" fillId="3" borderId="40" xfId="0" applyFont="1" applyFill="1" applyBorder="1" applyAlignment="1" applyProtection="1">
      <alignment horizontal="center" vertical="center" wrapText="1"/>
      <protection locked="0"/>
    </xf>
    <xf numFmtId="0" fontId="21" fillId="3" borderId="40" xfId="0" applyFont="1" applyFill="1" applyBorder="1" applyAlignment="1">
      <alignment horizontal="left" vertical="center"/>
    </xf>
    <xf numFmtId="0" fontId="8" fillId="11" borderId="7" xfId="0" applyFont="1" applyFill="1" applyBorder="1" applyProtection="1">
      <protection locked="0"/>
    </xf>
    <xf numFmtId="3" fontId="19" fillId="3" borderId="0" xfId="0" applyNumberFormat="1" applyFont="1" applyFill="1" applyAlignment="1" applyProtection="1">
      <alignment horizontal="center" vertical="center"/>
      <protection locked="0"/>
    </xf>
    <xf numFmtId="0" fontId="19" fillId="3" borderId="0" xfId="0" applyFont="1" applyFill="1" applyAlignment="1" applyProtection="1">
      <alignment horizontal="center" vertical="center" wrapText="1"/>
      <protection locked="0"/>
    </xf>
    <xf numFmtId="4" fontId="19" fillId="3" borderId="0" xfId="0" applyNumberFormat="1" applyFont="1" applyFill="1" applyAlignment="1" applyProtection="1">
      <alignment horizontal="center" vertical="center"/>
      <protection locked="0"/>
    </xf>
    <xf numFmtId="0" fontId="12" fillId="3" borderId="0" xfId="0" applyFont="1" applyFill="1" applyProtection="1">
      <protection locked="0"/>
    </xf>
    <xf numFmtId="4" fontId="8" fillId="3" borderId="4" xfId="0" applyNumberFormat="1" applyFont="1" applyFill="1" applyBorder="1" applyProtection="1">
      <protection locked="0"/>
    </xf>
    <xf numFmtId="4" fontId="8" fillId="3" borderId="25" xfId="0" applyNumberFormat="1" applyFont="1" applyFill="1" applyBorder="1" applyProtection="1">
      <protection locked="0"/>
    </xf>
    <xf numFmtId="4" fontId="24" fillId="28" borderId="49" xfId="0" applyNumberFormat="1" applyFont="1" applyFill="1" applyBorder="1" applyAlignment="1">
      <alignment horizontal="center" vertical="center" wrapText="1"/>
    </xf>
    <xf numFmtId="0" fontId="19" fillId="3" borderId="39" xfId="0" applyFont="1" applyFill="1" applyBorder="1" applyAlignment="1">
      <alignment horizontal="left" vertical="center"/>
    </xf>
    <xf numFmtId="0" fontId="0" fillId="0" borderId="21" xfId="0" applyBorder="1" applyAlignment="1">
      <alignment horizontal="left" vertical="center" wrapText="1"/>
    </xf>
    <xf numFmtId="0" fontId="0" fillId="0" borderId="22" xfId="0" applyBorder="1" applyAlignment="1">
      <alignment horizontal="left" vertical="center" wrapText="1"/>
    </xf>
    <xf numFmtId="0" fontId="0" fillId="0" borderId="23" xfId="0" applyBorder="1" applyAlignment="1">
      <alignment horizontal="left" vertical="center" wrapText="1"/>
    </xf>
    <xf numFmtId="0" fontId="24" fillId="30" borderId="25" xfId="0" applyFont="1" applyFill="1" applyBorder="1" applyAlignment="1">
      <alignment horizontal="left"/>
    </xf>
    <xf numFmtId="0" fontId="14" fillId="30" borderId="26" xfId="0" applyFont="1" applyFill="1" applyBorder="1" applyProtection="1">
      <protection locked="0"/>
    </xf>
    <xf numFmtId="0" fontId="14" fillId="30" borderId="26" xfId="0" applyFont="1" applyFill="1" applyBorder="1" applyAlignment="1" applyProtection="1">
      <alignment horizontal="center"/>
      <protection locked="0"/>
    </xf>
    <xf numFmtId="4" fontId="14" fillId="30" borderId="26" xfId="0" applyNumberFormat="1" applyFont="1" applyFill="1" applyBorder="1" applyProtection="1">
      <protection locked="0"/>
    </xf>
    <xf numFmtId="0" fontId="14" fillId="30" borderId="26" xfId="0" applyFont="1" applyFill="1" applyBorder="1"/>
    <xf numFmtId="4" fontId="14" fillId="30" borderId="24" xfId="0" applyNumberFormat="1" applyFont="1" applyFill="1" applyBorder="1" applyProtection="1">
      <protection locked="0"/>
    </xf>
    <xf numFmtId="4" fontId="8" fillId="3" borderId="51" xfId="0" applyNumberFormat="1" applyFont="1" applyFill="1" applyBorder="1" applyProtection="1">
      <protection locked="0"/>
    </xf>
    <xf numFmtId="4" fontId="8" fillId="3" borderId="52" xfId="0" applyNumberFormat="1" applyFont="1" applyFill="1" applyBorder="1" applyProtection="1">
      <protection locked="0"/>
    </xf>
    <xf numFmtId="0" fontId="8" fillId="15" borderId="5" xfId="0" applyFont="1" applyFill="1" applyBorder="1" applyAlignment="1" applyProtection="1">
      <alignment horizontal="center"/>
      <protection locked="0"/>
    </xf>
    <xf numFmtId="0" fontId="8" fillId="3" borderId="0" xfId="0" applyFont="1" applyFill="1" applyAlignment="1" applyProtection="1">
      <alignment horizontal="left"/>
      <protection locked="0"/>
    </xf>
    <xf numFmtId="0" fontId="8" fillId="3" borderId="9" xfId="0" applyFont="1" applyFill="1" applyBorder="1" applyAlignment="1" applyProtection="1">
      <alignment horizontal="center"/>
      <protection locked="0"/>
    </xf>
    <xf numFmtId="0" fontId="8" fillId="3" borderId="12" xfId="0" applyFont="1" applyFill="1" applyBorder="1" applyAlignment="1" applyProtection="1">
      <alignment horizontal="center"/>
      <protection locked="0"/>
    </xf>
    <xf numFmtId="0" fontId="12" fillId="13" borderId="53" xfId="0" applyFont="1" applyFill="1" applyBorder="1" applyAlignment="1">
      <alignment horizontal="left"/>
    </xf>
    <xf numFmtId="0" fontId="8" fillId="13" borderId="54" xfId="0" applyFont="1" applyFill="1" applyBorder="1" applyAlignment="1" applyProtection="1">
      <alignment horizontal="center"/>
      <protection locked="0"/>
    </xf>
    <xf numFmtId="4" fontId="8" fillId="13" borderId="54" xfId="0" applyNumberFormat="1" applyFont="1" applyFill="1" applyBorder="1" applyProtection="1">
      <protection locked="0"/>
    </xf>
    <xf numFmtId="165" fontId="8" fillId="13" borderId="50" xfId="0" applyNumberFormat="1" applyFont="1" applyFill="1" applyBorder="1" applyProtection="1">
      <protection locked="0"/>
    </xf>
    <xf numFmtId="165" fontId="8" fillId="3" borderId="4" xfId="0" applyNumberFormat="1" applyFont="1" applyFill="1" applyBorder="1" applyProtection="1">
      <protection locked="0"/>
    </xf>
    <xf numFmtId="0" fontId="8" fillId="3" borderId="4" xfId="0" applyFont="1" applyFill="1" applyBorder="1" applyAlignment="1" applyProtection="1">
      <alignment horizontal="center"/>
      <protection locked="0"/>
    </xf>
    <xf numFmtId="0" fontId="8" fillId="3" borderId="25" xfId="0" applyFont="1" applyFill="1" applyBorder="1" applyAlignment="1" applyProtection="1">
      <alignment horizontal="center"/>
      <protection locked="0"/>
    </xf>
    <xf numFmtId="0" fontId="0" fillId="0" borderId="3" xfId="0" applyBorder="1" applyAlignment="1">
      <alignment wrapText="1"/>
    </xf>
    <xf numFmtId="0" fontId="24" fillId="31" borderId="4" xfId="0" applyFont="1" applyFill="1" applyBorder="1" applyAlignment="1">
      <alignment horizontal="left"/>
    </xf>
    <xf numFmtId="0" fontId="14" fillId="31" borderId="13" xfId="0" applyFont="1" applyFill="1" applyBorder="1" applyAlignment="1" applyProtection="1">
      <alignment horizontal="center"/>
      <protection locked="0"/>
    </xf>
    <xf numFmtId="0" fontId="14" fillId="31" borderId="13" xfId="0" applyFont="1" applyFill="1" applyBorder="1" applyProtection="1">
      <protection locked="0"/>
    </xf>
    <xf numFmtId="4" fontId="14" fillId="31" borderId="13" xfId="0" applyNumberFormat="1" applyFont="1" applyFill="1" applyBorder="1" applyProtection="1">
      <protection locked="0"/>
    </xf>
    <xf numFmtId="0" fontId="14" fillId="31" borderId="5" xfId="0" applyFont="1" applyFill="1" applyBorder="1" applyProtection="1">
      <protection locked="0"/>
    </xf>
    <xf numFmtId="0" fontId="22" fillId="10" borderId="3" xfId="0" applyFont="1" applyFill="1" applyBorder="1" applyAlignment="1">
      <alignment wrapText="1"/>
    </xf>
    <xf numFmtId="0" fontId="0" fillId="0" borderId="15" xfId="0" applyBorder="1" applyAlignment="1">
      <alignment horizontal="center" vertical="center"/>
    </xf>
    <xf numFmtId="0" fontId="0" fillId="5" borderId="15" xfId="0" applyFill="1" applyBorder="1" applyAlignment="1">
      <alignment vertical="center"/>
    </xf>
    <xf numFmtId="0" fontId="0" fillId="5" borderId="15" xfId="0" applyFill="1" applyBorder="1" applyAlignment="1">
      <alignment horizontal="left" vertical="center"/>
    </xf>
    <xf numFmtId="0" fontId="0" fillId="3" borderId="0" xfId="0" applyFill="1" applyAlignment="1">
      <alignment horizontal="center" vertical="center"/>
    </xf>
    <xf numFmtId="0" fontId="0" fillId="3" borderId="0" xfId="0" applyFill="1" applyAlignment="1">
      <alignment vertical="center" wrapText="1"/>
    </xf>
    <xf numFmtId="16" fontId="0" fillId="3" borderId="0" xfId="0" applyNumberFormat="1" applyFill="1" applyAlignment="1">
      <alignment horizontal="left" vertical="center"/>
    </xf>
    <xf numFmtId="0" fontId="0" fillId="0" borderId="15" xfId="0" applyBorder="1" applyAlignment="1">
      <alignment vertical="center"/>
    </xf>
    <xf numFmtId="0" fontId="0" fillId="0" borderId="15" xfId="0" quotePrefix="1" applyBorder="1" applyAlignment="1">
      <alignment vertical="center" wrapText="1"/>
    </xf>
    <xf numFmtId="0" fontId="8" fillId="11" borderId="6" xfId="0" applyFont="1" applyFill="1" applyBorder="1" applyProtection="1">
      <protection locked="0"/>
    </xf>
    <xf numFmtId="0" fontId="8" fillId="3" borderId="6" xfId="0" applyFont="1" applyFill="1" applyBorder="1" applyProtection="1">
      <protection locked="0"/>
    </xf>
    <xf numFmtId="0" fontId="8" fillId="11" borderId="10" xfId="0" applyFont="1" applyFill="1" applyBorder="1" applyProtection="1">
      <protection locked="0"/>
    </xf>
    <xf numFmtId="4" fontId="12" fillId="7" borderId="58" xfId="0" applyNumberFormat="1" applyFont="1" applyFill="1" applyBorder="1" applyAlignment="1" applyProtection="1">
      <alignment horizontal="center" vertical="center" wrapText="1"/>
      <protection locked="0"/>
    </xf>
    <xf numFmtId="4" fontId="12" fillId="7" borderId="58" xfId="0" applyNumberFormat="1" applyFont="1" applyFill="1" applyBorder="1" applyAlignment="1" applyProtection="1">
      <alignment horizontal="center" vertical="center"/>
      <protection locked="0"/>
    </xf>
    <xf numFmtId="0" fontId="8" fillId="9" borderId="6" xfId="0" applyFont="1" applyFill="1" applyBorder="1" applyAlignment="1">
      <alignment horizontal="center"/>
    </xf>
    <xf numFmtId="0" fontId="8" fillId="17" borderId="0" xfId="0" applyFont="1" applyFill="1" applyProtection="1">
      <protection locked="0"/>
    </xf>
    <xf numFmtId="3" fontId="8" fillId="17" borderId="0" xfId="0" applyNumberFormat="1" applyFont="1" applyFill="1" applyAlignment="1" applyProtection="1">
      <alignment horizontal="center"/>
      <protection locked="0"/>
    </xf>
    <xf numFmtId="0" fontId="8" fillId="17" borderId="0" xfId="0" applyFont="1" applyFill="1" applyAlignment="1" applyProtection="1">
      <alignment horizontal="center"/>
      <protection locked="0"/>
    </xf>
    <xf numFmtId="4" fontId="12" fillId="7" borderId="62" xfId="0" applyNumberFormat="1" applyFont="1" applyFill="1" applyBorder="1" applyAlignment="1" applyProtection="1">
      <alignment horizontal="center" vertical="center"/>
      <protection locked="0"/>
    </xf>
    <xf numFmtId="0" fontId="8" fillId="11" borderId="59" xfId="0" applyFont="1" applyFill="1" applyBorder="1" applyProtection="1">
      <protection locked="0"/>
    </xf>
    <xf numFmtId="3" fontId="12" fillId="7" borderId="59" xfId="0" applyNumberFormat="1" applyFont="1" applyFill="1" applyBorder="1" applyAlignment="1" applyProtection="1">
      <alignment horizontal="center" vertical="center"/>
      <protection locked="0"/>
    </xf>
    <xf numFmtId="0" fontId="14" fillId="14" borderId="5" xfId="0" applyFont="1" applyFill="1" applyBorder="1" applyAlignment="1" applyProtection="1">
      <alignment horizontal="center"/>
      <protection locked="0"/>
    </xf>
    <xf numFmtId="0" fontId="19" fillId="3" borderId="51" xfId="0" applyFont="1" applyFill="1" applyBorder="1" applyAlignment="1" applyProtection="1">
      <alignment horizontal="center"/>
      <protection locked="0"/>
    </xf>
    <xf numFmtId="0" fontId="19" fillId="3" borderId="9" xfId="0" applyFont="1" applyFill="1" applyBorder="1" applyAlignment="1" applyProtection="1">
      <alignment horizontal="center"/>
      <protection locked="0"/>
    </xf>
    <xf numFmtId="0" fontId="19" fillId="3" borderId="52" xfId="0" applyFont="1" applyFill="1" applyBorder="1" applyAlignment="1" applyProtection="1">
      <alignment horizontal="center"/>
      <protection locked="0"/>
    </xf>
    <xf numFmtId="0" fontId="8" fillId="5" borderId="0" xfId="0" applyFont="1" applyFill="1" applyAlignment="1" applyProtection="1">
      <alignment horizontal="left"/>
      <protection locked="0"/>
    </xf>
    <xf numFmtId="4" fontId="8" fillId="5" borderId="0" xfId="0" applyNumberFormat="1" applyFont="1" applyFill="1" applyAlignment="1" applyProtection="1">
      <alignment horizontal="left"/>
      <protection locked="0"/>
    </xf>
    <xf numFmtId="0" fontId="12" fillId="5" borderId="0" xfId="0" applyFont="1" applyFill="1" applyAlignment="1">
      <alignment horizontal="left"/>
    </xf>
    <xf numFmtId="0" fontId="0" fillId="0" borderId="21" xfId="0" applyBorder="1" applyAlignment="1">
      <alignment horizontal="left" vertical="center" indent="3"/>
    </xf>
    <xf numFmtId="0" fontId="41" fillId="3" borderId="14" xfId="0" applyFont="1" applyFill="1" applyBorder="1" applyAlignment="1">
      <alignment vertical="center" wrapText="1"/>
    </xf>
    <xf numFmtId="0" fontId="14" fillId="0" borderId="0" xfId="0" applyFont="1"/>
    <xf numFmtId="4" fontId="8" fillId="3" borderId="47" xfId="0" applyNumberFormat="1" applyFont="1" applyFill="1" applyBorder="1" applyProtection="1">
      <protection locked="0"/>
    </xf>
    <xf numFmtId="4" fontId="8" fillId="3" borderId="48" xfId="0" applyNumberFormat="1" applyFont="1" applyFill="1" applyBorder="1" applyProtection="1">
      <protection locked="0"/>
    </xf>
    <xf numFmtId="0" fontId="12" fillId="7" borderId="60" xfId="0" applyFont="1" applyFill="1" applyBorder="1" applyAlignment="1" applyProtection="1">
      <alignment horizontal="center" vertical="center"/>
      <protection locked="0"/>
    </xf>
    <xf numFmtId="4" fontId="12" fillId="7" borderId="60" xfId="0" applyNumberFormat="1" applyFont="1" applyFill="1" applyBorder="1" applyAlignment="1" applyProtection="1">
      <alignment horizontal="center" vertical="center"/>
      <protection locked="0"/>
    </xf>
    <xf numFmtId="0" fontId="12" fillId="7" borderId="60" xfId="0" applyFont="1" applyFill="1" applyBorder="1" applyAlignment="1">
      <alignment horizontal="center" vertical="center"/>
    </xf>
    <xf numFmtId="0" fontId="12" fillId="7" borderId="60" xfId="0" applyFont="1" applyFill="1" applyBorder="1" applyAlignment="1">
      <alignment horizontal="left" vertical="center"/>
    </xf>
    <xf numFmtId="0" fontId="8" fillId="11" borderId="61" xfId="0" applyFont="1" applyFill="1" applyBorder="1" applyProtection="1">
      <protection locked="0"/>
    </xf>
    <xf numFmtId="0" fontId="12" fillId="7" borderId="63" xfId="0" applyFont="1" applyFill="1" applyBorder="1" applyAlignment="1">
      <alignment horizontal="center" vertical="center"/>
    </xf>
    <xf numFmtId="0" fontId="12" fillId="7" borderId="63" xfId="0" applyFont="1" applyFill="1" applyBorder="1" applyAlignment="1" applyProtection="1">
      <alignment horizontal="center" vertical="center"/>
      <protection locked="0"/>
    </xf>
    <xf numFmtId="0" fontId="12" fillId="7" borderId="64" xfId="0" applyFont="1" applyFill="1" applyBorder="1" applyAlignment="1" applyProtection="1">
      <alignment horizontal="center" vertical="center" wrapText="1"/>
      <protection locked="0"/>
    </xf>
    <xf numFmtId="0" fontId="10" fillId="6" borderId="65" xfId="0" applyFont="1" applyFill="1" applyBorder="1" applyAlignment="1">
      <alignment horizontal="left" vertical="center"/>
    </xf>
    <xf numFmtId="0" fontId="0" fillId="0" borderId="21" xfId="0" applyBorder="1" applyAlignment="1">
      <alignment horizontal="left" vertical="center" wrapText="1" indent="3"/>
    </xf>
    <xf numFmtId="4" fontId="10" fillId="4" borderId="3" xfId="0" applyNumberFormat="1" applyFont="1" applyFill="1" applyBorder="1" applyAlignment="1">
      <alignment vertical="center"/>
    </xf>
    <xf numFmtId="0" fontId="21" fillId="9" borderId="3" xfId="0" applyFont="1" applyFill="1" applyBorder="1" applyAlignment="1">
      <alignment horizontal="center"/>
    </xf>
    <xf numFmtId="0" fontId="44" fillId="0" borderId="0" xfId="0" applyFont="1" applyAlignment="1">
      <alignment wrapText="1"/>
    </xf>
    <xf numFmtId="0" fontId="8" fillId="3" borderId="39" xfId="0" applyFont="1" applyFill="1" applyBorder="1" applyProtection="1">
      <protection locked="0"/>
    </xf>
    <xf numFmtId="0" fontId="8" fillId="3" borderId="44" xfId="0" applyFont="1" applyFill="1" applyBorder="1" applyProtection="1">
      <protection locked="0"/>
    </xf>
    <xf numFmtId="0" fontId="8" fillId="9" borderId="12" xfId="0" applyFont="1" applyFill="1" applyBorder="1" applyAlignment="1">
      <alignment horizontal="center"/>
    </xf>
    <xf numFmtId="0" fontId="8" fillId="9" borderId="24" xfId="0" applyFont="1" applyFill="1" applyBorder="1" applyAlignment="1">
      <alignment horizontal="center"/>
    </xf>
    <xf numFmtId="0" fontId="41" fillId="0" borderId="14" xfId="0" applyFont="1" applyBorder="1" applyAlignment="1">
      <alignment vertical="center" wrapText="1"/>
    </xf>
    <xf numFmtId="0" fontId="10" fillId="4" borderId="3" xfId="0" applyFont="1" applyFill="1" applyBorder="1" applyAlignment="1">
      <alignment vertical="center" wrapText="1"/>
    </xf>
    <xf numFmtId="0" fontId="8" fillId="3" borderId="6" xfId="0" applyFont="1" applyFill="1" applyBorder="1" applyAlignment="1" applyProtection="1">
      <alignment horizontal="left"/>
      <protection locked="0"/>
    </xf>
    <xf numFmtId="0" fontId="8" fillId="3" borderId="3" xfId="0" applyFont="1" applyFill="1" applyBorder="1" applyAlignment="1" applyProtection="1">
      <alignment horizontal="center"/>
      <protection locked="0"/>
    </xf>
    <xf numFmtId="0" fontId="45" fillId="17" borderId="15" xfId="5" applyFont="1" applyFill="1" applyBorder="1" applyAlignment="1">
      <alignment vertical="top"/>
    </xf>
    <xf numFmtId="0" fontId="45" fillId="18" borderId="16" xfId="5" applyFont="1" applyFill="1" applyBorder="1" applyAlignment="1">
      <alignment vertical="top"/>
    </xf>
    <xf numFmtId="0" fontId="45" fillId="19" borderId="16" xfId="5" applyFont="1" applyFill="1" applyBorder="1" applyAlignment="1">
      <alignment vertical="top"/>
    </xf>
    <xf numFmtId="0" fontId="45" fillId="20" borderId="16" xfId="5" applyFont="1" applyFill="1" applyBorder="1" applyAlignment="1">
      <alignment vertical="top"/>
    </xf>
    <xf numFmtId="0" fontId="45" fillId="15" borderId="16" xfId="5" applyFont="1" applyFill="1" applyBorder="1" applyAlignment="1">
      <alignment vertical="top"/>
    </xf>
    <xf numFmtId="0" fontId="45" fillId="21" borderId="16" xfId="5" applyFont="1" applyFill="1" applyBorder="1" applyAlignment="1">
      <alignment vertical="top"/>
    </xf>
    <xf numFmtId="14" fontId="0" fillId="0" borderId="0" xfId="0" applyNumberFormat="1"/>
    <xf numFmtId="0" fontId="11" fillId="12" borderId="0" xfId="0" applyFont="1" applyFill="1" applyAlignment="1">
      <alignment horizontal="center" vertical="center"/>
    </xf>
    <xf numFmtId="0" fontId="16" fillId="11" borderId="4" xfId="0" applyFont="1" applyFill="1" applyBorder="1" applyAlignment="1" applyProtection="1">
      <alignment horizontal="center" vertical="center"/>
      <protection locked="0"/>
    </xf>
    <xf numFmtId="0" fontId="16" fillId="11" borderId="13" xfId="0" applyFont="1" applyFill="1" applyBorder="1" applyAlignment="1" applyProtection="1">
      <alignment horizontal="center" vertical="center"/>
      <protection locked="0"/>
    </xf>
    <xf numFmtId="0" fontId="16" fillId="11" borderId="5" xfId="0" applyFont="1" applyFill="1" applyBorder="1" applyAlignment="1" applyProtection="1">
      <alignment horizontal="center" vertical="center"/>
      <protection locked="0"/>
    </xf>
    <xf numFmtId="0" fontId="8" fillId="3" borderId="4" xfId="0" applyFont="1" applyFill="1" applyBorder="1" applyAlignment="1" applyProtection="1">
      <alignment horizontal="center" vertical="center"/>
      <protection locked="0"/>
    </xf>
    <xf numFmtId="0" fontId="8" fillId="3" borderId="13" xfId="0" applyFont="1" applyFill="1" applyBorder="1" applyAlignment="1" applyProtection="1">
      <alignment horizontal="center" vertical="center"/>
      <protection locked="0"/>
    </xf>
    <xf numFmtId="0" fontId="8" fillId="3" borderId="5" xfId="0" applyFont="1" applyFill="1" applyBorder="1" applyAlignment="1" applyProtection="1">
      <alignment horizontal="center" vertical="center"/>
      <protection locked="0"/>
    </xf>
    <xf numFmtId="15" fontId="8" fillId="3" borderId="4" xfId="0" applyNumberFormat="1" applyFont="1" applyFill="1" applyBorder="1" applyAlignment="1" applyProtection="1">
      <alignment horizontal="center" vertical="center"/>
      <protection locked="0"/>
    </xf>
    <xf numFmtId="0" fontId="20" fillId="12" borderId="8" xfId="0" applyFont="1" applyFill="1" applyBorder="1" applyAlignment="1">
      <alignment horizontal="center" vertical="center" wrapText="1"/>
    </xf>
    <xf numFmtId="0" fontId="20" fillId="12" borderId="9" xfId="0" applyFont="1" applyFill="1" applyBorder="1" applyAlignment="1">
      <alignment horizontal="center" vertical="center" wrapText="1"/>
    </xf>
    <xf numFmtId="0" fontId="20" fillId="12" borderId="0" xfId="0" applyFont="1" applyFill="1" applyAlignment="1">
      <alignment horizontal="center" vertical="center" wrapText="1"/>
    </xf>
    <xf numFmtId="0" fontId="18" fillId="0" borderId="3" xfId="0" applyFont="1" applyBorder="1" applyAlignment="1">
      <alignment horizontal="left" vertical="center" wrapText="1"/>
    </xf>
    <xf numFmtId="3" fontId="12" fillId="7" borderId="59" xfId="0" applyNumberFormat="1" applyFont="1" applyFill="1" applyBorder="1" applyAlignment="1" applyProtection="1">
      <alignment horizontal="center" vertical="center"/>
      <protection locked="0"/>
    </xf>
    <xf numFmtId="0" fontId="12" fillId="7" borderId="57" xfId="0" applyFont="1" applyFill="1" applyBorder="1" applyAlignment="1" applyProtection="1">
      <alignment horizontal="center" vertical="center"/>
      <protection locked="0"/>
    </xf>
    <xf numFmtId="0" fontId="12" fillId="7" borderId="55" xfId="0" applyFont="1" applyFill="1" applyBorder="1" applyAlignment="1" applyProtection="1">
      <alignment horizontal="center" vertical="center"/>
      <protection locked="0"/>
    </xf>
    <xf numFmtId="4" fontId="12" fillId="7" borderId="56" xfId="0" applyNumberFormat="1" applyFont="1" applyFill="1" applyBorder="1" applyAlignment="1" applyProtection="1">
      <alignment horizontal="center" vertical="center"/>
      <protection locked="0"/>
    </xf>
    <xf numFmtId="4" fontId="12" fillId="7" borderId="57" xfId="0" applyNumberFormat="1" applyFont="1" applyFill="1" applyBorder="1" applyAlignment="1" applyProtection="1">
      <alignment horizontal="center" vertical="center"/>
      <protection locked="0"/>
    </xf>
    <xf numFmtId="0" fontId="20" fillId="12" borderId="7" xfId="0" applyFont="1" applyFill="1" applyBorder="1" applyAlignment="1">
      <alignment horizontal="center" vertical="center" wrapText="1"/>
    </xf>
    <xf numFmtId="0" fontId="20" fillId="12" borderId="6" xfId="0" applyFont="1" applyFill="1" applyBorder="1" applyAlignment="1">
      <alignment horizontal="center" vertical="center" wrapText="1"/>
    </xf>
    <xf numFmtId="0" fontId="11" fillId="16" borderId="0" xfId="0" applyFont="1" applyFill="1" applyAlignment="1">
      <alignment horizontal="center" vertical="center"/>
    </xf>
    <xf numFmtId="0" fontId="25" fillId="17" borderId="0" xfId="0" applyFont="1" applyFill="1" applyAlignment="1">
      <alignment horizontal="center" vertical="center"/>
    </xf>
    <xf numFmtId="0" fontId="10" fillId="6" borderId="0" xfId="0" applyFont="1" applyFill="1" applyAlignment="1">
      <alignment horizontal="center" vertical="center"/>
    </xf>
  </cellXfs>
  <cellStyles count="7">
    <cellStyle name="Comma 2" xfId="3" xr:uid="{92BF5794-1AF9-44DE-8A45-97E2D247EB03}"/>
    <cellStyle name="Hyperlink" xfId="5" builtinId="8"/>
    <cellStyle name="Hyperlink 2" xfId="2" xr:uid="{985B9059-43AF-4B97-8D13-1508641BC7DB}"/>
    <cellStyle name="Normal" xfId="0" builtinId="0"/>
    <cellStyle name="Normal 2" xfId="1" xr:uid="{886A7E3E-2C28-48E7-AC10-101161A453A2}"/>
    <cellStyle name="Percent" xfId="6" builtinId="5"/>
    <cellStyle name="Percent 2" xfId="4" xr:uid="{45CC0F87-900D-4EF4-89CF-FBF2EE70DE01}"/>
  </cellStyles>
  <dxfs count="111">
    <dxf>
      <numFmt numFmtId="27" formatCode="m/d/yy\ h:mm"/>
    </dxf>
    <dxf>
      <font>
        <b/>
        <i val="0"/>
        <strike val="0"/>
        <condense val="0"/>
        <extend val="0"/>
        <outline val="0"/>
        <shadow val="0"/>
        <u val="none"/>
        <vertAlign val="baseline"/>
        <sz val="11"/>
        <color theme="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9"/>
        <color theme="1"/>
        <name val="Calibri"/>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3" formatCode="0%"/>
      <fill>
        <patternFill patternType="solid">
          <fgColor indexed="64"/>
          <bgColor theme="8" tint="0.79998168889431442"/>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65" formatCode="&quot;₱&quot;#,##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4" formatCode="#,##0.00"/>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top style="dotted">
          <color theme="2" tint="-0.499984740745262"/>
        </top>
      </border>
    </dxf>
    <dxf>
      <font>
        <strike val="0"/>
        <outline val="0"/>
        <shadow val="0"/>
        <u val="none"/>
        <sz val="9"/>
      </font>
    </dxf>
    <dxf>
      <fill>
        <patternFill patternType="solid">
          <fgColor indexed="64"/>
          <bgColor theme="4" tint="-0.499984740745262"/>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strike val="0"/>
        <outline val="0"/>
        <shadow val="0"/>
        <u val="none"/>
        <vertAlign val="baseline"/>
        <sz val="10"/>
        <name val="Calibri"/>
        <family val="2"/>
        <scheme val="minor"/>
      </font>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rgb="FF002060"/>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rgb="FF757171"/>
        </left>
        <right style="dotted">
          <color rgb="FF757171"/>
        </right>
        <top style="dotted">
          <color rgb="FF757171"/>
        </top>
        <bottom style="dotted">
          <color rgb="FF757171"/>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8" tint="0.79998168889431442"/>
        </patternFill>
      </fill>
      <alignment horizontal="center" vertical="center"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numFmt numFmtId="3" formatCode="#,##0"/>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dxf>
    <dxf>
      <font>
        <color theme="1"/>
      </font>
    </dxf>
    <dxf>
      <font>
        <color theme="1"/>
      </font>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patternType="solid">
          <bgColor theme="0"/>
        </patternFill>
      </fill>
      <border>
        <left style="hair">
          <color auto="1"/>
        </left>
        <right style="hair">
          <color auto="1"/>
        </right>
        <top style="hair">
          <color auto="1"/>
        </top>
        <bottom style="hair">
          <color auto="1"/>
        </bottom>
      </border>
    </dxf>
    <dxf>
      <fill>
        <patternFill>
          <bgColor theme="8" tint="0.79998168889431442"/>
        </patternFill>
      </fill>
      <border>
        <left style="hair">
          <color auto="1"/>
        </left>
        <right style="hair">
          <color auto="1"/>
        </right>
        <top style="hair">
          <color auto="1"/>
        </top>
        <bottom style="hair">
          <color auto="1"/>
        </bottom>
      </border>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0"/>
        </patternFill>
      </fill>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numFmt numFmtId="4" formatCode="#,##0.00"/>
      <fill>
        <patternFill patternType="solid">
          <fgColor indexed="64"/>
          <bgColor theme="4" tint="-0.249977111117893"/>
        </patternFill>
      </fill>
      <alignment horizontal="center" vertical="center" textRotation="0" wrapText="1" indent="0" justifyLastLine="0" shrinkToFit="0" readingOrder="0"/>
      <border diagonalUp="0" diagonalDown="0" outline="0">
        <left style="dotted">
          <color theme="2" tint="-0.499984740745262"/>
        </left>
        <right style="dotted">
          <color theme="2" tint="-0.499984740745262"/>
        </right>
        <top/>
        <bottom/>
      </border>
      <protection locked="0" hidden="0"/>
    </dxf>
    <dxf>
      <font>
        <color theme="1"/>
      </font>
      <fill>
        <patternFill patternType="solid">
          <bgColor theme="1"/>
        </patternFill>
      </fill>
      <border>
        <left style="thin">
          <color rgb="FF000000"/>
        </left>
        <right style="thin">
          <color rgb="FF000000"/>
        </right>
        <top style="thin">
          <color rgb="FF000000"/>
        </top>
        <bottom style="thin">
          <color rgb="FF000000"/>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theme="4" tint="-0.249977111117893"/>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bottom/>
      </border>
    </dxf>
  </dxfs>
  <tableStyles count="0" defaultTableStyle="TableStyleMedium2" defaultPivotStyle="PivotStyleLight16"/>
  <colors>
    <mruColors>
      <color rgb="FFFB7567"/>
      <color rgb="FF9079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7/relationships/slicerCache" Target="slicerCaches/slicerCache2.xml"/><Relationship Id="rId39" Type="http://schemas.microsoft.com/office/2007/relationships/slicerCache" Target="slicerCaches/slicerCache15.xml"/><Relationship Id="rId21" Type="http://schemas.openxmlformats.org/officeDocument/2006/relationships/pivotCacheDefinition" Target="pivotCache/pivotCacheDefinition3.xml"/><Relationship Id="rId34" Type="http://schemas.microsoft.com/office/2007/relationships/slicerCache" Target="slicerCaches/slicerCache10.xml"/><Relationship Id="rId42" Type="http://schemas.microsoft.com/office/2007/relationships/slicerCache" Target="slicerCaches/slicerCache18.xml"/><Relationship Id="rId47" Type="http://schemas.microsoft.com/office/2007/relationships/slicerCache" Target="slicerCaches/slicerCache23.xml"/><Relationship Id="rId50" Type="http://schemas.openxmlformats.org/officeDocument/2006/relationships/theme" Target="theme/theme1.xml"/><Relationship Id="rId55"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5.xml"/><Relationship Id="rId11" Type="http://schemas.openxmlformats.org/officeDocument/2006/relationships/worksheet" Target="worksheets/sheet11.xml"/><Relationship Id="rId24" Type="http://schemas.openxmlformats.org/officeDocument/2006/relationships/pivotCacheDefinition" Target="pivotCache/pivotCacheDefinition6.xml"/><Relationship Id="rId32" Type="http://schemas.microsoft.com/office/2007/relationships/slicerCache" Target="slicerCaches/slicerCache8.xml"/><Relationship Id="rId37" Type="http://schemas.microsoft.com/office/2007/relationships/slicerCache" Target="slicerCaches/slicerCache13.xml"/><Relationship Id="rId40" Type="http://schemas.microsoft.com/office/2007/relationships/slicerCache" Target="slicerCaches/slicerCache16.xml"/><Relationship Id="rId45" Type="http://schemas.microsoft.com/office/2007/relationships/slicerCache" Target="slicerCaches/slicerCache21.xml"/><Relationship Id="rId53" Type="http://schemas.openxmlformats.org/officeDocument/2006/relationships/sheetMetadata" Target="metadata.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4.xml"/><Relationship Id="rId27" Type="http://schemas.microsoft.com/office/2007/relationships/slicerCache" Target="slicerCaches/slicerCache3.xml"/><Relationship Id="rId30" Type="http://schemas.microsoft.com/office/2007/relationships/slicerCache" Target="slicerCaches/slicerCache6.xml"/><Relationship Id="rId35" Type="http://schemas.microsoft.com/office/2007/relationships/slicerCache" Target="slicerCaches/slicerCache11.xml"/><Relationship Id="rId43" Type="http://schemas.microsoft.com/office/2007/relationships/slicerCache" Target="slicerCaches/slicerCache19.xml"/><Relationship Id="rId48" Type="http://schemas.microsoft.com/office/2007/relationships/slicerCache" Target="slicerCaches/slicerCache24.xml"/><Relationship Id="rId56"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33" Type="http://schemas.microsoft.com/office/2007/relationships/slicerCache" Target="slicerCaches/slicerCache9.xml"/><Relationship Id="rId38" Type="http://schemas.microsoft.com/office/2007/relationships/slicerCache" Target="slicerCaches/slicerCache14.xml"/><Relationship Id="rId46" Type="http://schemas.microsoft.com/office/2007/relationships/slicerCache" Target="slicerCaches/slicerCache22.xml"/><Relationship Id="rId20" Type="http://schemas.openxmlformats.org/officeDocument/2006/relationships/pivotCacheDefinition" Target="pivotCache/pivotCacheDefinition2.xml"/><Relationship Id="rId41" Type="http://schemas.microsoft.com/office/2007/relationships/slicerCache" Target="slicerCaches/slicerCache17.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5.xml"/><Relationship Id="rId28" Type="http://schemas.microsoft.com/office/2007/relationships/slicerCache" Target="slicerCaches/slicerCache4.xml"/><Relationship Id="rId36" Type="http://schemas.microsoft.com/office/2007/relationships/slicerCache" Target="slicerCaches/slicerCache12.xml"/><Relationship Id="rId49" Type="http://schemas.microsoft.com/office/2007/relationships/slicerCache" Target="slicerCaches/slicerCache25.xml"/><Relationship Id="rId57" Type="http://schemas.openxmlformats.org/officeDocument/2006/relationships/customXml" Target="../customXml/item3.xml"/><Relationship Id="rId10" Type="http://schemas.openxmlformats.org/officeDocument/2006/relationships/worksheet" Target="worksheets/sheet10.xml"/><Relationship Id="rId31" Type="http://schemas.microsoft.com/office/2007/relationships/slicerCache" Target="slicerCaches/slicerCache7.xml"/><Relationship Id="rId44" Type="http://schemas.microsoft.com/office/2007/relationships/slicerCache" Target="slicerCaches/slicerCache20.xml"/><Relationship Id="rId5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32</c:v>
              </c:pt>
              <c:pt idx="2">
                <c:v>0</c:v>
              </c:pt>
            </c:numLit>
          </c:val>
          <c:extLst>
            <c:ext xmlns:c16="http://schemas.microsoft.com/office/drawing/2014/chart" uri="{C3380CC4-5D6E-409C-BE32-E72D297353CC}">
              <c16:uniqueId val="{00000008-586D-C147-89AB-CE61910FA40C}"/>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34</c:v>
              </c:pt>
              <c:pt idx="2">
                <c:v>0</c:v>
              </c:pt>
            </c:numLit>
          </c:val>
          <c:extLst>
            <c:ext xmlns:c16="http://schemas.microsoft.com/office/drawing/2014/chart" uri="{C3380CC4-5D6E-409C-BE32-E72D297353CC}">
              <c16:uniqueId val="{00000011-586D-C147-89AB-CE61910FA40C}"/>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5</c:v>
              </c:pt>
              <c:pt idx="1">
                <c:v>0</c:v>
              </c:pt>
              <c:pt idx="2">
                <c:v>0</c:v>
              </c:pt>
            </c:numLit>
          </c:val>
          <c:extLst>
            <c:ext xmlns:c16="http://schemas.microsoft.com/office/drawing/2014/chart" uri="{C3380CC4-5D6E-409C-BE32-E72D297353CC}">
              <c16:uniqueId val="{0000001A-586D-C147-89AB-CE61910FA40C}"/>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13</c:v>
              </c:pt>
              <c:pt idx="1">
                <c:v>100</c:v>
              </c:pt>
              <c:pt idx="2">
                <c:v>25</c:v>
              </c:pt>
            </c:numLit>
          </c:val>
          <c:extLst>
            <c:ext xmlns:c16="http://schemas.microsoft.com/office/drawing/2014/chart" uri="{C3380CC4-5D6E-409C-BE32-E72D297353CC}">
              <c16:uniqueId val="{00000023-586D-C147-89AB-CE61910FA40C}"/>
            </c:ext>
          </c:extLst>
        </c:ser>
        <c:dLbls>
          <c:showLegendKey val="0"/>
          <c:showVal val="0"/>
          <c:showCatName val="0"/>
          <c:showSerName val="0"/>
          <c:showPercent val="1"/>
          <c:showBubbleSize val="0"/>
          <c:showLeaderLines val="1"/>
        </c:dLbls>
        <c:firstSliceAng val="0"/>
        <c:holeSize val="3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0A-3423-9348-868E-2F21C089E8D0}"/>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1500</c:v>
              </c:pt>
            </c:numLit>
          </c:val>
          <c:extLst>
            <c:ext xmlns:c16="http://schemas.microsoft.com/office/drawing/2014/chart" uri="{C3380CC4-5D6E-409C-BE32-E72D297353CC}">
              <c16:uniqueId val="{00000015-3423-9348-868E-2F21C089E8D0}"/>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0-3423-9348-868E-2F21C089E8D0}"/>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2-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4-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6-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8-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2A-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1000</c:v>
              </c:pt>
            </c:numLit>
          </c:val>
          <c:extLst>
            <c:ext xmlns:c16="http://schemas.microsoft.com/office/drawing/2014/chart" uri="{C3380CC4-5D6E-409C-BE32-E72D297353CC}">
              <c16:uniqueId val="{0000002B-3423-9348-868E-2F21C089E8D0}"/>
            </c:ext>
          </c:extLst>
        </c:ser>
        <c:ser>
          <c:idx val="4"/>
          <c:order val="4"/>
          <c:tx>
            <c:v>Series5</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9-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B-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8-85DC-CF42-978B-BBC6D4C8626D}"/>
            </c:ext>
          </c:extLst>
        </c:ser>
        <c:ser>
          <c:idx val="5"/>
          <c:order val="5"/>
          <c:tx>
            <c:v>Series6</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D-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F-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29-85DC-CF42-978B-BBC6D4C8626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manualLayout>
          <c:layoutTarget val="inner"/>
          <c:xMode val="edge"/>
          <c:yMode val="edge"/>
          <c:x val="0.1071764292375731"/>
          <c:y val="0.12724449825777773"/>
          <c:w val="0.62587601977720841"/>
          <c:h val="0.73758227680966837"/>
        </c:manualLayout>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F7FD-9640-8913-540EF2E77DF2}"/>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A-F7FD-9640-8913-540EF2E77DF2}"/>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3-F7FD-9640-8913-540EF2E77DF2}"/>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5-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7-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9-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B-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C-F7FD-9640-8913-540EF2E77DF2}"/>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E-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0-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2-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4-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5-F7FD-9640-8913-540EF2E77DF2}"/>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3-7E62-43F2-BBFC-BBA6B49C9F2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5-7E62-43F2-BBFC-BBA6B49C9F2E}"/>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7-7E62-43F2-BBFC-BBA6B49C9F2E}"/>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9-7E62-43F2-BBFC-BBA6B49C9F2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2-A8C1-FA48-800E-D7C7D0957CB9}"/>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8-5AD5-9D44-8988-F78D376CA29D}"/>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1-5AD5-9D44-8988-F78D376CA29D}"/>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A-5AD5-9D44-8988-F78D376CA29D}"/>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3-5AD5-9D44-8988-F78D376CA29D}"/>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1-3892-4292-9D36-46936098F116}"/>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3-3892-4292-9D36-46936098F116}"/>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5-3892-4292-9D36-46936098F116}"/>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7-3892-4292-9D36-46936098F11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4-5AD5-9D44-8988-F78D376CA29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8B9-E440-9C01-2BF81AE1C4AA}"/>
              </c:ext>
            </c:extLst>
          </c:dPt>
          <c:dLbls>
            <c:dLbl>
              <c:idx val="1"/>
              <c:layout>
                <c:manualLayout>
                  <c:x val="-3.3320266133600715E-2"/>
                  <c:y val="-4.6498906909554501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3-38B9-E440-9C01-2BF81AE1C4AA}"/>
                </c:ext>
              </c:extLst>
            </c:dLbl>
            <c:dLbl>
              <c:idx val="2"/>
              <c:layout>
                <c:manualLayout>
                  <c:x val="3.3320266133600715E-2"/>
                  <c:y val="5.5798688291465399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5-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300</c:v>
              </c:pt>
              <c:pt idx="2">
                <c:v>500</c:v>
              </c:pt>
              <c:pt idx="3">
                <c:v>0</c:v>
              </c:pt>
              <c:pt idx="4">
                <c:v>0</c:v>
              </c:pt>
            </c:numLit>
          </c:val>
          <c:extLst>
            <c:ext xmlns:c16="http://schemas.microsoft.com/office/drawing/2014/chart" uri="{C3380CC4-5D6E-409C-BE32-E72D297353CC}">
              <c16:uniqueId val="{0000000A-38B9-E440-9C01-2BF81AE1C4AA}"/>
            </c:ext>
          </c:extLst>
        </c:ser>
        <c:ser>
          <c:idx val="1"/>
          <c:order val="1"/>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8B9-E440-9C01-2BF81AE1C4A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0</c:v>
              </c:pt>
              <c:pt idx="2">
                <c:v>0</c:v>
              </c:pt>
              <c:pt idx="3">
                <c:v>150</c:v>
              </c:pt>
              <c:pt idx="4">
                <c:v>200</c:v>
              </c:pt>
            </c:numLit>
          </c:val>
          <c:extLst>
            <c:ext xmlns:c16="http://schemas.microsoft.com/office/drawing/2014/chart" uri="{C3380CC4-5D6E-409C-BE32-E72D297353CC}">
              <c16:uniqueId val="{00000015-38B9-E440-9C01-2BF81AE1C4AA}"/>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8B9-E440-9C01-2BF81AE1C4AA}"/>
              </c:ext>
            </c:extLst>
          </c:dPt>
          <c:dLbls>
            <c:dLbl>
              <c:idx val="0"/>
              <c:layout>
                <c:manualLayout>
                  <c:x val="0.12772768684546934"/>
                  <c:y val="-2.324945345477725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17-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200</c:v>
              </c:pt>
              <c:pt idx="1">
                <c:v>0</c:v>
              </c:pt>
              <c:pt idx="2">
                <c:v>0</c:v>
              </c:pt>
              <c:pt idx="3">
                <c:v>0</c:v>
              </c:pt>
              <c:pt idx="4">
                <c:v>0</c:v>
              </c:pt>
            </c:numLit>
          </c:val>
          <c:extLst>
            <c:ext xmlns:c16="http://schemas.microsoft.com/office/drawing/2014/chart" uri="{C3380CC4-5D6E-409C-BE32-E72D297353CC}">
              <c16:uniqueId val="{00000020-38B9-E440-9C01-2BF81AE1C4AA}"/>
            </c:ext>
          </c:extLst>
        </c:ser>
        <c:dLbls>
          <c:showLegendKey val="0"/>
          <c:showVal val="0"/>
          <c:showCatName val="0"/>
          <c:showSerName val="0"/>
          <c:showPercent val="1"/>
          <c:showBubbleSize val="0"/>
          <c:showLeaderLines val="1"/>
        </c:dLbls>
        <c:firstSliceAng val="0"/>
        <c:holeSize val="3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3-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05-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07-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09-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0</c:v>
              </c:pt>
              <c:pt idx="4">
                <c:v>120</c:v>
              </c:pt>
            </c:numLit>
          </c:val>
          <c:extLst>
            <c:ext xmlns:c16="http://schemas.microsoft.com/office/drawing/2014/chart" uri="{C3380CC4-5D6E-409C-BE32-E72D297353CC}">
              <c16:uniqueId val="{0000000A-395C-0A4A-9B42-8BB27B4DAA89}"/>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E-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0-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2-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4-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140</c:v>
              </c:pt>
              <c:pt idx="1">
                <c:v>200</c:v>
              </c:pt>
              <c:pt idx="2">
                <c:v>200</c:v>
              </c:pt>
              <c:pt idx="3">
                <c:v>0</c:v>
              </c:pt>
              <c:pt idx="4">
                <c:v>0</c:v>
              </c:pt>
            </c:numLit>
          </c:val>
          <c:extLst>
            <c:ext xmlns:c16="http://schemas.microsoft.com/office/drawing/2014/chart" uri="{C3380CC4-5D6E-409C-BE32-E72D297353CC}">
              <c16:uniqueId val="{00000015-395C-0A4A-9B42-8BB27B4DAA89}"/>
            </c:ext>
          </c:extLst>
        </c:ser>
        <c:ser>
          <c:idx val="2"/>
          <c:order val="2"/>
          <c:tx>
            <c:v>Q4</c:v>
          </c:tx>
          <c:dPt>
            <c:idx val="0"/>
            <c:bubble3D val="0"/>
            <c:spPr>
              <a:solidFill>
                <a:schemeClr val="accent1"/>
              </a:solidFill>
              <a:ln>
                <a:noFill/>
              </a:ln>
              <a:effectLst/>
            </c:spPr>
            <c:extLst>
              <c:ext xmlns:c16="http://schemas.microsoft.com/office/drawing/2014/chart" uri="{C3380CC4-5D6E-409C-BE32-E72D297353CC}">
                <c16:uniqueId val="{00000017-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19-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B-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D-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F-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130</c:v>
              </c:pt>
              <c:pt idx="4">
                <c:v>0</c:v>
              </c:pt>
            </c:numLit>
          </c:val>
          <c:extLst>
            <c:ext xmlns:c16="http://schemas.microsoft.com/office/drawing/2014/chart" uri="{C3380CC4-5D6E-409C-BE32-E72D297353CC}">
              <c16:uniqueId val="{00000020-395C-0A4A-9B42-8BB27B4DAA89}"/>
            </c:ext>
          </c:extLst>
        </c:ser>
        <c:dLbls>
          <c:showLegendKey val="0"/>
          <c:showVal val="0"/>
          <c:showCatName val="0"/>
          <c:showSerName val="0"/>
          <c:showPercent val="1"/>
          <c:showBubbleSize val="0"/>
          <c:showLeaderLines val="1"/>
        </c:dLbls>
        <c:firstSliceAng val="0"/>
        <c:holeSize val="33"/>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3-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05-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07-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09-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0</c:v>
              </c:pt>
              <c:pt idx="1">
                <c:v>500</c:v>
              </c:pt>
              <c:pt idx="2">
                <c:v>0</c:v>
              </c:pt>
              <c:pt idx="3">
                <c:v>500</c:v>
              </c:pt>
            </c:numLit>
          </c:val>
          <c:extLst>
            <c:ext xmlns:c16="http://schemas.microsoft.com/office/drawing/2014/chart" uri="{C3380CC4-5D6E-409C-BE32-E72D297353CC}">
              <c16:uniqueId val="{0000000A-8902-974D-AC2D-5228D91537BB}"/>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E-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0-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2-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4-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700</c:v>
              </c:pt>
              <c:pt idx="1">
                <c:v>0</c:v>
              </c:pt>
              <c:pt idx="2">
                <c:v>500</c:v>
              </c:pt>
              <c:pt idx="3">
                <c:v>0</c:v>
              </c:pt>
            </c:numLit>
          </c:val>
          <c:extLst>
            <c:ext xmlns:c16="http://schemas.microsoft.com/office/drawing/2014/chart" uri="{C3380CC4-5D6E-409C-BE32-E72D297353CC}">
              <c16:uniqueId val="{00000015-8902-974D-AC2D-5228D91537BB}"/>
            </c:ext>
          </c:extLst>
        </c:ser>
        <c:ser>
          <c:idx val="2"/>
          <c:order val="2"/>
          <c:tx>
            <c:v>Q3</c:v>
          </c:tx>
          <c:dPt>
            <c:idx val="0"/>
            <c:bubble3D val="0"/>
            <c:spPr>
              <a:solidFill>
                <a:schemeClr val="accent1"/>
              </a:solidFill>
              <a:ln>
                <a:noFill/>
              </a:ln>
              <a:effectLst/>
            </c:spPr>
            <c:extLst>
              <c:ext xmlns:c16="http://schemas.microsoft.com/office/drawing/2014/chart" uri="{C3380CC4-5D6E-409C-BE32-E72D297353CC}">
                <c16:uniqueId val="{00000017-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19-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B-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D-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F-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1000</c:v>
              </c:pt>
              <c:pt idx="1">
                <c:v>0</c:v>
              </c:pt>
              <c:pt idx="2">
                <c:v>0</c:v>
              </c:pt>
              <c:pt idx="3">
                <c:v>0</c:v>
              </c:pt>
            </c:numLit>
          </c:val>
          <c:extLst>
            <c:ext xmlns:c16="http://schemas.microsoft.com/office/drawing/2014/chart" uri="{C3380CC4-5D6E-409C-BE32-E72D297353CC}">
              <c16:uniqueId val="{00000020-8902-974D-AC2D-5228D91537BB}"/>
            </c:ext>
          </c:extLst>
        </c:ser>
        <c:ser>
          <c:idx val="3"/>
          <c:order val="3"/>
          <c:tx>
            <c:v>Q4</c:v>
          </c:tx>
          <c:dPt>
            <c:idx val="0"/>
            <c:bubble3D val="0"/>
            <c:spPr>
              <a:solidFill>
                <a:schemeClr val="accent1"/>
              </a:solidFill>
              <a:ln>
                <a:noFill/>
              </a:ln>
              <a:effectLst/>
            </c:spPr>
            <c:extLst>
              <c:ext xmlns:c16="http://schemas.microsoft.com/office/drawing/2014/chart" uri="{C3380CC4-5D6E-409C-BE32-E72D297353CC}">
                <c16:uniqueId val="{00000022-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24-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26-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28-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2A-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500</c:v>
              </c:pt>
              <c:pt idx="1">
                <c:v>750</c:v>
              </c:pt>
              <c:pt idx="2">
                <c:v>0</c:v>
              </c:pt>
              <c:pt idx="3">
                <c:v>0</c:v>
              </c:pt>
            </c:numLit>
          </c:val>
          <c:extLst>
            <c:ext xmlns:c16="http://schemas.microsoft.com/office/drawing/2014/chart" uri="{C3380CC4-5D6E-409C-BE32-E72D297353CC}">
              <c16:uniqueId val="{0000002B-8902-974D-AC2D-5228D91537BB}"/>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520032</xdr:colOff>
      <xdr:row>3</xdr:row>
      <xdr:rowOff>45050</xdr:rowOff>
    </xdr:from>
    <xdr:to>
      <xdr:col>10</xdr:col>
      <xdr:colOff>515800</xdr:colOff>
      <xdr:row>16</xdr:row>
      <xdr:rowOff>4376</xdr:rowOff>
    </xdr:to>
    <mc:AlternateContent xmlns:mc="http://schemas.openxmlformats.org/markup-compatibility/2006" xmlns:a14="http://schemas.microsoft.com/office/drawing/2010/main">
      <mc:Choice Requires="a14">
        <xdr:graphicFrame macro="">
          <xdr:nvGraphicFramePr>
            <xdr:cNvPr id="3" name="Fuel Type 2">
              <a:extLst>
                <a:ext uri="{FF2B5EF4-FFF2-40B4-BE49-F238E27FC236}">
                  <a16:creationId xmlns:a16="http://schemas.microsoft.com/office/drawing/2014/main" id="{A7BB75B7-2C8E-994B-B7F3-47CF35118E89}"/>
                </a:ext>
              </a:extLst>
            </xdr:cNvPr>
            <xdr:cNvGraphicFramePr/>
          </xdr:nvGraphicFramePr>
          <xdr:xfrm>
            <a:off x="0" y="0"/>
            <a:ext cx="0" cy="0"/>
          </xdr:xfrm>
          <a:graphic>
            <a:graphicData uri="http://schemas.microsoft.com/office/drawing/2010/slicer">
              <sle:slicer xmlns:sle="http://schemas.microsoft.com/office/drawing/2010/slicer" name="Fuel Type 2"/>
            </a:graphicData>
          </a:graphic>
        </xdr:graphicFrame>
      </mc:Choice>
      <mc:Fallback xmlns="">
        <xdr:sp macro="" textlink="">
          <xdr:nvSpPr>
            <xdr:cNvPr id="0" name=""/>
            <xdr:cNvSpPr>
              <a:spLocks noTextEdit="1"/>
            </xdr:cNvSpPr>
          </xdr:nvSpPr>
          <xdr:spPr>
            <a:xfrm>
              <a:off x="8330532" y="241300"/>
              <a:ext cx="82126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97143</xdr:colOff>
      <xdr:row>3</xdr:row>
      <xdr:rowOff>53251</xdr:rowOff>
    </xdr:from>
    <xdr:to>
      <xdr:col>12</xdr:col>
      <xdr:colOff>96028</xdr:colOff>
      <xdr:row>16</xdr:row>
      <xdr:rowOff>7559</xdr:rowOff>
    </xdr:to>
    <mc:AlternateContent xmlns:mc="http://schemas.openxmlformats.org/markup-compatibility/2006" xmlns:a14="http://schemas.microsoft.com/office/drawing/2010/main">
      <mc:Choice Requires="a14">
        <xdr:graphicFrame macro="">
          <xdr:nvGraphicFramePr>
            <xdr:cNvPr id="4" name="Month 7">
              <a:extLst>
                <a:ext uri="{FF2B5EF4-FFF2-40B4-BE49-F238E27FC236}">
                  <a16:creationId xmlns:a16="http://schemas.microsoft.com/office/drawing/2014/main" id="{A80B4729-CB2C-EC4C-8BF9-55C61FA6C0A9}"/>
                </a:ext>
              </a:extLst>
            </xdr:cNvPr>
            <xdr:cNvGraphicFramePr/>
          </xdr:nvGraphicFramePr>
          <xdr:xfrm>
            <a:off x="0" y="0"/>
            <a:ext cx="0" cy="0"/>
          </xdr:xfrm>
          <a:graphic>
            <a:graphicData uri="http://schemas.microsoft.com/office/drawing/2010/slicer">
              <sle:slicer xmlns:sle="http://schemas.microsoft.com/office/drawing/2010/slicer" name="Month 7"/>
            </a:graphicData>
          </a:graphic>
        </xdr:graphicFrame>
      </mc:Choice>
      <mc:Fallback xmlns="">
        <xdr:sp macro="" textlink="">
          <xdr:nvSpPr>
            <xdr:cNvPr id="0" name=""/>
            <xdr:cNvSpPr>
              <a:spLocks noTextEdit="1"/>
            </xdr:cNvSpPr>
          </xdr:nvSpPr>
          <xdr:spPr>
            <a:xfrm>
              <a:off x="9558643" y="241300"/>
              <a:ext cx="824385"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756798</xdr:colOff>
      <xdr:row>2</xdr:row>
      <xdr:rowOff>73940</xdr:rowOff>
    </xdr:from>
    <xdr:to>
      <xdr:col>18</xdr:col>
      <xdr:colOff>727153</xdr:colOff>
      <xdr:row>20</xdr:row>
      <xdr:rowOff>149627</xdr:rowOff>
    </xdr:to>
    <xdr:graphicFrame macro="">
      <xdr:nvGraphicFramePr>
        <xdr:cNvPr id="5" name="Chart 4">
          <a:extLst>
            <a:ext uri="{FF2B5EF4-FFF2-40B4-BE49-F238E27FC236}">
              <a16:creationId xmlns:a16="http://schemas.microsoft.com/office/drawing/2014/main" id="{D2A6632F-7BFE-F743-B351-BB106A26F9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120926</xdr:colOff>
      <xdr:row>27</xdr:row>
      <xdr:rowOff>57977</xdr:rowOff>
    </xdr:from>
    <xdr:to>
      <xdr:col>8</xdr:col>
      <xdr:colOff>1504675</xdr:colOff>
      <xdr:row>40</xdr:row>
      <xdr:rowOff>79676</xdr:rowOff>
    </xdr:to>
    <mc:AlternateContent xmlns:mc="http://schemas.openxmlformats.org/markup-compatibility/2006" xmlns:a14="http://schemas.microsoft.com/office/drawing/2010/main">
      <mc:Choice Requires="a14">
        <xdr:graphicFrame macro="">
          <xdr:nvGraphicFramePr>
            <xdr:cNvPr id="6" name="Vehicle Type 1">
              <a:extLst>
                <a:ext uri="{FF2B5EF4-FFF2-40B4-BE49-F238E27FC236}">
                  <a16:creationId xmlns:a16="http://schemas.microsoft.com/office/drawing/2014/main" id="{8635D571-6505-8047-BC43-31532450F1B5}"/>
                </a:ext>
              </a:extLst>
            </xdr:cNvPr>
            <xdr:cNvGraphicFramePr/>
          </xdr:nvGraphicFramePr>
          <xdr:xfrm>
            <a:off x="0" y="0"/>
            <a:ext cx="0" cy="0"/>
          </xdr:xfrm>
          <a:graphic>
            <a:graphicData uri="http://schemas.microsoft.com/office/drawing/2010/slicer">
              <sle:slicer xmlns:sle="http://schemas.microsoft.com/office/drawing/2010/slicer" name="Vehicle Type 1"/>
            </a:graphicData>
          </a:graphic>
        </xdr:graphicFrame>
      </mc:Choice>
      <mc:Fallback xmlns="">
        <xdr:sp macro="" textlink="">
          <xdr:nvSpPr>
            <xdr:cNvPr id="0" name=""/>
            <xdr:cNvSpPr>
              <a:spLocks noTextEdit="1"/>
            </xdr:cNvSpPr>
          </xdr:nvSpPr>
          <xdr:spPr>
            <a:xfrm>
              <a:off x="6280426" y="1054100"/>
              <a:ext cx="153614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1541669</xdr:colOff>
      <xdr:row>27</xdr:row>
      <xdr:rowOff>62395</xdr:rowOff>
    </xdr:from>
    <xdr:to>
      <xdr:col>9</xdr:col>
      <xdr:colOff>1655968</xdr:colOff>
      <xdr:row>40</xdr:row>
      <xdr:rowOff>80781</xdr:rowOff>
    </xdr:to>
    <mc:AlternateContent xmlns:mc="http://schemas.openxmlformats.org/markup-compatibility/2006" xmlns:a14="http://schemas.microsoft.com/office/drawing/2010/main">
      <mc:Choice Requires="a14">
        <xdr:graphicFrame macro="">
          <xdr:nvGraphicFramePr>
            <xdr:cNvPr id="7" name="Fuel Type 3">
              <a:extLst>
                <a:ext uri="{FF2B5EF4-FFF2-40B4-BE49-F238E27FC236}">
                  <a16:creationId xmlns:a16="http://schemas.microsoft.com/office/drawing/2014/main" id="{403AAD7D-E842-7A47-85C4-22DD4E42C39E}"/>
                </a:ext>
              </a:extLst>
            </xdr:cNvPr>
            <xdr:cNvGraphicFramePr/>
          </xdr:nvGraphicFramePr>
          <xdr:xfrm>
            <a:off x="0" y="0"/>
            <a:ext cx="0" cy="0"/>
          </xdr:xfrm>
          <a:graphic>
            <a:graphicData uri="http://schemas.microsoft.com/office/drawing/2010/slicer">
              <sle:slicer xmlns:sle="http://schemas.microsoft.com/office/drawing/2010/slicer" name="Fuel Type 3"/>
            </a:graphicData>
          </a:graphic>
        </xdr:graphicFrame>
      </mc:Choice>
      <mc:Fallback xmlns="">
        <xdr:sp macro="" textlink="">
          <xdr:nvSpPr>
            <xdr:cNvPr id="0" name=""/>
            <xdr:cNvSpPr>
              <a:spLocks noTextEdit="1"/>
            </xdr:cNvSpPr>
          </xdr:nvSpPr>
          <xdr:spPr>
            <a:xfrm>
              <a:off x="7815469" y="1054100"/>
              <a:ext cx="82549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678070</xdr:colOff>
      <xdr:row>27</xdr:row>
      <xdr:rowOff>45831</xdr:rowOff>
    </xdr:from>
    <xdr:to>
      <xdr:col>14</xdr:col>
      <xdr:colOff>673653</xdr:colOff>
      <xdr:row>40</xdr:row>
      <xdr:rowOff>57467</xdr:rowOff>
    </xdr:to>
    <mc:AlternateContent xmlns:mc="http://schemas.openxmlformats.org/markup-compatibility/2006" xmlns:a14="http://schemas.microsoft.com/office/drawing/2010/main">
      <mc:Choice Requires="a14">
        <xdr:graphicFrame macro="">
          <xdr:nvGraphicFramePr>
            <xdr:cNvPr id="8" name="Month 8">
              <a:extLst>
                <a:ext uri="{FF2B5EF4-FFF2-40B4-BE49-F238E27FC236}">
                  <a16:creationId xmlns:a16="http://schemas.microsoft.com/office/drawing/2014/main" id="{E80916F5-3185-1C44-9918-51EDDF387139}"/>
                </a:ext>
              </a:extLst>
            </xdr:cNvPr>
            <xdr:cNvGraphicFramePr/>
          </xdr:nvGraphicFramePr>
          <xdr:xfrm>
            <a:off x="0" y="0"/>
            <a:ext cx="0" cy="0"/>
          </xdr:xfrm>
          <a:graphic>
            <a:graphicData uri="http://schemas.microsoft.com/office/drawing/2010/slicer">
              <sle:slicer xmlns:sle="http://schemas.microsoft.com/office/drawing/2010/slicer" name="Month 8"/>
            </a:graphicData>
          </a:graphic>
        </xdr:graphicFrame>
      </mc:Choice>
      <mc:Fallback xmlns="">
        <xdr:sp macro="" textlink="">
          <xdr:nvSpPr>
            <xdr:cNvPr id="0" name=""/>
            <xdr:cNvSpPr>
              <a:spLocks noTextEdit="1"/>
            </xdr:cNvSpPr>
          </xdr:nvSpPr>
          <xdr:spPr>
            <a:xfrm>
              <a:off x="10965070" y="1054100"/>
              <a:ext cx="164658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1704009</xdr:colOff>
      <xdr:row>27</xdr:row>
      <xdr:rowOff>56321</xdr:rowOff>
    </xdr:from>
    <xdr:to>
      <xdr:col>12</xdr:col>
      <xdr:colOff>588617</xdr:colOff>
      <xdr:row>40</xdr:row>
      <xdr:rowOff>52742</xdr:rowOff>
    </xdr:to>
    <mc:AlternateContent xmlns:mc="http://schemas.openxmlformats.org/markup-compatibility/2006" xmlns:a14="http://schemas.microsoft.com/office/drawing/2010/main">
      <mc:Choice Requires="a14">
        <xdr:graphicFrame macro="">
          <xdr:nvGraphicFramePr>
            <xdr:cNvPr id="9" name="Quarter 6">
              <a:extLst>
                <a:ext uri="{FF2B5EF4-FFF2-40B4-BE49-F238E27FC236}">
                  <a16:creationId xmlns:a16="http://schemas.microsoft.com/office/drawing/2014/main" id="{D69C1B5D-BB9D-5D45-B5FD-AC31F928BB5F}"/>
                </a:ext>
              </a:extLst>
            </xdr:cNvPr>
            <xdr:cNvGraphicFramePr/>
          </xdr:nvGraphicFramePr>
          <xdr:xfrm>
            <a:off x="0" y="0"/>
            <a:ext cx="0" cy="0"/>
          </xdr:xfrm>
          <a:graphic>
            <a:graphicData uri="http://schemas.microsoft.com/office/drawing/2010/slicer">
              <sle:slicer xmlns:sle="http://schemas.microsoft.com/office/drawing/2010/slicer" name="Quarter 6"/>
            </a:graphicData>
          </a:graphic>
        </xdr:graphicFrame>
      </mc:Choice>
      <mc:Fallback xmlns="">
        <xdr:sp macro="" textlink="">
          <xdr:nvSpPr>
            <xdr:cNvPr id="0" name=""/>
            <xdr:cNvSpPr>
              <a:spLocks noTextEdit="1"/>
            </xdr:cNvSpPr>
          </xdr:nvSpPr>
          <xdr:spPr>
            <a:xfrm>
              <a:off x="8638209" y="1054100"/>
              <a:ext cx="223740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804332</xdr:colOff>
      <xdr:row>26</xdr:row>
      <xdr:rowOff>8466</xdr:rowOff>
    </xdr:from>
    <xdr:to>
      <xdr:col>20</xdr:col>
      <xdr:colOff>266700</xdr:colOff>
      <xdr:row>46</xdr:row>
      <xdr:rowOff>127000</xdr:rowOff>
    </xdr:to>
    <xdr:graphicFrame macro="">
      <xdr:nvGraphicFramePr>
        <xdr:cNvPr id="10" name="Chart 9">
          <a:extLst>
            <a:ext uri="{FF2B5EF4-FFF2-40B4-BE49-F238E27FC236}">
              <a16:creationId xmlns:a16="http://schemas.microsoft.com/office/drawing/2014/main" id="{2AAF05B9-9E60-154F-8660-5E65BF19DB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78127</xdr:colOff>
      <xdr:row>56</xdr:row>
      <xdr:rowOff>176921</xdr:rowOff>
    </xdr:from>
    <xdr:to>
      <xdr:col>12</xdr:col>
      <xdr:colOff>127720</xdr:colOff>
      <xdr:row>69</xdr:row>
      <xdr:rowOff>168300</xdr:rowOff>
    </xdr:to>
    <mc:AlternateContent xmlns:mc="http://schemas.openxmlformats.org/markup-compatibility/2006" xmlns:a14="http://schemas.microsoft.com/office/drawing/2010/main">
      <mc:Choice Requires="a14">
        <xdr:graphicFrame macro="">
          <xdr:nvGraphicFramePr>
            <xdr:cNvPr id="16" name="Source Description 2">
              <a:extLst>
                <a:ext uri="{FF2B5EF4-FFF2-40B4-BE49-F238E27FC236}">
                  <a16:creationId xmlns:a16="http://schemas.microsoft.com/office/drawing/2014/main" id="{BED92474-DB27-A04B-90C8-615B6890D2CE}"/>
                </a:ext>
              </a:extLst>
            </xdr:cNvPr>
            <xdr:cNvGraphicFramePr/>
          </xdr:nvGraphicFramePr>
          <xdr:xfrm>
            <a:off x="0" y="0"/>
            <a:ext cx="0" cy="0"/>
          </xdr:xfrm>
          <a:graphic>
            <a:graphicData uri="http://schemas.microsoft.com/office/drawing/2010/slicer">
              <sle:slicer xmlns:sle="http://schemas.microsoft.com/office/drawing/2010/slicer" name="Source Description 2"/>
            </a:graphicData>
          </a:graphic>
        </xdr:graphicFrame>
      </mc:Choice>
      <mc:Fallback xmlns="">
        <xdr:sp macro="" textlink="">
          <xdr:nvSpPr>
            <xdr:cNvPr id="0" name=""/>
            <xdr:cNvSpPr>
              <a:spLocks noTextEdit="1"/>
            </xdr:cNvSpPr>
          </xdr:nvSpPr>
          <xdr:spPr>
            <a:xfrm>
              <a:off x="8714127" y="1866900"/>
              <a:ext cx="170059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57</xdr:row>
      <xdr:rowOff>4619</xdr:rowOff>
    </xdr:from>
    <xdr:to>
      <xdr:col>8</xdr:col>
      <xdr:colOff>317500</xdr:colOff>
      <xdr:row>69</xdr:row>
      <xdr:rowOff>173798</xdr:rowOff>
    </xdr:to>
    <mc:AlternateContent xmlns:mc="http://schemas.openxmlformats.org/markup-compatibility/2006" xmlns:a14="http://schemas.microsoft.com/office/drawing/2010/main">
      <mc:Choice Requires="a14">
        <xdr:graphicFrame macro="">
          <xdr:nvGraphicFramePr>
            <xdr:cNvPr id="17" name="Month 9">
              <a:extLst>
                <a:ext uri="{FF2B5EF4-FFF2-40B4-BE49-F238E27FC236}">
                  <a16:creationId xmlns:a16="http://schemas.microsoft.com/office/drawing/2014/main" id="{752F8191-144C-4B4C-898F-026FA0E8C67B}"/>
                </a:ext>
              </a:extLst>
            </xdr:cNvPr>
            <xdr:cNvGraphicFramePr/>
          </xdr:nvGraphicFramePr>
          <xdr:xfrm>
            <a:off x="0" y="0"/>
            <a:ext cx="0" cy="0"/>
          </xdr:xfrm>
          <a:graphic>
            <a:graphicData uri="http://schemas.microsoft.com/office/drawing/2010/slicer">
              <sle:slicer xmlns:sle="http://schemas.microsoft.com/office/drawing/2010/slicer" name="Month 9"/>
            </a:graphicData>
          </a:graphic>
        </xdr:graphicFrame>
      </mc:Choice>
      <mc:Fallback xmlns="">
        <xdr:sp macro="" textlink="">
          <xdr:nvSpPr>
            <xdr:cNvPr id="0" name=""/>
            <xdr:cNvSpPr>
              <a:spLocks noTextEdit="1"/>
            </xdr:cNvSpPr>
          </xdr:nvSpPr>
          <xdr:spPr>
            <a:xfrm>
              <a:off x="5485037" y="1866900"/>
              <a:ext cx="181746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508000</xdr:colOff>
      <xdr:row>56</xdr:row>
      <xdr:rowOff>177134</xdr:rowOff>
    </xdr:from>
    <xdr:to>
      <xdr:col>9</xdr:col>
      <xdr:colOff>736600</xdr:colOff>
      <xdr:row>69</xdr:row>
      <xdr:rowOff>166596</xdr:rowOff>
    </xdr:to>
    <mc:AlternateContent xmlns:mc="http://schemas.openxmlformats.org/markup-compatibility/2006" xmlns:a14="http://schemas.microsoft.com/office/drawing/2010/main">
      <mc:Choice Requires="a14">
        <xdr:graphicFrame macro="">
          <xdr:nvGraphicFramePr>
            <xdr:cNvPr id="18" name="Quarter 7">
              <a:extLst>
                <a:ext uri="{FF2B5EF4-FFF2-40B4-BE49-F238E27FC236}">
                  <a16:creationId xmlns:a16="http://schemas.microsoft.com/office/drawing/2014/main" id="{5F93F1FF-1A22-AB41-A6EA-84FAEB46111A}"/>
                </a:ext>
              </a:extLst>
            </xdr:cNvPr>
            <xdr:cNvGraphicFramePr/>
          </xdr:nvGraphicFramePr>
          <xdr:xfrm>
            <a:off x="0" y="0"/>
            <a:ext cx="0" cy="0"/>
          </xdr:xfrm>
          <a:graphic>
            <a:graphicData uri="http://schemas.microsoft.com/office/drawing/2010/slicer">
              <sle:slicer xmlns:sle="http://schemas.microsoft.com/office/drawing/2010/slicer" name="Quarter 7"/>
            </a:graphicData>
          </a:graphic>
        </xdr:graphicFrame>
      </mc:Choice>
      <mc:Fallback xmlns="">
        <xdr:sp macro="" textlink="">
          <xdr:nvSpPr>
            <xdr:cNvPr id="0" name=""/>
            <xdr:cNvSpPr>
              <a:spLocks noTextEdit="1"/>
            </xdr:cNvSpPr>
          </xdr:nvSpPr>
          <xdr:spPr>
            <a:xfrm>
              <a:off x="7493000" y="1866900"/>
              <a:ext cx="1054100"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320858</xdr:colOff>
      <xdr:row>56</xdr:row>
      <xdr:rowOff>166576</xdr:rowOff>
    </xdr:from>
    <xdr:to>
      <xdr:col>14</xdr:col>
      <xdr:colOff>38100</xdr:colOff>
      <xdr:row>69</xdr:row>
      <xdr:rowOff>157955</xdr:rowOff>
    </xdr:to>
    <mc:AlternateContent xmlns:mc="http://schemas.openxmlformats.org/markup-compatibility/2006" xmlns:a14="http://schemas.microsoft.com/office/drawing/2010/main">
      <mc:Choice Requires="a14">
        <xdr:graphicFrame macro="">
          <xdr:nvGraphicFramePr>
            <xdr:cNvPr id="19" name="Utility Provider 1">
              <a:extLst>
                <a:ext uri="{FF2B5EF4-FFF2-40B4-BE49-F238E27FC236}">
                  <a16:creationId xmlns:a16="http://schemas.microsoft.com/office/drawing/2014/main" id="{BA30A06F-E7E3-2543-ACCC-8733F5886F32}"/>
                </a:ext>
              </a:extLst>
            </xdr:cNvPr>
            <xdr:cNvGraphicFramePr/>
          </xdr:nvGraphicFramePr>
          <xdr:xfrm>
            <a:off x="0" y="0"/>
            <a:ext cx="0" cy="0"/>
          </xdr:xfrm>
          <a:graphic>
            <a:graphicData uri="http://schemas.microsoft.com/office/drawing/2010/slicer">
              <sle:slicer xmlns:sle="http://schemas.microsoft.com/office/drawing/2010/slicer" name="Utility Provider 1"/>
            </a:graphicData>
          </a:graphic>
        </xdr:graphicFrame>
      </mc:Choice>
      <mc:Fallback xmlns="">
        <xdr:sp macro="" textlink="">
          <xdr:nvSpPr>
            <xdr:cNvPr id="0" name=""/>
            <xdr:cNvSpPr>
              <a:spLocks noTextEdit="1"/>
            </xdr:cNvSpPr>
          </xdr:nvSpPr>
          <xdr:spPr>
            <a:xfrm>
              <a:off x="10607858" y="1866900"/>
              <a:ext cx="1368242"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301242</xdr:colOff>
      <xdr:row>56</xdr:row>
      <xdr:rowOff>174533</xdr:rowOff>
    </xdr:from>
    <xdr:to>
      <xdr:col>18</xdr:col>
      <xdr:colOff>774699</xdr:colOff>
      <xdr:row>73</xdr:row>
      <xdr:rowOff>152400</xdr:rowOff>
    </xdr:to>
    <xdr:graphicFrame macro="">
      <xdr:nvGraphicFramePr>
        <xdr:cNvPr id="20" name="Chart 19">
          <a:extLst>
            <a:ext uri="{FF2B5EF4-FFF2-40B4-BE49-F238E27FC236}">
              <a16:creationId xmlns:a16="http://schemas.microsoft.com/office/drawing/2014/main" id="{48A1AEC9-4FA0-E449-B7B4-8DE9A7A3DA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586127</xdr:colOff>
      <xdr:row>81</xdr:row>
      <xdr:rowOff>164221</xdr:rowOff>
    </xdr:from>
    <xdr:to>
      <xdr:col>12</xdr:col>
      <xdr:colOff>635720</xdr:colOff>
      <xdr:row>94</xdr:row>
      <xdr:rowOff>155600</xdr:rowOff>
    </xdr:to>
    <mc:AlternateContent xmlns:mc="http://schemas.openxmlformats.org/markup-compatibility/2006" xmlns:a14="http://schemas.microsoft.com/office/drawing/2010/main">
      <mc:Choice Requires="a14">
        <xdr:graphicFrame macro="">
          <xdr:nvGraphicFramePr>
            <xdr:cNvPr id="15" name="Source Description 3">
              <a:extLst>
                <a:ext uri="{FF2B5EF4-FFF2-40B4-BE49-F238E27FC236}">
                  <a16:creationId xmlns:a16="http://schemas.microsoft.com/office/drawing/2014/main" id="{409CC82E-B20C-1E4E-92ED-881F059E72D1}"/>
                </a:ext>
              </a:extLst>
            </xdr:cNvPr>
            <xdr:cNvGraphicFramePr/>
          </xdr:nvGraphicFramePr>
          <xdr:xfrm>
            <a:off x="0" y="0"/>
            <a:ext cx="0" cy="0"/>
          </xdr:xfrm>
          <a:graphic>
            <a:graphicData uri="http://schemas.microsoft.com/office/drawing/2010/slicer">
              <sle:slicer xmlns:sle="http://schemas.microsoft.com/office/drawing/2010/slicer" name="Source Description 3"/>
            </a:graphicData>
          </a:graphic>
        </xdr:graphicFrame>
      </mc:Choice>
      <mc:Fallback xmlns="">
        <xdr:sp macro="" textlink="">
          <xdr:nvSpPr>
            <xdr:cNvPr id="0" name=""/>
            <xdr:cNvSpPr>
              <a:spLocks noTextEdit="1"/>
            </xdr:cNvSpPr>
          </xdr:nvSpPr>
          <xdr:spPr>
            <a:xfrm>
              <a:off x="9184027" y="7212721"/>
              <a:ext cx="1700593"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82</xdr:row>
      <xdr:rowOff>4619</xdr:rowOff>
    </xdr:from>
    <xdr:to>
      <xdr:col>8</xdr:col>
      <xdr:colOff>814717</xdr:colOff>
      <xdr:row>94</xdr:row>
      <xdr:rowOff>173798</xdr:rowOff>
    </xdr:to>
    <mc:AlternateContent xmlns:mc="http://schemas.openxmlformats.org/markup-compatibility/2006" xmlns:a14="http://schemas.microsoft.com/office/drawing/2010/main">
      <mc:Choice Requires="a14">
        <xdr:graphicFrame macro="">
          <xdr:nvGraphicFramePr>
            <xdr:cNvPr id="21" name="Month 10">
              <a:extLst>
                <a:ext uri="{FF2B5EF4-FFF2-40B4-BE49-F238E27FC236}">
                  <a16:creationId xmlns:a16="http://schemas.microsoft.com/office/drawing/2014/main" id="{877D4EA1-F6B8-FC4E-B388-95424012916E}"/>
                </a:ext>
              </a:extLst>
            </xdr:cNvPr>
            <xdr:cNvGraphicFramePr/>
          </xdr:nvGraphicFramePr>
          <xdr:xfrm>
            <a:off x="0" y="0"/>
            <a:ext cx="0" cy="0"/>
          </xdr:xfrm>
          <a:graphic>
            <a:graphicData uri="http://schemas.microsoft.com/office/drawing/2010/slicer">
              <sle:slicer xmlns:sle="http://schemas.microsoft.com/office/drawing/2010/slicer" name="Month 10"/>
            </a:graphicData>
          </a:graphic>
        </xdr:graphicFrame>
      </mc:Choice>
      <mc:Fallback xmlns="">
        <xdr:sp macro="" textlink="">
          <xdr:nvSpPr>
            <xdr:cNvPr id="0" name=""/>
            <xdr:cNvSpPr>
              <a:spLocks noTextEdit="1"/>
            </xdr:cNvSpPr>
          </xdr:nvSpPr>
          <xdr:spPr>
            <a:xfrm>
              <a:off x="5573937" y="7230919"/>
              <a:ext cx="2187680"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2038</xdr:colOff>
      <xdr:row>81</xdr:row>
      <xdr:rowOff>177134</xdr:rowOff>
    </xdr:from>
    <xdr:to>
      <xdr:col>10</xdr:col>
      <xdr:colOff>469900</xdr:colOff>
      <xdr:row>94</xdr:row>
      <xdr:rowOff>166596</xdr:rowOff>
    </xdr:to>
    <mc:AlternateContent xmlns:mc="http://schemas.openxmlformats.org/markup-compatibility/2006" xmlns:a14="http://schemas.microsoft.com/office/drawing/2010/main">
      <mc:Choice Requires="a14">
        <xdr:graphicFrame macro="">
          <xdr:nvGraphicFramePr>
            <xdr:cNvPr id="22" name="Quarter 8">
              <a:extLst>
                <a:ext uri="{FF2B5EF4-FFF2-40B4-BE49-F238E27FC236}">
                  <a16:creationId xmlns:a16="http://schemas.microsoft.com/office/drawing/2014/main" id="{585A7244-95C6-D541-A54C-EA4860A04207}"/>
                </a:ext>
              </a:extLst>
            </xdr:cNvPr>
            <xdr:cNvGraphicFramePr/>
          </xdr:nvGraphicFramePr>
          <xdr:xfrm>
            <a:off x="0" y="0"/>
            <a:ext cx="0" cy="0"/>
          </xdr:xfrm>
          <a:graphic>
            <a:graphicData uri="http://schemas.microsoft.com/office/drawing/2010/slicer">
              <sle:slicer xmlns:sle="http://schemas.microsoft.com/office/drawing/2010/slicer" name="Quarter 8"/>
            </a:graphicData>
          </a:graphic>
        </xdr:graphicFrame>
      </mc:Choice>
      <mc:Fallback xmlns="">
        <xdr:sp macro="" textlink="">
          <xdr:nvSpPr>
            <xdr:cNvPr id="0" name=""/>
            <xdr:cNvSpPr>
              <a:spLocks noTextEdit="1"/>
            </xdr:cNvSpPr>
          </xdr:nvSpPr>
          <xdr:spPr>
            <a:xfrm>
              <a:off x="7774438" y="7225634"/>
              <a:ext cx="1293362" cy="24532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821942</xdr:colOff>
      <xdr:row>82</xdr:row>
      <xdr:rowOff>9433</xdr:rowOff>
    </xdr:from>
    <xdr:to>
      <xdr:col>18</xdr:col>
      <xdr:colOff>279400</xdr:colOff>
      <xdr:row>101</xdr:row>
      <xdr:rowOff>50800</xdr:rowOff>
    </xdr:to>
    <xdr:graphicFrame macro="">
      <xdr:nvGraphicFramePr>
        <xdr:cNvPr id="23" name="Chart 22">
          <a:extLst>
            <a:ext uri="{FF2B5EF4-FFF2-40B4-BE49-F238E27FC236}">
              <a16:creationId xmlns:a16="http://schemas.microsoft.com/office/drawing/2014/main" id="{25AEA1F0-FF13-584B-ABA5-CD78A88856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38101</xdr:colOff>
      <xdr:row>107</xdr:row>
      <xdr:rowOff>0</xdr:rowOff>
    </xdr:from>
    <xdr:to>
      <xdr:col>8</xdr:col>
      <xdr:colOff>913926</xdr:colOff>
      <xdr:row>119</xdr:row>
      <xdr:rowOff>178037</xdr:rowOff>
    </xdr:to>
    <mc:AlternateContent xmlns:mc="http://schemas.openxmlformats.org/markup-compatibility/2006" xmlns:a14="http://schemas.microsoft.com/office/drawing/2010/main">
      <mc:Choice Requires="a14">
        <xdr:graphicFrame macro="">
          <xdr:nvGraphicFramePr>
            <xdr:cNvPr id="24" name="Month 11">
              <a:extLst>
                <a:ext uri="{FF2B5EF4-FFF2-40B4-BE49-F238E27FC236}">
                  <a16:creationId xmlns:a16="http://schemas.microsoft.com/office/drawing/2014/main" id="{3A8A4A1B-6D5C-8049-89E5-C5158EC71998}"/>
                </a:ext>
              </a:extLst>
            </xdr:cNvPr>
            <xdr:cNvGraphicFramePr/>
          </xdr:nvGraphicFramePr>
          <xdr:xfrm>
            <a:off x="0" y="0"/>
            <a:ext cx="0" cy="0"/>
          </xdr:xfrm>
          <a:graphic>
            <a:graphicData uri="http://schemas.microsoft.com/office/drawing/2010/slicer">
              <sle:slicer xmlns:sle="http://schemas.microsoft.com/office/drawing/2010/slicer" name="Month 11"/>
            </a:graphicData>
          </a:graphic>
        </xdr:graphicFrame>
      </mc:Choice>
      <mc:Fallback xmlns="">
        <xdr:sp macro="" textlink="">
          <xdr:nvSpPr>
            <xdr:cNvPr id="0" name=""/>
            <xdr:cNvSpPr>
              <a:spLocks noTextEdit="1"/>
            </xdr:cNvSpPr>
          </xdr:nvSpPr>
          <xdr:spPr>
            <a:xfrm>
              <a:off x="6223001" y="12039600"/>
              <a:ext cx="1548925" cy="24640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1003300</xdr:colOff>
      <xdr:row>107</xdr:row>
      <xdr:rowOff>12700</xdr:rowOff>
    </xdr:from>
    <xdr:to>
      <xdr:col>10</xdr:col>
      <xdr:colOff>101600</xdr:colOff>
      <xdr:row>119</xdr:row>
      <xdr:rowOff>164036</xdr:rowOff>
    </xdr:to>
    <mc:AlternateContent xmlns:mc="http://schemas.openxmlformats.org/markup-compatibility/2006" xmlns:a14="http://schemas.microsoft.com/office/drawing/2010/main">
      <mc:Choice Requires="a14">
        <xdr:graphicFrame macro="">
          <xdr:nvGraphicFramePr>
            <xdr:cNvPr id="25" name="Quarter 9">
              <a:extLst>
                <a:ext uri="{FF2B5EF4-FFF2-40B4-BE49-F238E27FC236}">
                  <a16:creationId xmlns:a16="http://schemas.microsoft.com/office/drawing/2014/main" id="{08E7F582-58FE-5442-96E2-51190930E6E8}"/>
                </a:ext>
              </a:extLst>
            </xdr:cNvPr>
            <xdr:cNvGraphicFramePr/>
          </xdr:nvGraphicFramePr>
          <xdr:xfrm>
            <a:off x="0" y="0"/>
            <a:ext cx="0" cy="0"/>
          </xdr:xfrm>
          <a:graphic>
            <a:graphicData uri="http://schemas.microsoft.com/office/drawing/2010/slicer">
              <sle:slicer xmlns:sle="http://schemas.microsoft.com/office/drawing/2010/slicer" name="Quarter 9"/>
            </a:graphicData>
          </a:graphic>
        </xdr:graphicFrame>
      </mc:Choice>
      <mc:Fallback xmlns="">
        <xdr:sp macro="" textlink="">
          <xdr:nvSpPr>
            <xdr:cNvPr id="0" name=""/>
            <xdr:cNvSpPr>
              <a:spLocks noTextEdit="1"/>
            </xdr:cNvSpPr>
          </xdr:nvSpPr>
          <xdr:spPr>
            <a:xfrm>
              <a:off x="7772400" y="12052300"/>
              <a:ext cx="927100" cy="24373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964093</xdr:colOff>
      <xdr:row>107</xdr:row>
      <xdr:rowOff>18922</xdr:rowOff>
    </xdr:from>
    <xdr:to>
      <xdr:col>13</xdr:col>
      <xdr:colOff>139700</xdr:colOff>
      <xdr:row>119</xdr:row>
      <xdr:rowOff>167812</xdr:rowOff>
    </xdr:to>
    <mc:AlternateContent xmlns:mc="http://schemas.openxmlformats.org/markup-compatibility/2006" xmlns:a14="http://schemas.microsoft.com/office/drawing/2010/main">
      <mc:Choice Requires="a14">
        <xdr:graphicFrame macro="">
          <xdr:nvGraphicFramePr>
            <xdr:cNvPr id="26" name="Source 1">
              <a:extLst>
                <a:ext uri="{FF2B5EF4-FFF2-40B4-BE49-F238E27FC236}">
                  <a16:creationId xmlns:a16="http://schemas.microsoft.com/office/drawing/2014/main" id="{508F1D38-966F-4B45-BFE8-4FB1592B415D}"/>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10247793" y="12058522"/>
              <a:ext cx="966307" cy="24348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210560</xdr:colOff>
      <xdr:row>107</xdr:row>
      <xdr:rowOff>13768</xdr:rowOff>
    </xdr:from>
    <xdr:to>
      <xdr:col>11</xdr:col>
      <xdr:colOff>829733</xdr:colOff>
      <xdr:row>119</xdr:row>
      <xdr:rowOff>164867</xdr:rowOff>
    </xdr:to>
    <mc:AlternateContent xmlns:mc="http://schemas.openxmlformats.org/markup-compatibility/2006" xmlns:a14="http://schemas.microsoft.com/office/drawing/2010/main">
      <mc:Choice Requires="a14">
        <xdr:graphicFrame macro="">
          <xdr:nvGraphicFramePr>
            <xdr:cNvPr id="27" name="Facility/Account 2">
              <a:extLst>
                <a:ext uri="{FF2B5EF4-FFF2-40B4-BE49-F238E27FC236}">
                  <a16:creationId xmlns:a16="http://schemas.microsoft.com/office/drawing/2014/main" id="{CF938FDE-E235-DB46-8A08-91A8818A110B}"/>
                </a:ext>
              </a:extLst>
            </xdr:cNvPr>
            <xdr:cNvGraphicFramePr/>
          </xdr:nvGraphicFramePr>
          <xdr:xfrm>
            <a:off x="0" y="0"/>
            <a:ext cx="0" cy="0"/>
          </xdr:xfrm>
          <a:graphic>
            <a:graphicData uri="http://schemas.microsoft.com/office/drawing/2010/slicer">
              <sle:slicer xmlns:sle="http://schemas.microsoft.com/office/drawing/2010/slicer" name="Facility/Account 2"/>
            </a:graphicData>
          </a:graphic>
        </xdr:graphicFrame>
      </mc:Choice>
      <mc:Fallback xmlns="">
        <xdr:sp macro="" textlink="">
          <xdr:nvSpPr>
            <xdr:cNvPr id="0" name=""/>
            <xdr:cNvSpPr>
              <a:spLocks noTextEdit="1"/>
            </xdr:cNvSpPr>
          </xdr:nvSpPr>
          <xdr:spPr>
            <a:xfrm>
              <a:off x="8808460" y="12053368"/>
              <a:ext cx="1444673" cy="24370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314512</xdr:colOff>
      <xdr:row>105</xdr:row>
      <xdr:rowOff>132977</xdr:rowOff>
    </xdr:from>
    <xdr:to>
      <xdr:col>20</xdr:col>
      <xdr:colOff>186765</xdr:colOff>
      <xdr:row>119</xdr:row>
      <xdr:rowOff>171824</xdr:rowOff>
    </xdr:to>
    <xdr:graphicFrame macro="">
      <xdr:nvGraphicFramePr>
        <xdr:cNvPr id="28" name="Chart 27">
          <a:extLst>
            <a:ext uri="{FF2B5EF4-FFF2-40B4-BE49-F238E27FC236}">
              <a16:creationId xmlns:a16="http://schemas.microsoft.com/office/drawing/2014/main" id="{A0241904-14A8-FD43-8D2A-EB9CB2437E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346635</xdr:colOff>
      <xdr:row>123</xdr:row>
      <xdr:rowOff>169582</xdr:rowOff>
    </xdr:from>
    <xdr:to>
      <xdr:col>11</xdr:col>
      <xdr:colOff>1066800</xdr:colOff>
      <xdr:row>136</xdr:row>
      <xdr:rowOff>77128</xdr:rowOff>
    </xdr:to>
    <mc:AlternateContent xmlns:mc="http://schemas.openxmlformats.org/markup-compatibility/2006" xmlns:a14="http://schemas.microsoft.com/office/drawing/2010/main">
      <mc:Choice Requires="a14">
        <xdr:graphicFrame macro="">
          <xdr:nvGraphicFramePr>
            <xdr:cNvPr id="29" name="Facility/Account 3">
              <a:extLst>
                <a:ext uri="{FF2B5EF4-FFF2-40B4-BE49-F238E27FC236}">
                  <a16:creationId xmlns:a16="http://schemas.microsoft.com/office/drawing/2014/main" id="{1B3938BB-0B36-C748-9D20-A158A3C9A8C8}"/>
                </a:ext>
              </a:extLst>
            </xdr:cNvPr>
            <xdr:cNvGraphicFramePr/>
          </xdr:nvGraphicFramePr>
          <xdr:xfrm>
            <a:off x="0" y="0"/>
            <a:ext cx="0" cy="0"/>
          </xdr:xfrm>
          <a:graphic>
            <a:graphicData uri="http://schemas.microsoft.com/office/drawing/2010/slicer">
              <sle:slicer xmlns:sle="http://schemas.microsoft.com/office/drawing/2010/slicer" name="Facility/Account 3"/>
            </a:graphicData>
          </a:graphic>
        </xdr:graphicFrame>
      </mc:Choice>
      <mc:Fallback xmlns="">
        <xdr:sp macro="" textlink="">
          <xdr:nvSpPr>
            <xdr:cNvPr id="0" name=""/>
            <xdr:cNvSpPr>
              <a:spLocks noTextEdit="1"/>
            </xdr:cNvSpPr>
          </xdr:nvSpPr>
          <xdr:spPr>
            <a:xfrm>
              <a:off x="8944535" y="15257182"/>
              <a:ext cx="1304365"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146175</xdr:colOff>
      <xdr:row>123</xdr:row>
      <xdr:rowOff>129488</xdr:rowOff>
    </xdr:from>
    <xdr:to>
      <xdr:col>8</xdr:col>
      <xdr:colOff>948267</xdr:colOff>
      <xdr:row>136</xdr:row>
      <xdr:rowOff>67733</xdr:rowOff>
    </xdr:to>
    <mc:AlternateContent xmlns:mc="http://schemas.openxmlformats.org/markup-compatibility/2006" xmlns:a14="http://schemas.microsoft.com/office/drawing/2010/main">
      <mc:Choice Requires="a14">
        <xdr:graphicFrame macro="">
          <xdr:nvGraphicFramePr>
            <xdr:cNvPr id="30" name="Month 12">
              <a:extLst>
                <a:ext uri="{FF2B5EF4-FFF2-40B4-BE49-F238E27FC236}">
                  <a16:creationId xmlns:a16="http://schemas.microsoft.com/office/drawing/2014/main" id="{189A398E-3E84-1A47-9329-8CB105C81263}"/>
                </a:ext>
              </a:extLst>
            </xdr:cNvPr>
            <xdr:cNvGraphicFramePr/>
          </xdr:nvGraphicFramePr>
          <xdr:xfrm>
            <a:off x="0" y="0"/>
            <a:ext cx="0" cy="0"/>
          </xdr:xfrm>
          <a:graphic>
            <a:graphicData uri="http://schemas.microsoft.com/office/drawing/2010/slicer">
              <sle:slicer xmlns:sle="http://schemas.microsoft.com/office/drawing/2010/slicer" name="Month 12"/>
            </a:graphicData>
          </a:graphic>
        </xdr:graphicFrame>
      </mc:Choice>
      <mc:Fallback xmlns="">
        <xdr:sp macro="" textlink="">
          <xdr:nvSpPr>
            <xdr:cNvPr id="0" name=""/>
            <xdr:cNvSpPr>
              <a:spLocks noTextEdit="1"/>
            </xdr:cNvSpPr>
          </xdr:nvSpPr>
          <xdr:spPr>
            <a:xfrm>
              <a:off x="5569075" y="15217088"/>
              <a:ext cx="2199092" cy="2414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1024965</xdr:colOff>
      <xdr:row>123</xdr:row>
      <xdr:rowOff>150906</xdr:rowOff>
    </xdr:from>
    <xdr:to>
      <xdr:col>10</xdr:col>
      <xdr:colOff>266701</xdr:colOff>
      <xdr:row>136</xdr:row>
      <xdr:rowOff>58452</xdr:rowOff>
    </xdr:to>
    <mc:AlternateContent xmlns:mc="http://schemas.openxmlformats.org/markup-compatibility/2006" xmlns:a14="http://schemas.microsoft.com/office/drawing/2010/main">
      <mc:Choice Requires="a14">
        <xdr:graphicFrame macro="">
          <xdr:nvGraphicFramePr>
            <xdr:cNvPr id="31" name="Quarter 10">
              <a:extLst>
                <a:ext uri="{FF2B5EF4-FFF2-40B4-BE49-F238E27FC236}">
                  <a16:creationId xmlns:a16="http://schemas.microsoft.com/office/drawing/2014/main" id="{95053030-83FB-3E4B-A3A6-9C8B2DFC2E0C}"/>
                </a:ext>
              </a:extLst>
            </xdr:cNvPr>
            <xdr:cNvGraphicFramePr/>
          </xdr:nvGraphicFramePr>
          <xdr:xfrm>
            <a:off x="0" y="0"/>
            <a:ext cx="0" cy="0"/>
          </xdr:xfrm>
          <a:graphic>
            <a:graphicData uri="http://schemas.microsoft.com/office/drawing/2010/slicer">
              <sle:slicer xmlns:sle="http://schemas.microsoft.com/office/drawing/2010/slicer" name="Quarter 10"/>
            </a:graphicData>
          </a:graphic>
        </xdr:graphicFrame>
      </mc:Choice>
      <mc:Fallback xmlns="">
        <xdr:sp macro="" textlink="">
          <xdr:nvSpPr>
            <xdr:cNvPr id="0" name=""/>
            <xdr:cNvSpPr>
              <a:spLocks noTextEdit="1"/>
            </xdr:cNvSpPr>
          </xdr:nvSpPr>
          <xdr:spPr>
            <a:xfrm>
              <a:off x="7768665" y="15238506"/>
              <a:ext cx="1095936"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1145988</xdr:colOff>
      <xdr:row>124</xdr:row>
      <xdr:rowOff>746</xdr:rowOff>
    </xdr:from>
    <xdr:to>
      <xdr:col>13</xdr:col>
      <xdr:colOff>317500</xdr:colOff>
      <xdr:row>136</xdr:row>
      <xdr:rowOff>38100</xdr:rowOff>
    </xdr:to>
    <mc:AlternateContent xmlns:mc="http://schemas.openxmlformats.org/markup-compatibility/2006" xmlns:a14="http://schemas.microsoft.com/office/drawing/2010/main">
      <mc:Choice Requires="a14">
        <xdr:graphicFrame macro="">
          <xdr:nvGraphicFramePr>
            <xdr:cNvPr id="32" name="Water Destination 1">
              <a:extLst>
                <a:ext uri="{FF2B5EF4-FFF2-40B4-BE49-F238E27FC236}">
                  <a16:creationId xmlns:a16="http://schemas.microsoft.com/office/drawing/2014/main" id="{94239C8C-4B74-B54B-9F9C-CAF35579E8E4}"/>
                </a:ext>
              </a:extLst>
            </xdr:cNvPr>
            <xdr:cNvGraphicFramePr/>
          </xdr:nvGraphicFramePr>
          <xdr:xfrm>
            <a:off x="0" y="0"/>
            <a:ext cx="0" cy="0"/>
          </xdr:xfrm>
          <a:graphic>
            <a:graphicData uri="http://schemas.microsoft.com/office/drawing/2010/slicer">
              <sle:slicer xmlns:sle="http://schemas.microsoft.com/office/drawing/2010/slicer" name="Water Destination 1"/>
            </a:graphicData>
          </a:graphic>
        </xdr:graphicFrame>
      </mc:Choice>
      <mc:Fallback xmlns="">
        <xdr:sp macro="" textlink="">
          <xdr:nvSpPr>
            <xdr:cNvPr id="0" name=""/>
            <xdr:cNvSpPr>
              <a:spLocks noTextEdit="1"/>
            </xdr:cNvSpPr>
          </xdr:nvSpPr>
          <xdr:spPr>
            <a:xfrm>
              <a:off x="10251888" y="15278846"/>
              <a:ext cx="1140012" cy="23233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473766</xdr:colOff>
      <xdr:row>121</xdr:row>
      <xdr:rowOff>41781</xdr:rowOff>
    </xdr:from>
    <xdr:to>
      <xdr:col>20</xdr:col>
      <xdr:colOff>347318</xdr:colOff>
      <xdr:row>136</xdr:row>
      <xdr:rowOff>24111</xdr:rowOff>
    </xdr:to>
    <xdr:graphicFrame macro="">
      <xdr:nvGraphicFramePr>
        <xdr:cNvPr id="33" name="Chart 32">
          <a:extLst>
            <a:ext uri="{FF2B5EF4-FFF2-40B4-BE49-F238E27FC236}">
              <a16:creationId xmlns:a16="http://schemas.microsoft.com/office/drawing/2014/main" id="{DD314E0B-A1FA-6F4B-B647-BBC4F5F1B3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292100</xdr:colOff>
      <xdr:row>144</xdr:row>
      <xdr:rowOff>12700</xdr:rowOff>
    </xdr:from>
    <xdr:to>
      <xdr:col>8</xdr:col>
      <xdr:colOff>508000</xdr:colOff>
      <xdr:row>156</xdr:row>
      <xdr:rowOff>155569</xdr:rowOff>
    </xdr:to>
    <mc:AlternateContent xmlns:mc="http://schemas.openxmlformats.org/markup-compatibility/2006" xmlns:a14="http://schemas.microsoft.com/office/drawing/2010/main">
      <mc:Choice Requires="a14">
        <xdr:graphicFrame macro="">
          <xdr:nvGraphicFramePr>
            <xdr:cNvPr id="40" name="Month 13">
              <a:extLst>
                <a:ext uri="{FF2B5EF4-FFF2-40B4-BE49-F238E27FC236}">
                  <a16:creationId xmlns:a16="http://schemas.microsoft.com/office/drawing/2014/main" id="{0E406489-F802-5B47-A6E0-ED32A87FD254}"/>
                </a:ext>
              </a:extLst>
            </xdr:cNvPr>
            <xdr:cNvGraphicFramePr/>
          </xdr:nvGraphicFramePr>
          <xdr:xfrm>
            <a:off x="0" y="0"/>
            <a:ext cx="0" cy="0"/>
          </xdr:xfrm>
          <a:graphic>
            <a:graphicData uri="http://schemas.microsoft.com/office/drawing/2010/slicer">
              <sle:slicer xmlns:sle="http://schemas.microsoft.com/office/drawing/2010/slicer" name="Month 13"/>
            </a:graphicData>
          </a:graphic>
        </xdr:graphicFrame>
      </mc:Choice>
      <mc:Fallback xmlns="">
        <xdr:sp macro="" textlink="">
          <xdr:nvSpPr>
            <xdr:cNvPr id="0" name=""/>
            <xdr:cNvSpPr>
              <a:spLocks noTextEdit="1"/>
            </xdr:cNvSpPr>
          </xdr:nvSpPr>
          <xdr:spPr>
            <a:xfrm>
              <a:off x="6477000" y="19151600"/>
              <a:ext cx="9779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622300</xdr:colOff>
      <xdr:row>144</xdr:row>
      <xdr:rowOff>25400</xdr:rowOff>
    </xdr:from>
    <xdr:to>
      <xdr:col>9</xdr:col>
      <xdr:colOff>838200</xdr:colOff>
      <xdr:row>156</xdr:row>
      <xdr:rowOff>168269</xdr:rowOff>
    </xdr:to>
    <mc:AlternateContent xmlns:mc="http://schemas.openxmlformats.org/markup-compatibility/2006" xmlns:a14="http://schemas.microsoft.com/office/drawing/2010/main">
      <mc:Choice Requires="a14">
        <xdr:graphicFrame macro="">
          <xdr:nvGraphicFramePr>
            <xdr:cNvPr id="41" name="Quarter 11">
              <a:extLst>
                <a:ext uri="{FF2B5EF4-FFF2-40B4-BE49-F238E27FC236}">
                  <a16:creationId xmlns:a16="http://schemas.microsoft.com/office/drawing/2014/main" id="{77EE6D28-0E66-8842-84F3-B96AF83C597F}"/>
                </a:ext>
              </a:extLst>
            </xdr:cNvPr>
            <xdr:cNvGraphicFramePr/>
          </xdr:nvGraphicFramePr>
          <xdr:xfrm>
            <a:off x="0" y="0"/>
            <a:ext cx="0" cy="0"/>
          </xdr:xfrm>
          <a:graphic>
            <a:graphicData uri="http://schemas.microsoft.com/office/drawing/2010/slicer">
              <sle:slicer xmlns:sle="http://schemas.microsoft.com/office/drawing/2010/slicer" name="Quarter 11"/>
            </a:graphicData>
          </a:graphic>
        </xdr:graphicFrame>
      </mc:Choice>
      <mc:Fallback xmlns="">
        <xdr:sp macro="" textlink="">
          <xdr:nvSpPr>
            <xdr:cNvPr id="0" name=""/>
            <xdr:cNvSpPr>
              <a:spLocks noTextEdit="1"/>
            </xdr:cNvSpPr>
          </xdr:nvSpPr>
          <xdr:spPr>
            <a:xfrm>
              <a:off x="7569200" y="19164300"/>
              <a:ext cx="10287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914400</xdr:colOff>
      <xdr:row>144</xdr:row>
      <xdr:rowOff>50800</xdr:rowOff>
    </xdr:from>
    <xdr:to>
      <xdr:col>10</xdr:col>
      <xdr:colOff>1130300</xdr:colOff>
      <xdr:row>157</xdr:row>
      <xdr:rowOff>3169</xdr:rowOff>
    </xdr:to>
    <mc:AlternateContent xmlns:mc="http://schemas.openxmlformats.org/markup-compatibility/2006" xmlns:a14="http://schemas.microsoft.com/office/drawing/2010/main">
      <mc:Choice Requires="a14">
        <xdr:graphicFrame macro="">
          <xdr:nvGraphicFramePr>
            <xdr:cNvPr id="42" name="Waste Composition 1">
              <a:extLst>
                <a:ext uri="{FF2B5EF4-FFF2-40B4-BE49-F238E27FC236}">
                  <a16:creationId xmlns:a16="http://schemas.microsoft.com/office/drawing/2014/main" id="{6A62E1F0-A479-7844-BD3C-613AAFEB83E8}"/>
                </a:ext>
              </a:extLst>
            </xdr:cNvPr>
            <xdr:cNvGraphicFramePr/>
          </xdr:nvGraphicFramePr>
          <xdr:xfrm>
            <a:off x="0" y="0"/>
            <a:ext cx="0" cy="0"/>
          </xdr:xfrm>
          <a:graphic>
            <a:graphicData uri="http://schemas.microsoft.com/office/drawing/2010/slicer">
              <sle:slicer xmlns:sle="http://schemas.microsoft.com/office/drawing/2010/slicer" name="Waste Composition 1"/>
            </a:graphicData>
          </a:graphic>
        </xdr:graphicFrame>
      </mc:Choice>
      <mc:Fallback xmlns="">
        <xdr:sp macro="" textlink="">
          <xdr:nvSpPr>
            <xdr:cNvPr id="0" name=""/>
            <xdr:cNvSpPr>
              <a:spLocks noTextEdit="1"/>
            </xdr:cNvSpPr>
          </xdr:nvSpPr>
          <xdr:spPr>
            <a:xfrm>
              <a:off x="85979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1231900</xdr:colOff>
      <xdr:row>144</xdr:row>
      <xdr:rowOff>50800</xdr:rowOff>
    </xdr:from>
    <xdr:to>
      <xdr:col>11</xdr:col>
      <xdr:colOff>1562100</xdr:colOff>
      <xdr:row>157</xdr:row>
      <xdr:rowOff>3169</xdr:rowOff>
    </xdr:to>
    <mc:AlternateContent xmlns:mc="http://schemas.openxmlformats.org/markup-compatibility/2006" xmlns:a14="http://schemas.microsoft.com/office/drawing/2010/main">
      <mc:Choice Requires="a14">
        <xdr:graphicFrame macro="">
          <xdr:nvGraphicFramePr>
            <xdr:cNvPr id="43" name="Disposal Method 1">
              <a:extLst>
                <a:ext uri="{FF2B5EF4-FFF2-40B4-BE49-F238E27FC236}">
                  <a16:creationId xmlns:a16="http://schemas.microsoft.com/office/drawing/2014/main" id="{6E8DAB68-DB39-484E-8E7C-24F0302D2688}"/>
                </a:ext>
              </a:extLst>
            </xdr:cNvPr>
            <xdr:cNvGraphicFramePr/>
          </xdr:nvGraphicFramePr>
          <xdr:xfrm>
            <a:off x="0" y="0"/>
            <a:ext cx="0" cy="0"/>
          </xdr:xfrm>
          <a:graphic>
            <a:graphicData uri="http://schemas.microsoft.com/office/drawing/2010/slicer">
              <sle:slicer xmlns:sle="http://schemas.microsoft.com/office/drawing/2010/slicer" name="Disposal Method 1"/>
            </a:graphicData>
          </a:graphic>
        </xdr:graphicFrame>
      </mc:Choice>
      <mc:Fallback xmlns="">
        <xdr:sp macro="" textlink="">
          <xdr:nvSpPr>
            <xdr:cNvPr id="0" name=""/>
            <xdr:cNvSpPr>
              <a:spLocks noTextEdit="1"/>
            </xdr:cNvSpPr>
          </xdr:nvSpPr>
          <xdr:spPr>
            <a:xfrm>
              <a:off x="94234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821266</xdr:colOff>
      <xdr:row>144</xdr:row>
      <xdr:rowOff>135466</xdr:rowOff>
    </xdr:from>
    <xdr:to>
      <xdr:col>19</xdr:col>
      <xdr:colOff>647699</xdr:colOff>
      <xdr:row>164</xdr:row>
      <xdr:rowOff>50799</xdr:rowOff>
    </xdr:to>
    <xdr:graphicFrame macro="">
      <xdr:nvGraphicFramePr>
        <xdr:cNvPr id="45" name="Chart 44">
          <a:extLst>
            <a:ext uri="{FF2B5EF4-FFF2-40B4-BE49-F238E27FC236}">
              <a16:creationId xmlns:a16="http://schemas.microsoft.com/office/drawing/2014/main" id="{D7BD3747-DE7E-DA42-B132-AD549FAAB7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bspgovph-my.sharepoint.com/projects/Defra%20GHG%20Conversion%20Factors/2018%20Update/Electricity/UK%20Elec/GHG%20CF_UK%20Electricity_2018_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T notes_Temp"/>
      <sheetName val="QA_Index"/>
      <sheetName val="Version&amp;Issue_Log"/>
      <sheetName val="Update_Checklist"/>
      <sheetName val="DataSources"/>
      <sheetName val="QC_Checklist"/>
      <sheetName val="RAW1_NAEI GHG"/>
      <sheetName val="RAW2_DUKES Table 5.6"/>
      <sheetName val="RAW3_DUKES Table 5.1.2"/>
      <sheetName val="RAW4_DUKES Table 5A"/>
      <sheetName val="RAW5_GWP Factors"/>
      <sheetName val="RAW6_Benchmark Data"/>
      <sheetName val="RAW7_DUKES Autogen"/>
      <sheetName val="OtherAssumptions"/>
      <sheetName val="Calc1_UK_Elec"/>
      <sheetName val="Calc1a_OtherT_EF"/>
      <sheetName val="Calc2_UK_WTT_Elec"/>
      <sheetName val="MethodPaper"/>
      <sheetName val="LinkedInOutput"/>
      <sheetName val="Benchmark"/>
      <sheetName val="UK electricity"/>
      <sheetName val="Transmission and distribution"/>
      <sheetName val="WTT- UK &amp; overseas elec"/>
      <sheetName val="Conversions"/>
      <sheetName val="Verification-Validation"/>
      <sheetName val="Lookups"/>
      <sheetName val="GHG CF_UK Electricity_2018_MA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86A1A6E3-C205-8440-AC30-2AA477D9C7E4}">
  <cacheSource type="worksheet">
    <worksheetSource name="water_in"/>
  </cacheSource>
  <cacheFields count="7">
    <cacheField name="No." numFmtId="0">
      <sharedItems containsMixedTypes="1" containsNumber="1" containsInteger="1" minValue="1" maxValue="4"/>
    </cacheField>
    <cacheField name="Facility/Account" numFmtId="0">
      <sharedItems containsBlank="1" count="4">
        <s v="Building 3"/>
        <s v="Building 4"/>
        <s v="Building 1"/>
        <m/>
      </sharedItems>
    </cacheField>
    <cacheField name="Month" numFmtId="0">
      <sharedItems containsBlank="1" count="6">
        <s v="Jan"/>
        <s v="Apr"/>
        <s v="Feb"/>
        <s v="Jul"/>
        <s v="Jun"/>
        <m/>
      </sharedItems>
    </cacheField>
    <cacheField name="Quarter" numFmtId="0">
      <sharedItems count="4">
        <s v="Q1"/>
        <s v="Q2"/>
        <s v="Q3"/>
        <s v=""/>
      </sharedItems>
    </cacheField>
    <cacheField name="Source" numFmtId="0">
      <sharedItems containsBlank="1" count="4">
        <s v="Third-party Water"/>
        <s v="Recycled Water"/>
        <s v="Collected Rainwater"/>
        <m/>
      </sharedItems>
    </cacheField>
    <cacheField name="Volume (m3)" numFmtId="4">
      <sharedItems containsString="0" containsBlank="1" containsNumber="1" containsInteger="1" minValue="150" maxValue="500"/>
    </cacheField>
    <cacheField name="Remarks" numFmtId="0">
      <sharedItems containsNonDate="0" containsString="0" containsBlank="1"/>
    </cacheField>
  </cacheFields>
  <extLst>
    <ext xmlns:x14="http://schemas.microsoft.com/office/spreadsheetml/2009/9/main" uri="{725AE2AE-9491-48be-B2B4-4EB974FC3084}">
      <x14:pivotCacheDefinition pivotCacheId="36897098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27BDE159-F393-B447-AFBE-5CEB2D256355}">
  <cacheSource type="worksheet">
    <worksheetSource name="water_out"/>
  </cacheSource>
  <cacheFields count="7">
    <cacheField name="No." numFmtId="0">
      <sharedItems containsMixedTypes="1" containsNumber="1" containsInteger="1" minValue="1" maxValue="5"/>
    </cacheField>
    <cacheField name="Facility/Account" numFmtId="0">
      <sharedItems containsBlank="1" count="4">
        <s v="Building 3"/>
        <s v="Building 4"/>
        <s v="Building 1"/>
        <m/>
      </sharedItems>
    </cacheField>
    <cacheField name="Month" numFmtId="0">
      <sharedItems containsBlank="1" count="6">
        <s v="May"/>
        <s v="Feb"/>
        <s v="Apr"/>
        <s v="Jun"/>
        <s v="Oct"/>
        <m/>
      </sharedItems>
    </cacheField>
    <cacheField name="Quarter" numFmtId="0">
      <sharedItems count="4">
        <s v="Q2"/>
        <s v="Q1"/>
        <s v="Q4"/>
        <s v=""/>
      </sharedItems>
    </cacheField>
    <cacheField name="Volume (m3)" numFmtId="4">
      <sharedItems containsString="0" containsBlank="1" containsNumber="1" containsInteger="1" minValue="120" maxValue="200"/>
    </cacheField>
    <cacheField name="Water Destination" numFmtId="4">
      <sharedItems containsBlank="1" count="3">
        <s v="External Treatment Facility"/>
        <s v="Reuse (e.g., irrigation, flushing, among others)"/>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206070822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1DC6A39C-D758-E14B-A95C-8E6345B1A964}">
  <cacheSource type="worksheet">
    <worksheetSource name="Fuel_Blg"/>
  </cacheSource>
  <cacheFields count="8">
    <cacheField name="No." numFmtId="0">
      <sharedItems containsMixedTypes="1" containsNumber="1" containsInteger="1" minValue="1" maxValue="2"/>
    </cacheField>
    <cacheField name="Location" numFmtId="0">
      <sharedItems containsBlank="1"/>
    </cacheField>
    <cacheField name="Fuel Type" numFmtId="0">
      <sharedItems containsBlank="1" count="4">
        <s v="Diesel - Standby generator sets"/>
        <s v="Diesel - Others"/>
        <m/>
        <s v="LPG - Heating and cooking" u="1"/>
      </sharedItems>
    </cacheField>
    <cacheField name="Month" numFmtId="0">
      <sharedItems containsBlank="1" count="6">
        <s v="Dec"/>
        <s v="Aug"/>
        <m/>
        <s v="Mar" u="1"/>
        <s v="Feb" u="1"/>
        <s v="Apr" u="1"/>
      </sharedItems>
    </cacheField>
    <cacheField name="Quarter" numFmtId="0">
      <sharedItems count="6">
        <s v="Q4"/>
        <s v="Q3"/>
        <s v=""/>
        <s v="Q1" u="1"/>
        <s v="Q2" u="1"/>
        <e v="#N/A" u="1"/>
      </sharedItems>
    </cacheField>
    <cacheField name="Consumption" numFmtId="4">
      <sharedItems containsString="0" containsBlank="1" containsNumber="1" containsInteger="1" minValue="100" maxValue="100"/>
    </cacheField>
    <cacheField name="Unit" numFmtId="0">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090061228"/>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97" xr:uid="{36083099-DA17-BA4F-9EC1-6F663F049C30}">
  <cacheSource type="worksheet">
    <worksheetSource name="Waste"/>
  </cacheSource>
  <cacheFields count="7">
    <cacheField name="No." numFmtId="0">
      <sharedItems containsMixedTypes="1" containsNumber="1" containsInteger="1" minValue="1" maxValue="8"/>
    </cacheField>
    <cacheField name="Month" numFmtId="0">
      <sharedItems containsBlank="1" count="8">
        <s v="Jan"/>
        <s v="Feb"/>
        <s v="May"/>
        <s v="Nov"/>
        <s v="Sep"/>
        <s v="Oct"/>
        <s v="Jun"/>
        <m/>
      </sharedItems>
    </cacheField>
    <cacheField name="Quarter" numFmtId="0">
      <sharedItems count="5">
        <s v="Q1"/>
        <s v="Q2"/>
        <s v="Q4"/>
        <s v="Q3"/>
        <s v=""/>
      </sharedItems>
    </cacheField>
    <cacheField name="Waste Composition" numFmtId="0">
      <sharedItems containsBlank="1" count="5">
        <s v="Hazardous"/>
        <s v="Biodegradable"/>
        <s v="Recyclable"/>
        <s v="Non-biodegradable"/>
        <m/>
      </sharedItems>
    </cacheField>
    <cacheField name="Weight (kg)" numFmtId="4">
      <sharedItems containsString="0" containsBlank="1" containsNumber="1" containsInteger="1" minValue="200" maxValue="1000"/>
    </cacheField>
    <cacheField name="Disposal Method" numFmtId="0">
      <sharedItems containsBlank="1" count="4">
        <s v="Waste treatment company"/>
        <s v="N/A"/>
        <s v="LGU garbage collection"/>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710143333"/>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1111109" createdVersion="8" refreshedVersion="8" minRefreshableVersion="3" recordCount="100" xr:uid="{70A81590-2129-8040-9C0D-01EE7F469D4C}">
  <cacheSource type="worksheet">
    <worksheetSource name="Electricity"/>
  </cacheSource>
  <cacheFields count="8">
    <cacheField name="No." numFmtId="0">
      <sharedItems containsMixedTypes="1" containsNumber="1" containsInteger="1" minValue="1" maxValue="9"/>
    </cacheField>
    <cacheField name="Source Description" numFmtId="0">
      <sharedItems containsBlank="1" count="4">
        <s v="Building 2"/>
        <s v="Building 3"/>
        <s v="Building 1"/>
        <m/>
      </sharedItems>
    </cacheField>
    <cacheField name="Month" numFmtId="0">
      <sharedItems containsBlank="1" count="8">
        <s v="Jan"/>
        <s v="Sep"/>
        <s v="Oct"/>
        <s v="Dec"/>
        <s v="Nov"/>
        <s v="Mar"/>
        <s v="Apr"/>
        <m/>
      </sharedItems>
    </cacheField>
    <cacheField name="Quarter" numFmtId="0">
      <sharedItems count="5">
        <s v="Q1"/>
        <s v="Q3"/>
        <s v="Q4"/>
        <s v="Q2"/>
        <s v=""/>
      </sharedItems>
    </cacheField>
    <cacheField name="Consumption (kWh)" numFmtId="4">
      <sharedItems containsString="0" containsBlank="1" containsNumber="1" containsInteger="1" minValue="500" maxValue="4000"/>
    </cacheField>
    <cacheField name="Cost (PHP)" numFmtId="165">
      <sharedItems containsString="0" containsBlank="1" containsNumber="1" containsInteger="1" minValue="100" maxValue="8000"/>
    </cacheField>
    <cacheField name="Utility Provider" numFmtId="165">
      <sharedItems containsBlank="1" count="2">
        <s v="MERALCO"/>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367963508"/>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Microsoft Office User" refreshedDate="45922.616619560184" createdVersion="8" refreshedVersion="8" minRefreshableVersion="3" recordCount="100" xr:uid="{BFBC6139-342C-514F-B55F-1DDBC71546E0}">
  <cacheSource type="worksheet">
    <worksheetSource name="Fuel_Veh"/>
  </cacheSource>
  <cacheFields count="10">
    <cacheField name="No." numFmtId="0">
      <sharedItems containsMixedTypes="1" containsNumber="1" containsInteger="1" minValue="1" maxValue="36"/>
    </cacheField>
    <cacheField name="Vehicle Type" numFmtId="0">
      <sharedItems containsBlank="1" count="11">
        <s v="Multi-Purpose Vehicle"/>
        <s v="Van  "/>
        <s v="Armored Vehicle"/>
        <m/>
        <s v="Passenger Car" u="1"/>
        <s v="Large Bus" u="1"/>
        <s v="Large Truck" u="1"/>
        <s v="Motorbike" u="1"/>
        <s v="Small Truck" u="1"/>
        <s v="Service Vehicles" u="1"/>
        <s v="Armored Vehicles" u="1"/>
      </sharedItems>
    </cacheField>
    <cacheField name="Fuel Type" numFmtId="0">
      <sharedItems containsBlank="1" count="4">
        <s v="Diesel - Transport vehicles"/>
        <m/>
        <s v="Gasoline - Transport vehicles" u="1"/>
        <s v="LPG" u="1"/>
      </sharedItems>
    </cacheField>
    <cacheField name="Month" numFmtId="0">
      <sharedItems containsBlank="1" count="13">
        <s v="Jan"/>
        <s v="Feb"/>
        <s v="Mar"/>
        <s v="Apr"/>
        <s v="May"/>
        <s v="Jun"/>
        <s v="Jul"/>
        <s v="Aug"/>
        <s v="Sep"/>
        <s v="Oct"/>
        <s v="Nov"/>
        <s v="Dec"/>
        <m/>
      </sharedItems>
    </cacheField>
    <cacheField name="Quarter" numFmtId="0">
      <sharedItems containsBlank="1" count="6">
        <s v="Q1"/>
        <s v="Q2"/>
        <s v="Q3"/>
        <s v="Q4"/>
        <s v=""/>
        <m u="1"/>
      </sharedItems>
    </cacheField>
    <cacheField name="Consumption" numFmtId="4">
      <sharedItems containsString="0" containsBlank="1" containsNumber="1" minValue="0" maxValue="247.95"/>
    </cacheField>
    <cacheField name="Unit" numFmtId="0">
      <sharedItems containsBlank="1"/>
    </cacheField>
    <cacheField name="Total kilometers travelled (all vehicles)" numFmtId="4">
      <sharedItems containsString="0" containsBlank="1" containsNumber="1" minValue="0" maxValue="2108"/>
    </cacheField>
    <cacheField name="Unit2" numFmtId="0">
      <sharedItems/>
    </cacheField>
    <cacheField name="Remarks" numFmtId="0">
      <sharedItems containsBlank="1"/>
    </cacheField>
  </cacheFields>
  <extLst>
    <ext xmlns:x14="http://schemas.microsoft.com/office/spreadsheetml/2009/9/main" uri="{725AE2AE-9491-48be-B2B4-4EB974FC3084}">
      <x14:pivotCacheDefinition pivotCacheId="23419344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500"/>
    <m/>
  </r>
  <r>
    <n v="2"/>
    <x v="1"/>
    <x v="1"/>
    <x v="1"/>
    <x v="1"/>
    <n v="200"/>
    <m/>
  </r>
  <r>
    <n v="3"/>
    <x v="0"/>
    <x v="2"/>
    <x v="0"/>
    <x v="1"/>
    <n v="300"/>
    <m/>
  </r>
  <r>
    <n v="4"/>
    <x v="2"/>
    <x v="3"/>
    <x v="2"/>
    <x v="0"/>
    <n v="200"/>
    <m/>
  </r>
  <r>
    <s v=""/>
    <x v="3"/>
    <x v="4"/>
    <x v="1"/>
    <x v="2"/>
    <n v="150"/>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200"/>
    <x v="0"/>
    <m/>
  </r>
  <r>
    <n v="2"/>
    <x v="1"/>
    <x v="1"/>
    <x v="1"/>
    <n v="120"/>
    <x v="1"/>
    <m/>
  </r>
  <r>
    <n v="3"/>
    <x v="0"/>
    <x v="2"/>
    <x v="0"/>
    <n v="200"/>
    <x v="1"/>
    <m/>
  </r>
  <r>
    <n v="4"/>
    <x v="2"/>
    <x v="3"/>
    <x v="0"/>
    <n v="140"/>
    <x v="0"/>
    <m/>
  </r>
  <r>
    <n v="5"/>
    <x v="1"/>
    <x v="4"/>
    <x v="2"/>
    <n v="130"/>
    <x v="0"/>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s v="BSP Building 1"/>
    <x v="0"/>
    <x v="0"/>
    <x v="0"/>
    <n v="100"/>
    <s v="Liters"/>
    <m/>
  </r>
  <r>
    <n v="2"/>
    <s v="BSP Building 2"/>
    <x v="1"/>
    <x v="1"/>
    <x v="1"/>
    <m/>
    <s v="Liters"/>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7">
  <r>
    <n v="1"/>
    <x v="0"/>
    <x v="0"/>
    <x v="0"/>
    <n v="1000"/>
    <x v="0"/>
    <m/>
  </r>
  <r>
    <n v="2"/>
    <x v="1"/>
    <x v="0"/>
    <x v="0"/>
    <n v="200"/>
    <x v="0"/>
    <m/>
  </r>
  <r>
    <n v="3"/>
    <x v="0"/>
    <x v="0"/>
    <x v="1"/>
    <n v="500"/>
    <x v="1"/>
    <m/>
  </r>
  <r>
    <n v="4"/>
    <x v="2"/>
    <x v="1"/>
    <x v="2"/>
    <n v="500"/>
    <x v="1"/>
    <m/>
  </r>
  <r>
    <n v="5"/>
    <x v="3"/>
    <x v="2"/>
    <x v="1"/>
    <n v="750"/>
    <x v="1"/>
    <m/>
  </r>
  <r>
    <n v="6"/>
    <x v="4"/>
    <x v="3"/>
    <x v="3"/>
    <n v="1000"/>
    <x v="2"/>
    <m/>
  </r>
  <r>
    <n v="7"/>
    <x v="5"/>
    <x v="2"/>
    <x v="3"/>
    <n v="500"/>
    <x v="2"/>
    <m/>
  </r>
  <r>
    <n v="8"/>
    <x v="6"/>
    <x v="1"/>
    <x v="3"/>
    <n v="700"/>
    <x v="2"/>
    <m/>
  </r>
  <r>
    <s v=""/>
    <x v="7"/>
    <x v="0"/>
    <x v="0"/>
    <n v="500"/>
    <x v="1"/>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1000"/>
    <n v="500"/>
    <x v="0"/>
    <m/>
  </r>
  <r>
    <n v="2"/>
    <x v="0"/>
    <x v="1"/>
    <x v="1"/>
    <n v="2000"/>
    <n v="400"/>
    <x v="0"/>
    <m/>
  </r>
  <r>
    <n v="3"/>
    <x v="1"/>
    <x v="2"/>
    <x v="2"/>
    <n v="1200"/>
    <n v="1000"/>
    <x v="0"/>
    <m/>
  </r>
  <r>
    <n v="4"/>
    <x v="1"/>
    <x v="3"/>
    <x v="2"/>
    <n v="500"/>
    <n v="300"/>
    <x v="0"/>
    <m/>
  </r>
  <r>
    <n v="5"/>
    <x v="0"/>
    <x v="4"/>
    <x v="2"/>
    <n v="1000"/>
    <n v="500"/>
    <x v="0"/>
    <m/>
  </r>
  <r>
    <n v="6"/>
    <x v="2"/>
    <x v="5"/>
    <x v="0"/>
    <n v="2000"/>
    <n v="700"/>
    <x v="0"/>
    <m/>
  </r>
  <r>
    <n v="7"/>
    <x v="2"/>
    <x v="4"/>
    <x v="2"/>
    <n v="3000"/>
    <n v="8000"/>
    <x v="0"/>
    <m/>
  </r>
  <r>
    <n v="8"/>
    <x v="0"/>
    <x v="6"/>
    <x v="3"/>
    <n v="4000"/>
    <n v="900"/>
    <x v="0"/>
    <m/>
  </r>
  <r>
    <n v="9"/>
    <x v="0"/>
    <x v="4"/>
    <x v="2"/>
    <n v="2000"/>
    <n v="100"/>
    <x v="0"/>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39.130000000000003"/>
    <s v="Liters"/>
    <n v="235"/>
    <s v="Kilometers"/>
    <s v="Toyota Innova (One Unit)"/>
  </r>
  <r>
    <n v="2"/>
    <x v="0"/>
    <x v="0"/>
    <x v="1"/>
    <x v="0"/>
    <n v="41.79"/>
    <m/>
    <n v="251"/>
    <s v="Kilometers"/>
    <m/>
  </r>
  <r>
    <n v="3"/>
    <x v="0"/>
    <x v="0"/>
    <x v="2"/>
    <x v="0"/>
    <n v="99.44"/>
    <s v="Liters"/>
    <n v="597"/>
    <s v="Kilometers"/>
    <m/>
  </r>
  <r>
    <n v="4"/>
    <x v="0"/>
    <x v="0"/>
    <x v="3"/>
    <x v="1"/>
    <n v="115.58"/>
    <s v="Liters"/>
    <n v="704"/>
    <s v="Kilometers"/>
    <m/>
  </r>
  <r>
    <n v="5"/>
    <x v="0"/>
    <x v="0"/>
    <x v="4"/>
    <x v="1"/>
    <n v="206.3"/>
    <s v="Liters"/>
    <n v="1212"/>
    <s v="Kilometers"/>
    <m/>
  </r>
  <r>
    <n v="6"/>
    <x v="0"/>
    <x v="0"/>
    <x v="5"/>
    <x v="1"/>
    <n v="247.95"/>
    <s v="Liters"/>
    <n v="2108"/>
    <s v="Kilometers"/>
    <m/>
  </r>
  <r>
    <n v="7"/>
    <x v="0"/>
    <x v="0"/>
    <x v="6"/>
    <x v="2"/>
    <n v="94.34"/>
    <s v="Liters"/>
    <n v="891"/>
    <s v="Kilometers"/>
    <m/>
  </r>
  <r>
    <n v="8"/>
    <x v="0"/>
    <x v="0"/>
    <x v="7"/>
    <x v="2"/>
    <n v="28.52"/>
    <s v="Liters"/>
    <n v="243"/>
    <s v="Kilometers"/>
    <m/>
  </r>
  <r>
    <n v="9"/>
    <x v="0"/>
    <x v="0"/>
    <x v="8"/>
    <x v="2"/>
    <n v="41.23"/>
    <s v="Liters"/>
    <n v="351"/>
    <s v="Kilometers"/>
    <m/>
  </r>
  <r>
    <n v="10"/>
    <x v="0"/>
    <x v="0"/>
    <x v="9"/>
    <x v="3"/>
    <n v="63.41"/>
    <s v="Liters"/>
    <n v="386.45"/>
    <s v="Kilometers"/>
    <m/>
  </r>
  <r>
    <n v="11"/>
    <x v="0"/>
    <x v="0"/>
    <x v="10"/>
    <x v="3"/>
    <n v="24.1"/>
    <s v="Liters"/>
    <n v="144.55000000000001"/>
    <s v="Kilometers"/>
    <m/>
  </r>
  <r>
    <n v="12"/>
    <x v="0"/>
    <x v="0"/>
    <x v="11"/>
    <x v="3"/>
    <n v="42.63"/>
    <s v="Liters"/>
    <n v="256"/>
    <s v="Kilometers"/>
    <m/>
  </r>
  <r>
    <n v="13"/>
    <x v="1"/>
    <x v="0"/>
    <x v="0"/>
    <x v="0"/>
    <n v="25.49"/>
    <s v="Liters"/>
    <n v="153"/>
    <s v="Kilometers"/>
    <s v="Toyota Grandia (One Unit)"/>
  </r>
  <r>
    <n v="14"/>
    <x v="1"/>
    <x v="0"/>
    <x v="1"/>
    <x v="0"/>
    <n v="20.99"/>
    <s v="Liters"/>
    <n v="126"/>
    <s v="Kilometers"/>
    <m/>
  </r>
  <r>
    <n v="15"/>
    <x v="1"/>
    <x v="0"/>
    <x v="2"/>
    <x v="0"/>
    <n v="54.8"/>
    <s v="Liters"/>
    <n v="330"/>
    <s v="Kilometers"/>
    <m/>
  </r>
  <r>
    <n v="16"/>
    <x v="1"/>
    <x v="0"/>
    <x v="3"/>
    <x v="1"/>
    <n v="170.33"/>
    <s v="Liters"/>
    <n v="1448"/>
    <s v="Kilometers"/>
    <m/>
  </r>
  <r>
    <n v="17"/>
    <x v="1"/>
    <x v="0"/>
    <x v="4"/>
    <x v="1"/>
    <n v="131.97"/>
    <s v="Liters"/>
    <n v="793"/>
    <s v="Kilometers"/>
    <m/>
  </r>
  <r>
    <n v="18"/>
    <x v="1"/>
    <x v="0"/>
    <x v="5"/>
    <x v="1"/>
    <n v="26.77"/>
    <s v="Liters"/>
    <n v="228"/>
    <s v="Kilometers"/>
    <m/>
  </r>
  <r>
    <n v="19"/>
    <x v="1"/>
    <x v="0"/>
    <x v="6"/>
    <x v="2"/>
    <n v="138.77000000000001"/>
    <s v="Liters"/>
    <n v="1180"/>
    <s v="Kilometers"/>
    <m/>
  </r>
  <r>
    <n v="20"/>
    <x v="1"/>
    <x v="0"/>
    <x v="7"/>
    <x v="2"/>
    <n v="26.39"/>
    <s v="Liters"/>
    <n v="225"/>
    <s v="Kilometers"/>
    <m/>
  </r>
  <r>
    <n v="21"/>
    <x v="1"/>
    <x v="0"/>
    <x v="8"/>
    <x v="2"/>
    <n v="48.55"/>
    <s v="Liters"/>
    <n v="413"/>
    <s v="Kilometers"/>
    <m/>
  </r>
  <r>
    <n v="22"/>
    <x v="1"/>
    <x v="0"/>
    <x v="9"/>
    <x v="3"/>
    <n v="72.010000000000005"/>
    <s v="Liters"/>
    <n v="432"/>
    <s v="Kilometers"/>
    <m/>
  </r>
  <r>
    <n v="23"/>
    <x v="1"/>
    <x v="0"/>
    <x v="10"/>
    <x v="3"/>
    <n v="220.18"/>
    <s v="Liters"/>
    <n v="1321"/>
    <s v="Kilometers"/>
    <m/>
  </r>
  <r>
    <n v="24"/>
    <x v="1"/>
    <x v="0"/>
    <x v="11"/>
    <x v="3"/>
    <n v="34.51"/>
    <s v="Liters"/>
    <n v="207"/>
    <s v="Kilometers"/>
    <m/>
  </r>
  <r>
    <n v="25"/>
    <x v="0"/>
    <x v="0"/>
    <x v="0"/>
    <x v="0"/>
    <n v="2"/>
    <s v="Liters"/>
    <n v="10"/>
    <s v="Kilometers"/>
    <s v="Mitsubishi Adventure (One Unit)"/>
  </r>
  <r>
    <n v="26"/>
    <x v="0"/>
    <x v="0"/>
    <x v="1"/>
    <x v="0"/>
    <n v="1.6"/>
    <s v="Liters"/>
    <n v="8"/>
    <s v="Kilometers"/>
    <m/>
  </r>
  <r>
    <n v="27"/>
    <x v="0"/>
    <x v="0"/>
    <x v="2"/>
    <x v="0"/>
    <n v="2"/>
    <s v="Liters"/>
    <n v="10"/>
    <s v="Kilometers"/>
    <m/>
  </r>
  <r>
    <n v="28"/>
    <x v="0"/>
    <x v="0"/>
    <x v="4"/>
    <x v="1"/>
    <n v="0"/>
    <s v="Liters"/>
    <n v="0"/>
    <s v="Kilometers"/>
    <m/>
  </r>
  <r>
    <n v="29"/>
    <x v="0"/>
    <x v="0"/>
    <x v="5"/>
    <x v="1"/>
    <n v="21.8"/>
    <s v="Liters"/>
    <n v="109"/>
    <s v="Kilometers"/>
    <m/>
  </r>
  <r>
    <n v="30"/>
    <x v="0"/>
    <x v="0"/>
    <x v="6"/>
    <x v="2"/>
    <n v="4"/>
    <s v="Liters"/>
    <n v="20"/>
    <s v="Kilometers"/>
    <m/>
  </r>
  <r>
    <n v="31"/>
    <x v="0"/>
    <x v="0"/>
    <x v="7"/>
    <x v="2"/>
    <n v="0"/>
    <s v="Liters"/>
    <n v="0"/>
    <s v="Kilometers"/>
    <m/>
  </r>
  <r>
    <n v="32"/>
    <x v="0"/>
    <x v="0"/>
    <x v="8"/>
    <x v="2"/>
    <n v="7.6"/>
    <s v="Liters"/>
    <n v="38"/>
    <s v="Kilometers"/>
    <m/>
  </r>
  <r>
    <n v="33"/>
    <x v="0"/>
    <x v="0"/>
    <x v="9"/>
    <x v="3"/>
    <n v="25.2"/>
    <s v="Liters"/>
    <n v="126"/>
    <s v="Kilometers"/>
    <m/>
  </r>
  <r>
    <n v="34"/>
    <x v="0"/>
    <x v="0"/>
    <x v="10"/>
    <x v="3"/>
    <n v="2"/>
    <s v="Liters"/>
    <n v="10"/>
    <s v="Kilometers"/>
    <m/>
  </r>
  <r>
    <n v="35"/>
    <x v="0"/>
    <x v="0"/>
    <x v="11"/>
    <x v="3"/>
    <n v="3.6"/>
    <s v="Liters"/>
    <n v="18"/>
    <s v="Kilometers"/>
    <m/>
  </r>
  <r>
    <n v="36"/>
    <x v="2"/>
    <x v="0"/>
    <x v="0"/>
    <x v="0"/>
    <n v="12.32"/>
    <s v="Liters"/>
    <n v="39.75"/>
    <s v="Kilometers"/>
    <s v="Armored Vehicle 1 - FORD 550 (SFX-883)"/>
  </r>
  <r>
    <s v=""/>
    <x v="3"/>
    <x v="0"/>
    <x v="1"/>
    <x v="0"/>
    <n v="10.51"/>
    <s v="Liters"/>
    <n v="36.85"/>
    <s v="Kilometers"/>
    <m/>
  </r>
  <r>
    <s v=""/>
    <x v="3"/>
    <x v="0"/>
    <x v="2"/>
    <x v="0"/>
    <n v="17.25"/>
    <s v="Liters"/>
    <n v="60.51"/>
    <s v="Kilometers"/>
    <m/>
  </r>
  <r>
    <s v=""/>
    <x v="3"/>
    <x v="0"/>
    <x v="3"/>
    <x v="1"/>
    <n v="5.51"/>
    <s v="Liters"/>
    <n v="19.96"/>
    <s v="Kilometers"/>
    <m/>
  </r>
  <r>
    <s v=""/>
    <x v="3"/>
    <x v="0"/>
    <x v="4"/>
    <x v="1"/>
    <n v="0"/>
    <s v="Liters"/>
    <n v="0"/>
    <s v="Kilometers"/>
    <m/>
  </r>
  <r>
    <s v=""/>
    <x v="3"/>
    <x v="0"/>
    <x v="5"/>
    <x v="1"/>
    <n v="5.88"/>
    <s v="Liters"/>
    <n v="20.6"/>
    <s v="Kilometers"/>
    <m/>
  </r>
  <r>
    <s v=""/>
    <x v="3"/>
    <x v="0"/>
    <x v="6"/>
    <x v="2"/>
    <n v="2.38"/>
    <s v="Liters"/>
    <n v="8.3699999999999992"/>
    <s v="Kilometers"/>
    <m/>
  </r>
  <r>
    <s v=""/>
    <x v="3"/>
    <x v="0"/>
    <x v="7"/>
    <x v="2"/>
    <n v="0"/>
    <s v="Liters"/>
    <n v="0"/>
    <s v="Kilometers"/>
    <m/>
  </r>
  <r>
    <s v=""/>
    <x v="3"/>
    <x v="0"/>
    <x v="8"/>
    <x v="2"/>
    <n v="5.05"/>
    <s v="Liters"/>
    <n v="17.7"/>
    <s v="Kilometers"/>
    <m/>
  </r>
  <r>
    <s v=""/>
    <x v="3"/>
    <x v="0"/>
    <x v="9"/>
    <x v="3"/>
    <n v="3.48"/>
    <s v="Liters"/>
    <n v="12.23"/>
    <s v="Kilometers"/>
    <m/>
  </r>
  <r>
    <s v=""/>
    <x v="3"/>
    <x v="0"/>
    <x v="10"/>
    <x v="3"/>
    <n v="0"/>
    <s v="Liters"/>
    <n v="0"/>
    <s v="Kilometers"/>
    <m/>
  </r>
  <r>
    <s v=""/>
    <x v="3"/>
    <x v="0"/>
    <x v="11"/>
    <x v="3"/>
    <n v="2.71"/>
    <s v="Liters"/>
    <n v="9.5"/>
    <s v="Kilometers"/>
    <m/>
  </r>
  <r>
    <e v="#VALUE!"/>
    <x v="2"/>
    <x v="0"/>
    <x v="0"/>
    <x v="0"/>
    <n v="7.4"/>
    <s v="Liters"/>
    <n v="29.77"/>
    <s v="Kilometers"/>
    <s v="Armored Vehicle 2 - FORD 550 (131206)"/>
  </r>
  <r>
    <s v=""/>
    <x v="3"/>
    <x v="0"/>
    <x v="1"/>
    <x v="0"/>
    <n v="8.27"/>
    <s v="Liters"/>
    <n v="28.97"/>
    <s v="Kilometers"/>
    <m/>
  </r>
  <r>
    <s v=""/>
    <x v="3"/>
    <x v="0"/>
    <x v="2"/>
    <x v="0"/>
    <n v="48.77"/>
    <s v="Liters"/>
    <n v="170.91"/>
    <s v="Kilometers"/>
    <m/>
  </r>
  <r>
    <s v=""/>
    <x v="3"/>
    <x v="0"/>
    <x v="3"/>
    <x v="1"/>
    <n v="142.86000000000001"/>
    <s v="Liters"/>
    <n v="500.18"/>
    <s v="Kilometers"/>
    <m/>
  </r>
  <r>
    <s v=""/>
    <x v="3"/>
    <x v="0"/>
    <x v="4"/>
    <x v="1"/>
    <n v="23.9"/>
    <s v="Liters"/>
    <n v="83.85"/>
    <s v="Kilometers"/>
    <m/>
  </r>
  <r>
    <s v=""/>
    <x v="3"/>
    <x v="0"/>
    <x v="5"/>
    <x v="1"/>
    <n v="3.95"/>
    <s v="Liters"/>
    <n v="13.84"/>
    <s v="Kilometers"/>
    <m/>
  </r>
  <r>
    <s v=""/>
    <x v="3"/>
    <x v="0"/>
    <x v="6"/>
    <x v="2"/>
    <n v="14.59"/>
    <s v="Liters"/>
    <n v="51.17"/>
    <s v="Kilometers"/>
    <m/>
  </r>
  <r>
    <s v=""/>
    <x v="3"/>
    <x v="0"/>
    <x v="7"/>
    <x v="2"/>
    <n v="4.2699999999999996"/>
    <s v="Liters"/>
    <n v="14.96"/>
    <s v="Kilometers"/>
    <m/>
  </r>
  <r>
    <s v=""/>
    <x v="3"/>
    <x v="0"/>
    <x v="8"/>
    <x v="2"/>
    <n v="43.76"/>
    <s v="Liters"/>
    <n v="153.34"/>
    <s v="Kilometers"/>
    <m/>
  </r>
  <r>
    <s v=""/>
    <x v="3"/>
    <x v="0"/>
    <x v="9"/>
    <x v="3"/>
    <n v="2.34"/>
    <s v="Liters"/>
    <n v="8.2100000000000009"/>
    <s v="Kilometers"/>
    <m/>
  </r>
  <r>
    <s v=""/>
    <x v="3"/>
    <x v="0"/>
    <x v="10"/>
    <x v="3"/>
    <n v="5.4"/>
    <s v="Liters"/>
    <n v="18.899999999999999"/>
    <s v="Kilometers"/>
    <m/>
  </r>
  <r>
    <s v=""/>
    <x v="3"/>
    <x v="0"/>
    <x v="11"/>
    <x v="3"/>
    <n v="2.74"/>
    <s v="Liters"/>
    <n v="9.6"/>
    <s v="Kilometers"/>
    <m/>
  </r>
  <r>
    <e v="#VALUE!"/>
    <x v="2"/>
    <x v="0"/>
    <x v="0"/>
    <x v="0"/>
    <n v="7.16"/>
    <s v="Liters"/>
    <n v="28.81"/>
    <s v="Kilometers"/>
    <s v="Armored Vehicle 3 - FORD 550 (131210)"/>
  </r>
  <r>
    <s v=""/>
    <x v="3"/>
    <x v="0"/>
    <x v="1"/>
    <x v="0"/>
    <n v="8.2200000000000006"/>
    <s v="Liters"/>
    <n v="28.81"/>
    <s v="Kilometers"/>
    <m/>
  </r>
  <r>
    <s v=""/>
    <x v="3"/>
    <x v="0"/>
    <x v="2"/>
    <x v="0"/>
    <n v="21.9"/>
    <s v="Liters"/>
    <n v="76.77"/>
    <s v="Kilometers"/>
    <m/>
  </r>
  <r>
    <s v=""/>
    <x v="3"/>
    <x v="0"/>
    <x v="3"/>
    <x v="1"/>
    <n v="142.94999999999999"/>
    <s v="Liters"/>
    <n v="500.67"/>
    <s v="Kilometers"/>
    <m/>
  </r>
  <r>
    <s v=""/>
    <x v="3"/>
    <x v="0"/>
    <x v="4"/>
    <x v="1"/>
    <n v="20.6"/>
    <s v="Liters"/>
    <n v="72.260000000000005"/>
    <s v="Kilometers"/>
    <m/>
  </r>
  <r>
    <s v=""/>
    <x v="3"/>
    <x v="0"/>
    <x v="5"/>
    <x v="1"/>
    <n v="3.81"/>
    <s v="Liters"/>
    <n v="13.35"/>
    <s v="Kilometers"/>
    <m/>
  </r>
  <r>
    <s v=""/>
    <x v="3"/>
    <x v="0"/>
    <x v="6"/>
    <x v="2"/>
    <n v="14.05"/>
    <s v="Liters"/>
    <n v="49.24"/>
    <s v="Kilometers"/>
    <m/>
  </r>
  <r>
    <s v=""/>
    <x v="3"/>
    <x v="0"/>
    <x v="7"/>
    <x v="2"/>
    <n v="4.2699999999999996"/>
    <s v="Liters"/>
    <n v="14.96"/>
    <s v="Kilometers"/>
    <m/>
  </r>
  <r>
    <s v=""/>
    <x v="3"/>
    <x v="0"/>
    <x v="8"/>
    <x v="2"/>
    <n v="45.93"/>
    <s v="Liters"/>
    <n v="160.9"/>
    <s v="Kilometers"/>
    <m/>
  </r>
  <r>
    <s v=""/>
    <x v="3"/>
    <x v="0"/>
    <x v="9"/>
    <x v="3"/>
    <n v="2.48"/>
    <s v="Liters"/>
    <n v="8.69"/>
    <s v="Kilometers"/>
    <m/>
  </r>
  <r>
    <s v=""/>
    <x v="3"/>
    <x v="0"/>
    <x v="10"/>
    <x v="3"/>
    <n v="5.23"/>
    <s v="Liters"/>
    <n v="18.3"/>
    <s v="Kilometers"/>
    <m/>
  </r>
  <r>
    <s v=""/>
    <x v="3"/>
    <x v="0"/>
    <x v="11"/>
    <x v="3"/>
    <n v="3.63"/>
    <s v="Liters"/>
    <n v="13"/>
    <s v="Kilometers"/>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7CD9F6D-4A04-C748-892A-3D1D3B26E71F}" name="PivotTable6" cacheId="128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colHeaderCaption="Quarter">
  <location ref="A125:E135" firstHeaderRow="1" firstDataRow="2" firstDataCol="1" rowPageCount="1" colPageCount="1"/>
  <pivotFields count="7">
    <pivotField showAll="0"/>
    <pivotField axis="axisRow" showAll="0">
      <items count="5">
        <item x="2"/>
        <item x="0"/>
        <item x="1"/>
        <item x="3"/>
        <item t="default"/>
      </items>
    </pivotField>
    <pivotField axis="axisPage" showAll="0">
      <items count="7">
        <item x="1"/>
        <item x="2"/>
        <item x="0"/>
        <item x="3"/>
        <item x="4"/>
        <item x="5"/>
        <item t="default"/>
      </items>
    </pivotField>
    <pivotField axis="axisCol" showAll="0">
      <items count="5">
        <item h="1" x="3"/>
        <item x="1"/>
        <item x="0"/>
        <item x="2"/>
        <item t="default"/>
      </items>
    </pivotField>
    <pivotField dataField="1" showAll="0"/>
    <pivotField axis="axisRow" showAll="0">
      <items count="4">
        <item x="0"/>
        <item x="1"/>
        <item x="2"/>
        <item t="default"/>
      </items>
    </pivotField>
    <pivotField showAll="0"/>
  </pivotFields>
  <rowFields count="2">
    <field x="1"/>
    <field x="5"/>
  </rowFields>
  <rowItems count="9">
    <i>
      <x/>
    </i>
    <i r="1">
      <x/>
    </i>
    <i>
      <x v="1"/>
    </i>
    <i r="1">
      <x/>
    </i>
    <i r="1">
      <x v="1"/>
    </i>
    <i>
      <x v="2"/>
    </i>
    <i r="1">
      <x/>
    </i>
    <i r="1">
      <x v="1"/>
    </i>
    <i t="grand">
      <x/>
    </i>
  </rowItems>
  <colFields count="1">
    <field x="3"/>
  </colFields>
  <colItems count="4">
    <i>
      <x v="1"/>
    </i>
    <i>
      <x v="2"/>
    </i>
    <i>
      <x v="3"/>
    </i>
    <i t="grand">
      <x/>
    </i>
  </colItems>
  <pageFields count="1">
    <pageField fld="2" hier="-1"/>
  </pageFields>
  <dataFields count="1">
    <dataField name="Water Discharge - Sum of Volume (m3)" fld="4" baseField="0" baseItem="0"/>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0" format="5">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0" format="6">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0" format="8">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0" format="9">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0" format="11">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0" format="13">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 chart="4" format="36" series="1">
      <pivotArea type="data" outline="0" fieldPosition="0">
        <references count="2">
          <reference field="4294967294" count="1" selected="0">
            <x v="0"/>
          </reference>
          <reference field="3" count="1" selected="0">
            <x v="1"/>
          </reference>
        </references>
      </pivotArea>
    </chartFormat>
    <chartFormat chart="4" format="37">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4" format="38">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4" format="39">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4" format="40">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4" format="41">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4" format="42" series="1">
      <pivotArea type="data" outline="0" fieldPosition="0">
        <references count="2">
          <reference field="4294967294" count="1" selected="0">
            <x v="0"/>
          </reference>
          <reference field="3" count="1" selected="0">
            <x v="2"/>
          </reference>
        </references>
      </pivotArea>
    </chartFormat>
    <chartFormat chart="4" format="43">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4" format="44">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4" format="45">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4" format="46">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4" format="47">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4" format="48" series="1">
      <pivotArea type="data" outline="0" fieldPosition="0">
        <references count="2">
          <reference field="4294967294" count="1" selected="0">
            <x v="0"/>
          </reference>
          <reference field="3" count="1" selected="0">
            <x v="3"/>
          </reference>
        </references>
      </pivotArea>
    </chartFormat>
    <chartFormat chart="4" format="49">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4" format="50">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4" format="51">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4" format="52">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4" format="53">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D9C5FA5-2C55-C342-BD80-EF9C80E281AB}" name="PivotTable4" cacheId="129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58:G64"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items count="3">
        <item x="0"/>
        <item x="1"/>
        <item t="default"/>
      </items>
    </pivotField>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numFmtId="168"/>
  </dataFields>
  <chartFormats count="6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0" format="60">
      <pivotArea type="data" outline="0" fieldPosition="0">
        <references count="3">
          <reference field="4294967294" count="1" selected="0">
            <x v="0"/>
          </reference>
          <reference field="1" count="1" selected="0">
            <x v="0"/>
          </reference>
          <reference field="3" count="1" selected="0">
            <x v="0"/>
          </reference>
        </references>
      </pivotArea>
    </chartFormat>
    <chartFormat chart="0" format="61">
      <pivotArea type="data" outline="0" fieldPosition="0">
        <references count="3">
          <reference field="4294967294" count="1" selected="0">
            <x v="0"/>
          </reference>
          <reference field="1" count="1" selected="0">
            <x v="1"/>
          </reference>
          <reference field="3" count="1" selected="0">
            <x v="0"/>
          </reference>
        </references>
      </pivotArea>
    </chartFormat>
    <chartFormat chart="0" format="62">
      <pivotArea type="data" outline="0" fieldPosition="0">
        <references count="3">
          <reference field="4294967294" count="1" selected="0">
            <x v="0"/>
          </reference>
          <reference field="1" count="1" selected="0">
            <x v="2"/>
          </reference>
          <reference field="3" count="1" selected="0">
            <x v="0"/>
          </reference>
        </references>
      </pivotArea>
    </chartFormat>
    <chartFormat chart="0" format="63">
      <pivotArea type="data" outline="0" fieldPosition="0">
        <references count="3">
          <reference field="4294967294" count="1" selected="0">
            <x v="0"/>
          </reference>
          <reference field="1" count="1" selected="0">
            <x v="3"/>
          </reference>
          <reference field="3" count="1" selected="0">
            <x v="0"/>
          </reference>
        </references>
      </pivotArea>
    </chartFormat>
    <chartFormat chart="0" format="64">
      <pivotArea type="data" outline="0" fieldPosition="0">
        <references count="3">
          <reference field="4294967294" count="1" selected="0">
            <x v="0"/>
          </reference>
          <reference field="1" count="1" selected="0">
            <x v="2"/>
          </reference>
          <reference field="3" count="1" selected="0">
            <x v="1"/>
          </reference>
        </references>
      </pivotArea>
    </chartFormat>
    <chartFormat chart="0" format="65">
      <pivotArea type="data" outline="0" fieldPosition="0">
        <references count="3">
          <reference field="4294967294" count="1" selected="0">
            <x v="0"/>
          </reference>
          <reference field="1" count="1" selected="0">
            <x v="3"/>
          </reference>
          <reference field="3" count="1" selected="0">
            <x v="1"/>
          </reference>
        </references>
      </pivotArea>
    </chartFormat>
    <chartFormat chart="0" format="66">
      <pivotArea type="data" outline="0" fieldPosition="0">
        <references count="3">
          <reference field="4294967294" count="1" selected="0">
            <x v="0"/>
          </reference>
          <reference field="1" count="1" selected="0">
            <x v="2"/>
          </reference>
          <reference field="3" count="1" selected="0">
            <x v="2"/>
          </reference>
        </references>
      </pivotArea>
    </chartFormat>
    <chartFormat chart="0" format="67">
      <pivotArea type="data" outline="0" fieldPosition="0">
        <references count="3">
          <reference field="4294967294" count="1" selected="0">
            <x v="0"/>
          </reference>
          <reference field="1" count="1" selected="0">
            <x v="3"/>
          </reference>
          <reference field="3" count="1" selected="0">
            <x v="2"/>
          </reference>
        </references>
      </pivotArea>
    </chartFormat>
    <chartFormat chart="0" format="68">
      <pivotArea type="data" outline="0" fieldPosition="0">
        <references count="3">
          <reference field="4294967294" count="1" selected="0">
            <x v="0"/>
          </reference>
          <reference field="1" count="1" selected="0">
            <x v="2"/>
          </reference>
          <reference field="3" count="1" selected="0">
            <x v="3"/>
          </reference>
        </references>
      </pivotArea>
    </chartFormat>
    <chartFormat chart="0" format="69">
      <pivotArea type="data" outline="0" fieldPosition="0">
        <references count="3">
          <reference field="4294967294" count="1" selected="0">
            <x v="0"/>
          </reference>
          <reference field="1" count="1" selected="0">
            <x v="3"/>
          </reference>
          <reference field="3" count="1" selected="0">
            <x v="3"/>
          </reference>
        </references>
      </pivotArea>
    </chartFormat>
    <chartFormat chart="12" format="90" series="1">
      <pivotArea type="data" outline="0" fieldPosition="0">
        <references count="2">
          <reference field="4294967294" count="1" selected="0">
            <x v="0"/>
          </reference>
          <reference field="3" count="1" selected="0">
            <x v="0"/>
          </reference>
        </references>
      </pivotArea>
    </chartFormat>
    <chartFormat chart="12" format="91">
      <pivotArea type="data" outline="0" fieldPosition="0">
        <references count="3">
          <reference field="4294967294" count="1" selected="0">
            <x v="0"/>
          </reference>
          <reference field="1" count="1" selected="0">
            <x v="0"/>
          </reference>
          <reference field="3" count="1" selected="0">
            <x v="0"/>
          </reference>
        </references>
      </pivotArea>
    </chartFormat>
    <chartFormat chart="12" format="92">
      <pivotArea type="data" outline="0" fieldPosition="0">
        <references count="3">
          <reference field="4294967294" count="1" selected="0">
            <x v="0"/>
          </reference>
          <reference field="1" count="1" selected="0">
            <x v="1"/>
          </reference>
          <reference field="3" count="1" selected="0">
            <x v="0"/>
          </reference>
        </references>
      </pivotArea>
    </chartFormat>
    <chartFormat chart="12" format="93">
      <pivotArea type="data" outline="0" fieldPosition="0">
        <references count="3">
          <reference field="4294967294" count="1" selected="0">
            <x v="0"/>
          </reference>
          <reference field="1" count="1" selected="0">
            <x v="2"/>
          </reference>
          <reference field="3" count="1" selected="0">
            <x v="0"/>
          </reference>
        </references>
      </pivotArea>
    </chartFormat>
    <chartFormat chart="12" format="94">
      <pivotArea type="data" outline="0" fieldPosition="0">
        <references count="3">
          <reference field="4294967294" count="1" selected="0">
            <x v="0"/>
          </reference>
          <reference field="1" count="1" selected="0">
            <x v="3"/>
          </reference>
          <reference field="3" count="1" selected="0">
            <x v="0"/>
          </reference>
        </references>
      </pivotArea>
    </chartFormat>
    <chartFormat chart="12" format="95" series="1">
      <pivotArea type="data" outline="0" fieldPosition="0">
        <references count="2">
          <reference field="4294967294" count="1" selected="0">
            <x v="0"/>
          </reference>
          <reference field="3" count="1" selected="0">
            <x v="1"/>
          </reference>
        </references>
      </pivotArea>
    </chartFormat>
    <chartFormat chart="12" format="96">
      <pivotArea type="data" outline="0" fieldPosition="0">
        <references count="3">
          <reference field="4294967294" count="1" selected="0">
            <x v="0"/>
          </reference>
          <reference field="1" count="1" selected="0">
            <x v="0"/>
          </reference>
          <reference field="3" count="1" selected="0">
            <x v="1"/>
          </reference>
        </references>
      </pivotArea>
    </chartFormat>
    <chartFormat chart="12" format="97">
      <pivotArea type="data" outline="0" fieldPosition="0">
        <references count="3">
          <reference field="4294967294" count="1" selected="0">
            <x v="0"/>
          </reference>
          <reference field="1" count="1" selected="0">
            <x v="1"/>
          </reference>
          <reference field="3" count="1" selected="0">
            <x v="1"/>
          </reference>
        </references>
      </pivotArea>
    </chartFormat>
    <chartFormat chart="12" format="98">
      <pivotArea type="data" outline="0" fieldPosition="0">
        <references count="3">
          <reference field="4294967294" count="1" selected="0">
            <x v="0"/>
          </reference>
          <reference field="1" count="1" selected="0">
            <x v="2"/>
          </reference>
          <reference field="3" count="1" selected="0">
            <x v="1"/>
          </reference>
        </references>
      </pivotArea>
    </chartFormat>
    <chartFormat chart="12" format="99">
      <pivotArea type="data" outline="0" fieldPosition="0">
        <references count="3">
          <reference field="4294967294" count="1" selected="0">
            <x v="0"/>
          </reference>
          <reference field="1" count="1" selected="0">
            <x v="3"/>
          </reference>
          <reference field="3" count="1" selected="0">
            <x v="1"/>
          </reference>
        </references>
      </pivotArea>
    </chartFormat>
    <chartFormat chart="12" format="100" series="1">
      <pivotArea type="data" outline="0" fieldPosition="0">
        <references count="2">
          <reference field="4294967294" count="1" selected="0">
            <x v="0"/>
          </reference>
          <reference field="3" count="1" selected="0">
            <x v="2"/>
          </reference>
        </references>
      </pivotArea>
    </chartFormat>
    <chartFormat chart="12" format="101">
      <pivotArea type="data" outline="0" fieldPosition="0">
        <references count="3">
          <reference field="4294967294" count="1" selected="0">
            <x v="0"/>
          </reference>
          <reference field="1" count="1" selected="0">
            <x v="0"/>
          </reference>
          <reference field="3" count="1" selected="0">
            <x v="2"/>
          </reference>
        </references>
      </pivotArea>
    </chartFormat>
    <chartFormat chart="12" format="102">
      <pivotArea type="data" outline="0" fieldPosition="0">
        <references count="3">
          <reference field="4294967294" count="1" selected="0">
            <x v="0"/>
          </reference>
          <reference field="1" count="1" selected="0">
            <x v="1"/>
          </reference>
          <reference field="3" count="1" selected="0">
            <x v="2"/>
          </reference>
        </references>
      </pivotArea>
    </chartFormat>
    <chartFormat chart="12" format="103">
      <pivotArea type="data" outline="0" fieldPosition="0">
        <references count="3">
          <reference field="4294967294" count="1" selected="0">
            <x v="0"/>
          </reference>
          <reference field="1" count="1" selected="0">
            <x v="2"/>
          </reference>
          <reference field="3" count="1" selected="0">
            <x v="2"/>
          </reference>
        </references>
      </pivotArea>
    </chartFormat>
    <chartFormat chart="12" format="104">
      <pivotArea type="data" outline="0" fieldPosition="0">
        <references count="3">
          <reference field="4294967294" count="1" selected="0">
            <x v="0"/>
          </reference>
          <reference field="1" count="1" selected="0">
            <x v="3"/>
          </reference>
          <reference field="3" count="1" selected="0">
            <x v="2"/>
          </reference>
        </references>
      </pivotArea>
    </chartFormat>
    <chartFormat chart="12" format="105" series="1">
      <pivotArea type="data" outline="0" fieldPosition="0">
        <references count="2">
          <reference field="4294967294" count="1" selected="0">
            <x v="0"/>
          </reference>
          <reference field="3" count="1" selected="0">
            <x v="3"/>
          </reference>
        </references>
      </pivotArea>
    </chartFormat>
    <chartFormat chart="12" format="106">
      <pivotArea type="data" outline="0" fieldPosition="0">
        <references count="3">
          <reference field="4294967294" count="1" selected="0">
            <x v="0"/>
          </reference>
          <reference field="1" count="1" selected="0">
            <x v="0"/>
          </reference>
          <reference field="3" count="1" selected="0">
            <x v="3"/>
          </reference>
        </references>
      </pivotArea>
    </chartFormat>
    <chartFormat chart="12" format="107">
      <pivotArea type="data" outline="0" fieldPosition="0">
        <references count="3">
          <reference field="4294967294" count="1" selected="0">
            <x v="0"/>
          </reference>
          <reference field="1" count="1" selected="0">
            <x v="1"/>
          </reference>
          <reference field="3" count="1" selected="0">
            <x v="3"/>
          </reference>
        </references>
      </pivotArea>
    </chartFormat>
    <chartFormat chart="12" format="108">
      <pivotArea type="data" outline="0" fieldPosition="0">
        <references count="3">
          <reference field="4294967294" count="1" selected="0">
            <x v="0"/>
          </reference>
          <reference field="1" count="1" selected="0">
            <x v="2"/>
          </reference>
          <reference field="3" count="1" selected="0">
            <x v="3"/>
          </reference>
        </references>
      </pivotArea>
    </chartFormat>
    <chartFormat chart="12" format="10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8A752AE-4848-E147-BCA4-DE9E0107630D}" name="PivotTable9" cacheId="129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145:F153" firstHeaderRow="1" firstDataRow="2" firstDataCol="1" rowPageCount="1" colPageCount="1"/>
  <pivotFields count="7">
    <pivotField showAll="0"/>
    <pivotField axis="axisPage" showAll="0">
      <items count="9">
        <item x="0"/>
        <item x="1"/>
        <item x="2"/>
        <item x="6"/>
        <item x="4"/>
        <item x="5"/>
        <item x="3"/>
        <item x="7"/>
        <item t="default"/>
      </items>
    </pivotField>
    <pivotField axis="axisCol" showAll="0">
      <items count="6">
        <item h="1" x="4"/>
        <item x="0"/>
        <item x="1"/>
        <item x="3"/>
        <item x="2"/>
        <item t="default"/>
      </items>
    </pivotField>
    <pivotField axis="axisRow" showAll="0">
      <items count="6">
        <item x="1"/>
        <item x="0"/>
        <item x="3"/>
        <item x="2"/>
        <item x="4"/>
        <item t="default"/>
      </items>
    </pivotField>
    <pivotField dataField="1" showAll="0"/>
    <pivotField axis="axisRow" showAll="0">
      <items count="5">
        <item x="2"/>
        <item x="1"/>
        <item h="1" x="3"/>
        <item h="1" x="0"/>
        <item t="default"/>
      </items>
    </pivotField>
    <pivotField showAll="0"/>
  </pivotFields>
  <rowFields count="2">
    <field x="5"/>
    <field x="3"/>
  </rowFields>
  <rowItems count="7">
    <i>
      <x/>
    </i>
    <i r="1">
      <x v="2"/>
    </i>
    <i>
      <x v="1"/>
    </i>
    <i r="1">
      <x/>
    </i>
    <i r="1">
      <x v="1"/>
    </i>
    <i r="1">
      <x v="3"/>
    </i>
    <i t="grand">
      <x/>
    </i>
  </rowItems>
  <colFields count="1">
    <field x="2"/>
  </colFields>
  <colItems count="5">
    <i>
      <x v="1"/>
    </i>
    <i>
      <x v="2"/>
    </i>
    <i>
      <x v="3"/>
    </i>
    <i>
      <x v="4"/>
    </i>
    <i t="grand">
      <x/>
    </i>
  </colItems>
  <pageFields count="1">
    <pageField fld="1" hier="-1"/>
  </pageFields>
  <dataFields count="1">
    <dataField name="Sum of Weight (kg)" fld="4" baseField="0" baseItem="0" numFmtId="4"/>
  </dataFields>
  <chartFormats count="12">
    <chartFormat chart="0" format="0" series="1">
      <pivotArea type="data" outline="0" fieldPosition="0">
        <references count="2">
          <reference field="4294967294" count="1" selected="0">
            <x v="0"/>
          </reference>
          <reference field="2" count="1" selected="0">
            <x v="1"/>
          </reference>
        </references>
      </pivotArea>
    </chartFormat>
    <chartFormat chart="0" format="1" series="1">
      <pivotArea type="data" outline="0" fieldPosition="0">
        <references count="2">
          <reference field="4294967294" count="1" selected="0">
            <x v="0"/>
          </reference>
          <reference field="2" count="1" selected="0">
            <x v="2"/>
          </reference>
        </references>
      </pivotArea>
    </chartFormat>
    <chartFormat chart="0" format="2" series="1">
      <pivotArea type="data" outline="0" fieldPosition="0">
        <references count="2">
          <reference field="4294967294" count="1" selected="0">
            <x v="0"/>
          </reference>
          <reference field="2" count="1" selected="0">
            <x v="3"/>
          </reference>
        </references>
      </pivotArea>
    </chartFormat>
    <chartFormat chart="0" format="3" series="1">
      <pivotArea type="data" outline="0" fieldPosition="0">
        <references count="2">
          <reference field="4294967294" count="1" selected="0">
            <x v="0"/>
          </reference>
          <reference field="2" count="1" selected="0">
            <x v="4"/>
          </reference>
        </references>
      </pivotArea>
    </chartFormat>
    <chartFormat chart="5" format="48" series="1">
      <pivotArea type="data" outline="0" fieldPosition="0">
        <references count="2">
          <reference field="4294967294" count="1" selected="0">
            <x v="0"/>
          </reference>
          <reference field="2" count="1" selected="0">
            <x v="1"/>
          </reference>
        </references>
      </pivotArea>
    </chartFormat>
    <chartFormat chart="5" format="54" series="1">
      <pivotArea type="data" outline="0" fieldPosition="0">
        <references count="2">
          <reference field="4294967294" count="1" selected="0">
            <x v="0"/>
          </reference>
          <reference field="2" count="1" selected="0">
            <x v="2"/>
          </reference>
        </references>
      </pivotArea>
    </chartFormat>
    <chartFormat chart="5" format="60" series="1">
      <pivotArea type="data" outline="0" fieldPosition="0">
        <references count="2">
          <reference field="4294967294" count="1" selected="0">
            <x v="0"/>
          </reference>
          <reference field="2" count="1" selected="0">
            <x v="3"/>
          </reference>
        </references>
      </pivotArea>
    </chartFormat>
    <chartFormat chart="5" format="66" series="1">
      <pivotArea type="data" outline="0" fieldPosition="0">
        <references count="2">
          <reference field="4294967294" count="1" selected="0">
            <x v="0"/>
          </reference>
          <reference field="2" count="1" selected="0">
            <x v="4"/>
          </reference>
        </references>
      </pivotArea>
    </chartFormat>
    <chartFormat chart="7" format="48" series="1">
      <pivotArea type="data" outline="0" fieldPosition="0">
        <references count="2">
          <reference field="4294967294" count="1" selected="0">
            <x v="0"/>
          </reference>
          <reference field="2" count="1" selected="0">
            <x v="1"/>
          </reference>
        </references>
      </pivotArea>
    </chartFormat>
    <chartFormat chart="7" format="54" series="1">
      <pivotArea type="data" outline="0" fieldPosition="0">
        <references count="2">
          <reference field="4294967294" count="1" selected="0">
            <x v="0"/>
          </reference>
          <reference field="2" count="1" selected="0">
            <x v="2"/>
          </reference>
        </references>
      </pivotArea>
    </chartFormat>
    <chartFormat chart="7" format="60" series="1">
      <pivotArea type="data" outline="0" fieldPosition="0">
        <references count="2">
          <reference field="4294967294" count="1" selected="0">
            <x v="0"/>
          </reference>
          <reference field="2" count="1" selected="0">
            <x v="3"/>
          </reference>
        </references>
      </pivotArea>
    </chartFormat>
    <chartFormat chart="7" format="66"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AF2614E-AFA2-F544-A8EA-6729B62513E0}" name="PivotTable5" cacheId="129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83:G89"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dataFields>
  <chartFormats count="7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10" format="120" series="1">
      <pivotArea type="data" outline="0" fieldPosition="0">
        <references count="2">
          <reference field="4294967294" count="1" selected="0">
            <x v="0"/>
          </reference>
          <reference field="3" count="1" selected="0">
            <x v="0"/>
          </reference>
        </references>
      </pivotArea>
    </chartFormat>
    <chartFormat chart="10" format="121">
      <pivotArea type="data" outline="0" fieldPosition="0">
        <references count="3">
          <reference field="4294967294" count="1" selected="0">
            <x v="0"/>
          </reference>
          <reference field="1" count="1" selected="0">
            <x v="0"/>
          </reference>
          <reference field="3" count="1" selected="0">
            <x v="0"/>
          </reference>
        </references>
      </pivotArea>
    </chartFormat>
    <chartFormat chart="10" format="122">
      <pivotArea type="data" outline="0" fieldPosition="0">
        <references count="3">
          <reference field="4294967294" count="1" selected="0">
            <x v="0"/>
          </reference>
          <reference field="1" count="1" selected="0">
            <x v="1"/>
          </reference>
          <reference field="3" count="1" selected="0">
            <x v="0"/>
          </reference>
        </references>
      </pivotArea>
    </chartFormat>
    <chartFormat chart="10" format="123">
      <pivotArea type="data" outline="0" fieldPosition="0">
        <references count="3">
          <reference field="4294967294" count="1" selected="0">
            <x v="0"/>
          </reference>
          <reference field="1" count="1" selected="0">
            <x v="2"/>
          </reference>
          <reference field="3" count="1" selected="0">
            <x v="0"/>
          </reference>
        </references>
      </pivotArea>
    </chartFormat>
    <chartFormat chart="10" format="124">
      <pivotArea type="data" outline="0" fieldPosition="0">
        <references count="3">
          <reference field="4294967294" count="1" selected="0">
            <x v="0"/>
          </reference>
          <reference field="1" count="1" selected="0">
            <x v="3"/>
          </reference>
          <reference field="3" count="1" selected="0">
            <x v="0"/>
          </reference>
        </references>
      </pivotArea>
    </chartFormat>
    <chartFormat chart="10" format="125" series="1">
      <pivotArea type="data" outline="0" fieldPosition="0">
        <references count="2">
          <reference field="4294967294" count="1" selected="0">
            <x v="0"/>
          </reference>
          <reference field="3" count="1" selected="0">
            <x v="1"/>
          </reference>
        </references>
      </pivotArea>
    </chartFormat>
    <chartFormat chart="10" format="126">
      <pivotArea type="data" outline="0" fieldPosition="0">
        <references count="3">
          <reference field="4294967294" count="1" selected="0">
            <x v="0"/>
          </reference>
          <reference field="1" count="1" selected="0">
            <x v="0"/>
          </reference>
          <reference field="3" count="1" selected="0">
            <x v="1"/>
          </reference>
        </references>
      </pivotArea>
    </chartFormat>
    <chartFormat chart="10" format="127">
      <pivotArea type="data" outline="0" fieldPosition="0">
        <references count="3">
          <reference field="4294967294" count="1" selected="0">
            <x v="0"/>
          </reference>
          <reference field="1" count="1" selected="0">
            <x v="1"/>
          </reference>
          <reference field="3" count="1" selected="0">
            <x v="1"/>
          </reference>
        </references>
      </pivotArea>
    </chartFormat>
    <chartFormat chart="10" format="128">
      <pivotArea type="data" outline="0" fieldPosition="0">
        <references count="3">
          <reference field="4294967294" count="1" selected="0">
            <x v="0"/>
          </reference>
          <reference field="1" count="1" selected="0">
            <x v="2"/>
          </reference>
          <reference field="3" count="1" selected="0">
            <x v="1"/>
          </reference>
        </references>
      </pivotArea>
    </chartFormat>
    <chartFormat chart="10" format="129">
      <pivotArea type="data" outline="0" fieldPosition="0">
        <references count="3">
          <reference field="4294967294" count="1" selected="0">
            <x v="0"/>
          </reference>
          <reference field="1" count="1" selected="0">
            <x v="3"/>
          </reference>
          <reference field="3" count="1" selected="0">
            <x v="1"/>
          </reference>
        </references>
      </pivotArea>
    </chartFormat>
    <chartFormat chart="10" format="130" series="1">
      <pivotArea type="data" outline="0" fieldPosition="0">
        <references count="2">
          <reference field="4294967294" count="1" selected="0">
            <x v="0"/>
          </reference>
          <reference field="3" count="1" selected="0">
            <x v="2"/>
          </reference>
        </references>
      </pivotArea>
    </chartFormat>
    <chartFormat chart="10" format="131">
      <pivotArea type="data" outline="0" fieldPosition="0">
        <references count="3">
          <reference field="4294967294" count="1" selected="0">
            <x v="0"/>
          </reference>
          <reference field="1" count="1" selected="0">
            <x v="0"/>
          </reference>
          <reference field="3" count="1" selected="0">
            <x v="2"/>
          </reference>
        </references>
      </pivotArea>
    </chartFormat>
    <chartFormat chart="10" format="132">
      <pivotArea type="data" outline="0" fieldPosition="0">
        <references count="3">
          <reference field="4294967294" count="1" selected="0">
            <x v="0"/>
          </reference>
          <reference field="1" count="1" selected="0">
            <x v="1"/>
          </reference>
          <reference field="3" count="1" selected="0">
            <x v="2"/>
          </reference>
        </references>
      </pivotArea>
    </chartFormat>
    <chartFormat chart="10" format="133">
      <pivotArea type="data" outline="0" fieldPosition="0">
        <references count="3">
          <reference field="4294967294" count="1" selected="0">
            <x v="0"/>
          </reference>
          <reference field="1" count="1" selected="0">
            <x v="2"/>
          </reference>
          <reference field="3" count="1" selected="0">
            <x v="2"/>
          </reference>
        </references>
      </pivotArea>
    </chartFormat>
    <chartFormat chart="10" format="134">
      <pivotArea type="data" outline="0" fieldPosition="0">
        <references count="3">
          <reference field="4294967294" count="1" selected="0">
            <x v="0"/>
          </reference>
          <reference field="1" count="1" selected="0">
            <x v="3"/>
          </reference>
          <reference field="3" count="1" selected="0">
            <x v="2"/>
          </reference>
        </references>
      </pivotArea>
    </chartFormat>
    <chartFormat chart="10" format="135" series="1">
      <pivotArea type="data" outline="0" fieldPosition="0">
        <references count="2">
          <reference field="4294967294" count="1" selected="0">
            <x v="0"/>
          </reference>
          <reference field="3" count="1" selected="0">
            <x v="3"/>
          </reference>
        </references>
      </pivotArea>
    </chartFormat>
    <chartFormat chart="10" format="136">
      <pivotArea type="data" outline="0" fieldPosition="0">
        <references count="3">
          <reference field="4294967294" count="1" selected="0">
            <x v="0"/>
          </reference>
          <reference field="1" count="1" selected="0">
            <x v="0"/>
          </reference>
          <reference field="3" count="1" selected="0">
            <x v="3"/>
          </reference>
        </references>
      </pivotArea>
    </chartFormat>
    <chartFormat chart="10" format="137">
      <pivotArea type="data" outline="0" fieldPosition="0">
        <references count="3">
          <reference field="4294967294" count="1" selected="0">
            <x v="0"/>
          </reference>
          <reference field="1" count="1" selected="0">
            <x v="1"/>
          </reference>
          <reference field="3" count="1" selected="0">
            <x v="3"/>
          </reference>
        </references>
      </pivotArea>
    </chartFormat>
    <chartFormat chart="10" format="138">
      <pivotArea type="data" outline="0" fieldPosition="0">
        <references count="3">
          <reference field="4294967294" count="1" selected="0">
            <x v="0"/>
          </reference>
          <reference field="1" count="1" selected="0">
            <x v="2"/>
          </reference>
          <reference field="3" count="1" selected="0">
            <x v="3"/>
          </reference>
        </references>
      </pivotArea>
    </chartFormat>
    <chartFormat chart="10" format="139">
      <pivotArea type="data" outline="0" fieldPosition="0">
        <references count="3">
          <reference field="4294967294" count="1" selected="0">
            <x v="0"/>
          </reference>
          <reference field="1" count="1" selected="0">
            <x v="3"/>
          </reference>
          <reference field="3" count="1" selected="0">
            <x v="3"/>
          </reference>
        </references>
      </pivotArea>
    </chartFormat>
    <chartFormat chart="12" format="120" series="1">
      <pivotArea type="data" outline="0" fieldPosition="0">
        <references count="2">
          <reference field="4294967294" count="1" selected="0">
            <x v="0"/>
          </reference>
          <reference field="3" count="1" selected="0">
            <x v="0"/>
          </reference>
        </references>
      </pivotArea>
    </chartFormat>
    <chartFormat chart="12" format="121">
      <pivotArea type="data" outline="0" fieldPosition="0">
        <references count="3">
          <reference field="4294967294" count="1" selected="0">
            <x v="0"/>
          </reference>
          <reference field="1" count="1" selected="0">
            <x v="0"/>
          </reference>
          <reference field="3" count="1" selected="0">
            <x v="0"/>
          </reference>
        </references>
      </pivotArea>
    </chartFormat>
    <chartFormat chart="12" format="122">
      <pivotArea type="data" outline="0" fieldPosition="0">
        <references count="3">
          <reference field="4294967294" count="1" selected="0">
            <x v="0"/>
          </reference>
          <reference field="1" count="1" selected="0">
            <x v="1"/>
          </reference>
          <reference field="3" count="1" selected="0">
            <x v="0"/>
          </reference>
        </references>
      </pivotArea>
    </chartFormat>
    <chartFormat chart="12" format="123">
      <pivotArea type="data" outline="0" fieldPosition="0">
        <references count="3">
          <reference field="4294967294" count="1" selected="0">
            <x v="0"/>
          </reference>
          <reference field="1" count="1" selected="0">
            <x v="2"/>
          </reference>
          <reference field="3" count="1" selected="0">
            <x v="0"/>
          </reference>
        </references>
      </pivotArea>
    </chartFormat>
    <chartFormat chart="12" format="124">
      <pivotArea type="data" outline="0" fieldPosition="0">
        <references count="3">
          <reference field="4294967294" count="1" selected="0">
            <x v="0"/>
          </reference>
          <reference field="1" count="1" selected="0">
            <x v="3"/>
          </reference>
          <reference field="3" count="1" selected="0">
            <x v="0"/>
          </reference>
        </references>
      </pivotArea>
    </chartFormat>
    <chartFormat chart="12" format="125" series="1">
      <pivotArea type="data" outline="0" fieldPosition="0">
        <references count="2">
          <reference field="4294967294" count="1" selected="0">
            <x v="0"/>
          </reference>
          <reference field="3" count="1" selected="0">
            <x v="1"/>
          </reference>
        </references>
      </pivotArea>
    </chartFormat>
    <chartFormat chart="12" format="126">
      <pivotArea type="data" outline="0" fieldPosition="0">
        <references count="3">
          <reference field="4294967294" count="1" selected="0">
            <x v="0"/>
          </reference>
          <reference field="1" count="1" selected="0">
            <x v="0"/>
          </reference>
          <reference field="3" count="1" selected="0">
            <x v="1"/>
          </reference>
        </references>
      </pivotArea>
    </chartFormat>
    <chartFormat chart="12" format="127">
      <pivotArea type="data" outline="0" fieldPosition="0">
        <references count="3">
          <reference field="4294967294" count="1" selected="0">
            <x v="0"/>
          </reference>
          <reference field="1" count="1" selected="0">
            <x v="1"/>
          </reference>
          <reference field="3" count="1" selected="0">
            <x v="1"/>
          </reference>
        </references>
      </pivotArea>
    </chartFormat>
    <chartFormat chart="12" format="128">
      <pivotArea type="data" outline="0" fieldPosition="0">
        <references count="3">
          <reference field="4294967294" count="1" selected="0">
            <x v="0"/>
          </reference>
          <reference field="1" count="1" selected="0">
            <x v="2"/>
          </reference>
          <reference field="3" count="1" selected="0">
            <x v="1"/>
          </reference>
        </references>
      </pivotArea>
    </chartFormat>
    <chartFormat chart="12" format="129">
      <pivotArea type="data" outline="0" fieldPosition="0">
        <references count="3">
          <reference field="4294967294" count="1" selected="0">
            <x v="0"/>
          </reference>
          <reference field="1" count="1" selected="0">
            <x v="3"/>
          </reference>
          <reference field="3" count="1" selected="0">
            <x v="1"/>
          </reference>
        </references>
      </pivotArea>
    </chartFormat>
    <chartFormat chart="12" format="130" series="1">
      <pivotArea type="data" outline="0" fieldPosition="0">
        <references count="2">
          <reference field="4294967294" count="1" selected="0">
            <x v="0"/>
          </reference>
          <reference field="3" count="1" selected="0">
            <x v="2"/>
          </reference>
        </references>
      </pivotArea>
    </chartFormat>
    <chartFormat chart="12" format="131">
      <pivotArea type="data" outline="0" fieldPosition="0">
        <references count="3">
          <reference field="4294967294" count="1" selected="0">
            <x v="0"/>
          </reference>
          <reference field="1" count="1" selected="0">
            <x v="0"/>
          </reference>
          <reference field="3" count="1" selected="0">
            <x v="2"/>
          </reference>
        </references>
      </pivotArea>
    </chartFormat>
    <chartFormat chart="12" format="132">
      <pivotArea type="data" outline="0" fieldPosition="0">
        <references count="3">
          <reference field="4294967294" count="1" selected="0">
            <x v="0"/>
          </reference>
          <reference field="1" count="1" selected="0">
            <x v="1"/>
          </reference>
          <reference field="3" count="1" selected="0">
            <x v="2"/>
          </reference>
        </references>
      </pivotArea>
    </chartFormat>
    <chartFormat chart="12" format="133">
      <pivotArea type="data" outline="0" fieldPosition="0">
        <references count="3">
          <reference field="4294967294" count="1" selected="0">
            <x v="0"/>
          </reference>
          <reference field="1" count="1" selected="0">
            <x v="2"/>
          </reference>
          <reference field="3" count="1" selected="0">
            <x v="2"/>
          </reference>
        </references>
      </pivotArea>
    </chartFormat>
    <chartFormat chart="12" format="134">
      <pivotArea type="data" outline="0" fieldPosition="0">
        <references count="3">
          <reference field="4294967294" count="1" selected="0">
            <x v="0"/>
          </reference>
          <reference field="1" count="1" selected="0">
            <x v="3"/>
          </reference>
          <reference field="3" count="1" selected="0">
            <x v="2"/>
          </reference>
        </references>
      </pivotArea>
    </chartFormat>
    <chartFormat chart="12" format="135" series="1">
      <pivotArea type="data" outline="0" fieldPosition="0">
        <references count="2">
          <reference field="4294967294" count="1" selected="0">
            <x v="0"/>
          </reference>
          <reference field="3" count="1" selected="0">
            <x v="3"/>
          </reference>
        </references>
      </pivotArea>
    </chartFormat>
    <chartFormat chart="12" format="136">
      <pivotArea type="data" outline="0" fieldPosition="0">
        <references count="3">
          <reference field="4294967294" count="1" selected="0">
            <x v="0"/>
          </reference>
          <reference field="1" count="1" selected="0">
            <x v="0"/>
          </reference>
          <reference field="3" count="1" selected="0">
            <x v="3"/>
          </reference>
        </references>
      </pivotArea>
    </chartFormat>
    <chartFormat chart="12" format="137">
      <pivotArea type="data" outline="0" fieldPosition="0">
        <references count="3">
          <reference field="4294967294" count="1" selected="0">
            <x v="0"/>
          </reference>
          <reference field="1" count="1" selected="0">
            <x v="1"/>
          </reference>
          <reference field="3" count="1" selected="0">
            <x v="3"/>
          </reference>
        </references>
      </pivotArea>
    </chartFormat>
    <chartFormat chart="12" format="138">
      <pivotArea type="data" outline="0" fieldPosition="0">
        <references count="3">
          <reference field="4294967294" count="1" selected="0">
            <x v="0"/>
          </reference>
          <reference field="1" count="1" selected="0">
            <x v="2"/>
          </reference>
          <reference field="3" count="1" selected="0">
            <x v="3"/>
          </reference>
        </references>
      </pivotArea>
    </chartFormat>
    <chartFormat chart="12" format="13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00F70DB-1E3D-FD4D-9B84-745C2098EC9B}" name="PivotTable7" cacheId="128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colHeaderCaption="Quarter">
  <location ref="A108:E119" firstHeaderRow="1" firstDataRow="2" firstDataCol="1" rowPageCount="1" colPageCount="1"/>
  <pivotFields count="7">
    <pivotField showAll="0"/>
    <pivotField axis="axisRow" showAll="0">
      <items count="5">
        <item x="2"/>
        <item x="0"/>
        <item x="1"/>
        <item x="3"/>
        <item t="default"/>
      </items>
    </pivotField>
    <pivotField axis="axisPage" showAll="0">
      <items count="7">
        <item x="0"/>
        <item x="2"/>
        <item x="1"/>
        <item x="4"/>
        <item x="3"/>
        <item x="5"/>
        <item t="default"/>
      </items>
    </pivotField>
    <pivotField axis="axisCol" showAll="0">
      <items count="5">
        <item h="1" x="3"/>
        <item x="0"/>
        <item x="1"/>
        <item x="2"/>
        <item t="default"/>
      </items>
    </pivotField>
    <pivotField axis="axisRow" showAll="0">
      <items count="5">
        <item x="2"/>
        <item x="1"/>
        <item x="0"/>
        <item x="3"/>
        <item t="default"/>
      </items>
    </pivotField>
    <pivotField dataField="1" showAll="0"/>
    <pivotField showAll="0"/>
  </pivotFields>
  <rowFields count="2">
    <field x="1"/>
    <field x="4"/>
  </rowFields>
  <rowItems count="10">
    <i>
      <x/>
    </i>
    <i r="1">
      <x v="2"/>
    </i>
    <i>
      <x v="1"/>
    </i>
    <i r="1">
      <x v="1"/>
    </i>
    <i r="1">
      <x v="2"/>
    </i>
    <i>
      <x v="2"/>
    </i>
    <i r="1">
      <x v="1"/>
    </i>
    <i>
      <x v="3"/>
    </i>
    <i r="1">
      <x/>
    </i>
    <i t="grand">
      <x/>
    </i>
  </rowItems>
  <colFields count="1">
    <field x="3"/>
  </colFields>
  <colItems count="4">
    <i>
      <x v="1"/>
    </i>
    <i>
      <x v="2"/>
    </i>
    <i>
      <x v="3"/>
    </i>
    <i t="grand">
      <x/>
    </i>
  </colItems>
  <pageFields count="1">
    <pageField fld="2" hier="-1"/>
  </pageFields>
  <dataFields count="1">
    <dataField name="Water Intake -Sum of Volume (m3)" fld="5" baseField="0" baseItem="0" numFmtId="4"/>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0" format="5">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0" format="6">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0" format="8">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0" format="9">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0" format="11">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0" format="13">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 chart="8" format="36" series="1">
      <pivotArea type="data" outline="0" fieldPosition="0">
        <references count="2">
          <reference field="4294967294" count="1" selected="0">
            <x v="0"/>
          </reference>
          <reference field="3" count="1" selected="0">
            <x v="1"/>
          </reference>
        </references>
      </pivotArea>
    </chartFormat>
    <chartFormat chart="8" format="37">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8" format="38">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8" format="39">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8" format="40">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8" format="41">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8" format="42" series="1">
      <pivotArea type="data" outline="0" fieldPosition="0">
        <references count="2">
          <reference field="4294967294" count="1" selected="0">
            <x v="0"/>
          </reference>
          <reference field="3" count="1" selected="0">
            <x v="2"/>
          </reference>
        </references>
      </pivotArea>
    </chartFormat>
    <chartFormat chart="8" format="43">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8" format="44">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8" format="45">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8" format="46">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8" format="47">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8" format="48" series="1">
      <pivotArea type="data" outline="0" fieldPosition="0">
        <references count="2">
          <reference field="4294967294" count="1" selected="0">
            <x v="0"/>
          </reference>
          <reference field="3" count="1" selected="0">
            <x v="3"/>
          </reference>
        </references>
      </pivotArea>
    </chartFormat>
    <chartFormat chart="8" format="49">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8" format="50">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8" format="51">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8" format="52">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8" format="53">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FF31BD9-0E6A-A341-A48D-8930E113E8FE}" name="PivotTable2" cacheId="129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29:G40" firstHeaderRow="1" firstDataRow="2" firstDataCol="1" rowPageCount="1" colPageCount="1"/>
  <pivotFields count="10">
    <pivotField showAll="0"/>
    <pivotField axis="axisRow" showAll="0">
      <items count="12">
        <item m="1" x="10"/>
        <item m="1" x="9"/>
        <item x="3"/>
        <item m="1" x="4"/>
        <item m="1" x="8"/>
        <item m="1" x="5"/>
        <item m="1" x="6"/>
        <item m="1" x="7"/>
        <item x="2"/>
        <item x="0"/>
        <item x="1"/>
        <item t="default"/>
      </items>
    </pivotField>
    <pivotField axis="axisRow" showAll="0">
      <items count="5">
        <item x="0"/>
        <item m="1" x="2"/>
        <item x="1"/>
        <item m="1" x="3"/>
        <item t="default"/>
      </items>
    </pivotField>
    <pivotField axis="axisPage" showAll="0">
      <items count="14">
        <item x="0"/>
        <item x="1"/>
        <item x="9"/>
        <item x="12"/>
        <item x="4"/>
        <item x="8"/>
        <item x="2"/>
        <item x="3"/>
        <item x="5"/>
        <item x="6"/>
        <item x="7"/>
        <item x="10"/>
        <item x="11"/>
        <item t="default"/>
      </items>
    </pivotField>
    <pivotField axis="axisCol" showAll="0">
      <items count="7">
        <item x="4"/>
        <item x="0"/>
        <item x="3"/>
        <item x="1"/>
        <item x="2"/>
        <item m="1" x="5"/>
        <item t="default"/>
      </items>
    </pivotField>
    <pivotField dataField="1" showAll="0"/>
    <pivotField showAll="0"/>
    <pivotField showAll="0"/>
    <pivotField showAll="0"/>
    <pivotField showAll="0"/>
  </pivotFields>
  <rowFields count="2">
    <field x="1"/>
    <field x="2"/>
  </rowFields>
  <rowItems count="10">
    <i>
      <x v="2"/>
    </i>
    <i r="1">
      <x/>
    </i>
    <i r="1">
      <x v="2"/>
    </i>
    <i>
      <x v="8"/>
    </i>
    <i r="1">
      <x/>
    </i>
    <i>
      <x v="9"/>
    </i>
    <i r="1">
      <x/>
    </i>
    <i>
      <x v="10"/>
    </i>
    <i r="1">
      <x/>
    </i>
    <i t="grand">
      <x/>
    </i>
  </rowItems>
  <colFields count="1">
    <field x="4"/>
  </colFields>
  <colItems count="6">
    <i>
      <x/>
    </i>
    <i>
      <x v="1"/>
    </i>
    <i>
      <x v="2"/>
    </i>
    <i>
      <x v="3"/>
    </i>
    <i>
      <x v="4"/>
    </i>
    <i t="grand">
      <x/>
    </i>
  </colItems>
  <pageFields count="1">
    <pageField fld="3" hier="-1"/>
  </pageFields>
  <dataFields count="1">
    <dataField name="Sum of Consumption" fld="5" baseField="0" baseItem="0" numFmtId="168"/>
  </dataFields>
  <chartFormats count="67">
    <chartFormat chart="0" format="23" series="1">
      <pivotArea type="data" outline="0" fieldPosition="0">
        <references count="2">
          <reference field="4294967294" count="1" selected="0">
            <x v="0"/>
          </reference>
          <reference field="4" count="1" selected="0">
            <x v="0"/>
          </reference>
        </references>
      </pivotArea>
    </chartFormat>
    <chartFormat chart="0" format="24">
      <pivotArea type="data" outline="0" fieldPosition="0">
        <references count="4">
          <reference field="4294967294" count="1" selected="0">
            <x v="0"/>
          </reference>
          <reference field="1" count="1" selected="0">
            <x v="2"/>
          </reference>
          <reference field="2" count="1" selected="0">
            <x v="2"/>
          </reference>
          <reference field="4" count="1" selected="0">
            <x v="0"/>
          </reference>
        </references>
      </pivotArea>
    </chartFormat>
    <chartFormat chart="0" format="25">
      <pivotArea type="data" outline="0" fieldPosition="0">
        <references count="4">
          <reference field="4294967294" count="1" selected="0">
            <x v="0"/>
          </reference>
          <reference field="1" count="1" selected="0">
            <x v="3"/>
          </reference>
          <reference field="2" count="1" selected="0">
            <x v="0"/>
          </reference>
          <reference field="4" count="1" selected="0">
            <x v="0"/>
          </reference>
        </references>
      </pivotArea>
    </chartFormat>
    <chartFormat chart="0" format="26">
      <pivotArea type="data" outline="0" fieldPosition="0">
        <references count="4">
          <reference field="4294967294" count="1" selected="0">
            <x v="0"/>
          </reference>
          <reference field="1" count="1" selected="0">
            <x v="3"/>
          </reference>
          <reference field="2" count="1" selected="0">
            <x v="1"/>
          </reference>
          <reference field="4" count="1" selected="0">
            <x v="0"/>
          </reference>
        </references>
      </pivotArea>
    </chartFormat>
    <chartFormat chart="0" format="27">
      <pivotArea type="data" outline="0" fieldPosition="0">
        <references count="4">
          <reference field="4294967294" count="1" selected="0">
            <x v="0"/>
          </reference>
          <reference field="1" count="1" selected="0">
            <x v="5"/>
          </reference>
          <reference field="2" count="1" selected="0">
            <x v="0"/>
          </reference>
          <reference field="4" count="1" selected="0">
            <x v="0"/>
          </reference>
        </references>
      </pivotArea>
    </chartFormat>
    <chartFormat chart="0" format="28" series="1">
      <pivotArea type="data" outline="0" fieldPosition="0">
        <references count="2">
          <reference field="4294967294" count="1" selected="0">
            <x v="0"/>
          </reference>
          <reference field="4" count="1" selected="0">
            <x v="1"/>
          </reference>
        </references>
      </pivotArea>
    </chartFormat>
    <chartFormat chart="0" format="29">
      <pivotArea type="data" outline="0" fieldPosition="0">
        <references count="4">
          <reference field="4294967294" count="1" selected="0">
            <x v="0"/>
          </reference>
          <reference field="1" count="1" selected="0">
            <x v="2"/>
          </reference>
          <reference field="2" count="1" selected="0">
            <x v="2"/>
          </reference>
          <reference field="4" count="1" selected="0">
            <x v="1"/>
          </reference>
        </references>
      </pivotArea>
    </chartFormat>
    <chartFormat chart="0" format="30">
      <pivotArea type="data" outline="0" fieldPosition="0">
        <references count="4">
          <reference field="4294967294" count="1" selected="0">
            <x v="0"/>
          </reference>
          <reference field="1" count="1" selected="0">
            <x v="3"/>
          </reference>
          <reference field="2" count="1" selected="0">
            <x v="0"/>
          </reference>
          <reference field="4" count="1" selected="0">
            <x v="1"/>
          </reference>
        </references>
      </pivotArea>
    </chartFormat>
    <chartFormat chart="0" format="3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0" format="32">
      <pivotArea type="data" outline="0" fieldPosition="0">
        <references count="4">
          <reference field="4294967294" count="1" selected="0">
            <x v="0"/>
          </reference>
          <reference field="1" count="1" selected="0">
            <x v="5"/>
          </reference>
          <reference field="2" count="1" selected="0">
            <x v="0"/>
          </reference>
          <reference field="4" count="1" selected="0">
            <x v="1"/>
          </reference>
        </references>
      </pivotArea>
    </chartFormat>
    <chartFormat chart="0" format="33" series="1">
      <pivotArea type="data" outline="0" fieldPosition="0">
        <references count="2">
          <reference field="4294967294" count="1" selected="0">
            <x v="0"/>
          </reference>
          <reference field="4" count="1" selected="0">
            <x v="2"/>
          </reference>
        </references>
      </pivotArea>
    </chartFormat>
    <chartFormat chart="0" format="34">
      <pivotArea type="data" outline="0" fieldPosition="0">
        <references count="4">
          <reference field="4294967294" count="1" selected="0">
            <x v="0"/>
          </reference>
          <reference field="1" count="1" selected="0">
            <x v="2"/>
          </reference>
          <reference field="2" count="1" selected="0">
            <x v="2"/>
          </reference>
          <reference field="4" count="1" selected="0">
            <x v="2"/>
          </reference>
        </references>
      </pivotArea>
    </chartFormat>
    <chartFormat chart="0" format="35">
      <pivotArea type="data" outline="0" fieldPosition="0">
        <references count="4">
          <reference field="4294967294" count="1" selected="0">
            <x v="0"/>
          </reference>
          <reference field="1" count="1" selected="0">
            <x v="3"/>
          </reference>
          <reference field="2" count="1" selected="0">
            <x v="0"/>
          </reference>
          <reference field="4" count="1" selected="0">
            <x v="2"/>
          </reference>
        </references>
      </pivotArea>
    </chartFormat>
    <chartFormat chart="0" format="36">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0" format="37">
      <pivotArea type="data" outline="0" fieldPosition="0">
        <references count="4">
          <reference field="4294967294" count="1" selected="0">
            <x v="0"/>
          </reference>
          <reference field="1" count="1" selected="0">
            <x v="5"/>
          </reference>
          <reference field="2" count="1" selected="0">
            <x v="0"/>
          </reference>
          <reference field="4" count="1" selected="0">
            <x v="2"/>
          </reference>
        </references>
      </pivotArea>
    </chartFormat>
    <chartFormat chart="0" format="38" series="1">
      <pivotArea type="data" outline="0" fieldPosition="0">
        <references count="2">
          <reference field="4294967294" count="1" selected="0">
            <x v="0"/>
          </reference>
          <reference field="4" count="1" selected="0">
            <x v="3"/>
          </reference>
        </references>
      </pivotArea>
    </chartFormat>
    <chartFormat chart="0" format="39">
      <pivotArea type="data" outline="0" fieldPosition="0">
        <references count="4">
          <reference field="4294967294" count="1" selected="0">
            <x v="0"/>
          </reference>
          <reference field="1" count="1" selected="0">
            <x v="2"/>
          </reference>
          <reference field="2" count="1" selected="0">
            <x v="2"/>
          </reference>
          <reference field="4" count="1" selected="0">
            <x v="3"/>
          </reference>
        </references>
      </pivotArea>
    </chartFormat>
    <chartFormat chart="0" format="40">
      <pivotArea type="data" outline="0" fieldPosition="0">
        <references count="4">
          <reference field="4294967294" count="1" selected="0">
            <x v="0"/>
          </reference>
          <reference field="1" count="1" selected="0">
            <x v="3"/>
          </reference>
          <reference field="2" count="1" selected="0">
            <x v="0"/>
          </reference>
          <reference field="4" count="1" selected="0">
            <x v="3"/>
          </reference>
        </references>
      </pivotArea>
    </chartFormat>
    <chartFormat chart="0" format="41">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0" format="42">
      <pivotArea type="data" outline="0" fieldPosition="0">
        <references count="4">
          <reference field="4294967294" count="1" selected="0">
            <x v="0"/>
          </reference>
          <reference field="1" count="1" selected="0">
            <x v="5"/>
          </reference>
          <reference field="2" count="1" selected="0">
            <x v="0"/>
          </reference>
          <reference field="4" count="1" selected="0">
            <x v="3"/>
          </reference>
        </references>
      </pivotArea>
    </chartFormat>
    <chartFormat chart="0" format="43" series="1">
      <pivotArea type="data" outline="0" fieldPosition="0">
        <references count="2">
          <reference field="4294967294" count="1" selected="0">
            <x v="0"/>
          </reference>
          <reference field="4" count="1" selected="0">
            <x v="4"/>
          </reference>
        </references>
      </pivotArea>
    </chartFormat>
    <chartFormat chart="0" format="44">
      <pivotArea type="data" outline="0" fieldPosition="0">
        <references count="4">
          <reference field="4294967294" count="1" selected="0">
            <x v="0"/>
          </reference>
          <reference field="1" count="1" selected="0">
            <x v="2"/>
          </reference>
          <reference field="2" count="1" selected="0">
            <x v="2"/>
          </reference>
          <reference field="4" count="1" selected="0">
            <x v="4"/>
          </reference>
        </references>
      </pivotArea>
    </chartFormat>
    <chartFormat chart="0" format="45">
      <pivotArea type="data" outline="0" fieldPosition="0">
        <references count="4">
          <reference field="4294967294" count="1" selected="0">
            <x v="0"/>
          </reference>
          <reference field="1" count="1" selected="0">
            <x v="3"/>
          </reference>
          <reference field="2" count="1" selected="0">
            <x v="0"/>
          </reference>
          <reference field="4" count="1" selected="0">
            <x v="4"/>
          </reference>
        </references>
      </pivotArea>
    </chartFormat>
    <chartFormat chart="0" format="46">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0" format="47">
      <pivotArea type="data" outline="0" fieldPosition="0">
        <references count="4">
          <reference field="4294967294" count="1" selected="0">
            <x v="0"/>
          </reference>
          <reference field="1" count="1" selected="0">
            <x v="5"/>
          </reference>
          <reference field="2" count="1" selected="0">
            <x v="0"/>
          </reference>
          <reference field="4" count="1" selected="0">
            <x v="4"/>
          </reference>
        </references>
      </pivotArea>
    </chartFormat>
    <chartFormat chart="0" format="48">
      <pivotArea type="data" outline="0" fieldPosition="0">
        <references count="4">
          <reference field="4294967294" count="1" selected="0">
            <x v="0"/>
          </reference>
          <reference field="1" count="1" selected="0">
            <x v="6"/>
          </reference>
          <reference field="2" count="1" selected="0">
            <x v="0"/>
          </reference>
          <reference field="4" count="1" selected="0">
            <x v="4"/>
          </reference>
        </references>
      </pivotArea>
    </chartFormat>
    <chartFormat chart="0" format="49">
      <pivotArea type="data" outline="0" fieldPosition="0">
        <references count="4">
          <reference field="4294967294" count="1" selected="0">
            <x v="0"/>
          </reference>
          <reference field="1" count="1" selected="0">
            <x v="7"/>
          </reference>
          <reference field="2" count="1" selected="0">
            <x v="0"/>
          </reference>
          <reference field="4" count="1" selected="0">
            <x v="4"/>
          </reference>
        </references>
      </pivotArea>
    </chartFormat>
    <chartFormat chart="0" format="50">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0" format="51">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0" format="52">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0" format="53">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0" format="54">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0" format="55">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0" format="56">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0" format="57">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0" format="58">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0" format="59">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0" format="60">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0" format="61">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0" format="62">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0" format="63">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0" format="64">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0" format="65">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 chart="13" format="90" series="1">
      <pivotArea type="data" outline="0" fieldPosition="0">
        <references count="2">
          <reference field="4294967294" count="1" selected="0">
            <x v="0"/>
          </reference>
          <reference field="4" count="1" selected="0">
            <x v="1"/>
          </reference>
        </references>
      </pivotArea>
    </chartFormat>
    <chartFormat chart="13" format="9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13" format="92">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13" format="93">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13" format="94">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13" format="95">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13" format="96" series="1">
      <pivotArea type="data" outline="0" fieldPosition="0">
        <references count="2">
          <reference field="4294967294" count="1" selected="0">
            <x v="0"/>
          </reference>
          <reference field="4" count="1" selected="0">
            <x v="2"/>
          </reference>
        </references>
      </pivotArea>
    </chartFormat>
    <chartFormat chart="13" format="97">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13" format="98">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13" format="99">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13" format="100">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13" format="101">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13" format="102" series="1">
      <pivotArea type="data" outline="0" fieldPosition="0">
        <references count="2">
          <reference field="4294967294" count="1" selected="0">
            <x v="0"/>
          </reference>
          <reference field="4" count="1" selected="0">
            <x v="3"/>
          </reference>
        </references>
      </pivotArea>
    </chartFormat>
    <chartFormat chart="13" format="103">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13" format="104">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13" format="105">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13" format="106">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13" format="107">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13" format="108" series="1">
      <pivotArea type="data" outline="0" fieldPosition="0">
        <references count="2">
          <reference field="4294967294" count="1" selected="0">
            <x v="0"/>
          </reference>
          <reference field="4" count="1" selected="0">
            <x v="4"/>
          </reference>
        </references>
      </pivotArea>
    </chartFormat>
    <chartFormat chart="13" format="109">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13" format="110">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13" format="111">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13" format="112">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13" format="113">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ACC93CF-E14A-9D4A-AA1A-5F538683A75B}" name="PivotTable1" cacheId="128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colHeaderCaption="Quarter">
  <location ref="A6:D10" firstHeaderRow="1" firstDataRow="2" firstDataCol="1" rowPageCount="1" colPageCount="1"/>
  <pivotFields count="8">
    <pivotField showAll="0"/>
    <pivotField showAll="0"/>
    <pivotField axis="axisRow" showAll="0">
      <items count="5">
        <item x="1"/>
        <item x="0"/>
        <item x="2"/>
        <item m="1" x="3"/>
        <item t="default"/>
      </items>
    </pivotField>
    <pivotField axis="axisPage" multipleItemSelectionAllowed="1" showAll="0">
      <items count="7">
        <item x="0"/>
        <item x="2"/>
        <item m="1" x="3"/>
        <item m="1" x="4"/>
        <item m="1" x="5"/>
        <item x="1"/>
        <item t="default"/>
      </items>
    </pivotField>
    <pivotField axis="axisCol" multipleItemSelectionAllowed="1" showAll="0">
      <items count="7">
        <item m="1" x="3"/>
        <item m="1" x="4"/>
        <item x="1"/>
        <item x="0"/>
        <item h="1" m="1" x="5"/>
        <item h="1" x="2"/>
        <item t="default"/>
      </items>
    </pivotField>
    <pivotField dataField="1" showAll="0"/>
    <pivotField showAll="0"/>
    <pivotField showAll="0"/>
  </pivotFields>
  <rowFields count="1">
    <field x="2"/>
  </rowFields>
  <rowItems count="3">
    <i>
      <x/>
    </i>
    <i>
      <x v="1"/>
    </i>
    <i t="grand">
      <x/>
    </i>
  </rowItems>
  <colFields count="1">
    <field x="4"/>
  </colFields>
  <colItems count="3">
    <i>
      <x v="2"/>
    </i>
    <i>
      <x v="3"/>
    </i>
    <i t="grand">
      <x/>
    </i>
  </colItems>
  <pageFields count="1">
    <pageField fld="3" hier="-1"/>
  </pageFields>
  <dataFields count="1">
    <dataField name="Sum of Consumption" fld="5" baseField="0" baseItem="0" numFmtId="168"/>
  </dataFields>
  <chartFormats count="9">
    <chartFormat chart="3" format="0" series="1">
      <pivotArea type="data" outline="0" fieldPosition="0">
        <references count="1">
          <reference field="4294967294" count="1" selected="0">
            <x v="0"/>
          </reference>
        </references>
      </pivotArea>
    </chartFormat>
    <chartFormat chart="3" format="3" series="1">
      <pivotArea type="data" outline="0" fieldPosition="0">
        <references count="2">
          <reference field="4294967294" count="1" selected="0">
            <x v="0"/>
          </reference>
          <reference field="4" count="1" selected="0">
            <x v="2"/>
          </reference>
        </references>
      </pivotArea>
    </chartFormat>
    <chartFormat chart="3" format="4" series="1">
      <pivotArea type="data" outline="0" fieldPosition="0">
        <references count="2">
          <reference field="4294967294" count="1" selected="0">
            <x v="0"/>
          </reference>
          <reference field="4" count="1" selected="0">
            <x v="3"/>
          </reference>
        </references>
      </pivotArea>
    </chartFormat>
    <chartFormat chart="3" format="5" series="1">
      <pivotArea type="data" outline="0" fieldPosition="0">
        <references count="2">
          <reference field="4294967294" count="1" selected="0">
            <x v="0"/>
          </reference>
          <reference field="4" count="1" selected="0">
            <x v="0"/>
          </reference>
        </references>
      </pivotArea>
    </chartFormat>
    <chartFormat chart="3" format="6" series="1">
      <pivotArea type="data" outline="0" fieldPosition="0">
        <references count="2">
          <reference field="4294967294" count="1" selected="0">
            <x v="0"/>
          </reference>
          <reference field="4" count="1" selected="0">
            <x v="1"/>
          </reference>
        </references>
      </pivotArea>
    </chartFormat>
    <chartFormat chart="21" format="43" series="1">
      <pivotArea type="data" outline="0" fieldPosition="0">
        <references count="2">
          <reference field="4294967294" count="1" selected="0">
            <x v="0"/>
          </reference>
          <reference field="4" count="1" selected="0">
            <x v="0"/>
          </reference>
        </references>
      </pivotArea>
    </chartFormat>
    <chartFormat chart="21" format="48" series="1">
      <pivotArea type="data" outline="0" fieldPosition="0">
        <references count="2">
          <reference field="4294967294" count="1" selected="0">
            <x v="0"/>
          </reference>
          <reference field="4" count="1" selected="0">
            <x v="1"/>
          </reference>
        </references>
      </pivotArea>
    </chartFormat>
    <chartFormat chart="21" format="53" series="1">
      <pivotArea type="data" outline="0" fieldPosition="0">
        <references count="2">
          <reference field="4294967294" count="1" selected="0">
            <x v="0"/>
          </reference>
          <reference field="4" count="1" selected="0">
            <x v="2"/>
          </reference>
        </references>
      </pivotArea>
    </chartFormat>
    <chartFormat chart="21" format="58" series="1">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2" xr10:uid="{BD790B29-3662-6640-AFDF-E19871FB47E8}" sourceName="Fuel Type">
  <pivotTables>
    <pivotTable tabId="51" name="PivotTable1"/>
  </pivotTables>
  <data>
    <tabular pivotCacheId="1090061228">
      <items count="4">
        <i x="0" s="1"/>
        <i x="1" s="1" nd="1"/>
        <i x="3" s="1" nd="1"/>
        <i x="2"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6" xr10:uid="{647AADF6-DBAE-DC46-A766-CFC62190FFB2}" sourceName="Month">
  <pivotTables>
    <pivotTable tabId="51" name="PivotTable1"/>
  </pivotTables>
  <data>
    <tabular pivotCacheId="1090061228">
      <items count="6">
        <i x="0" s="1"/>
        <i x="4" s="1" nd="1"/>
        <i x="3" s="1" nd="1"/>
        <i x="5" s="1" nd="1"/>
        <i x="1" s="1" nd="1"/>
        <i x="2"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hicle_Type1" xr10:uid="{40D9C84F-CB79-644D-9D74-B1B17D751E7D}" sourceName="Vehicle Type">
  <pivotTables>
    <pivotTable tabId="51" name="PivotTable2"/>
  </pivotTables>
  <data>
    <tabular pivotCacheId="234193444">
      <items count="11">
        <i x="2" s="1"/>
        <i x="0" s="1"/>
        <i x="1" s="1"/>
        <i x="3" s="1"/>
        <i x="10" s="1" nd="1"/>
        <i x="5" s="1" nd="1"/>
        <i x="6" s="1" nd="1"/>
        <i x="7" s="1" nd="1"/>
        <i x="4" s="1" nd="1"/>
        <i x="9" s="1" nd="1"/>
        <i x="8"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11" xr10:uid="{FA969FB5-D883-DB42-9089-9E879210F6A7}" sourceName="Fuel Type">
  <pivotTables>
    <pivotTable tabId="51" name="PivotTable2"/>
  </pivotTables>
  <data>
    <tabular pivotCacheId="234193444">
      <items count="4">
        <i x="0" s="1"/>
        <i x="2" s="1" nd="1"/>
        <i x="3" s="1" nd="1"/>
        <i x="1"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1" xr10:uid="{0863920B-9970-6E4D-90EB-53F40B6BB9DD}" sourceName="Month">
  <pivotTables>
    <pivotTable tabId="51" name="PivotTable2"/>
  </pivotTables>
  <data>
    <tabular pivotCacheId="234193444">
      <items count="13">
        <i x="0" s="1"/>
        <i x="1" s="1"/>
        <i x="2" s="1"/>
        <i x="3" s="1"/>
        <i x="4" s="1"/>
        <i x="5" s="1"/>
        <i x="6" s="1"/>
        <i x="7" s="1"/>
        <i x="8" s="1"/>
        <i x="9" s="1"/>
        <i x="10" s="1"/>
        <i x="11" s="1"/>
        <i x="12"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5" xr10:uid="{FC237D1A-059F-C240-823D-E9384A073071}" sourceName="Quarter">
  <pivotTables>
    <pivotTable tabId="51" name="PivotTable2"/>
  </pivotTables>
  <data>
    <tabular pivotCacheId="234193444">
      <items count="6">
        <i x="0" s="1"/>
        <i x="1" s="1"/>
        <i x="2" s="1"/>
        <i x="3" s="1"/>
        <i x="4" s="1" nd="1"/>
        <i x="5"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2" xr10:uid="{CA26BA48-E657-0541-8C8B-C9E5AEFF1909}" sourceName="Source Description">
  <pivotTables>
    <pivotTable tabId="51" name="PivotTable4"/>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2" xr10:uid="{568447D4-04B0-894C-890B-423F19CF05E1}" sourceName="Month">
  <pivotTables>
    <pivotTable tabId="51" name="PivotTable4"/>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2" xr10:uid="{33F50004-6678-1F4E-8476-3BC0D3063074}" sourceName="Quarter">
  <pivotTables>
    <pivotTable tabId="51" name="PivotTable4"/>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tility_Provider1" xr10:uid="{E4665F3C-74A9-D44A-97CE-2CE124E2610C}" sourceName="Utility Provider">
  <pivotTables>
    <pivotTable tabId="51" name="PivotTable4"/>
  </pivotTables>
  <data>
    <tabular pivotCacheId="1367963508">
      <items count="2">
        <i x="0" s="1"/>
        <i x="1"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11" xr10:uid="{822816A3-43CA-3244-BA6D-14D7FE2B78C6}" sourceName="Source Description">
  <pivotTables>
    <pivotTable tabId="51" name="PivotTable5"/>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11" xr10:uid="{EAAEEA21-C4BE-AC45-BC41-05D70F201E8C}" sourceName="Month">
  <pivotTables>
    <pivotTable tabId="51" name="PivotTable5"/>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11" xr10:uid="{B14B8037-77A5-264F-9569-14CB1364D1D0}" sourceName="Quarter">
  <pivotTables>
    <pivotTable tabId="51" name="PivotTable5"/>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31" xr10:uid="{0BEF6A5B-3F52-D34D-A5D2-303008D00A74}" sourceName="Month">
  <pivotTables>
    <pivotTable tabId="51" name="PivotTable7"/>
  </pivotTables>
  <data>
    <tabular pivotCacheId="368970989">
      <items count="6">
        <i x="0" s="1"/>
        <i x="2" s="1"/>
        <i x="1" s="1"/>
        <i x="4" s="1"/>
        <i x="3" s="1"/>
        <i x="5" s="1" nd="1"/>
      </items>
    </tabular>
  </data>
  <extLst>
    <x:ext xmlns:x15="http://schemas.microsoft.com/office/spreadsheetml/2010/11/main" uri="{470722E0-AACD-4C17-9CDC-17EF765DBC7E}">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21" xr10:uid="{D9605262-F1CE-8C4E-B6B0-A989E2BDD8F7}" sourceName="Quarter">
  <pivotTables>
    <pivotTable tabId="51" name="PivotTable7"/>
  </pivotTables>
  <data>
    <tabular pivotCacheId="368970989">
      <items count="4">
        <i x="0" s="1"/>
        <i x="1" s="1"/>
        <i x="2" s="1"/>
        <i x="3" nd="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1" xr10:uid="{9474E41B-40ED-2344-BF5D-4245790EAF1C}" sourceName="Source">
  <pivotTables>
    <pivotTable tabId="51" name="PivotTable7"/>
  </pivotTables>
  <data>
    <tabular pivotCacheId="368970989">
      <items count="4">
        <i x="2" s="1"/>
        <i x="1" s="1"/>
        <i x="0" s="1"/>
        <i x="3" s="1" nd="1"/>
      </items>
    </tabular>
  </data>
  <extLs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2" xr10:uid="{E0430962-9CEC-1944-BEA9-FD02D0D030DD}" sourceName="Facility/Account">
  <pivotTables>
    <pivotTable tabId="51" name="PivotTable7"/>
  </pivotTables>
  <data>
    <tabular pivotCacheId="368970989">
      <items count="4">
        <i x="2" s="1"/>
        <i x="0" s="1"/>
        <i x="1" s="1"/>
        <i x="3" s="1"/>
      </items>
    </tabular>
  </data>
  <extLst>
    <x:ext xmlns:x15="http://schemas.microsoft.com/office/spreadsheetml/2010/11/main" uri="{470722E0-AACD-4C17-9CDC-17EF765DBC7E}">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11" xr10:uid="{35E0335B-1429-F44F-BADA-881EEB69AA10}" sourceName="Facility/Account">
  <pivotTables>
    <pivotTable tabId="51" name="PivotTable6"/>
  </pivotTables>
  <data>
    <tabular pivotCacheId="2060708223">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41" xr10:uid="{A93FEEDB-AFE5-6A4A-9585-A058F1737DAF}" sourceName="Month">
  <pivotTables>
    <pivotTable tabId="51" name="PivotTable6"/>
  </pivotTables>
  <data>
    <tabular pivotCacheId="2060708223">
      <items count="6">
        <i x="1" s="1"/>
        <i x="2" s="1"/>
        <i x="0" s="1"/>
        <i x="3" s="1"/>
        <i x="4" s="1"/>
        <i x="5" s="1" nd="1"/>
      </items>
    </tabular>
  </data>
  <extLst>
    <x:ext xmlns:x15="http://schemas.microsoft.com/office/spreadsheetml/2010/11/main" uri="{470722E0-AACD-4C17-9CDC-17EF765DBC7E}">
      <x15:slicerCacheHideItemsWithNoData/>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31" xr10:uid="{DD51D320-07B3-AC48-854F-C4E573E724D3}" sourceName="Quarter">
  <pivotTables>
    <pivotTable tabId="51" name="PivotTable6"/>
  </pivotTables>
  <data>
    <tabular pivotCacheId="2060708223">
      <items count="4">
        <i x="1" s="1"/>
        <i x="0" s="1"/>
        <i x="2" s="1"/>
        <i x="3" nd="1"/>
      </items>
    </tabular>
  </data>
  <extLst>
    <x:ext xmlns:x15="http://schemas.microsoft.com/office/spreadsheetml/2010/11/main" uri="{470722E0-AACD-4C17-9CDC-17EF765DBC7E}">
      <x15:slicerCacheHideItemsWithNoData/>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ter_Destination1" xr10:uid="{E17B9AEE-0D3F-7342-AFFA-CB1A30D544C5}" sourceName="Water Destination">
  <pivotTables>
    <pivotTable tabId="51" name="PivotTable6"/>
  </pivotTables>
  <data>
    <tabular pivotCacheId="2060708223">
      <items count="3">
        <i x="0" s="1"/>
        <i x="1" s="1"/>
        <i x="2" s="1" nd="1"/>
      </items>
    </tabular>
  </data>
  <extLst>
    <x:ext xmlns:x15="http://schemas.microsoft.com/office/spreadsheetml/2010/11/main" uri="{470722E0-AACD-4C17-9CDC-17EF765DBC7E}">
      <x15:slicerCacheHideItemsWithNoData/>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51" xr10:uid="{106FC5A2-86A7-294A-9445-7AA23AEF015C}" sourceName="Month">
  <pivotTables>
    <pivotTable tabId="51" name="PivotTable9"/>
  </pivotTables>
  <data>
    <tabular pivotCacheId="1710143333">
      <items count="8">
        <i x="0" s="1"/>
        <i x="2" s="1"/>
        <i x="6" s="1"/>
        <i x="4" s="1"/>
        <i x="5" s="1"/>
        <i x="3" s="1"/>
        <i x="7" s="1"/>
        <i x="1" s="1" nd="1"/>
      </items>
    </tabular>
  </data>
  <extLst>
    <x:ext xmlns:x15="http://schemas.microsoft.com/office/spreadsheetml/2010/11/main" uri="{470722E0-AACD-4C17-9CDC-17EF765DBC7E}">
      <x15:slicerCacheHideItemsWithNoData/>
    </x:ext>
  </extLst>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41" xr10:uid="{C1806AA1-557A-6D44-9FEE-4CA3A3E5B37E}" sourceName="Quarter">
  <pivotTables>
    <pivotTable tabId="51" name="PivotTable9"/>
  </pivotTables>
  <data>
    <tabular pivotCacheId="1710143333">
      <items count="5">
        <i x="0" s="1"/>
        <i x="1" s="1"/>
        <i x="3" s="1"/>
        <i x="2" s="1"/>
        <i x="4" nd="1"/>
      </items>
    </tabular>
  </data>
  <extLst>
    <x:ext xmlns:x15="http://schemas.microsoft.com/office/spreadsheetml/2010/11/main" uri="{470722E0-AACD-4C17-9CDC-17EF765DBC7E}">
      <x15:slicerCacheHideItemsWithNoData/>
    </x:ext>
  </extLst>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ste_Composition1" xr10:uid="{317BB059-7CCA-F64C-96E1-56B5AEB5347E}" sourceName="Waste Composition">
  <pivotTables>
    <pivotTable tabId="51" name="PivotTable9"/>
  </pivotTables>
  <data>
    <tabular pivotCacheId="1710143333">
      <items count="5">
        <i x="1" s="1"/>
        <i x="0" s="1"/>
        <i x="3" s="1"/>
        <i x="2" s="1"/>
        <i x="4" s="1" nd="1"/>
      </items>
    </tabular>
  </data>
  <extLst>
    <x:ext xmlns:x15="http://schemas.microsoft.com/office/spreadsheetml/2010/11/main" uri="{470722E0-AACD-4C17-9CDC-17EF765DBC7E}">
      <x15:slicerCacheHideItemsWithNoData/>
    </x:ext>
  </extLst>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posal_Method1" xr10:uid="{2095A4C8-D919-FB4B-BFBF-C9DAA5AFAA54}" sourceName="Disposal Method">
  <pivotTables>
    <pivotTable tabId="51" name="PivotTable9"/>
  </pivotTables>
  <data>
    <tabular pivotCacheId="1710143333">
      <items count="4">
        <i x="2" s="1"/>
        <i x="1" s="1"/>
        <i x="0"/>
        <i x="3"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uel Type 2" xr10:uid="{FDC957A4-77E7-F342-BD34-4685FE8F9B63}" cache="Slicer_Fuel_Type2" caption="Fuel Type" rowHeight="230716"/>
  <slicer name="Month 7" xr10:uid="{58A20EDF-6D88-B440-BE84-ACDFF81AF715}" cache="Slicer_Month6" caption="Month" rowHeight="230716"/>
  <slicer name="Vehicle Type 1" xr10:uid="{E1F7C5D4-0ABA-174D-B799-79E570896921}" cache="Slicer_Vehicle_Type1" caption="Vehicle Type" rowHeight="230716"/>
  <slicer name="Fuel Type 3" xr10:uid="{F815B159-77C3-9345-B646-D4EBD63D8142}" cache="Slicer_Fuel_Type11" caption="Fuel Type" rowHeight="230716"/>
  <slicer name="Month 8" xr10:uid="{13DAB09F-E498-5F45-B0AB-0C3BB078EC56}" cache="Slicer_Month11" caption="Month" rowHeight="230716"/>
  <slicer name="Quarter 6" xr10:uid="{59CADF4D-5E3B-0F4C-987E-9D7117505CB1}" cache="Slicer_Quarter5" caption="Quarter" rowHeight="230716"/>
  <slicer name="Source Description 2" xr10:uid="{27936328-315D-5D4B-9AB9-E67458927218}" cache="Slicer_Source_Description2" caption="Source Description" rowHeight="230716"/>
  <slicer name="Month 9" xr10:uid="{E3D1A35D-AC80-584B-BA1E-E70BA9D0FFFD}" cache="Slicer_Month22" caption="Month" rowHeight="230716"/>
  <slicer name="Quarter 7" xr10:uid="{A1CD0914-8173-554F-8E5B-FE268CAFA260}" cache="Slicer_Quarter12" caption="Quarter" rowHeight="230716"/>
  <slicer name="Utility Provider 1" xr10:uid="{61364337-BBC5-F044-A350-3D6C919588DD}" cache="Slicer_Utility_Provider1" caption="Utility Provider" rowHeight="230716"/>
  <slicer name="Source Description 3" xr10:uid="{103AC2E4-3018-724A-A597-2694BDD280C5}" cache="Slicer_Source_Description11" caption="Source Description" rowHeight="230716"/>
  <slicer name="Month 10" xr10:uid="{02AC5081-F9CC-C446-BCF1-4A98AA773DE9}" cache="Slicer_Month211" caption="Month" rowHeight="230716"/>
  <slicer name="Quarter 8" xr10:uid="{8C573FEF-3710-4A4A-9BB9-CF6DE94DCA5D}" cache="Slicer_Quarter111" caption="Quarter" rowHeight="230716"/>
  <slicer name="Month 11" xr10:uid="{4A55CDDF-7F33-EF48-AEEF-468DA79CC52A}" cache="Slicer_Month31" caption="Month" rowHeight="230716"/>
  <slicer name="Quarter 9" xr10:uid="{995B2070-F807-D14C-8E20-888F8A1FFAC9}" cache="Slicer_Quarter21" caption="Quarter" rowHeight="230716"/>
  <slicer name="Source 1" xr10:uid="{B68E3D21-05A2-F549-A3C8-DA3FF72A2905}" cache="Slicer_Source1" caption="Source" rowHeight="230716"/>
  <slicer name="Facility/Account 2" xr10:uid="{CDFF5E30-2095-D24A-AD9C-C8DDBBC5C137}" cache="Slicer_Facility_Account2" caption="Facility/Account" rowHeight="230716"/>
  <slicer name="Facility/Account 3" xr10:uid="{084EE752-505C-214C-B6FB-9CFB4CBFEAEF}" cache="Slicer_Facility_Account11" caption="Facility/Account" rowHeight="230716"/>
  <slicer name="Month 12" xr10:uid="{BE1CCCE5-DC63-DB44-BD4E-B06CE84BB1BE}" cache="Slicer_Month41" caption="Month" rowHeight="230716"/>
  <slicer name="Quarter 10" xr10:uid="{7E7EC6C0-9011-4E49-B807-CE0074E3DF40}" cache="Slicer_Quarter31" caption="Quarter" rowHeight="230716"/>
  <slicer name="Water Destination 1" xr10:uid="{5B6865A7-3220-8647-A389-8A5CA53B5301}" cache="Slicer_Water_Destination1" caption="Water Destination" rowHeight="230716"/>
  <slicer name="Month 13" xr10:uid="{7257670B-0823-B148-8293-A94AFF395B06}" cache="Slicer_Month51" caption="Month" rowHeight="230716"/>
  <slicer name="Quarter 11" xr10:uid="{41B02E8E-0F7B-1746-99D5-5A9652695C35}" cache="Slicer_Quarter41" caption="Quarter" rowHeight="230716"/>
  <slicer name="Waste Composition 1" xr10:uid="{387D96EC-28B1-7743-903B-D4BCE2C9230E}" cache="Slicer_Waste_Composition1" caption="Waste Composition" rowHeight="230716"/>
  <slicer name="Disposal Method 1" xr10:uid="{6E0DA9DB-B5E2-7F45-9712-003697B08A9E}" cache="Slicer_Disposal_Method1" caption="Disposal Method"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D54EA1C-BF56-1C41-A397-8FB104BB2C69}" name="Fuel_Blg" displayName="Fuel_Blg" ref="I6:O18" totalsRowShown="0" headerRowDxfId="110" dataDxfId="108" headerRowBorderDxfId="109" tableBorderDxfId="107">
  <autoFilter ref="I6:O18" xr:uid="{5D54EA1C-BF56-1C41-A397-8FB104BB2C69}"/>
  <tableColumns count="7">
    <tableColumn id="1" xr3:uid="{0736B116-FD52-4F4F-884D-77C731445CFF}" name="No." dataDxfId="106">
      <calculatedColumnFormula>IF(#REF!="","",$I7+1)</calculatedColumnFormula>
    </tableColumn>
    <tableColumn id="5" xr3:uid="{C603CCC2-2764-574B-B616-B1F220EFF63F}" name="Fuel Type" dataDxfId="105"/>
    <tableColumn id="6" xr3:uid="{29E6127A-1BBD-4D42-8A5A-1FA1E160EC19}" name="Month" dataDxfId="104"/>
    <tableColumn id="7" xr3:uid="{AAB63BD1-C28A-2145-9671-756792E786E6}" name="Quarter" dataDxfId="103">
      <calculatedColumnFormula>IF(Fuel_Blg[[#This Row],[Month]]&lt;&gt;"",VLOOKUP(Fuel_Blg[[#This Row],[Month]], dropdown!$S$4:$T$15, 2, FALSE),"")</calculatedColumnFormula>
    </tableColumn>
    <tableColumn id="8" xr3:uid="{2659C633-FEE7-7446-91C8-0ACAADD03760}" name="Consumption" dataDxfId="102"/>
    <tableColumn id="9" xr3:uid="{83261790-77E9-A84F-890F-8F209571520F}" name="Unit" dataDxfId="101">
      <calculatedColumnFormula>IF($J7="","",VLOOKUP($J7,dropdown!$P$3:$Q$8,2,FALSE))</calculatedColumnFormula>
    </tableColumn>
    <tableColumn id="10" xr3:uid="{ADF20B56-6D74-6149-B0C0-FB9AA3F5AC8E}" name="Remarks" dataDxfId="10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85D45EB-1572-A543-812E-815536D59C14}" name="Fuel_Veh" displayName="Fuel_Veh" ref="I6:R106" totalsRowShown="0" headerRowDxfId="97" dataDxfId="95" headerRowBorderDxfId="96" tableBorderDxfId="94" totalsRowBorderDxfId="93">
  <autoFilter ref="I6:R106" xr:uid="{A85D45EB-1572-A543-812E-815536D59C14}"/>
  <tableColumns count="10">
    <tableColumn id="1" xr3:uid="{CA340CBE-9D85-6C42-9CA1-DDAD368521C3}" name="No." dataDxfId="92">
      <calculatedColumnFormula>IF($J7="","",$I6+1)</calculatedColumnFormula>
    </tableColumn>
    <tableColumn id="2" xr3:uid="{CFAD3D96-F137-044A-AE4C-49E5188E1144}" name="Vehicle Type" dataDxfId="91"/>
    <tableColumn id="3" xr3:uid="{5A421D87-7A43-B14E-BA71-EABB4924A663}" name="Fuel Type" dataDxfId="90"/>
    <tableColumn id="4" xr3:uid="{9C4094CC-7613-9147-BAF8-A31087280A9A}" name="Month" dataDxfId="89"/>
    <tableColumn id="10" xr3:uid="{5211A67F-348D-494D-AD2E-AD4A362BCD78}" name="Quarter" dataDxfId="88">
      <calculatedColumnFormula>IF(Fuel_Veh[[#This Row],[Month]]&lt;&gt;"",VLOOKUP(Fuel_Veh[[#This Row],[Month]], dropdown!$S$4:$T$15, 2, FALSE),"")</calculatedColumnFormula>
    </tableColumn>
    <tableColumn id="5" xr3:uid="{6EDA12F9-55D0-694A-BAB9-B15BDE58CA76}" name="Consumption" dataDxfId="87"/>
    <tableColumn id="7" xr3:uid="{E7761959-51F4-954F-B8FB-F46DCC54C53F}" name="Unit" dataDxfId="86">
      <calculatedColumnFormula>IF($K7="","",VLOOKUP($K7,dropdown!$P$14:$Q$18,2,FALSE))</calculatedColumnFormula>
    </tableColumn>
    <tableColumn id="8" xr3:uid="{AD5D0247-3B56-D146-B22E-45D44E44A249}" name="Total kilometers travelled (all vehicles)" dataDxfId="85"/>
    <tableColumn id="6" xr3:uid="{7D9E5DFA-64C2-4B06-A40F-0BC8CB602574}" name="Unit2" dataDxfId="84">
      <calculatedColumnFormula>IF($P7="","","Kilometers")</calculatedColumnFormula>
    </tableColumn>
    <tableColumn id="9" xr3:uid="{3C24034E-2544-5447-B927-0F565A869F60}" name="Remarks" dataDxfId="8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A7077C-50F7-42D2-96F2-51568F67E7B2}" name="Refrigerants" displayName="Refrigerants" ref="I8:W107" totalsRowShown="0" headerRowDxfId="76" dataDxfId="75">
  <autoFilter ref="I8:W107" xr:uid="{4EA7077C-50F7-42D2-96F2-51568F67E7B2}"/>
  <tableColumns count="15">
    <tableColumn id="1" xr3:uid="{F5FCA22D-7063-431B-9399-42C43DB71411}" name="No." dataDxfId="74">
      <calculatedColumnFormula>IF($K9="","",$I8+1)</calculatedColumnFormula>
    </tableColumn>
    <tableColumn id="2" xr3:uid="{132030AD-4541-47EB-A337-EEE87637C1DE}" name="Location" dataDxfId="73"/>
    <tableColumn id="3" xr3:uid="{E38A8A42-DF98-463F-8F43-42FB3365C31D}" name="Equipment Category" dataDxfId="72"/>
    <tableColumn id="4" xr3:uid="{73A30FFB-A2D9-422E-811C-B1A1BA4CF2FF}" name="No. of Units" dataDxfId="71"/>
    <tableColumn id="5" xr3:uid="{C542C367-6C7C-4A2E-AFC0-70AA09658289}" name="Refrigerant" dataDxfId="70"/>
    <tableColumn id="6" xr3:uid="{A49CD649-8CDA-4BDE-9E6C-7CED9E0C5258}" name="Equipment Status" dataDxfId="69"/>
    <tableColumn id="7" xr3:uid="{496D94A5-FA4D-4CAE-BA86-0076C8252260}" name="Month Purchased" dataDxfId="68"/>
    <tableColumn id="8" xr3:uid="{C2C4A362-BE62-4AD9-8A32-0EE063613BFF}" name="Charge (kg)" dataDxfId="67"/>
    <tableColumn id="9" xr3:uid="{72FA09EB-82CD-4F9D-B0C6-9BC0E94D6119}" name="Month Recharged" dataDxfId="66"/>
    <tableColumn id="10" xr3:uid="{47F108D4-F5B0-471A-95AA-199B8E9D5D51}" name="Recharge (kg)" dataDxfId="65"/>
    <tableColumn id="11" xr3:uid="{7F5D579B-DB98-4EE1-9316-59541598F54B}" name="Month Disposed" dataDxfId="64"/>
    <tableColumn id="12" xr3:uid="{27D4DE6A-84A7-49EE-85CD-4A4C4CF0E9C1}" name="Capacity (kg)" dataDxfId="63"/>
    <tableColumn id="13" xr3:uid="{57B4A461-924D-48EC-A43C-5A1EEE91ED09}" name="Recovered (kg)" dataDxfId="62"/>
    <tableColumn id="14" xr3:uid="{4A88164E-A6C3-4FE4-8DE4-0C0950D809F0}" name="Quarter" dataDxfId="61">
      <calculatedColumnFormula>IFERROR(VLOOKUP($O9, dropdown!$S$4:$T$15, 2, FALSE),
 IFERROR(VLOOKUP($Q9, dropdown!$S$4:$T$15, 2, FALSE),
 IFERROR(VLOOKUP($S9, dropdown!$S$4:$T$15, 2, FALSE),
 "")))</calculatedColumnFormula>
    </tableColumn>
    <tableColumn id="15" xr3:uid="{D18D61D3-B9DB-40F4-9EBB-61DAFC976BF5}" name="Remarks" dataDxfId="60"/>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808252-F12F-E841-AB57-6A82E4759C1A}" name="Electricity" displayName="Electricity" ref="I7:O107" totalsRowShown="0" headerRowDxfId="59" tableBorderDxfId="58">
  <autoFilter ref="I7:O107" xr:uid="{4E808252-F12F-E841-AB57-6A82E4759C1A}"/>
  <tableColumns count="7">
    <tableColumn id="1" xr3:uid="{D5D30AA3-E573-734B-B6AB-3BC327F8D967}" name="No." dataDxfId="57"/>
    <tableColumn id="3" xr3:uid="{E49E940C-A64E-A446-B958-9A58950DBA26}" name="Month" dataDxfId="56"/>
    <tableColumn id="8" xr3:uid="{A32745C6-53F1-AF48-B40D-2062538BA76C}" name="Quarter" dataDxfId="55">
      <calculatedColumnFormula>IF(Electricity[[#This Row],[Month]]&lt;&gt;"",VLOOKUP(Electricity[[#This Row],[Month]], dropdown!$S$4:$T$15, 2, FALSE),"")</calculatedColumnFormula>
    </tableColumn>
    <tableColumn id="4" xr3:uid="{7BDA3B9E-E331-A040-8D00-68C0D245C2DD}" name="Consumption (kWh)" dataDxfId="54"/>
    <tableColumn id="5" xr3:uid="{4597EC97-806C-4E41-8BA3-E789252B06C0}" name="Cost (PHP)" dataDxfId="53"/>
    <tableColumn id="6" xr3:uid="{4139C44D-830B-F247-8F9C-494AF4CBED3A}" name="Utility Provider" dataDxfId="52"/>
    <tableColumn id="7" xr3:uid="{A1E305CA-3F3B-AC45-B4A9-903D25ED562F}" name="Remarks" dataDxfId="5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8A76092-10E6-574E-B93C-9F78320A7DCF}" name="Electricity6" displayName="Electricity6" ref="I6:N106" totalsRowShown="0" headerRowDxfId="50" tableBorderDxfId="49">
  <autoFilter ref="I6:N106" xr:uid="{4E808252-F12F-E841-AB57-6A82E4759C1A}"/>
  <tableColumns count="6">
    <tableColumn id="1" xr3:uid="{96892042-DA4D-554E-B6C0-56CC2E778BE0}" name="No." dataDxfId="48">
      <calculatedColumnFormula>IF(Electricity6[[#This Row],[Month]]="","",1)</calculatedColumnFormula>
    </tableColumn>
    <tableColumn id="3" xr3:uid="{4D461598-2D62-B244-9F61-EF4079251355}" name="Month" dataDxfId="47"/>
    <tableColumn id="8" xr3:uid="{45DB6F9E-A541-A04C-BEB7-D0FD16821599}" name="Quarter" dataDxfId="46">
      <calculatedColumnFormula>IF(Electricity6[[#This Row],[Month]]&lt;&gt;"",VLOOKUP(Electricity6[[#This Row],[Month]], dropdown!$S$4:$T$15, 2, FALSE),"")</calculatedColumnFormula>
    </tableColumn>
    <tableColumn id="4" xr3:uid="{2384A887-6797-9D45-A82F-AD87B1CEA514}" name="Solar Energy Generated (kWh)" dataDxfId="45"/>
    <tableColumn id="6" xr3:uid="{C0C5600A-2A4F-42FA-A171-A7D77002B82E}" name="Operational Energy Demand - One Shift (kWH)" dataDxfId="44"/>
    <tableColumn id="7" xr3:uid="{0E49F2FA-DF95-494F-B55D-59E5FA7DFB31}" name="Remarks" dataDxfId="4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1C0C9B2-779D-1649-AFF9-2DC747BD8D8E}" name="water_in" displayName="water_in" ref="I7:N107" totalsRowShown="0" headerRowDxfId="42" dataDxfId="40" headerRowBorderDxfId="41" tableBorderDxfId="39" totalsRowBorderDxfId="38">
  <autoFilter ref="I7:N107" xr:uid="{D1C0C9B2-779D-1649-AFF9-2DC747BD8D8E}"/>
  <tableColumns count="6">
    <tableColumn id="1" xr3:uid="{98251D21-9B72-FF46-855C-29CDFC3F8C49}" name="No." dataDxfId="37">
      <calculatedColumnFormula>IF(#REF!="","",$I7+1)</calculatedColumnFormula>
    </tableColumn>
    <tableColumn id="3" xr3:uid="{79584AA0-F1B7-3B41-BB42-77B2A9F16C14}" name="Month" dataDxfId="36"/>
    <tableColumn id="4" xr3:uid="{A3CA35C2-DBF2-C44A-8453-C1C3204D173D}" name="Quarter" dataDxfId="35">
      <calculatedColumnFormula>IF(water_in[[#This Row],[Month]]&lt;&gt;"",VLOOKUP(water_in[[#This Row],[Month]], dropdown!$S$4:$T$15, 2, FALSE),"")</calculatedColumnFormula>
    </tableColumn>
    <tableColumn id="5" xr3:uid="{94E41BA5-FE14-7A42-A566-007A23C80527}" name="Source" dataDxfId="34"/>
    <tableColumn id="6" xr3:uid="{06C9DE83-99A6-6E42-BFF6-BBB009F75383}" name="Volume (m3)" dataDxfId="33"/>
    <tableColumn id="7" xr3:uid="{76D3A7A4-7A71-A740-A5FE-E0978AE0D14C}" name="Remarks" dataDxfId="3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17FDA8E-3E35-E54B-B144-32DD667BE400}" name="water_out" displayName="water_out" ref="P7:U107" totalsRowShown="0" headerRowDxfId="31" dataDxfId="29" headerRowBorderDxfId="30" tableBorderDxfId="28" totalsRowBorderDxfId="27">
  <autoFilter ref="P7:U107" xr:uid="{417FDA8E-3E35-E54B-B144-32DD667BE400}"/>
  <tableColumns count="6">
    <tableColumn id="1" xr3:uid="{C13D90C4-D898-7E42-BF11-5CEB6AE3F508}" name="No." dataDxfId="26">
      <calculatedColumnFormula>IF(#REF!="","",$P7+1)</calculatedColumnFormula>
    </tableColumn>
    <tableColumn id="3" xr3:uid="{FB4E4C5F-3555-F84A-866C-D2E830B01E5D}" name="Month" dataDxfId="25"/>
    <tableColumn id="4" xr3:uid="{619B28E5-6E0C-9445-94A5-CFE5B7E140CF}" name="Quarter" dataDxfId="24">
      <calculatedColumnFormula>IF(water_out[[#This Row],[Month]]&lt;&gt;"",VLOOKUP(water_out[[#This Row],[Month]], dropdown!$S$4:$T$15, 2, FALSE),"")</calculatedColumnFormula>
    </tableColumn>
    <tableColumn id="6" xr3:uid="{FC43882E-BF75-DA4D-B572-DC2FBD6873DC}" name="Water Destination" dataDxfId="23"/>
    <tableColumn id="2" xr3:uid="{10C062EB-B924-4DED-B867-1CB5A5574221}" name="Volume2 (m3)" dataDxfId="22"/>
    <tableColumn id="8" xr3:uid="{41D6224C-69B7-5E4A-8BC8-C342068A9656}" name="Remarks" dataDxfId="21"/>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44952C9-78B7-944D-8BFB-5F0BBB441E25}" name="Waste_Gases" displayName="Waste_Gases" ref="I12:O30" totalsRowShown="0" headerRowDxfId="20" dataDxfId="19" tableBorderDxfId="18">
  <autoFilter ref="I12:O30" xr:uid="{644952C9-78B7-944D-8BFB-5F0BBB441E25}"/>
  <tableColumns count="7">
    <tableColumn id="1" xr3:uid="{905CBBCA-C4CE-E64F-8577-DD820D762EBE}" name="Component" dataDxfId="17"/>
    <tableColumn id="2" xr3:uid="{95B1D560-7606-8440-A263-1F3488DDCF60}" name="Chemical Formula" dataDxfId="16"/>
    <tableColumn id="3" xr3:uid="{BAFDD3D8-B5F1-0945-B68F-96F3F4D4E83A}" name="Molar Fraction (%)" dataDxfId="15"/>
    <tableColumn id="4" xr3:uid="{8ED09876-064B-5643-B346-8B9BE03FCA7C}" name="Total Moles (kg-mole/m3)" dataDxfId="14">
      <calculatedColumnFormula>IF(Waste_Gases[[#This Row],[Molar Fraction (%)]]=0,"",Waste_Gases[[#This Row],[Molar Fraction (%)]]*$D$15)</calculatedColumnFormula>
    </tableColumn>
    <tableColumn id="5" xr3:uid="{AF137C96-997B-0043-A824-BF6EB99BF204}" name="Molecular Weight" dataDxfId="13"/>
    <tableColumn id="6" xr3:uid="{45DE64DD-9AEC-7A47-BFD6-46841261F085}" name="Percent Carbon (%)" dataDxfId="12">
      <calculatedColumnFormula>Emission_Factors!$B$17/Waste_Gases[[#This Row],[Molecular Weight]]</calculatedColumnFormula>
    </tableColumn>
    <tableColumn id="7" xr3:uid="{2A4C64A5-A239-5A46-9E95-F45AEE05D934}" name="Carbon Content(kg/m3)" dataDxfId="11">
      <calculatedColumnFormula>IF(Waste_Gases[[#This Row],[Molar Fraction (%)]]=0,"",Waste_Gases[[#This Row],[Total Moles (kg-mole/m3)]]*Waste_Gases[[#This Row],[Molecular Weight]]*Waste_Gases[[#This Row],[Percent Carbon (%)]])</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30B550-3160-A24C-BB39-D77FBA7436E1}" name="Waste" displayName="Waste" ref="I7:O104" totalsRowShown="0" headerRowDxfId="10" tableBorderDxfId="9">
  <autoFilter ref="I7:O104" xr:uid="{0230B550-3160-A24C-BB39-D77FBA7436E1}"/>
  <tableColumns count="7">
    <tableColumn id="1" xr3:uid="{E1E9FF9D-27E3-7D49-AEA6-2B1729AB118D}" name="No." dataDxfId="8"/>
    <tableColumn id="2" xr3:uid="{8380DC80-2805-C14F-AD3B-7C45100601CB}" name="Month" dataDxfId="7"/>
    <tableColumn id="3" xr3:uid="{8B50C8B1-2B60-7D48-8932-B0CD897CE645}" name="Quarter" dataDxfId="6">
      <calculatedColumnFormula>IF(Waste[[#This Row],[Month]]&lt;&gt;"",VLOOKUP(Waste[[#This Row],[Month]], dropdown!$S$4:$T$15, 2, FALSE),"")</calculatedColumnFormula>
    </tableColumn>
    <tableColumn id="4" xr3:uid="{1D0A3C03-9904-E148-8A78-B82195B0EA5C}" name="Waste Composition" dataDxfId="5"/>
    <tableColumn id="5" xr3:uid="{93373184-794D-CF48-B2C6-609884108023}" name="Weight (kg)" dataDxfId="4"/>
    <tableColumn id="6" xr3:uid="{AEA2ECE1-073B-3E43-BACD-0EDC33C61465}" name="Disposal/Recovery Method" dataDxfId="3"/>
    <tableColumn id="7" xr3:uid="{5D0BB89C-B4C6-D54A-A767-64E8AE7DDBFE}" name="Remarks" dataDxfId="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6DE87AF-814A-AB4A-8281-B0E5A4C74319}" name="Change_log" displayName="Change_log" ref="A1:E1247" totalsRowShown="0" headerRowDxfId="1">
  <autoFilter ref="A1:E1247" xr:uid="{76DE87AF-814A-AB4A-8281-B0E5A4C74319}"/>
  <tableColumns count="5">
    <tableColumn id="1" xr3:uid="{26002ACD-4A1E-4D49-89F1-047F359822D0}" name="Timestamp" dataDxfId="0"/>
    <tableColumn id="2" xr3:uid="{EDD8768F-CB95-9D4C-A904-D31C88C95B14}" name="User"/>
    <tableColumn id="3" xr3:uid="{1DB0AF35-E619-5147-9A7E-ACECC4788632}" name="Sheet"/>
    <tableColumn id="4" xr3:uid="{10FD1410-FB46-0749-86E7-D508C58B4A36}" name="Cell "/>
    <tableColumn id="5" xr3:uid="{F28FD73C-B178-8744-9C61-842653D2259E}" name="New Value"/>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microsoft.com/office/2007/relationships/slicer" Target="../slicers/slicer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117" Type="http://schemas.openxmlformats.org/officeDocument/2006/relationships/hyperlink" Target="https://legacy.doe.gov.ph/ducsp/ilpi" TargetMode="External"/><Relationship Id="rId21" Type="http://schemas.openxmlformats.org/officeDocument/2006/relationships/hyperlink" Target="https://legacy.doe.gov.ph/ducsp/profile/batanelco" TargetMode="External"/><Relationship Id="rId42" Type="http://schemas.openxmlformats.org/officeDocument/2006/relationships/hyperlink" Target="https://legacy.doe.gov.ph/ducsp/zameco-ii" TargetMode="External"/><Relationship Id="rId63" Type="http://schemas.openxmlformats.org/officeDocument/2006/relationships/hyperlink" Target="https://legacy.doe.gov.ph/ducsp/profile/canoreco" TargetMode="External"/><Relationship Id="rId84" Type="http://schemas.openxmlformats.org/officeDocument/2006/relationships/hyperlink" Target="https://legacy.doe.gov.ph/ducsp/profile/bez" TargetMode="External"/><Relationship Id="rId138" Type="http://schemas.openxmlformats.org/officeDocument/2006/relationships/hyperlink" Target="https://legacy.doe.gov.ph/ducsp/profile/siarelco" TargetMode="External"/><Relationship Id="rId107" Type="http://schemas.openxmlformats.org/officeDocument/2006/relationships/hyperlink" Target="https://legacy.doe.gov.ph/ducsp/samelco-i" TargetMode="External"/><Relationship Id="rId11" Type="http://schemas.openxmlformats.org/officeDocument/2006/relationships/hyperlink" Target="https://legacy.doe.gov.ph/ducsp/iseco" TargetMode="External"/><Relationship Id="rId32" Type="http://schemas.openxmlformats.org/officeDocument/2006/relationships/hyperlink" Target="https://legacy.doe.gov.ph/ducsp/profile/neeco-ii-area-2" TargetMode="External"/><Relationship Id="rId53" Type="http://schemas.openxmlformats.org/officeDocument/2006/relationships/hyperlink" Target="https://legacy.doe.gov.ph/ducsp/marelco" TargetMode="External"/><Relationship Id="rId74" Type="http://schemas.openxmlformats.org/officeDocument/2006/relationships/hyperlink" Target="https://legacy.doe.gov.ph/ducsp/profile/akelco" TargetMode="External"/><Relationship Id="rId128" Type="http://schemas.openxmlformats.org/officeDocument/2006/relationships/hyperlink" Target="https://legacy.doe.gov.ph/ducsp/profile/dasureco" TargetMode="External"/><Relationship Id="rId149" Type="http://schemas.openxmlformats.org/officeDocument/2006/relationships/hyperlink" Target="https://legacy.doe.gov.ph/ducsp/tawelco" TargetMode="External"/><Relationship Id="rId5" Type="http://schemas.openxmlformats.org/officeDocument/2006/relationships/hyperlink" Target="https://legacy.doe.gov.ph/ducsp/mopreco" TargetMode="External"/><Relationship Id="rId95" Type="http://schemas.openxmlformats.org/officeDocument/2006/relationships/hyperlink" Target="https://legacy.doe.gov.ph/ducsp/noreco-ii" TargetMode="External"/><Relationship Id="rId22" Type="http://schemas.openxmlformats.org/officeDocument/2006/relationships/hyperlink" Target="https://legacy.doe.gov.ph/ducsp/profile/aec" TargetMode="External"/><Relationship Id="rId27" Type="http://schemas.openxmlformats.org/officeDocument/2006/relationships/hyperlink" Target="https://legacy.doe.gov.ph/ducsp/sfelapco" TargetMode="External"/><Relationship Id="rId43" Type="http://schemas.openxmlformats.org/officeDocument/2006/relationships/hyperlink" Target="https://legacy.doe.gov.ph/ducsp/pames" TargetMode="External"/><Relationship Id="rId48" Type="http://schemas.openxmlformats.org/officeDocument/2006/relationships/hyperlink" Target="https://legacy.doe.gov.ph/ducsp/quezelco-i" TargetMode="External"/><Relationship Id="rId64" Type="http://schemas.openxmlformats.org/officeDocument/2006/relationships/hyperlink" Target="https://legacy.doe.gov.ph/ducsp/profile/casureco-i" TargetMode="External"/><Relationship Id="rId69" Type="http://schemas.openxmlformats.org/officeDocument/2006/relationships/hyperlink" Target="https://legacy.doe.gov.ph/ducsp/profile/soreco-ii" TargetMode="External"/><Relationship Id="rId113" Type="http://schemas.openxmlformats.org/officeDocument/2006/relationships/hyperlink" Target="https://legacy.doe.gov.ph/ducsp/zamsureco-i" TargetMode="External"/><Relationship Id="rId118" Type="http://schemas.openxmlformats.org/officeDocument/2006/relationships/hyperlink" Target="https://legacy.doe.gov.ph/ducsp/profile/buseco" TargetMode="External"/><Relationship Id="rId134" Type="http://schemas.openxmlformats.org/officeDocument/2006/relationships/hyperlink" Target="https://legacy.doe.gov.ph/ducsp/socoteco-ii" TargetMode="External"/><Relationship Id="rId139" Type="http://schemas.openxmlformats.org/officeDocument/2006/relationships/hyperlink" Target="https://legacy.doe.gov.ph/ducsp/surneco" TargetMode="External"/><Relationship Id="rId80" Type="http://schemas.openxmlformats.org/officeDocument/2006/relationships/hyperlink" Target="https://legacy.doe.gov.ph/ducsp/ileco-ii" TargetMode="External"/><Relationship Id="rId85" Type="http://schemas.openxmlformats.org/officeDocument/2006/relationships/hyperlink" Target="https://legacy.doe.gov.ph/ducsp/profile/blci" TargetMode="External"/><Relationship Id="rId150" Type="http://schemas.openxmlformats.org/officeDocument/2006/relationships/hyperlink" Target="https://legacy.doe.gov.ph/ducsp/profile/bumbaran" TargetMode="External"/><Relationship Id="rId155" Type="http://schemas.openxmlformats.org/officeDocument/2006/relationships/hyperlink" Target="https://legacy.doe.gov.ph/duprofile?order=field_du_type&amp;sort=asc" TargetMode="External"/><Relationship Id="rId12" Type="http://schemas.openxmlformats.org/officeDocument/2006/relationships/hyperlink" Target="https://legacy.doe.gov.ph/ducsp/luelco" TargetMode="External"/><Relationship Id="rId17" Type="http://schemas.openxmlformats.org/officeDocument/2006/relationships/hyperlink" Target="https://legacy.doe.gov.ph/ducsp/iselco-i" TargetMode="External"/><Relationship Id="rId33" Type="http://schemas.openxmlformats.org/officeDocument/2006/relationships/hyperlink" Target="https://legacy.doe.gov.ph/ducsp/profile/pelco-i" TargetMode="External"/><Relationship Id="rId38" Type="http://schemas.openxmlformats.org/officeDocument/2006/relationships/hyperlink" Target="https://legacy.doe.gov.ph/ducsp/sajelco" TargetMode="External"/><Relationship Id="rId59" Type="http://schemas.openxmlformats.org/officeDocument/2006/relationships/hyperlink" Target="https://legacy.doe.gov.ph/ducsp/profile/bantonromelco" TargetMode="External"/><Relationship Id="rId103" Type="http://schemas.openxmlformats.org/officeDocument/2006/relationships/hyperlink" Target="https://legacy.doe.gov.ph/ducsp/leyeco-iii" TargetMode="External"/><Relationship Id="rId108" Type="http://schemas.openxmlformats.org/officeDocument/2006/relationships/hyperlink" Target="https://legacy.doe.gov.ph/ducsp/samelco-ii" TargetMode="External"/><Relationship Id="rId124" Type="http://schemas.openxmlformats.org/officeDocument/2006/relationships/hyperlink" Target="https://legacy.doe.gov.ph/ducsp/moresco-i" TargetMode="External"/><Relationship Id="rId129" Type="http://schemas.openxmlformats.org/officeDocument/2006/relationships/hyperlink" Target="https://legacy.doe.gov.ph/ducsp/doreco" TargetMode="External"/><Relationship Id="rId54" Type="http://schemas.openxmlformats.org/officeDocument/2006/relationships/hyperlink" Target="https://legacy.doe.gov.ph/ducsp/omeco" TargetMode="External"/><Relationship Id="rId70" Type="http://schemas.openxmlformats.org/officeDocument/2006/relationships/hyperlink" Target="https://legacy.doe.gov.ph/ducsp/ficelco" TargetMode="External"/><Relationship Id="rId75" Type="http://schemas.openxmlformats.org/officeDocument/2006/relationships/hyperlink" Target="https://legacy.doe.gov.ph/ducsp/profile/anteco" TargetMode="External"/><Relationship Id="rId91" Type="http://schemas.openxmlformats.org/officeDocument/2006/relationships/hyperlink" Target="https://legacy.doe.gov.ph/ducsp/profile/cebeco-i" TargetMode="External"/><Relationship Id="rId96" Type="http://schemas.openxmlformats.org/officeDocument/2006/relationships/hyperlink" Target="https://legacy.doe.gov.ph/ducsp/profile/banelco" TargetMode="External"/><Relationship Id="rId140" Type="http://schemas.openxmlformats.org/officeDocument/2006/relationships/hyperlink" Target="https://legacy.doe.gov.ph/ducsp/surseco-i" TargetMode="External"/><Relationship Id="rId145" Type="http://schemas.openxmlformats.org/officeDocument/2006/relationships/hyperlink" Target="https://legacy.doe.gov.ph/ducsp/profile/baselco" TargetMode="External"/><Relationship Id="rId1" Type="http://schemas.openxmlformats.org/officeDocument/2006/relationships/hyperlink" Target="https://legacy.doe.gov.ph/ducsp/profile/meralco" TargetMode="External"/><Relationship Id="rId6" Type="http://schemas.openxmlformats.org/officeDocument/2006/relationships/hyperlink" Target="https://legacy.doe.gov.ph/ducsp/profile/abreco" TargetMode="External"/><Relationship Id="rId23" Type="http://schemas.openxmlformats.org/officeDocument/2006/relationships/hyperlink" Target="https://legacy.doe.gov.ph/ducsp/cedc" TargetMode="External"/><Relationship Id="rId28" Type="http://schemas.openxmlformats.org/officeDocument/2006/relationships/hyperlink" Target="https://legacy.doe.gov.ph/ducsp/tei" TargetMode="External"/><Relationship Id="rId49" Type="http://schemas.openxmlformats.org/officeDocument/2006/relationships/hyperlink" Target="https://legacy.doe.gov.ph/ducsp/quezelco-ii" TargetMode="External"/><Relationship Id="rId114" Type="http://schemas.openxmlformats.org/officeDocument/2006/relationships/hyperlink" Target="https://legacy.doe.gov.ph/ducsp/zamsureco-ii" TargetMode="External"/><Relationship Id="rId119" Type="http://schemas.openxmlformats.org/officeDocument/2006/relationships/hyperlink" Target="https://legacy.doe.gov.ph/ducsp/profile/camelco" TargetMode="External"/><Relationship Id="rId44" Type="http://schemas.openxmlformats.org/officeDocument/2006/relationships/hyperlink" Target="https://legacy.doe.gov.ph/ducsp/ieec" TargetMode="External"/><Relationship Id="rId60" Type="http://schemas.openxmlformats.org/officeDocument/2006/relationships/hyperlink" Target="https://legacy.doe.gov.ph/ducsp/concepcion" TargetMode="External"/><Relationship Id="rId65" Type="http://schemas.openxmlformats.org/officeDocument/2006/relationships/hyperlink" Target="https://legacy.doe.gov.ph/ducsp/profile/casureco-ii" TargetMode="External"/><Relationship Id="rId81" Type="http://schemas.openxmlformats.org/officeDocument/2006/relationships/hyperlink" Target="https://legacy.doe.gov.ph/ducsp/ileco-iii" TargetMode="External"/><Relationship Id="rId86" Type="http://schemas.openxmlformats.org/officeDocument/2006/relationships/hyperlink" Target="https://legacy.doe.gov.ph/ducsp/meco" TargetMode="External"/><Relationship Id="rId130" Type="http://schemas.openxmlformats.org/officeDocument/2006/relationships/hyperlink" Target="https://legacy.doe.gov.ph/ducsp/profile/clpc" TargetMode="External"/><Relationship Id="rId135" Type="http://schemas.openxmlformats.org/officeDocument/2006/relationships/hyperlink" Target="https://legacy.doe.gov.ph/ducsp/sukelco" TargetMode="External"/><Relationship Id="rId151" Type="http://schemas.openxmlformats.org/officeDocument/2006/relationships/hyperlink" Target="https://legacy.doe.gov.ph/ducsp/profile/lez" TargetMode="External"/><Relationship Id="rId156" Type="http://schemas.openxmlformats.org/officeDocument/2006/relationships/hyperlink" Target="https://legacy.doe.gov.ph/duprofile?order=title&amp;sort=asc" TargetMode="External"/><Relationship Id="rId13" Type="http://schemas.openxmlformats.org/officeDocument/2006/relationships/hyperlink" Target="https://legacy.doe.gov.ph/ducsp/panelco-i" TargetMode="External"/><Relationship Id="rId18" Type="http://schemas.openxmlformats.org/officeDocument/2006/relationships/hyperlink" Target="https://legacy.doe.gov.ph/ducsp/iselco-ii" TargetMode="External"/><Relationship Id="rId39" Type="http://schemas.openxmlformats.org/officeDocument/2006/relationships/hyperlink" Target="https://legacy.doe.gov.ph/ducsp/profile/tarelco-i" TargetMode="External"/><Relationship Id="rId109" Type="http://schemas.openxmlformats.org/officeDocument/2006/relationships/hyperlink" Target="https://legacy.doe.gov.ph/ducsp/soleco" TargetMode="External"/><Relationship Id="rId34" Type="http://schemas.openxmlformats.org/officeDocument/2006/relationships/hyperlink" Target="https://legacy.doe.gov.ph/ducsp/profile/pelco-ii" TargetMode="External"/><Relationship Id="rId50" Type="http://schemas.openxmlformats.org/officeDocument/2006/relationships/hyperlink" Target="https://legacy.doe.gov.ph/ducsp/fbpc" TargetMode="External"/><Relationship Id="rId55" Type="http://schemas.openxmlformats.org/officeDocument/2006/relationships/hyperlink" Target="https://legacy.doe.gov.ph/ducsp/ormeco" TargetMode="External"/><Relationship Id="rId76" Type="http://schemas.openxmlformats.org/officeDocument/2006/relationships/hyperlink" Target="https://legacy.doe.gov.ph/ducsp/profile/capelco" TargetMode="External"/><Relationship Id="rId97" Type="http://schemas.openxmlformats.org/officeDocument/2006/relationships/hyperlink" Target="https://legacy.doe.gov.ph/ducsp/profile/celco" TargetMode="External"/><Relationship Id="rId104" Type="http://schemas.openxmlformats.org/officeDocument/2006/relationships/hyperlink" Target="https://legacy.doe.gov.ph/ducsp/leyeco-iv" TargetMode="External"/><Relationship Id="rId120" Type="http://schemas.openxmlformats.org/officeDocument/2006/relationships/hyperlink" Target="https://legacy.doe.gov.ph/ducsp/profile/fibeco" TargetMode="External"/><Relationship Id="rId125" Type="http://schemas.openxmlformats.org/officeDocument/2006/relationships/hyperlink" Target="https://legacy.doe.gov.ph/ducsp/moresco-ii" TargetMode="External"/><Relationship Id="rId141" Type="http://schemas.openxmlformats.org/officeDocument/2006/relationships/hyperlink" Target="https://legacy.doe.gov.ph/ducsp/surseco-ii" TargetMode="External"/><Relationship Id="rId146" Type="http://schemas.openxmlformats.org/officeDocument/2006/relationships/hyperlink" Target="https://legacy.doe.gov.ph/ducsp/caselco" TargetMode="External"/><Relationship Id="rId7" Type="http://schemas.openxmlformats.org/officeDocument/2006/relationships/hyperlink" Target="https://legacy.doe.gov.ph/ducsp/profile/decorp" TargetMode="External"/><Relationship Id="rId71" Type="http://schemas.openxmlformats.org/officeDocument/2006/relationships/hyperlink" Target="https://legacy.doe.gov.ph/ducsp/maselco" TargetMode="External"/><Relationship Id="rId92" Type="http://schemas.openxmlformats.org/officeDocument/2006/relationships/hyperlink" Target="https://legacy.doe.gov.ph/ducsp/profile/cebeco-ii" TargetMode="External"/><Relationship Id="rId2" Type="http://schemas.openxmlformats.org/officeDocument/2006/relationships/hyperlink" Target="https://legacy.doe.gov.ph/ducsp/profile/beneco" TargetMode="External"/><Relationship Id="rId29" Type="http://schemas.openxmlformats.org/officeDocument/2006/relationships/hyperlink" Target="https://legacy.doe.gov.ph/ducsp/profile/aurelco" TargetMode="External"/><Relationship Id="rId24" Type="http://schemas.openxmlformats.org/officeDocument/2006/relationships/hyperlink" Target="https://legacy.doe.gov.ph/ducsp/profile/celcor" TargetMode="External"/><Relationship Id="rId40" Type="http://schemas.openxmlformats.org/officeDocument/2006/relationships/hyperlink" Target="https://legacy.doe.gov.ph/ducsp/profile/tarelco-ii" TargetMode="External"/><Relationship Id="rId45" Type="http://schemas.openxmlformats.org/officeDocument/2006/relationships/hyperlink" Target="https://legacy.doe.gov.ph/ducsp/profile/batelec-i" TargetMode="External"/><Relationship Id="rId66" Type="http://schemas.openxmlformats.org/officeDocument/2006/relationships/hyperlink" Target="https://legacy.doe.gov.ph/ducsp/profile/casureco-iii" TargetMode="External"/><Relationship Id="rId87" Type="http://schemas.openxmlformats.org/officeDocument/2006/relationships/hyperlink" Target="https://legacy.doe.gov.ph/ducsp/mez" TargetMode="External"/><Relationship Id="rId110" Type="http://schemas.openxmlformats.org/officeDocument/2006/relationships/hyperlink" Target="https://legacy.doe.gov.ph/ducsp/hfmpc" TargetMode="External"/><Relationship Id="rId115" Type="http://schemas.openxmlformats.org/officeDocument/2006/relationships/hyperlink" Target="https://legacy.doe.gov.ph/ducsp/zaneco" TargetMode="External"/><Relationship Id="rId131" Type="http://schemas.openxmlformats.org/officeDocument/2006/relationships/hyperlink" Target="https://legacy.doe.gov.ph/ducsp/profile/cotelco" TargetMode="External"/><Relationship Id="rId136" Type="http://schemas.openxmlformats.org/officeDocument/2006/relationships/hyperlink" Target="https://legacy.doe.gov.ph/ducsp/profile/aneco" TargetMode="External"/><Relationship Id="rId61" Type="http://schemas.openxmlformats.org/officeDocument/2006/relationships/hyperlink" Target="https://legacy.doe.gov.ph/ducsp/corcuera" TargetMode="External"/><Relationship Id="rId82" Type="http://schemas.openxmlformats.org/officeDocument/2006/relationships/hyperlink" Target="https://legacy.doe.gov.ph/ducsp/profile/noneco" TargetMode="External"/><Relationship Id="rId152" Type="http://schemas.openxmlformats.org/officeDocument/2006/relationships/hyperlink" Target="https://legacy.doe.gov.ph/ducsp/profile/malvez" TargetMode="External"/><Relationship Id="rId19" Type="http://schemas.openxmlformats.org/officeDocument/2006/relationships/hyperlink" Target="https://legacy.doe.gov.ph/ducsp/nuvelco" TargetMode="External"/><Relationship Id="rId14" Type="http://schemas.openxmlformats.org/officeDocument/2006/relationships/hyperlink" Target="https://legacy.doe.gov.ph/ducsp/panelco-iii" TargetMode="External"/><Relationship Id="rId30" Type="http://schemas.openxmlformats.org/officeDocument/2006/relationships/hyperlink" Target="https://legacy.doe.gov.ph/ducsp/neeco-i" TargetMode="External"/><Relationship Id="rId35" Type="http://schemas.openxmlformats.org/officeDocument/2006/relationships/hyperlink" Target="https://legacy.doe.gov.ph/ducsp/pelco-iii" TargetMode="External"/><Relationship Id="rId56" Type="http://schemas.openxmlformats.org/officeDocument/2006/relationships/hyperlink" Target="https://legacy.doe.gov.ph/ducsp/paleco" TargetMode="External"/><Relationship Id="rId77" Type="http://schemas.openxmlformats.org/officeDocument/2006/relationships/hyperlink" Target="https://legacy.doe.gov.ph/ducsp/profile/ceneco" TargetMode="External"/><Relationship Id="rId100" Type="http://schemas.openxmlformats.org/officeDocument/2006/relationships/hyperlink" Target="https://legacy.doe.gov.ph/ducsp/dorelco" TargetMode="External"/><Relationship Id="rId105" Type="http://schemas.openxmlformats.org/officeDocument/2006/relationships/hyperlink" Target="https://legacy.doe.gov.ph/ducsp/leyeco-v" TargetMode="External"/><Relationship Id="rId126" Type="http://schemas.openxmlformats.org/officeDocument/2006/relationships/hyperlink" Target="https://legacy.doe.gov.ph/ducsp/dlpc" TargetMode="External"/><Relationship Id="rId147" Type="http://schemas.openxmlformats.org/officeDocument/2006/relationships/hyperlink" Target="https://legacy.doe.gov.ph/ducsp/profile/siaselco" TargetMode="External"/><Relationship Id="rId8" Type="http://schemas.openxmlformats.org/officeDocument/2006/relationships/hyperlink" Target="https://legacy.doe.gov.ph/ducsp/lueco" TargetMode="External"/><Relationship Id="rId51" Type="http://schemas.openxmlformats.org/officeDocument/2006/relationships/hyperlink" Target="https://legacy.doe.gov.ph/ducsp/profile/biselco" TargetMode="External"/><Relationship Id="rId72" Type="http://schemas.openxmlformats.org/officeDocument/2006/relationships/hyperlink" Target="https://legacy.doe.gov.ph/ducsp/tiselco" TargetMode="External"/><Relationship Id="rId93" Type="http://schemas.openxmlformats.org/officeDocument/2006/relationships/hyperlink" Target="https://legacy.doe.gov.ph/ducsp/profile/cebeco-iii" TargetMode="External"/><Relationship Id="rId98" Type="http://schemas.openxmlformats.org/officeDocument/2006/relationships/hyperlink" Target="https://legacy.doe.gov.ph/ducsp/prosielco" TargetMode="External"/><Relationship Id="rId121" Type="http://schemas.openxmlformats.org/officeDocument/2006/relationships/hyperlink" Target="https://legacy.doe.gov.ph/ducsp/laneco" TargetMode="External"/><Relationship Id="rId142" Type="http://schemas.openxmlformats.org/officeDocument/2006/relationships/hyperlink" Target="https://legacy.doe.gov.ph/ducsp/profile/dielco" TargetMode="External"/><Relationship Id="rId3" Type="http://schemas.openxmlformats.org/officeDocument/2006/relationships/hyperlink" Target="https://legacy.doe.gov.ph/ducsp/ifelco" TargetMode="External"/><Relationship Id="rId25" Type="http://schemas.openxmlformats.org/officeDocument/2006/relationships/hyperlink" Target="https://legacy.doe.gov.ph/ducsp/oedc" TargetMode="External"/><Relationship Id="rId46" Type="http://schemas.openxmlformats.org/officeDocument/2006/relationships/hyperlink" Target="https://legacy.doe.gov.ph/ducsp/profile/batelec-ii" TargetMode="External"/><Relationship Id="rId67" Type="http://schemas.openxmlformats.org/officeDocument/2006/relationships/hyperlink" Target="https://legacy.doe.gov.ph/ducsp/profile/casureco-iv" TargetMode="External"/><Relationship Id="rId116" Type="http://schemas.openxmlformats.org/officeDocument/2006/relationships/hyperlink" Target="https://legacy.doe.gov.ph/ducsp/profile/cepalco" TargetMode="External"/><Relationship Id="rId137" Type="http://schemas.openxmlformats.org/officeDocument/2006/relationships/hyperlink" Target="https://legacy.doe.gov.ph/ducsp/profile/aselco" TargetMode="External"/><Relationship Id="rId20" Type="http://schemas.openxmlformats.org/officeDocument/2006/relationships/hyperlink" Target="https://legacy.doe.gov.ph/ducsp/quirelco" TargetMode="External"/><Relationship Id="rId41" Type="http://schemas.openxmlformats.org/officeDocument/2006/relationships/hyperlink" Target="https://legacy.doe.gov.ph/ducsp/zameco-i" TargetMode="External"/><Relationship Id="rId62" Type="http://schemas.openxmlformats.org/officeDocument/2006/relationships/hyperlink" Target="https://legacy.doe.gov.ph/ducsp/profile/alecoapec" TargetMode="External"/><Relationship Id="rId83" Type="http://schemas.openxmlformats.org/officeDocument/2006/relationships/hyperlink" Target="https://legacy.doe.gov.ph/ducsp/noceco" TargetMode="External"/><Relationship Id="rId88" Type="http://schemas.openxmlformats.org/officeDocument/2006/relationships/hyperlink" Target="https://legacy.doe.gov.ph/ducsp/veco" TargetMode="External"/><Relationship Id="rId111" Type="http://schemas.openxmlformats.org/officeDocument/2006/relationships/hyperlink" Target="https://legacy.doe.gov.ph/ducsp/mmpc" TargetMode="External"/><Relationship Id="rId132" Type="http://schemas.openxmlformats.org/officeDocument/2006/relationships/hyperlink" Target="https://legacy.doe.gov.ph/ducsp/cotelco-ppalma" TargetMode="External"/><Relationship Id="rId153" Type="http://schemas.openxmlformats.org/officeDocument/2006/relationships/hyperlink" Target="https://legacy.doe.gov.ph/duprofile?order=field_du_region&amp;sort=asc" TargetMode="External"/><Relationship Id="rId15" Type="http://schemas.openxmlformats.org/officeDocument/2006/relationships/hyperlink" Target="https://legacy.doe.gov.ph/ducsp/profile/cagelco-i" TargetMode="External"/><Relationship Id="rId36" Type="http://schemas.openxmlformats.org/officeDocument/2006/relationships/hyperlink" Target="https://legacy.doe.gov.ph/ducsp/penelco" TargetMode="External"/><Relationship Id="rId57" Type="http://schemas.openxmlformats.org/officeDocument/2006/relationships/hyperlink" Target="https://legacy.doe.gov.ph/ducsp/romelco" TargetMode="External"/><Relationship Id="rId106" Type="http://schemas.openxmlformats.org/officeDocument/2006/relationships/hyperlink" Target="https://legacy.doe.gov.ph/ducsp/norsamelco" TargetMode="External"/><Relationship Id="rId127" Type="http://schemas.openxmlformats.org/officeDocument/2006/relationships/hyperlink" Target="https://legacy.doe.gov.ph/ducsp/profile/daneco" TargetMode="External"/><Relationship Id="rId10" Type="http://schemas.openxmlformats.org/officeDocument/2006/relationships/hyperlink" Target="https://legacy.doe.gov.ph/ducsp/inec" TargetMode="External"/><Relationship Id="rId31" Type="http://schemas.openxmlformats.org/officeDocument/2006/relationships/hyperlink" Target="https://legacy.doe.gov.ph/ducsp/profile/neeco-ii-area-1" TargetMode="External"/><Relationship Id="rId52" Type="http://schemas.openxmlformats.org/officeDocument/2006/relationships/hyperlink" Target="https://legacy.doe.gov.ph/ducsp/lubelco" TargetMode="External"/><Relationship Id="rId73" Type="http://schemas.openxmlformats.org/officeDocument/2006/relationships/hyperlink" Target="https://legacy.doe.gov.ph/ducsp/profile/mepc" TargetMode="External"/><Relationship Id="rId78" Type="http://schemas.openxmlformats.org/officeDocument/2006/relationships/hyperlink" Target="https://legacy.doe.gov.ph/ducsp/guimelco" TargetMode="External"/><Relationship Id="rId94" Type="http://schemas.openxmlformats.org/officeDocument/2006/relationships/hyperlink" Target="https://legacy.doe.gov.ph/ducsp/profile/noreco-i" TargetMode="External"/><Relationship Id="rId99" Type="http://schemas.openxmlformats.org/officeDocument/2006/relationships/hyperlink" Target="https://legacy.doe.gov.ph/ducsp/profile/bileco" TargetMode="External"/><Relationship Id="rId101" Type="http://schemas.openxmlformats.org/officeDocument/2006/relationships/hyperlink" Target="https://legacy.doe.gov.ph/ducsp/esamelco" TargetMode="External"/><Relationship Id="rId122" Type="http://schemas.openxmlformats.org/officeDocument/2006/relationships/hyperlink" Target="https://legacy.doe.gov.ph/ducsp/moelci-i" TargetMode="External"/><Relationship Id="rId143" Type="http://schemas.openxmlformats.org/officeDocument/2006/relationships/hyperlink" Target="https://legacy.doe.gov.ph/ducsp/lasureco" TargetMode="External"/><Relationship Id="rId148" Type="http://schemas.openxmlformats.org/officeDocument/2006/relationships/hyperlink" Target="https://legacy.doe.gov.ph/ducsp/suleco" TargetMode="External"/><Relationship Id="rId4" Type="http://schemas.openxmlformats.org/officeDocument/2006/relationships/hyperlink" Target="https://legacy.doe.gov.ph/ducsp/kaelco" TargetMode="External"/><Relationship Id="rId9" Type="http://schemas.openxmlformats.org/officeDocument/2006/relationships/hyperlink" Target="https://legacy.doe.gov.ph/ducsp/profile/cenpelco" TargetMode="External"/><Relationship Id="rId26" Type="http://schemas.openxmlformats.org/officeDocument/2006/relationships/hyperlink" Target="https://legacy.doe.gov.ph/ducsp/sez" TargetMode="External"/><Relationship Id="rId47" Type="http://schemas.openxmlformats.org/officeDocument/2006/relationships/hyperlink" Target="https://legacy.doe.gov.ph/ducsp/profile/fleco" TargetMode="External"/><Relationship Id="rId68" Type="http://schemas.openxmlformats.org/officeDocument/2006/relationships/hyperlink" Target="https://legacy.doe.gov.ph/ducsp/soreco-i" TargetMode="External"/><Relationship Id="rId89" Type="http://schemas.openxmlformats.org/officeDocument/2006/relationships/hyperlink" Target="https://legacy.doe.gov.ph/ducsp/profile/boheco-i" TargetMode="External"/><Relationship Id="rId112" Type="http://schemas.openxmlformats.org/officeDocument/2006/relationships/hyperlink" Target="https://legacy.doe.gov.ph/ducsp/zamcelco" TargetMode="External"/><Relationship Id="rId133" Type="http://schemas.openxmlformats.org/officeDocument/2006/relationships/hyperlink" Target="https://legacy.doe.gov.ph/ducsp/profile/socoteco-i" TargetMode="External"/><Relationship Id="rId154" Type="http://schemas.openxmlformats.org/officeDocument/2006/relationships/hyperlink" Target="https://legacy.doe.gov.ph/duprofile?order=field_du_group&amp;sort=asc" TargetMode="External"/><Relationship Id="rId16" Type="http://schemas.openxmlformats.org/officeDocument/2006/relationships/hyperlink" Target="https://legacy.doe.gov.ph/ducsp/profile/cagelco-ii" TargetMode="External"/><Relationship Id="rId37" Type="http://schemas.openxmlformats.org/officeDocument/2006/relationships/hyperlink" Target="https://legacy.doe.gov.ph/ducsp/presco" TargetMode="External"/><Relationship Id="rId58" Type="http://schemas.openxmlformats.org/officeDocument/2006/relationships/hyperlink" Target="https://legacy.doe.gov.ph/ducsp/tielco" TargetMode="External"/><Relationship Id="rId79" Type="http://schemas.openxmlformats.org/officeDocument/2006/relationships/hyperlink" Target="https://legacy.doe.gov.ph/ducsp/ileco-i" TargetMode="External"/><Relationship Id="rId102" Type="http://schemas.openxmlformats.org/officeDocument/2006/relationships/hyperlink" Target="https://legacy.doe.gov.ph/ducsp/leyeco-ii" TargetMode="External"/><Relationship Id="rId123" Type="http://schemas.openxmlformats.org/officeDocument/2006/relationships/hyperlink" Target="https://legacy.doe.gov.ph/ducsp/moelci-ii" TargetMode="External"/><Relationship Id="rId144" Type="http://schemas.openxmlformats.org/officeDocument/2006/relationships/hyperlink" Target="https://legacy.doe.gov.ph/ducsp/magelco" TargetMode="External"/><Relationship Id="rId90" Type="http://schemas.openxmlformats.org/officeDocument/2006/relationships/hyperlink" Target="https://legacy.doe.gov.ph/ducsp/profile/boheco-ii"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111AF-2FED-4B8D-B69A-2F163D296B18}">
  <sheetPr codeName="Sheet1"/>
  <dimension ref="B2:H118"/>
  <sheetViews>
    <sheetView showGridLines="0" topLeftCell="B90" zoomScaleNormal="130" workbookViewId="0">
      <selection activeCell="F92" sqref="F92"/>
    </sheetView>
  </sheetViews>
  <sheetFormatPr baseColWidth="10" defaultColWidth="8.83203125" defaultRowHeight="15" x14ac:dyDescent="0.2"/>
  <cols>
    <col min="1" max="1" width="2.83203125" customWidth="1"/>
    <col min="2" max="2" width="48.5" bestFit="1" customWidth="1"/>
    <col min="3" max="3" width="2.83203125" customWidth="1"/>
    <col min="4" max="4" width="6.6640625" style="9" customWidth="1"/>
    <col min="5" max="5" width="27.83203125" style="9" customWidth="1"/>
    <col min="6" max="6" width="75.1640625" style="94" customWidth="1"/>
    <col min="7" max="7" width="27.1640625" style="9" bestFit="1" customWidth="1"/>
    <col min="8" max="8" width="27.1640625" style="95" bestFit="1" customWidth="1"/>
    <col min="10" max="10" width="44.83203125" customWidth="1"/>
  </cols>
  <sheetData>
    <row r="2" spans="2:8" ht="24" x14ac:dyDescent="0.3">
      <c r="B2" s="137" t="s">
        <v>0</v>
      </c>
    </row>
    <row r="4" spans="2:8" ht="16" x14ac:dyDescent="0.2">
      <c r="B4" s="83" t="s">
        <v>1</v>
      </c>
      <c r="D4" s="149" t="s">
        <v>2</v>
      </c>
      <c r="E4" s="150"/>
      <c r="F4" s="151"/>
      <c r="G4" s="150"/>
      <c r="H4" s="152"/>
    </row>
    <row r="5" spans="2:8" ht="16" x14ac:dyDescent="0.2">
      <c r="B5" s="436" t="s">
        <v>2</v>
      </c>
      <c r="D5" s="153" t="s">
        <v>3</v>
      </c>
      <c r="E5" s="154" t="s">
        <v>4</v>
      </c>
      <c r="F5" s="155" t="s">
        <v>5</v>
      </c>
      <c r="G5" s="154" t="s">
        <v>6</v>
      </c>
      <c r="H5" s="156" t="s">
        <v>7</v>
      </c>
    </row>
    <row r="6" spans="2:8" ht="16" x14ac:dyDescent="0.2">
      <c r="B6" s="437" t="s">
        <v>27</v>
      </c>
      <c r="D6" s="86">
        <v>1</v>
      </c>
      <c r="E6" s="90" t="s">
        <v>8</v>
      </c>
      <c r="F6" s="91" t="s">
        <v>9</v>
      </c>
      <c r="G6" s="92" t="s">
        <v>10</v>
      </c>
      <c r="H6" s="93" t="s">
        <v>11</v>
      </c>
    </row>
    <row r="7" spans="2:8" ht="16" x14ac:dyDescent="0.2">
      <c r="B7" s="437" t="s">
        <v>58</v>
      </c>
      <c r="D7" s="86">
        <f>D6+1</f>
        <v>2</v>
      </c>
      <c r="E7" s="90" t="s">
        <v>12</v>
      </c>
      <c r="F7" s="91" t="s">
        <v>13</v>
      </c>
      <c r="G7" s="92" t="s">
        <v>14</v>
      </c>
      <c r="H7" s="93">
        <v>2024</v>
      </c>
    </row>
    <row r="8" spans="2:8" ht="16" x14ac:dyDescent="0.2">
      <c r="B8" s="438" t="s">
        <v>15</v>
      </c>
      <c r="D8" s="383">
        <f>D7+1</f>
        <v>3</v>
      </c>
      <c r="E8" s="389" t="s">
        <v>16</v>
      </c>
      <c r="F8" s="390" t="s">
        <v>17</v>
      </c>
      <c r="G8" s="384" t="s">
        <v>18</v>
      </c>
      <c r="H8" s="385" t="s">
        <v>19</v>
      </c>
    </row>
    <row r="9" spans="2:8" ht="16" x14ac:dyDescent="0.2">
      <c r="B9" s="439" t="s">
        <v>20</v>
      </c>
      <c r="D9" s="86">
        <f>D8+1</f>
        <v>4</v>
      </c>
      <c r="E9" s="91" t="s">
        <v>21</v>
      </c>
      <c r="F9" s="91" t="s">
        <v>22</v>
      </c>
      <c r="G9" s="158" t="s">
        <v>23</v>
      </c>
      <c r="H9" s="159" t="s">
        <v>24</v>
      </c>
    </row>
    <row r="10" spans="2:8" x14ac:dyDescent="0.2">
      <c r="B10" s="439" t="s">
        <v>25</v>
      </c>
      <c r="D10" s="386"/>
      <c r="E10" s="387"/>
      <c r="F10" s="387"/>
      <c r="G10" s="174"/>
      <c r="H10" s="388"/>
    </row>
    <row r="11" spans="2:8" ht="16" x14ac:dyDescent="0.2">
      <c r="B11" s="440" t="s">
        <v>26</v>
      </c>
      <c r="D11" s="84" t="s">
        <v>27</v>
      </c>
      <c r="E11" s="96"/>
      <c r="F11" s="97"/>
      <c r="G11" s="96"/>
      <c r="H11" s="98"/>
    </row>
    <row r="12" spans="2:8" ht="16" x14ac:dyDescent="0.2">
      <c r="B12" s="441" t="s">
        <v>28</v>
      </c>
      <c r="D12" s="153" t="s">
        <v>3</v>
      </c>
      <c r="E12" s="154" t="s">
        <v>4</v>
      </c>
      <c r="F12" s="155" t="s">
        <v>5</v>
      </c>
      <c r="G12" s="154" t="s">
        <v>6</v>
      </c>
      <c r="H12" s="156" t="s">
        <v>7</v>
      </c>
    </row>
    <row r="13" spans="2:8" ht="16" x14ac:dyDescent="0.2">
      <c r="D13" s="86">
        <v>1</v>
      </c>
      <c r="E13" s="90" t="s">
        <v>29</v>
      </c>
      <c r="F13" s="91" t="s">
        <v>30</v>
      </c>
      <c r="G13" s="158" t="s">
        <v>31</v>
      </c>
      <c r="H13" s="159" t="s">
        <v>32</v>
      </c>
    </row>
    <row r="14" spans="2:8" ht="16" x14ac:dyDescent="0.2">
      <c r="D14" s="86">
        <f t="shared" ref="D14:D21" si="0">D13+1</f>
        <v>2</v>
      </c>
      <c r="E14" s="91" t="s">
        <v>33</v>
      </c>
      <c r="F14" s="91" t="s">
        <v>22</v>
      </c>
      <c r="G14" s="158" t="s">
        <v>23</v>
      </c>
      <c r="H14" s="159" t="s">
        <v>24</v>
      </c>
    </row>
    <row r="15" spans="2:8" ht="16" x14ac:dyDescent="0.2">
      <c r="D15" s="86">
        <f t="shared" si="0"/>
        <v>3</v>
      </c>
      <c r="E15" s="90" t="s">
        <v>34</v>
      </c>
      <c r="F15" s="91" t="s">
        <v>22</v>
      </c>
      <c r="G15" s="158" t="s">
        <v>23</v>
      </c>
      <c r="H15" s="159">
        <v>1</v>
      </c>
    </row>
    <row r="16" spans="2:8" ht="112" x14ac:dyDescent="0.2">
      <c r="D16" s="86">
        <f t="shared" si="0"/>
        <v>4</v>
      </c>
      <c r="E16" s="90" t="s">
        <v>35</v>
      </c>
      <c r="F16" s="91" t="s">
        <v>36</v>
      </c>
      <c r="G16" s="92" t="s">
        <v>10</v>
      </c>
      <c r="H16" s="99" t="s">
        <v>37</v>
      </c>
    </row>
    <row r="17" spans="2:8" ht="16" x14ac:dyDescent="0.2">
      <c r="B17" s="82" t="s">
        <v>38</v>
      </c>
      <c r="D17" s="86">
        <f t="shared" si="0"/>
        <v>5</v>
      </c>
      <c r="E17" s="90" t="s">
        <v>39</v>
      </c>
      <c r="F17" s="91" t="s">
        <v>40</v>
      </c>
      <c r="G17" s="92" t="s">
        <v>10</v>
      </c>
      <c r="H17" s="93" t="s">
        <v>41</v>
      </c>
    </row>
    <row r="18" spans="2:8" ht="16" x14ac:dyDescent="0.2">
      <c r="B18" s="157" t="s">
        <v>42</v>
      </c>
      <c r="D18" s="86">
        <f t="shared" si="0"/>
        <v>6</v>
      </c>
      <c r="E18" s="90" t="s">
        <v>43</v>
      </c>
      <c r="F18" s="91" t="s">
        <v>44</v>
      </c>
      <c r="G18" s="158" t="s">
        <v>18</v>
      </c>
      <c r="H18" s="158" t="s">
        <v>45</v>
      </c>
    </row>
    <row r="19" spans="2:8" ht="16" x14ac:dyDescent="0.2">
      <c r="B19" s="81" t="s">
        <v>46</v>
      </c>
      <c r="D19" s="86">
        <f t="shared" si="0"/>
        <v>7</v>
      </c>
      <c r="E19" s="90" t="s">
        <v>47</v>
      </c>
      <c r="F19" s="91" t="s">
        <v>48</v>
      </c>
      <c r="G19" s="90" t="s">
        <v>49</v>
      </c>
      <c r="H19" s="89">
        <v>400.24</v>
      </c>
    </row>
    <row r="20" spans="2:8" ht="16" x14ac:dyDescent="0.2">
      <c r="B20" s="160" t="s">
        <v>50</v>
      </c>
      <c r="D20" s="86">
        <f t="shared" si="0"/>
        <v>8</v>
      </c>
      <c r="E20" s="90" t="s">
        <v>51</v>
      </c>
      <c r="F20" s="91" t="s">
        <v>52</v>
      </c>
      <c r="G20" s="158" t="s">
        <v>18</v>
      </c>
      <c r="H20" s="159" t="s">
        <v>53</v>
      </c>
    </row>
    <row r="21" spans="2:8" ht="32" x14ac:dyDescent="0.2">
      <c r="D21" s="86">
        <f t="shared" si="0"/>
        <v>9</v>
      </c>
      <c r="E21" s="90" t="s">
        <v>54</v>
      </c>
      <c r="F21" s="91" t="s">
        <v>55</v>
      </c>
      <c r="G21" s="90" t="s">
        <v>56</v>
      </c>
      <c r="H21" s="100" t="s">
        <v>57</v>
      </c>
    </row>
    <row r="22" spans="2:8" x14ac:dyDescent="0.2">
      <c r="D22" s="143"/>
      <c r="E22" s="144"/>
      <c r="F22" s="145"/>
      <c r="G22" s="144"/>
      <c r="H22" s="146"/>
    </row>
    <row r="23" spans="2:8" ht="16" x14ac:dyDescent="0.2">
      <c r="D23" s="84" t="s">
        <v>58</v>
      </c>
      <c r="E23" s="96"/>
      <c r="F23" s="97"/>
      <c r="G23" s="96"/>
      <c r="H23" s="98"/>
    </row>
    <row r="24" spans="2:8" ht="16" x14ac:dyDescent="0.2">
      <c r="D24" s="153" t="s">
        <v>3</v>
      </c>
      <c r="E24" s="154" t="s">
        <v>4</v>
      </c>
      <c r="F24" s="155" t="s">
        <v>5</v>
      </c>
      <c r="G24" s="154" t="s">
        <v>6</v>
      </c>
      <c r="H24" s="156" t="s">
        <v>7</v>
      </c>
    </row>
    <row r="25" spans="2:8" ht="16" x14ac:dyDescent="0.2">
      <c r="D25" s="86">
        <v>1</v>
      </c>
      <c r="E25" s="90" t="s">
        <v>29</v>
      </c>
      <c r="F25" s="91" t="s">
        <v>30</v>
      </c>
      <c r="G25" s="158" t="s">
        <v>31</v>
      </c>
      <c r="H25" s="159" t="s">
        <v>32</v>
      </c>
    </row>
    <row r="26" spans="2:8" ht="16" x14ac:dyDescent="0.2">
      <c r="D26" s="86">
        <f t="shared" ref="D26:D36" si="1">D25+1</f>
        <v>2</v>
      </c>
      <c r="E26" s="91" t="s">
        <v>33</v>
      </c>
      <c r="F26" s="91" t="s">
        <v>22</v>
      </c>
      <c r="G26" s="158" t="s">
        <v>23</v>
      </c>
      <c r="H26" s="159" t="s">
        <v>24</v>
      </c>
    </row>
    <row r="27" spans="2:8" ht="16" x14ac:dyDescent="0.2">
      <c r="D27" s="86">
        <f t="shared" si="1"/>
        <v>3</v>
      </c>
      <c r="E27" s="90" t="s">
        <v>34</v>
      </c>
      <c r="F27" s="91" t="s">
        <v>22</v>
      </c>
      <c r="G27" s="158" t="s">
        <v>23</v>
      </c>
      <c r="H27" s="159">
        <v>1</v>
      </c>
    </row>
    <row r="28" spans="2:8" ht="186" customHeight="1" x14ac:dyDescent="0.2">
      <c r="D28" s="86">
        <f t="shared" si="1"/>
        <v>4</v>
      </c>
      <c r="E28" s="91" t="s">
        <v>59</v>
      </c>
      <c r="F28" s="432" t="s">
        <v>60</v>
      </c>
      <c r="G28" s="92" t="s">
        <v>10</v>
      </c>
      <c r="H28" s="99" t="s">
        <v>61</v>
      </c>
    </row>
    <row r="29" spans="2:8" ht="64" x14ac:dyDescent="0.2">
      <c r="D29" s="86">
        <f t="shared" si="1"/>
        <v>5</v>
      </c>
      <c r="E29" s="90" t="s">
        <v>35</v>
      </c>
      <c r="F29" s="91" t="s">
        <v>62</v>
      </c>
      <c r="G29" s="92" t="s">
        <v>10</v>
      </c>
      <c r="H29" s="99" t="s">
        <v>63</v>
      </c>
    </row>
    <row r="30" spans="2:8" ht="16" x14ac:dyDescent="0.2">
      <c r="D30" s="86">
        <f t="shared" si="1"/>
        <v>6</v>
      </c>
      <c r="E30" s="90" t="s">
        <v>39</v>
      </c>
      <c r="F30" s="91" t="s">
        <v>40</v>
      </c>
      <c r="G30" s="92" t="s">
        <v>10</v>
      </c>
      <c r="H30" s="93" t="s">
        <v>41</v>
      </c>
    </row>
    <row r="31" spans="2:8" ht="16" x14ac:dyDescent="0.2">
      <c r="D31" s="86">
        <f t="shared" si="1"/>
        <v>7</v>
      </c>
      <c r="E31" s="90" t="s">
        <v>43</v>
      </c>
      <c r="F31" s="91" t="s">
        <v>44</v>
      </c>
      <c r="G31" s="158" t="s">
        <v>18</v>
      </c>
      <c r="H31" s="158" t="s">
        <v>45</v>
      </c>
    </row>
    <row r="32" spans="2:8" ht="16" x14ac:dyDescent="0.2">
      <c r="D32" s="86">
        <f t="shared" si="1"/>
        <v>8</v>
      </c>
      <c r="E32" s="90" t="s">
        <v>47</v>
      </c>
      <c r="F32" s="91" t="s">
        <v>48</v>
      </c>
      <c r="G32" s="90" t="s">
        <v>49</v>
      </c>
      <c r="H32" s="89">
        <v>400.24</v>
      </c>
    </row>
    <row r="33" spans="4:8" ht="16" x14ac:dyDescent="0.2">
      <c r="D33" s="86">
        <f t="shared" si="1"/>
        <v>9</v>
      </c>
      <c r="E33" s="90" t="s">
        <v>51</v>
      </c>
      <c r="F33" s="91" t="s">
        <v>52</v>
      </c>
      <c r="G33" s="158" t="s">
        <v>18</v>
      </c>
      <c r="H33" s="159" t="s">
        <v>53</v>
      </c>
    </row>
    <row r="34" spans="4:8" ht="16" x14ac:dyDescent="0.2">
      <c r="D34" s="86">
        <f t="shared" si="1"/>
        <v>10</v>
      </c>
      <c r="E34" s="91" t="s">
        <v>64</v>
      </c>
      <c r="F34" s="91" t="s">
        <v>65</v>
      </c>
      <c r="G34" s="138" t="s">
        <v>66</v>
      </c>
      <c r="H34" s="89">
        <v>58.96</v>
      </c>
    </row>
    <row r="35" spans="4:8" ht="16" x14ac:dyDescent="0.2">
      <c r="D35" s="86">
        <f t="shared" si="1"/>
        <v>11</v>
      </c>
      <c r="E35" s="91" t="s">
        <v>67</v>
      </c>
      <c r="F35" s="91" t="s">
        <v>68</v>
      </c>
      <c r="G35" s="158" t="s">
        <v>18</v>
      </c>
      <c r="H35" s="159" t="s">
        <v>69</v>
      </c>
    </row>
    <row r="36" spans="4:8" ht="32" x14ac:dyDescent="0.2">
      <c r="D36" s="86">
        <f t="shared" si="1"/>
        <v>12</v>
      </c>
      <c r="E36" s="90" t="s">
        <v>54</v>
      </c>
      <c r="F36" s="91" t="s">
        <v>70</v>
      </c>
      <c r="G36" s="90" t="s">
        <v>56</v>
      </c>
      <c r="H36" s="100" t="s">
        <v>24</v>
      </c>
    </row>
    <row r="38" spans="4:8" ht="16" x14ac:dyDescent="0.2">
      <c r="D38" s="80" t="s">
        <v>15</v>
      </c>
      <c r="E38" s="101"/>
      <c r="F38" s="102"/>
      <c r="G38" s="101"/>
      <c r="H38" s="103"/>
    </row>
    <row r="39" spans="4:8" ht="16" x14ac:dyDescent="0.2">
      <c r="D39" s="153" t="s">
        <v>3</v>
      </c>
      <c r="E39" s="154" t="s">
        <v>4</v>
      </c>
      <c r="F39" s="155" t="s">
        <v>5</v>
      </c>
      <c r="G39" s="154" t="s">
        <v>6</v>
      </c>
      <c r="H39" s="156" t="s">
        <v>7</v>
      </c>
    </row>
    <row r="40" spans="4:8" ht="16" x14ac:dyDescent="0.2">
      <c r="D40" s="86">
        <v>1</v>
      </c>
      <c r="E40" s="90" t="s">
        <v>29</v>
      </c>
      <c r="F40" s="91" t="s">
        <v>30</v>
      </c>
      <c r="G40" s="158" t="s">
        <v>31</v>
      </c>
      <c r="H40" s="159" t="s">
        <v>32</v>
      </c>
    </row>
    <row r="41" spans="4:8" ht="16" x14ac:dyDescent="0.2">
      <c r="D41" s="86">
        <f>D40+1</f>
        <v>2</v>
      </c>
      <c r="E41" s="90" t="s">
        <v>71</v>
      </c>
      <c r="F41" s="91" t="s">
        <v>22</v>
      </c>
      <c r="G41" s="158" t="s">
        <v>23</v>
      </c>
      <c r="H41" s="159" t="s">
        <v>24</v>
      </c>
    </row>
    <row r="42" spans="4:8" ht="16" x14ac:dyDescent="0.2">
      <c r="D42" s="86">
        <f t="shared" ref="D42:D48" si="2">D41+1</f>
        <v>3</v>
      </c>
      <c r="E42" s="90" t="s">
        <v>34</v>
      </c>
      <c r="F42" s="91" t="s">
        <v>22</v>
      </c>
      <c r="G42" s="158" t="s">
        <v>23</v>
      </c>
      <c r="H42" s="159">
        <v>1</v>
      </c>
    </row>
    <row r="43" spans="4:8" ht="16" x14ac:dyDescent="0.2">
      <c r="D43" s="86">
        <v>4</v>
      </c>
      <c r="E43" s="90" t="s">
        <v>72</v>
      </c>
      <c r="F43" s="91" t="s">
        <v>73</v>
      </c>
      <c r="G43" s="138" t="s">
        <v>56</v>
      </c>
      <c r="H43" s="100" t="s">
        <v>74</v>
      </c>
    </row>
    <row r="44" spans="4:8" ht="128" x14ac:dyDescent="0.2">
      <c r="D44" s="86">
        <f>D43+1</f>
        <v>5</v>
      </c>
      <c r="E44" s="90" t="s">
        <v>75</v>
      </c>
      <c r="F44" s="91" t="s">
        <v>76</v>
      </c>
      <c r="G44" s="92" t="s">
        <v>10</v>
      </c>
      <c r="H44" s="99" t="s">
        <v>77</v>
      </c>
    </row>
    <row r="45" spans="4:8" ht="16" x14ac:dyDescent="0.2">
      <c r="D45" s="86">
        <f t="shared" si="2"/>
        <v>6</v>
      </c>
      <c r="E45" s="90" t="s">
        <v>78</v>
      </c>
      <c r="F45" s="91" t="s">
        <v>79</v>
      </c>
      <c r="G45" s="138" t="s">
        <v>80</v>
      </c>
      <c r="H45" s="139">
        <v>9</v>
      </c>
    </row>
    <row r="46" spans="4:8" ht="16" x14ac:dyDescent="0.2">
      <c r="D46" s="86">
        <f t="shared" si="2"/>
        <v>7</v>
      </c>
      <c r="E46" s="90" t="s">
        <v>81</v>
      </c>
      <c r="F46" s="91" t="s">
        <v>82</v>
      </c>
      <c r="G46" s="92" t="s">
        <v>10</v>
      </c>
      <c r="H46" s="93" t="s">
        <v>83</v>
      </c>
    </row>
    <row r="47" spans="4:8" ht="80" x14ac:dyDescent="0.2">
      <c r="D47" s="86">
        <f t="shared" si="2"/>
        <v>8</v>
      </c>
      <c r="E47" s="91" t="s">
        <v>84</v>
      </c>
      <c r="F47" s="91" t="s">
        <v>85</v>
      </c>
      <c r="G47" s="92" t="s">
        <v>10</v>
      </c>
      <c r="H47" s="93" t="s">
        <v>86</v>
      </c>
    </row>
    <row r="48" spans="4:8" ht="16" x14ac:dyDescent="0.2">
      <c r="D48" s="86">
        <f t="shared" si="2"/>
        <v>9</v>
      </c>
      <c r="E48" s="162" t="s">
        <v>87</v>
      </c>
      <c r="F48" s="162" t="s">
        <v>88</v>
      </c>
      <c r="G48" s="92" t="s">
        <v>10</v>
      </c>
      <c r="H48" s="93" t="s">
        <v>89</v>
      </c>
    </row>
    <row r="49" spans="4:8" ht="48" x14ac:dyDescent="0.2">
      <c r="D49" s="86">
        <f>D48+1</f>
        <v>10</v>
      </c>
      <c r="E49" s="162" t="s">
        <v>90</v>
      </c>
      <c r="F49" s="162" t="s">
        <v>91</v>
      </c>
      <c r="G49" s="138" t="s">
        <v>66</v>
      </c>
      <c r="H49" s="140">
        <v>13.4</v>
      </c>
    </row>
    <row r="50" spans="4:8" ht="16" x14ac:dyDescent="0.2">
      <c r="D50" s="86">
        <f t="shared" ref="D50:D56" si="3">D49+1</f>
        <v>11</v>
      </c>
      <c r="E50" s="138" t="s">
        <v>92</v>
      </c>
      <c r="F50" s="411" t="s">
        <v>93</v>
      </c>
      <c r="G50" s="92" t="s">
        <v>10</v>
      </c>
      <c r="H50" s="93" t="s">
        <v>89</v>
      </c>
    </row>
    <row r="51" spans="4:8" ht="16" x14ac:dyDescent="0.2">
      <c r="D51" s="86">
        <f t="shared" si="3"/>
        <v>12</v>
      </c>
      <c r="E51" s="138" t="s">
        <v>94</v>
      </c>
      <c r="F51" s="162" t="s">
        <v>95</v>
      </c>
      <c r="G51" s="138" t="s">
        <v>66</v>
      </c>
      <c r="H51" s="140">
        <v>13.4</v>
      </c>
    </row>
    <row r="52" spans="4:8" ht="16" x14ac:dyDescent="0.2">
      <c r="D52" s="86">
        <f t="shared" si="3"/>
        <v>13</v>
      </c>
      <c r="E52" s="162" t="s">
        <v>96</v>
      </c>
      <c r="F52" s="162" t="s">
        <v>97</v>
      </c>
      <c r="G52" s="92" t="s">
        <v>10</v>
      </c>
      <c r="H52" s="93" t="s">
        <v>41</v>
      </c>
    </row>
    <row r="53" spans="4:8" ht="16" x14ac:dyDescent="0.2">
      <c r="D53" s="86">
        <f t="shared" si="3"/>
        <v>14</v>
      </c>
      <c r="E53" s="162" t="s">
        <v>98</v>
      </c>
      <c r="F53" s="162" t="s">
        <v>99</v>
      </c>
      <c r="G53" s="138" t="s">
        <v>66</v>
      </c>
      <c r="H53" s="140">
        <v>13.4</v>
      </c>
    </row>
    <row r="54" spans="4:8" ht="16" x14ac:dyDescent="0.2">
      <c r="D54" s="86">
        <f t="shared" si="3"/>
        <v>15</v>
      </c>
      <c r="E54" s="138" t="s">
        <v>100</v>
      </c>
      <c r="F54" s="162" t="s">
        <v>101</v>
      </c>
      <c r="G54" s="138" t="s">
        <v>66</v>
      </c>
      <c r="H54" s="139">
        <v>5.67</v>
      </c>
    </row>
    <row r="55" spans="4:8" ht="16" x14ac:dyDescent="0.2">
      <c r="D55" s="86">
        <f t="shared" si="3"/>
        <v>16</v>
      </c>
      <c r="E55" s="90" t="s">
        <v>43</v>
      </c>
      <c r="F55" s="91" t="s">
        <v>44</v>
      </c>
      <c r="G55" s="158" t="s">
        <v>18</v>
      </c>
      <c r="H55" s="158" t="s">
        <v>45</v>
      </c>
    </row>
    <row r="56" spans="4:8" ht="32" x14ac:dyDescent="0.2">
      <c r="D56" s="86">
        <f t="shared" si="3"/>
        <v>17</v>
      </c>
      <c r="E56" s="138" t="s">
        <v>54</v>
      </c>
      <c r="F56" s="162" t="s">
        <v>70</v>
      </c>
      <c r="G56" s="138" t="s">
        <v>56</v>
      </c>
      <c r="H56" s="100" t="s">
        <v>102</v>
      </c>
    </row>
    <row r="57" spans="4:8" x14ac:dyDescent="0.2">
      <c r="D57" s="10"/>
      <c r="E57" s="104"/>
      <c r="F57" s="104"/>
      <c r="G57" s="104"/>
      <c r="H57" s="104"/>
    </row>
    <row r="58" spans="4:8" ht="16" x14ac:dyDescent="0.2">
      <c r="D58" s="85" t="s">
        <v>103</v>
      </c>
      <c r="E58" s="105"/>
      <c r="F58" s="106"/>
      <c r="G58" s="105"/>
      <c r="H58" s="107"/>
    </row>
    <row r="59" spans="4:8" ht="16" x14ac:dyDescent="0.2">
      <c r="D59" s="153" t="s">
        <v>3</v>
      </c>
      <c r="E59" s="154" t="s">
        <v>4</v>
      </c>
      <c r="F59" s="155" t="s">
        <v>5</v>
      </c>
      <c r="G59" s="154" t="s">
        <v>6</v>
      </c>
      <c r="H59" s="156" t="s">
        <v>7</v>
      </c>
    </row>
    <row r="60" spans="4:8" ht="16" x14ac:dyDescent="0.2">
      <c r="D60" s="86">
        <v>1</v>
      </c>
      <c r="E60" s="90" t="s">
        <v>29</v>
      </c>
      <c r="F60" s="91" t="s">
        <v>30</v>
      </c>
      <c r="G60" s="158" t="s">
        <v>31</v>
      </c>
      <c r="H60" s="159" t="s">
        <v>32</v>
      </c>
    </row>
    <row r="61" spans="4:8" ht="32" x14ac:dyDescent="0.2">
      <c r="D61" s="86">
        <f t="shared" ref="D61:D68" si="4">D60+1</f>
        <v>2</v>
      </c>
      <c r="E61" s="91" t="s">
        <v>104</v>
      </c>
      <c r="F61" s="91" t="s">
        <v>22</v>
      </c>
      <c r="G61" s="158" t="s">
        <v>23</v>
      </c>
      <c r="H61" s="159" t="s">
        <v>24</v>
      </c>
    </row>
    <row r="62" spans="4:8" ht="16" x14ac:dyDescent="0.2">
      <c r="D62" s="86">
        <f t="shared" si="4"/>
        <v>3</v>
      </c>
      <c r="E62" s="90" t="s">
        <v>34</v>
      </c>
      <c r="F62" s="91" t="s">
        <v>22</v>
      </c>
      <c r="G62" s="158" t="s">
        <v>23</v>
      </c>
      <c r="H62" s="159">
        <v>1</v>
      </c>
    </row>
    <row r="63" spans="4:8" ht="16" x14ac:dyDescent="0.2">
      <c r="D63" s="86">
        <f t="shared" si="4"/>
        <v>4</v>
      </c>
      <c r="E63" s="91" t="s">
        <v>39</v>
      </c>
      <c r="F63" s="91" t="s">
        <v>105</v>
      </c>
      <c r="G63" s="92" t="s">
        <v>10</v>
      </c>
      <c r="H63" s="93" t="s">
        <v>41</v>
      </c>
    </row>
    <row r="64" spans="4:8" ht="16" x14ac:dyDescent="0.2">
      <c r="D64" s="86">
        <f t="shared" si="4"/>
        <v>5</v>
      </c>
      <c r="E64" s="90" t="s">
        <v>43</v>
      </c>
      <c r="F64" s="91" t="s">
        <v>44</v>
      </c>
      <c r="G64" s="158" t="s">
        <v>18</v>
      </c>
      <c r="H64" s="158" t="s">
        <v>45</v>
      </c>
    </row>
    <row r="65" spans="4:8" ht="16" x14ac:dyDescent="0.2">
      <c r="D65" s="86">
        <f t="shared" si="4"/>
        <v>6</v>
      </c>
      <c r="E65" s="91" t="s">
        <v>106</v>
      </c>
      <c r="F65" s="91" t="s">
        <v>107</v>
      </c>
      <c r="G65" s="138" t="s">
        <v>66</v>
      </c>
      <c r="H65" s="108">
        <v>1234.56</v>
      </c>
    </row>
    <row r="66" spans="4:8" ht="16" x14ac:dyDescent="0.2">
      <c r="D66" s="86">
        <f t="shared" si="4"/>
        <v>7</v>
      </c>
      <c r="E66" s="91" t="s">
        <v>108</v>
      </c>
      <c r="F66" s="91" t="s">
        <v>109</v>
      </c>
      <c r="G66" s="138" t="s">
        <v>66</v>
      </c>
      <c r="H66" s="108">
        <v>87654.32</v>
      </c>
    </row>
    <row r="67" spans="4:8" ht="16" x14ac:dyDescent="0.2">
      <c r="D67" s="86">
        <f t="shared" si="4"/>
        <v>8</v>
      </c>
      <c r="E67" s="91" t="s">
        <v>110</v>
      </c>
      <c r="F67" s="91" t="s">
        <v>111</v>
      </c>
      <c r="G67" s="92" t="s">
        <v>10</v>
      </c>
      <c r="H67" s="93" t="s">
        <v>112</v>
      </c>
    </row>
    <row r="68" spans="4:8" ht="32" x14ac:dyDescent="0.2">
      <c r="D68" s="86">
        <f t="shared" si="4"/>
        <v>9</v>
      </c>
      <c r="E68" s="89" t="s">
        <v>54</v>
      </c>
      <c r="F68" s="91" t="s">
        <v>70</v>
      </c>
      <c r="G68" s="90" t="s">
        <v>56</v>
      </c>
      <c r="H68" s="89" t="s">
        <v>113</v>
      </c>
    </row>
    <row r="69" spans="4:8" x14ac:dyDescent="0.2">
      <c r="D69" s="336"/>
      <c r="E69" s="335"/>
      <c r="F69" s="145"/>
      <c r="G69" s="144"/>
      <c r="H69" s="335"/>
    </row>
    <row r="70" spans="4:8" ht="16" x14ac:dyDescent="0.2">
      <c r="D70" s="85" t="s">
        <v>114</v>
      </c>
      <c r="E70" s="105"/>
      <c r="F70" s="106"/>
      <c r="G70" s="105"/>
      <c r="H70" s="107"/>
    </row>
    <row r="71" spans="4:8" ht="16" x14ac:dyDescent="0.2">
      <c r="D71" s="153" t="s">
        <v>3</v>
      </c>
      <c r="E71" s="154" t="s">
        <v>4</v>
      </c>
      <c r="F71" s="155" t="s">
        <v>5</v>
      </c>
      <c r="G71" s="154" t="s">
        <v>6</v>
      </c>
      <c r="H71" s="156" t="s">
        <v>7</v>
      </c>
    </row>
    <row r="72" spans="4:8" ht="16" x14ac:dyDescent="0.2">
      <c r="D72" s="86">
        <v>1</v>
      </c>
      <c r="E72" s="90" t="s">
        <v>29</v>
      </c>
      <c r="F72" s="91" t="s">
        <v>30</v>
      </c>
      <c r="G72" s="158" t="s">
        <v>31</v>
      </c>
      <c r="H72" s="159" t="s">
        <v>32</v>
      </c>
    </row>
    <row r="73" spans="4:8" ht="32" x14ac:dyDescent="0.2">
      <c r="D73" s="86">
        <f t="shared" ref="D73:D78" si="5">D72+1</f>
        <v>2</v>
      </c>
      <c r="E73" s="91" t="s">
        <v>104</v>
      </c>
      <c r="F73" s="91" t="s">
        <v>22</v>
      </c>
      <c r="G73" s="158" t="s">
        <v>23</v>
      </c>
      <c r="H73" s="159" t="s">
        <v>24</v>
      </c>
    </row>
    <row r="74" spans="4:8" ht="16" x14ac:dyDescent="0.2">
      <c r="D74" s="86">
        <f t="shared" si="5"/>
        <v>3</v>
      </c>
      <c r="E74" s="90" t="s">
        <v>34</v>
      </c>
      <c r="F74" s="91" t="s">
        <v>22</v>
      </c>
      <c r="G74" s="158" t="s">
        <v>23</v>
      </c>
      <c r="H74" s="159">
        <v>1</v>
      </c>
    </row>
    <row r="75" spans="4:8" ht="16" x14ac:dyDescent="0.2">
      <c r="D75" s="86">
        <f t="shared" si="5"/>
        <v>4</v>
      </c>
      <c r="E75" s="91" t="s">
        <v>39</v>
      </c>
      <c r="F75" s="91" t="s">
        <v>105</v>
      </c>
      <c r="G75" s="92" t="s">
        <v>10</v>
      </c>
      <c r="H75" s="93" t="s">
        <v>41</v>
      </c>
    </row>
    <row r="76" spans="4:8" ht="16" x14ac:dyDescent="0.2">
      <c r="D76" s="86">
        <f t="shared" si="5"/>
        <v>5</v>
      </c>
      <c r="E76" s="90" t="s">
        <v>43</v>
      </c>
      <c r="F76" s="91" t="s">
        <v>44</v>
      </c>
      <c r="G76" s="158" t="s">
        <v>18</v>
      </c>
      <c r="H76" s="158" t="s">
        <v>45</v>
      </c>
    </row>
    <row r="77" spans="4:8" ht="16" x14ac:dyDescent="0.2">
      <c r="D77" s="86">
        <f t="shared" si="5"/>
        <v>6</v>
      </c>
      <c r="E77" s="91" t="s">
        <v>115</v>
      </c>
      <c r="F77" s="91" t="s">
        <v>116</v>
      </c>
      <c r="G77" s="138" t="s">
        <v>66</v>
      </c>
      <c r="H77" s="108">
        <v>1234.56</v>
      </c>
    </row>
    <row r="78" spans="4:8" ht="16" x14ac:dyDescent="0.2">
      <c r="D78" s="86">
        <f t="shared" si="5"/>
        <v>7</v>
      </c>
      <c r="E78" s="91" t="s">
        <v>117</v>
      </c>
      <c r="F78" s="91" t="s">
        <v>118</v>
      </c>
      <c r="G78" s="138" t="s">
        <v>66</v>
      </c>
      <c r="H78" s="108">
        <v>1234.56</v>
      </c>
    </row>
    <row r="79" spans="4:8" ht="32" x14ac:dyDescent="0.2">
      <c r="D79" s="86">
        <v>9</v>
      </c>
      <c r="E79" s="89" t="s">
        <v>54</v>
      </c>
      <c r="F79" s="91" t="s">
        <v>70</v>
      </c>
      <c r="G79" s="90" t="s">
        <v>56</v>
      </c>
      <c r="H79" s="89" t="s">
        <v>113</v>
      </c>
    </row>
    <row r="81" spans="4:8" ht="16" x14ac:dyDescent="0.2">
      <c r="D81" s="87" t="s">
        <v>26</v>
      </c>
      <c r="E81" s="109"/>
      <c r="F81" s="110"/>
      <c r="G81" s="109"/>
      <c r="H81" s="111"/>
    </row>
    <row r="82" spans="4:8" ht="16" x14ac:dyDescent="0.2">
      <c r="D82" s="153" t="s">
        <v>3</v>
      </c>
      <c r="E82" s="154" t="s">
        <v>4</v>
      </c>
      <c r="F82" s="155" t="s">
        <v>5</v>
      </c>
      <c r="G82" s="154" t="s">
        <v>6</v>
      </c>
      <c r="H82" s="156" t="s">
        <v>7</v>
      </c>
    </row>
    <row r="83" spans="4:8" x14ac:dyDescent="0.2">
      <c r="D83" s="153"/>
      <c r="E83" s="154"/>
      <c r="F83" s="155"/>
      <c r="G83" s="154"/>
      <c r="H83" s="156"/>
    </row>
    <row r="84" spans="4:8" ht="16" x14ac:dyDescent="0.2">
      <c r="D84" s="86">
        <v>1</v>
      </c>
      <c r="E84" s="90" t="s">
        <v>29</v>
      </c>
      <c r="F84" s="91" t="s">
        <v>30</v>
      </c>
      <c r="G84" s="158" t="s">
        <v>31</v>
      </c>
      <c r="H84" s="159" t="s">
        <v>32</v>
      </c>
    </row>
    <row r="85" spans="4:8" ht="16" x14ac:dyDescent="0.2">
      <c r="D85" s="86">
        <v>2</v>
      </c>
      <c r="E85" s="91" t="s">
        <v>119</v>
      </c>
      <c r="F85" s="91" t="s">
        <v>22</v>
      </c>
      <c r="G85" s="158" t="s">
        <v>23</v>
      </c>
      <c r="H85" s="159" t="s">
        <v>24</v>
      </c>
    </row>
    <row r="86" spans="4:8" ht="16" x14ac:dyDescent="0.2">
      <c r="D86" s="86">
        <v>3</v>
      </c>
      <c r="E86" s="354" t="s">
        <v>120</v>
      </c>
      <c r="F86" s="355"/>
      <c r="G86" s="355"/>
      <c r="H86" s="356"/>
    </row>
    <row r="87" spans="4:8" ht="16" x14ac:dyDescent="0.2">
      <c r="D87" s="86"/>
      <c r="E87" s="115" t="s">
        <v>34</v>
      </c>
      <c r="F87" s="91" t="s">
        <v>22</v>
      </c>
      <c r="G87" s="158" t="s">
        <v>23</v>
      </c>
      <c r="H87" s="159">
        <v>1</v>
      </c>
    </row>
    <row r="88" spans="4:8" ht="16" x14ac:dyDescent="0.2">
      <c r="D88" s="86"/>
      <c r="E88" s="116" t="s">
        <v>39</v>
      </c>
      <c r="F88" s="91" t="s">
        <v>121</v>
      </c>
      <c r="G88" s="92" t="s">
        <v>10</v>
      </c>
      <c r="H88" s="93" t="s">
        <v>41</v>
      </c>
    </row>
    <row r="89" spans="4:8" ht="16" x14ac:dyDescent="0.2">
      <c r="D89" s="86"/>
      <c r="E89" s="115" t="s">
        <v>43</v>
      </c>
      <c r="F89" s="91" t="s">
        <v>44</v>
      </c>
      <c r="G89" s="158" t="s">
        <v>18</v>
      </c>
      <c r="H89" s="158" t="s">
        <v>45</v>
      </c>
    </row>
    <row r="90" spans="4:8" ht="112" x14ac:dyDescent="0.2">
      <c r="D90" s="86"/>
      <c r="E90" s="116" t="s">
        <v>122</v>
      </c>
      <c r="F90" s="91" t="s">
        <v>123</v>
      </c>
      <c r="G90" s="92" t="s">
        <v>10</v>
      </c>
      <c r="H90" s="93" t="s">
        <v>124</v>
      </c>
    </row>
    <row r="91" spans="4:8" ht="16" x14ac:dyDescent="0.2">
      <c r="D91" s="86"/>
      <c r="E91" s="116" t="s">
        <v>125</v>
      </c>
      <c r="F91" s="91" t="s">
        <v>126</v>
      </c>
      <c r="G91" s="138" t="s">
        <v>66</v>
      </c>
      <c r="H91" s="108">
        <v>678.89</v>
      </c>
    </row>
    <row r="92" spans="4:8" ht="32" x14ac:dyDescent="0.2">
      <c r="D92" s="86"/>
      <c r="E92" s="116" t="s">
        <v>54</v>
      </c>
      <c r="F92" s="91" t="s">
        <v>70</v>
      </c>
      <c r="G92" s="90" t="s">
        <v>56</v>
      </c>
      <c r="H92" s="108" t="s">
        <v>127</v>
      </c>
    </row>
    <row r="93" spans="4:8" ht="16" x14ac:dyDescent="0.2">
      <c r="D93" s="86">
        <v>4</v>
      </c>
      <c r="E93" s="354" t="s">
        <v>128</v>
      </c>
      <c r="F93" s="355"/>
      <c r="G93" s="355"/>
      <c r="H93" s="356"/>
    </row>
    <row r="94" spans="4:8" ht="16" x14ac:dyDescent="0.2">
      <c r="D94" s="86"/>
      <c r="E94" s="115" t="s">
        <v>34</v>
      </c>
      <c r="F94" s="91" t="s">
        <v>22</v>
      </c>
      <c r="G94" s="158" t="s">
        <v>23</v>
      </c>
      <c r="H94" s="159">
        <v>1</v>
      </c>
    </row>
    <row r="95" spans="4:8" ht="16" x14ac:dyDescent="0.2">
      <c r="D95" s="86"/>
      <c r="E95" s="116" t="s">
        <v>39</v>
      </c>
      <c r="F95" s="91" t="s">
        <v>129</v>
      </c>
      <c r="G95" s="92" t="s">
        <v>10</v>
      </c>
      <c r="H95" s="93" t="s">
        <v>41</v>
      </c>
    </row>
    <row r="96" spans="4:8" ht="16" x14ac:dyDescent="0.2">
      <c r="D96" s="86"/>
      <c r="E96" s="115" t="s">
        <v>43</v>
      </c>
      <c r="F96" s="91" t="s">
        <v>44</v>
      </c>
      <c r="G96" s="158" t="s">
        <v>18</v>
      </c>
      <c r="H96" s="158" t="s">
        <v>45</v>
      </c>
    </row>
    <row r="97" spans="4:8" ht="16" x14ac:dyDescent="0.2">
      <c r="D97" s="86"/>
      <c r="E97" s="116" t="s">
        <v>125</v>
      </c>
      <c r="F97" s="91" t="s">
        <v>130</v>
      </c>
      <c r="G97" s="138" t="s">
        <v>66</v>
      </c>
      <c r="H97" s="108">
        <v>678.89</v>
      </c>
    </row>
    <row r="98" spans="4:8" ht="80" x14ac:dyDescent="0.2">
      <c r="D98" s="86"/>
      <c r="E98" s="116" t="s">
        <v>131</v>
      </c>
      <c r="F98" s="91" t="s">
        <v>132</v>
      </c>
      <c r="G98" s="92" t="s">
        <v>10</v>
      </c>
      <c r="H98" s="93" t="s">
        <v>133</v>
      </c>
    </row>
    <row r="99" spans="4:8" ht="32" x14ac:dyDescent="0.2">
      <c r="D99" s="86"/>
      <c r="E99" s="115" t="s">
        <v>54</v>
      </c>
      <c r="F99" s="91" t="s">
        <v>70</v>
      </c>
      <c r="G99" s="90" t="s">
        <v>56</v>
      </c>
      <c r="H99" s="89"/>
    </row>
    <row r="101" spans="4:8" ht="16" x14ac:dyDescent="0.2">
      <c r="D101" s="88" t="s">
        <v>28</v>
      </c>
      <c r="E101" s="112"/>
      <c r="F101" s="113"/>
      <c r="G101" s="112"/>
      <c r="H101" s="114"/>
    </row>
    <row r="102" spans="4:8" ht="16" x14ac:dyDescent="0.2">
      <c r="D102" s="153" t="s">
        <v>3</v>
      </c>
      <c r="E102" s="154" t="s">
        <v>4</v>
      </c>
      <c r="F102" s="155" t="s">
        <v>5</v>
      </c>
      <c r="G102" s="154" t="s">
        <v>6</v>
      </c>
      <c r="H102" s="156" t="s">
        <v>7</v>
      </c>
    </row>
    <row r="103" spans="4:8" ht="16" x14ac:dyDescent="0.2">
      <c r="D103" s="86">
        <v>1</v>
      </c>
      <c r="E103" s="90" t="s">
        <v>29</v>
      </c>
      <c r="F103" s="91" t="s">
        <v>30</v>
      </c>
      <c r="G103" s="158" t="s">
        <v>31</v>
      </c>
      <c r="H103" s="159" t="s">
        <v>32</v>
      </c>
    </row>
    <row r="104" spans="4:8" ht="32" x14ac:dyDescent="0.2">
      <c r="D104" s="86">
        <f>D103+1</f>
        <v>2</v>
      </c>
      <c r="E104" s="91" t="s">
        <v>134</v>
      </c>
      <c r="F104" s="91" t="s">
        <v>22</v>
      </c>
      <c r="G104" s="158" t="s">
        <v>23</v>
      </c>
      <c r="H104" s="159" t="s">
        <v>24</v>
      </c>
    </row>
    <row r="105" spans="4:8" ht="16" x14ac:dyDescent="0.2">
      <c r="D105" s="86">
        <v>3</v>
      </c>
      <c r="E105" s="91" t="s">
        <v>135</v>
      </c>
      <c r="F105" s="91"/>
      <c r="G105" s="158"/>
      <c r="H105" s="159"/>
    </row>
    <row r="106" spans="4:8" ht="16" x14ac:dyDescent="0.2">
      <c r="D106" s="86"/>
      <c r="E106" s="115" t="s">
        <v>34</v>
      </c>
      <c r="F106" s="91" t="s">
        <v>22</v>
      </c>
      <c r="G106" s="158" t="s">
        <v>23</v>
      </c>
      <c r="H106" s="159">
        <v>1</v>
      </c>
    </row>
    <row r="107" spans="4:8" ht="16" x14ac:dyDescent="0.2">
      <c r="D107" s="86"/>
      <c r="E107" s="116" t="s">
        <v>39</v>
      </c>
      <c r="F107" s="91" t="s">
        <v>136</v>
      </c>
      <c r="G107" s="92" t="s">
        <v>10</v>
      </c>
      <c r="H107" s="93" t="s">
        <v>41</v>
      </c>
    </row>
    <row r="108" spans="4:8" ht="16" x14ac:dyDescent="0.2">
      <c r="D108" s="86"/>
      <c r="E108" s="115" t="s">
        <v>43</v>
      </c>
      <c r="F108" s="91" t="s">
        <v>44</v>
      </c>
      <c r="G108" s="158" t="s">
        <v>18</v>
      </c>
      <c r="H108" s="158" t="s">
        <v>45</v>
      </c>
    </row>
    <row r="109" spans="4:8" ht="160" x14ac:dyDescent="0.2">
      <c r="D109" s="86"/>
      <c r="E109" s="116" t="s">
        <v>137</v>
      </c>
      <c r="F109" s="427" t="s">
        <v>138</v>
      </c>
      <c r="G109" s="92" t="s">
        <v>10</v>
      </c>
      <c r="H109" s="93" t="s">
        <v>139</v>
      </c>
    </row>
    <row r="110" spans="4:8" ht="16" x14ac:dyDescent="0.2">
      <c r="D110" s="86"/>
      <c r="E110" s="116" t="s">
        <v>140</v>
      </c>
      <c r="F110" s="91" t="s">
        <v>141</v>
      </c>
      <c r="G110" s="138" t="s">
        <v>66</v>
      </c>
      <c r="H110" s="108">
        <v>456.98</v>
      </c>
    </row>
    <row r="111" spans="4:8" ht="144" x14ac:dyDescent="0.2">
      <c r="D111" s="86"/>
      <c r="E111" s="424" t="s">
        <v>142</v>
      </c>
      <c r="F111" s="432" t="s">
        <v>143</v>
      </c>
      <c r="G111" s="92" t="s">
        <v>10</v>
      </c>
      <c r="H111" s="93" t="s">
        <v>144</v>
      </c>
    </row>
    <row r="112" spans="4:8" ht="32" x14ac:dyDescent="0.2">
      <c r="D112" s="86"/>
      <c r="E112" s="410" t="s">
        <v>54</v>
      </c>
      <c r="F112" s="91" t="s">
        <v>70</v>
      </c>
      <c r="G112" s="90" t="s">
        <v>56</v>
      </c>
      <c r="H112" s="89"/>
    </row>
    <row r="113" spans="4:8" x14ac:dyDescent="0.2">
      <c r="D113" s="10"/>
    </row>
    <row r="114" spans="4:8" ht="16" hidden="1" x14ac:dyDescent="0.2">
      <c r="D114" s="127" t="s">
        <v>145</v>
      </c>
      <c r="E114" s="128"/>
      <c r="F114" s="129"/>
      <c r="G114" s="128"/>
      <c r="H114" s="130"/>
    </row>
    <row r="115" spans="4:8" ht="16" hidden="1" x14ac:dyDescent="0.2">
      <c r="D115" s="153" t="s">
        <v>3</v>
      </c>
      <c r="E115" s="154" t="s">
        <v>4</v>
      </c>
      <c r="F115" s="155" t="s">
        <v>5</v>
      </c>
      <c r="G115" s="154" t="s">
        <v>6</v>
      </c>
      <c r="H115" s="156" t="s">
        <v>7</v>
      </c>
    </row>
    <row r="116" spans="4:8" ht="16" hidden="1" x14ac:dyDescent="0.2">
      <c r="D116" s="86">
        <v>1</v>
      </c>
      <c r="E116" s="90" t="s">
        <v>8</v>
      </c>
      <c r="F116" s="91" t="s">
        <v>30</v>
      </c>
      <c r="G116" s="158" t="s">
        <v>31</v>
      </c>
      <c r="H116" s="159" t="s">
        <v>11</v>
      </c>
    </row>
    <row r="117" spans="4:8" ht="16" hidden="1" x14ac:dyDescent="0.2">
      <c r="D117" s="86">
        <f t="shared" ref="D117:D118" si="6">D116+1</f>
        <v>2</v>
      </c>
      <c r="E117" s="91" t="s">
        <v>12</v>
      </c>
      <c r="F117" s="91" t="s">
        <v>22</v>
      </c>
      <c r="G117" s="158" t="s">
        <v>23</v>
      </c>
      <c r="H117" s="159">
        <v>2024</v>
      </c>
    </row>
    <row r="118" spans="4:8" ht="32" hidden="1" x14ac:dyDescent="0.2">
      <c r="D118" s="86">
        <f t="shared" si="6"/>
        <v>3</v>
      </c>
      <c r="E118" s="91" t="s">
        <v>146</v>
      </c>
      <c r="F118" s="91" t="s">
        <v>147</v>
      </c>
      <c r="G118" s="158" t="s">
        <v>23</v>
      </c>
      <c r="H118" s="159" t="s">
        <v>24</v>
      </c>
    </row>
  </sheetData>
  <hyperlinks>
    <hyperlink ref="B5" location="Instructions!D4" display="1. Data Info and Summary" xr:uid="{95F30B66-5CDB-384B-89D2-7506D25DA7A8}"/>
    <hyperlink ref="B8" location="Instructions!D38" display="2.2 Refrigerants" xr:uid="{A8F26129-AD07-3749-97CF-C0C64C670571}"/>
    <hyperlink ref="B7" location="Instructions!D23" display="2.1b Fuel - Mobile" xr:uid="{DF440224-5EE9-BB44-BDB2-2CCA1A4A2F1B}"/>
    <hyperlink ref="B9" location="Instructions!D58" display="2.3 Electricity" xr:uid="{F000D8B3-91FC-4944-AB67-0197BF83215E}"/>
    <hyperlink ref="B11" location="Instructions!D81" display="2.4 Water" xr:uid="{CB1FDA8B-731C-8646-A096-A66A9C90FD75}"/>
    <hyperlink ref="B12" location="Instructions!D101" display="2.5 Waste" xr:uid="{A10895CE-D90C-FD4C-B273-D8E060E55A30}"/>
    <hyperlink ref="B6" location="Instructions!D11" display="2.1a Fuel - Stationary" xr:uid="{2048D4B0-F6A7-D940-9BCA-352F36A502E7}"/>
    <hyperlink ref="B10" location="Instructions!D70" display="2.3b RE - Solar" xr:uid="{F467FB3B-886C-4994-AB80-EC3A4BBE9679}"/>
  </hyperlinks>
  <pageMargins left="0.7" right="0.7" top="0.75" bottom="0.75" header="0.3" footer="0.3"/>
  <headerFooter>
    <oddFooter>&amp;L_x000D_&amp;1#&amp;"Calibri"&amp;11&amp;K000000 Classification: GENERAL</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95D6E-76EA-404E-99E7-49B0A126669A}">
  <sheetPr codeName="Sheet2">
    <tabColor theme="1" tint="0.499984740745262"/>
  </sheetPr>
  <dimension ref="A2:G49"/>
  <sheetViews>
    <sheetView zoomScale="88" zoomScaleNormal="60" workbookViewId="0">
      <selection activeCell="E12" sqref="E12"/>
    </sheetView>
  </sheetViews>
  <sheetFormatPr baseColWidth="10" defaultColWidth="10.83203125" defaultRowHeight="19" x14ac:dyDescent="0.2"/>
  <cols>
    <col min="1" max="1" width="4.83203125" style="118" customWidth="1"/>
    <col min="2" max="2" width="3.1640625" style="52" customWidth="1"/>
    <col min="3" max="3" width="43.1640625" style="52" bestFit="1" customWidth="1"/>
    <col min="4" max="7" width="17" style="52" customWidth="1"/>
    <col min="8" max="16384" width="10.83203125" style="52"/>
  </cols>
  <sheetData>
    <row r="2" spans="3:7" x14ac:dyDescent="0.2">
      <c r="C2" s="117" t="s">
        <v>8</v>
      </c>
      <c r="D2" s="444" t="s">
        <v>437</v>
      </c>
      <c r="E2" s="445"/>
      <c r="F2" s="445"/>
      <c r="G2" s="446"/>
    </row>
    <row r="3" spans="3:7" x14ac:dyDescent="0.2">
      <c r="C3" s="117" t="s">
        <v>12</v>
      </c>
      <c r="D3" s="444">
        <v>2024</v>
      </c>
      <c r="E3" s="445"/>
      <c r="F3" s="445"/>
      <c r="G3" s="446"/>
    </row>
    <row r="5" spans="3:7" ht="19" customHeight="1" x14ac:dyDescent="0.2">
      <c r="C5" s="443" t="s">
        <v>148</v>
      </c>
      <c r="D5" s="443"/>
      <c r="E5" s="443"/>
      <c r="F5" s="443"/>
      <c r="G5" s="443"/>
    </row>
    <row r="7" spans="3:7" x14ac:dyDescent="0.2">
      <c r="C7" s="178" t="s">
        <v>16</v>
      </c>
      <c r="D7" s="179" t="s">
        <v>45</v>
      </c>
      <c r="E7" s="179" t="s">
        <v>149</v>
      </c>
      <c r="F7" s="179" t="s">
        <v>150</v>
      </c>
      <c r="G7" s="179" t="s">
        <v>151</v>
      </c>
    </row>
    <row r="8" spans="3:7" x14ac:dyDescent="0.2">
      <c r="C8" s="180" t="s">
        <v>152</v>
      </c>
      <c r="D8" s="181" t="str" cm="1">
        <f t="array" ref="D8">IF(SUMPRODUCT(--('2.1a Fuel - Buildings'!D11:D15&gt;0))&gt;0, "x", "")</f>
        <v>x</v>
      </c>
      <c r="E8" s="181" t="str" cm="1">
        <f t="array" ref="E8">IF(SUMPRODUCT(--('2.1a Fuel - Buildings'!E11:E15&gt;0))&gt;0, "x", "")</f>
        <v>x</v>
      </c>
      <c r="F8" s="181" t="str" cm="1">
        <f t="array" ref="F8">IF(SUMPRODUCT(--('2.1a Fuel - Buildings'!F11:F15&gt;0))&gt;0, "x", "")</f>
        <v>x</v>
      </c>
      <c r="G8" s="181" t="str" cm="1">
        <f t="array" ref="G8">IF(SUMPRODUCT(--('2.1a Fuel - Buildings'!G11:G15&gt;0))&gt;0, "x", "")</f>
        <v>x</v>
      </c>
    </row>
    <row r="9" spans="3:7" x14ac:dyDescent="0.2">
      <c r="C9" s="182" t="s">
        <v>153</v>
      </c>
      <c r="D9" s="183" t="str" cm="1">
        <f t="array" ref="D9">IF(SUMPRODUCT(--('2.1b Fuel - Vehicles'!D11:D12&gt;0))&gt;0, "x", "")</f>
        <v>x</v>
      </c>
      <c r="E9" s="183" t="str" cm="1">
        <f t="array" ref="E9">IF(SUMPRODUCT(--('2.1b Fuel - Vehicles'!E11:E12&gt;0))&gt;0, "x", "")</f>
        <v>x</v>
      </c>
      <c r="F9" s="183" t="str" cm="1">
        <f t="array" ref="F9">IF(SUMPRODUCT(--('2.1b Fuel - Vehicles'!F11:F12&gt;0))&gt;0, "x", "")</f>
        <v>x</v>
      </c>
      <c r="G9" s="183" t="str" cm="1">
        <f t="array" ref="G9">IF(SUMPRODUCT(--('2.1b Fuel - Vehicles'!G11:G12&gt;0))&gt;0, "x", "")</f>
        <v>x</v>
      </c>
    </row>
    <row r="10" spans="3:7" x14ac:dyDescent="0.2">
      <c r="C10" s="182" t="s">
        <v>154</v>
      </c>
      <c r="D10" s="183" t="str" cm="1">
        <f t="array" ref="D10">IF(SUMPRODUCT(--('2.2 Refrigerants'!D11:D13&gt;0))&gt;0, "x", "")</f>
        <v/>
      </c>
      <c r="E10" s="183" t="str" cm="1">
        <f t="array" ref="E10">IF(SUMPRODUCT(--('2.2 Refrigerants'!E11:E13&gt;0))&gt;0, "x", "")</f>
        <v>x</v>
      </c>
      <c r="F10" s="183" t="str" cm="1">
        <f t="array" ref="F10">IF(SUMPRODUCT(--('2.2 Refrigerants'!F11:F13&gt;0))&gt;0, "x", "")</f>
        <v>x</v>
      </c>
      <c r="G10" s="183" t="str" cm="1">
        <f t="array" ref="G10">IF(SUMPRODUCT(--('2.2 Refrigerants'!G11:G13&gt;0))&gt;0, "x", "")</f>
        <v/>
      </c>
    </row>
    <row r="11" spans="3:7" x14ac:dyDescent="0.2">
      <c r="C11" s="182" t="s">
        <v>155</v>
      </c>
      <c r="D11" s="183" t="str" cm="1">
        <f t="array" ref="D11">IF(SUMPRODUCT(--('2.3a Electricity'!D12:D12&gt;0))&gt;0, "x", "")</f>
        <v>x</v>
      </c>
      <c r="E11" s="183" t="str" cm="1">
        <f t="array" ref="E11">IF(SUMPRODUCT(--('2.3a Electricity'!E12:E12&gt;0))&gt;0, "x", "")</f>
        <v>x</v>
      </c>
      <c r="F11" s="183" t="str" cm="1">
        <f t="array" ref="F11">IF(SUMPRODUCT(--('2.3a Electricity'!F12:F12&gt;0))&gt;0, "x", "")</f>
        <v>x</v>
      </c>
      <c r="G11" s="183" t="str" cm="1">
        <f t="array" ref="G11">IF(SUMPRODUCT(--('2.3a Electricity'!G12:G12&gt;0))&gt;0, "x", "")</f>
        <v>x</v>
      </c>
    </row>
    <row r="12" spans="3:7" x14ac:dyDescent="0.2">
      <c r="C12" s="182" t="s">
        <v>156</v>
      </c>
      <c r="D12" s="183" t="str">
        <f>IF('2.3b RE - Solar'!D11&lt;&gt;0,"x","")</f>
        <v>x</v>
      </c>
      <c r="E12" s="183" t="str">
        <f>IF('2.3b RE - Solar'!E11&lt;&gt;0,"x","")</f>
        <v>x</v>
      </c>
      <c r="F12" s="183" t="str">
        <f>IF('2.3b RE - Solar'!F11&lt;&gt;0,"x","")</f>
        <v>x</v>
      </c>
      <c r="G12" s="183" t="str">
        <f>IF('2.3b RE - Solar'!G11&lt;&gt;0,"x","")</f>
        <v>x</v>
      </c>
    </row>
    <row r="13" spans="3:7" x14ac:dyDescent="0.2">
      <c r="C13" s="182" t="s">
        <v>157</v>
      </c>
      <c r="D13" s="183" t="str">
        <f>IF(SUM('2.4 Water'!D11:D12)&lt;&gt;0,"x","")</f>
        <v>x</v>
      </c>
      <c r="E13" s="183" t="str">
        <f>IF(SUM('2.4 Water'!E11:E12)&lt;&gt;0,"x","")</f>
        <v>x</v>
      </c>
      <c r="F13" s="183" t="str">
        <f>IF(SUM('2.4 Water'!F11:F12)&lt;&gt;0,"x","")</f>
        <v>x</v>
      </c>
      <c r="G13" s="183" t="str">
        <f>IF(SUM('2.4 Water'!G11:G12)&lt;&gt;0,"x","")</f>
        <v>x</v>
      </c>
    </row>
    <row r="14" spans="3:7" x14ac:dyDescent="0.2">
      <c r="C14" s="182" t="s">
        <v>158</v>
      </c>
      <c r="D14" s="183" t="str" cm="1">
        <f t="array" ref="D14">IF(SUMPRODUCT(--('2.5 Waste'!D11:D16&gt;0))&gt;0, "x", "")</f>
        <v>x</v>
      </c>
      <c r="E14" s="183" t="str" cm="1">
        <f t="array" ref="E14">IF(SUMPRODUCT(--('2.5 Waste'!E11:E16&gt;0))&gt;0, "x", "")</f>
        <v>x</v>
      </c>
      <c r="F14" s="183" t="str" cm="1">
        <f t="array" ref="F14">IF(SUMPRODUCT(--('2.5 Waste'!F11:F16&gt;0))&gt;0, "x", "")</f>
        <v>x</v>
      </c>
      <c r="G14" s="183" t="str" cm="1">
        <f t="array" ref="G14">IF(SUMPRODUCT(--('2.5 Waste'!G11:G16&gt;0))&gt;0, "x", "")</f>
        <v>x</v>
      </c>
    </row>
    <row r="16" spans="3:7" x14ac:dyDescent="0.2">
      <c r="C16" s="184" t="s">
        <v>159</v>
      </c>
      <c r="D16" s="185"/>
      <c r="E16" s="186"/>
    </row>
    <row r="17" spans="3:5" x14ac:dyDescent="0.2">
      <c r="C17" s="187" t="str">
        <f>'2.1a Fuel - Buildings'!B10</f>
        <v>Fuel Type</v>
      </c>
      <c r="D17" s="187" t="str">
        <f>'2.1a Fuel - Buildings'!C10</f>
        <v>Unit</v>
      </c>
      <c r="E17" s="188" t="s">
        <v>160</v>
      </c>
    </row>
    <row r="18" spans="3:5" x14ac:dyDescent="0.2">
      <c r="C18" s="189" t="str">
        <f>'2.1a Fuel - Buildings'!B11</f>
        <v>Diesel - Standby generator sets</v>
      </c>
      <c r="D18" s="189" t="str">
        <f>'2.1a Fuel - Buildings'!C11</f>
        <v>Liters</v>
      </c>
      <c r="E18" s="190">
        <f>SUM('2.1a Fuel - Buildings'!$D$11:$G$11)</f>
        <v>203.7</v>
      </c>
    </row>
    <row r="19" spans="3:5" x14ac:dyDescent="0.2">
      <c r="C19" s="189" t="str">
        <f>'2.1a Fuel - Buildings'!B12</f>
        <v>Diesel - Others</v>
      </c>
      <c r="D19" s="189" t="str">
        <f>'2.1a Fuel - Buildings'!C12</f>
        <v>Liters</v>
      </c>
      <c r="E19" s="190">
        <f>SUM('2.1a Fuel - Buildings'!$D$12:$G$12)</f>
        <v>0</v>
      </c>
    </row>
    <row r="20" spans="3:5" x14ac:dyDescent="0.2">
      <c r="C20" s="189" t="str">
        <f>'2.1a Fuel - Buildings'!B13</f>
        <v>Gasoline - Others</v>
      </c>
      <c r="D20" s="189" t="str">
        <f>'2.1a Fuel - Buildings'!C13</f>
        <v>Liters</v>
      </c>
      <c r="E20" s="190">
        <f>SUM('2.1a Fuel - Buildings'!$D$13:$G$13)</f>
        <v>0</v>
      </c>
    </row>
    <row r="21" spans="3:5" x14ac:dyDescent="0.2">
      <c r="C21" s="189" t="str">
        <f>'2.1a Fuel - Buildings'!B14</f>
        <v>LPG - Heating and cooking</v>
      </c>
      <c r="D21" s="189" t="str">
        <f>'2.1a Fuel - Buildings'!C14</f>
        <v>Kilograms</v>
      </c>
      <c r="E21" s="190">
        <f>SUM('2.1a Fuel - Buildings'!$D$14:$G$14)</f>
        <v>0</v>
      </c>
    </row>
    <row r="22" spans="3:5" x14ac:dyDescent="0.2">
      <c r="C22" s="189" t="str">
        <f>'2.1a Fuel - Buildings'!B15</f>
        <v>Compressed natural gas</v>
      </c>
      <c r="D22" s="189" t="str">
        <f>'2.1a Fuel - Buildings'!C15</f>
        <v>Cubic meters</v>
      </c>
      <c r="E22" s="190">
        <f>SUM('2.1a Fuel - Buildings'!$D$15:$G$15)</f>
        <v>0</v>
      </c>
    </row>
    <row r="23" spans="3:5" x14ac:dyDescent="0.2">
      <c r="E23" s="69"/>
    </row>
    <row r="24" spans="3:5" x14ac:dyDescent="0.2">
      <c r="C24" s="184" t="s">
        <v>161</v>
      </c>
      <c r="D24" s="185"/>
      <c r="E24" s="186"/>
    </row>
    <row r="25" spans="3:5" x14ac:dyDescent="0.2">
      <c r="C25" s="187" t="str">
        <f>'2.1b Fuel - Vehicles'!B10</f>
        <v>Fuel Type</v>
      </c>
      <c r="D25" s="187" t="str">
        <f>'2.1b Fuel - Vehicles'!C10</f>
        <v>Unit</v>
      </c>
      <c r="E25" s="187" t="s">
        <v>160</v>
      </c>
    </row>
    <row r="26" spans="3:5" x14ac:dyDescent="0.2">
      <c r="C26" s="189" t="str">
        <f>'2.1b Fuel - Vehicles'!B11</f>
        <v>Diesel - Transport vehicles</v>
      </c>
      <c r="D26" s="189" t="str">
        <f>'2.1b Fuel - Vehicles'!C11</f>
        <v>Liters</v>
      </c>
      <c r="E26" s="191">
        <f>SUM('2.1b Fuel - Vehicles'!$D11:$G11)</f>
        <v>2738.5499999999997</v>
      </c>
    </row>
    <row r="27" spans="3:5" x14ac:dyDescent="0.2">
      <c r="C27" s="189" t="str">
        <f>'2.1b Fuel - Vehicles'!B12</f>
        <v>Gasoline - Transport vehicles</v>
      </c>
      <c r="D27" s="189" t="str">
        <f>'2.1b Fuel - Vehicles'!C12</f>
        <v>Liters</v>
      </c>
      <c r="E27" s="191">
        <f>SUM('2.1b Fuel - Vehicles'!$D12:$G12)</f>
        <v>0</v>
      </c>
    </row>
    <row r="28" spans="3:5" x14ac:dyDescent="0.2">
      <c r="E28" s="69"/>
    </row>
    <row r="29" spans="3:5" x14ac:dyDescent="0.2">
      <c r="C29" s="184" t="s">
        <v>162</v>
      </c>
      <c r="D29" s="185"/>
      <c r="E29" s="186"/>
    </row>
    <row r="30" spans="3:5" x14ac:dyDescent="0.2">
      <c r="C30" s="187" t="str">
        <f>'2.3a Electricity'!B11</f>
        <v>Electricity</v>
      </c>
      <c r="D30" s="187" t="str">
        <f>'2.3a Electricity'!C11</f>
        <v>Unit</v>
      </c>
      <c r="E30" s="192" t="s">
        <v>160</v>
      </c>
    </row>
    <row r="31" spans="3:5" x14ac:dyDescent="0.2">
      <c r="C31" s="189" t="str">
        <f>'2.3a Electricity'!B12</f>
        <v>Quantity</v>
      </c>
      <c r="D31" s="189" t="str">
        <f>'2.3a Electricity'!C12</f>
        <v>Kilowatt-hour</v>
      </c>
      <c r="E31" s="190">
        <f>SUM('2.3a Electricity'!$D$12:$G$12)</f>
        <v>327740</v>
      </c>
    </row>
    <row r="32" spans="3:5" x14ac:dyDescent="0.2">
      <c r="E32" s="69"/>
    </row>
    <row r="33" spans="3:5" x14ac:dyDescent="0.2">
      <c r="C33" s="184" t="s">
        <v>163</v>
      </c>
      <c r="D33" s="185"/>
      <c r="E33" s="186"/>
    </row>
    <row r="34" spans="3:5" x14ac:dyDescent="0.2">
      <c r="C34" s="425" t="str">
        <f>'2.3b RE - Solar'!B9</f>
        <v>Summary of Solar Energy Generated</v>
      </c>
      <c r="D34" s="187" t="str">
        <f>'2.3b RE - Solar'!C10</f>
        <v>Unit</v>
      </c>
      <c r="E34" s="192" t="s">
        <v>160</v>
      </c>
    </row>
    <row r="35" spans="3:5" x14ac:dyDescent="0.2">
      <c r="C35" s="189" t="str">
        <f>'2.3b RE - Solar'!B11</f>
        <v>Quantity</v>
      </c>
      <c r="D35" s="189" t="str">
        <f>'2.3b RE - Solar'!C11</f>
        <v>Kilowatt-hour</v>
      </c>
      <c r="E35" s="190">
        <f>SUM('2.3b RE - Solar'!D11:G11)</f>
        <v>1.1999999999999999E-6</v>
      </c>
    </row>
    <row r="36" spans="3:5" x14ac:dyDescent="0.2">
      <c r="E36" s="69"/>
    </row>
    <row r="37" spans="3:5" x14ac:dyDescent="0.2">
      <c r="C37" s="184" t="s">
        <v>164</v>
      </c>
      <c r="D37" s="185"/>
      <c r="E37" s="186"/>
    </row>
    <row r="38" spans="3:5" x14ac:dyDescent="0.2">
      <c r="C38" s="187" t="str">
        <f>'2.4 Water'!B10</f>
        <v>Water</v>
      </c>
      <c r="D38" s="187" t="str">
        <f>'2.4 Water'!C10</f>
        <v>Unit</v>
      </c>
      <c r="E38" s="192" t="s">
        <v>160</v>
      </c>
    </row>
    <row r="39" spans="3:5" x14ac:dyDescent="0.2">
      <c r="C39" s="189" t="str">
        <f>'2.4 Water'!B11</f>
        <v>Water Intake</v>
      </c>
      <c r="D39" s="189" t="str">
        <f>'2.4 Water'!C11</f>
        <v>Cubic meters</v>
      </c>
      <c r="E39" s="190">
        <f>SUM('2.4 Water'!$D$11:$G$11)</f>
        <v>2799</v>
      </c>
    </row>
    <row r="40" spans="3:5" x14ac:dyDescent="0.2">
      <c r="C40" s="189" t="str">
        <f>'2.4 Water'!B12</f>
        <v>Water Discharge</v>
      </c>
      <c r="D40" s="189" t="str">
        <f>'2.4 Water'!C12</f>
        <v>Cubic meters</v>
      </c>
      <c r="E40" s="190">
        <f>SUM('2.4 Water'!$D$12:$G$12)</f>
        <v>2799</v>
      </c>
    </row>
    <row r="42" spans="3:5" x14ac:dyDescent="0.2">
      <c r="C42" s="184" t="s">
        <v>165</v>
      </c>
      <c r="D42" s="185"/>
      <c r="E42" s="423"/>
    </row>
    <row r="43" spans="3:5" ht="40" x14ac:dyDescent="0.2">
      <c r="C43" s="187" t="str">
        <f>'2.5 Waste'!B10</f>
        <v>Waste Composition</v>
      </c>
      <c r="D43" s="187" t="str">
        <f>'2.5 Waste'!C10</f>
        <v>Unit</v>
      </c>
      <c r="E43" s="433" t="s">
        <v>166</v>
      </c>
    </row>
    <row r="44" spans="3:5" x14ac:dyDescent="0.2">
      <c r="C44" s="189" t="str">
        <f>'2.5 Waste'!B11</f>
        <v>Compostable</v>
      </c>
      <c r="D44" s="189" t="str">
        <f>'2.5 Waste'!C11</f>
        <v>Kilograms</v>
      </c>
      <c r="E44" s="191">
        <f>SUM('2.5 Waste'!$D$11:$G$11)</f>
        <v>0</v>
      </c>
    </row>
    <row r="45" spans="3:5" x14ac:dyDescent="0.2">
      <c r="C45" s="189" t="str">
        <f>'2.5 Waste'!B12</f>
        <v>Recyclable</v>
      </c>
      <c r="D45" s="189" t="str">
        <f>'2.5 Waste'!C12</f>
        <v>Kilograms</v>
      </c>
      <c r="E45" s="191">
        <f>SUM('2.5 Waste'!$D$12:$G$12)</f>
        <v>0</v>
      </c>
    </row>
    <row r="46" spans="3:5" x14ac:dyDescent="0.2">
      <c r="C46" s="189" t="str">
        <f>'2.5 Waste'!B13</f>
        <v>Infectious</v>
      </c>
      <c r="D46" s="189" t="str">
        <f>'2.5 Waste'!C13</f>
        <v>Kilograms</v>
      </c>
      <c r="E46" s="191">
        <f>SUM('2.5 Waste'!$D$13:$G$13)</f>
        <v>0</v>
      </c>
    </row>
    <row r="47" spans="3:5" x14ac:dyDescent="0.2">
      <c r="C47" s="189" t="str">
        <f>'2.5 Waste'!B14</f>
        <v>Security</v>
      </c>
      <c r="D47" s="189" t="str">
        <f>'2.5 Waste'!C14</f>
        <v>Kilograms</v>
      </c>
      <c r="E47" s="191">
        <f>SUM('2.5 Waste'!$D$14:$G$14)</f>
        <v>927</v>
      </c>
    </row>
    <row r="48" spans="3:5" x14ac:dyDescent="0.2">
      <c r="C48" s="189" t="str">
        <f>'2.5 Waste'!B15</f>
        <v>Hazardous</v>
      </c>
      <c r="D48" s="189" t="str">
        <f>'2.5 Waste'!C15</f>
        <v>Kilograms</v>
      </c>
      <c r="E48" s="191">
        <f>SUM('2.5 Waste'!$D$14:$G$14)</f>
        <v>927</v>
      </c>
    </row>
    <row r="49" spans="3:5" x14ac:dyDescent="0.2">
      <c r="C49" s="189" t="str">
        <f>'2.5 Waste'!B16</f>
        <v>Residual/Landfill</v>
      </c>
      <c r="D49" s="189" t="str">
        <f>'2.5 Waste'!C16</f>
        <v>Kilograms</v>
      </c>
      <c r="E49" s="191">
        <f>SUM('2.5 Waste'!$D$14:$G$14)</f>
        <v>927</v>
      </c>
    </row>
  </sheetData>
  <sheetProtection selectLockedCells="1"/>
  <mergeCells count="3">
    <mergeCell ref="C5:G5"/>
    <mergeCell ref="D2:G2"/>
    <mergeCell ref="D3:G3"/>
  </mergeCell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A5B68929-B1FE-0244-98EA-823579086237}">
          <x14:formula1>
            <xm:f>dropdown!$K$4:$K$29</xm:f>
          </x14:formula1>
          <xm:sqref>D2</xm:sqref>
        </x14:dataValidation>
        <x14:dataValidation type="list" allowBlank="1" showInputMessage="1" showErrorMessage="1" xr:uid="{3307D422-F0A2-DF4C-A5F3-16D418869AA2}">
          <x14:formula1>
            <xm:f>dropdown!$V$4:$V$15</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3058C-9405-2B46-9FFA-820216EC0720}">
  <sheetPr codeName="Sheet4">
    <tabColor rgb="FFFF0000"/>
  </sheetPr>
  <dimension ref="B2:P106"/>
  <sheetViews>
    <sheetView showGridLines="0" topLeftCell="G1" zoomScaleNormal="100" workbookViewId="0">
      <selection activeCell="N26" sqref="N26"/>
    </sheetView>
  </sheetViews>
  <sheetFormatPr baseColWidth="10" defaultColWidth="10.83203125" defaultRowHeight="14" x14ac:dyDescent="0.2"/>
  <cols>
    <col min="1" max="1" width="2.6640625" style="20" customWidth="1"/>
    <col min="2" max="2" width="26.5" style="11" bestFit="1" customWidth="1"/>
    <col min="3" max="3" width="9.83203125" style="11" bestFit="1" customWidth="1"/>
    <col min="4" max="7" width="8.83203125" style="11" customWidth="1"/>
    <col min="8" max="8" width="3" style="20" customWidth="1"/>
    <col min="9" max="9" width="5.5" style="12" customWidth="1"/>
    <col min="10" max="10" width="22.5" style="20" customWidth="1"/>
    <col min="11" max="11" width="26.5" style="20" bestFit="1" customWidth="1"/>
    <col min="12" max="12" width="12.5" style="20" customWidth="1"/>
    <col min="13" max="13" width="11.83203125" style="21" bestFit="1" customWidth="1"/>
    <col min="14" max="14" width="16" style="21" bestFit="1" customWidth="1"/>
    <col min="15" max="15" width="38.1640625" style="22" customWidth="1"/>
    <col min="16" max="16" width="32.33203125" style="11" customWidth="1"/>
    <col min="17" max="16384" width="10.83203125" style="20"/>
  </cols>
  <sheetData>
    <row r="2" spans="2:16" ht="19" x14ac:dyDescent="0.25">
      <c r="B2" s="281" t="s">
        <v>29</v>
      </c>
      <c r="C2" s="282"/>
      <c r="D2" s="282"/>
      <c r="E2" s="282"/>
      <c r="F2" s="282"/>
      <c r="G2" s="283"/>
      <c r="I2" s="357" t="s">
        <v>167</v>
      </c>
      <c r="J2" s="358"/>
      <c r="K2" s="358"/>
      <c r="L2" s="358"/>
      <c r="M2" s="359"/>
      <c r="N2" s="359"/>
      <c r="O2" s="362"/>
    </row>
    <row r="3" spans="2:16" x14ac:dyDescent="0.2">
      <c r="B3" s="33" t="s">
        <v>8</v>
      </c>
      <c r="C3" s="34"/>
      <c r="D3" s="35" t="s">
        <v>168</v>
      </c>
      <c r="E3" s="34"/>
      <c r="F3" s="34" t="s">
        <v>169</v>
      </c>
      <c r="G3" s="36"/>
      <c r="I3" s="273" t="s">
        <v>170</v>
      </c>
      <c r="J3" s="274"/>
      <c r="K3" s="274"/>
      <c r="L3" s="274"/>
      <c r="M3" s="275"/>
      <c r="N3" s="275"/>
      <c r="O3" s="413"/>
      <c r="P3" s="412"/>
    </row>
    <row r="4" spans="2:16" x14ac:dyDescent="0.2">
      <c r="B4" s="161" t="str">
        <f>'1. Data Info and Summary'!$D$2</f>
        <v>Zamboanga Branch</v>
      </c>
      <c r="C4" s="37"/>
      <c r="D4" s="38">
        <f>IF('1. Data Info and Summary'!$D$3=0,"-",'1. Data Info and Summary'!$D$3)</f>
        <v>2024</v>
      </c>
      <c r="E4" s="37"/>
      <c r="F4" s="37" t="s">
        <v>171</v>
      </c>
      <c r="G4" s="39"/>
      <c r="I4" s="338"/>
      <c r="J4" s="276"/>
      <c r="K4" s="276"/>
      <c r="L4" s="276"/>
      <c r="M4" s="277"/>
      <c r="N4" s="277"/>
      <c r="O4" s="414"/>
      <c r="P4" s="213"/>
    </row>
    <row r="5" spans="2:16" x14ac:dyDescent="0.2">
      <c r="I5" s="20"/>
      <c r="J5" s="272"/>
    </row>
    <row r="6" spans="2:16" x14ac:dyDescent="0.2">
      <c r="B6" s="278" t="s">
        <v>172</v>
      </c>
      <c r="C6" s="447" t="s">
        <v>1432</v>
      </c>
      <c r="D6" s="448"/>
      <c r="E6" s="448"/>
      <c r="F6" s="448"/>
      <c r="G6" s="449"/>
      <c r="I6" s="209" t="s">
        <v>173</v>
      </c>
      <c r="J6" s="209" t="s">
        <v>35</v>
      </c>
      <c r="K6" s="209" t="s">
        <v>39</v>
      </c>
      <c r="L6" s="209" t="s">
        <v>43</v>
      </c>
      <c r="M6" s="209" t="s">
        <v>47</v>
      </c>
      <c r="N6" s="209" t="s">
        <v>51</v>
      </c>
      <c r="O6" s="209" t="s">
        <v>54</v>
      </c>
      <c r="P6" s="20"/>
    </row>
    <row r="7" spans="2:16" x14ac:dyDescent="0.2">
      <c r="B7" s="278" t="s">
        <v>174</v>
      </c>
      <c r="C7" s="450">
        <v>45910</v>
      </c>
      <c r="D7" s="448"/>
      <c r="E7" s="448"/>
      <c r="F7" s="448"/>
      <c r="G7" s="449"/>
      <c r="I7" s="194">
        <f>IF($M7="","",1)</f>
        <v>1</v>
      </c>
      <c r="J7" s="57" t="s">
        <v>37</v>
      </c>
      <c r="K7" s="58" t="s">
        <v>338</v>
      </c>
      <c r="L7" s="18" t="str">
        <f>IF(Fuel_Blg[[#This Row],[Month]]&lt;&gt;"",VLOOKUP(Fuel_Blg[[#This Row],[Month]], dropdown!$S$4:$T$15, 2, FALSE),"")</f>
        <v>Q1</v>
      </c>
      <c r="M7" s="29">
        <v>8.6999999999999993</v>
      </c>
      <c r="N7" s="17" t="str">
        <f>IF($J7="","",VLOOKUP($J7,dropdown!$P$3:$Q$8,2,FALSE))</f>
        <v>Liters</v>
      </c>
      <c r="O7" s="195" t="s">
        <v>1431</v>
      </c>
      <c r="P7" s="20"/>
    </row>
    <row r="8" spans="2:16" x14ac:dyDescent="0.2">
      <c r="I8" s="194"/>
      <c r="J8" s="57" t="s">
        <v>37</v>
      </c>
      <c r="K8" s="58" t="s">
        <v>89</v>
      </c>
      <c r="L8" s="18" t="str">
        <f>IF(Fuel_Blg[[#This Row],[Month]]&lt;&gt;"",VLOOKUP(Fuel_Blg[[#This Row],[Month]], dropdown!$S$4:$T$15, 2, FALSE),"")</f>
        <v>Q1</v>
      </c>
      <c r="M8" s="29">
        <v>8.5</v>
      </c>
      <c r="N8" s="17" t="str">
        <f>IF($J8="","",VLOOKUP($J8,dropdown!$P$3:$Q$8,2,FALSE))</f>
        <v>Liters</v>
      </c>
      <c r="O8" s="350" t="s">
        <v>1431</v>
      </c>
      <c r="P8" s="20"/>
    </row>
    <row r="9" spans="2:16" x14ac:dyDescent="0.2">
      <c r="B9" s="14" t="s">
        <v>33</v>
      </c>
      <c r="C9" s="14"/>
      <c r="D9" s="14"/>
      <c r="E9" s="14"/>
      <c r="F9" s="14"/>
      <c r="G9" s="14"/>
      <c r="I9" s="194"/>
      <c r="J9" s="57" t="s">
        <v>37</v>
      </c>
      <c r="K9" s="58" t="s">
        <v>362</v>
      </c>
      <c r="L9" s="18" t="str">
        <f>IF(Fuel_Blg[[#This Row],[Month]]&lt;&gt;"",VLOOKUP(Fuel_Blg[[#This Row],[Month]], dropdown!$S$4:$T$15, 2, FALSE),"")</f>
        <v>Q1</v>
      </c>
      <c r="M9" s="29">
        <v>14.5</v>
      </c>
      <c r="N9" s="17" t="str">
        <f>IF($J9="","",VLOOKUP($J9,dropdown!$P$3:$Q$8,2,FALSE))</f>
        <v>Liters</v>
      </c>
      <c r="O9" s="195" t="s">
        <v>1431</v>
      </c>
      <c r="P9" s="20"/>
    </row>
    <row r="10" spans="2:16" x14ac:dyDescent="0.2">
      <c r="B10" s="13" t="s">
        <v>35</v>
      </c>
      <c r="C10" s="13" t="s">
        <v>51</v>
      </c>
      <c r="D10" s="40" t="s">
        <v>45</v>
      </c>
      <c r="E10" s="40" t="s">
        <v>149</v>
      </c>
      <c r="F10" s="40" t="s">
        <v>150</v>
      </c>
      <c r="G10" s="40" t="s">
        <v>151</v>
      </c>
      <c r="I10" s="194">
        <f t="shared" ref="I10:I18" si="0">IF($M10="","",$I9+1)</f>
        <v>1</v>
      </c>
      <c r="J10" s="57" t="s">
        <v>37</v>
      </c>
      <c r="K10" s="58" t="s">
        <v>371</v>
      </c>
      <c r="L10" s="18" t="str">
        <f>IF(Fuel_Blg[[#This Row],[Month]]&lt;&gt;"",VLOOKUP(Fuel_Blg[[#This Row],[Month]], dropdown!$S$4:$T$15, 2, FALSE),"")</f>
        <v>Q2</v>
      </c>
      <c r="M10" s="29">
        <v>21</v>
      </c>
      <c r="N10" s="17" t="str">
        <f>IF($J10="","",VLOOKUP($J10,dropdown!$P$3:$Q$8,2,FALSE))</f>
        <v>Liters</v>
      </c>
      <c r="O10" s="195" t="s">
        <v>1431</v>
      </c>
      <c r="P10" s="20"/>
    </row>
    <row r="11" spans="2:16" x14ac:dyDescent="0.2">
      <c r="B11" s="17" t="str">
        <f>dropdown!$P4</f>
        <v>Diesel - Standby generator sets</v>
      </c>
      <c r="C11" s="17" t="str">
        <f>dropdown!$Q4</f>
        <v>Liters</v>
      </c>
      <c r="D11" s="41">
        <f>SUMIFS(Fuel_Blg[Consumption],Fuel_Blg[Quarter],D$10,Fuel_Blg[Fuel Type],$B$11)</f>
        <v>31.7</v>
      </c>
      <c r="E11" s="41">
        <f>SUMIFS(Fuel_Blg[Consumption],Fuel_Blg[Quarter],E$10,Fuel_Blg[Fuel Type],$B$11)</f>
        <v>71</v>
      </c>
      <c r="F11" s="41">
        <f>SUMIFS(Fuel_Blg[Consumption],Fuel_Blg[Quarter],F$10,Fuel_Blg[Fuel Type],$B$11)</f>
        <v>59</v>
      </c>
      <c r="G11" s="41">
        <f>SUMIFS(Fuel_Blg[Consumption],Fuel_Blg[Quarter],G$10,Fuel_Blg[Fuel Type],$B$11)</f>
        <v>42</v>
      </c>
      <c r="I11" s="194">
        <f t="shared" si="0"/>
        <v>2</v>
      </c>
      <c r="J11" s="57" t="s">
        <v>37</v>
      </c>
      <c r="K11" s="58" t="s">
        <v>379</v>
      </c>
      <c r="L11" s="18" t="str">
        <f>IF(Fuel_Blg[[#This Row],[Month]]&lt;&gt;"",VLOOKUP(Fuel_Blg[[#This Row],[Month]], dropdown!$S$4:$T$15, 2, FALSE),"")</f>
        <v>Q2</v>
      </c>
      <c r="M11" s="29">
        <v>17</v>
      </c>
      <c r="N11" s="17" t="str">
        <f>IF($J11="","",VLOOKUP($J11,dropdown!$P$3:$Q$8,2,FALSE))</f>
        <v>Liters</v>
      </c>
      <c r="O11" s="195" t="s">
        <v>1431</v>
      </c>
      <c r="P11" s="20"/>
    </row>
    <row r="12" spans="2:16" x14ac:dyDescent="0.2">
      <c r="B12" s="17" t="str">
        <f>dropdown!$P5</f>
        <v>Diesel - Others</v>
      </c>
      <c r="C12" s="17" t="str">
        <f>dropdown!$Q5</f>
        <v>Liters</v>
      </c>
      <c r="D12" s="41">
        <f>SUMIFS(Fuel_Blg[Consumption],Fuel_Blg[Quarter],D$10,Fuel_Blg[Fuel Type],$B$12)</f>
        <v>0</v>
      </c>
      <c r="E12" s="41">
        <f>SUMIFS(Fuel_Blg[Consumption],Fuel_Blg[Quarter],E$10,Fuel_Blg[Fuel Type],$B$12)</f>
        <v>0</v>
      </c>
      <c r="F12" s="41">
        <f>SUMIFS(Fuel_Blg[Consumption],Fuel_Blg[Quarter],F$10,Fuel_Blg[Fuel Type],$B$12)</f>
        <v>0</v>
      </c>
      <c r="G12" s="41">
        <f>SUMIFS(Fuel_Blg[Consumption],Fuel_Blg[Quarter],G$10,Fuel_Blg[Fuel Type],$B$12)</f>
        <v>0</v>
      </c>
      <c r="I12" s="194">
        <f t="shared" si="0"/>
        <v>3</v>
      </c>
      <c r="J12" s="57" t="s">
        <v>37</v>
      </c>
      <c r="K12" s="58" t="s">
        <v>386</v>
      </c>
      <c r="L12" s="18" t="str">
        <f>IF(Fuel_Blg[[#This Row],[Month]]&lt;&gt;"",VLOOKUP(Fuel_Blg[[#This Row],[Month]], dropdown!$S$4:$T$15, 2, FALSE),"")</f>
        <v>Q2</v>
      </c>
      <c r="M12" s="29">
        <v>33</v>
      </c>
      <c r="N12" s="17" t="str">
        <f>IF($J12="","",VLOOKUP($J12,dropdown!$P$3:$Q$8,2,FALSE))</f>
        <v>Liters</v>
      </c>
      <c r="O12" s="195" t="s">
        <v>1431</v>
      </c>
      <c r="P12" s="20"/>
    </row>
    <row r="13" spans="2:16" x14ac:dyDescent="0.2">
      <c r="B13" s="17" t="str">
        <f>dropdown!$P6</f>
        <v>Gasoline - Others</v>
      </c>
      <c r="C13" s="17" t="str">
        <f>dropdown!$Q6</f>
        <v>Liters</v>
      </c>
      <c r="D13" s="41">
        <f>SUMIFS(Fuel_Blg[Consumption],Fuel_Blg[Quarter],D$10,Fuel_Blg[Fuel Type],$B$13)</f>
        <v>0</v>
      </c>
      <c r="E13" s="41">
        <f>SUMIFS(Fuel_Blg[Consumption],Fuel_Blg[Quarter],E$10,Fuel_Blg[Fuel Type],$B$13)</f>
        <v>0</v>
      </c>
      <c r="F13" s="41">
        <f>SUMIFS(Fuel_Blg[Consumption],Fuel_Blg[Quarter],F$10,Fuel_Blg[Fuel Type],$B$13)</f>
        <v>0</v>
      </c>
      <c r="G13" s="41">
        <f>SUMIFS(Fuel_Blg[Consumption],Fuel_Blg[Quarter],G$10,Fuel_Blg[Fuel Type],$B$13)</f>
        <v>0</v>
      </c>
      <c r="I13" s="194">
        <f t="shared" si="0"/>
        <v>4</v>
      </c>
      <c r="J13" s="57" t="s">
        <v>37</v>
      </c>
      <c r="K13" s="58" t="s">
        <v>390</v>
      </c>
      <c r="L13" s="18" t="str">
        <f>IF(Fuel_Blg[[#This Row],[Month]]&lt;&gt;"",VLOOKUP(Fuel_Blg[[#This Row],[Month]], dropdown!$S$4:$T$15, 2, FALSE),"")</f>
        <v>Q3</v>
      </c>
      <c r="M13" s="29">
        <v>17</v>
      </c>
      <c r="N13" s="17" t="str">
        <f>IF($J13="","",VLOOKUP($J13,dropdown!$P$3:$Q$8,2,FALSE))</f>
        <v>Liters</v>
      </c>
      <c r="O13" s="195" t="s">
        <v>1431</v>
      </c>
      <c r="P13" s="20"/>
    </row>
    <row r="14" spans="2:16" x14ac:dyDescent="0.2">
      <c r="B14" s="17" t="str">
        <f>dropdown!$P7</f>
        <v>LPG - Heating and cooking</v>
      </c>
      <c r="C14" s="17" t="str">
        <f>dropdown!$Q7</f>
        <v>Kilograms</v>
      </c>
      <c r="D14" s="41">
        <f>SUMIFS(Fuel_Blg[Consumption],Fuel_Blg[Quarter],D$10,Fuel_Blg[Fuel Type],$B$14)</f>
        <v>0</v>
      </c>
      <c r="E14" s="41">
        <f>SUMIFS(Fuel_Blg[Consumption],Fuel_Blg[Quarter],E$10,Fuel_Blg[Fuel Type],$B$14)</f>
        <v>0</v>
      </c>
      <c r="F14" s="41">
        <f>SUMIFS(Fuel_Blg[Consumption],Fuel_Blg[Quarter],F$10,Fuel_Blg[Fuel Type],$B$14)</f>
        <v>0</v>
      </c>
      <c r="G14" s="41">
        <f>SUMIFS(Fuel_Blg[Consumption],Fuel_Blg[Quarter],G$10,Fuel_Blg[Fuel Type],$B$14)</f>
        <v>0</v>
      </c>
      <c r="I14" s="194">
        <f t="shared" si="0"/>
        <v>5</v>
      </c>
      <c r="J14" s="57" t="s">
        <v>37</v>
      </c>
      <c r="K14" s="58" t="s">
        <v>41</v>
      </c>
      <c r="L14" s="18" t="str">
        <f>IF(Fuel_Blg[[#This Row],[Month]]&lt;&gt;"",VLOOKUP(Fuel_Blg[[#This Row],[Month]], dropdown!$S$4:$T$15, 2, FALSE),"")</f>
        <v>Q3</v>
      </c>
      <c r="M14" s="29">
        <v>13</v>
      </c>
      <c r="N14" s="17" t="str">
        <f>IF($J14="","",VLOOKUP($J14,dropdown!$P$3:$Q$8,2,FALSE))</f>
        <v>Liters</v>
      </c>
      <c r="O14" s="195" t="s">
        <v>1431</v>
      </c>
      <c r="P14" s="20"/>
    </row>
    <row r="15" spans="2:16" x14ac:dyDescent="0.2">
      <c r="B15" s="17" t="str">
        <f>dropdown!$P8</f>
        <v>Compressed natural gas</v>
      </c>
      <c r="C15" s="17" t="str">
        <f>dropdown!$Q8</f>
        <v>Cubic meters</v>
      </c>
      <c r="D15" s="41">
        <f>SUMIFS(Fuel_Blg[Consumption],Fuel_Blg[Quarter],D$10,Fuel_Blg[Fuel Type],$B$15)</f>
        <v>0</v>
      </c>
      <c r="E15" s="41">
        <f>SUMIFS(Fuel_Blg[Consumption],Fuel_Blg[Quarter],E$10,Fuel_Blg[Fuel Type],$B$15)</f>
        <v>0</v>
      </c>
      <c r="F15" s="41">
        <f>SUMIFS(Fuel_Blg[Consumption],Fuel_Blg[Quarter],F$10,Fuel_Blg[Fuel Type],$B$15)</f>
        <v>0</v>
      </c>
      <c r="G15" s="41">
        <f>SUMIFS(Fuel_Blg[Consumption],Fuel_Blg[Quarter],G$10,Fuel_Blg[Fuel Type],$B$15)</f>
        <v>0</v>
      </c>
      <c r="I15" s="194">
        <f t="shared" si="0"/>
        <v>6</v>
      </c>
      <c r="J15" s="57" t="s">
        <v>37</v>
      </c>
      <c r="K15" s="58" t="s">
        <v>397</v>
      </c>
      <c r="L15" s="18" t="str">
        <f>IF(Fuel_Blg[[#This Row],[Month]]&lt;&gt;"",VLOOKUP(Fuel_Blg[[#This Row],[Month]], dropdown!$S$4:$T$15, 2, FALSE),"")</f>
        <v>Q3</v>
      </c>
      <c r="M15" s="29">
        <v>29</v>
      </c>
      <c r="N15" s="17" t="str">
        <f>IF($J15="","",VLOOKUP($J15,dropdown!$P$3:$Q$8,2,FALSE))</f>
        <v>Liters</v>
      </c>
      <c r="O15" s="195" t="s">
        <v>1431</v>
      </c>
      <c r="P15" s="20"/>
    </row>
    <row r="16" spans="2:16" x14ac:dyDescent="0.2">
      <c r="I16" s="194">
        <f t="shared" si="0"/>
        <v>7</v>
      </c>
      <c r="J16" s="57" t="s">
        <v>37</v>
      </c>
      <c r="K16" s="58" t="s">
        <v>400</v>
      </c>
      <c r="L16" s="18" t="str">
        <f>IF(Fuel_Blg[[#This Row],[Month]]&lt;&gt;"",VLOOKUP(Fuel_Blg[[#This Row],[Month]], dropdown!$S$4:$T$15, 2, FALSE),"")</f>
        <v>Q4</v>
      </c>
      <c r="M16" s="29">
        <v>11</v>
      </c>
      <c r="N16" s="17" t="str">
        <f>IF($J16="","",VLOOKUP($J16,dropdown!$P$3:$Q$8,2,FALSE))</f>
        <v>Liters</v>
      </c>
      <c r="O16" s="195" t="s">
        <v>1431</v>
      </c>
      <c r="P16" s="20"/>
    </row>
    <row r="17" spans="2:16" x14ac:dyDescent="0.2">
      <c r="B17" s="267" t="s">
        <v>38</v>
      </c>
      <c r="I17" s="194">
        <f t="shared" si="0"/>
        <v>8</v>
      </c>
      <c r="J17" s="57" t="s">
        <v>37</v>
      </c>
      <c r="K17" s="58" t="s">
        <v>404</v>
      </c>
      <c r="L17" s="18" t="str">
        <f>IF(Fuel_Blg[[#This Row],[Month]]&lt;&gt;"",VLOOKUP(Fuel_Blg[[#This Row],[Month]], dropdown!$S$4:$T$15, 2, FALSE),"")</f>
        <v>Q4</v>
      </c>
      <c r="M17" s="29">
        <v>21</v>
      </c>
      <c r="N17" s="17" t="str">
        <f>IF($J17="","",VLOOKUP($J17,dropdown!$P$3:$Q$8,2,FALSE))</f>
        <v>Liters</v>
      </c>
      <c r="O17" s="195" t="s">
        <v>1431</v>
      </c>
      <c r="P17" s="20"/>
    </row>
    <row r="18" spans="2:16" x14ac:dyDescent="0.2">
      <c r="B18" s="268" t="s">
        <v>175</v>
      </c>
      <c r="I18" s="194">
        <f t="shared" si="0"/>
        <v>9</v>
      </c>
      <c r="J18" s="57" t="s">
        <v>37</v>
      </c>
      <c r="K18" s="58" t="s">
        <v>407</v>
      </c>
      <c r="L18" s="18" t="str">
        <f>IF(Fuel_Blg[[#This Row],[Month]]&lt;&gt;"",VLOOKUP(Fuel_Blg[[#This Row],[Month]], dropdown!$S$4:$T$15, 2, FALSE),"")</f>
        <v>Q4</v>
      </c>
      <c r="M18" s="29">
        <v>10</v>
      </c>
      <c r="N18" s="17" t="str">
        <f>IF($J18="","",VLOOKUP($J18,dropdown!$P$3:$Q$8,2,FALSE))</f>
        <v>Liters</v>
      </c>
      <c r="O18" s="195" t="s">
        <v>1431</v>
      </c>
      <c r="P18" s="20"/>
    </row>
    <row r="19" spans="2:16" x14ac:dyDescent="0.2">
      <c r="B19" s="266" t="s">
        <v>176</v>
      </c>
      <c r="P19" s="20"/>
    </row>
    <row r="20" spans="2:16" x14ac:dyDescent="0.2">
      <c r="B20" s="17" t="s">
        <v>177</v>
      </c>
      <c r="I20" s="322" t="s">
        <v>178</v>
      </c>
      <c r="P20" s="20"/>
    </row>
    <row r="21" spans="2:16" x14ac:dyDescent="0.2">
      <c r="P21" s="20"/>
    </row>
    <row r="22" spans="2:16" x14ac:dyDescent="0.2">
      <c r="P22" s="20"/>
    </row>
    <row r="23" spans="2:16" x14ac:dyDescent="0.2">
      <c r="P23" s="20"/>
    </row>
    <row r="24" spans="2:16" x14ac:dyDescent="0.2">
      <c r="P24" s="20"/>
    </row>
    <row r="25" spans="2:16" x14ac:dyDescent="0.2">
      <c r="P25" s="20"/>
    </row>
    <row r="26" spans="2:16" x14ac:dyDescent="0.2">
      <c r="P26" s="20"/>
    </row>
    <row r="27" spans="2:16" x14ac:dyDescent="0.2">
      <c r="P27" s="20"/>
    </row>
    <row r="28" spans="2:16" x14ac:dyDescent="0.2">
      <c r="P28" s="20"/>
    </row>
    <row r="29" spans="2:16" x14ac:dyDescent="0.2">
      <c r="P29" s="20"/>
    </row>
    <row r="30" spans="2:16" x14ac:dyDescent="0.2">
      <c r="P30" s="20"/>
    </row>
    <row r="31" spans="2:16" x14ac:dyDescent="0.2">
      <c r="P31" s="20"/>
    </row>
    <row r="32" spans="2:16" x14ac:dyDescent="0.2">
      <c r="P32" s="20"/>
    </row>
    <row r="33" spans="16:16" x14ac:dyDescent="0.2">
      <c r="P33" s="20"/>
    </row>
    <row r="34" spans="16:16" x14ac:dyDescent="0.2">
      <c r="P34" s="20"/>
    </row>
    <row r="35" spans="16:16" x14ac:dyDescent="0.2">
      <c r="P35" s="20"/>
    </row>
    <row r="36" spans="16:16" x14ac:dyDescent="0.2">
      <c r="P36" s="20"/>
    </row>
    <row r="37" spans="16:16" x14ac:dyDescent="0.2">
      <c r="P37" s="20"/>
    </row>
    <row r="38" spans="16:16" x14ac:dyDescent="0.2">
      <c r="P38" s="20"/>
    </row>
    <row r="39" spans="16:16" x14ac:dyDescent="0.2">
      <c r="P39" s="20"/>
    </row>
    <row r="40" spans="16:16" x14ac:dyDescent="0.2">
      <c r="P40" s="20"/>
    </row>
    <row r="41" spans="16:16" x14ac:dyDescent="0.2">
      <c r="P41" s="20"/>
    </row>
    <row r="42" spans="16:16" x14ac:dyDescent="0.2">
      <c r="P42" s="20"/>
    </row>
    <row r="43" spans="16:16" x14ac:dyDescent="0.2">
      <c r="P43" s="20"/>
    </row>
    <row r="44" spans="16:16" x14ac:dyDescent="0.2">
      <c r="P44" s="20"/>
    </row>
    <row r="45" spans="16:16" x14ac:dyDescent="0.2">
      <c r="P45" s="20"/>
    </row>
    <row r="46" spans="16:16" x14ac:dyDescent="0.2">
      <c r="P46" s="20"/>
    </row>
    <row r="47" spans="16:16" x14ac:dyDescent="0.2">
      <c r="P47" s="20"/>
    </row>
    <row r="48" spans="16:16" x14ac:dyDescent="0.2">
      <c r="P48" s="20"/>
    </row>
    <row r="49" spans="16:16" x14ac:dyDescent="0.2">
      <c r="P49" s="20"/>
    </row>
    <row r="50" spans="16:16" x14ac:dyDescent="0.2">
      <c r="P50" s="20"/>
    </row>
    <row r="51" spans="16:16" x14ac:dyDescent="0.2">
      <c r="P51" s="20"/>
    </row>
    <row r="52" spans="16:16" x14ac:dyDescent="0.2">
      <c r="P52" s="20"/>
    </row>
    <row r="53" spans="16:16" x14ac:dyDescent="0.2">
      <c r="P53" s="20"/>
    </row>
    <row r="54" spans="16:16" x14ac:dyDescent="0.2">
      <c r="P54" s="20"/>
    </row>
    <row r="55" spans="16:16" x14ac:dyDescent="0.2">
      <c r="P55" s="20"/>
    </row>
    <row r="56" spans="16:16" x14ac:dyDescent="0.2">
      <c r="P56" s="20"/>
    </row>
    <row r="57" spans="16:16" x14ac:dyDescent="0.2">
      <c r="P57" s="20"/>
    </row>
    <row r="58" spans="16:16" x14ac:dyDescent="0.2">
      <c r="P58" s="20"/>
    </row>
    <row r="59" spans="16:16" x14ac:dyDescent="0.2">
      <c r="P59" s="20"/>
    </row>
    <row r="60" spans="16:16" x14ac:dyDescent="0.2">
      <c r="P60" s="20"/>
    </row>
    <row r="61" spans="16:16" x14ac:dyDescent="0.2">
      <c r="P61" s="20"/>
    </row>
    <row r="62" spans="16:16" x14ac:dyDescent="0.2">
      <c r="P62" s="20"/>
    </row>
    <row r="63" spans="16:16" x14ac:dyDescent="0.2">
      <c r="P63" s="20"/>
    </row>
    <row r="64" spans="16:16" x14ac:dyDescent="0.2">
      <c r="P64" s="20"/>
    </row>
    <row r="65" spans="16:16" x14ac:dyDescent="0.2">
      <c r="P65" s="20"/>
    </row>
    <row r="66" spans="16:16" x14ac:dyDescent="0.2">
      <c r="P66" s="20"/>
    </row>
    <row r="67" spans="16:16" x14ac:dyDescent="0.2">
      <c r="P67" s="20"/>
    </row>
    <row r="68" spans="16:16" x14ac:dyDescent="0.2">
      <c r="P68" s="20"/>
    </row>
    <row r="69" spans="16:16" x14ac:dyDescent="0.2">
      <c r="P69" s="20"/>
    </row>
    <row r="70" spans="16:16" x14ac:dyDescent="0.2">
      <c r="P70" s="20"/>
    </row>
    <row r="71" spans="16:16" x14ac:dyDescent="0.2">
      <c r="P71" s="20"/>
    </row>
    <row r="72" spans="16:16" x14ac:dyDescent="0.2">
      <c r="P72" s="20"/>
    </row>
    <row r="73" spans="16:16" x14ac:dyDescent="0.2">
      <c r="P73" s="20"/>
    </row>
    <row r="74" spans="16:16" x14ac:dyDescent="0.2">
      <c r="P74" s="20"/>
    </row>
    <row r="75" spans="16:16" x14ac:dyDescent="0.2">
      <c r="P75" s="20"/>
    </row>
    <row r="76" spans="16:16" x14ac:dyDescent="0.2">
      <c r="P76" s="20"/>
    </row>
    <row r="77" spans="16:16" x14ac:dyDescent="0.2">
      <c r="P77" s="20"/>
    </row>
    <row r="78" spans="16:16" x14ac:dyDescent="0.2">
      <c r="P78" s="20"/>
    </row>
    <row r="79" spans="16:16" x14ac:dyDescent="0.2">
      <c r="P79" s="20"/>
    </row>
    <row r="80" spans="16:16" x14ac:dyDescent="0.2">
      <c r="P80" s="20"/>
    </row>
    <row r="81" spans="16:16" x14ac:dyDescent="0.2">
      <c r="P81" s="20"/>
    </row>
    <row r="82" spans="16:16" x14ac:dyDescent="0.2">
      <c r="P82" s="20"/>
    </row>
    <row r="83" spans="16:16" x14ac:dyDescent="0.2">
      <c r="P83" s="20"/>
    </row>
    <row r="84" spans="16:16" x14ac:dyDescent="0.2">
      <c r="P84" s="20"/>
    </row>
    <row r="85" spans="16:16" x14ac:dyDescent="0.2">
      <c r="P85" s="20"/>
    </row>
    <row r="86" spans="16:16" x14ac:dyDescent="0.2">
      <c r="P86" s="20"/>
    </row>
    <row r="87" spans="16:16" x14ac:dyDescent="0.2">
      <c r="P87" s="20"/>
    </row>
    <row r="88" spans="16:16" x14ac:dyDescent="0.2">
      <c r="P88" s="20"/>
    </row>
    <row r="89" spans="16:16" x14ac:dyDescent="0.2">
      <c r="P89" s="20"/>
    </row>
    <row r="90" spans="16:16" x14ac:dyDescent="0.2">
      <c r="P90" s="20"/>
    </row>
    <row r="91" spans="16:16" x14ac:dyDescent="0.2">
      <c r="P91" s="20"/>
    </row>
    <row r="92" spans="16:16" x14ac:dyDescent="0.2">
      <c r="P92" s="20"/>
    </row>
    <row r="93" spans="16:16" x14ac:dyDescent="0.2">
      <c r="P93" s="20"/>
    </row>
    <row r="94" spans="16:16" x14ac:dyDescent="0.2">
      <c r="P94" s="20"/>
    </row>
    <row r="95" spans="16:16" x14ac:dyDescent="0.2">
      <c r="P95" s="20"/>
    </row>
    <row r="96" spans="16:16" x14ac:dyDescent="0.2">
      <c r="P96" s="20"/>
    </row>
    <row r="97" spans="16:16" x14ac:dyDescent="0.2">
      <c r="P97" s="20"/>
    </row>
    <row r="98" spans="16:16" x14ac:dyDescent="0.2">
      <c r="P98" s="20"/>
    </row>
    <row r="99" spans="16:16" x14ac:dyDescent="0.2">
      <c r="P99" s="20"/>
    </row>
    <row r="100" spans="16:16" x14ac:dyDescent="0.2">
      <c r="P100" s="20"/>
    </row>
    <row r="101" spans="16:16" x14ac:dyDescent="0.2">
      <c r="P101" s="20"/>
    </row>
    <row r="102" spans="16:16" x14ac:dyDescent="0.2">
      <c r="P102" s="20"/>
    </row>
    <row r="103" spans="16:16" x14ac:dyDescent="0.2">
      <c r="P103" s="20"/>
    </row>
    <row r="104" spans="16:16" x14ac:dyDescent="0.2">
      <c r="P104" s="20"/>
    </row>
    <row r="105" spans="16:16" x14ac:dyDescent="0.2">
      <c r="P105" s="20"/>
    </row>
    <row r="106" spans="16:16" x14ac:dyDescent="0.2">
      <c r="P106" s="20"/>
    </row>
  </sheetData>
  <sheetProtection selectLockedCells="1"/>
  <protectedRanges>
    <protectedRange sqref="M6:M18 O9:O18 O6:O7 J6:K18" name="Range1"/>
  </protectedRanges>
  <dataConsolidate/>
  <mergeCells count="2">
    <mergeCell ref="C6:G6"/>
    <mergeCell ref="C7:G7"/>
  </mergeCells>
  <phoneticPr fontId="40" type="noConversion"/>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6E0CC472-00CD-4741-A670-D281D50B9645}">
          <x14:formula1>
            <xm:f>dropdown!$P$4:$P$8</xm:f>
          </x14:formula1>
          <xm:sqref>J7:J18</xm:sqref>
        </x14:dataValidation>
        <x14:dataValidation type="list" allowBlank="1" showInputMessage="1" showErrorMessage="1" xr:uid="{3A41C1D1-FB7A-9447-9EAB-0BFDEC48FE4C}">
          <x14:formula1>
            <xm:f>dropdown!$S$4:$S$15</xm:f>
          </x14:formula1>
          <xm:sqref>K7:K18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DA54EC-D939-4A4E-A9D6-0724915A5A81}">
  <sheetPr codeName="Sheet5">
    <tabColor rgb="FFFF0000"/>
  </sheetPr>
  <dimension ref="B2:R108"/>
  <sheetViews>
    <sheetView showGridLines="0" tabSelected="1" topLeftCell="B49" zoomScaleNormal="100" workbookViewId="0">
      <selection activeCell="J66" sqref="J66:J77"/>
    </sheetView>
  </sheetViews>
  <sheetFormatPr baseColWidth="10" defaultColWidth="10.83203125" defaultRowHeight="14" x14ac:dyDescent="0.2"/>
  <cols>
    <col min="1" max="1" width="2.6640625" style="20" customWidth="1"/>
    <col min="2" max="2" width="30.6640625" style="11" bestFit="1" customWidth="1"/>
    <col min="3" max="3" width="7.5" style="11" customWidth="1"/>
    <col min="4" max="7" width="7.83203125" style="11" bestFit="1" customWidth="1"/>
    <col min="8" max="8" width="4.33203125" style="20" customWidth="1"/>
    <col min="9" max="9" width="5.5" style="12" customWidth="1"/>
    <col min="10" max="10" width="22.5" style="20" customWidth="1"/>
    <col min="11" max="11" width="23.33203125" style="20" customWidth="1"/>
    <col min="12" max="13" width="7.6640625" style="21" customWidth="1"/>
    <col min="14" max="15" width="12" style="22" customWidth="1"/>
    <col min="16" max="16" width="24.33203125" style="11" customWidth="1"/>
    <col min="17" max="17" width="13" style="11" customWidth="1"/>
    <col min="18" max="18" width="28" style="22" customWidth="1"/>
    <col min="19" max="16384" width="10.83203125" style="20"/>
  </cols>
  <sheetData>
    <row r="2" spans="2:18" ht="19" x14ac:dyDescent="0.25">
      <c r="B2" s="257" t="s">
        <v>29</v>
      </c>
      <c r="C2" s="31"/>
      <c r="D2" s="31"/>
      <c r="E2" s="31"/>
      <c r="F2" s="31"/>
      <c r="G2" s="32"/>
      <c r="I2" s="357" t="s">
        <v>179</v>
      </c>
      <c r="J2" s="358"/>
      <c r="K2" s="358"/>
      <c r="L2" s="359"/>
      <c r="M2" s="359"/>
      <c r="N2" s="360"/>
      <c r="O2" s="360"/>
      <c r="P2" s="361"/>
      <c r="Q2" s="361"/>
      <c r="R2" s="362"/>
    </row>
    <row r="3" spans="2:18" x14ac:dyDescent="0.2">
      <c r="B3" s="33" t="s">
        <v>8</v>
      </c>
      <c r="C3" s="34"/>
      <c r="D3" s="35" t="s">
        <v>168</v>
      </c>
      <c r="E3" s="34"/>
      <c r="F3" s="34" t="s">
        <v>169</v>
      </c>
      <c r="G3" s="36"/>
      <c r="I3" s="284" t="s">
        <v>170</v>
      </c>
      <c r="J3" s="285"/>
      <c r="K3" s="285"/>
      <c r="L3" s="286"/>
      <c r="M3" s="286"/>
      <c r="N3" s="287"/>
      <c r="O3" s="287"/>
      <c r="P3" s="288"/>
      <c r="Q3" s="288"/>
      <c r="R3" s="363"/>
    </row>
    <row r="4" spans="2:18" x14ac:dyDescent="0.2">
      <c r="B4" s="210" t="str">
        <f>'1. Data Info and Summary'!$D$2</f>
        <v>Zamboanga Branch</v>
      </c>
      <c r="C4" s="201"/>
      <c r="D4" s="38">
        <f>IF('1. Data Info and Summary'!$D$3=0,"-",'1. Data Info and Summary'!$D$3)</f>
        <v>2024</v>
      </c>
      <c r="E4" s="201"/>
      <c r="F4" s="201" t="s">
        <v>171</v>
      </c>
      <c r="G4" s="211"/>
      <c r="I4" s="320"/>
      <c r="J4" s="293"/>
      <c r="K4" s="293"/>
      <c r="L4" s="294"/>
      <c r="M4" s="294"/>
      <c r="N4" s="295"/>
      <c r="O4" s="295"/>
      <c r="P4" s="296"/>
      <c r="Q4" s="296"/>
      <c r="R4" s="364"/>
    </row>
    <row r="5" spans="2:18" x14ac:dyDescent="0.2">
      <c r="B5" s="212"/>
      <c r="C5" s="213"/>
      <c r="D5" s="212"/>
      <c r="E5" s="213"/>
      <c r="F5" s="213"/>
      <c r="G5" s="213"/>
      <c r="I5" s="285"/>
      <c r="J5" s="344"/>
      <c r="K5" s="285"/>
      <c r="L5" s="286"/>
      <c r="M5" s="286"/>
      <c r="N5" s="287"/>
      <c r="O5" s="287"/>
      <c r="P5" s="288"/>
      <c r="Q5" s="288"/>
      <c r="R5" s="287"/>
    </row>
    <row r="6" spans="2:18" ht="25.5" customHeight="1" x14ac:dyDescent="0.2">
      <c r="B6" s="278" t="s">
        <v>172</v>
      </c>
      <c r="C6" s="447" t="s">
        <v>1432</v>
      </c>
      <c r="D6" s="448"/>
      <c r="E6" s="448"/>
      <c r="F6" s="448"/>
      <c r="G6" s="449"/>
      <c r="I6" s="204" t="s">
        <v>173</v>
      </c>
      <c r="J6" s="205" t="s">
        <v>59</v>
      </c>
      <c r="K6" s="205" t="s">
        <v>35</v>
      </c>
      <c r="L6" s="205" t="s">
        <v>39</v>
      </c>
      <c r="M6" s="205" t="s">
        <v>43</v>
      </c>
      <c r="N6" s="206" t="s">
        <v>47</v>
      </c>
      <c r="O6" s="207" t="s">
        <v>51</v>
      </c>
      <c r="P6" s="206" t="s">
        <v>180</v>
      </c>
      <c r="Q6" s="207" t="s">
        <v>67</v>
      </c>
      <c r="R6" s="208" t="s">
        <v>54</v>
      </c>
    </row>
    <row r="7" spans="2:18" x14ac:dyDescent="0.2">
      <c r="B7" s="278" t="s">
        <v>174</v>
      </c>
      <c r="C7" s="450">
        <v>45910</v>
      </c>
      <c r="D7" s="448"/>
      <c r="E7" s="448"/>
      <c r="F7" s="448"/>
      <c r="G7" s="449"/>
      <c r="I7" s="194">
        <f>IF($J7="","",1)</f>
        <v>1</v>
      </c>
      <c r="J7" s="57" t="s">
        <v>365</v>
      </c>
      <c r="K7" s="57" t="s">
        <v>63</v>
      </c>
      <c r="L7" s="58" t="s">
        <v>338</v>
      </c>
      <c r="M7" s="18" t="str">
        <f>IF(Fuel_Veh[[#This Row],[Month]]&lt;&gt;"",VLOOKUP(Fuel_Veh[[#This Row],[Month]], dropdown!$S$4:$T$15, 2, FALSE),"")</f>
        <v>Q1</v>
      </c>
      <c r="N7" s="29">
        <v>39.130000000000003</v>
      </c>
      <c r="O7" s="17" t="str">
        <f>IF($K7="","",VLOOKUP($K7,dropdown!$P$14:$Q$18,2,FALSE))</f>
        <v>Liters</v>
      </c>
      <c r="P7" s="29">
        <v>235</v>
      </c>
      <c r="Q7" s="17" t="str">
        <f t="shared" ref="Q7:Q70" si="0">IF($P7="","","Kilometers")</f>
        <v>Kilometers</v>
      </c>
      <c r="R7" s="195" t="s">
        <v>1435</v>
      </c>
    </row>
    <row r="8" spans="2:18" x14ac:dyDescent="0.2">
      <c r="I8" s="194">
        <f>IF($J8="","",$I7+1)</f>
        <v>2</v>
      </c>
      <c r="J8" s="57" t="s">
        <v>365</v>
      </c>
      <c r="K8" s="57" t="s">
        <v>63</v>
      </c>
      <c r="L8" s="58" t="s">
        <v>89</v>
      </c>
      <c r="M8" s="18" t="str">
        <f>IF(Fuel_Veh[[#This Row],[Month]]&lt;&gt;"",VLOOKUP(Fuel_Veh[[#This Row],[Month]], dropdown!$S$4:$T$15, 2, FALSE),"")</f>
        <v>Q1</v>
      </c>
      <c r="N8" s="29">
        <v>41.79</v>
      </c>
      <c r="O8" s="17"/>
      <c r="P8" s="29">
        <v>251</v>
      </c>
      <c r="Q8" s="17" t="str">
        <f t="shared" si="0"/>
        <v>Kilometers</v>
      </c>
      <c r="R8" s="195"/>
    </row>
    <row r="9" spans="2:18" x14ac:dyDescent="0.2">
      <c r="B9" s="14" t="s">
        <v>33</v>
      </c>
      <c r="C9" s="14"/>
      <c r="D9" s="14"/>
      <c r="E9" s="14"/>
      <c r="F9" s="14"/>
      <c r="G9" s="14"/>
      <c r="I9" s="194">
        <f>IF($J9="","",$I8+1)</f>
        <v>3</v>
      </c>
      <c r="J9" s="57" t="s">
        <v>365</v>
      </c>
      <c r="K9" s="57" t="s">
        <v>63</v>
      </c>
      <c r="L9" s="58" t="s">
        <v>362</v>
      </c>
      <c r="M9" s="18" t="str">
        <f>IF(Fuel_Veh[[#This Row],[Month]]&lt;&gt;"",VLOOKUP(Fuel_Veh[[#This Row],[Month]], dropdown!$S$4:$T$15, 2, FALSE),"")</f>
        <v>Q1</v>
      </c>
      <c r="N9" s="29">
        <v>99.44</v>
      </c>
      <c r="O9" s="17" t="str">
        <f>IF($K9="","",VLOOKUP($K9,dropdown!$P$14:$Q$18,2,FALSE))</f>
        <v>Liters</v>
      </c>
      <c r="P9" s="29">
        <v>597</v>
      </c>
      <c r="Q9" s="17" t="str">
        <f t="shared" si="0"/>
        <v>Kilometers</v>
      </c>
      <c r="R9" s="195"/>
    </row>
    <row r="10" spans="2:18" x14ac:dyDescent="0.2">
      <c r="B10" s="13" t="s">
        <v>35</v>
      </c>
      <c r="C10" s="13" t="s">
        <v>51</v>
      </c>
      <c r="D10" s="40" t="s">
        <v>45</v>
      </c>
      <c r="E10" s="40" t="s">
        <v>149</v>
      </c>
      <c r="F10" s="40" t="s">
        <v>150</v>
      </c>
      <c r="G10" s="40" t="s">
        <v>151</v>
      </c>
      <c r="I10" s="194">
        <f>IF($J10="","",$I9+1)</f>
        <v>4</v>
      </c>
      <c r="J10" s="57" t="s">
        <v>365</v>
      </c>
      <c r="K10" s="57" t="s">
        <v>63</v>
      </c>
      <c r="L10" s="58" t="s">
        <v>371</v>
      </c>
      <c r="M10" s="18" t="str">
        <f>IF(Fuel_Veh[[#This Row],[Month]]&lt;&gt;"",VLOOKUP(Fuel_Veh[[#This Row],[Month]], dropdown!$S$4:$T$15, 2, FALSE),"")</f>
        <v>Q2</v>
      </c>
      <c r="N10" s="29">
        <v>115.58</v>
      </c>
      <c r="O10" s="17" t="str">
        <f>IF($K10="","",VLOOKUP($K10,dropdown!$P$14:$Q$18,2,FALSE))</f>
        <v>Liters</v>
      </c>
      <c r="P10" s="29">
        <v>704</v>
      </c>
      <c r="Q10" s="17" t="str">
        <f t="shared" si="0"/>
        <v>Kilometers</v>
      </c>
      <c r="R10" s="195"/>
    </row>
    <row r="11" spans="2:18" x14ac:dyDescent="0.2">
      <c r="B11" s="17" t="str">
        <f>dropdown!$P15</f>
        <v>Diesel - Transport vehicles</v>
      </c>
      <c r="C11" s="17" t="str">
        <f>dropdown!$Q15</f>
        <v>Liters</v>
      </c>
      <c r="D11" s="41">
        <f>SUMIFS(Fuel_Veh[Consumption],Fuel_Veh[Quarter],D$10,Fuel_Veh[Fuel Type],$B$11)</f>
        <v>429.04</v>
      </c>
      <c r="E11" s="41">
        <f>SUMIFS(Fuel_Veh[Consumption],Fuel_Veh[Quarter],E$10,Fuel_Veh[Fuel Type],$B$11)</f>
        <v>1270.1599999999999</v>
      </c>
      <c r="F11" s="41">
        <f>SUMIFS(Fuel_Veh[Consumption],Fuel_Veh[Quarter],F$10,Fuel_Veh[Fuel Type],$B$11)</f>
        <v>523.69999999999993</v>
      </c>
      <c r="G11" s="41">
        <f>SUMIFS(Fuel_Veh[Consumption],Fuel_Veh[Quarter],G$10,Fuel_Veh[Fuel Type],$B$11)</f>
        <v>515.65</v>
      </c>
      <c r="I11" s="194">
        <f>IF($J11="","",$I10+1)</f>
        <v>5</v>
      </c>
      <c r="J11" s="57" t="s">
        <v>365</v>
      </c>
      <c r="K11" s="57" t="s">
        <v>63</v>
      </c>
      <c r="L11" s="58" t="s">
        <v>379</v>
      </c>
      <c r="M11" s="18" t="str">
        <f>IF(Fuel_Veh[[#This Row],[Month]]&lt;&gt;"",VLOOKUP(Fuel_Veh[[#This Row],[Month]], dropdown!$S$4:$T$15, 2, FALSE),"")</f>
        <v>Q2</v>
      </c>
      <c r="N11" s="29">
        <v>206.3</v>
      </c>
      <c r="O11" s="17" t="str">
        <f>IF($K11="","",VLOOKUP($K11,dropdown!$P$14:$Q$18,2,FALSE))</f>
        <v>Liters</v>
      </c>
      <c r="P11" s="29">
        <v>1212</v>
      </c>
      <c r="Q11" s="17" t="str">
        <f t="shared" si="0"/>
        <v>Kilometers</v>
      </c>
      <c r="R11" s="195"/>
    </row>
    <row r="12" spans="2:18" x14ac:dyDescent="0.2">
      <c r="B12" s="17" t="str">
        <f>dropdown!$P16</f>
        <v>Gasoline - Transport vehicles</v>
      </c>
      <c r="C12" s="17" t="str">
        <f>dropdown!$Q16</f>
        <v>Liters</v>
      </c>
      <c r="D12" s="41">
        <f>SUMIFS(Fuel_Veh[Consumption],Fuel_Veh[Quarter],D$10,Fuel_Veh[Fuel Type],$B$12)</f>
        <v>0</v>
      </c>
      <c r="E12" s="41">
        <f>SUMIFS(Fuel_Veh[Consumption],Fuel_Veh[Quarter],E$10,Fuel_Veh[Fuel Type],$B$12)</f>
        <v>0</v>
      </c>
      <c r="F12" s="41">
        <f>SUMIFS(Fuel_Veh[Consumption],Fuel_Veh[Quarter],F$10,Fuel_Veh[Fuel Type],$B$12)</f>
        <v>0</v>
      </c>
      <c r="G12" s="41">
        <f>SUMIFS(Fuel_Veh[Consumption],Fuel_Veh[Quarter],G$10,Fuel_Veh[Fuel Type],$B$12)</f>
        <v>0</v>
      </c>
      <c r="I12" s="194">
        <f t="shared" ref="I12:I75" si="1">IF($J12="","",$I11+1)</f>
        <v>6</v>
      </c>
      <c r="J12" s="57" t="s">
        <v>365</v>
      </c>
      <c r="K12" s="57" t="s">
        <v>63</v>
      </c>
      <c r="L12" s="58" t="s">
        <v>386</v>
      </c>
      <c r="M12" s="18" t="str">
        <f>IF(Fuel_Veh[[#This Row],[Month]]&lt;&gt;"",VLOOKUP(Fuel_Veh[[#This Row],[Month]], dropdown!$S$4:$T$15, 2, FALSE),"")</f>
        <v>Q2</v>
      </c>
      <c r="N12" s="29">
        <v>247.95</v>
      </c>
      <c r="O12" s="17" t="str">
        <f>IF($K12="","",VLOOKUP($K12,dropdown!$P$14:$Q$18,2,FALSE))</f>
        <v>Liters</v>
      </c>
      <c r="P12" s="29">
        <v>2108</v>
      </c>
      <c r="Q12" s="17" t="str">
        <f t="shared" si="0"/>
        <v>Kilometers</v>
      </c>
      <c r="R12" s="195"/>
    </row>
    <row r="13" spans="2:18" ht="14" customHeight="1" x14ac:dyDescent="0.2">
      <c r="I13" s="194">
        <f t="shared" si="1"/>
        <v>7</v>
      </c>
      <c r="J13" s="57" t="s">
        <v>365</v>
      </c>
      <c r="K13" s="57" t="s">
        <v>63</v>
      </c>
      <c r="L13" s="58" t="s">
        <v>390</v>
      </c>
      <c r="M13" s="18" t="str">
        <f>IF(Fuel_Veh[[#This Row],[Month]]&lt;&gt;"",VLOOKUP(Fuel_Veh[[#This Row],[Month]], dropdown!$S$4:$T$15, 2, FALSE),"")</f>
        <v>Q3</v>
      </c>
      <c r="N13" s="29">
        <v>94.34</v>
      </c>
      <c r="O13" s="17" t="str">
        <f>IF($K13="","",VLOOKUP($K13,dropdown!$P$14:$Q$18,2,FALSE))</f>
        <v>Liters</v>
      </c>
      <c r="P13" s="29">
        <v>891</v>
      </c>
      <c r="Q13" s="17" t="str">
        <f t="shared" si="0"/>
        <v>Kilometers</v>
      </c>
      <c r="R13" s="195"/>
    </row>
    <row r="14" spans="2:18" x14ac:dyDescent="0.2">
      <c r="B14" s="267" t="s">
        <v>38</v>
      </c>
      <c r="I14" s="194">
        <f t="shared" si="1"/>
        <v>8</v>
      </c>
      <c r="J14" s="57" t="s">
        <v>365</v>
      </c>
      <c r="K14" s="57" t="s">
        <v>63</v>
      </c>
      <c r="L14" s="58" t="s">
        <v>41</v>
      </c>
      <c r="M14" s="18" t="str">
        <f>IF(Fuel_Veh[[#This Row],[Month]]&lt;&gt;"",VLOOKUP(Fuel_Veh[[#This Row],[Month]], dropdown!$S$4:$T$15, 2, FALSE),"")</f>
        <v>Q3</v>
      </c>
      <c r="N14" s="29">
        <v>28.52</v>
      </c>
      <c r="O14" s="17" t="str">
        <f>IF($K14="","",VLOOKUP($K14,dropdown!$P$14:$Q$18,2,FALSE))</f>
        <v>Liters</v>
      </c>
      <c r="P14" s="29">
        <v>243</v>
      </c>
      <c r="Q14" s="17" t="str">
        <f t="shared" si="0"/>
        <v>Kilometers</v>
      </c>
      <c r="R14" s="195"/>
    </row>
    <row r="15" spans="2:18" x14ac:dyDescent="0.2">
      <c r="B15" s="268" t="s">
        <v>175</v>
      </c>
      <c r="I15" s="194">
        <f t="shared" si="1"/>
        <v>9</v>
      </c>
      <c r="J15" s="57" t="s">
        <v>365</v>
      </c>
      <c r="K15" s="57" t="s">
        <v>63</v>
      </c>
      <c r="L15" s="58" t="s">
        <v>397</v>
      </c>
      <c r="M15" s="18" t="str">
        <f>IF(Fuel_Veh[[#This Row],[Month]]&lt;&gt;"",VLOOKUP(Fuel_Veh[[#This Row],[Month]], dropdown!$S$4:$T$15, 2, FALSE),"")</f>
        <v>Q3</v>
      </c>
      <c r="N15" s="29">
        <v>41.23</v>
      </c>
      <c r="O15" s="17" t="str">
        <f>IF($K15="","",VLOOKUP($K15,dropdown!$P$14:$Q$18,2,FALSE))</f>
        <v>Liters</v>
      </c>
      <c r="P15" s="29">
        <v>351</v>
      </c>
      <c r="Q15" s="17" t="str">
        <f t="shared" si="0"/>
        <v>Kilometers</v>
      </c>
      <c r="R15" s="195"/>
    </row>
    <row r="16" spans="2:18" x14ac:dyDescent="0.2">
      <c r="B16" s="266" t="s">
        <v>176</v>
      </c>
      <c r="I16" s="194">
        <f t="shared" si="1"/>
        <v>10</v>
      </c>
      <c r="J16" s="57" t="s">
        <v>365</v>
      </c>
      <c r="K16" s="57" t="s">
        <v>63</v>
      </c>
      <c r="L16" s="58" t="s">
        <v>400</v>
      </c>
      <c r="M16" s="18" t="str">
        <f>IF(Fuel_Veh[[#This Row],[Month]]&lt;&gt;"",VLOOKUP(Fuel_Veh[[#This Row],[Month]], dropdown!$S$4:$T$15, 2, FALSE),"")</f>
        <v>Q4</v>
      </c>
      <c r="N16" s="29">
        <v>63.41</v>
      </c>
      <c r="O16" s="17" t="str">
        <f>IF($K16="","",VLOOKUP($K16,dropdown!$P$14:$Q$18,2,FALSE))</f>
        <v>Liters</v>
      </c>
      <c r="P16" s="29">
        <v>386.45</v>
      </c>
      <c r="Q16" s="17" t="str">
        <f t="shared" si="0"/>
        <v>Kilometers</v>
      </c>
      <c r="R16" s="195"/>
    </row>
    <row r="17" spans="2:18" x14ac:dyDescent="0.2">
      <c r="B17" s="17" t="s">
        <v>177</v>
      </c>
      <c r="I17" s="194">
        <f t="shared" si="1"/>
        <v>11</v>
      </c>
      <c r="J17" s="57" t="s">
        <v>365</v>
      </c>
      <c r="K17" s="57" t="s">
        <v>63</v>
      </c>
      <c r="L17" s="58" t="s">
        <v>404</v>
      </c>
      <c r="M17" s="18" t="str">
        <f>IF(Fuel_Veh[[#This Row],[Month]]&lt;&gt;"",VLOOKUP(Fuel_Veh[[#This Row],[Month]], dropdown!$S$4:$T$15, 2, FALSE),"")</f>
        <v>Q4</v>
      </c>
      <c r="N17" s="29">
        <v>24.1</v>
      </c>
      <c r="O17" s="17" t="str">
        <f>IF($K17="","",VLOOKUP($K17,dropdown!$P$14:$Q$18,2,FALSE))</f>
        <v>Liters</v>
      </c>
      <c r="P17" s="29">
        <v>144.55000000000001</v>
      </c>
      <c r="Q17" s="17" t="str">
        <f t="shared" si="0"/>
        <v>Kilometers</v>
      </c>
      <c r="R17" s="195"/>
    </row>
    <row r="18" spans="2:18" x14ac:dyDescent="0.2">
      <c r="I18" s="194">
        <f t="shared" si="1"/>
        <v>12</v>
      </c>
      <c r="J18" s="57" t="s">
        <v>365</v>
      </c>
      <c r="K18" s="57" t="s">
        <v>63</v>
      </c>
      <c r="L18" s="58" t="s">
        <v>407</v>
      </c>
      <c r="M18" s="18" t="str">
        <f>IF(Fuel_Veh[[#This Row],[Month]]&lt;&gt;"",VLOOKUP(Fuel_Veh[[#This Row],[Month]], dropdown!$S$4:$T$15, 2, FALSE),"")</f>
        <v>Q4</v>
      </c>
      <c r="N18" s="29">
        <v>42.63</v>
      </c>
      <c r="O18" s="17" t="str">
        <f>IF($K18="","",VLOOKUP($K18,dropdown!$P$14:$Q$18,2,FALSE))</f>
        <v>Liters</v>
      </c>
      <c r="P18" s="29">
        <v>256</v>
      </c>
      <c r="Q18" s="17" t="str">
        <f t="shared" si="0"/>
        <v>Kilometers</v>
      </c>
      <c r="R18" s="195"/>
    </row>
    <row r="19" spans="2:18" x14ac:dyDescent="0.2">
      <c r="I19" s="194">
        <f t="shared" si="1"/>
        <v>13</v>
      </c>
      <c r="J19" s="57" t="s">
        <v>381</v>
      </c>
      <c r="K19" s="57" t="s">
        <v>63</v>
      </c>
      <c r="L19" s="58" t="s">
        <v>338</v>
      </c>
      <c r="M19" s="18" t="str">
        <f>IF(Fuel_Veh[[#This Row],[Month]]&lt;&gt;"",VLOOKUP(Fuel_Veh[[#This Row],[Month]], dropdown!$S$4:$T$15, 2, FALSE),"")</f>
        <v>Q1</v>
      </c>
      <c r="N19" s="29">
        <v>25.49</v>
      </c>
      <c r="O19" s="17" t="str">
        <f>IF($K19="","",VLOOKUP($K19,dropdown!$P$14:$Q$18,2,FALSE))</f>
        <v>Liters</v>
      </c>
      <c r="P19" s="29">
        <v>153</v>
      </c>
      <c r="Q19" s="17" t="str">
        <f t="shared" si="0"/>
        <v>Kilometers</v>
      </c>
      <c r="R19" s="195" t="s">
        <v>1434</v>
      </c>
    </row>
    <row r="20" spans="2:18" x14ac:dyDescent="0.2">
      <c r="I20" s="194">
        <f t="shared" si="1"/>
        <v>14</v>
      </c>
      <c r="J20" s="57" t="s">
        <v>381</v>
      </c>
      <c r="K20" s="57" t="s">
        <v>63</v>
      </c>
      <c r="L20" s="58" t="s">
        <v>89</v>
      </c>
      <c r="M20" s="18" t="str">
        <f>IF(Fuel_Veh[[#This Row],[Month]]&lt;&gt;"",VLOOKUP(Fuel_Veh[[#This Row],[Month]], dropdown!$S$4:$T$15, 2, FALSE),"")</f>
        <v>Q1</v>
      </c>
      <c r="N20" s="29">
        <v>20.99</v>
      </c>
      <c r="O20" s="17" t="str">
        <f>IF($K20="","",VLOOKUP($K20,dropdown!$P$14:$Q$18,2,FALSE))</f>
        <v>Liters</v>
      </c>
      <c r="P20" s="29">
        <v>126</v>
      </c>
      <c r="Q20" s="17" t="str">
        <f t="shared" si="0"/>
        <v>Kilometers</v>
      </c>
      <c r="R20" s="195"/>
    </row>
    <row r="21" spans="2:18" x14ac:dyDescent="0.2">
      <c r="I21" s="194">
        <f t="shared" si="1"/>
        <v>15</v>
      </c>
      <c r="J21" s="57" t="s">
        <v>381</v>
      </c>
      <c r="K21" s="57" t="s">
        <v>63</v>
      </c>
      <c r="L21" s="58" t="s">
        <v>362</v>
      </c>
      <c r="M21" s="18" t="str">
        <f>IF(Fuel_Veh[[#This Row],[Month]]&lt;&gt;"",VLOOKUP(Fuel_Veh[[#This Row],[Month]], dropdown!$S$4:$T$15, 2, FALSE),"")</f>
        <v>Q1</v>
      </c>
      <c r="N21" s="29">
        <v>54.8</v>
      </c>
      <c r="O21" s="17" t="str">
        <f>IF($K21="","",VLOOKUP($K21,dropdown!$P$14:$Q$18,2,FALSE))</f>
        <v>Liters</v>
      </c>
      <c r="P21" s="29">
        <v>330</v>
      </c>
      <c r="Q21" s="17" t="str">
        <f t="shared" si="0"/>
        <v>Kilometers</v>
      </c>
      <c r="R21" s="195"/>
    </row>
    <row r="22" spans="2:18" x14ac:dyDescent="0.2">
      <c r="I22" s="194">
        <f t="shared" si="1"/>
        <v>16</v>
      </c>
      <c r="J22" s="57" t="s">
        <v>381</v>
      </c>
      <c r="K22" s="57" t="s">
        <v>63</v>
      </c>
      <c r="L22" s="58" t="s">
        <v>371</v>
      </c>
      <c r="M22" s="18" t="str">
        <f>IF(Fuel_Veh[[#This Row],[Month]]&lt;&gt;"",VLOOKUP(Fuel_Veh[[#This Row],[Month]], dropdown!$S$4:$T$15, 2, FALSE),"")</f>
        <v>Q2</v>
      </c>
      <c r="N22" s="29">
        <v>170.33</v>
      </c>
      <c r="O22" s="17" t="str">
        <f>IF($K22="","",VLOOKUP($K22,dropdown!$P$14:$Q$18,2,FALSE))</f>
        <v>Liters</v>
      </c>
      <c r="P22" s="29">
        <v>1448</v>
      </c>
      <c r="Q22" s="17" t="str">
        <f t="shared" si="0"/>
        <v>Kilometers</v>
      </c>
      <c r="R22" s="195"/>
    </row>
    <row r="23" spans="2:18" x14ac:dyDescent="0.2">
      <c r="I23" s="194">
        <f t="shared" si="1"/>
        <v>17</v>
      </c>
      <c r="J23" s="57" t="s">
        <v>381</v>
      </c>
      <c r="K23" s="57" t="s">
        <v>63</v>
      </c>
      <c r="L23" s="58" t="s">
        <v>379</v>
      </c>
      <c r="M23" s="18" t="str">
        <f>IF(Fuel_Veh[[#This Row],[Month]]&lt;&gt;"",VLOOKUP(Fuel_Veh[[#This Row],[Month]], dropdown!$S$4:$T$15, 2, FALSE),"")</f>
        <v>Q2</v>
      </c>
      <c r="N23" s="29">
        <v>131.97</v>
      </c>
      <c r="O23" s="17" t="str">
        <f>IF($K23="","",VLOOKUP($K23,dropdown!$P$14:$Q$18,2,FALSE))</f>
        <v>Liters</v>
      </c>
      <c r="P23" s="29">
        <v>793</v>
      </c>
      <c r="Q23" s="17" t="str">
        <f t="shared" si="0"/>
        <v>Kilometers</v>
      </c>
      <c r="R23" s="195"/>
    </row>
    <row r="24" spans="2:18" x14ac:dyDescent="0.2">
      <c r="I24" s="194">
        <f t="shared" si="1"/>
        <v>18</v>
      </c>
      <c r="J24" s="57" t="s">
        <v>381</v>
      </c>
      <c r="K24" s="57" t="s">
        <v>63</v>
      </c>
      <c r="L24" s="58" t="s">
        <v>386</v>
      </c>
      <c r="M24" s="18" t="str">
        <f>IF(Fuel_Veh[[#This Row],[Month]]&lt;&gt;"",VLOOKUP(Fuel_Veh[[#This Row],[Month]], dropdown!$S$4:$T$15, 2, FALSE),"")</f>
        <v>Q2</v>
      </c>
      <c r="N24" s="29">
        <v>26.77</v>
      </c>
      <c r="O24" s="17" t="str">
        <f>IF($K24="","",VLOOKUP($K24,dropdown!$P$14:$Q$18,2,FALSE))</f>
        <v>Liters</v>
      </c>
      <c r="P24" s="29">
        <v>228</v>
      </c>
      <c r="Q24" s="17" t="str">
        <f t="shared" si="0"/>
        <v>Kilometers</v>
      </c>
      <c r="R24" s="195"/>
    </row>
    <row r="25" spans="2:18" x14ac:dyDescent="0.2">
      <c r="I25" s="194">
        <f t="shared" si="1"/>
        <v>19</v>
      </c>
      <c r="J25" s="57" t="s">
        <v>381</v>
      </c>
      <c r="K25" s="57" t="s">
        <v>63</v>
      </c>
      <c r="L25" s="58" t="s">
        <v>390</v>
      </c>
      <c r="M25" s="18" t="str">
        <f>IF(Fuel_Veh[[#This Row],[Month]]&lt;&gt;"",VLOOKUP(Fuel_Veh[[#This Row],[Month]], dropdown!$S$4:$T$15, 2, FALSE),"")</f>
        <v>Q3</v>
      </c>
      <c r="N25" s="29">
        <v>138.77000000000001</v>
      </c>
      <c r="O25" s="17" t="str">
        <f>IF($K25="","",VLOOKUP($K25,dropdown!$P$14:$Q$18,2,FALSE))</f>
        <v>Liters</v>
      </c>
      <c r="P25" s="29">
        <v>1180</v>
      </c>
      <c r="Q25" s="17" t="str">
        <f t="shared" si="0"/>
        <v>Kilometers</v>
      </c>
      <c r="R25" s="195"/>
    </row>
    <row r="26" spans="2:18" x14ac:dyDescent="0.2">
      <c r="I26" s="194">
        <f t="shared" si="1"/>
        <v>20</v>
      </c>
      <c r="J26" s="57" t="s">
        <v>381</v>
      </c>
      <c r="K26" s="57" t="s">
        <v>63</v>
      </c>
      <c r="L26" s="196" t="s">
        <v>41</v>
      </c>
      <c r="M26" s="18" t="str">
        <f>IF(Fuel_Veh[[#This Row],[Month]]&lt;&gt;"",VLOOKUP(Fuel_Veh[[#This Row],[Month]], dropdown!$S$4:$T$15, 2, FALSE),"")</f>
        <v>Q3</v>
      </c>
      <c r="N26" s="197">
        <v>26.39</v>
      </c>
      <c r="O26" s="198" t="str">
        <f>IF($K26="","",VLOOKUP($K26,dropdown!$P$14:$Q$18,2,FALSE))</f>
        <v>Liters</v>
      </c>
      <c r="P26" s="197">
        <v>225</v>
      </c>
      <c r="Q26" s="17" t="str">
        <f t="shared" si="0"/>
        <v>Kilometers</v>
      </c>
      <c r="R26" s="199"/>
    </row>
    <row r="27" spans="2:18" x14ac:dyDescent="0.2">
      <c r="I27" s="194">
        <f t="shared" si="1"/>
        <v>21</v>
      </c>
      <c r="J27" s="57" t="s">
        <v>381</v>
      </c>
      <c r="K27" s="57" t="s">
        <v>63</v>
      </c>
      <c r="L27" s="58" t="s">
        <v>397</v>
      </c>
      <c r="M27" s="18" t="str">
        <f>IF(Fuel_Veh[[#This Row],[Month]]&lt;&gt;"",VLOOKUP(Fuel_Veh[[#This Row],[Month]], dropdown!$S$4:$T$15, 2, FALSE),"")</f>
        <v>Q3</v>
      </c>
      <c r="N27" s="29">
        <v>48.55</v>
      </c>
      <c r="O27" s="17" t="str">
        <f>IF($K27="","",VLOOKUP($K27,dropdown!$P$14:$Q$18,2,FALSE))</f>
        <v>Liters</v>
      </c>
      <c r="P27" s="29">
        <v>413</v>
      </c>
      <c r="Q27" s="17" t="str">
        <f t="shared" si="0"/>
        <v>Kilometers</v>
      </c>
      <c r="R27" s="195"/>
    </row>
    <row r="28" spans="2:18" x14ac:dyDescent="0.2">
      <c r="I28" s="194">
        <f t="shared" si="1"/>
        <v>22</v>
      </c>
      <c r="J28" s="57" t="s">
        <v>381</v>
      </c>
      <c r="K28" s="57" t="s">
        <v>63</v>
      </c>
      <c r="L28" s="58" t="s">
        <v>400</v>
      </c>
      <c r="M28" s="18" t="str">
        <f>IF(Fuel_Veh[[#This Row],[Month]]&lt;&gt;"",VLOOKUP(Fuel_Veh[[#This Row],[Month]], dropdown!$S$4:$T$15, 2, FALSE),"")</f>
        <v>Q4</v>
      </c>
      <c r="N28" s="29">
        <v>72.010000000000005</v>
      </c>
      <c r="O28" s="17" t="str">
        <f>IF($K28="","",VLOOKUP($K28,dropdown!$P$14:$Q$18,2,FALSE))</f>
        <v>Liters</v>
      </c>
      <c r="P28" s="29">
        <v>432</v>
      </c>
      <c r="Q28" s="17" t="str">
        <f t="shared" si="0"/>
        <v>Kilometers</v>
      </c>
      <c r="R28" s="195"/>
    </row>
    <row r="29" spans="2:18" x14ac:dyDescent="0.2">
      <c r="I29" s="194">
        <f t="shared" si="1"/>
        <v>23</v>
      </c>
      <c r="J29" s="57" t="s">
        <v>381</v>
      </c>
      <c r="K29" s="57" t="s">
        <v>63</v>
      </c>
      <c r="L29" s="58" t="s">
        <v>404</v>
      </c>
      <c r="M29" s="18" t="str">
        <f>IF(Fuel_Veh[[#This Row],[Month]]&lt;&gt;"",VLOOKUP(Fuel_Veh[[#This Row],[Month]], dropdown!$S$4:$T$15, 2, FALSE),"")</f>
        <v>Q4</v>
      </c>
      <c r="N29" s="29">
        <v>220.18</v>
      </c>
      <c r="O29" s="17" t="str">
        <f>IF($K29="","",VLOOKUP($K29,dropdown!$P$14:$Q$18,2,FALSE))</f>
        <v>Liters</v>
      </c>
      <c r="P29" s="29">
        <v>1321</v>
      </c>
      <c r="Q29" s="17" t="str">
        <f t="shared" si="0"/>
        <v>Kilometers</v>
      </c>
      <c r="R29" s="195"/>
    </row>
    <row r="30" spans="2:18" x14ac:dyDescent="0.2">
      <c r="I30" s="194">
        <f t="shared" si="1"/>
        <v>24</v>
      </c>
      <c r="J30" s="57" t="s">
        <v>381</v>
      </c>
      <c r="K30" s="345" t="s">
        <v>63</v>
      </c>
      <c r="L30" s="196" t="s">
        <v>407</v>
      </c>
      <c r="M30" s="18" t="str">
        <f>IF(Fuel_Veh[[#This Row],[Month]]&lt;&gt;"",VLOOKUP(Fuel_Veh[[#This Row],[Month]], dropdown!$S$4:$T$15, 2, FALSE),"")</f>
        <v>Q4</v>
      </c>
      <c r="N30" s="197">
        <v>34.51</v>
      </c>
      <c r="O30" s="198" t="str">
        <f>IF($K30="","",VLOOKUP($K30,dropdown!$P$14:$Q$18,2,FALSE))</f>
        <v>Liters</v>
      </c>
      <c r="P30" s="197">
        <v>207</v>
      </c>
      <c r="Q30" s="17" t="str">
        <f t="shared" si="0"/>
        <v>Kilometers</v>
      </c>
      <c r="R30" s="199"/>
    </row>
    <row r="31" spans="2:18" x14ac:dyDescent="0.2">
      <c r="I31" s="194">
        <f t="shared" si="1"/>
        <v>25</v>
      </c>
      <c r="J31" s="57" t="s">
        <v>365</v>
      </c>
      <c r="K31" s="57" t="s">
        <v>63</v>
      </c>
      <c r="L31" s="58" t="s">
        <v>338</v>
      </c>
      <c r="M31" s="18" t="str">
        <f>IF(Fuel_Veh[[#This Row],[Month]]&lt;&gt;"",VLOOKUP(Fuel_Veh[[#This Row],[Month]], dropdown!$S$4:$T$15, 2, FALSE),"")</f>
        <v>Q1</v>
      </c>
      <c r="N31" s="29">
        <v>2</v>
      </c>
      <c r="O31" s="17" t="str">
        <f>IF($K31="","",VLOOKUP($K31,dropdown!$P$14:$Q$18,2,FALSE))</f>
        <v>Liters</v>
      </c>
      <c r="P31" s="29">
        <v>10</v>
      </c>
      <c r="Q31" s="17" t="str">
        <f t="shared" si="0"/>
        <v>Kilometers</v>
      </c>
      <c r="R31" s="199" t="s">
        <v>1433</v>
      </c>
    </row>
    <row r="32" spans="2:18" x14ac:dyDescent="0.2">
      <c r="I32" s="194">
        <f t="shared" si="1"/>
        <v>26</v>
      </c>
      <c r="J32" s="57" t="s">
        <v>365</v>
      </c>
      <c r="K32" s="57" t="s">
        <v>63</v>
      </c>
      <c r="L32" s="58" t="s">
        <v>89</v>
      </c>
      <c r="M32" s="18" t="str">
        <f>IF(Fuel_Veh[[#This Row],[Month]]&lt;&gt;"",VLOOKUP(Fuel_Veh[[#This Row],[Month]], dropdown!$S$4:$T$15, 2, FALSE),"")</f>
        <v>Q1</v>
      </c>
      <c r="N32" s="29">
        <v>1.6</v>
      </c>
      <c r="O32" s="17" t="str">
        <f>IF($K32="","",VLOOKUP($K32,dropdown!$P$14:$Q$18,2,FALSE))</f>
        <v>Liters</v>
      </c>
      <c r="P32" s="29">
        <v>8</v>
      </c>
      <c r="Q32" s="17" t="str">
        <f t="shared" si="0"/>
        <v>Kilometers</v>
      </c>
      <c r="R32" s="199"/>
    </row>
    <row r="33" spans="9:18" x14ac:dyDescent="0.2">
      <c r="I33" s="194">
        <f t="shared" si="1"/>
        <v>27</v>
      </c>
      <c r="J33" s="57" t="s">
        <v>365</v>
      </c>
      <c r="K33" s="57" t="s">
        <v>63</v>
      </c>
      <c r="L33" s="58" t="s">
        <v>362</v>
      </c>
      <c r="M33" s="18" t="str">
        <f>IF(Fuel_Veh[[#This Row],[Month]]&lt;&gt;"",VLOOKUP(Fuel_Veh[[#This Row],[Month]], dropdown!$S$4:$T$15, 2, FALSE),"")</f>
        <v>Q1</v>
      </c>
      <c r="N33" s="29">
        <v>2</v>
      </c>
      <c r="O33" s="17" t="str">
        <f>IF($K33="","",VLOOKUP($K33,dropdown!$P$14:$Q$18,2,FALSE))</f>
        <v>Liters</v>
      </c>
      <c r="P33" s="29">
        <v>10</v>
      </c>
      <c r="Q33" s="17" t="str">
        <f t="shared" si="0"/>
        <v>Kilometers</v>
      </c>
      <c r="R33" s="199"/>
    </row>
    <row r="34" spans="9:18" x14ac:dyDescent="0.2">
      <c r="I34" s="194">
        <f t="shared" si="1"/>
        <v>28</v>
      </c>
      <c r="J34" s="57" t="s">
        <v>365</v>
      </c>
      <c r="K34" s="57" t="s">
        <v>63</v>
      </c>
      <c r="L34" s="58" t="s">
        <v>379</v>
      </c>
      <c r="M34" s="18" t="str">
        <f>IF(Fuel_Veh[[#This Row],[Month]]&lt;&gt;"",VLOOKUP(Fuel_Veh[[#This Row],[Month]], dropdown!$S$4:$T$15, 2, FALSE),"")</f>
        <v>Q2</v>
      </c>
      <c r="N34" s="29">
        <v>0</v>
      </c>
      <c r="O34" s="17" t="str">
        <f>IF($K34="","",VLOOKUP($K34,dropdown!$P$14:$Q$18,2,FALSE))</f>
        <v>Liters</v>
      </c>
      <c r="P34" s="29">
        <v>0</v>
      </c>
      <c r="Q34" s="17" t="str">
        <f t="shared" si="0"/>
        <v>Kilometers</v>
      </c>
      <c r="R34" s="199"/>
    </row>
    <row r="35" spans="9:18" x14ac:dyDescent="0.2">
      <c r="I35" s="194">
        <f t="shared" si="1"/>
        <v>29</v>
      </c>
      <c r="J35" s="57" t="s">
        <v>365</v>
      </c>
      <c r="K35" s="57" t="s">
        <v>63</v>
      </c>
      <c r="L35" s="58" t="s">
        <v>386</v>
      </c>
      <c r="M35" s="18" t="str">
        <f>IF(Fuel_Veh[[#This Row],[Month]]&lt;&gt;"",VLOOKUP(Fuel_Veh[[#This Row],[Month]], dropdown!$S$4:$T$15, 2, FALSE),"")</f>
        <v>Q2</v>
      </c>
      <c r="N35" s="29">
        <v>21.8</v>
      </c>
      <c r="O35" s="17" t="str">
        <f>IF($K35="","",VLOOKUP($K35,dropdown!$P$14:$Q$18,2,FALSE))</f>
        <v>Liters</v>
      </c>
      <c r="P35" s="29">
        <v>109</v>
      </c>
      <c r="Q35" s="17" t="str">
        <f t="shared" si="0"/>
        <v>Kilometers</v>
      </c>
      <c r="R35" s="199"/>
    </row>
    <row r="36" spans="9:18" x14ac:dyDescent="0.2">
      <c r="I36" s="194">
        <f t="shared" si="1"/>
        <v>30</v>
      </c>
      <c r="J36" s="57" t="s">
        <v>365</v>
      </c>
      <c r="K36" s="57" t="s">
        <v>63</v>
      </c>
      <c r="L36" s="58" t="s">
        <v>390</v>
      </c>
      <c r="M36" s="18" t="str">
        <f>IF(Fuel_Veh[[#This Row],[Month]]&lt;&gt;"",VLOOKUP(Fuel_Veh[[#This Row],[Month]], dropdown!$S$4:$T$15, 2, FALSE),"")</f>
        <v>Q3</v>
      </c>
      <c r="N36" s="29">
        <v>4</v>
      </c>
      <c r="O36" s="17" t="str">
        <f>IF($K36="","",VLOOKUP($K36,dropdown!$P$14:$Q$18,2,FALSE))</f>
        <v>Liters</v>
      </c>
      <c r="P36" s="29">
        <v>20</v>
      </c>
      <c r="Q36" s="17" t="str">
        <f t="shared" si="0"/>
        <v>Kilometers</v>
      </c>
      <c r="R36" s="199"/>
    </row>
    <row r="37" spans="9:18" x14ac:dyDescent="0.2">
      <c r="I37" s="194">
        <f t="shared" si="1"/>
        <v>31</v>
      </c>
      <c r="J37" s="57" t="s">
        <v>365</v>
      </c>
      <c r="K37" s="57" t="s">
        <v>63</v>
      </c>
      <c r="L37" s="58" t="s">
        <v>41</v>
      </c>
      <c r="M37" s="18" t="str">
        <f>IF(Fuel_Veh[[#This Row],[Month]]&lt;&gt;"",VLOOKUP(Fuel_Veh[[#This Row],[Month]], dropdown!$S$4:$T$15, 2, FALSE),"")</f>
        <v>Q3</v>
      </c>
      <c r="N37" s="29">
        <v>0</v>
      </c>
      <c r="O37" s="17" t="str">
        <f>IF($K37="","",VLOOKUP($K37,dropdown!$P$14:$Q$18,2,FALSE))</f>
        <v>Liters</v>
      </c>
      <c r="P37" s="29">
        <v>0</v>
      </c>
      <c r="Q37" s="17" t="str">
        <f t="shared" si="0"/>
        <v>Kilometers</v>
      </c>
      <c r="R37" s="199"/>
    </row>
    <row r="38" spans="9:18" x14ac:dyDescent="0.2">
      <c r="I38" s="194">
        <f t="shared" si="1"/>
        <v>32</v>
      </c>
      <c r="J38" s="57" t="s">
        <v>365</v>
      </c>
      <c r="K38" s="57" t="s">
        <v>63</v>
      </c>
      <c r="L38" s="58" t="s">
        <v>397</v>
      </c>
      <c r="M38" s="18" t="str">
        <f>IF(Fuel_Veh[[#This Row],[Month]]&lt;&gt;"",VLOOKUP(Fuel_Veh[[#This Row],[Month]], dropdown!$S$4:$T$15, 2, FALSE),"")</f>
        <v>Q3</v>
      </c>
      <c r="N38" s="29">
        <v>7.6</v>
      </c>
      <c r="O38" s="17" t="str">
        <f>IF($K38="","",VLOOKUP($K38,dropdown!$P$14:$Q$18,2,FALSE))</f>
        <v>Liters</v>
      </c>
      <c r="P38" s="29">
        <v>38</v>
      </c>
      <c r="Q38" s="17" t="str">
        <f t="shared" si="0"/>
        <v>Kilometers</v>
      </c>
      <c r="R38" s="199"/>
    </row>
    <row r="39" spans="9:18" x14ac:dyDescent="0.2">
      <c r="I39" s="194">
        <f t="shared" si="1"/>
        <v>33</v>
      </c>
      <c r="J39" s="57" t="s">
        <v>365</v>
      </c>
      <c r="K39" s="57" t="s">
        <v>63</v>
      </c>
      <c r="L39" s="58" t="s">
        <v>400</v>
      </c>
      <c r="M39" s="18" t="str">
        <f>IF(Fuel_Veh[[#This Row],[Month]]&lt;&gt;"",VLOOKUP(Fuel_Veh[[#This Row],[Month]], dropdown!$S$4:$T$15, 2, FALSE),"")</f>
        <v>Q4</v>
      </c>
      <c r="N39" s="29">
        <v>25.2</v>
      </c>
      <c r="O39" s="17" t="str">
        <f>IF($K39="","",VLOOKUP($K39,dropdown!$P$14:$Q$18,2,FALSE))</f>
        <v>Liters</v>
      </c>
      <c r="P39" s="29">
        <v>126</v>
      </c>
      <c r="Q39" s="17" t="str">
        <f t="shared" si="0"/>
        <v>Kilometers</v>
      </c>
      <c r="R39" s="199"/>
    </row>
    <row r="40" spans="9:18" x14ac:dyDescent="0.2">
      <c r="I40" s="194">
        <f t="shared" si="1"/>
        <v>34</v>
      </c>
      <c r="J40" s="57" t="s">
        <v>365</v>
      </c>
      <c r="K40" s="57" t="s">
        <v>63</v>
      </c>
      <c r="L40" s="58" t="s">
        <v>404</v>
      </c>
      <c r="M40" s="18" t="str">
        <f>IF(Fuel_Veh[[#This Row],[Month]]&lt;&gt;"",VLOOKUP(Fuel_Veh[[#This Row],[Month]], dropdown!$S$4:$T$15, 2, FALSE),"")</f>
        <v>Q4</v>
      </c>
      <c r="N40" s="29">
        <v>2</v>
      </c>
      <c r="O40" s="17" t="str">
        <f>IF($K40="","",VLOOKUP($K40,dropdown!$P$14:$Q$18,2,FALSE))</f>
        <v>Liters</v>
      </c>
      <c r="P40" s="29">
        <v>10</v>
      </c>
      <c r="Q40" s="17" t="str">
        <f t="shared" si="0"/>
        <v>Kilometers</v>
      </c>
      <c r="R40" s="199"/>
    </row>
    <row r="41" spans="9:18" x14ac:dyDescent="0.2">
      <c r="I41" s="194">
        <f t="shared" si="1"/>
        <v>35</v>
      </c>
      <c r="J41" s="57" t="s">
        <v>365</v>
      </c>
      <c r="K41" s="57" t="s">
        <v>63</v>
      </c>
      <c r="L41" s="58" t="s">
        <v>407</v>
      </c>
      <c r="M41" s="18" t="str">
        <f>IF(Fuel_Veh[[#This Row],[Month]]&lt;&gt;"",VLOOKUP(Fuel_Veh[[#This Row],[Month]], dropdown!$S$4:$T$15, 2, FALSE),"")</f>
        <v>Q4</v>
      </c>
      <c r="N41" s="29">
        <v>3.6</v>
      </c>
      <c r="O41" s="17" t="str">
        <f>IF($K41="","",VLOOKUP($K41,dropdown!$P$14:$Q$18,2,FALSE))</f>
        <v>Liters</v>
      </c>
      <c r="P41" s="29">
        <v>18</v>
      </c>
      <c r="Q41" s="17" t="str">
        <f t="shared" si="0"/>
        <v>Kilometers</v>
      </c>
      <c r="R41" s="199"/>
    </row>
    <row r="42" spans="9:18" x14ac:dyDescent="0.2">
      <c r="I42" s="194">
        <f t="shared" si="1"/>
        <v>36</v>
      </c>
      <c r="J42" s="57" t="s">
        <v>343</v>
      </c>
      <c r="K42" s="57" t="s">
        <v>63</v>
      </c>
      <c r="L42" s="58" t="s">
        <v>338</v>
      </c>
      <c r="M42" s="18" t="str">
        <f>IF(Fuel_Veh[[#This Row],[Month]]&lt;&gt;"",VLOOKUP(Fuel_Veh[[#This Row],[Month]], dropdown!$S$4:$T$15, 2, FALSE),"")</f>
        <v>Q1</v>
      </c>
      <c r="N42" s="29">
        <v>12.32</v>
      </c>
      <c r="O42" s="17" t="str">
        <f>IF($K42="","",VLOOKUP($K42,dropdown!$P$14:$Q$18,2,FALSE))</f>
        <v>Liters</v>
      </c>
      <c r="P42" s="29">
        <v>39.75</v>
      </c>
      <c r="Q42" s="17" t="str">
        <f t="shared" si="0"/>
        <v>Kilometers</v>
      </c>
      <c r="R42" s="199" t="s">
        <v>1680</v>
      </c>
    </row>
    <row r="43" spans="9:18" x14ac:dyDescent="0.2">
      <c r="I43" s="194">
        <f t="shared" si="1"/>
        <v>37</v>
      </c>
      <c r="J43" s="57" t="s">
        <v>343</v>
      </c>
      <c r="K43" s="57" t="s">
        <v>63</v>
      </c>
      <c r="L43" s="58" t="s">
        <v>89</v>
      </c>
      <c r="M43" s="18" t="str">
        <f>IF(Fuel_Veh[[#This Row],[Month]]&lt;&gt;"",VLOOKUP(Fuel_Veh[[#This Row],[Month]], dropdown!$S$4:$T$15, 2, FALSE),"")</f>
        <v>Q1</v>
      </c>
      <c r="N43" s="29">
        <v>10.51</v>
      </c>
      <c r="O43" s="17" t="str">
        <f>IF($K43="","",VLOOKUP($K43,dropdown!$P$14:$Q$18,2,FALSE))</f>
        <v>Liters</v>
      </c>
      <c r="P43" s="29">
        <v>36.85</v>
      </c>
      <c r="Q43" s="17" t="str">
        <f t="shared" si="0"/>
        <v>Kilometers</v>
      </c>
      <c r="R43" s="199"/>
    </row>
    <row r="44" spans="9:18" x14ac:dyDescent="0.2">
      <c r="I44" s="194">
        <f t="shared" si="1"/>
        <v>38</v>
      </c>
      <c r="J44" s="57" t="s">
        <v>343</v>
      </c>
      <c r="K44" s="57" t="s">
        <v>63</v>
      </c>
      <c r="L44" s="58" t="s">
        <v>362</v>
      </c>
      <c r="M44" s="18" t="str">
        <f>IF(Fuel_Veh[[#This Row],[Month]]&lt;&gt;"",VLOOKUP(Fuel_Veh[[#This Row],[Month]], dropdown!$S$4:$T$15, 2, FALSE),"")</f>
        <v>Q1</v>
      </c>
      <c r="N44" s="29">
        <v>17.25</v>
      </c>
      <c r="O44" s="17" t="str">
        <f>IF($K44="","",VLOOKUP($K44,dropdown!$P$14:$Q$18,2,FALSE))</f>
        <v>Liters</v>
      </c>
      <c r="P44" s="29">
        <v>60.51</v>
      </c>
      <c r="Q44" s="17" t="str">
        <f t="shared" si="0"/>
        <v>Kilometers</v>
      </c>
      <c r="R44" s="199"/>
    </row>
    <row r="45" spans="9:18" x14ac:dyDescent="0.2">
      <c r="I45" s="194">
        <f t="shared" si="1"/>
        <v>39</v>
      </c>
      <c r="J45" s="57" t="s">
        <v>343</v>
      </c>
      <c r="K45" s="57" t="s">
        <v>63</v>
      </c>
      <c r="L45" s="58" t="s">
        <v>371</v>
      </c>
      <c r="M45" s="18" t="str">
        <f>IF(Fuel_Veh[[#This Row],[Month]]&lt;&gt;"",VLOOKUP(Fuel_Veh[[#This Row],[Month]], dropdown!$S$4:$T$15, 2, FALSE),"")</f>
        <v>Q2</v>
      </c>
      <c r="N45" s="29">
        <v>5.51</v>
      </c>
      <c r="O45" s="17" t="str">
        <f>IF($K45="","",VLOOKUP($K45,dropdown!$P$14:$Q$18,2,FALSE))</f>
        <v>Liters</v>
      </c>
      <c r="P45" s="29">
        <v>19.96</v>
      </c>
      <c r="Q45" s="17" t="str">
        <f t="shared" si="0"/>
        <v>Kilometers</v>
      </c>
      <c r="R45" s="199"/>
    </row>
    <row r="46" spans="9:18" x14ac:dyDescent="0.2">
      <c r="I46" s="194">
        <f t="shared" si="1"/>
        <v>40</v>
      </c>
      <c r="J46" s="57" t="s">
        <v>343</v>
      </c>
      <c r="K46" s="57" t="s">
        <v>63</v>
      </c>
      <c r="L46" s="58" t="s">
        <v>379</v>
      </c>
      <c r="M46" s="18" t="str">
        <f>IF(Fuel_Veh[[#This Row],[Month]]&lt;&gt;"",VLOOKUP(Fuel_Veh[[#This Row],[Month]], dropdown!$S$4:$T$15, 2, FALSE),"")</f>
        <v>Q2</v>
      </c>
      <c r="N46" s="29">
        <v>0</v>
      </c>
      <c r="O46" s="17" t="str">
        <f>IF($K46="","",VLOOKUP($K46,dropdown!$P$14:$Q$18,2,FALSE))</f>
        <v>Liters</v>
      </c>
      <c r="P46" s="29">
        <v>0</v>
      </c>
      <c r="Q46" s="17" t="str">
        <f t="shared" si="0"/>
        <v>Kilometers</v>
      </c>
      <c r="R46" s="199"/>
    </row>
    <row r="47" spans="9:18" x14ac:dyDescent="0.2">
      <c r="I47" s="194">
        <f t="shared" si="1"/>
        <v>41</v>
      </c>
      <c r="J47" s="57" t="s">
        <v>343</v>
      </c>
      <c r="K47" s="57" t="s">
        <v>63</v>
      </c>
      <c r="L47" s="58" t="s">
        <v>386</v>
      </c>
      <c r="M47" s="18" t="str">
        <f>IF(Fuel_Veh[[#This Row],[Month]]&lt;&gt;"",VLOOKUP(Fuel_Veh[[#This Row],[Month]], dropdown!$S$4:$T$15, 2, FALSE),"")</f>
        <v>Q2</v>
      </c>
      <c r="N47" s="29">
        <v>5.88</v>
      </c>
      <c r="O47" s="17" t="str">
        <f>IF($K47="","",VLOOKUP($K47,dropdown!$P$14:$Q$18,2,FALSE))</f>
        <v>Liters</v>
      </c>
      <c r="P47" s="29">
        <v>20.6</v>
      </c>
      <c r="Q47" s="17" t="str">
        <f t="shared" si="0"/>
        <v>Kilometers</v>
      </c>
      <c r="R47" s="199"/>
    </row>
    <row r="48" spans="9:18" x14ac:dyDescent="0.2">
      <c r="I48" s="194">
        <f t="shared" si="1"/>
        <v>42</v>
      </c>
      <c r="J48" s="57" t="s">
        <v>343</v>
      </c>
      <c r="K48" s="57" t="s">
        <v>63</v>
      </c>
      <c r="L48" s="58" t="s">
        <v>390</v>
      </c>
      <c r="M48" s="18" t="str">
        <f>IF(Fuel_Veh[[#This Row],[Month]]&lt;&gt;"",VLOOKUP(Fuel_Veh[[#This Row],[Month]], dropdown!$S$4:$T$15, 2, FALSE),"")</f>
        <v>Q3</v>
      </c>
      <c r="N48" s="29">
        <v>2.38</v>
      </c>
      <c r="O48" s="17" t="str">
        <f>IF($K48="","",VLOOKUP($K48,dropdown!$P$14:$Q$18,2,FALSE))</f>
        <v>Liters</v>
      </c>
      <c r="P48" s="29">
        <v>8.3699999999999992</v>
      </c>
      <c r="Q48" s="17" t="str">
        <f t="shared" si="0"/>
        <v>Kilometers</v>
      </c>
      <c r="R48" s="199"/>
    </row>
    <row r="49" spans="9:18" x14ac:dyDescent="0.2">
      <c r="I49" s="194">
        <f t="shared" si="1"/>
        <v>43</v>
      </c>
      <c r="J49" s="57" t="s">
        <v>343</v>
      </c>
      <c r="K49" s="57" t="s">
        <v>63</v>
      </c>
      <c r="L49" s="58" t="s">
        <v>41</v>
      </c>
      <c r="M49" s="18" t="str">
        <f>IF(Fuel_Veh[[#This Row],[Month]]&lt;&gt;"",VLOOKUP(Fuel_Veh[[#This Row],[Month]], dropdown!$S$4:$T$15, 2, FALSE),"")</f>
        <v>Q3</v>
      </c>
      <c r="N49" s="29">
        <v>0</v>
      </c>
      <c r="O49" s="17" t="str">
        <f>IF($K49="","",VLOOKUP($K49,dropdown!$P$14:$Q$18,2,FALSE))</f>
        <v>Liters</v>
      </c>
      <c r="P49" s="29">
        <v>0</v>
      </c>
      <c r="Q49" s="17" t="str">
        <f t="shared" si="0"/>
        <v>Kilometers</v>
      </c>
      <c r="R49" s="199"/>
    </row>
    <row r="50" spans="9:18" x14ac:dyDescent="0.2">
      <c r="I50" s="194">
        <f t="shared" si="1"/>
        <v>44</v>
      </c>
      <c r="J50" s="57" t="s">
        <v>343</v>
      </c>
      <c r="K50" s="57" t="s">
        <v>63</v>
      </c>
      <c r="L50" s="58" t="s">
        <v>397</v>
      </c>
      <c r="M50" s="18" t="str">
        <f>IF(Fuel_Veh[[#This Row],[Month]]&lt;&gt;"",VLOOKUP(Fuel_Veh[[#This Row],[Month]], dropdown!$S$4:$T$15, 2, FALSE),"")</f>
        <v>Q3</v>
      </c>
      <c r="N50" s="29">
        <v>5.05</v>
      </c>
      <c r="O50" s="17" t="str">
        <f>IF($K50="","",VLOOKUP($K50,dropdown!$P$14:$Q$18,2,FALSE))</f>
        <v>Liters</v>
      </c>
      <c r="P50" s="29">
        <v>17.7</v>
      </c>
      <c r="Q50" s="17" t="str">
        <f t="shared" si="0"/>
        <v>Kilometers</v>
      </c>
      <c r="R50" s="199"/>
    </row>
    <row r="51" spans="9:18" x14ac:dyDescent="0.2">
      <c r="I51" s="194">
        <f t="shared" si="1"/>
        <v>45</v>
      </c>
      <c r="J51" s="57" t="s">
        <v>343</v>
      </c>
      <c r="K51" s="57" t="s">
        <v>63</v>
      </c>
      <c r="L51" s="58" t="s">
        <v>400</v>
      </c>
      <c r="M51" s="18" t="str">
        <f>IF(Fuel_Veh[[#This Row],[Month]]&lt;&gt;"",VLOOKUP(Fuel_Veh[[#This Row],[Month]], dropdown!$S$4:$T$15, 2, FALSE),"")</f>
        <v>Q4</v>
      </c>
      <c r="N51" s="29">
        <v>3.48</v>
      </c>
      <c r="O51" s="17" t="str">
        <f>IF($K51="","",VLOOKUP($K51,dropdown!$P$14:$Q$18,2,FALSE))</f>
        <v>Liters</v>
      </c>
      <c r="P51" s="29">
        <v>12.23</v>
      </c>
      <c r="Q51" s="17" t="str">
        <f t="shared" si="0"/>
        <v>Kilometers</v>
      </c>
      <c r="R51" s="199"/>
    </row>
    <row r="52" spans="9:18" x14ac:dyDescent="0.2">
      <c r="I52" s="194">
        <f t="shared" si="1"/>
        <v>46</v>
      </c>
      <c r="J52" s="57" t="s">
        <v>343</v>
      </c>
      <c r="K52" s="57" t="s">
        <v>63</v>
      </c>
      <c r="L52" s="58" t="s">
        <v>404</v>
      </c>
      <c r="M52" s="18" t="str">
        <f>IF(Fuel_Veh[[#This Row],[Month]]&lt;&gt;"",VLOOKUP(Fuel_Veh[[#This Row],[Month]], dropdown!$S$4:$T$15, 2, FALSE),"")</f>
        <v>Q4</v>
      </c>
      <c r="N52" s="29">
        <v>0</v>
      </c>
      <c r="O52" s="17" t="str">
        <f>IF($K52="","",VLOOKUP($K52,dropdown!$P$14:$Q$18,2,FALSE))</f>
        <v>Liters</v>
      </c>
      <c r="P52" s="29">
        <v>0</v>
      </c>
      <c r="Q52" s="17" t="str">
        <f t="shared" si="0"/>
        <v>Kilometers</v>
      </c>
      <c r="R52" s="199"/>
    </row>
    <row r="53" spans="9:18" x14ac:dyDescent="0.2">
      <c r="I53" s="194">
        <f t="shared" si="1"/>
        <v>47</v>
      </c>
      <c r="J53" s="57" t="s">
        <v>343</v>
      </c>
      <c r="K53" s="57" t="s">
        <v>63</v>
      </c>
      <c r="L53" s="58" t="s">
        <v>407</v>
      </c>
      <c r="M53" s="18" t="str">
        <f>IF(Fuel_Veh[[#This Row],[Month]]&lt;&gt;"",VLOOKUP(Fuel_Veh[[#This Row],[Month]], dropdown!$S$4:$T$15, 2, FALSE),"")</f>
        <v>Q4</v>
      </c>
      <c r="N53" s="29">
        <v>2.71</v>
      </c>
      <c r="O53" s="17" t="str">
        <f>IF($K53="","",VLOOKUP($K53,dropdown!$P$14:$Q$18,2,FALSE))</f>
        <v>Liters</v>
      </c>
      <c r="P53" s="29">
        <v>9.5</v>
      </c>
      <c r="Q53" s="17" t="str">
        <f t="shared" si="0"/>
        <v>Kilometers</v>
      </c>
      <c r="R53" s="199"/>
    </row>
    <row r="54" spans="9:18" x14ac:dyDescent="0.2">
      <c r="I54" s="194">
        <f t="shared" si="1"/>
        <v>48</v>
      </c>
      <c r="J54" s="57" t="s">
        <v>343</v>
      </c>
      <c r="K54" s="57" t="s">
        <v>63</v>
      </c>
      <c r="L54" s="58" t="s">
        <v>338</v>
      </c>
      <c r="M54" s="18" t="str">
        <f>IF(Fuel_Veh[[#This Row],[Month]]&lt;&gt;"",VLOOKUP(Fuel_Veh[[#This Row],[Month]], dropdown!$S$4:$T$15, 2, FALSE),"")</f>
        <v>Q1</v>
      </c>
      <c r="N54" s="29">
        <v>7.4</v>
      </c>
      <c r="O54" s="17" t="str">
        <f>IF($K54="","",VLOOKUP($K54,dropdown!$P$14:$Q$18,2,FALSE))</f>
        <v>Liters</v>
      </c>
      <c r="P54" s="29">
        <v>29.77</v>
      </c>
      <c r="Q54" s="17" t="str">
        <f t="shared" si="0"/>
        <v>Kilometers</v>
      </c>
      <c r="R54" s="199" t="s">
        <v>1681</v>
      </c>
    </row>
    <row r="55" spans="9:18" x14ac:dyDescent="0.2">
      <c r="I55" s="194">
        <f t="shared" si="1"/>
        <v>49</v>
      </c>
      <c r="J55" s="57" t="s">
        <v>343</v>
      </c>
      <c r="K55" s="57" t="s">
        <v>63</v>
      </c>
      <c r="L55" s="58" t="s">
        <v>89</v>
      </c>
      <c r="M55" s="18" t="str">
        <f>IF(Fuel_Veh[[#This Row],[Month]]&lt;&gt;"",VLOOKUP(Fuel_Veh[[#This Row],[Month]], dropdown!$S$4:$T$15, 2, FALSE),"")</f>
        <v>Q1</v>
      </c>
      <c r="N55" s="29">
        <v>8.27</v>
      </c>
      <c r="O55" s="17" t="str">
        <f>IF($K55="","",VLOOKUP($K55,dropdown!$P$14:$Q$18,2,FALSE))</f>
        <v>Liters</v>
      </c>
      <c r="P55" s="29">
        <v>28.97</v>
      </c>
      <c r="Q55" s="17" t="str">
        <f t="shared" si="0"/>
        <v>Kilometers</v>
      </c>
      <c r="R55" s="199"/>
    </row>
    <row r="56" spans="9:18" x14ac:dyDescent="0.2">
      <c r="I56" s="194">
        <f t="shared" si="1"/>
        <v>50</v>
      </c>
      <c r="J56" s="57" t="s">
        <v>343</v>
      </c>
      <c r="K56" s="57" t="s">
        <v>63</v>
      </c>
      <c r="L56" s="58" t="s">
        <v>362</v>
      </c>
      <c r="M56" s="18" t="str">
        <f>IF(Fuel_Veh[[#This Row],[Month]]&lt;&gt;"",VLOOKUP(Fuel_Veh[[#This Row],[Month]], dropdown!$S$4:$T$15, 2, FALSE),"")</f>
        <v>Q1</v>
      </c>
      <c r="N56" s="29">
        <v>48.77</v>
      </c>
      <c r="O56" s="17" t="str">
        <f>IF($K56="","",VLOOKUP($K56,dropdown!$P$14:$Q$18,2,FALSE))</f>
        <v>Liters</v>
      </c>
      <c r="P56" s="29">
        <v>170.91</v>
      </c>
      <c r="Q56" s="17" t="str">
        <f t="shared" si="0"/>
        <v>Kilometers</v>
      </c>
      <c r="R56" s="199"/>
    </row>
    <row r="57" spans="9:18" x14ac:dyDescent="0.2">
      <c r="I57" s="194">
        <f t="shared" si="1"/>
        <v>51</v>
      </c>
      <c r="J57" s="57" t="s">
        <v>343</v>
      </c>
      <c r="K57" s="57" t="s">
        <v>63</v>
      </c>
      <c r="L57" s="58" t="s">
        <v>371</v>
      </c>
      <c r="M57" s="18" t="str">
        <f>IF(Fuel_Veh[[#This Row],[Month]]&lt;&gt;"",VLOOKUP(Fuel_Veh[[#This Row],[Month]], dropdown!$S$4:$T$15, 2, FALSE),"")</f>
        <v>Q2</v>
      </c>
      <c r="N57" s="29">
        <v>142.86000000000001</v>
      </c>
      <c r="O57" s="17" t="str">
        <f>IF($K57="","",VLOOKUP($K57,dropdown!$P$14:$Q$18,2,FALSE))</f>
        <v>Liters</v>
      </c>
      <c r="P57" s="29">
        <v>500.18</v>
      </c>
      <c r="Q57" s="17" t="str">
        <f t="shared" si="0"/>
        <v>Kilometers</v>
      </c>
      <c r="R57" s="199"/>
    </row>
    <row r="58" spans="9:18" x14ac:dyDescent="0.2">
      <c r="I58" s="194">
        <f t="shared" si="1"/>
        <v>52</v>
      </c>
      <c r="J58" s="57" t="s">
        <v>343</v>
      </c>
      <c r="K58" s="57" t="s">
        <v>63</v>
      </c>
      <c r="L58" s="58" t="s">
        <v>379</v>
      </c>
      <c r="M58" s="18" t="str">
        <f>IF(Fuel_Veh[[#This Row],[Month]]&lt;&gt;"",VLOOKUP(Fuel_Veh[[#This Row],[Month]], dropdown!$S$4:$T$15, 2, FALSE),"")</f>
        <v>Q2</v>
      </c>
      <c r="N58" s="29">
        <v>23.9</v>
      </c>
      <c r="O58" s="17" t="str">
        <f>IF($K58="","",VLOOKUP($K58,dropdown!$P$14:$Q$18,2,FALSE))</f>
        <v>Liters</v>
      </c>
      <c r="P58" s="29">
        <v>83.85</v>
      </c>
      <c r="Q58" s="17" t="str">
        <f t="shared" si="0"/>
        <v>Kilometers</v>
      </c>
      <c r="R58" s="199"/>
    </row>
    <row r="59" spans="9:18" x14ac:dyDescent="0.2">
      <c r="I59" s="194">
        <f t="shared" si="1"/>
        <v>53</v>
      </c>
      <c r="J59" s="57" t="s">
        <v>343</v>
      </c>
      <c r="K59" s="57" t="s">
        <v>63</v>
      </c>
      <c r="L59" s="58" t="s">
        <v>386</v>
      </c>
      <c r="M59" s="18" t="str">
        <f>IF(Fuel_Veh[[#This Row],[Month]]&lt;&gt;"",VLOOKUP(Fuel_Veh[[#This Row],[Month]], dropdown!$S$4:$T$15, 2, FALSE),"")</f>
        <v>Q2</v>
      </c>
      <c r="N59" s="29">
        <v>3.95</v>
      </c>
      <c r="O59" s="17" t="str">
        <f>IF($K59="","",VLOOKUP($K59,dropdown!$P$14:$Q$18,2,FALSE))</f>
        <v>Liters</v>
      </c>
      <c r="P59" s="29">
        <v>13.84</v>
      </c>
      <c r="Q59" s="17" t="str">
        <f t="shared" si="0"/>
        <v>Kilometers</v>
      </c>
      <c r="R59" s="199"/>
    </row>
    <row r="60" spans="9:18" x14ac:dyDescent="0.2">
      <c r="I60" s="194">
        <f t="shared" si="1"/>
        <v>54</v>
      </c>
      <c r="J60" s="57" t="s">
        <v>343</v>
      </c>
      <c r="K60" s="57" t="s">
        <v>63</v>
      </c>
      <c r="L60" s="58" t="s">
        <v>390</v>
      </c>
      <c r="M60" s="18" t="str">
        <f>IF(Fuel_Veh[[#This Row],[Month]]&lt;&gt;"",VLOOKUP(Fuel_Veh[[#This Row],[Month]], dropdown!$S$4:$T$15, 2, FALSE),"")</f>
        <v>Q3</v>
      </c>
      <c r="N60" s="29">
        <v>14.59</v>
      </c>
      <c r="O60" s="17" t="str">
        <f>IF($K60="","",VLOOKUP($K60,dropdown!$P$14:$Q$18,2,FALSE))</f>
        <v>Liters</v>
      </c>
      <c r="P60" s="29">
        <v>51.17</v>
      </c>
      <c r="Q60" s="17" t="str">
        <f t="shared" si="0"/>
        <v>Kilometers</v>
      </c>
      <c r="R60" s="199"/>
    </row>
    <row r="61" spans="9:18" x14ac:dyDescent="0.2">
      <c r="I61" s="194">
        <f t="shared" si="1"/>
        <v>55</v>
      </c>
      <c r="J61" s="57" t="s">
        <v>343</v>
      </c>
      <c r="K61" s="57" t="s">
        <v>63</v>
      </c>
      <c r="L61" s="58" t="s">
        <v>41</v>
      </c>
      <c r="M61" s="18" t="str">
        <f>IF(Fuel_Veh[[#This Row],[Month]]&lt;&gt;"",VLOOKUP(Fuel_Veh[[#This Row],[Month]], dropdown!$S$4:$T$15, 2, FALSE),"")</f>
        <v>Q3</v>
      </c>
      <c r="N61" s="29">
        <v>4.2699999999999996</v>
      </c>
      <c r="O61" s="17" t="str">
        <f>IF($K61="","",VLOOKUP($K61,dropdown!$P$14:$Q$18,2,FALSE))</f>
        <v>Liters</v>
      </c>
      <c r="P61" s="29">
        <v>14.96</v>
      </c>
      <c r="Q61" s="17" t="str">
        <f t="shared" si="0"/>
        <v>Kilometers</v>
      </c>
      <c r="R61" s="199"/>
    </row>
    <row r="62" spans="9:18" x14ac:dyDescent="0.2">
      <c r="I62" s="194">
        <f t="shared" si="1"/>
        <v>56</v>
      </c>
      <c r="J62" s="57" t="s">
        <v>343</v>
      </c>
      <c r="K62" s="57" t="s">
        <v>63</v>
      </c>
      <c r="L62" s="58" t="s">
        <v>397</v>
      </c>
      <c r="M62" s="18" t="str">
        <f>IF(Fuel_Veh[[#This Row],[Month]]&lt;&gt;"",VLOOKUP(Fuel_Veh[[#This Row],[Month]], dropdown!$S$4:$T$15, 2, FALSE),"")</f>
        <v>Q3</v>
      </c>
      <c r="N62" s="29">
        <v>43.76</v>
      </c>
      <c r="O62" s="17" t="str">
        <f>IF($K62="","",VLOOKUP($K62,dropdown!$P$14:$Q$18,2,FALSE))</f>
        <v>Liters</v>
      </c>
      <c r="P62" s="29">
        <v>153.34</v>
      </c>
      <c r="Q62" s="17" t="str">
        <f t="shared" si="0"/>
        <v>Kilometers</v>
      </c>
      <c r="R62" s="199"/>
    </row>
    <row r="63" spans="9:18" x14ac:dyDescent="0.2">
      <c r="I63" s="194">
        <f t="shared" si="1"/>
        <v>57</v>
      </c>
      <c r="J63" s="57" t="s">
        <v>343</v>
      </c>
      <c r="K63" s="57" t="s">
        <v>63</v>
      </c>
      <c r="L63" s="58" t="s">
        <v>400</v>
      </c>
      <c r="M63" s="18" t="str">
        <f>IF(Fuel_Veh[[#This Row],[Month]]&lt;&gt;"",VLOOKUP(Fuel_Veh[[#This Row],[Month]], dropdown!$S$4:$T$15, 2, FALSE),"")</f>
        <v>Q4</v>
      </c>
      <c r="N63" s="29">
        <v>2.34</v>
      </c>
      <c r="O63" s="17" t="str">
        <f>IF($K63="","",VLOOKUP($K63,dropdown!$P$14:$Q$18,2,FALSE))</f>
        <v>Liters</v>
      </c>
      <c r="P63" s="29">
        <v>8.2100000000000009</v>
      </c>
      <c r="Q63" s="17" t="str">
        <f t="shared" si="0"/>
        <v>Kilometers</v>
      </c>
      <c r="R63" s="199"/>
    </row>
    <row r="64" spans="9:18" x14ac:dyDescent="0.2">
      <c r="I64" s="194">
        <f t="shared" si="1"/>
        <v>58</v>
      </c>
      <c r="J64" s="57" t="s">
        <v>343</v>
      </c>
      <c r="K64" s="57" t="s">
        <v>63</v>
      </c>
      <c r="L64" s="58" t="s">
        <v>404</v>
      </c>
      <c r="M64" s="18" t="str">
        <f>IF(Fuel_Veh[[#This Row],[Month]]&lt;&gt;"",VLOOKUP(Fuel_Veh[[#This Row],[Month]], dropdown!$S$4:$T$15, 2, FALSE),"")</f>
        <v>Q4</v>
      </c>
      <c r="N64" s="29">
        <v>5.4</v>
      </c>
      <c r="O64" s="17" t="str">
        <f>IF($K64="","",VLOOKUP($K64,dropdown!$P$14:$Q$18,2,FALSE))</f>
        <v>Liters</v>
      </c>
      <c r="P64" s="29">
        <v>18.899999999999999</v>
      </c>
      <c r="Q64" s="17" t="str">
        <f t="shared" si="0"/>
        <v>Kilometers</v>
      </c>
      <c r="R64" s="199"/>
    </row>
    <row r="65" spans="9:18" x14ac:dyDescent="0.2">
      <c r="I65" s="194">
        <f t="shared" si="1"/>
        <v>59</v>
      </c>
      <c r="J65" s="57" t="s">
        <v>343</v>
      </c>
      <c r="K65" s="57" t="s">
        <v>63</v>
      </c>
      <c r="L65" s="58" t="s">
        <v>407</v>
      </c>
      <c r="M65" s="18" t="str">
        <f>IF(Fuel_Veh[[#This Row],[Month]]&lt;&gt;"",VLOOKUP(Fuel_Veh[[#This Row],[Month]], dropdown!$S$4:$T$15, 2, FALSE),"")</f>
        <v>Q4</v>
      </c>
      <c r="N65" s="29">
        <v>2.74</v>
      </c>
      <c r="O65" s="17" t="str">
        <f>IF($K65="","",VLOOKUP($K65,dropdown!$P$14:$Q$18,2,FALSE))</f>
        <v>Liters</v>
      </c>
      <c r="P65" s="29">
        <v>9.6</v>
      </c>
      <c r="Q65" s="17" t="str">
        <f t="shared" si="0"/>
        <v>Kilometers</v>
      </c>
      <c r="R65" s="199"/>
    </row>
    <row r="66" spans="9:18" x14ac:dyDescent="0.2">
      <c r="I66" s="194">
        <f t="shared" si="1"/>
        <v>60</v>
      </c>
      <c r="J66" s="57" t="s">
        <v>343</v>
      </c>
      <c r="K66" s="57" t="s">
        <v>63</v>
      </c>
      <c r="L66" s="58" t="s">
        <v>338</v>
      </c>
      <c r="M66" s="18" t="str">
        <f>IF(Fuel_Veh[[#This Row],[Month]]&lt;&gt;"",VLOOKUP(Fuel_Veh[[#This Row],[Month]], dropdown!$S$4:$T$15, 2, FALSE),"")</f>
        <v>Q1</v>
      </c>
      <c r="N66" s="29">
        <v>7.16</v>
      </c>
      <c r="O66" s="17" t="str">
        <f>IF($K66="","",VLOOKUP($K66,dropdown!$P$14:$Q$18,2,FALSE))</f>
        <v>Liters</v>
      </c>
      <c r="P66" s="29">
        <v>28.81</v>
      </c>
      <c r="Q66" s="17" t="str">
        <f t="shared" si="0"/>
        <v>Kilometers</v>
      </c>
      <c r="R66" s="199" t="s">
        <v>1682</v>
      </c>
    </row>
    <row r="67" spans="9:18" x14ac:dyDescent="0.2">
      <c r="I67" s="194">
        <f t="shared" si="1"/>
        <v>61</v>
      </c>
      <c r="J67" s="57" t="s">
        <v>343</v>
      </c>
      <c r="K67" s="57" t="s">
        <v>63</v>
      </c>
      <c r="L67" s="58" t="s">
        <v>89</v>
      </c>
      <c r="M67" s="18" t="str">
        <f>IF(Fuel_Veh[[#This Row],[Month]]&lt;&gt;"",VLOOKUP(Fuel_Veh[[#This Row],[Month]], dropdown!$S$4:$T$15, 2, FALSE),"")</f>
        <v>Q1</v>
      </c>
      <c r="N67" s="29">
        <v>8.2200000000000006</v>
      </c>
      <c r="O67" s="17" t="str">
        <f>IF($K67="","",VLOOKUP($K67,dropdown!$P$14:$Q$18,2,FALSE))</f>
        <v>Liters</v>
      </c>
      <c r="P67" s="29">
        <v>28.81</v>
      </c>
      <c r="Q67" s="17" t="str">
        <f t="shared" si="0"/>
        <v>Kilometers</v>
      </c>
      <c r="R67" s="199"/>
    </row>
    <row r="68" spans="9:18" x14ac:dyDescent="0.2">
      <c r="I68" s="194">
        <f t="shared" si="1"/>
        <v>62</v>
      </c>
      <c r="J68" s="57" t="s">
        <v>343</v>
      </c>
      <c r="K68" s="57" t="s">
        <v>63</v>
      </c>
      <c r="L68" s="58" t="s">
        <v>362</v>
      </c>
      <c r="M68" s="18" t="str">
        <f>IF(Fuel_Veh[[#This Row],[Month]]&lt;&gt;"",VLOOKUP(Fuel_Veh[[#This Row],[Month]], dropdown!$S$4:$T$15, 2, FALSE),"")</f>
        <v>Q1</v>
      </c>
      <c r="N68" s="29">
        <v>21.9</v>
      </c>
      <c r="O68" s="17" t="str">
        <f>IF($K68="","",VLOOKUP($K68,dropdown!$P$14:$Q$18,2,FALSE))</f>
        <v>Liters</v>
      </c>
      <c r="P68" s="29">
        <v>76.77</v>
      </c>
      <c r="Q68" s="17" t="str">
        <f t="shared" si="0"/>
        <v>Kilometers</v>
      </c>
      <c r="R68" s="199"/>
    </row>
    <row r="69" spans="9:18" x14ac:dyDescent="0.2">
      <c r="I69" s="194">
        <f t="shared" si="1"/>
        <v>63</v>
      </c>
      <c r="J69" s="57" t="s">
        <v>343</v>
      </c>
      <c r="K69" s="57" t="s">
        <v>63</v>
      </c>
      <c r="L69" s="58" t="s">
        <v>371</v>
      </c>
      <c r="M69" s="18" t="str">
        <f>IF(Fuel_Veh[[#This Row],[Month]]&lt;&gt;"",VLOOKUP(Fuel_Veh[[#This Row],[Month]], dropdown!$S$4:$T$15, 2, FALSE),"")</f>
        <v>Q2</v>
      </c>
      <c r="N69" s="29">
        <v>142.94999999999999</v>
      </c>
      <c r="O69" s="17" t="str">
        <f>IF($K69="","",VLOOKUP($K69,dropdown!$P$14:$Q$18,2,FALSE))</f>
        <v>Liters</v>
      </c>
      <c r="P69" s="29">
        <v>500.67</v>
      </c>
      <c r="Q69" s="17" t="str">
        <f t="shared" si="0"/>
        <v>Kilometers</v>
      </c>
      <c r="R69" s="199"/>
    </row>
    <row r="70" spans="9:18" x14ac:dyDescent="0.2">
      <c r="I70" s="194">
        <f t="shared" si="1"/>
        <v>64</v>
      </c>
      <c r="J70" s="57" t="s">
        <v>343</v>
      </c>
      <c r="K70" s="57" t="s">
        <v>63</v>
      </c>
      <c r="L70" s="58" t="s">
        <v>379</v>
      </c>
      <c r="M70" s="18" t="str">
        <f>IF(Fuel_Veh[[#This Row],[Month]]&lt;&gt;"",VLOOKUP(Fuel_Veh[[#This Row],[Month]], dropdown!$S$4:$T$15, 2, FALSE),"")</f>
        <v>Q2</v>
      </c>
      <c r="N70" s="29">
        <v>20.6</v>
      </c>
      <c r="O70" s="17" t="str">
        <f>IF($K70="","",VLOOKUP($K70,dropdown!$P$14:$Q$18,2,FALSE))</f>
        <v>Liters</v>
      </c>
      <c r="P70" s="29">
        <v>72.260000000000005</v>
      </c>
      <c r="Q70" s="17" t="str">
        <f t="shared" si="0"/>
        <v>Kilometers</v>
      </c>
      <c r="R70" s="199"/>
    </row>
    <row r="71" spans="9:18" x14ac:dyDescent="0.2">
      <c r="I71" s="194">
        <f t="shared" si="1"/>
        <v>65</v>
      </c>
      <c r="J71" s="57" t="s">
        <v>343</v>
      </c>
      <c r="K71" s="57" t="s">
        <v>63</v>
      </c>
      <c r="L71" s="58" t="s">
        <v>386</v>
      </c>
      <c r="M71" s="18" t="str">
        <f>IF(Fuel_Veh[[#This Row],[Month]]&lt;&gt;"",VLOOKUP(Fuel_Veh[[#This Row],[Month]], dropdown!$S$4:$T$15, 2, FALSE),"")</f>
        <v>Q2</v>
      </c>
      <c r="N71" s="29">
        <v>3.81</v>
      </c>
      <c r="O71" s="17" t="str">
        <f>IF($K71="","",VLOOKUP($K71,dropdown!$P$14:$Q$18,2,FALSE))</f>
        <v>Liters</v>
      </c>
      <c r="P71" s="29">
        <v>13.35</v>
      </c>
      <c r="Q71" s="17" t="str">
        <f t="shared" ref="Q71:Q106" si="2">IF($P71="","","Kilometers")</f>
        <v>Kilometers</v>
      </c>
      <c r="R71" s="199"/>
    </row>
    <row r="72" spans="9:18" x14ac:dyDescent="0.2">
      <c r="I72" s="194">
        <f t="shared" si="1"/>
        <v>66</v>
      </c>
      <c r="J72" s="57" t="s">
        <v>343</v>
      </c>
      <c r="K72" s="57" t="s">
        <v>63</v>
      </c>
      <c r="L72" s="58" t="s">
        <v>390</v>
      </c>
      <c r="M72" s="18" t="str">
        <f>IF(Fuel_Veh[[#This Row],[Month]]&lt;&gt;"",VLOOKUP(Fuel_Veh[[#This Row],[Month]], dropdown!$S$4:$T$15, 2, FALSE),"")</f>
        <v>Q3</v>
      </c>
      <c r="N72" s="29">
        <v>14.05</v>
      </c>
      <c r="O72" s="17" t="str">
        <f>IF($K72="","",VLOOKUP($K72,dropdown!$P$14:$Q$18,2,FALSE))</f>
        <v>Liters</v>
      </c>
      <c r="P72" s="29">
        <v>49.24</v>
      </c>
      <c r="Q72" s="17" t="str">
        <f t="shared" si="2"/>
        <v>Kilometers</v>
      </c>
      <c r="R72" s="199"/>
    </row>
    <row r="73" spans="9:18" x14ac:dyDescent="0.2">
      <c r="I73" s="194">
        <f t="shared" si="1"/>
        <v>67</v>
      </c>
      <c r="J73" s="57" t="s">
        <v>343</v>
      </c>
      <c r="K73" s="57" t="s">
        <v>63</v>
      </c>
      <c r="L73" s="58" t="s">
        <v>41</v>
      </c>
      <c r="M73" s="18" t="str">
        <f>IF(Fuel_Veh[[#This Row],[Month]]&lt;&gt;"",VLOOKUP(Fuel_Veh[[#This Row],[Month]], dropdown!$S$4:$T$15, 2, FALSE),"")</f>
        <v>Q3</v>
      </c>
      <c r="N73" s="29">
        <v>4.2699999999999996</v>
      </c>
      <c r="O73" s="17" t="str">
        <f>IF($K73="","",VLOOKUP($K73,dropdown!$P$14:$Q$18,2,FALSE))</f>
        <v>Liters</v>
      </c>
      <c r="P73" s="29">
        <v>14.96</v>
      </c>
      <c r="Q73" s="17" t="str">
        <f t="shared" si="2"/>
        <v>Kilometers</v>
      </c>
      <c r="R73" s="199"/>
    </row>
    <row r="74" spans="9:18" x14ac:dyDescent="0.2">
      <c r="I74" s="194">
        <f t="shared" si="1"/>
        <v>68</v>
      </c>
      <c r="J74" s="57" t="s">
        <v>343</v>
      </c>
      <c r="K74" s="57" t="s">
        <v>63</v>
      </c>
      <c r="L74" s="58" t="s">
        <v>397</v>
      </c>
      <c r="M74" s="18" t="str">
        <f>IF(Fuel_Veh[[#This Row],[Month]]&lt;&gt;"",VLOOKUP(Fuel_Veh[[#This Row],[Month]], dropdown!$S$4:$T$15, 2, FALSE),"")</f>
        <v>Q3</v>
      </c>
      <c r="N74" s="29">
        <v>45.93</v>
      </c>
      <c r="O74" s="17" t="str">
        <f>IF($K74="","",VLOOKUP($K74,dropdown!$P$14:$Q$18,2,FALSE))</f>
        <v>Liters</v>
      </c>
      <c r="P74" s="29">
        <v>160.9</v>
      </c>
      <c r="Q74" s="17" t="str">
        <f t="shared" si="2"/>
        <v>Kilometers</v>
      </c>
      <c r="R74" s="199"/>
    </row>
    <row r="75" spans="9:18" x14ac:dyDescent="0.2">
      <c r="I75" s="194">
        <f t="shared" si="1"/>
        <v>69</v>
      </c>
      <c r="J75" s="57" t="s">
        <v>343</v>
      </c>
      <c r="K75" s="57" t="s">
        <v>63</v>
      </c>
      <c r="L75" s="58" t="s">
        <v>400</v>
      </c>
      <c r="M75" s="18" t="str">
        <f>IF(Fuel_Veh[[#This Row],[Month]]&lt;&gt;"",VLOOKUP(Fuel_Veh[[#This Row],[Month]], dropdown!$S$4:$T$15, 2, FALSE),"")</f>
        <v>Q4</v>
      </c>
      <c r="N75" s="29">
        <v>2.48</v>
      </c>
      <c r="O75" s="17" t="str">
        <f>IF($K75="","",VLOOKUP($K75,dropdown!$P$14:$Q$18,2,FALSE))</f>
        <v>Liters</v>
      </c>
      <c r="P75" s="29">
        <v>8.69</v>
      </c>
      <c r="Q75" s="17" t="str">
        <f t="shared" si="2"/>
        <v>Kilometers</v>
      </c>
      <c r="R75" s="199"/>
    </row>
    <row r="76" spans="9:18" x14ac:dyDescent="0.2">
      <c r="I76" s="194">
        <f t="shared" ref="I76:I77" si="3">IF($J76="","",$I75+1)</f>
        <v>70</v>
      </c>
      <c r="J76" s="57" t="s">
        <v>343</v>
      </c>
      <c r="K76" s="57" t="s">
        <v>63</v>
      </c>
      <c r="L76" s="58" t="s">
        <v>404</v>
      </c>
      <c r="M76" s="18" t="str">
        <f>IF(Fuel_Veh[[#This Row],[Month]]&lt;&gt;"",VLOOKUP(Fuel_Veh[[#This Row],[Month]], dropdown!$S$4:$T$15, 2, FALSE),"")</f>
        <v>Q4</v>
      </c>
      <c r="N76" s="29">
        <v>5.23</v>
      </c>
      <c r="O76" s="17" t="str">
        <f>IF($K76="","",VLOOKUP($K76,dropdown!$P$14:$Q$18,2,FALSE))</f>
        <v>Liters</v>
      </c>
      <c r="P76" s="29">
        <v>18.3</v>
      </c>
      <c r="Q76" s="17" t="str">
        <f t="shared" si="2"/>
        <v>Kilometers</v>
      </c>
      <c r="R76" s="199"/>
    </row>
    <row r="77" spans="9:18" x14ac:dyDescent="0.2">
      <c r="I77" s="194">
        <f t="shared" si="3"/>
        <v>71</v>
      </c>
      <c r="J77" s="57" t="s">
        <v>343</v>
      </c>
      <c r="K77" s="57" t="s">
        <v>63</v>
      </c>
      <c r="L77" s="58" t="s">
        <v>407</v>
      </c>
      <c r="M77" s="18" t="str">
        <f>IF(Fuel_Veh[[#This Row],[Month]]&lt;&gt;"",VLOOKUP(Fuel_Veh[[#This Row],[Month]], dropdown!$S$4:$T$15, 2, FALSE),"")</f>
        <v>Q4</v>
      </c>
      <c r="N77" s="29">
        <v>3.63</v>
      </c>
      <c r="O77" s="17" t="str">
        <f>IF($K77="","",VLOOKUP($K77,dropdown!$P$14:$Q$18,2,FALSE))</f>
        <v>Liters</v>
      </c>
      <c r="P77" s="29">
        <v>13</v>
      </c>
      <c r="Q77" s="17" t="str">
        <f t="shared" si="2"/>
        <v>Kilometers</v>
      </c>
      <c r="R77" s="199"/>
    </row>
    <row r="78" spans="9:18" x14ac:dyDescent="0.2">
      <c r="I78" s="194" t="str">
        <f t="shared" ref="I78:I85" si="4">IF($J78="","",$I77+1)</f>
        <v/>
      </c>
      <c r="J78" s="57"/>
      <c r="K78" s="57"/>
      <c r="L78" s="58"/>
      <c r="M78" s="18" t="str">
        <f>IF(Fuel_Veh[[#This Row],[Month]]&lt;&gt;"",VLOOKUP(Fuel_Veh[[#This Row],[Month]], dropdown!$S$4:$T$15, 2, FALSE),"")</f>
        <v/>
      </c>
      <c r="N78" s="29"/>
      <c r="O78" s="17" t="str">
        <f>IF($K78="","",VLOOKUP($K78,dropdown!$P$14:$Q$18,2,FALSE))</f>
        <v/>
      </c>
      <c r="P78" s="29"/>
      <c r="Q78" s="17" t="str">
        <f t="shared" si="2"/>
        <v/>
      </c>
      <c r="R78" s="199"/>
    </row>
    <row r="79" spans="9:18" x14ac:dyDescent="0.2">
      <c r="I79" s="194" t="str">
        <f t="shared" si="4"/>
        <v/>
      </c>
      <c r="J79" s="57"/>
      <c r="K79" s="57"/>
      <c r="L79" s="58"/>
      <c r="M79" s="18" t="str">
        <f>IF(Fuel_Veh[[#This Row],[Month]]&lt;&gt;"",VLOOKUP(Fuel_Veh[[#This Row],[Month]], dropdown!$S$4:$T$15, 2, FALSE),"")</f>
        <v/>
      </c>
      <c r="N79" s="29"/>
      <c r="O79" s="17" t="str">
        <f>IF($K79="","",VLOOKUP($K79,dropdown!$P$14:$Q$18,2,FALSE))</f>
        <v/>
      </c>
      <c r="P79" s="29"/>
      <c r="Q79" s="17" t="str">
        <f t="shared" si="2"/>
        <v/>
      </c>
      <c r="R79" s="199"/>
    </row>
    <row r="80" spans="9:18" x14ac:dyDescent="0.2">
      <c r="I80" s="194" t="str">
        <f t="shared" si="4"/>
        <v/>
      </c>
      <c r="J80" s="57"/>
      <c r="K80" s="57"/>
      <c r="L80" s="58"/>
      <c r="M80" s="18" t="str">
        <f>IF(Fuel_Veh[[#This Row],[Month]]&lt;&gt;"",VLOOKUP(Fuel_Veh[[#This Row],[Month]], dropdown!$S$4:$T$15, 2, FALSE),"")</f>
        <v/>
      </c>
      <c r="N80" s="29"/>
      <c r="O80" s="17" t="str">
        <f>IF($K80="","",VLOOKUP($K80,dropdown!$P$14:$Q$18,2,FALSE))</f>
        <v/>
      </c>
      <c r="P80" s="29"/>
      <c r="Q80" s="17" t="str">
        <f t="shared" si="2"/>
        <v/>
      </c>
      <c r="R80" s="199"/>
    </row>
    <row r="81" spans="9:18" x14ac:dyDescent="0.2">
      <c r="I81" s="194" t="str">
        <f t="shared" si="4"/>
        <v/>
      </c>
      <c r="J81" s="57"/>
      <c r="K81" s="57"/>
      <c r="L81" s="58"/>
      <c r="M81" s="18" t="str">
        <f>IF(Fuel_Veh[[#This Row],[Month]]&lt;&gt;"",VLOOKUP(Fuel_Veh[[#This Row],[Month]], dropdown!$S$4:$T$15, 2, FALSE),"")</f>
        <v/>
      </c>
      <c r="N81" s="29"/>
      <c r="O81" s="17" t="str">
        <f>IF($K81="","",VLOOKUP($K81,dropdown!$P$14:$Q$18,2,FALSE))</f>
        <v/>
      </c>
      <c r="P81" s="29"/>
      <c r="Q81" s="17" t="str">
        <f t="shared" si="2"/>
        <v/>
      </c>
      <c r="R81" s="199"/>
    </row>
    <row r="82" spans="9:18" x14ac:dyDescent="0.2">
      <c r="I82" s="194" t="str">
        <f t="shared" si="4"/>
        <v/>
      </c>
      <c r="J82" s="57"/>
      <c r="K82" s="57"/>
      <c r="L82" s="58"/>
      <c r="M82" s="18" t="str">
        <f>IF(Fuel_Veh[[#This Row],[Month]]&lt;&gt;"",VLOOKUP(Fuel_Veh[[#This Row],[Month]], dropdown!$S$4:$T$15, 2, FALSE),"")</f>
        <v/>
      </c>
      <c r="N82" s="29"/>
      <c r="O82" s="17" t="str">
        <f>IF($K82="","",VLOOKUP($K82,dropdown!$P$14:$Q$18,2,FALSE))</f>
        <v/>
      </c>
      <c r="P82" s="29"/>
      <c r="Q82" s="17" t="str">
        <f t="shared" si="2"/>
        <v/>
      </c>
      <c r="R82" s="199"/>
    </row>
    <row r="83" spans="9:18" x14ac:dyDescent="0.2">
      <c r="I83" s="194" t="str">
        <f t="shared" si="4"/>
        <v/>
      </c>
      <c r="J83" s="57"/>
      <c r="K83" s="57"/>
      <c r="L83" s="58"/>
      <c r="M83" s="18" t="str">
        <f>IF(Fuel_Veh[[#This Row],[Month]]&lt;&gt;"",VLOOKUP(Fuel_Veh[[#This Row],[Month]], dropdown!$S$4:$T$15, 2, FALSE),"")</f>
        <v/>
      </c>
      <c r="N83" s="29"/>
      <c r="O83" s="17" t="str">
        <f>IF($K83="","",VLOOKUP($K83,dropdown!$P$14:$Q$18,2,FALSE))</f>
        <v/>
      </c>
      <c r="P83" s="29"/>
      <c r="Q83" s="17" t="str">
        <f t="shared" si="2"/>
        <v/>
      </c>
      <c r="R83" s="199"/>
    </row>
    <row r="84" spans="9:18" x14ac:dyDescent="0.2">
      <c r="I84" s="194" t="str">
        <f t="shared" si="4"/>
        <v/>
      </c>
      <c r="J84" s="57"/>
      <c r="K84" s="57"/>
      <c r="L84" s="58"/>
      <c r="M84" s="18" t="str">
        <f>IF(Fuel_Veh[[#This Row],[Month]]&lt;&gt;"",VLOOKUP(Fuel_Veh[[#This Row],[Month]], dropdown!$S$4:$T$15, 2, FALSE),"")</f>
        <v/>
      </c>
      <c r="N84" s="29"/>
      <c r="O84" s="17" t="str">
        <f>IF($K84="","",VLOOKUP($K84,dropdown!$P$14:$Q$18,2,FALSE))</f>
        <v/>
      </c>
      <c r="P84" s="29"/>
      <c r="Q84" s="17" t="str">
        <f t="shared" si="2"/>
        <v/>
      </c>
      <c r="R84" s="199"/>
    </row>
    <row r="85" spans="9:18" x14ac:dyDescent="0.2">
      <c r="I85" s="194" t="str">
        <f t="shared" si="4"/>
        <v/>
      </c>
      <c r="J85" s="57"/>
      <c r="K85" s="57"/>
      <c r="L85" s="58"/>
      <c r="M85" s="18" t="str">
        <f>IF(Fuel_Veh[[#This Row],[Month]]&lt;&gt;"",VLOOKUP(Fuel_Veh[[#This Row],[Month]], dropdown!$S$4:$T$15, 2, FALSE),"")</f>
        <v/>
      </c>
      <c r="N85" s="29"/>
      <c r="O85" s="17" t="str">
        <f>IF($K85="","",VLOOKUP($K85,dropdown!$P$14:$Q$18,2,FALSE))</f>
        <v/>
      </c>
      <c r="P85" s="29"/>
      <c r="Q85" s="17" t="str">
        <f t="shared" si="2"/>
        <v/>
      </c>
      <c r="R85" s="199"/>
    </row>
    <row r="86" spans="9:18" x14ac:dyDescent="0.2">
      <c r="I86" s="194" t="str">
        <f t="shared" ref="I86:I106" si="5">IF($J86="","",$I85+1)</f>
        <v/>
      </c>
      <c r="J86" s="57"/>
      <c r="K86" s="57"/>
      <c r="L86" s="58"/>
      <c r="M86" s="18" t="str">
        <f>IF(Fuel_Veh[[#This Row],[Month]]&lt;&gt;"",VLOOKUP(Fuel_Veh[[#This Row],[Month]], dropdown!$S$4:$T$15, 2, FALSE),"")</f>
        <v/>
      </c>
      <c r="N86" s="29"/>
      <c r="O86" s="17" t="str">
        <f>IF($K86="","",VLOOKUP($K86,dropdown!$P$14:$Q$18,2,FALSE))</f>
        <v/>
      </c>
      <c r="P86" s="29"/>
      <c r="Q86" s="17" t="str">
        <f t="shared" si="2"/>
        <v/>
      </c>
      <c r="R86" s="199"/>
    </row>
    <row r="87" spans="9:18" x14ac:dyDescent="0.2">
      <c r="I87" s="194" t="str">
        <f t="shared" si="5"/>
        <v/>
      </c>
      <c r="J87" s="57"/>
      <c r="K87" s="57"/>
      <c r="L87" s="58"/>
      <c r="M87" s="18" t="str">
        <f>IF(Fuel_Veh[[#This Row],[Month]]&lt;&gt;"",VLOOKUP(Fuel_Veh[[#This Row],[Month]], dropdown!$S$4:$T$15, 2, FALSE),"")</f>
        <v/>
      </c>
      <c r="N87" s="29"/>
      <c r="O87" s="17" t="str">
        <f>IF($K87="","",VLOOKUP($K87,dropdown!$P$14:$Q$18,2,FALSE))</f>
        <v/>
      </c>
      <c r="P87" s="29"/>
      <c r="Q87" s="17" t="str">
        <f t="shared" si="2"/>
        <v/>
      </c>
      <c r="R87" s="199"/>
    </row>
    <row r="88" spans="9:18" x14ac:dyDescent="0.2">
      <c r="I88" s="194" t="str">
        <f t="shared" si="5"/>
        <v/>
      </c>
      <c r="J88" s="57"/>
      <c r="K88" s="57"/>
      <c r="L88" s="58"/>
      <c r="M88" s="18" t="str">
        <f>IF(Fuel_Veh[[#This Row],[Month]]&lt;&gt;"",VLOOKUP(Fuel_Veh[[#This Row],[Month]], dropdown!$S$4:$T$15, 2, FALSE),"")</f>
        <v/>
      </c>
      <c r="N88" s="29"/>
      <c r="O88" s="17" t="str">
        <f>IF($K88="","",VLOOKUP($K88,dropdown!$P$14:$Q$18,2,FALSE))</f>
        <v/>
      </c>
      <c r="P88" s="29"/>
      <c r="Q88" s="17" t="str">
        <f t="shared" si="2"/>
        <v/>
      </c>
      <c r="R88" s="199"/>
    </row>
    <row r="89" spans="9:18" x14ac:dyDescent="0.2">
      <c r="I89" s="194" t="str">
        <f t="shared" si="5"/>
        <v/>
      </c>
      <c r="J89" s="57"/>
      <c r="K89" s="57"/>
      <c r="L89" s="58"/>
      <c r="M89" s="18" t="str">
        <f>IF(Fuel_Veh[[#This Row],[Month]]&lt;&gt;"",VLOOKUP(Fuel_Veh[[#This Row],[Month]], dropdown!$S$4:$T$15, 2, FALSE),"")</f>
        <v/>
      </c>
      <c r="N89" s="29"/>
      <c r="O89" s="17" t="str">
        <f>IF($K89="","",VLOOKUP($K89,dropdown!$P$14:$Q$18,2,FALSE))</f>
        <v/>
      </c>
      <c r="P89" s="29"/>
      <c r="Q89" s="17" t="str">
        <f t="shared" si="2"/>
        <v/>
      </c>
      <c r="R89" s="199"/>
    </row>
    <row r="90" spans="9:18" x14ac:dyDescent="0.2">
      <c r="I90" s="194" t="str">
        <f t="shared" si="5"/>
        <v/>
      </c>
      <c r="J90" s="57"/>
      <c r="K90" s="57"/>
      <c r="L90" s="58"/>
      <c r="M90" s="18" t="str">
        <f>IF(Fuel_Veh[[#This Row],[Month]]&lt;&gt;"",VLOOKUP(Fuel_Veh[[#This Row],[Month]], dropdown!$S$4:$T$15, 2, FALSE),"")</f>
        <v/>
      </c>
      <c r="N90" s="29"/>
      <c r="O90" s="17" t="str">
        <f>IF($K90="","",VLOOKUP($K90,dropdown!$P$14:$Q$18,2,FALSE))</f>
        <v/>
      </c>
      <c r="P90" s="29"/>
      <c r="Q90" s="17" t="str">
        <f t="shared" si="2"/>
        <v/>
      </c>
      <c r="R90" s="199"/>
    </row>
    <row r="91" spans="9:18" x14ac:dyDescent="0.2">
      <c r="I91" s="194" t="str">
        <f t="shared" si="5"/>
        <v/>
      </c>
      <c r="J91" s="57"/>
      <c r="K91" s="57"/>
      <c r="L91" s="58"/>
      <c r="M91" s="18" t="str">
        <f>IF(Fuel_Veh[[#This Row],[Month]]&lt;&gt;"",VLOOKUP(Fuel_Veh[[#This Row],[Month]], dropdown!$S$4:$T$15, 2, FALSE),"")</f>
        <v/>
      </c>
      <c r="N91" s="29"/>
      <c r="O91" s="17" t="str">
        <f>IF($K91="","",VLOOKUP($K91,dropdown!$P$14:$Q$18,2,FALSE))</f>
        <v/>
      </c>
      <c r="P91" s="29"/>
      <c r="Q91" s="17" t="str">
        <f t="shared" si="2"/>
        <v/>
      </c>
      <c r="R91" s="199"/>
    </row>
    <row r="92" spans="9:18" x14ac:dyDescent="0.2">
      <c r="I92" s="194" t="str">
        <f t="shared" si="5"/>
        <v/>
      </c>
      <c r="J92" s="57"/>
      <c r="K92" s="57"/>
      <c r="L92" s="58"/>
      <c r="M92" s="18" t="str">
        <f>IF(Fuel_Veh[[#This Row],[Month]]&lt;&gt;"",VLOOKUP(Fuel_Veh[[#This Row],[Month]], dropdown!$S$4:$T$15, 2, FALSE),"")</f>
        <v/>
      </c>
      <c r="N92" s="29"/>
      <c r="O92" s="17" t="str">
        <f>IF($K92="","",VLOOKUP($K92,dropdown!$P$14:$Q$18,2,FALSE))</f>
        <v/>
      </c>
      <c r="P92" s="29"/>
      <c r="Q92" s="17" t="str">
        <f t="shared" si="2"/>
        <v/>
      </c>
      <c r="R92" s="199"/>
    </row>
    <row r="93" spans="9:18" x14ac:dyDescent="0.2">
      <c r="I93" s="194" t="str">
        <f t="shared" si="5"/>
        <v/>
      </c>
      <c r="J93" s="57"/>
      <c r="K93" s="57"/>
      <c r="L93" s="58"/>
      <c r="M93" s="18" t="str">
        <f>IF(Fuel_Veh[[#This Row],[Month]]&lt;&gt;"",VLOOKUP(Fuel_Veh[[#This Row],[Month]], dropdown!$S$4:$T$15, 2, FALSE),"")</f>
        <v/>
      </c>
      <c r="N93" s="29"/>
      <c r="O93" s="17" t="str">
        <f>IF($K93="","",VLOOKUP($K93,dropdown!$P$14:$Q$18,2,FALSE))</f>
        <v/>
      </c>
      <c r="P93" s="29"/>
      <c r="Q93" s="17" t="str">
        <f t="shared" si="2"/>
        <v/>
      </c>
      <c r="R93" s="199"/>
    </row>
    <row r="94" spans="9:18" x14ac:dyDescent="0.2">
      <c r="I94" s="194" t="str">
        <f t="shared" si="5"/>
        <v/>
      </c>
      <c r="J94" s="57"/>
      <c r="K94" s="57"/>
      <c r="L94" s="58"/>
      <c r="M94" s="18" t="str">
        <f>IF(Fuel_Veh[[#This Row],[Month]]&lt;&gt;"",VLOOKUP(Fuel_Veh[[#This Row],[Month]], dropdown!$S$4:$T$15, 2, FALSE),"")</f>
        <v/>
      </c>
      <c r="N94" s="29"/>
      <c r="O94" s="17" t="str">
        <f>IF($K94="","",VLOOKUP($K94,dropdown!$P$14:$Q$18,2,FALSE))</f>
        <v/>
      </c>
      <c r="P94" s="29"/>
      <c r="Q94" s="17" t="str">
        <f t="shared" si="2"/>
        <v/>
      </c>
      <c r="R94" s="199"/>
    </row>
    <row r="95" spans="9:18" x14ac:dyDescent="0.2">
      <c r="I95" s="194" t="str">
        <f t="shared" si="5"/>
        <v/>
      </c>
      <c r="J95" s="57"/>
      <c r="K95" s="57"/>
      <c r="L95" s="58"/>
      <c r="M95" s="18" t="str">
        <f>IF(Fuel_Veh[[#This Row],[Month]]&lt;&gt;"",VLOOKUP(Fuel_Veh[[#This Row],[Month]], dropdown!$S$4:$T$15, 2, FALSE),"")</f>
        <v/>
      </c>
      <c r="N95" s="29"/>
      <c r="O95" s="17" t="str">
        <f>IF($K95="","",VLOOKUP($K95,dropdown!$P$14:$Q$18,2,FALSE))</f>
        <v/>
      </c>
      <c r="P95" s="29"/>
      <c r="Q95" s="17" t="str">
        <f t="shared" si="2"/>
        <v/>
      </c>
      <c r="R95" s="199"/>
    </row>
    <row r="96" spans="9:18" x14ac:dyDescent="0.2">
      <c r="I96" s="194" t="str">
        <f t="shared" si="5"/>
        <v/>
      </c>
      <c r="J96" s="57"/>
      <c r="K96" s="57"/>
      <c r="L96" s="58"/>
      <c r="M96" s="18" t="str">
        <f>IF(Fuel_Veh[[#This Row],[Month]]&lt;&gt;"",VLOOKUP(Fuel_Veh[[#This Row],[Month]], dropdown!$S$4:$T$15, 2, FALSE),"")</f>
        <v/>
      </c>
      <c r="N96" s="29"/>
      <c r="O96" s="17" t="str">
        <f>IF($K96="","",VLOOKUP($K96,dropdown!$P$14:$Q$18,2,FALSE))</f>
        <v/>
      </c>
      <c r="P96" s="29"/>
      <c r="Q96" s="17" t="str">
        <f t="shared" si="2"/>
        <v/>
      </c>
      <c r="R96" s="199"/>
    </row>
    <row r="97" spans="9:18" x14ac:dyDescent="0.2">
      <c r="I97" s="194" t="str">
        <f t="shared" si="5"/>
        <v/>
      </c>
      <c r="J97" s="57"/>
      <c r="K97" s="57"/>
      <c r="L97" s="58"/>
      <c r="M97" s="18" t="str">
        <f>IF(Fuel_Veh[[#This Row],[Month]]&lt;&gt;"",VLOOKUP(Fuel_Veh[[#This Row],[Month]], dropdown!$S$4:$T$15, 2, FALSE),"")</f>
        <v/>
      </c>
      <c r="N97" s="29"/>
      <c r="O97" s="17" t="str">
        <f>IF($K97="","",VLOOKUP($K97,dropdown!$P$14:$Q$18,2,FALSE))</f>
        <v/>
      </c>
      <c r="P97" s="29"/>
      <c r="Q97" s="17" t="str">
        <f t="shared" si="2"/>
        <v/>
      </c>
      <c r="R97" s="199"/>
    </row>
    <row r="98" spans="9:18" x14ac:dyDescent="0.2">
      <c r="I98" s="194" t="str">
        <f t="shared" si="5"/>
        <v/>
      </c>
      <c r="J98" s="57"/>
      <c r="K98" s="57"/>
      <c r="L98" s="58"/>
      <c r="M98" s="18" t="str">
        <f>IF(Fuel_Veh[[#This Row],[Month]]&lt;&gt;"",VLOOKUP(Fuel_Veh[[#This Row],[Month]], dropdown!$S$4:$T$15, 2, FALSE),"")</f>
        <v/>
      </c>
      <c r="N98" s="29"/>
      <c r="O98" s="17" t="str">
        <f>IF($K98="","",VLOOKUP($K98,dropdown!$P$14:$Q$18,2,FALSE))</f>
        <v/>
      </c>
      <c r="P98" s="29"/>
      <c r="Q98" s="17" t="str">
        <f t="shared" si="2"/>
        <v/>
      </c>
      <c r="R98" s="199"/>
    </row>
    <row r="99" spans="9:18" x14ac:dyDescent="0.2">
      <c r="I99" s="194" t="str">
        <f t="shared" si="5"/>
        <v/>
      </c>
      <c r="J99" s="57"/>
      <c r="K99" s="57"/>
      <c r="L99" s="58"/>
      <c r="M99" s="18" t="str">
        <f>IF(Fuel_Veh[[#This Row],[Month]]&lt;&gt;"",VLOOKUP(Fuel_Veh[[#This Row],[Month]], dropdown!$S$4:$T$15, 2, FALSE),"")</f>
        <v/>
      </c>
      <c r="N99" s="29"/>
      <c r="O99" s="17" t="str">
        <f>IF($K99="","",VLOOKUP($K99,dropdown!$P$14:$Q$18,2,FALSE))</f>
        <v/>
      </c>
      <c r="P99" s="29"/>
      <c r="Q99" s="17" t="str">
        <f t="shared" si="2"/>
        <v/>
      </c>
      <c r="R99" s="199"/>
    </row>
    <row r="100" spans="9:18" x14ac:dyDescent="0.2">
      <c r="I100" s="194" t="str">
        <f t="shared" si="5"/>
        <v/>
      </c>
      <c r="J100" s="57"/>
      <c r="K100" s="57"/>
      <c r="L100" s="58"/>
      <c r="M100" s="18" t="str">
        <f>IF(Fuel_Veh[[#This Row],[Month]]&lt;&gt;"",VLOOKUP(Fuel_Veh[[#This Row],[Month]], dropdown!$S$4:$T$15, 2, FALSE),"")</f>
        <v/>
      </c>
      <c r="N100" s="29"/>
      <c r="O100" s="17" t="str">
        <f>IF($K100="","",VLOOKUP($K100,dropdown!$P$14:$Q$18,2,FALSE))</f>
        <v/>
      </c>
      <c r="P100" s="29"/>
      <c r="Q100" s="17" t="str">
        <f t="shared" si="2"/>
        <v/>
      </c>
      <c r="R100" s="199"/>
    </row>
    <row r="101" spans="9:18" x14ac:dyDescent="0.2">
      <c r="I101" s="194" t="str">
        <f t="shared" si="5"/>
        <v/>
      </c>
      <c r="J101" s="57"/>
      <c r="K101" s="57"/>
      <c r="L101" s="58"/>
      <c r="M101" s="18" t="str">
        <f>IF(Fuel_Veh[[#This Row],[Month]]&lt;&gt;"",VLOOKUP(Fuel_Veh[[#This Row],[Month]], dropdown!$S$4:$T$15, 2, FALSE),"")</f>
        <v/>
      </c>
      <c r="N101" s="29"/>
      <c r="O101" s="17" t="str">
        <f>IF($K101="","",VLOOKUP($K101,dropdown!$P$14:$Q$18,2,FALSE))</f>
        <v/>
      </c>
      <c r="P101" s="29"/>
      <c r="Q101" s="17" t="str">
        <f t="shared" si="2"/>
        <v/>
      </c>
      <c r="R101" s="199"/>
    </row>
    <row r="102" spans="9:18" x14ac:dyDescent="0.2">
      <c r="I102" s="194" t="str">
        <f t="shared" si="5"/>
        <v/>
      </c>
      <c r="J102" s="57"/>
      <c r="K102" s="57"/>
      <c r="L102" s="58"/>
      <c r="M102" s="18" t="str">
        <f>IF(Fuel_Veh[[#This Row],[Month]]&lt;&gt;"",VLOOKUP(Fuel_Veh[[#This Row],[Month]], dropdown!$S$4:$T$15, 2, FALSE),"")</f>
        <v/>
      </c>
      <c r="N102" s="29"/>
      <c r="O102" s="17" t="str">
        <f>IF($K102="","",VLOOKUP($K102,dropdown!$P$14:$Q$18,2,FALSE))</f>
        <v/>
      </c>
      <c r="P102" s="29"/>
      <c r="Q102" s="17" t="str">
        <f t="shared" si="2"/>
        <v/>
      </c>
      <c r="R102" s="199"/>
    </row>
    <row r="103" spans="9:18" x14ac:dyDescent="0.2">
      <c r="I103" s="194" t="str">
        <f t="shared" si="5"/>
        <v/>
      </c>
      <c r="J103" s="57"/>
      <c r="K103" s="57"/>
      <c r="L103" s="58"/>
      <c r="M103" s="18" t="str">
        <f>IF(Fuel_Veh[[#This Row],[Month]]&lt;&gt;"",VLOOKUP(Fuel_Veh[[#This Row],[Month]], dropdown!$S$4:$T$15, 2, FALSE),"")</f>
        <v/>
      </c>
      <c r="N103" s="29"/>
      <c r="O103" s="17" t="str">
        <f>IF($K103="","",VLOOKUP($K103,dropdown!$P$14:$Q$18,2,FALSE))</f>
        <v/>
      </c>
      <c r="P103" s="29"/>
      <c r="Q103" s="17" t="str">
        <f t="shared" si="2"/>
        <v/>
      </c>
      <c r="R103" s="199"/>
    </row>
    <row r="104" spans="9:18" x14ac:dyDescent="0.2">
      <c r="I104" s="194" t="str">
        <f t="shared" si="5"/>
        <v/>
      </c>
      <c r="J104" s="57"/>
      <c r="K104" s="57"/>
      <c r="L104" s="58"/>
      <c r="M104" s="18" t="str">
        <f>IF(Fuel_Veh[[#This Row],[Month]]&lt;&gt;"",VLOOKUP(Fuel_Veh[[#This Row],[Month]], dropdown!$S$4:$T$15, 2, FALSE),"")</f>
        <v/>
      </c>
      <c r="N104" s="29"/>
      <c r="O104" s="17" t="str">
        <f>IF($K104="","",VLOOKUP($K104,dropdown!$P$14:$Q$18,2,FALSE))</f>
        <v/>
      </c>
      <c r="P104" s="29"/>
      <c r="Q104" s="17" t="str">
        <f t="shared" si="2"/>
        <v/>
      </c>
      <c r="R104" s="199"/>
    </row>
    <row r="105" spans="9:18" x14ac:dyDescent="0.2">
      <c r="I105" s="194" t="str">
        <f t="shared" si="5"/>
        <v/>
      </c>
      <c r="J105" s="57"/>
      <c r="K105" s="57"/>
      <c r="L105" s="58"/>
      <c r="M105" s="18" t="str">
        <f>IF(Fuel_Veh[[#This Row],[Month]]&lt;&gt;"",VLOOKUP(Fuel_Veh[[#This Row],[Month]], dropdown!$S$4:$T$15, 2, FALSE),"")</f>
        <v/>
      </c>
      <c r="N105" s="29"/>
      <c r="O105" s="17" t="str">
        <f>IF($K105="","",VLOOKUP($K105,dropdown!$P$14:$Q$18,2,FALSE))</f>
        <v/>
      </c>
      <c r="P105" s="29"/>
      <c r="Q105" s="17" t="str">
        <f t="shared" si="2"/>
        <v/>
      </c>
      <c r="R105" s="199"/>
    </row>
    <row r="106" spans="9:18" x14ac:dyDescent="0.2">
      <c r="I106" s="194" t="str">
        <f t="shared" si="5"/>
        <v/>
      </c>
      <c r="J106" s="57"/>
      <c r="K106" s="57"/>
      <c r="L106" s="58"/>
      <c r="M106" s="18" t="str">
        <f>IF(Fuel_Veh[[#This Row],[Month]]&lt;&gt;"",VLOOKUP(Fuel_Veh[[#This Row],[Month]], dropdown!$S$4:$T$15, 2, FALSE),"")</f>
        <v/>
      </c>
      <c r="N106" s="29"/>
      <c r="O106" s="17" t="str">
        <f>IF($K106="","",VLOOKUP($K106,dropdown!$P$14:$Q$18,2,FALSE))</f>
        <v/>
      </c>
      <c r="P106" s="29"/>
      <c r="Q106" s="17" t="str">
        <f t="shared" si="2"/>
        <v/>
      </c>
      <c r="R106" s="199"/>
    </row>
    <row r="108" spans="9:18" x14ac:dyDescent="0.2">
      <c r="I108" s="322" t="s">
        <v>178</v>
      </c>
    </row>
  </sheetData>
  <sheetProtection algorithmName="SHA-512" hashValue="Ov+FBFuXm/XVdEzJj5xzmjuYANCl43FZEZ1f8fDXwL/EBg2MP9aS5qdoTUE8Q9C2ugaEGu5YyGfjeXAWfdNgNw==" saltValue="wSadQNFl9HJHMTdybcKc2w==" spinCount="100000" sheet="1" objects="1" scenarios="1" selectLockedCells="1"/>
  <protectedRanges>
    <protectedRange sqref="J6:L106 P6:P106 R6:R106 N19:N106 N6:N16" name="Range1"/>
  </protectedRanges>
  <mergeCells count="2">
    <mergeCell ref="C6:G6"/>
    <mergeCell ref="C7:G7"/>
  </mergeCells>
  <conditionalFormatting sqref="K7:Q16 K19:Q106 K17:M18 O17:Q18">
    <cfRule type="expression" dxfId="99" priority="1">
      <formula>$J7="BEV"</formula>
    </cfRule>
  </conditionalFormatting>
  <conditionalFormatting sqref="N16">
    <cfRule type="expression" dxfId="98" priority="8">
      <formula>$J18="BEV"</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B1EA3AB1-C67C-1B43-84A1-0D02A97CA6FB}">
          <x14:formula1>
            <xm:f>dropdown!$P$15:$P$16</xm:f>
          </x14:formula1>
          <xm:sqref>K7:K106</xm:sqref>
        </x14:dataValidation>
        <x14:dataValidation type="list" allowBlank="1" showInputMessage="1" showErrorMessage="1" xr:uid="{F79FB234-2764-AE49-84E6-EC4CA8B682F6}">
          <x14:formula1>
            <xm:f>dropdown!$S$4:$S$15</xm:f>
          </x14:formula1>
          <xm:sqref>L7:L106</xm:sqref>
        </x14:dataValidation>
        <x14:dataValidation type="list" allowBlank="1" showInputMessage="1" showErrorMessage="1" xr:uid="{9ABCC7A6-B39D-734B-B4B5-FEB1DE6080C8}">
          <x14:formula1>
            <xm:f>dropdown!$AK$4:$AK$12</xm:f>
          </x14:formula1>
          <xm:sqref>J7:J106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39CD5-A0CF-444B-8BDB-461B436DB6C1}">
  <sheetPr codeName="Sheet6">
    <tabColor rgb="FF7030A0"/>
  </sheetPr>
  <dimension ref="B2:AE109"/>
  <sheetViews>
    <sheetView zoomScale="90" zoomScaleNormal="90" workbookViewId="0">
      <selection activeCell="K15" sqref="K15"/>
    </sheetView>
  </sheetViews>
  <sheetFormatPr baseColWidth="10" defaultColWidth="10.83203125" defaultRowHeight="15" x14ac:dyDescent="0.2"/>
  <cols>
    <col min="1" max="1" width="2.6640625" style="11" customWidth="1"/>
    <col min="2" max="2" width="25.33203125" style="11" customWidth="1"/>
    <col min="3" max="3" width="15" style="11" customWidth="1"/>
    <col min="4" max="7" width="9.5" style="11" customWidth="1"/>
    <col min="8" max="8" width="3" style="11" customWidth="1"/>
    <col min="9" max="9" width="6.1640625" style="12" customWidth="1"/>
    <col min="10" max="10" width="22.83203125" style="20" customWidth="1"/>
    <col min="11" max="11" width="19.33203125" style="20" customWidth="1"/>
    <col min="12" max="12" width="12.5" style="20" customWidth="1"/>
    <col min="13" max="13" width="17.6640625" style="20" customWidth="1"/>
    <col min="14" max="14" width="17.33203125" style="20" customWidth="1"/>
    <col min="15" max="15" width="12.6640625" style="126" customWidth="1"/>
    <col min="16" max="16" width="13.1640625" style="21" customWidth="1"/>
    <col min="17" max="17" width="17.5" style="21" customWidth="1"/>
    <col min="18" max="18" width="14.1640625" style="173" customWidth="1"/>
    <col min="19" max="19" width="16.33203125" style="193" customWidth="1"/>
    <col min="20" max="20" width="13.33203125" style="173" customWidth="1"/>
    <col min="21" max="21" width="15" style="173" customWidth="1"/>
    <col min="22" max="22" width="15.1640625" style="173" customWidth="1"/>
    <col min="23" max="23" width="27.5" style="11" customWidth="1"/>
    <col min="24" max="24" width="4.6640625" style="11" hidden="1" customWidth="1"/>
    <col min="25" max="25" width="23" style="11" customWidth="1"/>
    <col min="26" max="26" width="26" style="11" customWidth="1"/>
    <col min="27" max="27" width="4.6640625" style="11" customWidth="1"/>
    <col min="28" max="28" width="41.5" style="55" bestFit="1" customWidth="1"/>
    <col min="29" max="29" width="47.33203125" style="11" bestFit="1" customWidth="1"/>
    <col min="30" max="30" width="42.6640625" style="11" customWidth="1"/>
    <col min="31" max="31" width="10.83203125" style="56" hidden="1" customWidth="1"/>
    <col min="32" max="16384" width="10.83203125" style="11"/>
  </cols>
  <sheetData>
    <row r="2" spans="2:31" ht="14" x14ac:dyDescent="0.2">
      <c r="B2" s="30" t="s">
        <v>29</v>
      </c>
      <c r="C2" s="31"/>
      <c r="D2" s="31"/>
      <c r="E2" s="31"/>
      <c r="F2" s="31"/>
      <c r="G2" s="32"/>
      <c r="I2" s="123" t="s">
        <v>181</v>
      </c>
      <c r="J2" s="62"/>
      <c r="K2" s="62"/>
      <c r="L2" s="62"/>
      <c r="M2" s="62"/>
      <c r="N2" s="62"/>
      <c r="O2" s="124"/>
      <c r="P2" s="61"/>
      <c r="Q2" s="61"/>
      <c r="R2" s="61"/>
      <c r="S2" s="61"/>
      <c r="T2" s="61"/>
      <c r="U2" s="61"/>
      <c r="V2" s="403"/>
    </row>
    <row r="3" spans="2:31" ht="13.5" customHeight="1" x14ac:dyDescent="0.2">
      <c r="B3" s="33" t="s">
        <v>8</v>
      </c>
      <c r="C3" s="34"/>
      <c r="D3" s="35" t="s">
        <v>168</v>
      </c>
      <c r="E3" s="34"/>
      <c r="F3" s="34" t="s">
        <v>169</v>
      </c>
      <c r="G3" s="36"/>
      <c r="I3" s="353"/>
      <c r="J3" s="339"/>
      <c r="K3" s="339"/>
      <c r="L3" s="339"/>
      <c r="M3" s="339"/>
      <c r="N3" s="339"/>
      <c r="O3" s="342"/>
      <c r="P3" s="343"/>
      <c r="Q3" s="340"/>
      <c r="R3" s="299"/>
      <c r="S3" s="339"/>
      <c r="T3" s="300"/>
      <c r="U3" s="300"/>
      <c r="V3" s="404"/>
    </row>
    <row r="4" spans="2:31" x14ac:dyDescent="0.2">
      <c r="B4" s="161" t="str">
        <f>'1. Data Info and Summary'!$D$2</f>
        <v>Zamboanga Branch</v>
      </c>
      <c r="C4" s="37"/>
      <c r="D4" s="38">
        <f>IF('1. Data Info and Summary'!$D$3=0,"-",'1. Data Info and Summary'!$D$3)</f>
        <v>2024</v>
      </c>
      <c r="E4" s="37"/>
      <c r="F4" s="37" t="s">
        <v>182</v>
      </c>
      <c r="G4" s="39"/>
      <c r="I4" s="341"/>
      <c r="J4" s="298"/>
      <c r="K4" s="298"/>
      <c r="L4" s="298"/>
      <c r="M4" s="298"/>
      <c r="N4" s="298"/>
      <c r="O4" s="346"/>
      <c r="P4" s="347"/>
      <c r="Q4" s="348"/>
      <c r="R4" s="174"/>
      <c r="S4" s="298"/>
      <c r="T4" s="125"/>
      <c r="U4" s="125"/>
      <c r="V4" s="405"/>
    </row>
    <row r="5" spans="2:31" ht="14" x14ac:dyDescent="0.2">
      <c r="B5" s="271"/>
      <c r="D5" s="271"/>
      <c r="I5" s="301"/>
      <c r="J5" s="302"/>
      <c r="K5" s="302"/>
      <c r="L5" s="302"/>
      <c r="M5" s="302"/>
      <c r="N5" s="302"/>
      <c r="O5" s="303"/>
      <c r="P5" s="304"/>
      <c r="Q5" s="305"/>
      <c r="R5" s="305"/>
      <c r="S5" s="304"/>
      <c r="T5" s="304"/>
      <c r="U5" s="304"/>
      <c r="V5" s="406"/>
    </row>
    <row r="6" spans="2:31" ht="14" x14ac:dyDescent="0.2">
      <c r="B6" s="278" t="s">
        <v>172</v>
      </c>
      <c r="C6" s="447" t="s">
        <v>1432</v>
      </c>
      <c r="D6" s="448"/>
      <c r="E6" s="448"/>
      <c r="F6" s="448"/>
      <c r="G6" s="449"/>
      <c r="I6" s="298"/>
      <c r="J6" s="298"/>
      <c r="K6" s="298"/>
      <c r="L6" s="298"/>
      <c r="M6" s="298"/>
      <c r="N6" s="298"/>
      <c r="O6" s="298"/>
      <c r="P6" s="298"/>
      <c r="Q6" s="298"/>
      <c r="R6" s="298"/>
      <c r="S6" s="298"/>
      <c r="T6" s="298"/>
      <c r="U6" s="298"/>
      <c r="V6" s="298"/>
    </row>
    <row r="7" spans="2:31" ht="15" customHeight="1" x14ac:dyDescent="0.2">
      <c r="B7" s="278" t="s">
        <v>174</v>
      </c>
      <c r="C7" s="450">
        <v>45910</v>
      </c>
      <c r="D7" s="448"/>
      <c r="E7" s="448"/>
      <c r="F7" s="448"/>
      <c r="G7" s="449"/>
      <c r="I7" s="418" t="s">
        <v>154</v>
      </c>
      <c r="J7" s="417"/>
      <c r="K7" s="415"/>
      <c r="L7" s="415"/>
      <c r="M7" s="415"/>
      <c r="N7" s="415"/>
      <c r="O7" s="455" t="s">
        <v>183</v>
      </c>
      <c r="P7" s="455"/>
      <c r="Q7" s="456" t="s">
        <v>184</v>
      </c>
      <c r="R7" s="457"/>
      <c r="S7" s="458" t="s">
        <v>86</v>
      </c>
      <c r="T7" s="459"/>
      <c r="U7" s="459"/>
      <c r="V7" s="416"/>
      <c r="W7" s="415"/>
      <c r="X7" s="56"/>
      <c r="AB7" s="11"/>
      <c r="AE7" s="11"/>
    </row>
    <row r="8" spans="2:31" ht="25.5" customHeight="1" x14ac:dyDescent="0.2">
      <c r="I8" s="420" t="s">
        <v>173</v>
      </c>
      <c r="J8" s="420" t="s">
        <v>72</v>
      </c>
      <c r="K8" s="421" t="s">
        <v>75</v>
      </c>
      <c r="L8" s="421" t="s">
        <v>78</v>
      </c>
      <c r="M8" s="421" t="s">
        <v>81</v>
      </c>
      <c r="N8" s="421" t="s">
        <v>84</v>
      </c>
      <c r="O8" s="422" t="s">
        <v>185</v>
      </c>
      <c r="P8" s="402" t="s">
        <v>90</v>
      </c>
      <c r="Q8" s="394" t="s">
        <v>92</v>
      </c>
      <c r="R8" s="394" t="s">
        <v>186</v>
      </c>
      <c r="S8" s="394" t="s">
        <v>96</v>
      </c>
      <c r="T8" s="395" t="s">
        <v>187</v>
      </c>
      <c r="U8" s="400" t="s">
        <v>100</v>
      </c>
      <c r="V8" s="416" t="s">
        <v>43</v>
      </c>
      <c r="W8" s="415" t="s">
        <v>54</v>
      </c>
      <c r="X8" s="56"/>
      <c r="AB8" s="11"/>
      <c r="AE8" s="11"/>
    </row>
    <row r="9" spans="2:31" ht="14" x14ac:dyDescent="0.2">
      <c r="B9" s="14" t="s">
        <v>71</v>
      </c>
      <c r="C9" s="14"/>
      <c r="D9" s="14"/>
      <c r="E9" s="14"/>
      <c r="F9" s="14"/>
      <c r="G9" s="14"/>
      <c r="I9" s="396">
        <f>IF($K9="","",1)</f>
        <v>1</v>
      </c>
      <c r="J9" s="434" t="s">
        <v>1489</v>
      </c>
      <c r="K9" s="391" t="s">
        <v>197</v>
      </c>
      <c r="L9" s="392">
        <v>16</v>
      </c>
      <c r="M9" s="393" t="s">
        <v>380</v>
      </c>
      <c r="N9" s="419" t="s">
        <v>352</v>
      </c>
      <c r="O9" s="397"/>
      <c r="P9" s="398"/>
      <c r="Q9" s="397"/>
      <c r="R9" s="399"/>
      <c r="S9" s="397"/>
      <c r="T9" s="399"/>
      <c r="U9" s="399"/>
      <c r="V9" s="430" t="str">
        <f>IFERROR(VLOOKUP($O9, dropdown!$S$4:$T$15, 2, FALSE),
 IFERROR(VLOOKUP($Q9, dropdown!$S$4:$T$15, 2, FALSE),
 IFERROR(VLOOKUP($S9, dropdown!$S$4:$T$15, 2, FALSE),
 "")))</f>
        <v/>
      </c>
      <c r="W9" s="392" t="s">
        <v>1505</v>
      </c>
      <c r="X9" s="56"/>
      <c r="AB9" s="11"/>
      <c r="AE9" s="11"/>
    </row>
    <row r="10" spans="2:31" ht="14" x14ac:dyDescent="0.2">
      <c r="B10" s="175" t="str">
        <f>$Q$7</f>
        <v>In Operation</v>
      </c>
      <c r="C10" s="13" t="s">
        <v>51</v>
      </c>
      <c r="D10" s="40" t="s">
        <v>45</v>
      </c>
      <c r="E10" s="40" t="s">
        <v>149</v>
      </c>
      <c r="F10" s="40" t="s">
        <v>150</v>
      </c>
      <c r="G10" s="40" t="s">
        <v>151</v>
      </c>
      <c r="I10" s="18">
        <f t="shared" ref="I10:I41" si="0">IF($K10="","",$I9+1)</f>
        <v>2</v>
      </c>
      <c r="J10" s="435" t="s">
        <v>1490</v>
      </c>
      <c r="K10" s="57" t="s">
        <v>200</v>
      </c>
      <c r="L10" s="28">
        <v>5</v>
      </c>
      <c r="M10" s="264" t="s">
        <v>380</v>
      </c>
      <c r="N10" s="401" t="s">
        <v>352</v>
      </c>
      <c r="O10" s="397"/>
      <c r="P10" s="398"/>
      <c r="Q10" s="397"/>
      <c r="R10" s="399"/>
      <c r="S10" s="397"/>
      <c r="T10" s="399"/>
      <c r="U10" s="399"/>
      <c r="V10" s="430" t="str">
        <f>IFERROR(VLOOKUP($O10, dropdown!$S$4:$T$15, 2, FALSE),
 IFERROR(VLOOKUP($Q10, dropdown!$S$4:$T$15, 2, FALSE),
 IFERROR(VLOOKUP($S10, dropdown!$S$4:$T$15, 2, FALSE),
 "")))</f>
        <v/>
      </c>
      <c r="W10" s="28" t="s">
        <v>1505</v>
      </c>
      <c r="X10" s="56"/>
      <c r="AB10" s="11"/>
      <c r="AE10" s="11"/>
    </row>
    <row r="11" spans="2:31" ht="14" x14ac:dyDescent="0.2">
      <c r="B11" s="41" t="s">
        <v>188</v>
      </c>
      <c r="C11" s="17" t="s">
        <v>189</v>
      </c>
      <c r="D11" s="176">
        <f>SUMIFS($L$9:$L$107,$N$9:$N$107,$B11,$V$9:$V$107,$D$10)</f>
        <v>0</v>
      </c>
      <c r="E11" s="176">
        <f>SUMIFS($L$9:$L$107,$N$9:$N$107,$B11,$V$9:$V$107,$E$10)</f>
        <v>0</v>
      </c>
      <c r="F11" s="176">
        <f>SUMIFS($L$9:$L$107,$N$9:$N$107,$B11,$V$9:$V$107,$F$10)</f>
        <v>0</v>
      </c>
      <c r="G11" s="176">
        <f>SUMIFS($L$9:$L$107,$N$9:$N$107,$B11,$V$9:$V$107,$G$10)</f>
        <v>0</v>
      </c>
      <c r="I11" s="18">
        <f t="shared" si="0"/>
        <v>3</v>
      </c>
      <c r="J11" s="435" t="s">
        <v>1491</v>
      </c>
      <c r="K11" s="57" t="s">
        <v>200</v>
      </c>
      <c r="L11" s="28">
        <v>3</v>
      </c>
      <c r="M11" s="264" t="s">
        <v>380</v>
      </c>
      <c r="N11" s="401" t="s">
        <v>352</v>
      </c>
      <c r="O11" s="397"/>
      <c r="P11" s="398"/>
      <c r="Q11" s="397" t="s">
        <v>379</v>
      </c>
      <c r="R11" s="399">
        <v>1.9</v>
      </c>
      <c r="S11" s="397"/>
      <c r="T11" s="399"/>
      <c r="U11" s="399"/>
      <c r="V11" s="430" t="str">
        <f>IFERROR(VLOOKUP($O11, dropdown!$S$4:$T$15, 2, FALSE),
 IFERROR(VLOOKUP($Q11, dropdown!$S$4:$T$15, 2, FALSE),
 IFERROR(VLOOKUP($S11, dropdown!$S$4:$T$15, 2, FALSE),
 "")))</f>
        <v>Q2</v>
      </c>
      <c r="W11" s="28"/>
      <c r="X11" s="56"/>
      <c r="AB11" s="11"/>
      <c r="AE11" s="11"/>
    </row>
    <row r="12" spans="2:31" ht="14" x14ac:dyDescent="0.2">
      <c r="B12" s="17" t="s">
        <v>184</v>
      </c>
      <c r="C12" s="17" t="s">
        <v>189</v>
      </c>
      <c r="D12" s="176">
        <f>SUMIFS($L$9:$L$107,$N$9:$N$107,$B12,$V$9:$V$107,$D$10)</f>
        <v>0</v>
      </c>
      <c r="E12" s="176">
        <f>SUMIFS($L$9:$L$107,$N$9:$N$107,$B12,$V$9:$V$107,$E$10)</f>
        <v>3</v>
      </c>
      <c r="F12" s="176">
        <f>SUMIFS($L$9:$L$107,$N$9:$N$107,$B12,$V$9:$V$107,$F$10)</f>
        <v>2</v>
      </c>
      <c r="G12" s="176">
        <f>SUMIFS($L$9:$L$107,$N$9:$N$107,$B12,$V$9:$V$107,$G$10)</f>
        <v>0</v>
      </c>
      <c r="I12" s="18">
        <f t="shared" si="0"/>
        <v>4</v>
      </c>
      <c r="J12" s="435" t="s">
        <v>1491</v>
      </c>
      <c r="K12" s="57" t="s">
        <v>200</v>
      </c>
      <c r="L12" s="28">
        <v>2</v>
      </c>
      <c r="M12" s="264" t="s">
        <v>372</v>
      </c>
      <c r="N12" s="401" t="s">
        <v>352</v>
      </c>
      <c r="O12" s="397"/>
      <c r="P12" s="398"/>
      <c r="Q12" s="397" t="s">
        <v>41</v>
      </c>
      <c r="R12" s="399">
        <v>1.64</v>
      </c>
      <c r="S12" s="397"/>
      <c r="T12" s="399"/>
      <c r="U12" s="399"/>
      <c r="V12" s="430" t="str">
        <f>IFERROR(VLOOKUP($O12, dropdown!$S$4:$T$15, 2, FALSE),
 IFERROR(VLOOKUP($Q12, dropdown!$S$4:$T$15, 2, FALSE),
 IFERROR(VLOOKUP($S12, dropdown!$S$4:$T$15, 2, FALSE),
 "")))</f>
        <v>Q3</v>
      </c>
      <c r="W12" s="28"/>
      <c r="X12" s="56"/>
      <c r="AB12" s="11"/>
      <c r="AE12" s="11"/>
    </row>
    <row r="13" spans="2:31" ht="14" x14ac:dyDescent="0.2">
      <c r="B13" s="17" t="s">
        <v>86</v>
      </c>
      <c r="C13" s="17" t="s">
        <v>189</v>
      </c>
      <c r="D13" s="176">
        <f>SUMIFS($L$9:$L$107,$N$9:$N$107,$B13,$V$9:$V$107,$D$10)</f>
        <v>0</v>
      </c>
      <c r="E13" s="176">
        <f>SUMIFS($L$9:$L$107,$N$9:$N$107,$B13,$V$9:$V$107,$E$10)</f>
        <v>0</v>
      </c>
      <c r="F13" s="176">
        <f>SUMIFS($L$9:$L$107,$N$9:$N$107,$B13,$V$9:$V$107,$F$10)</f>
        <v>0</v>
      </c>
      <c r="G13" s="176">
        <f>SUMIFS($L$9:$L$107,$N$9:$N$107,$B13,$V$9:$V$107,$G$10)</f>
        <v>0</v>
      </c>
      <c r="I13" s="18">
        <f t="shared" si="0"/>
        <v>5</v>
      </c>
      <c r="J13" s="435" t="s">
        <v>1494</v>
      </c>
      <c r="K13" s="57" t="s">
        <v>200</v>
      </c>
      <c r="L13" s="28">
        <v>2</v>
      </c>
      <c r="M13" s="264" t="s">
        <v>372</v>
      </c>
      <c r="N13" s="401" t="s">
        <v>352</v>
      </c>
      <c r="O13" s="397"/>
      <c r="P13" s="398"/>
      <c r="Q13" s="397"/>
      <c r="R13" s="399"/>
      <c r="S13" s="397"/>
      <c r="T13" s="399"/>
      <c r="U13" s="399"/>
      <c r="V13" s="430" t="str">
        <f>IFERROR(VLOOKUP($O13, dropdown!$S$4:$T$15, 2, FALSE),
 IFERROR(VLOOKUP($Q13, dropdown!$S$4:$T$15, 2, FALSE),
 IFERROR(VLOOKUP($S13, dropdown!$S$4:$T$15, 2, FALSE),
 "")))</f>
        <v/>
      </c>
      <c r="W13" s="28" t="s">
        <v>1505</v>
      </c>
      <c r="AB13" s="11"/>
      <c r="AE13" s="11"/>
    </row>
    <row r="14" spans="2:31" ht="17" customHeight="1" x14ac:dyDescent="0.2">
      <c r="D14" s="177" t="str">
        <f>IF(SUM(D$11:D$13)&gt;0,"x","")</f>
        <v/>
      </c>
      <c r="E14" s="177" t="str">
        <f t="shared" ref="E14:G14" si="1">IF(SUM(E$11:E$13)&gt;0,"x","")</f>
        <v>x</v>
      </c>
      <c r="F14" s="177" t="str">
        <f t="shared" si="1"/>
        <v>x</v>
      </c>
      <c r="G14" s="177" t="str">
        <f t="shared" si="1"/>
        <v/>
      </c>
      <c r="I14" s="18" t="str">
        <f t="shared" si="0"/>
        <v/>
      </c>
      <c r="J14" s="435"/>
      <c r="K14" s="57"/>
      <c r="L14" s="28"/>
      <c r="M14" s="264"/>
      <c r="N14" s="401"/>
      <c r="O14" s="397"/>
      <c r="P14" s="398"/>
      <c r="Q14" s="397"/>
      <c r="R14" s="399"/>
      <c r="S14" s="397"/>
      <c r="T14" s="399"/>
      <c r="U14" s="399"/>
      <c r="V14" s="430" t="str">
        <f>IFERROR(VLOOKUP($O14, dropdown!$S$4:$T$15, 2, FALSE),
 IFERROR(VLOOKUP($Q14, dropdown!$S$4:$T$15, 2, FALSE),
 IFERROR(VLOOKUP($S14, dropdown!$S$4:$T$15, 2, FALSE),
 "")))</f>
        <v/>
      </c>
      <c r="W14" s="28"/>
      <c r="AB14" s="11"/>
      <c r="AE14" s="11"/>
    </row>
    <row r="15" spans="2:31" ht="17" customHeight="1" x14ac:dyDescent="0.2">
      <c r="B15" s="119" t="s">
        <v>38</v>
      </c>
      <c r="I15" s="18" t="str">
        <f t="shared" si="0"/>
        <v/>
      </c>
      <c r="J15" s="435"/>
      <c r="K15" s="57"/>
      <c r="L15" s="28"/>
      <c r="M15" s="264"/>
      <c r="N15" s="401"/>
      <c r="O15" s="397"/>
      <c r="P15" s="398"/>
      <c r="Q15" s="397"/>
      <c r="R15" s="399"/>
      <c r="S15" s="397"/>
      <c r="T15" s="399"/>
      <c r="U15" s="399"/>
      <c r="V15" s="430" t="str">
        <f>IFERROR(VLOOKUP($O15, dropdown!$S$4:$T$15, 2, FALSE),
 IFERROR(VLOOKUP($Q15, dropdown!$S$4:$T$15, 2, FALSE),
 IFERROR(VLOOKUP($S15, dropdown!$S$4:$T$15, 2, FALSE),
 "")))</f>
        <v/>
      </c>
      <c r="W15" s="28"/>
      <c r="AB15" s="11"/>
      <c r="AE15" s="11"/>
    </row>
    <row r="16" spans="2:31" ht="14" x14ac:dyDescent="0.2">
      <c r="B16" s="120" t="s">
        <v>175</v>
      </c>
      <c r="I16" s="18" t="str">
        <f t="shared" si="0"/>
        <v/>
      </c>
      <c r="J16" s="435"/>
      <c r="K16" s="57"/>
      <c r="L16" s="28"/>
      <c r="M16" s="264"/>
      <c r="N16" s="401"/>
      <c r="O16" s="397"/>
      <c r="P16" s="398"/>
      <c r="Q16" s="397"/>
      <c r="R16" s="399"/>
      <c r="S16" s="397"/>
      <c r="T16" s="399"/>
      <c r="U16" s="399"/>
      <c r="V16" s="430" t="str">
        <f>IFERROR(VLOOKUP($O16, dropdown!$S$4:$T$15, 2, FALSE),
 IFERROR(VLOOKUP($Q16, dropdown!$S$4:$T$15, 2, FALSE),
 IFERROR(VLOOKUP($S16, dropdown!$S$4:$T$15, 2, FALSE),
 "")))</f>
        <v/>
      </c>
      <c r="W16" s="28"/>
      <c r="AB16" s="11"/>
      <c r="AE16" s="11"/>
    </row>
    <row r="17" spans="2:31" ht="15" customHeight="1" x14ac:dyDescent="0.2">
      <c r="B17" s="121" t="s">
        <v>176</v>
      </c>
      <c r="I17" s="18" t="str">
        <f t="shared" si="0"/>
        <v/>
      </c>
      <c r="J17" s="435"/>
      <c r="K17" s="57"/>
      <c r="L17" s="28"/>
      <c r="M17" s="264"/>
      <c r="N17" s="401"/>
      <c r="O17" s="397"/>
      <c r="P17" s="398"/>
      <c r="Q17" s="397"/>
      <c r="R17" s="399"/>
      <c r="S17" s="397"/>
      <c r="T17" s="399"/>
      <c r="U17" s="399"/>
      <c r="V17" s="430" t="str">
        <f>IFERROR(VLOOKUP($O17, dropdown!$S$4:$T$15, 2, FALSE),
 IFERROR(VLOOKUP($Q17, dropdown!$S$4:$T$15, 2, FALSE),
 IFERROR(VLOOKUP($S17, dropdown!$S$4:$T$15, 2, FALSE),
 "")))</f>
        <v/>
      </c>
      <c r="W17" s="28"/>
      <c r="AB17" s="11"/>
      <c r="AE17" s="11"/>
    </row>
    <row r="18" spans="2:31" ht="15" customHeight="1" x14ac:dyDescent="0.2">
      <c r="B18" s="122" t="s">
        <v>177</v>
      </c>
      <c r="I18" s="18" t="str">
        <f t="shared" si="0"/>
        <v/>
      </c>
      <c r="J18" s="435"/>
      <c r="K18" s="57"/>
      <c r="L18" s="28"/>
      <c r="M18" s="264"/>
      <c r="N18" s="401"/>
      <c r="O18" s="397"/>
      <c r="P18" s="398"/>
      <c r="Q18" s="397"/>
      <c r="R18" s="399"/>
      <c r="S18" s="397"/>
      <c r="T18" s="399"/>
      <c r="U18" s="399"/>
      <c r="V18" s="430" t="str">
        <f>IFERROR(VLOOKUP($O18, dropdown!$S$4:$T$15, 2, FALSE),
 IFERROR(VLOOKUP($Q18, dropdown!$S$4:$T$15, 2, FALSE),
 IFERROR(VLOOKUP($S18, dropdown!$S$4:$T$15, 2, FALSE),
 "")))</f>
        <v/>
      </c>
      <c r="W18" s="28"/>
      <c r="AB18" s="11"/>
      <c r="AE18" s="11"/>
    </row>
    <row r="19" spans="2:31" ht="27" x14ac:dyDescent="0.2">
      <c r="B19" s="382" t="s">
        <v>190</v>
      </c>
      <c r="I19" s="18" t="str">
        <f t="shared" si="0"/>
        <v/>
      </c>
      <c r="J19" s="435"/>
      <c r="K19" s="57"/>
      <c r="L19" s="28"/>
      <c r="M19" s="264"/>
      <c r="N19" s="401"/>
      <c r="O19" s="397"/>
      <c r="P19" s="398"/>
      <c r="Q19" s="397"/>
      <c r="R19" s="399"/>
      <c r="S19" s="397"/>
      <c r="T19" s="399"/>
      <c r="U19" s="399"/>
      <c r="V19" s="430" t="str">
        <f>IFERROR(VLOOKUP($O19, dropdown!$S$4:$T$15, 2, FALSE),
 IFERROR(VLOOKUP($Q19, dropdown!$S$4:$T$15, 2, FALSE),
 IFERROR(VLOOKUP($S19, dropdown!$S$4:$T$15, 2, FALSE),
 "")))</f>
        <v/>
      </c>
      <c r="W19" s="28"/>
      <c r="AB19" s="11"/>
      <c r="AE19" s="11"/>
    </row>
    <row r="20" spans="2:31" ht="14" x14ac:dyDescent="0.2">
      <c r="I20" s="18" t="str">
        <f t="shared" si="0"/>
        <v/>
      </c>
      <c r="J20" s="435"/>
      <c r="K20" s="57"/>
      <c r="L20" s="28"/>
      <c r="M20" s="264"/>
      <c r="N20" s="401"/>
      <c r="O20" s="397"/>
      <c r="P20" s="398"/>
      <c r="Q20" s="397"/>
      <c r="R20" s="399"/>
      <c r="S20" s="397"/>
      <c r="T20" s="399"/>
      <c r="U20" s="399"/>
      <c r="V20" s="430" t="str">
        <f>IFERROR(VLOOKUP($O20, dropdown!$S$4:$T$15, 2, FALSE),
 IFERROR(VLOOKUP($Q20, dropdown!$S$4:$T$15, 2, FALSE),
 IFERROR(VLOOKUP($S20, dropdown!$S$4:$T$15, 2, FALSE),
 "")))</f>
        <v/>
      </c>
      <c r="W20" s="28"/>
      <c r="AB20" s="11"/>
      <c r="AE20" s="11"/>
    </row>
    <row r="21" spans="2:31" ht="14" x14ac:dyDescent="0.2">
      <c r="B21" s="166" t="s">
        <v>191</v>
      </c>
      <c r="I21" s="18" t="str">
        <f t="shared" si="0"/>
        <v/>
      </c>
      <c r="J21" s="435"/>
      <c r="K21" s="57"/>
      <c r="L21" s="28"/>
      <c r="M21" s="264"/>
      <c r="N21" s="401"/>
      <c r="O21" s="397"/>
      <c r="P21" s="398"/>
      <c r="Q21" s="397"/>
      <c r="R21" s="399"/>
      <c r="S21" s="397"/>
      <c r="T21" s="399"/>
      <c r="U21" s="399"/>
      <c r="V21" s="430" t="str">
        <f>IFERROR(VLOOKUP($O21, dropdown!$S$4:$T$15, 2, FALSE),
 IFERROR(VLOOKUP($Q21, dropdown!$S$4:$T$15, 2, FALSE),
 IFERROR(VLOOKUP($S21, dropdown!$S$4:$T$15, 2, FALSE),
 "")))</f>
        <v/>
      </c>
      <c r="W21" s="28"/>
      <c r="AB21" s="11"/>
      <c r="AE21" s="11"/>
    </row>
    <row r="22" spans="2:31" ht="14" x14ac:dyDescent="0.2">
      <c r="B22" s="460" t="s">
        <v>192</v>
      </c>
      <c r="C22" s="451" t="s">
        <v>5</v>
      </c>
      <c r="D22" s="452"/>
      <c r="E22" s="451" t="s">
        <v>193</v>
      </c>
      <c r="F22" s="453"/>
      <c r="G22" s="453"/>
      <c r="I22" s="18" t="str">
        <f t="shared" si="0"/>
        <v/>
      </c>
      <c r="J22" s="435"/>
      <c r="K22" s="57"/>
      <c r="L22" s="28"/>
      <c r="M22" s="264"/>
      <c r="N22" s="401"/>
      <c r="O22" s="397"/>
      <c r="P22" s="398"/>
      <c r="Q22" s="397"/>
      <c r="R22" s="399"/>
      <c r="S22" s="397"/>
      <c r="T22" s="399"/>
      <c r="U22" s="399"/>
      <c r="V22" s="430" t="str">
        <f>IFERROR(VLOOKUP($O22, dropdown!$S$4:$T$15, 2, FALSE),
 IFERROR(VLOOKUP($Q22, dropdown!$S$4:$T$15, 2, FALSE),
 IFERROR(VLOOKUP($S22, dropdown!$S$4:$T$15, 2, FALSE),
 "")))</f>
        <v/>
      </c>
      <c r="W22" s="28"/>
      <c r="AB22" s="11"/>
      <c r="AE22" s="11"/>
    </row>
    <row r="23" spans="2:31" ht="14" x14ac:dyDescent="0.2">
      <c r="B23" s="461"/>
      <c r="C23" s="451"/>
      <c r="D23" s="452"/>
      <c r="E23" s="451"/>
      <c r="F23" s="453"/>
      <c r="G23" s="453"/>
      <c r="I23" s="18" t="str">
        <f t="shared" si="0"/>
        <v/>
      </c>
      <c r="J23" s="435"/>
      <c r="K23" s="57"/>
      <c r="L23" s="28"/>
      <c r="M23" s="264"/>
      <c r="N23" s="401"/>
      <c r="O23" s="397"/>
      <c r="P23" s="398"/>
      <c r="Q23" s="397"/>
      <c r="R23" s="399"/>
      <c r="S23" s="397"/>
      <c r="T23" s="399"/>
      <c r="U23" s="399"/>
      <c r="V23" s="430" t="str">
        <f>IFERROR(VLOOKUP($O23, dropdown!$S$4:$T$15, 2, FALSE),
 IFERROR(VLOOKUP($Q23, dropdown!$S$4:$T$15, 2, FALSE),
 IFERROR(VLOOKUP($S23, dropdown!$S$4:$T$15, 2, FALSE),
 "")))</f>
        <v/>
      </c>
      <c r="W23" s="28"/>
      <c r="AB23" s="11"/>
      <c r="AE23" s="11"/>
    </row>
    <row r="24" spans="2:31" ht="14" x14ac:dyDescent="0.2">
      <c r="B24" s="454" t="s">
        <v>194</v>
      </c>
      <c r="C24" s="454" t="s">
        <v>195</v>
      </c>
      <c r="D24" s="454"/>
      <c r="E24" s="454" t="s">
        <v>196</v>
      </c>
      <c r="F24" s="454"/>
      <c r="G24" s="454"/>
      <c r="I24" s="18" t="str">
        <f t="shared" si="0"/>
        <v/>
      </c>
      <c r="J24" s="435"/>
      <c r="K24" s="57"/>
      <c r="L24" s="28"/>
      <c r="M24" s="264"/>
      <c r="N24" s="401"/>
      <c r="O24" s="397"/>
      <c r="P24" s="398"/>
      <c r="Q24" s="397"/>
      <c r="R24" s="399"/>
      <c r="S24" s="397"/>
      <c r="T24" s="399"/>
      <c r="U24" s="399"/>
      <c r="V24" s="430" t="str">
        <f>IFERROR(VLOOKUP($O24, dropdown!$S$4:$T$15, 2, FALSE),
 IFERROR(VLOOKUP($Q24, dropdown!$S$4:$T$15, 2, FALSE),
 IFERROR(VLOOKUP($S24, dropdown!$S$4:$T$15, 2, FALSE),
 "")))</f>
        <v/>
      </c>
      <c r="W24" s="28"/>
      <c r="X24" s="56"/>
      <c r="AB24" s="11"/>
      <c r="AE24" s="11"/>
    </row>
    <row r="25" spans="2:31" ht="14" x14ac:dyDescent="0.2">
      <c r="B25" s="454"/>
      <c r="C25" s="454"/>
      <c r="D25" s="454"/>
      <c r="E25" s="454"/>
      <c r="F25" s="454"/>
      <c r="G25" s="454"/>
      <c r="I25" s="18" t="str">
        <f t="shared" si="0"/>
        <v/>
      </c>
      <c r="J25" s="435"/>
      <c r="K25" s="57"/>
      <c r="L25" s="28"/>
      <c r="M25" s="264"/>
      <c r="N25" s="401"/>
      <c r="O25" s="397"/>
      <c r="P25" s="398"/>
      <c r="Q25" s="397"/>
      <c r="R25" s="399"/>
      <c r="S25" s="397"/>
      <c r="T25" s="399"/>
      <c r="U25" s="399"/>
      <c r="V25" s="430" t="str">
        <f>IFERROR(VLOOKUP($O25, dropdown!$S$4:$T$15, 2, FALSE),
 IFERROR(VLOOKUP($Q25, dropdown!$S$4:$T$15, 2, FALSE),
 IFERROR(VLOOKUP($S25, dropdown!$S$4:$T$15, 2, FALSE),
 "")))</f>
        <v/>
      </c>
      <c r="W25" s="28"/>
      <c r="X25" s="56"/>
      <c r="AB25" s="11"/>
      <c r="AE25" s="11"/>
    </row>
    <row r="26" spans="2:31" ht="14" x14ac:dyDescent="0.2">
      <c r="B26" s="454" t="s">
        <v>197</v>
      </c>
      <c r="C26" s="454" t="s">
        <v>198</v>
      </c>
      <c r="D26" s="454"/>
      <c r="E26" s="454" t="s">
        <v>199</v>
      </c>
      <c r="F26" s="454"/>
      <c r="G26" s="454"/>
      <c r="I26" s="18" t="str">
        <f t="shared" si="0"/>
        <v/>
      </c>
      <c r="J26" s="435"/>
      <c r="K26" s="57"/>
      <c r="L26" s="28"/>
      <c r="M26" s="264"/>
      <c r="N26" s="401"/>
      <c r="O26" s="397"/>
      <c r="P26" s="398"/>
      <c r="Q26" s="397"/>
      <c r="R26" s="399"/>
      <c r="S26" s="397"/>
      <c r="T26" s="399"/>
      <c r="U26" s="399"/>
      <c r="V26" s="430" t="str">
        <f>IFERROR(VLOOKUP($O26, dropdown!$S$4:$T$15, 2, FALSE),
 IFERROR(VLOOKUP($Q26, dropdown!$S$4:$T$15, 2, FALSE),
 IFERROR(VLOOKUP($S26, dropdown!$S$4:$T$15, 2, FALSE),
 "")))</f>
        <v/>
      </c>
      <c r="W26" s="28"/>
      <c r="X26" s="56"/>
      <c r="AB26" s="11"/>
      <c r="AE26" s="11"/>
    </row>
    <row r="27" spans="2:31" ht="14" x14ac:dyDescent="0.2">
      <c r="B27" s="454"/>
      <c r="C27" s="454"/>
      <c r="D27" s="454"/>
      <c r="E27" s="454"/>
      <c r="F27" s="454"/>
      <c r="G27" s="454"/>
      <c r="I27" s="18" t="str">
        <f t="shared" si="0"/>
        <v/>
      </c>
      <c r="J27" s="435"/>
      <c r="K27" s="57"/>
      <c r="L27" s="28"/>
      <c r="M27" s="264"/>
      <c r="N27" s="401"/>
      <c r="O27" s="397"/>
      <c r="P27" s="398"/>
      <c r="Q27" s="397"/>
      <c r="R27" s="399"/>
      <c r="S27" s="397"/>
      <c r="T27" s="399"/>
      <c r="U27" s="399"/>
      <c r="V27" s="430" t="str">
        <f>IFERROR(VLOOKUP($O27, dropdown!$S$4:$T$15, 2, FALSE),
 IFERROR(VLOOKUP($Q27, dropdown!$S$4:$T$15, 2, FALSE),
 IFERROR(VLOOKUP($S27, dropdown!$S$4:$T$15, 2, FALSE),
 "")))</f>
        <v/>
      </c>
      <c r="W27" s="28"/>
      <c r="X27" s="56"/>
      <c r="AB27" s="11"/>
      <c r="AE27" s="11"/>
    </row>
    <row r="28" spans="2:31" ht="14" x14ac:dyDescent="0.2">
      <c r="B28" s="454" t="s">
        <v>200</v>
      </c>
      <c r="C28" s="454" t="s">
        <v>201</v>
      </c>
      <c r="D28" s="454"/>
      <c r="E28" s="454" t="s">
        <v>202</v>
      </c>
      <c r="F28" s="454"/>
      <c r="G28" s="454"/>
      <c r="I28" s="18" t="str">
        <f t="shared" si="0"/>
        <v/>
      </c>
      <c r="J28" s="435"/>
      <c r="K28" s="57"/>
      <c r="L28" s="28"/>
      <c r="M28" s="264"/>
      <c r="N28" s="401"/>
      <c r="O28" s="397"/>
      <c r="P28" s="398"/>
      <c r="Q28" s="397"/>
      <c r="R28" s="399"/>
      <c r="S28" s="397"/>
      <c r="T28" s="399"/>
      <c r="U28" s="399"/>
      <c r="V28" s="430" t="str">
        <f>IFERROR(VLOOKUP($O28, dropdown!$S$4:$T$15, 2, FALSE),
 IFERROR(VLOOKUP($Q28, dropdown!$S$4:$T$15, 2, FALSE),
 IFERROR(VLOOKUP($S28, dropdown!$S$4:$T$15, 2, FALSE),
 "")))</f>
        <v/>
      </c>
      <c r="W28" s="28"/>
      <c r="X28" s="56"/>
      <c r="AB28" s="11"/>
      <c r="AE28" s="11"/>
    </row>
    <row r="29" spans="2:31" ht="14" x14ac:dyDescent="0.2">
      <c r="B29" s="454"/>
      <c r="C29" s="454"/>
      <c r="D29" s="454"/>
      <c r="E29" s="454"/>
      <c r="F29" s="454"/>
      <c r="G29" s="454"/>
      <c r="I29" s="18" t="str">
        <f t="shared" si="0"/>
        <v/>
      </c>
      <c r="J29" s="435"/>
      <c r="K29" s="57"/>
      <c r="L29" s="28"/>
      <c r="M29" s="264"/>
      <c r="N29" s="401"/>
      <c r="O29" s="397"/>
      <c r="P29" s="398"/>
      <c r="Q29" s="397"/>
      <c r="R29" s="399"/>
      <c r="S29" s="397"/>
      <c r="T29" s="399"/>
      <c r="U29" s="399"/>
      <c r="V29" s="430" t="str">
        <f>IFERROR(VLOOKUP($O29, dropdown!$S$4:$T$15, 2, FALSE),
 IFERROR(VLOOKUP($Q29, dropdown!$S$4:$T$15, 2, FALSE),
 IFERROR(VLOOKUP($S29, dropdown!$S$4:$T$15, 2, FALSE),
 "")))</f>
        <v/>
      </c>
      <c r="W29" s="28"/>
      <c r="X29" s="56"/>
      <c r="AB29" s="11"/>
      <c r="AE29" s="11"/>
    </row>
    <row r="30" spans="2:31" ht="14" x14ac:dyDescent="0.2">
      <c r="B30" s="454" t="s">
        <v>203</v>
      </c>
      <c r="C30" s="454" t="s">
        <v>204</v>
      </c>
      <c r="D30" s="454"/>
      <c r="E30" s="454" t="s">
        <v>205</v>
      </c>
      <c r="F30" s="454"/>
      <c r="G30" s="454"/>
      <c r="I30" s="18" t="str">
        <f t="shared" si="0"/>
        <v/>
      </c>
      <c r="J30" s="435"/>
      <c r="K30" s="57"/>
      <c r="L30" s="28"/>
      <c r="M30" s="264"/>
      <c r="N30" s="401"/>
      <c r="O30" s="397"/>
      <c r="P30" s="398"/>
      <c r="Q30" s="397"/>
      <c r="R30" s="399"/>
      <c r="S30" s="397"/>
      <c r="T30" s="399"/>
      <c r="U30" s="399"/>
      <c r="V30" s="430" t="str">
        <f>IFERROR(VLOOKUP($O30, dropdown!$S$4:$T$15, 2, FALSE),
 IFERROR(VLOOKUP($Q30, dropdown!$S$4:$T$15, 2, FALSE),
 IFERROR(VLOOKUP($S30, dropdown!$S$4:$T$15, 2, FALSE),
 "")))</f>
        <v/>
      </c>
      <c r="W30" s="28"/>
      <c r="X30" s="56"/>
      <c r="AB30" s="11"/>
      <c r="AE30" s="11"/>
    </row>
    <row r="31" spans="2:31" ht="14" x14ac:dyDescent="0.2">
      <c r="B31" s="454"/>
      <c r="C31" s="454"/>
      <c r="D31" s="454"/>
      <c r="E31" s="454"/>
      <c r="F31" s="454"/>
      <c r="G31" s="454"/>
      <c r="I31" s="18" t="str">
        <f t="shared" si="0"/>
        <v/>
      </c>
      <c r="J31" s="435"/>
      <c r="K31" s="57"/>
      <c r="L31" s="28"/>
      <c r="M31" s="264"/>
      <c r="N31" s="401"/>
      <c r="O31" s="397"/>
      <c r="P31" s="398"/>
      <c r="Q31" s="397"/>
      <c r="R31" s="399"/>
      <c r="S31" s="397"/>
      <c r="T31" s="399"/>
      <c r="U31" s="399"/>
      <c r="V31" s="430" t="str">
        <f>IFERROR(VLOOKUP($O31, dropdown!$S$4:$T$15, 2, FALSE),
 IFERROR(VLOOKUP($Q31, dropdown!$S$4:$T$15, 2, FALSE),
 IFERROR(VLOOKUP($S31, dropdown!$S$4:$T$15, 2, FALSE),
 "")))</f>
        <v/>
      </c>
      <c r="W31" s="28"/>
      <c r="X31" s="56"/>
      <c r="AB31" s="11"/>
      <c r="AE31" s="11"/>
    </row>
    <row r="32" spans="2:31" ht="22.5" customHeight="1" x14ac:dyDescent="0.2">
      <c r="I32" s="18" t="str">
        <f t="shared" si="0"/>
        <v/>
      </c>
      <c r="J32" s="435"/>
      <c r="K32" s="57"/>
      <c r="L32" s="28"/>
      <c r="M32" s="264"/>
      <c r="N32" s="401"/>
      <c r="O32" s="397"/>
      <c r="P32" s="398"/>
      <c r="Q32" s="397"/>
      <c r="R32" s="399"/>
      <c r="S32" s="397"/>
      <c r="T32" s="399"/>
      <c r="U32" s="399"/>
      <c r="V32" s="430" t="str">
        <f>IFERROR(VLOOKUP($O32, dropdown!$S$4:$T$15, 2, FALSE),
 IFERROR(VLOOKUP($Q32, dropdown!$S$4:$T$15, 2, FALSE),
 IFERROR(VLOOKUP($S32, dropdown!$S$4:$T$15, 2, FALSE),
 "")))</f>
        <v/>
      </c>
      <c r="W32" s="28"/>
      <c r="X32" s="56"/>
      <c r="AB32" s="11"/>
      <c r="AE32" s="11"/>
    </row>
    <row r="33" spans="9:31" ht="14" x14ac:dyDescent="0.2">
      <c r="I33" s="18" t="str">
        <f t="shared" si="0"/>
        <v/>
      </c>
      <c r="J33" s="435"/>
      <c r="K33" s="57"/>
      <c r="L33" s="28"/>
      <c r="M33" s="264"/>
      <c r="N33" s="401"/>
      <c r="O33" s="397"/>
      <c r="P33" s="398"/>
      <c r="Q33" s="397"/>
      <c r="R33" s="399"/>
      <c r="S33" s="397"/>
      <c r="T33" s="399"/>
      <c r="U33" s="399"/>
      <c r="V33" s="430" t="str">
        <f>IFERROR(VLOOKUP($O33, dropdown!$S$4:$T$15, 2, FALSE),
 IFERROR(VLOOKUP($Q33, dropdown!$S$4:$T$15, 2, FALSE),
 IFERROR(VLOOKUP($S33, dropdown!$S$4:$T$15, 2, FALSE),
 "")))</f>
        <v/>
      </c>
      <c r="W33" s="28"/>
      <c r="X33" s="56"/>
      <c r="AB33" s="11"/>
      <c r="AE33" s="11"/>
    </row>
    <row r="34" spans="9:31" ht="15" customHeight="1" x14ac:dyDescent="0.2">
      <c r="I34" s="18" t="str">
        <f t="shared" si="0"/>
        <v/>
      </c>
      <c r="J34" s="435"/>
      <c r="K34" s="57"/>
      <c r="L34" s="28"/>
      <c r="M34" s="264"/>
      <c r="N34" s="401"/>
      <c r="O34" s="397"/>
      <c r="P34" s="398"/>
      <c r="Q34" s="397"/>
      <c r="R34" s="399"/>
      <c r="S34" s="397"/>
      <c r="T34" s="399"/>
      <c r="U34" s="399"/>
      <c r="V34" s="430" t="str">
        <f>IFERROR(VLOOKUP($O34, dropdown!$S$4:$T$15, 2, FALSE),
 IFERROR(VLOOKUP($Q34, dropdown!$S$4:$T$15, 2, FALSE),
 IFERROR(VLOOKUP($S34, dropdown!$S$4:$T$15, 2, FALSE),
 "")))</f>
        <v/>
      </c>
      <c r="W34" s="28"/>
      <c r="X34" s="56"/>
      <c r="AB34" s="11"/>
      <c r="AE34" s="11"/>
    </row>
    <row r="35" spans="9:31" ht="14" x14ac:dyDescent="0.2">
      <c r="I35" s="18" t="str">
        <f t="shared" si="0"/>
        <v/>
      </c>
      <c r="J35" s="435"/>
      <c r="K35" s="57"/>
      <c r="L35" s="28"/>
      <c r="M35" s="264"/>
      <c r="N35" s="401"/>
      <c r="O35" s="397"/>
      <c r="P35" s="398"/>
      <c r="Q35" s="397"/>
      <c r="R35" s="399"/>
      <c r="S35" s="397"/>
      <c r="T35" s="399"/>
      <c r="U35" s="399"/>
      <c r="V35" s="430" t="str">
        <f>IFERROR(VLOOKUP($O35, dropdown!$S$4:$T$15, 2, FALSE),
 IFERROR(VLOOKUP($Q35, dropdown!$S$4:$T$15, 2, FALSE),
 IFERROR(VLOOKUP($S35, dropdown!$S$4:$T$15, 2, FALSE),
 "")))</f>
        <v/>
      </c>
      <c r="W35" s="28"/>
      <c r="X35" s="56"/>
      <c r="AB35" s="11"/>
      <c r="AE35" s="11"/>
    </row>
    <row r="36" spans="9:31" ht="14" x14ac:dyDescent="0.2">
      <c r="I36" s="18" t="str">
        <f t="shared" si="0"/>
        <v/>
      </c>
      <c r="J36" s="435"/>
      <c r="K36" s="57"/>
      <c r="L36" s="28"/>
      <c r="M36" s="264"/>
      <c r="N36" s="401"/>
      <c r="O36" s="397"/>
      <c r="P36" s="398"/>
      <c r="Q36" s="397"/>
      <c r="R36" s="399"/>
      <c r="S36" s="397"/>
      <c r="T36" s="399"/>
      <c r="U36" s="399"/>
      <c r="V36" s="430" t="str">
        <f>IFERROR(VLOOKUP($O36, dropdown!$S$4:$T$15, 2, FALSE),
 IFERROR(VLOOKUP($Q36, dropdown!$S$4:$T$15, 2, FALSE),
 IFERROR(VLOOKUP($S36, dropdown!$S$4:$T$15, 2, FALSE),
 "")))</f>
        <v/>
      </c>
      <c r="W36" s="28"/>
      <c r="X36" s="56"/>
      <c r="AB36" s="11"/>
      <c r="AE36" s="11"/>
    </row>
    <row r="37" spans="9:31" ht="14" x14ac:dyDescent="0.2">
      <c r="I37" s="18" t="str">
        <f t="shared" si="0"/>
        <v/>
      </c>
      <c r="J37" s="435"/>
      <c r="K37" s="57"/>
      <c r="L37" s="28"/>
      <c r="M37" s="264"/>
      <c r="N37" s="401"/>
      <c r="O37" s="397"/>
      <c r="P37" s="398"/>
      <c r="Q37" s="397"/>
      <c r="R37" s="399"/>
      <c r="S37" s="397"/>
      <c r="T37" s="399"/>
      <c r="U37" s="399"/>
      <c r="V37" s="430" t="str">
        <f>IFERROR(VLOOKUP($O37, dropdown!$S$4:$T$15, 2, FALSE),
 IFERROR(VLOOKUP($Q37, dropdown!$S$4:$T$15, 2, FALSE),
 IFERROR(VLOOKUP($S37, dropdown!$S$4:$T$15, 2, FALSE),
 "")))</f>
        <v/>
      </c>
      <c r="W37" s="28"/>
      <c r="X37" s="56"/>
      <c r="AB37" s="11"/>
      <c r="AE37" s="11"/>
    </row>
    <row r="38" spans="9:31" ht="14" x14ac:dyDescent="0.2">
      <c r="I38" s="18" t="str">
        <f t="shared" si="0"/>
        <v/>
      </c>
      <c r="J38" s="435"/>
      <c r="K38" s="57"/>
      <c r="L38" s="28"/>
      <c r="M38" s="264"/>
      <c r="N38" s="401"/>
      <c r="O38" s="397"/>
      <c r="P38" s="398"/>
      <c r="Q38" s="397"/>
      <c r="R38" s="399"/>
      <c r="S38" s="397"/>
      <c r="T38" s="399"/>
      <c r="U38" s="399"/>
      <c r="V38" s="430" t="str">
        <f>IFERROR(VLOOKUP($O38, dropdown!$S$4:$T$15, 2, FALSE),
 IFERROR(VLOOKUP($Q38, dropdown!$S$4:$T$15, 2, FALSE),
 IFERROR(VLOOKUP($S38, dropdown!$S$4:$T$15, 2, FALSE),
 "")))</f>
        <v/>
      </c>
      <c r="W38" s="28"/>
      <c r="X38" s="56"/>
      <c r="AB38" s="11"/>
      <c r="AE38" s="11"/>
    </row>
    <row r="39" spans="9:31" ht="14" x14ac:dyDescent="0.2">
      <c r="I39" s="18" t="str">
        <f t="shared" si="0"/>
        <v/>
      </c>
      <c r="J39" s="435"/>
      <c r="K39" s="57"/>
      <c r="L39" s="28"/>
      <c r="M39" s="264"/>
      <c r="N39" s="401"/>
      <c r="O39" s="397"/>
      <c r="P39" s="398"/>
      <c r="Q39" s="397"/>
      <c r="R39" s="399"/>
      <c r="S39" s="397"/>
      <c r="T39" s="399"/>
      <c r="U39" s="399"/>
      <c r="V39" s="430" t="str">
        <f>IFERROR(VLOOKUP($O39, dropdown!$S$4:$T$15, 2, FALSE),
 IFERROR(VLOOKUP($Q39, dropdown!$S$4:$T$15, 2, FALSE),
 IFERROR(VLOOKUP($S39, dropdown!$S$4:$T$15, 2, FALSE),
 "")))</f>
        <v/>
      </c>
      <c r="W39" s="28"/>
      <c r="X39" s="56"/>
      <c r="AB39" s="11"/>
      <c r="AE39" s="11"/>
    </row>
    <row r="40" spans="9:31" ht="14" x14ac:dyDescent="0.2">
      <c r="I40" s="18" t="str">
        <f t="shared" si="0"/>
        <v/>
      </c>
      <c r="J40" s="435"/>
      <c r="K40" s="57"/>
      <c r="L40" s="28"/>
      <c r="M40" s="264"/>
      <c r="N40" s="401"/>
      <c r="O40" s="397"/>
      <c r="P40" s="398"/>
      <c r="Q40" s="397"/>
      <c r="R40" s="399"/>
      <c r="S40" s="397"/>
      <c r="T40" s="399"/>
      <c r="U40" s="399"/>
      <c r="V40" s="430" t="str">
        <f>IFERROR(VLOOKUP($O40, dropdown!$S$4:$T$15, 2, FALSE),
 IFERROR(VLOOKUP($Q40, dropdown!$S$4:$T$15, 2, FALSE),
 IFERROR(VLOOKUP($S40, dropdown!$S$4:$T$15, 2, FALSE),
 "")))</f>
        <v/>
      </c>
      <c r="W40" s="28"/>
      <c r="X40" s="56"/>
      <c r="AB40" s="11"/>
      <c r="AE40" s="11"/>
    </row>
    <row r="41" spans="9:31" ht="14" x14ac:dyDescent="0.2">
      <c r="I41" s="18" t="str">
        <f t="shared" si="0"/>
        <v/>
      </c>
      <c r="J41" s="435"/>
      <c r="K41" s="57"/>
      <c r="L41" s="28"/>
      <c r="M41" s="264"/>
      <c r="N41" s="401"/>
      <c r="O41" s="397"/>
      <c r="P41" s="398"/>
      <c r="Q41" s="397"/>
      <c r="R41" s="399"/>
      <c r="S41" s="397"/>
      <c r="T41" s="399"/>
      <c r="U41" s="399"/>
      <c r="V41" s="430" t="str">
        <f>IFERROR(VLOOKUP($O41, dropdown!$S$4:$T$15, 2, FALSE),
 IFERROR(VLOOKUP($Q41, dropdown!$S$4:$T$15, 2, FALSE),
 IFERROR(VLOOKUP($S41, dropdown!$S$4:$T$15, 2, FALSE),
 "")))</f>
        <v/>
      </c>
      <c r="W41" s="28"/>
      <c r="X41" s="56"/>
      <c r="AB41" s="11"/>
      <c r="AE41" s="11"/>
    </row>
    <row r="42" spans="9:31" ht="14" x14ac:dyDescent="0.2">
      <c r="I42" s="18" t="str">
        <f t="shared" ref="I42:I73" si="2">IF($K42="","",$I41+1)</f>
        <v/>
      </c>
      <c r="J42" s="435"/>
      <c r="K42" s="57"/>
      <c r="L42" s="28"/>
      <c r="M42" s="264"/>
      <c r="N42" s="401"/>
      <c r="O42" s="397"/>
      <c r="P42" s="398"/>
      <c r="Q42" s="397"/>
      <c r="R42" s="399"/>
      <c r="S42" s="397"/>
      <c r="T42" s="399"/>
      <c r="U42" s="399"/>
      <c r="V42" s="430" t="str">
        <f>IFERROR(VLOOKUP($O42, dropdown!$S$4:$T$15, 2, FALSE),
 IFERROR(VLOOKUP($Q42, dropdown!$S$4:$T$15, 2, FALSE),
 IFERROR(VLOOKUP($S42, dropdown!$S$4:$T$15, 2, FALSE),
 "")))</f>
        <v/>
      </c>
      <c r="W42" s="28"/>
      <c r="X42" s="56"/>
      <c r="AB42" s="11"/>
      <c r="AE42" s="11"/>
    </row>
    <row r="43" spans="9:31" ht="14" x14ac:dyDescent="0.2">
      <c r="I43" s="18" t="str">
        <f t="shared" si="2"/>
        <v/>
      </c>
      <c r="J43" s="435"/>
      <c r="K43" s="57"/>
      <c r="L43" s="28"/>
      <c r="M43" s="264"/>
      <c r="N43" s="401"/>
      <c r="O43" s="397"/>
      <c r="P43" s="398"/>
      <c r="Q43" s="397"/>
      <c r="R43" s="399"/>
      <c r="S43" s="397"/>
      <c r="T43" s="399"/>
      <c r="U43" s="399"/>
      <c r="V43" s="430" t="str">
        <f>IFERROR(VLOOKUP($O43, dropdown!$S$4:$T$15, 2, FALSE),
 IFERROR(VLOOKUP($Q43, dropdown!$S$4:$T$15, 2, FALSE),
 IFERROR(VLOOKUP($S43, dropdown!$S$4:$T$15, 2, FALSE),
 "")))</f>
        <v/>
      </c>
      <c r="W43" s="28"/>
      <c r="X43" s="56"/>
      <c r="AB43" s="11"/>
      <c r="AE43" s="11"/>
    </row>
    <row r="44" spans="9:31" ht="14" x14ac:dyDescent="0.2">
      <c r="I44" s="18" t="str">
        <f t="shared" si="2"/>
        <v/>
      </c>
      <c r="J44" s="435"/>
      <c r="K44" s="57"/>
      <c r="L44" s="28"/>
      <c r="M44" s="264"/>
      <c r="N44" s="401"/>
      <c r="O44" s="397"/>
      <c r="P44" s="398"/>
      <c r="Q44" s="397"/>
      <c r="R44" s="399"/>
      <c r="S44" s="397"/>
      <c r="T44" s="399"/>
      <c r="U44" s="399"/>
      <c r="V44" s="430" t="str">
        <f>IFERROR(VLOOKUP($O44, dropdown!$S$4:$T$15, 2, FALSE),
 IFERROR(VLOOKUP($Q44, dropdown!$S$4:$T$15, 2, FALSE),
 IFERROR(VLOOKUP($S44, dropdown!$S$4:$T$15, 2, FALSE),
 "")))</f>
        <v/>
      </c>
      <c r="W44" s="28"/>
      <c r="X44" s="56"/>
      <c r="AB44" s="11"/>
      <c r="AE44" s="11"/>
    </row>
    <row r="45" spans="9:31" ht="14" x14ac:dyDescent="0.2">
      <c r="I45" s="18" t="str">
        <f t="shared" si="2"/>
        <v/>
      </c>
      <c r="J45" s="435"/>
      <c r="K45" s="57"/>
      <c r="L45" s="28"/>
      <c r="M45" s="264"/>
      <c r="N45" s="401"/>
      <c r="O45" s="397"/>
      <c r="P45" s="398"/>
      <c r="Q45" s="397"/>
      <c r="R45" s="399"/>
      <c r="S45" s="397"/>
      <c r="T45" s="399"/>
      <c r="U45" s="399"/>
      <c r="V45" s="430" t="str">
        <f>IFERROR(VLOOKUP($O45, dropdown!$S$4:$T$15, 2, FALSE),
 IFERROR(VLOOKUP($Q45, dropdown!$S$4:$T$15, 2, FALSE),
 IFERROR(VLOOKUP($S45, dropdown!$S$4:$T$15, 2, FALSE),
 "")))</f>
        <v/>
      </c>
      <c r="W45" s="28"/>
      <c r="X45" s="56"/>
      <c r="AB45" s="11"/>
      <c r="AE45" s="11"/>
    </row>
    <row r="46" spans="9:31" ht="14" x14ac:dyDescent="0.2">
      <c r="I46" s="18" t="str">
        <f t="shared" si="2"/>
        <v/>
      </c>
      <c r="J46" s="435"/>
      <c r="K46" s="57"/>
      <c r="L46" s="28"/>
      <c r="M46" s="264"/>
      <c r="N46" s="401"/>
      <c r="O46" s="397"/>
      <c r="P46" s="398"/>
      <c r="Q46" s="397"/>
      <c r="R46" s="399"/>
      <c r="S46" s="397"/>
      <c r="T46" s="399"/>
      <c r="U46" s="399"/>
      <c r="V46" s="430" t="str">
        <f>IFERROR(VLOOKUP($O46, dropdown!$S$4:$T$15, 2, FALSE),
 IFERROR(VLOOKUP($Q46, dropdown!$S$4:$T$15, 2, FALSE),
 IFERROR(VLOOKUP($S46, dropdown!$S$4:$T$15, 2, FALSE),
 "")))</f>
        <v/>
      </c>
      <c r="W46" s="28"/>
      <c r="X46" s="56"/>
      <c r="AB46" s="11"/>
      <c r="AE46" s="11"/>
    </row>
    <row r="47" spans="9:31" ht="14" x14ac:dyDescent="0.2">
      <c r="I47" s="18" t="str">
        <f t="shared" si="2"/>
        <v/>
      </c>
      <c r="J47" s="435"/>
      <c r="K47" s="57"/>
      <c r="L47" s="28"/>
      <c r="M47" s="264"/>
      <c r="N47" s="401"/>
      <c r="O47" s="397"/>
      <c r="P47" s="398"/>
      <c r="Q47" s="397"/>
      <c r="R47" s="399"/>
      <c r="S47" s="397"/>
      <c r="T47" s="399"/>
      <c r="U47" s="399"/>
      <c r="V47" s="430" t="str">
        <f>IFERROR(VLOOKUP($O47, dropdown!$S$4:$T$15, 2, FALSE),
 IFERROR(VLOOKUP($Q47, dropdown!$S$4:$T$15, 2, FALSE),
 IFERROR(VLOOKUP($S47, dropdown!$S$4:$T$15, 2, FALSE),
 "")))</f>
        <v/>
      </c>
      <c r="W47" s="28"/>
      <c r="X47" s="56"/>
      <c r="AB47" s="11"/>
      <c r="AE47" s="11"/>
    </row>
    <row r="48" spans="9:31" ht="14" x14ac:dyDescent="0.2">
      <c r="I48" s="18" t="str">
        <f t="shared" si="2"/>
        <v/>
      </c>
      <c r="J48" s="435"/>
      <c r="K48" s="57"/>
      <c r="L48" s="28"/>
      <c r="M48" s="264"/>
      <c r="N48" s="401"/>
      <c r="O48" s="397"/>
      <c r="P48" s="398"/>
      <c r="Q48" s="397"/>
      <c r="R48" s="399"/>
      <c r="S48" s="397"/>
      <c r="T48" s="399"/>
      <c r="U48" s="399"/>
      <c r="V48" s="430" t="str">
        <f>IFERROR(VLOOKUP($O48, dropdown!$S$4:$T$15, 2, FALSE),
 IFERROR(VLOOKUP($Q48, dropdown!$S$4:$T$15, 2, FALSE),
 IFERROR(VLOOKUP($S48, dropdown!$S$4:$T$15, 2, FALSE),
 "")))</f>
        <v/>
      </c>
      <c r="W48" s="28"/>
      <c r="X48" s="56"/>
      <c r="AB48" s="11"/>
      <c r="AE48" s="11"/>
    </row>
    <row r="49" spans="9:31" ht="14" x14ac:dyDescent="0.2">
      <c r="I49" s="18" t="str">
        <f t="shared" si="2"/>
        <v/>
      </c>
      <c r="J49" s="435"/>
      <c r="K49" s="57"/>
      <c r="L49" s="28"/>
      <c r="M49" s="264"/>
      <c r="N49" s="401"/>
      <c r="O49" s="397"/>
      <c r="P49" s="398"/>
      <c r="Q49" s="397"/>
      <c r="R49" s="399"/>
      <c r="S49" s="397"/>
      <c r="T49" s="399"/>
      <c r="U49" s="399"/>
      <c r="V49" s="430" t="str">
        <f>IFERROR(VLOOKUP($O49, dropdown!$S$4:$T$15, 2, FALSE),
 IFERROR(VLOOKUP($Q49, dropdown!$S$4:$T$15, 2, FALSE),
 IFERROR(VLOOKUP($S49, dropdown!$S$4:$T$15, 2, FALSE),
 "")))</f>
        <v/>
      </c>
      <c r="W49" s="28"/>
      <c r="X49" s="56"/>
      <c r="AB49" s="11"/>
      <c r="AE49" s="11"/>
    </row>
    <row r="50" spans="9:31" ht="14" x14ac:dyDescent="0.2">
      <c r="I50" s="18" t="str">
        <f t="shared" si="2"/>
        <v/>
      </c>
      <c r="J50" s="435"/>
      <c r="K50" s="57"/>
      <c r="L50" s="28"/>
      <c r="M50" s="264"/>
      <c r="N50" s="401"/>
      <c r="O50" s="397"/>
      <c r="P50" s="398"/>
      <c r="Q50" s="397"/>
      <c r="R50" s="399"/>
      <c r="S50" s="397"/>
      <c r="T50" s="399"/>
      <c r="U50" s="399"/>
      <c r="V50" s="430" t="str">
        <f>IFERROR(VLOOKUP($O50, dropdown!$S$4:$T$15, 2, FALSE),
 IFERROR(VLOOKUP($Q50, dropdown!$S$4:$T$15, 2, FALSE),
 IFERROR(VLOOKUP($S50, dropdown!$S$4:$T$15, 2, FALSE),
 "")))</f>
        <v/>
      </c>
      <c r="W50" s="28"/>
      <c r="X50" s="56"/>
      <c r="AB50" s="11"/>
      <c r="AE50" s="11"/>
    </row>
    <row r="51" spans="9:31" ht="14" x14ac:dyDescent="0.2">
      <c r="I51" s="18" t="str">
        <f t="shared" si="2"/>
        <v/>
      </c>
      <c r="J51" s="435"/>
      <c r="K51" s="57"/>
      <c r="L51" s="28"/>
      <c r="M51" s="264"/>
      <c r="N51" s="401"/>
      <c r="O51" s="397"/>
      <c r="P51" s="398"/>
      <c r="Q51" s="397"/>
      <c r="R51" s="399"/>
      <c r="S51" s="397"/>
      <c r="T51" s="399"/>
      <c r="U51" s="399"/>
      <c r="V51" s="430" t="str">
        <f>IFERROR(VLOOKUP($O51, dropdown!$S$4:$T$15, 2, FALSE),
 IFERROR(VLOOKUP($Q51, dropdown!$S$4:$T$15, 2, FALSE),
 IFERROR(VLOOKUP($S51, dropdown!$S$4:$T$15, 2, FALSE),
 "")))</f>
        <v/>
      </c>
      <c r="W51" s="28"/>
      <c r="X51" s="56"/>
      <c r="AB51" s="11"/>
      <c r="AE51" s="11"/>
    </row>
    <row r="52" spans="9:31" ht="14" x14ac:dyDescent="0.2">
      <c r="I52" s="18" t="str">
        <f t="shared" si="2"/>
        <v/>
      </c>
      <c r="J52" s="435"/>
      <c r="K52" s="57"/>
      <c r="L52" s="28"/>
      <c r="M52" s="264"/>
      <c r="N52" s="401"/>
      <c r="O52" s="397"/>
      <c r="P52" s="398"/>
      <c r="Q52" s="397"/>
      <c r="R52" s="399"/>
      <c r="S52" s="397"/>
      <c r="T52" s="399"/>
      <c r="U52" s="399"/>
      <c r="V52" s="430" t="str">
        <f>IFERROR(VLOOKUP($O52, dropdown!$S$4:$T$15, 2, FALSE),
 IFERROR(VLOOKUP($Q52, dropdown!$S$4:$T$15, 2, FALSE),
 IFERROR(VLOOKUP($S52, dropdown!$S$4:$T$15, 2, FALSE),
 "")))</f>
        <v/>
      </c>
      <c r="W52" s="28"/>
      <c r="X52" s="56"/>
      <c r="AB52" s="11"/>
      <c r="AE52" s="11"/>
    </row>
    <row r="53" spans="9:31" ht="14" x14ac:dyDescent="0.2">
      <c r="I53" s="18" t="str">
        <f t="shared" si="2"/>
        <v/>
      </c>
      <c r="J53" s="435"/>
      <c r="K53" s="57"/>
      <c r="L53" s="28"/>
      <c r="M53" s="264"/>
      <c r="N53" s="401"/>
      <c r="O53" s="397"/>
      <c r="P53" s="398"/>
      <c r="Q53" s="397"/>
      <c r="R53" s="399"/>
      <c r="S53" s="397"/>
      <c r="T53" s="399"/>
      <c r="U53" s="399"/>
      <c r="V53" s="430" t="str">
        <f>IFERROR(VLOOKUP($O53, dropdown!$S$4:$T$15, 2, FALSE),
 IFERROR(VLOOKUP($Q53, dropdown!$S$4:$T$15, 2, FALSE),
 IFERROR(VLOOKUP($S53, dropdown!$S$4:$T$15, 2, FALSE),
 "")))</f>
        <v/>
      </c>
      <c r="W53" s="28"/>
      <c r="X53" s="56"/>
      <c r="AB53" s="11"/>
      <c r="AE53" s="11"/>
    </row>
    <row r="54" spans="9:31" ht="14" x14ac:dyDescent="0.2">
      <c r="I54" s="18" t="str">
        <f t="shared" si="2"/>
        <v/>
      </c>
      <c r="J54" s="435"/>
      <c r="K54" s="57"/>
      <c r="L54" s="28"/>
      <c r="M54" s="264"/>
      <c r="N54" s="401"/>
      <c r="O54" s="397"/>
      <c r="P54" s="398"/>
      <c r="Q54" s="397"/>
      <c r="R54" s="399"/>
      <c r="S54" s="397"/>
      <c r="T54" s="399"/>
      <c r="U54" s="399"/>
      <c r="V54" s="430" t="str">
        <f>IFERROR(VLOOKUP($O54, dropdown!$S$4:$T$15, 2, FALSE),
 IFERROR(VLOOKUP($Q54, dropdown!$S$4:$T$15, 2, FALSE),
 IFERROR(VLOOKUP($S54, dropdown!$S$4:$T$15, 2, FALSE),
 "")))</f>
        <v/>
      </c>
      <c r="W54" s="28"/>
      <c r="X54" s="56"/>
      <c r="AB54" s="11"/>
      <c r="AE54" s="11"/>
    </row>
    <row r="55" spans="9:31" ht="14" x14ac:dyDescent="0.2">
      <c r="I55" s="18" t="str">
        <f t="shared" si="2"/>
        <v/>
      </c>
      <c r="J55" s="435"/>
      <c r="K55" s="57"/>
      <c r="L55" s="28"/>
      <c r="M55" s="264"/>
      <c r="N55" s="401"/>
      <c r="O55" s="397"/>
      <c r="P55" s="398"/>
      <c r="Q55" s="397"/>
      <c r="R55" s="399"/>
      <c r="S55" s="397"/>
      <c r="T55" s="399"/>
      <c r="U55" s="399"/>
      <c r="V55" s="430" t="str">
        <f>IFERROR(VLOOKUP($O55, dropdown!$S$4:$T$15, 2, FALSE),
 IFERROR(VLOOKUP($Q55, dropdown!$S$4:$T$15, 2, FALSE),
 IFERROR(VLOOKUP($S55, dropdown!$S$4:$T$15, 2, FALSE),
 "")))</f>
        <v/>
      </c>
      <c r="W55" s="28"/>
      <c r="X55" s="56"/>
      <c r="AB55" s="11"/>
      <c r="AE55" s="11"/>
    </row>
    <row r="56" spans="9:31" ht="14" x14ac:dyDescent="0.2">
      <c r="I56" s="18" t="str">
        <f t="shared" si="2"/>
        <v/>
      </c>
      <c r="J56" s="435"/>
      <c r="K56" s="57"/>
      <c r="L56" s="28"/>
      <c r="M56" s="264"/>
      <c r="N56" s="401"/>
      <c r="O56" s="397"/>
      <c r="P56" s="398"/>
      <c r="Q56" s="397"/>
      <c r="R56" s="399"/>
      <c r="S56" s="397"/>
      <c r="T56" s="399"/>
      <c r="U56" s="399"/>
      <c r="V56" s="430" t="str">
        <f>IFERROR(VLOOKUP($O56, dropdown!$S$4:$T$15, 2, FALSE),
 IFERROR(VLOOKUP($Q56, dropdown!$S$4:$T$15, 2, FALSE),
 IFERROR(VLOOKUP($S56, dropdown!$S$4:$T$15, 2, FALSE),
 "")))</f>
        <v/>
      </c>
      <c r="W56" s="28"/>
      <c r="X56" s="56"/>
      <c r="AB56" s="11"/>
      <c r="AE56" s="11"/>
    </row>
    <row r="57" spans="9:31" ht="14" x14ac:dyDescent="0.2">
      <c r="I57" s="18" t="str">
        <f t="shared" si="2"/>
        <v/>
      </c>
      <c r="J57" s="435"/>
      <c r="K57" s="57"/>
      <c r="L57" s="28"/>
      <c r="M57" s="264"/>
      <c r="N57" s="401"/>
      <c r="O57" s="397"/>
      <c r="P57" s="398"/>
      <c r="Q57" s="397"/>
      <c r="R57" s="399"/>
      <c r="S57" s="397"/>
      <c r="T57" s="399"/>
      <c r="U57" s="399"/>
      <c r="V57" s="430" t="str">
        <f>IFERROR(VLOOKUP($O57, dropdown!$S$4:$T$15, 2, FALSE),
 IFERROR(VLOOKUP($Q57, dropdown!$S$4:$T$15, 2, FALSE),
 IFERROR(VLOOKUP($S57, dropdown!$S$4:$T$15, 2, FALSE),
 "")))</f>
        <v/>
      </c>
      <c r="W57" s="28"/>
      <c r="X57" s="56"/>
      <c r="AB57" s="11"/>
      <c r="AE57" s="11"/>
    </row>
    <row r="58" spans="9:31" ht="14" x14ac:dyDescent="0.2">
      <c r="I58" s="18" t="str">
        <f t="shared" si="2"/>
        <v/>
      </c>
      <c r="J58" s="435"/>
      <c r="K58" s="57"/>
      <c r="L58" s="28"/>
      <c r="M58" s="264"/>
      <c r="N58" s="401"/>
      <c r="O58" s="397"/>
      <c r="P58" s="398"/>
      <c r="Q58" s="397"/>
      <c r="R58" s="399"/>
      <c r="S58" s="397"/>
      <c r="T58" s="399"/>
      <c r="U58" s="399"/>
      <c r="V58" s="430" t="str">
        <f>IFERROR(VLOOKUP($O58, dropdown!$S$4:$T$15, 2, FALSE),
 IFERROR(VLOOKUP($Q58, dropdown!$S$4:$T$15, 2, FALSE),
 IFERROR(VLOOKUP($S58, dropdown!$S$4:$T$15, 2, FALSE),
 "")))</f>
        <v/>
      </c>
      <c r="W58" s="28"/>
      <c r="X58" s="56"/>
      <c r="AB58" s="11"/>
      <c r="AE58" s="11"/>
    </row>
    <row r="59" spans="9:31" ht="14" x14ac:dyDescent="0.2">
      <c r="I59" s="18" t="str">
        <f t="shared" si="2"/>
        <v/>
      </c>
      <c r="J59" s="435"/>
      <c r="K59" s="57"/>
      <c r="L59" s="28"/>
      <c r="M59" s="264"/>
      <c r="N59" s="401"/>
      <c r="O59" s="397"/>
      <c r="P59" s="398"/>
      <c r="Q59" s="397"/>
      <c r="R59" s="399"/>
      <c r="S59" s="397"/>
      <c r="T59" s="399"/>
      <c r="U59" s="399"/>
      <c r="V59" s="430" t="str">
        <f>IFERROR(VLOOKUP($O59, dropdown!$S$4:$T$15, 2, FALSE),
 IFERROR(VLOOKUP($Q59, dropdown!$S$4:$T$15, 2, FALSE),
 IFERROR(VLOOKUP($S59, dropdown!$S$4:$T$15, 2, FALSE),
 "")))</f>
        <v/>
      </c>
      <c r="W59" s="28"/>
      <c r="X59" s="56"/>
      <c r="AB59" s="11"/>
      <c r="AE59" s="11"/>
    </row>
    <row r="60" spans="9:31" ht="14" x14ac:dyDescent="0.2">
      <c r="I60" s="18" t="str">
        <f t="shared" si="2"/>
        <v/>
      </c>
      <c r="J60" s="435"/>
      <c r="K60" s="57"/>
      <c r="L60" s="28"/>
      <c r="M60" s="264"/>
      <c r="N60" s="401"/>
      <c r="O60" s="397"/>
      <c r="P60" s="398"/>
      <c r="Q60" s="397"/>
      <c r="R60" s="399"/>
      <c r="S60" s="397"/>
      <c r="T60" s="399"/>
      <c r="U60" s="399"/>
      <c r="V60" s="430" t="str">
        <f>IFERROR(VLOOKUP($O60, dropdown!$S$4:$T$15, 2, FALSE),
 IFERROR(VLOOKUP($Q60, dropdown!$S$4:$T$15, 2, FALSE),
 IFERROR(VLOOKUP($S60, dropdown!$S$4:$T$15, 2, FALSE),
 "")))</f>
        <v/>
      </c>
      <c r="W60" s="28"/>
      <c r="X60" s="56"/>
      <c r="AB60" s="11"/>
      <c r="AE60" s="11"/>
    </row>
    <row r="61" spans="9:31" ht="14" x14ac:dyDescent="0.2">
      <c r="I61" s="18" t="str">
        <f t="shared" si="2"/>
        <v/>
      </c>
      <c r="J61" s="435"/>
      <c r="K61" s="57"/>
      <c r="L61" s="28"/>
      <c r="M61" s="264"/>
      <c r="N61" s="401"/>
      <c r="O61" s="397"/>
      <c r="P61" s="398"/>
      <c r="Q61" s="397"/>
      <c r="R61" s="399"/>
      <c r="S61" s="397"/>
      <c r="T61" s="399"/>
      <c r="U61" s="399"/>
      <c r="V61" s="430" t="str">
        <f>IFERROR(VLOOKUP($O61, dropdown!$S$4:$T$15, 2, FALSE),
 IFERROR(VLOOKUP($Q61, dropdown!$S$4:$T$15, 2, FALSE),
 IFERROR(VLOOKUP($S61, dropdown!$S$4:$T$15, 2, FALSE),
 "")))</f>
        <v/>
      </c>
      <c r="W61" s="28"/>
      <c r="X61" s="56"/>
      <c r="AB61" s="11"/>
      <c r="AE61" s="11"/>
    </row>
    <row r="62" spans="9:31" ht="14" x14ac:dyDescent="0.2">
      <c r="I62" s="18" t="str">
        <f t="shared" si="2"/>
        <v/>
      </c>
      <c r="J62" s="435"/>
      <c r="K62" s="57"/>
      <c r="L62" s="28"/>
      <c r="M62" s="264"/>
      <c r="N62" s="401"/>
      <c r="O62" s="397"/>
      <c r="P62" s="398"/>
      <c r="Q62" s="397"/>
      <c r="R62" s="399"/>
      <c r="S62" s="397"/>
      <c r="T62" s="399"/>
      <c r="U62" s="399"/>
      <c r="V62" s="430" t="str">
        <f>IFERROR(VLOOKUP($O62, dropdown!$S$4:$T$15, 2, FALSE),
 IFERROR(VLOOKUP($Q62, dropdown!$S$4:$T$15, 2, FALSE),
 IFERROR(VLOOKUP($S62, dropdown!$S$4:$T$15, 2, FALSE),
 "")))</f>
        <v/>
      </c>
      <c r="W62" s="28"/>
      <c r="X62" s="56"/>
      <c r="AB62" s="11"/>
      <c r="AE62" s="11"/>
    </row>
    <row r="63" spans="9:31" ht="14" x14ac:dyDescent="0.2">
      <c r="I63" s="18" t="str">
        <f t="shared" si="2"/>
        <v/>
      </c>
      <c r="J63" s="435"/>
      <c r="K63" s="57"/>
      <c r="L63" s="28"/>
      <c r="M63" s="264"/>
      <c r="N63" s="401"/>
      <c r="O63" s="397"/>
      <c r="P63" s="398"/>
      <c r="Q63" s="397"/>
      <c r="R63" s="399"/>
      <c r="S63" s="397"/>
      <c r="T63" s="399"/>
      <c r="U63" s="399"/>
      <c r="V63" s="430" t="str">
        <f>IFERROR(VLOOKUP($O63, dropdown!$S$4:$T$15, 2, FALSE),
 IFERROR(VLOOKUP($Q63, dropdown!$S$4:$T$15, 2, FALSE),
 IFERROR(VLOOKUP($S63, dropdown!$S$4:$T$15, 2, FALSE),
 "")))</f>
        <v/>
      </c>
      <c r="W63" s="28"/>
      <c r="X63" s="56"/>
      <c r="AB63" s="11"/>
      <c r="AE63" s="11"/>
    </row>
    <row r="64" spans="9:31" ht="14" x14ac:dyDescent="0.2">
      <c r="I64" s="18" t="str">
        <f t="shared" si="2"/>
        <v/>
      </c>
      <c r="J64" s="435"/>
      <c r="K64" s="57"/>
      <c r="L64" s="28"/>
      <c r="M64" s="264"/>
      <c r="N64" s="401"/>
      <c r="O64" s="397"/>
      <c r="P64" s="398"/>
      <c r="Q64" s="397"/>
      <c r="R64" s="399"/>
      <c r="S64" s="397"/>
      <c r="T64" s="399"/>
      <c r="U64" s="399"/>
      <c r="V64" s="430" t="str">
        <f>IFERROR(VLOOKUP($O64, dropdown!$S$4:$T$15, 2, FALSE),
 IFERROR(VLOOKUP($Q64, dropdown!$S$4:$T$15, 2, FALSE),
 IFERROR(VLOOKUP($S64, dropdown!$S$4:$T$15, 2, FALSE),
 "")))</f>
        <v/>
      </c>
      <c r="W64" s="28"/>
      <c r="X64" s="56"/>
      <c r="AB64" s="11"/>
      <c r="AE64" s="11"/>
    </row>
    <row r="65" spans="9:31" ht="14" x14ac:dyDescent="0.2">
      <c r="I65" s="18" t="str">
        <f t="shared" si="2"/>
        <v/>
      </c>
      <c r="J65" s="435"/>
      <c r="K65" s="57"/>
      <c r="L65" s="28"/>
      <c r="M65" s="264"/>
      <c r="N65" s="401"/>
      <c r="O65" s="397"/>
      <c r="P65" s="398"/>
      <c r="Q65" s="397"/>
      <c r="R65" s="399"/>
      <c r="S65" s="397"/>
      <c r="T65" s="399"/>
      <c r="U65" s="399"/>
      <c r="V65" s="430" t="str">
        <f>IFERROR(VLOOKUP($O65, dropdown!$S$4:$T$15, 2, FALSE),
 IFERROR(VLOOKUP($Q65, dropdown!$S$4:$T$15, 2, FALSE),
 IFERROR(VLOOKUP($S65, dropdown!$S$4:$T$15, 2, FALSE),
 "")))</f>
        <v/>
      </c>
      <c r="W65" s="28"/>
      <c r="X65" s="56"/>
      <c r="AB65" s="11"/>
      <c r="AE65" s="11"/>
    </row>
    <row r="66" spans="9:31" ht="14" x14ac:dyDescent="0.2">
      <c r="I66" s="18" t="str">
        <f t="shared" si="2"/>
        <v/>
      </c>
      <c r="J66" s="435"/>
      <c r="K66" s="57"/>
      <c r="L66" s="28"/>
      <c r="M66" s="264"/>
      <c r="N66" s="401"/>
      <c r="O66" s="397"/>
      <c r="P66" s="398"/>
      <c r="Q66" s="397"/>
      <c r="R66" s="399"/>
      <c r="S66" s="397"/>
      <c r="T66" s="399"/>
      <c r="U66" s="399"/>
      <c r="V66" s="430" t="str">
        <f>IFERROR(VLOOKUP($O66, dropdown!$S$4:$T$15, 2, FALSE),
 IFERROR(VLOOKUP($Q66, dropdown!$S$4:$T$15, 2, FALSE),
 IFERROR(VLOOKUP($S66, dropdown!$S$4:$T$15, 2, FALSE),
 "")))</f>
        <v/>
      </c>
      <c r="W66" s="28"/>
      <c r="X66" s="56"/>
      <c r="AB66" s="11"/>
      <c r="AE66" s="11"/>
    </row>
    <row r="67" spans="9:31" ht="14" x14ac:dyDescent="0.2">
      <c r="I67" s="18" t="str">
        <f t="shared" si="2"/>
        <v/>
      </c>
      <c r="J67" s="435"/>
      <c r="K67" s="57"/>
      <c r="L67" s="28"/>
      <c r="M67" s="264"/>
      <c r="N67" s="401"/>
      <c r="O67" s="397"/>
      <c r="P67" s="398"/>
      <c r="Q67" s="397"/>
      <c r="R67" s="399"/>
      <c r="S67" s="397"/>
      <c r="T67" s="399"/>
      <c r="U67" s="399"/>
      <c r="V67" s="430" t="str">
        <f>IFERROR(VLOOKUP($O67, dropdown!$S$4:$T$15, 2, FALSE),
 IFERROR(VLOOKUP($Q67, dropdown!$S$4:$T$15, 2, FALSE),
 IFERROR(VLOOKUP($S67, dropdown!$S$4:$T$15, 2, FALSE),
 "")))</f>
        <v/>
      </c>
      <c r="W67" s="28"/>
      <c r="X67" s="56"/>
      <c r="AB67" s="11"/>
      <c r="AE67" s="11"/>
    </row>
    <row r="68" spans="9:31" ht="14" x14ac:dyDescent="0.2">
      <c r="I68" s="18" t="str">
        <f t="shared" si="2"/>
        <v/>
      </c>
      <c r="J68" s="435"/>
      <c r="K68" s="57"/>
      <c r="L68" s="28"/>
      <c r="M68" s="264"/>
      <c r="N68" s="401"/>
      <c r="O68" s="397"/>
      <c r="P68" s="398"/>
      <c r="Q68" s="397"/>
      <c r="R68" s="399"/>
      <c r="S68" s="397"/>
      <c r="T68" s="399"/>
      <c r="U68" s="399"/>
      <c r="V68" s="430" t="str">
        <f>IFERROR(VLOOKUP($O68, dropdown!$S$4:$T$15, 2, FALSE),
 IFERROR(VLOOKUP($Q68, dropdown!$S$4:$T$15, 2, FALSE),
 IFERROR(VLOOKUP($S68, dropdown!$S$4:$T$15, 2, FALSE),
 "")))</f>
        <v/>
      </c>
      <c r="W68" s="28"/>
      <c r="X68" s="56"/>
      <c r="AB68" s="11"/>
      <c r="AE68" s="11"/>
    </row>
    <row r="69" spans="9:31" ht="14" x14ac:dyDescent="0.2">
      <c r="I69" s="18" t="str">
        <f t="shared" si="2"/>
        <v/>
      </c>
      <c r="J69" s="435"/>
      <c r="K69" s="57"/>
      <c r="L69" s="28"/>
      <c r="M69" s="264"/>
      <c r="N69" s="401"/>
      <c r="O69" s="397"/>
      <c r="P69" s="398"/>
      <c r="Q69" s="397"/>
      <c r="R69" s="399"/>
      <c r="S69" s="397"/>
      <c r="T69" s="399"/>
      <c r="U69" s="399"/>
      <c r="V69" s="430" t="str">
        <f>IFERROR(VLOOKUP($O69, dropdown!$S$4:$T$15, 2, FALSE),
 IFERROR(VLOOKUP($Q69, dropdown!$S$4:$T$15, 2, FALSE),
 IFERROR(VLOOKUP($S69, dropdown!$S$4:$T$15, 2, FALSE),
 "")))</f>
        <v/>
      </c>
      <c r="W69" s="28"/>
      <c r="X69" s="56"/>
      <c r="AB69" s="11"/>
      <c r="AE69" s="11"/>
    </row>
    <row r="70" spans="9:31" ht="14" x14ac:dyDescent="0.2">
      <c r="I70" s="18" t="str">
        <f t="shared" si="2"/>
        <v/>
      </c>
      <c r="J70" s="435"/>
      <c r="K70" s="57"/>
      <c r="L70" s="28"/>
      <c r="M70" s="264"/>
      <c r="N70" s="401"/>
      <c r="O70" s="397"/>
      <c r="P70" s="398"/>
      <c r="Q70" s="397"/>
      <c r="R70" s="399"/>
      <c r="S70" s="397"/>
      <c r="T70" s="399"/>
      <c r="U70" s="399"/>
      <c r="V70" s="430" t="str">
        <f>IFERROR(VLOOKUP($O70, dropdown!$S$4:$T$15, 2, FALSE),
 IFERROR(VLOOKUP($Q70, dropdown!$S$4:$T$15, 2, FALSE),
 IFERROR(VLOOKUP($S70, dropdown!$S$4:$T$15, 2, FALSE),
 "")))</f>
        <v/>
      </c>
      <c r="W70" s="28"/>
      <c r="X70" s="56"/>
      <c r="AB70" s="11"/>
      <c r="AE70" s="11"/>
    </row>
    <row r="71" spans="9:31" ht="14" x14ac:dyDescent="0.2">
      <c r="I71" s="18" t="str">
        <f t="shared" si="2"/>
        <v/>
      </c>
      <c r="J71" s="435"/>
      <c r="K71" s="57"/>
      <c r="L71" s="28"/>
      <c r="M71" s="264"/>
      <c r="N71" s="401"/>
      <c r="O71" s="397"/>
      <c r="P71" s="398"/>
      <c r="Q71" s="397"/>
      <c r="R71" s="399"/>
      <c r="S71" s="397"/>
      <c r="T71" s="399"/>
      <c r="U71" s="399"/>
      <c r="V71" s="430" t="str">
        <f>IFERROR(VLOOKUP($O71, dropdown!$S$4:$T$15, 2, FALSE),
 IFERROR(VLOOKUP($Q71, dropdown!$S$4:$T$15, 2, FALSE),
 IFERROR(VLOOKUP($S71, dropdown!$S$4:$T$15, 2, FALSE),
 "")))</f>
        <v/>
      </c>
      <c r="W71" s="28"/>
      <c r="X71" s="56"/>
      <c r="AB71" s="11"/>
      <c r="AE71" s="11"/>
    </row>
    <row r="72" spans="9:31" ht="14" x14ac:dyDescent="0.2">
      <c r="I72" s="18" t="str">
        <f t="shared" si="2"/>
        <v/>
      </c>
      <c r="J72" s="435"/>
      <c r="K72" s="57"/>
      <c r="L72" s="28"/>
      <c r="M72" s="264"/>
      <c r="N72" s="401"/>
      <c r="O72" s="397"/>
      <c r="P72" s="398"/>
      <c r="Q72" s="397"/>
      <c r="R72" s="399"/>
      <c r="S72" s="397"/>
      <c r="T72" s="399"/>
      <c r="U72" s="399"/>
      <c r="V72" s="430" t="str">
        <f>IFERROR(VLOOKUP($O72, dropdown!$S$4:$T$15, 2, FALSE),
 IFERROR(VLOOKUP($Q72, dropdown!$S$4:$T$15, 2, FALSE),
 IFERROR(VLOOKUP($S72, dropdown!$S$4:$T$15, 2, FALSE),
 "")))</f>
        <v/>
      </c>
      <c r="W72" s="28"/>
      <c r="X72" s="56"/>
      <c r="AB72" s="11"/>
      <c r="AE72" s="11"/>
    </row>
    <row r="73" spans="9:31" ht="14" x14ac:dyDescent="0.2">
      <c r="I73" s="18" t="str">
        <f t="shared" si="2"/>
        <v/>
      </c>
      <c r="J73" s="435"/>
      <c r="K73" s="57"/>
      <c r="L73" s="28"/>
      <c r="M73" s="264"/>
      <c r="N73" s="401"/>
      <c r="O73" s="397"/>
      <c r="P73" s="398"/>
      <c r="Q73" s="397"/>
      <c r="R73" s="399"/>
      <c r="S73" s="397"/>
      <c r="T73" s="399"/>
      <c r="U73" s="399"/>
      <c r="V73" s="430" t="str">
        <f>IFERROR(VLOOKUP($O73, dropdown!$S$4:$T$15, 2, FALSE),
 IFERROR(VLOOKUP($Q73, dropdown!$S$4:$T$15, 2, FALSE),
 IFERROR(VLOOKUP($S73, dropdown!$S$4:$T$15, 2, FALSE),
 "")))</f>
        <v/>
      </c>
      <c r="W73" s="28"/>
      <c r="X73" s="56"/>
      <c r="AB73" s="11"/>
      <c r="AE73" s="11"/>
    </row>
    <row r="74" spans="9:31" ht="14" x14ac:dyDescent="0.2">
      <c r="I74" s="18" t="str">
        <f t="shared" ref="I74:I107" si="3">IF($K74="","",$I73+1)</f>
        <v/>
      </c>
      <c r="J74" s="435"/>
      <c r="K74" s="57"/>
      <c r="L74" s="28"/>
      <c r="M74" s="264"/>
      <c r="N74" s="401"/>
      <c r="O74" s="397"/>
      <c r="P74" s="398"/>
      <c r="Q74" s="397"/>
      <c r="R74" s="399"/>
      <c r="S74" s="397"/>
      <c r="T74" s="399"/>
      <c r="U74" s="399"/>
      <c r="V74" s="430" t="str">
        <f>IFERROR(VLOOKUP($O74, dropdown!$S$4:$T$15, 2, FALSE),
 IFERROR(VLOOKUP($Q74, dropdown!$S$4:$T$15, 2, FALSE),
 IFERROR(VLOOKUP($S74, dropdown!$S$4:$T$15, 2, FALSE),
 "")))</f>
        <v/>
      </c>
      <c r="W74" s="28"/>
      <c r="X74" s="56"/>
      <c r="AB74" s="11"/>
      <c r="AE74" s="11"/>
    </row>
    <row r="75" spans="9:31" ht="14" x14ac:dyDescent="0.2">
      <c r="I75" s="18" t="str">
        <f t="shared" si="3"/>
        <v/>
      </c>
      <c r="J75" s="435"/>
      <c r="K75" s="57"/>
      <c r="L75" s="28"/>
      <c r="M75" s="264"/>
      <c r="N75" s="401"/>
      <c r="O75" s="397"/>
      <c r="P75" s="398"/>
      <c r="Q75" s="397"/>
      <c r="R75" s="399"/>
      <c r="S75" s="397"/>
      <c r="T75" s="399"/>
      <c r="U75" s="399"/>
      <c r="V75" s="430" t="str">
        <f>IFERROR(VLOOKUP($O75, dropdown!$S$4:$T$15, 2, FALSE),
 IFERROR(VLOOKUP($Q75, dropdown!$S$4:$T$15, 2, FALSE),
 IFERROR(VLOOKUP($S75, dropdown!$S$4:$T$15, 2, FALSE),
 "")))</f>
        <v/>
      </c>
      <c r="W75" s="28"/>
      <c r="X75" s="56"/>
      <c r="AB75" s="11"/>
      <c r="AE75" s="11"/>
    </row>
    <row r="76" spans="9:31" ht="14" x14ac:dyDescent="0.2">
      <c r="I76" s="18" t="str">
        <f t="shared" si="3"/>
        <v/>
      </c>
      <c r="J76" s="435"/>
      <c r="K76" s="57"/>
      <c r="L76" s="28"/>
      <c r="M76" s="264"/>
      <c r="N76" s="401"/>
      <c r="O76" s="397"/>
      <c r="P76" s="398"/>
      <c r="Q76" s="397"/>
      <c r="R76" s="399"/>
      <c r="S76" s="397"/>
      <c r="T76" s="399"/>
      <c r="U76" s="399"/>
      <c r="V76" s="430" t="str">
        <f>IFERROR(VLOOKUP($O76, dropdown!$S$4:$T$15, 2, FALSE),
 IFERROR(VLOOKUP($Q76, dropdown!$S$4:$T$15, 2, FALSE),
 IFERROR(VLOOKUP($S76, dropdown!$S$4:$T$15, 2, FALSE),
 "")))</f>
        <v/>
      </c>
      <c r="W76" s="28"/>
      <c r="X76" s="56"/>
      <c r="AB76" s="11"/>
      <c r="AE76" s="11"/>
    </row>
    <row r="77" spans="9:31" ht="14" x14ac:dyDescent="0.2">
      <c r="I77" s="18" t="str">
        <f t="shared" si="3"/>
        <v/>
      </c>
      <c r="J77" s="435"/>
      <c r="K77" s="57"/>
      <c r="L77" s="28"/>
      <c r="M77" s="264"/>
      <c r="N77" s="401"/>
      <c r="O77" s="397"/>
      <c r="P77" s="398"/>
      <c r="Q77" s="397"/>
      <c r="R77" s="399"/>
      <c r="S77" s="397"/>
      <c r="T77" s="399"/>
      <c r="U77" s="399"/>
      <c r="V77" s="430" t="str">
        <f>IFERROR(VLOOKUP($O77, dropdown!$S$4:$T$15, 2, FALSE),
 IFERROR(VLOOKUP($Q77, dropdown!$S$4:$T$15, 2, FALSE),
 IFERROR(VLOOKUP($S77, dropdown!$S$4:$T$15, 2, FALSE),
 "")))</f>
        <v/>
      </c>
      <c r="W77" s="28"/>
      <c r="X77" s="56"/>
      <c r="AB77" s="11"/>
      <c r="AE77" s="11"/>
    </row>
    <row r="78" spans="9:31" ht="14" x14ac:dyDescent="0.2">
      <c r="I78" s="18" t="str">
        <f t="shared" si="3"/>
        <v/>
      </c>
      <c r="J78" s="435"/>
      <c r="K78" s="57"/>
      <c r="L78" s="28"/>
      <c r="M78" s="264"/>
      <c r="N78" s="401"/>
      <c r="O78" s="397"/>
      <c r="P78" s="398"/>
      <c r="Q78" s="397"/>
      <c r="R78" s="399"/>
      <c r="S78" s="397"/>
      <c r="T78" s="399"/>
      <c r="U78" s="399"/>
      <c r="V78" s="430" t="str">
        <f>IFERROR(VLOOKUP($O78, dropdown!$S$4:$T$15, 2, FALSE),
 IFERROR(VLOOKUP($Q78, dropdown!$S$4:$T$15, 2, FALSE),
 IFERROR(VLOOKUP($S78, dropdown!$S$4:$T$15, 2, FALSE),
 "")))</f>
        <v/>
      </c>
      <c r="W78" s="28"/>
      <c r="X78" s="56"/>
      <c r="AB78" s="11"/>
      <c r="AE78" s="11"/>
    </row>
    <row r="79" spans="9:31" ht="14" x14ac:dyDescent="0.2">
      <c r="I79" s="18" t="str">
        <f t="shared" si="3"/>
        <v/>
      </c>
      <c r="J79" s="435"/>
      <c r="K79" s="57"/>
      <c r="L79" s="28"/>
      <c r="M79" s="264"/>
      <c r="N79" s="401"/>
      <c r="O79" s="397"/>
      <c r="P79" s="398"/>
      <c r="Q79" s="397"/>
      <c r="R79" s="399"/>
      <c r="S79" s="397"/>
      <c r="T79" s="399"/>
      <c r="U79" s="399"/>
      <c r="V79" s="430" t="str">
        <f>IFERROR(VLOOKUP($O79, dropdown!$S$4:$T$15, 2, FALSE),
 IFERROR(VLOOKUP($Q79, dropdown!$S$4:$T$15, 2, FALSE),
 IFERROR(VLOOKUP($S79, dropdown!$S$4:$T$15, 2, FALSE),
 "")))</f>
        <v/>
      </c>
      <c r="W79" s="28"/>
      <c r="X79" s="56"/>
      <c r="AB79" s="11"/>
      <c r="AE79" s="11"/>
    </row>
    <row r="80" spans="9:31" ht="14" x14ac:dyDescent="0.2">
      <c r="I80" s="18" t="str">
        <f t="shared" si="3"/>
        <v/>
      </c>
      <c r="J80" s="435"/>
      <c r="K80" s="57"/>
      <c r="L80" s="28"/>
      <c r="M80" s="264"/>
      <c r="N80" s="401"/>
      <c r="O80" s="397"/>
      <c r="P80" s="398"/>
      <c r="Q80" s="397"/>
      <c r="R80" s="399"/>
      <c r="S80" s="397"/>
      <c r="T80" s="399"/>
      <c r="U80" s="399"/>
      <c r="V80" s="430" t="str">
        <f>IFERROR(VLOOKUP($O80, dropdown!$S$4:$T$15, 2, FALSE),
 IFERROR(VLOOKUP($Q80, dropdown!$S$4:$T$15, 2, FALSE),
 IFERROR(VLOOKUP($S80, dropdown!$S$4:$T$15, 2, FALSE),
 "")))</f>
        <v/>
      </c>
      <c r="W80" s="28"/>
      <c r="X80" s="56"/>
      <c r="AB80" s="11"/>
      <c r="AE80" s="11"/>
    </row>
    <row r="81" spans="9:31" ht="14" x14ac:dyDescent="0.2">
      <c r="I81" s="18" t="str">
        <f t="shared" si="3"/>
        <v/>
      </c>
      <c r="J81" s="435"/>
      <c r="K81" s="57"/>
      <c r="L81" s="28"/>
      <c r="M81" s="264"/>
      <c r="N81" s="401"/>
      <c r="O81" s="397"/>
      <c r="P81" s="398"/>
      <c r="Q81" s="397"/>
      <c r="R81" s="399"/>
      <c r="S81" s="397"/>
      <c r="T81" s="399"/>
      <c r="U81" s="399"/>
      <c r="V81" s="430" t="str">
        <f>IFERROR(VLOOKUP($O81, dropdown!$S$4:$T$15, 2, FALSE),
 IFERROR(VLOOKUP($Q81, dropdown!$S$4:$T$15, 2, FALSE),
 IFERROR(VLOOKUP($S81, dropdown!$S$4:$T$15, 2, FALSE),
 "")))</f>
        <v/>
      </c>
      <c r="W81" s="28"/>
      <c r="X81" s="56"/>
      <c r="AB81" s="11"/>
      <c r="AE81" s="11"/>
    </row>
    <row r="82" spans="9:31" ht="14" x14ac:dyDescent="0.2">
      <c r="I82" s="18" t="str">
        <f t="shared" si="3"/>
        <v/>
      </c>
      <c r="J82" s="435"/>
      <c r="K82" s="57"/>
      <c r="L82" s="28"/>
      <c r="M82" s="264"/>
      <c r="N82" s="401"/>
      <c r="O82" s="397"/>
      <c r="P82" s="398"/>
      <c r="Q82" s="397"/>
      <c r="R82" s="399"/>
      <c r="S82" s="397"/>
      <c r="T82" s="399"/>
      <c r="U82" s="399"/>
      <c r="V82" s="430" t="str">
        <f>IFERROR(VLOOKUP($O82, dropdown!$S$4:$T$15, 2, FALSE),
 IFERROR(VLOOKUP($Q82, dropdown!$S$4:$T$15, 2, FALSE),
 IFERROR(VLOOKUP($S82, dropdown!$S$4:$T$15, 2, FALSE),
 "")))</f>
        <v/>
      </c>
      <c r="W82" s="28"/>
      <c r="X82" s="56"/>
      <c r="AB82" s="11"/>
      <c r="AE82" s="11"/>
    </row>
    <row r="83" spans="9:31" ht="14" x14ac:dyDescent="0.2">
      <c r="I83" s="18" t="str">
        <f t="shared" si="3"/>
        <v/>
      </c>
      <c r="J83" s="435"/>
      <c r="K83" s="57"/>
      <c r="L83" s="28"/>
      <c r="M83" s="264"/>
      <c r="N83" s="401"/>
      <c r="O83" s="397"/>
      <c r="P83" s="398"/>
      <c r="Q83" s="397"/>
      <c r="R83" s="399"/>
      <c r="S83" s="397"/>
      <c r="T83" s="399"/>
      <c r="U83" s="399"/>
      <c r="V83" s="430" t="str">
        <f>IFERROR(VLOOKUP($O83, dropdown!$S$4:$T$15, 2, FALSE),
 IFERROR(VLOOKUP($Q83, dropdown!$S$4:$T$15, 2, FALSE),
 IFERROR(VLOOKUP($S83, dropdown!$S$4:$T$15, 2, FALSE),
 "")))</f>
        <v/>
      </c>
      <c r="W83" s="28"/>
      <c r="X83" s="56"/>
      <c r="AB83" s="11"/>
      <c r="AE83" s="11"/>
    </row>
    <row r="84" spans="9:31" ht="14" x14ac:dyDescent="0.2">
      <c r="I84" s="18" t="str">
        <f t="shared" si="3"/>
        <v/>
      </c>
      <c r="J84" s="435"/>
      <c r="K84" s="57"/>
      <c r="L84" s="28"/>
      <c r="M84" s="264"/>
      <c r="N84" s="401"/>
      <c r="O84" s="397"/>
      <c r="P84" s="398"/>
      <c r="Q84" s="397"/>
      <c r="R84" s="399"/>
      <c r="S84" s="397"/>
      <c r="T84" s="399"/>
      <c r="U84" s="399"/>
      <c r="V84" s="430" t="str">
        <f>IFERROR(VLOOKUP($O84, dropdown!$S$4:$T$15, 2, FALSE),
 IFERROR(VLOOKUP($Q84, dropdown!$S$4:$T$15, 2, FALSE),
 IFERROR(VLOOKUP($S84, dropdown!$S$4:$T$15, 2, FALSE),
 "")))</f>
        <v/>
      </c>
      <c r="W84" s="28"/>
      <c r="X84" s="56"/>
      <c r="AB84" s="11"/>
      <c r="AE84" s="11"/>
    </row>
    <row r="85" spans="9:31" ht="14" x14ac:dyDescent="0.2">
      <c r="I85" s="18" t="str">
        <f t="shared" si="3"/>
        <v/>
      </c>
      <c r="J85" s="435"/>
      <c r="K85" s="57"/>
      <c r="L85" s="28"/>
      <c r="M85" s="264"/>
      <c r="N85" s="401"/>
      <c r="O85" s="397"/>
      <c r="P85" s="398"/>
      <c r="Q85" s="397"/>
      <c r="R85" s="399"/>
      <c r="S85" s="397"/>
      <c r="T85" s="399"/>
      <c r="U85" s="399"/>
      <c r="V85" s="430" t="str">
        <f>IFERROR(VLOOKUP($O85, dropdown!$S$4:$T$15, 2, FALSE),
 IFERROR(VLOOKUP($Q85, dropdown!$S$4:$T$15, 2, FALSE),
 IFERROR(VLOOKUP($S85, dropdown!$S$4:$T$15, 2, FALSE),
 "")))</f>
        <v/>
      </c>
      <c r="W85" s="28"/>
      <c r="X85" s="56"/>
      <c r="AB85" s="11"/>
      <c r="AE85" s="11"/>
    </row>
    <row r="86" spans="9:31" ht="14" x14ac:dyDescent="0.2">
      <c r="I86" s="18" t="str">
        <f t="shared" si="3"/>
        <v/>
      </c>
      <c r="J86" s="435"/>
      <c r="K86" s="57"/>
      <c r="L86" s="28"/>
      <c r="M86" s="264"/>
      <c r="N86" s="401"/>
      <c r="O86" s="397"/>
      <c r="P86" s="398"/>
      <c r="Q86" s="397"/>
      <c r="R86" s="399"/>
      <c r="S86" s="397"/>
      <c r="T86" s="399"/>
      <c r="U86" s="399"/>
      <c r="V86" s="430" t="str">
        <f>IFERROR(VLOOKUP($O86, dropdown!$S$4:$T$15, 2, FALSE),
 IFERROR(VLOOKUP($Q86, dropdown!$S$4:$T$15, 2, FALSE),
 IFERROR(VLOOKUP($S86, dropdown!$S$4:$T$15, 2, FALSE),
 "")))</f>
        <v/>
      </c>
      <c r="W86" s="28"/>
      <c r="X86" s="56"/>
      <c r="AB86" s="11"/>
      <c r="AE86" s="11"/>
    </row>
    <row r="87" spans="9:31" ht="14" x14ac:dyDescent="0.2">
      <c r="I87" s="18" t="str">
        <f t="shared" si="3"/>
        <v/>
      </c>
      <c r="J87" s="435"/>
      <c r="K87" s="57"/>
      <c r="L87" s="28"/>
      <c r="M87" s="264"/>
      <c r="N87" s="401"/>
      <c r="O87" s="397"/>
      <c r="P87" s="398"/>
      <c r="Q87" s="397"/>
      <c r="R87" s="399"/>
      <c r="S87" s="397"/>
      <c r="T87" s="399"/>
      <c r="U87" s="399"/>
      <c r="V87" s="430" t="str">
        <f>IFERROR(VLOOKUP($O87, dropdown!$S$4:$T$15, 2, FALSE),
 IFERROR(VLOOKUP($Q87, dropdown!$S$4:$T$15, 2, FALSE),
 IFERROR(VLOOKUP($S87, dropdown!$S$4:$T$15, 2, FALSE),
 "")))</f>
        <v/>
      </c>
      <c r="W87" s="28"/>
      <c r="X87" s="56"/>
      <c r="AB87" s="11"/>
      <c r="AE87" s="11"/>
    </row>
    <row r="88" spans="9:31" ht="14" x14ac:dyDescent="0.2">
      <c r="I88" s="18" t="str">
        <f t="shared" si="3"/>
        <v/>
      </c>
      <c r="J88" s="435"/>
      <c r="K88" s="57"/>
      <c r="L88" s="28"/>
      <c r="M88" s="264"/>
      <c r="N88" s="401"/>
      <c r="O88" s="397"/>
      <c r="P88" s="398"/>
      <c r="Q88" s="397"/>
      <c r="R88" s="399"/>
      <c r="S88" s="397"/>
      <c r="T88" s="399"/>
      <c r="U88" s="399"/>
      <c r="V88" s="430" t="str">
        <f>IFERROR(VLOOKUP($O88, dropdown!$S$4:$T$15, 2, FALSE),
 IFERROR(VLOOKUP($Q88, dropdown!$S$4:$T$15, 2, FALSE),
 IFERROR(VLOOKUP($S88, dropdown!$S$4:$T$15, 2, FALSE),
 "")))</f>
        <v/>
      </c>
      <c r="W88" s="28"/>
      <c r="X88" s="56"/>
      <c r="AB88" s="11"/>
      <c r="AE88" s="11"/>
    </row>
    <row r="89" spans="9:31" ht="14" x14ac:dyDescent="0.2">
      <c r="I89" s="18" t="str">
        <f t="shared" si="3"/>
        <v/>
      </c>
      <c r="J89" s="435"/>
      <c r="K89" s="57"/>
      <c r="L89" s="28"/>
      <c r="M89" s="264"/>
      <c r="N89" s="401"/>
      <c r="O89" s="397"/>
      <c r="P89" s="398"/>
      <c r="Q89" s="397"/>
      <c r="R89" s="399"/>
      <c r="S89" s="397"/>
      <c r="T89" s="399"/>
      <c r="U89" s="399"/>
      <c r="V89" s="430" t="str">
        <f>IFERROR(VLOOKUP($O89, dropdown!$S$4:$T$15, 2, FALSE),
 IFERROR(VLOOKUP($Q89, dropdown!$S$4:$T$15, 2, FALSE),
 IFERROR(VLOOKUP($S89, dropdown!$S$4:$T$15, 2, FALSE),
 "")))</f>
        <v/>
      </c>
      <c r="W89" s="28"/>
      <c r="X89" s="56"/>
      <c r="AB89" s="11"/>
      <c r="AE89" s="11"/>
    </row>
    <row r="90" spans="9:31" ht="14" x14ac:dyDescent="0.2">
      <c r="I90" s="18" t="str">
        <f t="shared" si="3"/>
        <v/>
      </c>
      <c r="J90" s="435"/>
      <c r="K90" s="57"/>
      <c r="L90" s="28"/>
      <c r="M90" s="264"/>
      <c r="N90" s="401"/>
      <c r="O90" s="397"/>
      <c r="P90" s="398"/>
      <c r="Q90" s="397"/>
      <c r="R90" s="399"/>
      <c r="S90" s="397"/>
      <c r="T90" s="399"/>
      <c r="U90" s="399"/>
      <c r="V90" s="430" t="str">
        <f>IFERROR(VLOOKUP($O90, dropdown!$S$4:$T$15, 2, FALSE),
 IFERROR(VLOOKUP($Q90, dropdown!$S$4:$T$15, 2, FALSE),
 IFERROR(VLOOKUP($S90, dropdown!$S$4:$T$15, 2, FALSE),
 "")))</f>
        <v/>
      </c>
      <c r="W90" s="28"/>
      <c r="X90" s="56"/>
      <c r="AB90" s="11"/>
      <c r="AE90" s="11"/>
    </row>
    <row r="91" spans="9:31" ht="14" x14ac:dyDescent="0.2">
      <c r="I91" s="18" t="str">
        <f t="shared" si="3"/>
        <v/>
      </c>
      <c r="J91" s="435"/>
      <c r="K91" s="57"/>
      <c r="L91" s="28"/>
      <c r="M91" s="264"/>
      <c r="N91" s="401"/>
      <c r="O91" s="397"/>
      <c r="P91" s="398"/>
      <c r="Q91" s="397"/>
      <c r="R91" s="399"/>
      <c r="S91" s="397"/>
      <c r="T91" s="399"/>
      <c r="U91" s="399"/>
      <c r="V91" s="430" t="str">
        <f>IFERROR(VLOOKUP($O91, dropdown!$S$4:$T$15, 2, FALSE),
 IFERROR(VLOOKUP($Q91, dropdown!$S$4:$T$15, 2, FALSE),
 IFERROR(VLOOKUP($S91, dropdown!$S$4:$T$15, 2, FALSE),
 "")))</f>
        <v/>
      </c>
      <c r="W91" s="28"/>
      <c r="X91" s="56"/>
      <c r="AB91" s="11"/>
      <c r="AE91" s="11"/>
    </row>
    <row r="92" spans="9:31" ht="14" x14ac:dyDescent="0.2">
      <c r="I92" s="18" t="str">
        <f t="shared" si="3"/>
        <v/>
      </c>
      <c r="J92" s="435"/>
      <c r="K92" s="57"/>
      <c r="L92" s="28"/>
      <c r="M92" s="264"/>
      <c r="N92" s="401"/>
      <c r="O92" s="397"/>
      <c r="P92" s="398"/>
      <c r="Q92" s="397"/>
      <c r="R92" s="399"/>
      <c r="S92" s="397"/>
      <c r="T92" s="399"/>
      <c r="U92" s="399"/>
      <c r="V92" s="430" t="str">
        <f>IFERROR(VLOOKUP($O92, dropdown!$S$4:$T$15, 2, FALSE),
 IFERROR(VLOOKUP($Q92, dropdown!$S$4:$T$15, 2, FALSE),
 IFERROR(VLOOKUP($S92, dropdown!$S$4:$T$15, 2, FALSE),
 "")))</f>
        <v/>
      </c>
      <c r="W92" s="28"/>
      <c r="X92" s="56"/>
      <c r="AB92" s="11"/>
      <c r="AE92" s="11"/>
    </row>
    <row r="93" spans="9:31" ht="14" x14ac:dyDescent="0.2">
      <c r="I93" s="18" t="str">
        <f t="shared" si="3"/>
        <v/>
      </c>
      <c r="J93" s="435"/>
      <c r="K93" s="57"/>
      <c r="L93" s="28"/>
      <c r="M93" s="264"/>
      <c r="N93" s="401"/>
      <c r="O93" s="397"/>
      <c r="P93" s="398"/>
      <c r="Q93" s="397"/>
      <c r="R93" s="399"/>
      <c r="S93" s="397"/>
      <c r="T93" s="399"/>
      <c r="U93" s="399"/>
      <c r="V93" s="430" t="str">
        <f>IFERROR(VLOOKUP($O93, dropdown!$S$4:$T$15, 2, FALSE),
 IFERROR(VLOOKUP($Q93, dropdown!$S$4:$T$15, 2, FALSE),
 IFERROR(VLOOKUP($S93, dropdown!$S$4:$T$15, 2, FALSE),
 "")))</f>
        <v/>
      </c>
      <c r="W93" s="28"/>
      <c r="X93" s="56"/>
      <c r="AB93" s="11"/>
      <c r="AE93" s="11"/>
    </row>
    <row r="94" spans="9:31" ht="14" x14ac:dyDescent="0.2">
      <c r="I94" s="18" t="str">
        <f t="shared" si="3"/>
        <v/>
      </c>
      <c r="J94" s="435"/>
      <c r="K94" s="57"/>
      <c r="L94" s="28"/>
      <c r="M94" s="264"/>
      <c r="N94" s="401"/>
      <c r="O94" s="397"/>
      <c r="P94" s="398"/>
      <c r="Q94" s="397"/>
      <c r="R94" s="399"/>
      <c r="S94" s="397"/>
      <c r="T94" s="399"/>
      <c r="U94" s="399"/>
      <c r="V94" s="430" t="str">
        <f>IFERROR(VLOOKUP($O94, dropdown!$S$4:$T$15, 2, FALSE),
 IFERROR(VLOOKUP($Q94, dropdown!$S$4:$T$15, 2, FALSE),
 IFERROR(VLOOKUP($S94, dropdown!$S$4:$T$15, 2, FALSE),
 "")))</f>
        <v/>
      </c>
      <c r="W94" s="28"/>
      <c r="X94" s="56"/>
      <c r="AB94" s="11"/>
      <c r="AE94" s="11"/>
    </row>
    <row r="95" spans="9:31" ht="14" x14ac:dyDescent="0.2">
      <c r="I95" s="18" t="str">
        <f t="shared" si="3"/>
        <v/>
      </c>
      <c r="J95" s="435"/>
      <c r="K95" s="57"/>
      <c r="L95" s="28"/>
      <c r="M95" s="264"/>
      <c r="N95" s="401"/>
      <c r="O95" s="397"/>
      <c r="P95" s="398"/>
      <c r="Q95" s="397"/>
      <c r="R95" s="399"/>
      <c r="S95" s="397"/>
      <c r="T95" s="399"/>
      <c r="U95" s="399"/>
      <c r="V95" s="430" t="str">
        <f>IFERROR(VLOOKUP($O95, dropdown!$S$4:$T$15, 2, FALSE),
 IFERROR(VLOOKUP($Q95, dropdown!$S$4:$T$15, 2, FALSE),
 IFERROR(VLOOKUP($S95, dropdown!$S$4:$T$15, 2, FALSE),
 "")))</f>
        <v/>
      </c>
      <c r="W95" s="28"/>
      <c r="X95" s="56"/>
      <c r="AB95" s="11"/>
      <c r="AE95" s="11"/>
    </row>
    <row r="96" spans="9:31" ht="14" x14ac:dyDescent="0.2">
      <c r="I96" s="18" t="str">
        <f t="shared" si="3"/>
        <v/>
      </c>
      <c r="J96" s="435"/>
      <c r="K96" s="57"/>
      <c r="L96" s="28"/>
      <c r="M96" s="264"/>
      <c r="N96" s="401"/>
      <c r="O96" s="397"/>
      <c r="P96" s="398"/>
      <c r="Q96" s="397"/>
      <c r="R96" s="399"/>
      <c r="S96" s="397"/>
      <c r="T96" s="399"/>
      <c r="U96" s="399"/>
      <c r="V96" s="430" t="str">
        <f>IFERROR(VLOOKUP($O96, dropdown!$S$4:$T$15, 2, FALSE),
 IFERROR(VLOOKUP($Q96, dropdown!$S$4:$T$15, 2, FALSE),
 IFERROR(VLOOKUP($S96, dropdown!$S$4:$T$15, 2, FALSE),
 "")))</f>
        <v/>
      </c>
      <c r="W96" s="28"/>
      <c r="X96" s="56"/>
      <c r="AB96" s="11"/>
      <c r="AE96" s="11"/>
    </row>
    <row r="97" spans="9:31" ht="14" x14ac:dyDescent="0.2">
      <c r="I97" s="18" t="str">
        <f t="shared" si="3"/>
        <v/>
      </c>
      <c r="J97" s="435"/>
      <c r="K97" s="57"/>
      <c r="L97" s="28"/>
      <c r="M97" s="264"/>
      <c r="N97" s="401"/>
      <c r="O97" s="397"/>
      <c r="P97" s="398"/>
      <c r="Q97" s="397"/>
      <c r="R97" s="399"/>
      <c r="S97" s="397"/>
      <c r="T97" s="399"/>
      <c r="U97" s="399"/>
      <c r="V97" s="430" t="str">
        <f>IFERROR(VLOOKUP($O97, dropdown!$S$4:$T$15, 2, FALSE),
 IFERROR(VLOOKUP($Q97, dropdown!$S$4:$T$15, 2, FALSE),
 IFERROR(VLOOKUP($S97, dropdown!$S$4:$T$15, 2, FALSE),
 "")))</f>
        <v/>
      </c>
      <c r="W97" s="28"/>
      <c r="X97" s="56"/>
      <c r="AB97" s="11"/>
      <c r="AE97" s="11"/>
    </row>
    <row r="98" spans="9:31" ht="14" x14ac:dyDescent="0.2">
      <c r="I98" s="18" t="str">
        <f t="shared" si="3"/>
        <v/>
      </c>
      <c r="J98" s="435"/>
      <c r="K98" s="57"/>
      <c r="L98" s="28"/>
      <c r="M98" s="264"/>
      <c r="N98" s="401"/>
      <c r="O98" s="397"/>
      <c r="P98" s="398"/>
      <c r="Q98" s="397"/>
      <c r="R98" s="399"/>
      <c r="S98" s="397"/>
      <c r="T98" s="399"/>
      <c r="U98" s="399"/>
      <c r="V98" s="430" t="str">
        <f>IFERROR(VLOOKUP($O98, dropdown!$S$4:$T$15, 2, FALSE),
 IFERROR(VLOOKUP($Q98, dropdown!$S$4:$T$15, 2, FALSE),
 IFERROR(VLOOKUP($S98, dropdown!$S$4:$T$15, 2, FALSE),
 "")))</f>
        <v/>
      </c>
      <c r="W98" s="28"/>
      <c r="X98" s="56"/>
      <c r="AB98" s="11"/>
      <c r="AE98" s="11"/>
    </row>
    <row r="99" spans="9:31" ht="14" x14ac:dyDescent="0.2">
      <c r="I99" s="18" t="str">
        <f t="shared" si="3"/>
        <v/>
      </c>
      <c r="J99" s="435"/>
      <c r="K99" s="57"/>
      <c r="L99" s="28"/>
      <c r="M99" s="264"/>
      <c r="N99" s="401"/>
      <c r="O99" s="397"/>
      <c r="P99" s="398"/>
      <c r="Q99" s="397"/>
      <c r="R99" s="399"/>
      <c r="S99" s="397"/>
      <c r="T99" s="399"/>
      <c r="U99" s="399"/>
      <c r="V99" s="430" t="str">
        <f>IFERROR(VLOOKUP($O99, dropdown!$S$4:$T$15, 2, FALSE),
 IFERROR(VLOOKUP($Q99, dropdown!$S$4:$T$15, 2, FALSE),
 IFERROR(VLOOKUP($S99, dropdown!$S$4:$T$15, 2, FALSE),
 "")))</f>
        <v/>
      </c>
      <c r="W99" s="28"/>
      <c r="X99" s="56"/>
      <c r="AB99" s="11"/>
      <c r="AE99" s="11"/>
    </row>
    <row r="100" spans="9:31" ht="14" x14ac:dyDescent="0.2">
      <c r="I100" s="18" t="str">
        <f t="shared" si="3"/>
        <v/>
      </c>
      <c r="J100" s="435"/>
      <c r="K100" s="57"/>
      <c r="L100" s="28"/>
      <c r="M100" s="264"/>
      <c r="N100" s="401"/>
      <c r="O100" s="397"/>
      <c r="P100" s="398"/>
      <c r="Q100" s="397"/>
      <c r="R100" s="399"/>
      <c r="S100" s="397"/>
      <c r="T100" s="399"/>
      <c r="U100" s="399"/>
      <c r="V100" s="430" t="str">
        <f>IFERROR(VLOOKUP($O100, dropdown!$S$4:$T$15, 2, FALSE),
 IFERROR(VLOOKUP($Q100, dropdown!$S$4:$T$15, 2, FALSE),
 IFERROR(VLOOKUP($S100, dropdown!$S$4:$T$15, 2, FALSE),
 "")))</f>
        <v/>
      </c>
      <c r="W100" s="28"/>
      <c r="X100" s="56"/>
      <c r="AB100" s="11"/>
      <c r="AE100" s="11"/>
    </row>
    <row r="101" spans="9:31" ht="14" x14ac:dyDescent="0.2">
      <c r="I101" s="18" t="str">
        <f t="shared" si="3"/>
        <v/>
      </c>
      <c r="J101" s="435"/>
      <c r="K101" s="57"/>
      <c r="L101" s="28"/>
      <c r="M101" s="264"/>
      <c r="N101" s="401"/>
      <c r="O101" s="397"/>
      <c r="P101" s="398"/>
      <c r="Q101" s="397"/>
      <c r="R101" s="399"/>
      <c r="S101" s="397"/>
      <c r="T101" s="399"/>
      <c r="U101" s="399"/>
      <c r="V101" s="430" t="str">
        <f>IFERROR(VLOOKUP($O101, dropdown!$S$4:$T$15, 2, FALSE),
 IFERROR(VLOOKUP($Q101, dropdown!$S$4:$T$15, 2, FALSE),
 IFERROR(VLOOKUP($S101, dropdown!$S$4:$T$15, 2, FALSE),
 "")))</f>
        <v/>
      </c>
      <c r="W101" s="28"/>
      <c r="X101" s="56"/>
      <c r="AB101" s="11"/>
      <c r="AE101" s="11"/>
    </row>
    <row r="102" spans="9:31" ht="14" x14ac:dyDescent="0.2">
      <c r="I102" s="18" t="str">
        <f t="shared" si="3"/>
        <v/>
      </c>
      <c r="J102" s="435"/>
      <c r="K102" s="57"/>
      <c r="L102" s="28"/>
      <c r="M102" s="264"/>
      <c r="N102" s="401"/>
      <c r="O102" s="397"/>
      <c r="P102" s="398"/>
      <c r="Q102" s="397"/>
      <c r="R102" s="399"/>
      <c r="S102" s="397"/>
      <c r="T102" s="399"/>
      <c r="U102" s="399"/>
      <c r="V102" s="430" t="str">
        <f>IFERROR(VLOOKUP($O102, dropdown!$S$4:$T$15, 2, FALSE),
 IFERROR(VLOOKUP($Q102, dropdown!$S$4:$T$15, 2, FALSE),
 IFERROR(VLOOKUP($S102, dropdown!$S$4:$T$15, 2, FALSE),
 "")))</f>
        <v/>
      </c>
      <c r="W102" s="28"/>
      <c r="X102" s="56"/>
      <c r="AB102" s="11"/>
      <c r="AE102" s="11"/>
    </row>
    <row r="103" spans="9:31" ht="14" x14ac:dyDescent="0.2">
      <c r="I103" s="18" t="str">
        <f t="shared" si="3"/>
        <v/>
      </c>
      <c r="J103" s="435"/>
      <c r="K103" s="57"/>
      <c r="L103" s="28"/>
      <c r="M103" s="264"/>
      <c r="N103" s="401"/>
      <c r="O103" s="397"/>
      <c r="P103" s="398"/>
      <c r="Q103" s="397"/>
      <c r="R103" s="399"/>
      <c r="S103" s="397"/>
      <c r="T103" s="399"/>
      <c r="U103" s="399"/>
      <c r="V103" s="430" t="str">
        <f>IFERROR(VLOOKUP($O103, dropdown!$S$4:$T$15, 2, FALSE),
 IFERROR(VLOOKUP($Q103, dropdown!$S$4:$T$15, 2, FALSE),
 IFERROR(VLOOKUP($S103, dropdown!$S$4:$T$15, 2, FALSE),
 "")))</f>
        <v/>
      </c>
      <c r="W103" s="28"/>
      <c r="X103" s="56"/>
      <c r="AB103" s="11"/>
      <c r="AE103" s="11"/>
    </row>
    <row r="104" spans="9:31" ht="14" x14ac:dyDescent="0.2">
      <c r="I104" s="18" t="str">
        <f t="shared" si="3"/>
        <v/>
      </c>
      <c r="J104" s="435"/>
      <c r="K104" s="57"/>
      <c r="L104" s="28"/>
      <c r="M104" s="264"/>
      <c r="N104" s="401"/>
      <c r="O104" s="397"/>
      <c r="P104" s="398"/>
      <c r="Q104" s="397"/>
      <c r="R104" s="399"/>
      <c r="S104" s="397"/>
      <c r="T104" s="399"/>
      <c r="U104" s="399"/>
      <c r="V104" s="430" t="str">
        <f>IFERROR(VLOOKUP($O104, dropdown!$S$4:$T$15, 2, FALSE),
 IFERROR(VLOOKUP($Q104, dropdown!$S$4:$T$15, 2, FALSE),
 IFERROR(VLOOKUP($S104, dropdown!$S$4:$T$15, 2, FALSE),
 "")))</f>
        <v/>
      </c>
      <c r="W104" s="28"/>
      <c r="X104" s="56"/>
      <c r="AB104" s="11"/>
      <c r="AE104" s="11"/>
    </row>
    <row r="105" spans="9:31" ht="14" x14ac:dyDescent="0.2">
      <c r="I105" s="18" t="str">
        <f t="shared" si="3"/>
        <v/>
      </c>
      <c r="J105" s="435"/>
      <c r="K105" s="57"/>
      <c r="L105" s="28"/>
      <c r="M105" s="264"/>
      <c r="N105" s="401"/>
      <c r="O105" s="397"/>
      <c r="P105" s="398"/>
      <c r="Q105" s="397"/>
      <c r="R105" s="399"/>
      <c r="S105" s="397"/>
      <c r="T105" s="399"/>
      <c r="U105" s="399"/>
      <c r="V105" s="430" t="str">
        <f>IFERROR(VLOOKUP($O105, dropdown!$S$4:$T$15, 2, FALSE),
 IFERROR(VLOOKUP($Q105, dropdown!$S$4:$T$15, 2, FALSE),
 IFERROR(VLOOKUP($S105, dropdown!$S$4:$T$15, 2, FALSE),
 "")))</f>
        <v/>
      </c>
      <c r="W105" s="28"/>
      <c r="X105" s="56"/>
      <c r="AB105" s="11"/>
      <c r="AE105" s="11"/>
    </row>
    <row r="106" spans="9:31" ht="14" x14ac:dyDescent="0.2">
      <c r="I106" s="18" t="str">
        <f t="shared" si="3"/>
        <v/>
      </c>
      <c r="J106" s="435"/>
      <c r="K106" s="57"/>
      <c r="L106" s="28"/>
      <c r="M106" s="264"/>
      <c r="N106" s="401"/>
      <c r="O106" s="397"/>
      <c r="P106" s="398"/>
      <c r="Q106" s="397"/>
      <c r="R106" s="399"/>
      <c r="S106" s="397"/>
      <c r="T106" s="399"/>
      <c r="U106" s="399"/>
      <c r="V106" s="430" t="str">
        <f>IFERROR(VLOOKUP($O106, dropdown!$S$4:$T$15, 2, FALSE),
 IFERROR(VLOOKUP($Q106, dropdown!$S$4:$T$15, 2, FALSE),
 IFERROR(VLOOKUP($S106, dropdown!$S$4:$T$15, 2, FALSE),
 "")))</f>
        <v/>
      </c>
      <c r="W106" s="28"/>
      <c r="X106" s="56"/>
      <c r="AB106" s="11"/>
      <c r="AE106" s="11"/>
    </row>
    <row r="107" spans="9:31" ht="14" x14ac:dyDescent="0.2">
      <c r="I107" s="18" t="str">
        <f t="shared" si="3"/>
        <v/>
      </c>
      <c r="J107" s="435"/>
      <c r="K107" s="57"/>
      <c r="L107" s="28"/>
      <c r="M107" s="264"/>
      <c r="N107" s="401"/>
      <c r="O107" s="397"/>
      <c r="P107" s="398"/>
      <c r="Q107" s="397"/>
      <c r="R107" s="399"/>
      <c r="S107" s="397"/>
      <c r="T107" s="399"/>
      <c r="U107" s="399"/>
      <c r="V107" s="430" t="str">
        <f>IFERROR(VLOOKUP($O107, dropdown!$S$4:$T$15, 2, FALSE),
 IFERROR(VLOOKUP($Q107, dropdown!$S$4:$T$15, 2, FALSE),
 IFERROR(VLOOKUP($S107, dropdown!$S$4:$T$15, 2, FALSE),
 "")))</f>
        <v/>
      </c>
      <c r="W107" s="28"/>
      <c r="X107" s="56"/>
      <c r="AB107" s="11"/>
      <c r="AE107" s="11"/>
    </row>
    <row r="108" spans="9:31" x14ac:dyDescent="0.2">
      <c r="W108" s="56"/>
      <c r="AB108" s="11"/>
      <c r="AE108" s="11"/>
    </row>
    <row r="109" spans="9:31" x14ac:dyDescent="0.2">
      <c r="I109" s="322" t="s">
        <v>178</v>
      </c>
    </row>
  </sheetData>
  <sheetProtection algorithmName="SHA-512" hashValue="Z4SC4wT/R7IezyvYFDS8lmDTJF7NSS/ihiyvFubXMpZXEG1EEOf7bX0vSvCvMdPTH/FBp19F0RnYF9iC09io7g==" saltValue="gMlyusgJ0kkCeHxlu4Cf7A==" spinCount="100000" sheet="1" objects="1" scenarios="1" selectLockedCells="1"/>
  <protectedRanges>
    <protectedRange sqref="J8:U107 W8:W107" name="Range1"/>
  </protectedRanges>
  <mergeCells count="20">
    <mergeCell ref="O7:P7"/>
    <mergeCell ref="Q7:R7"/>
    <mergeCell ref="S7:U7"/>
    <mergeCell ref="B30:B31"/>
    <mergeCell ref="B24:B25"/>
    <mergeCell ref="B26:B27"/>
    <mergeCell ref="B28:B29"/>
    <mergeCell ref="C28:D29"/>
    <mergeCell ref="C24:D25"/>
    <mergeCell ref="E28:G29"/>
    <mergeCell ref="C26:D27"/>
    <mergeCell ref="E26:G27"/>
    <mergeCell ref="C30:D31"/>
    <mergeCell ref="E30:G31"/>
    <mergeCell ref="B22:B23"/>
    <mergeCell ref="C6:G6"/>
    <mergeCell ref="C7:G7"/>
    <mergeCell ref="C22:D23"/>
    <mergeCell ref="E22:G23"/>
    <mergeCell ref="E24:G25"/>
  </mergeCells>
  <conditionalFormatting sqref="O9:O107">
    <cfRule type="expression" dxfId="82" priority="6">
      <formula>$N9="New installation"</formula>
    </cfRule>
  </conditionalFormatting>
  <conditionalFormatting sqref="P9:P107">
    <cfRule type="expression" dxfId="81" priority="5">
      <formula>$N9="New installation"</formula>
    </cfRule>
  </conditionalFormatting>
  <conditionalFormatting sqref="Q9:Q107">
    <cfRule type="expression" dxfId="80" priority="4">
      <formula>$N9="In operation"</formula>
    </cfRule>
  </conditionalFormatting>
  <conditionalFormatting sqref="R9:R107">
    <cfRule type="expression" dxfId="79" priority="3">
      <formula>$N9="In operation"</formula>
    </cfRule>
  </conditionalFormatting>
  <conditionalFormatting sqref="S9:S107">
    <cfRule type="expression" dxfId="78" priority="2">
      <formula>$N9="Disposed"</formula>
    </cfRule>
  </conditionalFormatting>
  <conditionalFormatting sqref="T9:U107">
    <cfRule type="expression" dxfId="77" priority="1">
      <formula>$N9="Disposed"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4">
        <x14:dataValidation type="list" allowBlank="1" showInputMessage="1" showErrorMessage="1" xr:uid="{076F2A91-9D2E-8B4D-A50B-67DF1A8C3984}">
          <x14:formula1>
            <xm:f>dropdown!$AM$4:$AM$8</xm:f>
          </x14:formula1>
          <xm:sqref>K9:K107</xm:sqref>
        </x14:dataValidation>
        <x14:dataValidation type="list" allowBlank="1" showInputMessage="1" showErrorMessage="1" xr:uid="{4B3D50AA-7B2F-2C4D-B07F-5154DDDFB8B6}">
          <x14:formula1>
            <xm:f>dropdown!$AB$4:$AB$6</xm:f>
          </x14:formula1>
          <xm:sqref>N9:N107</xm:sqref>
        </x14:dataValidation>
        <x14:dataValidation type="list" allowBlank="1" showInputMessage="1" showErrorMessage="1" xr:uid="{0E547278-C0B8-474A-8383-12D64FFFCDFD}">
          <x14:formula1>
            <xm:f>dropdown!$X$4:$X$9</xm:f>
          </x14:formula1>
          <xm:sqref>M9:M107</xm:sqref>
        </x14:dataValidation>
        <x14:dataValidation type="list" allowBlank="1" showInputMessage="1" showErrorMessage="1" xr:uid="{5F73F391-9616-7B40-A2FD-96DBF90DCE8B}">
          <x14:formula1>
            <xm:f>dropdown!$S$4:$S$15</xm:f>
          </x14:formula1>
          <xm:sqref>O9:O107 Q9:Q107 S9:S107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F0905-F105-3640-BA9E-B8D35A732C3D}">
  <sheetPr codeName="Sheet7">
    <tabColor rgb="FFFFFF00"/>
  </sheetPr>
  <dimension ref="B2:Q109"/>
  <sheetViews>
    <sheetView showGridLines="0" topLeftCell="B1" zoomScaleNormal="100" workbookViewId="0">
      <selection activeCell="M22" sqref="M22"/>
    </sheetView>
  </sheetViews>
  <sheetFormatPr baseColWidth="10" defaultColWidth="10.83203125" defaultRowHeight="14" x14ac:dyDescent="0.2"/>
  <cols>
    <col min="1" max="1" width="2.6640625" style="20" customWidth="1"/>
    <col min="2" max="2" width="22.83203125" style="11" bestFit="1" customWidth="1"/>
    <col min="3" max="3" width="14.83203125" style="11" bestFit="1" customWidth="1"/>
    <col min="4" max="7" width="8.83203125" style="11" customWidth="1"/>
    <col min="8" max="8" width="4" style="20" customWidth="1"/>
    <col min="9" max="9" width="5.33203125" style="12" customWidth="1"/>
    <col min="10" max="10" width="15.1640625" style="20" customWidth="1"/>
    <col min="11" max="11" width="9" style="21" customWidth="1"/>
    <col min="12" max="12" width="17.83203125" style="21" customWidth="1"/>
    <col min="13" max="13" width="21.6640625" style="22" customWidth="1"/>
    <col min="14" max="14" width="17.33203125" style="46" customWidth="1"/>
    <col min="15" max="15" width="17.33203125" style="164" customWidth="1"/>
    <col min="16" max="16" width="4.6640625" style="20" customWidth="1"/>
    <col min="17" max="17" width="10.83203125" style="48" customWidth="1"/>
    <col min="18" max="16384" width="10.83203125" style="20"/>
  </cols>
  <sheetData>
    <row r="2" spans="2:17" ht="19" x14ac:dyDescent="0.25">
      <c r="B2" s="257" t="s">
        <v>29</v>
      </c>
      <c r="C2" s="31"/>
      <c r="D2" s="31"/>
      <c r="E2" s="31"/>
      <c r="F2" s="31"/>
      <c r="G2" s="32"/>
      <c r="I2" s="307" t="s">
        <v>206</v>
      </c>
      <c r="J2" s="308"/>
      <c r="K2" s="309"/>
      <c r="L2" s="309"/>
      <c r="M2" s="310"/>
      <c r="N2" s="311"/>
      <c r="O2" s="372"/>
    </row>
    <row r="3" spans="2:17" x14ac:dyDescent="0.2">
      <c r="B3" s="33" t="s">
        <v>8</v>
      </c>
      <c r="C3" s="34"/>
      <c r="D3" s="35" t="s">
        <v>168</v>
      </c>
      <c r="E3" s="34"/>
      <c r="F3" s="34" t="s">
        <v>169</v>
      </c>
      <c r="G3" s="36"/>
      <c r="I3" s="284" t="s">
        <v>170</v>
      </c>
      <c r="J3" s="285"/>
      <c r="K3" s="286"/>
      <c r="L3" s="286"/>
      <c r="M3" s="287"/>
      <c r="N3" s="314"/>
      <c r="O3" s="289"/>
    </row>
    <row r="4" spans="2:17" x14ac:dyDescent="0.2">
      <c r="B4" s="161" t="str">
        <f>'1. Data Info and Summary'!$D$2</f>
        <v>Zamboanga Branch</v>
      </c>
      <c r="C4" s="37"/>
      <c r="D4" s="38">
        <f>IF('1. Data Info and Summary'!$D$3=0,"-",'1. Data Info and Summary'!$D$3)</f>
        <v>2024</v>
      </c>
      <c r="E4" s="37"/>
      <c r="F4" s="37" t="s">
        <v>162</v>
      </c>
      <c r="G4" s="39"/>
      <c r="I4" s="316"/>
      <c r="J4" s="272"/>
      <c r="O4" s="291"/>
    </row>
    <row r="5" spans="2:17" x14ac:dyDescent="0.2">
      <c r="B5" s="271"/>
      <c r="D5" s="271"/>
      <c r="I5" s="317"/>
      <c r="J5" s="292"/>
      <c r="K5" s="294"/>
      <c r="L5" s="294"/>
      <c r="M5" s="295"/>
      <c r="N5" s="318"/>
      <c r="O5" s="297"/>
    </row>
    <row r="6" spans="2:17" x14ac:dyDescent="0.2">
      <c r="B6" s="278" t="s">
        <v>172</v>
      </c>
      <c r="C6" s="447" t="s">
        <v>1432</v>
      </c>
      <c r="D6" s="448"/>
      <c r="E6" s="448"/>
      <c r="F6" s="448"/>
      <c r="G6" s="449"/>
    </row>
    <row r="7" spans="2:17" ht="12.75" customHeight="1" x14ac:dyDescent="0.2">
      <c r="B7" s="278" t="s">
        <v>174</v>
      </c>
      <c r="C7" s="450">
        <v>45910</v>
      </c>
      <c r="D7" s="448"/>
      <c r="E7" s="448"/>
      <c r="F7" s="448"/>
      <c r="G7" s="449"/>
      <c r="I7" s="248" t="s">
        <v>173</v>
      </c>
      <c r="J7" s="249" t="s">
        <v>39</v>
      </c>
      <c r="K7" s="249" t="s">
        <v>43</v>
      </c>
      <c r="L7" s="250" t="s">
        <v>106</v>
      </c>
      <c r="M7" s="251" t="s">
        <v>108</v>
      </c>
      <c r="N7" s="252" t="s">
        <v>110</v>
      </c>
      <c r="O7" s="253" t="s">
        <v>54</v>
      </c>
      <c r="P7" s="48"/>
      <c r="Q7" s="20"/>
    </row>
    <row r="8" spans="2:17" x14ac:dyDescent="0.2">
      <c r="B8" s="271"/>
      <c r="D8" s="271"/>
      <c r="I8" s="194">
        <f>IF($L8="","",1)</f>
        <v>1</v>
      </c>
      <c r="J8" s="58" t="s">
        <v>338</v>
      </c>
      <c r="K8" s="18" t="str">
        <f>IF(Electricity[[#This Row],[Month]]&lt;&gt;"",VLOOKUP(Electricity[[#This Row],[Month]], dropdown!$S$4:$T$15, 2, FALSE),"")</f>
        <v>Q1</v>
      </c>
      <c r="L8" s="29">
        <v>27860</v>
      </c>
      <c r="M8" s="47">
        <v>254181.35</v>
      </c>
      <c r="N8" s="165" t="s">
        <v>559</v>
      </c>
      <c r="O8" s="195"/>
      <c r="P8" s="48"/>
      <c r="Q8" s="20"/>
    </row>
    <row r="9" spans="2:17" x14ac:dyDescent="0.2">
      <c r="I9" s="194"/>
      <c r="J9" s="58" t="s">
        <v>89</v>
      </c>
      <c r="K9" s="426" t="str">
        <f>IF(Electricity[[#This Row],[Month]]&lt;&gt;"",VLOOKUP(Electricity[[#This Row],[Month]], dropdown!$S$4:$T$15, 2, FALSE),"")</f>
        <v>Q1</v>
      </c>
      <c r="L9" s="29">
        <v>25396</v>
      </c>
      <c r="M9" s="47">
        <v>270897.24</v>
      </c>
      <c r="N9" s="165" t="s">
        <v>559</v>
      </c>
      <c r="O9" s="195"/>
      <c r="P9" s="48"/>
      <c r="Q9" s="20"/>
    </row>
    <row r="10" spans="2:17" ht="15" x14ac:dyDescent="0.2">
      <c r="B10" s="334" t="s">
        <v>104</v>
      </c>
      <c r="C10" s="14"/>
      <c r="D10" s="14"/>
      <c r="E10" s="14"/>
      <c r="F10" s="14"/>
      <c r="G10" s="14"/>
      <c r="I10" s="194"/>
      <c r="J10" s="58" t="s">
        <v>362</v>
      </c>
      <c r="K10" s="426" t="str">
        <f>IF(Electricity[[#This Row],[Month]]&lt;&gt;"",VLOOKUP(Electricity[[#This Row],[Month]], dropdown!$S$4:$T$15, 2, FALSE),"")</f>
        <v>Q1</v>
      </c>
      <c r="L10" s="29">
        <v>25704</v>
      </c>
      <c r="M10" s="47">
        <v>272657.53000000003</v>
      </c>
      <c r="N10" s="165" t="s">
        <v>559</v>
      </c>
      <c r="O10" s="195"/>
      <c r="P10" s="48"/>
      <c r="Q10" s="20"/>
    </row>
    <row r="11" spans="2:17" x14ac:dyDescent="0.2">
      <c r="B11" s="13" t="s">
        <v>155</v>
      </c>
      <c r="C11" s="13" t="s">
        <v>51</v>
      </c>
      <c r="D11" s="40" t="s">
        <v>45</v>
      </c>
      <c r="E11" s="40" t="s">
        <v>149</v>
      </c>
      <c r="F11" s="40" t="s">
        <v>150</v>
      </c>
      <c r="G11" s="40" t="s">
        <v>151</v>
      </c>
      <c r="I11" s="194"/>
      <c r="J11" s="58" t="s">
        <v>371</v>
      </c>
      <c r="K11" s="426" t="str">
        <f>IF(Electricity[[#This Row],[Month]]&lt;&gt;"",VLOOKUP(Electricity[[#This Row],[Month]], dropdown!$S$4:$T$15, 2, FALSE),"")</f>
        <v>Q2</v>
      </c>
      <c r="L11" s="29">
        <v>26208</v>
      </c>
      <c r="M11" s="47">
        <v>263838.19</v>
      </c>
      <c r="N11" s="165" t="s">
        <v>559</v>
      </c>
      <c r="O11" s="195"/>
      <c r="P11" s="48"/>
      <c r="Q11" s="20"/>
    </row>
    <row r="12" spans="2:17" x14ac:dyDescent="0.2">
      <c r="B12" s="17" t="s">
        <v>207</v>
      </c>
      <c r="C12" s="17" t="s">
        <v>208</v>
      </c>
      <c r="D12" s="41">
        <f>SUMIFS(Electricity[Consumption (kWh)],Electricity[Quarter],D$11)</f>
        <v>78960</v>
      </c>
      <c r="E12" s="41">
        <f>SUMIFS(Electricity[Consumption (kWh)],Electricity[Quarter],E$11)</f>
        <v>78708</v>
      </c>
      <c r="F12" s="41">
        <f>SUMIFS(Electricity[Consumption (kWh)],Electricity[Quarter],F$11)</f>
        <v>82796</v>
      </c>
      <c r="G12" s="41">
        <f>SUMIFS(Electricity[Consumption (kWh)],Electricity[Quarter],G$11)</f>
        <v>87276</v>
      </c>
      <c r="I12" s="194"/>
      <c r="J12" s="58" t="s">
        <v>379</v>
      </c>
      <c r="K12" s="426" t="str">
        <f>IF(Electricity[[#This Row],[Month]]&lt;&gt;"",VLOOKUP(Electricity[[#This Row],[Month]], dropdown!$S$4:$T$15, 2, FALSE),"")</f>
        <v>Q2</v>
      </c>
      <c r="L12" s="29">
        <v>25844</v>
      </c>
      <c r="M12" s="47">
        <v>283437.53999999998</v>
      </c>
      <c r="N12" s="165" t="s">
        <v>559</v>
      </c>
      <c r="O12" s="195"/>
      <c r="P12" s="48"/>
      <c r="Q12" s="20"/>
    </row>
    <row r="13" spans="2:17" x14ac:dyDescent="0.2">
      <c r="D13" s="167" t="str">
        <f>IF(SUM(D$12:D$12)&gt;0,"x","")</f>
        <v>x</v>
      </c>
      <c r="E13" s="167" t="str">
        <f>IF(SUM(E$12:E$12)&gt;0,"x","")</f>
        <v>x</v>
      </c>
      <c r="F13" s="167" t="str">
        <f>IF(SUM(F$12:F$12)&gt;0,"x","")</f>
        <v>x</v>
      </c>
      <c r="G13" s="167" t="str">
        <f>IF(SUM(G$12:G$12)&gt;0,"x","")</f>
        <v>x</v>
      </c>
      <c r="I13" s="194"/>
      <c r="J13" s="58" t="s">
        <v>386</v>
      </c>
      <c r="K13" s="426" t="str">
        <f>IF(Electricity[[#This Row],[Month]]&lt;&gt;"",VLOOKUP(Electricity[[#This Row],[Month]], dropdown!$S$4:$T$15, 2, FALSE),"")</f>
        <v>Q2</v>
      </c>
      <c r="L13" s="29">
        <v>26656</v>
      </c>
      <c r="M13" s="47">
        <v>267074.14</v>
      </c>
      <c r="N13" s="165" t="s">
        <v>559</v>
      </c>
      <c r="O13" s="195"/>
      <c r="P13" s="48"/>
      <c r="Q13" s="20"/>
    </row>
    <row r="14" spans="2:17" x14ac:dyDescent="0.2">
      <c r="B14" s="119" t="s">
        <v>38</v>
      </c>
      <c r="D14" s="168"/>
      <c r="I14" s="194"/>
      <c r="J14" s="58" t="s">
        <v>390</v>
      </c>
      <c r="K14" s="426" t="str">
        <f>IF(Electricity[[#This Row],[Month]]&lt;&gt;"",VLOOKUP(Electricity[[#This Row],[Month]], dropdown!$S$4:$T$15, 2, FALSE),"")</f>
        <v>Q3</v>
      </c>
      <c r="L14" s="29">
        <v>26404</v>
      </c>
      <c r="M14" s="47">
        <v>296352.94</v>
      </c>
      <c r="N14" s="165" t="s">
        <v>559</v>
      </c>
      <c r="O14" s="195"/>
      <c r="P14" s="48"/>
      <c r="Q14" s="20"/>
    </row>
    <row r="15" spans="2:17" x14ac:dyDescent="0.2">
      <c r="B15" s="120" t="s">
        <v>175</v>
      </c>
      <c r="D15" s="168"/>
      <c r="I15" s="194"/>
      <c r="J15" s="58" t="s">
        <v>41</v>
      </c>
      <c r="K15" s="426" t="str">
        <f>IF(Electricity[[#This Row],[Month]]&lt;&gt;"",VLOOKUP(Electricity[[#This Row],[Month]], dropdown!$S$4:$T$15, 2, FALSE),"")</f>
        <v>Q3</v>
      </c>
      <c r="L15" s="29">
        <v>27916</v>
      </c>
      <c r="M15" s="47">
        <v>305951.46999999997</v>
      </c>
      <c r="N15" s="165" t="s">
        <v>559</v>
      </c>
      <c r="O15" s="195"/>
      <c r="P15" s="48"/>
      <c r="Q15" s="20"/>
    </row>
    <row r="16" spans="2:17" x14ac:dyDescent="0.2">
      <c r="B16" s="121" t="s">
        <v>176</v>
      </c>
      <c r="I16" s="194"/>
      <c r="J16" s="58" t="s">
        <v>397</v>
      </c>
      <c r="K16" s="426" t="str">
        <f>IF(Electricity[[#This Row],[Month]]&lt;&gt;"",VLOOKUP(Electricity[[#This Row],[Month]], dropdown!$S$4:$T$15, 2, FALSE),"")</f>
        <v>Q3</v>
      </c>
      <c r="L16" s="29">
        <v>28476</v>
      </c>
      <c r="M16" s="47">
        <v>302363.58</v>
      </c>
      <c r="N16" s="165" t="s">
        <v>559</v>
      </c>
      <c r="O16" s="195"/>
      <c r="P16" s="48"/>
      <c r="Q16" s="20"/>
    </row>
    <row r="17" spans="2:17" x14ac:dyDescent="0.2">
      <c r="B17" s="122" t="s">
        <v>177</v>
      </c>
      <c r="I17" s="194"/>
      <c r="J17" s="58" t="s">
        <v>400</v>
      </c>
      <c r="K17" s="426" t="str">
        <f>IF(Electricity[[#This Row],[Month]]&lt;&gt;"",VLOOKUP(Electricity[[#This Row],[Month]], dropdown!$S$4:$T$15, 2, FALSE),"")</f>
        <v>Q4</v>
      </c>
      <c r="L17" s="29">
        <v>29092</v>
      </c>
      <c r="M17" s="47">
        <v>311280.25</v>
      </c>
      <c r="N17" s="165" t="s">
        <v>559</v>
      </c>
      <c r="O17" s="195"/>
      <c r="P17" s="48"/>
      <c r="Q17" s="20"/>
    </row>
    <row r="18" spans="2:17" x14ac:dyDescent="0.2">
      <c r="I18" s="194">
        <f t="shared" ref="I18:I49" si="0">IF($L18="","",$I17+1)</f>
        <v>1</v>
      </c>
      <c r="J18" s="58" t="s">
        <v>404</v>
      </c>
      <c r="K18" s="426" t="str">
        <f>IF(Electricity[[#This Row],[Month]]&lt;&gt;"",VLOOKUP(Electricity[[#This Row],[Month]], dropdown!$S$4:$T$15, 2, FALSE),"")</f>
        <v>Q4</v>
      </c>
      <c r="L18" s="29">
        <v>29680</v>
      </c>
      <c r="M18" s="47">
        <v>321920.75</v>
      </c>
      <c r="N18" s="165" t="s">
        <v>559</v>
      </c>
      <c r="O18" s="195"/>
      <c r="P18" s="48"/>
      <c r="Q18" s="20"/>
    </row>
    <row r="19" spans="2:17" x14ac:dyDescent="0.2">
      <c r="I19" s="194">
        <f t="shared" si="0"/>
        <v>2</v>
      </c>
      <c r="J19" s="58" t="s">
        <v>407</v>
      </c>
      <c r="K19" s="426" t="str">
        <f>IF(Electricity[[#This Row],[Month]]&lt;&gt;"",VLOOKUP(Electricity[[#This Row],[Month]], dropdown!$S$4:$T$15, 2, FALSE),"")</f>
        <v>Q4</v>
      </c>
      <c r="L19" s="29">
        <v>28504</v>
      </c>
      <c r="M19" s="47">
        <v>296579.40000000002</v>
      </c>
      <c r="N19" s="165" t="s">
        <v>559</v>
      </c>
      <c r="O19" s="195"/>
      <c r="P19" s="48"/>
      <c r="Q19" s="20"/>
    </row>
    <row r="20" spans="2:17" x14ac:dyDescent="0.2">
      <c r="I20" s="194" t="str">
        <f t="shared" si="0"/>
        <v/>
      </c>
      <c r="J20" s="58"/>
      <c r="K20" s="426" t="str">
        <f>IF(Electricity[[#This Row],[Month]]&lt;&gt;"",VLOOKUP(Electricity[[#This Row],[Month]], dropdown!$S$4:$T$15, 2, FALSE),"")</f>
        <v/>
      </c>
      <c r="L20" s="29"/>
      <c r="M20" s="47"/>
      <c r="N20" s="165"/>
      <c r="O20" s="195"/>
      <c r="P20" s="48"/>
      <c r="Q20" s="20"/>
    </row>
    <row r="21" spans="2:17" x14ac:dyDescent="0.2">
      <c r="I21" s="194" t="str">
        <f t="shared" si="0"/>
        <v/>
      </c>
      <c r="J21" s="58"/>
      <c r="K21" s="426" t="str">
        <f>IF(Electricity[[#This Row],[Month]]&lt;&gt;"",VLOOKUP(Electricity[[#This Row],[Month]], dropdown!$S$4:$T$15, 2, FALSE),"")</f>
        <v/>
      </c>
      <c r="L21" s="29"/>
      <c r="M21" s="47"/>
      <c r="N21" s="165"/>
      <c r="O21" s="195"/>
      <c r="P21" s="48"/>
      <c r="Q21" s="20"/>
    </row>
    <row r="22" spans="2:17" x14ac:dyDescent="0.2">
      <c r="I22" s="194" t="str">
        <f t="shared" si="0"/>
        <v/>
      </c>
      <c r="J22" s="196"/>
      <c r="K22" s="426" t="str">
        <f>IF(Electricity[[#This Row],[Month]]&lt;&gt;"",VLOOKUP(Electricity[[#This Row],[Month]], dropdown!$S$4:$T$15, 2, FALSE),"")</f>
        <v/>
      </c>
      <c r="L22" s="197"/>
      <c r="M22" s="246"/>
      <c r="N22" s="247"/>
      <c r="O22" s="199"/>
      <c r="P22" s="48"/>
      <c r="Q22" s="20"/>
    </row>
    <row r="23" spans="2:17" x14ac:dyDescent="0.2">
      <c r="I23" s="194" t="str">
        <f t="shared" si="0"/>
        <v/>
      </c>
      <c r="J23" s="196"/>
      <c r="K23" s="426" t="str">
        <f>IF(Electricity[[#This Row],[Month]]&lt;&gt;"",VLOOKUP(Electricity[[#This Row],[Month]], dropdown!$S$4:$T$15, 2, FALSE),"")</f>
        <v/>
      </c>
      <c r="L23" s="197"/>
      <c r="M23" s="246"/>
      <c r="N23" s="247"/>
      <c r="O23" s="199"/>
      <c r="P23" s="48"/>
      <c r="Q23" s="20"/>
    </row>
    <row r="24" spans="2:17" x14ac:dyDescent="0.2">
      <c r="I24" s="194" t="str">
        <f t="shared" si="0"/>
        <v/>
      </c>
      <c r="J24" s="196"/>
      <c r="K24" s="426" t="str">
        <f>IF(Electricity[[#This Row],[Month]]&lt;&gt;"",VLOOKUP(Electricity[[#This Row],[Month]], dropdown!$S$4:$T$15, 2, FALSE),"")</f>
        <v/>
      </c>
      <c r="L24" s="197"/>
      <c r="M24" s="246"/>
      <c r="N24" s="247"/>
      <c r="O24" s="199"/>
      <c r="P24" s="48"/>
      <c r="Q24" s="20"/>
    </row>
    <row r="25" spans="2:17" x14ac:dyDescent="0.2">
      <c r="I25" s="194" t="str">
        <f t="shared" si="0"/>
        <v/>
      </c>
      <c r="J25" s="196"/>
      <c r="K25" s="426" t="str">
        <f>IF(Electricity[[#This Row],[Month]]&lt;&gt;"",VLOOKUP(Electricity[[#This Row],[Month]], dropdown!$S$4:$T$15, 2, FALSE),"")</f>
        <v/>
      </c>
      <c r="L25" s="197"/>
      <c r="M25" s="246"/>
      <c r="N25" s="247"/>
      <c r="O25" s="199"/>
      <c r="P25" s="48" t="str">
        <f>IF(J17="","",VLOOKUP($J17,dropdown!$S$3:$T$15,2,FALSE))</f>
        <v>Q4</v>
      </c>
      <c r="Q25" s="20"/>
    </row>
    <row r="26" spans="2:17" x14ac:dyDescent="0.2">
      <c r="I26" s="194" t="str">
        <f t="shared" si="0"/>
        <v/>
      </c>
      <c r="J26" s="196"/>
      <c r="K26" s="426" t="str">
        <f>IF(Electricity[[#This Row],[Month]]&lt;&gt;"",VLOOKUP(Electricity[[#This Row],[Month]], dropdown!$S$4:$T$15, 2, FALSE),"")</f>
        <v/>
      </c>
      <c r="L26" s="197"/>
      <c r="M26" s="246"/>
      <c r="N26" s="247"/>
      <c r="O26" s="199"/>
      <c r="P26" s="48" t="str">
        <f>IF(J18="","",VLOOKUP($J18,dropdown!$S$3:$T$15,2,FALSE))</f>
        <v>Q4</v>
      </c>
      <c r="Q26" s="20"/>
    </row>
    <row r="27" spans="2:17" x14ac:dyDescent="0.2">
      <c r="I27" s="194" t="str">
        <f t="shared" si="0"/>
        <v/>
      </c>
      <c r="J27" s="196"/>
      <c r="K27" s="426" t="str">
        <f>IF(Electricity[[#This Row],[Month]]&lt;&gt;"",VLOOKUP(Electricity[[#This Row],[Month]], dropdown!$S$4:$T$15, 2, FALSE),"")</f>
        <v/>
      </c>
      <c r="L27" s="197"/>
      <c r="M27" s="246"/>
      <c r="N27" s="247"/>
      <c r="O27" s="199"/>
      <c r="P27" s="48" t="str">
        <f>IF(J19="","",VLOOKUP($J19,dropdown!$S$3:$T$15,2,FALSE))</f>
        <v>Q4</v>
      </c>
      <c r="Q27" s="20"/>
    </row>
    <row r="28" spans="2:17" x14ac:dyDescent="0.2">
      <c r="I28" s="194" t="str">
        <f t="shared" si="0"/>
        <v/>
      </c>
      <c r="J28" s="196"/>
      <c r="K28" s="426" t="str">
        <f>IF(Electricity[[#This Row],[Month]]&lt;&gt;"",VLOOKUP(Electricity[[#This Row],[Month]], dropdown!$S$4:$T$15, 2, FALSE),"")</f>
        <v/>
      </c>
      <c r="L28" s="197"/>
      <c r="M28" s="246"/>
      <c r="N28" s="247"/>
      <c r="O28" s="199"/>
      <c r="P28" s="48" t="str">
        <f>IF(J20="","",VLOOKUP($J20,dropdown!$S$3:$T$15,2,FALSE))</f>
        <v/>
      </c>
      <c r="Q28" s="20"/>
    </row>
    <row r="29" spans="2:17" x14ac:dyDescent="0.2">
      <c r="I29" s="194" t="str">
        <f t="shared" si="0"/>
        <v/>
      </c>
      <c r="J29" s="196"/>
      <c r="K29" s="426" t="str">
        <f>IF(Electricity[[#This Row],[Month]]&lt;&gt;"",VLOOKUP(Electricity[[#This Row],[Month]], dropdown!$S$4:$T$15, 2, FALSE),"")</f>
        <v/>
      </c>
      <c r="L29" s="197"/>
      <c r="M29" s="246"/>
      <c r="N29" s="247"/>
      <c r="O29" s="199"/>
      <c r="P29" s="48" t="str">
        <f>IF(J21="","",VLOOKUP($J21,dropdown!$S$3:$T$15,2,FALSE))</f>
        <v/>
      </c>
      <c r="Q29" s="20"/>
    </row>
    <row r="30" spans="2:17" x14ac:dyDescent="0.2">
      <c r="I30" s="194" t="str">
        <f t="shared" si="0"/>
        <v/>
      </c>
      <c r="J30" s="196"/>
      <c r="K30" s="426" t="str">
        <f>IF(Electricity[[#This Row],[Month]]&lt;&gt;"",VLOOKUP(Electricity[[#This Row],[Month]], dropdown!$S$4:$T$15, 2, FALSE),"")</f>
        <v/>
      </c>
      <c r="L30" s="197"/>
      <c r="M30" s="246"/>
      <c r="N30" s="247"/>
      <c r="O30" s="199"/>
      <c r="P30" s="48" t="str">
        <f>IF(J22="","",VLOOKUP($J22,dropdown!$S$3:$T$15,2,FALSE))</f>
        <v/>
      </c>
      <c r="Q30" s="20"/>
    </row>
    <row r="31" spans="2:17" x14ac:dyDescent="0.2">
      <c r="I31" s="194" t="str">
        <f t="shared" si="0"/>
        <v/>
      </c>
      <c r="J31" s="196"/>
      <c r="K31" s="426" t="str">
        <f>IF(Electricity[[#This Row],[Month]]&lt;&gt;"",VLOOKUP(Electricity[[#This Row],[Month]], dropdown!$S$4:$T$15, 2, FALSE),"")</f>
        <v/>
      </c>
      <c r="L31" s="197"/>
      <c r="M31" s="246"/>
      <c r="N31" s="247"/>
      <c r="O31" s="199"/>
      <c r="P31" s="48"/>
      <c r="Q31" s="20"/>
    </row>
    <row r="32" spans="2:17" x14ac:dyDescent="0.2">
      <c r="I32" s="194" t="str">
        <f t="shared" si="0"/>
        <v/>
      </c>
      <c r="J32" s="196"/>
      <c r="K32" s="426" t="str">
        <f>IF(Electricity[[#This Row],[Month]]&lt;&gt;"",VLOOKUP(Electricity[[#This Row],[Month]], dropdown!$S$4:$T$15, 2, FALSE),"")</f>
        <v/>
      </c>
      <c r="L32" s="197"/>
      <c r="M32" s="246"/>
      <c r="N32" s="247"/>
      <c r="O32" s="199"/>
      <c r="P32" s="48"/>
      <c r="Q32" s="20"/>
    </row>
    <row r="33" spans="9:17" x14ac:dyDescent="0.2">
      <c r="I33" s="194" t="str">
        <f t="shared" si="0"/>
        <v/>
      </c>
      <c r="J33" s="196"/>
      <c r="K33" s="426" t="str">
        <f>IF(Electricity[[#This Row],[Month]]&lt;&gt;"",VLOOKUP(Electricity[[#This Row],[Month]], dropdown!$S$4:$T$15, 2, FALSE),"")</f>
        <v/>
      </c>
      <c r="L33" s="197"/>
      <c r="M33" s="246"/>
      <c r="N33" s="247"/>
      <c r="O33" s="199"/>
      <c r="P33" s="48"/>
      <c r="Q33" s="20"/>
    </row>
    <row r="34" spans="9:17" x14ac:dyDescent="0.2">
      <c r="I34" s="194" t="str">
        <f t="shared" si="0"/>
        <v/>
      </c>
      <c r="J34" s="196"/>
      <c r="K34" s="426" t="str">
        <f>IF(Electricity[[#This Row],[Month]]&lt;&gt;"",VLOOKUP(Electricity[[#This Row],[Month]], dropdown!$S$4:$T$15, 2, FALSE),"")</f>
        <v/>
      </c>
      <c r="L34" s="197"/>
      <c r="M34" s="246"/>
      <c r="N34" s="247"/>
      <c r="O34" s="199"/>
      <c r="P34" s="48"/>
      <c r="Q34" s="20"/>
    </row>
    <row r="35" spans="9:17" x14ac:dyDescent="0.2">
      <c r="I35" s="194" t="str">
        <f t="shared" si="0"/>
        <v/>
      </c>
      <c r="J35" s="196"/>
      <c r="K35" s="426" t="str">
        <f>IF(Electricity[[#This Row],[Month]]&lt;&gt;"",VLOOKUP(Electricity[[#This Row],[Month]], dropdown!$S$4:$T$15, 2, FALSE),"")</f>
        <v/>
      </c>
      <c r="L35" s="197"/>
      <c r="M35" s="246"/>
      <c r="N35" s="247"/>
      <c r="O35" s="199"/>
      <c r="P35" s="48"/>
      <c r="Q35" s="20"/>
    </row>
    <row r="36" spans="9:17" x14ac:dyDescent="0.2">
      <c r="I36" s="194" t="str">
        <f t="shared" si="0"/>
        <v/>
      </c>
      <c r="J36" s="196"/>
      <c r="K36" s="426" t="str">
        <f>IF(Electricity[[#This Row],[Month]]&lt;&gt;"",VLOOKUP(Electricity[[#This Row],[Month]], dropdown!$S$4:$T$15, 2, FALSE),"")</f>
        <v/>
      </c>
      <c r="L36" s="197"/>
      <c r="M36" s="246"/>
      <c r="N36" s="247"/>
      <c r="O36" s="199"/>
      <c r="P36" s="48"/>
      <c r="Q36" s="20"/>
    </row>
    <row r="37" spans="9:17" x14ac:dyDescent="0.2">
      <c r="I37" s="194" t="str">
        <f t="shared" si="0"/>
        <v/>
      </c>
      <c r="J37" s="196"/>
      <c r="K37" s="426" t="str">
        <f>IF(Electricity[[#This Row],[Month]]&lt;&gt;"",VLOOKUP(Electricity[[#This Row],[Month]], dropdown!$S$4:$T$15, 2, FALSE),"")</f>
        <v/>
      </c>
      <c r="L37" s="197"/>
      <c r="M37" s="246"/>
      <c r="N37" s="247"/>
      <c r="O37" s="199"/>
      <c r="P37" s="48"/>
      <c r="Q37" s="20"/>
    </row>
    <row r="38" spans="9:17" x14ac:dyDescent="0.2">
      <c r="I38" s="194" t="str">
        <f t="shared" si="0"/>
        <v/>
      </c>
      <c r="J38" s="196"/>
      <c r="K38" s="426" t="str">
        <f>IF(Electricity[[#This Row],[Month]]&lt;&gt;"",VLOOKUP(Electricity[[#This Row],[Month]], dropdown!$S$4:$T$15, 2, FALSE),"")</f>
        <v/>
      </c>
      <c r="L38" s="197"/>
      <c r="M38" s="246"/>
      <c r="N38" s="247"/>
      <c r="O38" s="199"/>
      <c r="P38" s="48"/>
      <c r="Q38" s="20"/>
    </row>
    <row r="39" spans="9:17" x14ac:dyDescent="0.2">
      <c r="I39" s="194" t="str">
        <f t="shared" si="0"/>
        <v/>
      </c>
      <c r="J39" s="196"/>
      <c r="K39" s="426" t="str">
        <f>IF(Electricity[[#This Row],[Month]]&lt;&gt;"",VLOOKUP(Electricity[[#This Row],[Month]], dropdown!$S$4:$T$15, 2, FALSE),"")</f>
        <v/>
      </c>
      <c r="L39" s="197"/>
      <c r="M39" s="246"/>
      <c r="N39" s="247"/>
      <c r="O39" s="199"/>
      <c r="P39" s="48"/>
      <c r="Q39" s="20"/>
    </row>
    <row r="40" spans="9:17" x14ac:dyDescent="0.2">
      <c r="I40" s="194" t="str">
        <f t="shared" si="0"/>
        <v/>
      </c>
      <c r="J40" s="196"/>
      <c r="K40" s="426" t="str">
        <f>IF(Electricity[[#This Row],[Month]]&lt;&gt;"",VLOOKUP(Electricity[[#This Row],[Month]], dropdown!$S$4:$T$15, 2, FALSE),"")</f>
        <v/>
      </c>
      <c r="L40" s="197"/>
      <c r="M40" s="246"/>
      <c r="N40" s="247"/>
      <c r="O40" s="199"/>
      <c r="P40" s="48"/>
      <c r="Q40" s="20"/>
    </row>
    <row r="41" spans="9:17" x14ac:dyDescent="0.2">
      <c r="I41" s="194" t="str">
        <f t="shared" si="0"/>
        <v/>
      </c>
      <c r="J41" s="196"/>
      <c r="K41" s="426" t="str">
        <f>IF(Electricity[[#This Row],[Month]]&lt;&gt;"",VLOOKUP(Electricity[[#This Row],[Month]], dropdown!$S$4:$T$15, 2, FALSE),"")</f>
        <v/>
      </c>
      <c r="L41" s="197"/>
      <c r="M41" s="246"/>
      <c r="N41" s="247"/>
      <c r="O41" s="199"/>
      <c r="P41" s="48"/>
      <c r="Q41" s="20"/>
    </row>
    <row r="42" spans="9:17" x14ac:dyDescent="0.2">
      <c r="I42" s="194" t="str">
        <f t="shared" si="0"/>
        <v/>
      </c>
      <c r="J42" s="196"/>
      <c r="K42" s="426" t="str">
        <f>IF(Electricity[[#This Row],[Month]]&lt;&gt;"",VLOOKUP(Electricity[[#This Row],[Month]], dropdown!$S$4:$T$15, 2, FALSE),"")</f>
        <v/>
      </c>
      <c r="L42" s="197"/>
      <c r="M42" s="246"/>
      <c r="N42" s="247"/>
      <c r="O42" s="199"/>
      <c r="P42" s="48"/>
      <c r="Q42" s="20"/>
    </row>
    <row r="43" spans="9:17" x14ac:dyDescent="0.2">
      <c r="I43" s="194" t="str">
        <f t="shared" si="0"/>
        <v/>
      </c>
      <c r="J43" s="196"/>
      <c r="K43" s="426" t="str">
        <f>IF(Electricity[[#This Row],[Month]]&lt;&gt;"",VLOOKUP(Electricity[[#This Row],[Month]], dropdown!$S$4:$T$15, 2, FALSE),"")</f>
        <v/>
      </c>
      <c r="L43" s="197"/>
      <c r="M43" s="246"/>
      <c r="N43" s="247"/>
      <c r="O43" s="199"/>
      <c r="P43" s="48"/>
      <c r="Q43" s="20"/>
    </row>
    <row r="44" spans="9:17" x14ac:dyDescent="0.2">
      <c r="I44" s="194" t="str">
        <f t="shared" si="0"/>
        <v/>
      </c>
      <c r="J44" s="196"/>
      <c r="K44" s="426" t="str">
        <f>IF(Electricity[[#This Row],[Month]]&lt;&gt;"",VLOOKUP(Electricity[[#This Row],[Month]], dropdown!$S$4:$T$15, 2, FALSE),"")</f>
        <v/>
      </c>
      <c r="L44" s="197"/>
      <c r="M44" s="246"/>
      <c r="N44" s="247"/>
      <c r="O44" s="199"/>
      <c r="P44" s="48"/>
      <c r="Q44" s="20"/>
    </row>
    <row r="45" spans="9:17" x14ac:dyDescent="0.2">
      <c r="I45" s="194" t="str">
        <f t="shared" si="0"/>
        <v/>
      </c>
      <c r="J45" s="196"/>
      <c r="K45" s="426" t="str">
        <f>IF(Electricity[[#This Row],[Month]]&lt;&gt;"",VLOOKUP(Electricity[[#This Row],[Month]], dropdown!$S$4:$T$15, 2, FALSE),"")</f>
        <v/>
      </c>
      <c r="L45" s="197"/>
      <c r="M45" s="246"/>
      <c r="N45" s="247"/>
      <c r="O45" s="199"/>
      <c r="P45" s="48"/>
      <c r="Q45" s="20"/>
    </row>
    <row r="46" spans="9:17" x14ac:dyDescent="0.2">
      <c r="I46" s="194" t="str">
        <f t="shared" si="0"/>
        <v/>
      </c>
      <c r="J46" s="196"/>
      <c r="K46" s="426" t="str">
        <f>IF(Electricity[[#This Row],[Month]]&lt;&gt;"",VLOOKUP(Electricity[[#This Row],[Month]], dropdown!$S$4:$T$15, 2, FALSE),"")</f>
        <v/>
      </c>
      <c r="L46" s="197"/>
      <c r="M46" s="246"/>
      <c r="N46" s="247"/>
      <c r="O46" s="199"/>
      <c r="P46" s="48"/>
      <c r="Q46" s="20"/>
    </row>
    <row r="47" spans="9:17" x14ac:dyDescent="0.2">
      <c r="I47" s="194" t="str">
        <f t="shared" si="0"/>
        <v/>
      </c>
      <c r="J47" s="196"/>
      <c r="K47" s="426" t="str">
        <f>IF(Electricity[[#This Row],[Month]]&lt;&gt;"",VLOOKUP(Electricity[[#This Row],[Month]], dropdown!$S$4:$T$15, 2, FALSE),"")</f>
        <v/>
      </c>
      <c r="L47" s="197"/>
      <c r="M47" s="246"/>
      <c r="N47" s="247"/>
      <c r="O47" s="199"/>
      <c r="P47" s="48"/>
      <c r="Q47" s="20"/>
    </row>
    <row r="48" spans="9:17" x14ac:dyDescent="0.2">
      <c r="I48" s="194" t="str">
        <f t="shared" si="0"/>
        <v/>
      </c>
      <c r="J48" s="196"/>
      <c r="K48" s="426" t="str">
        <f>IF(Electricity[[#This Row],[Month]]&lt;&gt;"",VLOOKUP(Electricity[[#This Row],[Month]], dropdown!$S$4:$T$15, 2, FALSE),"")</f>
        <v/>
      </c>
      <c r="L48" s="197"/>
      <c r="M48" s="246"/>
      <c r="N48" s="247"/>
      <c r="O48" s="199"/>
      <c r="P48" s="48"/>
      <c r="Q48" s="20"/>
    </row>
    <row r="49" spans="9:17" x14ac:dyDescent="0.2">
      <c r="I49" s="194" t="str">
        <f t="shared" si="0"/>
        <v/>
      </c>
      <c r="J49" s="196"/>
      <c r="K49" s="426" t="str">
        <f>IF(Electricity[[#This Row],[Month]]&lt;&gt;"",VLOOKUP(Electricity[[#This Row],[Month]], dropdown!$S$4:$T$15, 2, FALSE),"")</f>
        <v/>
      </c>
      <c r="L49" s="197"/>
      <c r="M49" s="246"/>
      <c r="N49" s="247"/>
      <c r="O49" s="199"/>
      <c r="P49" s="48"/>
      <c r="Q49" s="20"/>
    </row>
    <row r="50" spans="9:17" x14ac:dyDescent="0.2">
      <c r="I50" s="194" t="str">
        <f t="shared" ref="I50:I81" si="1">IF($L50="","",$I49+1)</f>
        <v/>
      </c>
      <c r="J50" s="196"/>
      <c r="K50" s="426" t="str">
        <f>IF(Electricity[[#This Row],[Month]]&lt;&gt;"",VLOOKUP(Electricity[[#This Row],[Month]], dropdown!$S$4:$T$15, 2, FALSE),"")</f>
        <v/>
      </c>
      <c r="L50" s="197"/>
      <c r="M50" s="246"/>
      <c r="N50" s="247"/>
      <c r="O50" s="199"/>
      <c r="P50" s="48"/>
      <c r="Q50" s="20"/>
    </row>
    <row r="51" spans="9:17" x14ac:dyDescent="0.2">
      <c r="I51" s="194" t="str">
        <f t="shared" si="1"/>
        <v/>
      </c>
      <c r="J51" s="196"/>
      <c r="K51" s="426" t="str">
        <f>IF(Electricity[[#This Row],[Month]]&lt;&gt;"",VLOOKUP(Electricity[[#This Row],[Month]], dropdown!$S$4:$T$15, 2, FALSE),"")</f>
        <v/>
      </c>
      <c r="L51" s="197"/>
      <c r="M51" s="246"/>
      <c r="N51" s="247"/>
      <c r="O51" s="199"/>
      <c r="P51" s="48"/>
      <c r="Q51" s="20"/>
    </row>
    <row r="52" spans="9:17" x14ac:dyDescent="0.2">
      <c r="I52" s="194" t="str">
        <f t="shared" si="1"/>
        <v/>
      </c>
      <c r="J52" s="196"/>
      <c r="K52" s="426" t="str">
        <f>IF(Electricity[[#This Row],[Month]]&lt;&gt;"",VLOOKUP(Electricity[[#This Row],[Month]], dropdown!$S$4:$T$15, 2, FALSE),"")</f>
        <v/>
      </c>
      <c r="L52" s="197"/>
      <c r="M52" s="246"/>
      <c r="N52" s="247"/>
      <c r="O52" s="199"/>
      <c r="P52" s="48"/>
      <c r="Q52" s="20"/>
    </row>
    <row r="53" spans="9:17" x14ac:dyDescent="0.2">
      <c r="I53" s="194" t="str">
        <f t="shared" si="1"/>
        <v/>
      </c>
      <c r="J53" s="196"/>
      <c r="K53" s="426" t="str">
        <f>IF(Electricity[[#This Row],[Month]]&lt;&gt;"",VLOOKUP(Electricity[[#This Row],[Month]], dropdown!$S$4:$T$15, 2, FALSE),"")</f>
        <v/>
      </c>
      <c r="L53" s="197"/>
      <c r="M53" s="246"/>
      <c r="N53" s="247"/>
      <c r="O53" s="199"/>
      <c r="P53" s="48"/>
      <c r="Q53" s="20"/>
    </row>
    <row r="54" spans="9:17" x14ac:dyDescent="0.2">
      <c r="I54" s="194" t="str">
        <f t="shared" si="1"/>
        <v/>
      </c>
      <c r="J54" s="196"/>
      <c r="K54" s="426" t="str">
        <f>IF(Electricity[[#This Row],[Month]]&lt;&gt;"",VLOOKUP(Electricity[[#This Row],[Month]], dropdown!$S$4:$T$15, 2, FALSE),"")</f>
        <v/>
      </c>
      <c r="L54" s="197"/>
      <c r="M54" s="246"/>
      <c r="N54" s="247"/>
      <c r="O54" s="199"/>
      <c r="P54" s="48"/>
      <c r="Q54" s="20"/>
    </row>
    <row r="55" spans="9:17" x14ac:dyDescent="0.2">
      <c r="I55" s="194" t="str">
        <f t="shared" si="1"/>
        <v/>
      </c>
      <c r="J55" s="196"/>
      <c r="K55" s="426" t="str">
        <f>IF(Electricity[[#This Row],[Month]]&lt;&gt;"",VLOOKUP(Electricity[[#This Row],[Month]], dropdown!$S$4:$T$15, 2, FALSE),"")</f>
        <v/>
      </c>
      <c r="L55" s="197"/>
      <c r="M55" s="246"/>
      <c r="N55" s="247"/>
      <c r="O55" s="199"/>
      <c r="P55" s="48"/>
      <c r="Q55" s="20"/>
    </row>
    <row r="56" spans="9:17" x14ac:dyDescent="0.2">
      <c r="I56" s="194" t="str">
        <f t="shared" si="1"/>
        <v/>
      </c>
      <c r="J56" s="196"/>
      <c r="K56" s="426" t="str">
        <f>IF(Electricity[[#This Row],[Month]]&lt;&gt;"",VLOOKUP(Electricity[[#This Row],[Month]], dropdown!$S$4:$T$15, 2, FALSE),"")</f>
        <v/>
      </c>
      <c r="L56" s="197"/>
      <c r="M56" s="246"/>
      <c r="N56" s="247"/>
      <c r="O56" s="199"/>
      <c r="P56" s="48"/>
      <c r="Q56" s="20"/>
    </row>
    <row r="57" spans="9:17" x14ac:dyDescent="0.2">
      <c r="I57" s="194" t="str">
        <f t="shared" si="1"/>
        <v/>
      </c>
      <c r="J57" s="196"/>
      <c r="K57" s="426" t="str">
        <f>IF(Electricity[[#This Row],[Month]]&lt;&gt;"",VLOOKUP(Electricity[[#This Row],[Month]], dropdown!$S$4:$T$15, 2, FALSE),"")</f>
        <v/>
      </c>
      <c r="L57" s="197"/>
      <c r="M57" s="246"/>
      <c r="N57" s="247"/>
      <c r="O57" s="199"/>
      <c r="P57" s="48"/>
      <c r="Q57" s="20"/>
    </row>
    <row r="58" spans="9:17" x14ac:dyDescent="0.2">
      <c r="I58" s="194" t="str">
        <f t="shared" si="1"/>
        <v/>
      </c>
      <c r="J58" s="196"/>
      <c r="K58" s="426" t="str">
        <f>IF(Electricity[[#This Row],[Month]]&lt;&gt;"",VLOOKUP(Electricity[[#This Row],[Month]], dropdown!$S$4:$T$15, 2, FALSE),"")</f>
        <v/>
      </c>
      <c r="L58" s="197"/>
      <c r="M58" s="246"/>
      <c r="N58" s="247"/>
      <c r="O58" s="199"/>
      <c r="P58" s="48"/>
      <c r="Q58" s="20"/>
    </row>
    <row r="59" spans="9:17" x14ac:dyDescent="0.2">
      <c r="I59" s="194" t="str">
        <f t="shared" si="1"/>
        <v/>
      </c>
      <c r="J59" s="196"/>
      <c r="K59" s="426" t="str">
        <f>IF(Electricity[[#This Row],[Month]]&lt;&gt;"",VLOOKUP(Electricity[[#This Row],[Month]], dropdown!$S$4:$T$15, 2, FALSE),"")</f>
        <v/>
      </c>
      <c r="L59" s="197"/>
      <c r="M59" s="246"/>
      <c r="N59" s="247"/>
      <c r="O59" s="199"/>
      <c r="P59" s="48"/>
      <c r="Q59" s="20"/>
    </row>
    <row r="60" spans="9:17" x14ac:dyDescent="0.2">
      <c r="I60" s="194" t="str">
        <f t="shared" si="1"/>
        <v/>
      </c>
      <c r="J60" s="196"/>
      <c r="K60" s="426" t="str">
        <f>IF(Electricity[[#This Row],[Month]]&lt;&gt;"",VLOOKUP(Electricity[[#This Row],[Month]], dropdown!$S$4:$T$15, 2, FALSE),"")</f>
        <v/>
      </c>
      <c r="L60" s="197"/>
      <c r="M60" s="246"/>
      <c r="N60" s="247"/>
      <c r="O60" s="199"/>
      <c r="P60" s="48"/>
      <c r="Q60" s="20"/>
    </row>
    <row r="61" spans="9:17" x14ac:dyDescent="0.2">
      <c r="I61" s="194" t="str">
        <f t="shared" si="1"/>
        <v/>
      </c>
      <c r="J61" s="196"/>
      <c r="K61" s="426" t="str">
        <f>IF(Electricity[[#This Row],[Month]]&lt;&gt;"",VLOOKUP(Electricity[[#This Row],[Month]], dropdown!$S$4:$T$15, 2, FALSE),"")</f>
        <v/>
      </c>
      <c r="L61" s="197"/>
      <c r="M61" s="246"/>
      <c r="N61" s="247"/>
      <c r="O61" s="199"/>
      <c r="P61" s="48"/>
      <c r="Q61" s="20"/>
    </row>
    <row r="62" spans="9:17" x14ac:dyDescent="0.2">
      <c r="I62" s="194" t="str">
        <f t="shared" si="1"/>
        <v/>
      </c>
      <c r="J62" s="196"/>
      <c r="K62" s="426" t="str">
        <f>IF(Electricity[[#This Row],[Month]]&lt;&gt;"",VLOOKUP(Electricity[[#This Row],[Month]], dropdown!$S$4:$T$15, 2, FALSE),"")</f>
        <v/>
      </c>
      <c r="L62" s="197"/>
      <c r="M62" s="246"/>
      <c r="N62" s="247"/>
      <c r="O62" s="199"/>
      <c r="P62" s="48"/>
      <c r="Q62" s="20"/>
    </row>
    <row r="63" spans="9:17" x14ac:dyDescent="0.2">
      <c r="I63" s="194" t="str">
        <f t="shared" si="1"/>
        <v/>
      </c>
      <c r="J63" s="196"/>
      <c r="K63" s="426" t="str">
        <f>IF(Electricity[[#This Row],[Month]]&lt;&gt;"",VLOOKUP(Electricity[[#This Row],[Month]], dropdown!$S$4:$T$15, 2, FALSE),"")</f>
        <v/>
      </c>
      <c r="L63" s="197"/>
      <c r="M63" s="246"/>
      <c r="N63" s="247"/>
      <c r="O63" s="199"/>
      <c r="P63" s="48"/>
      <c r="Q63" s="20"/>
    </row>
    <row r="64" spans="9:17" x14ac:dyDescent="0.2">
      <c r="I64" s="194" t="str">
        <f t="shared" si="1"/>
        <v/>
      </c>
      <c r="J64" s="196"/>
      <c r="K64" s="426" t="str">
        <f>IF(Electricity[[#This Row],[Month]]&lt;&gt;"",VLOOKUP(Electricity[[#This Row],[Month]], dropdown!$S$4:$T$15, 2, FALSE),"")</f>
        <v/>
      </c>
      <c r="L64" s="197"/>
      <c r="M64" s="246"/>
      <c r="N64" s="247"/>
      <c r="O64" s="199"/>
      <c r="P64" s="48"/>
      <c r="Q64" s="20"/>
    </row>
    <row r="65" spans="9:17" x14ac:dyDescent="0.2">
      <c r="I65" s="194" t="str">
        <f t="shared" si="1"/>
        <v/>
      </c>
      <c r="J65" s="196"/>
      <c r="K65" s="426" t="str">
        <f>IF(Electricity[[#This Row],[Month]]&lt;&gt;"",VLOOKUP(Electricity[[#This Row],[Month]], dropdown!$S$4:$T$15, 2, FALSE),"")</f>
        <v/>
      </c>
      <c r="L65" s="197"/>
      <c r="M65" s="246"/>
      <c r="N65" s="247"/>
      <c r="O65" s="199"/>
      <c r="P65" s="48"/>
      <c r="Q65" s="20"/>
    </row>
    <row r="66" spans="9:17" x14ac:dyDescent="0.2">
      <c r="I66" s="194" t="str">
        <f t="shared" si="1"/>
        <v/>
      </c>
      <c r="J66" s="196"/>
      <c r="K66" s="426" t="str">
        <f>IF(Electricity[[#This Row],[Month]]&lt;&gt;"",VLOOKUP(Electricity[[#This Row],[Month]], dropdown!$S$4:$T$15, 2, FALSE),"")</f>
        <v/>
      </c>
      <c r="L66" s="197"/>
      <c r="M66" s="246"/>
      <c r="N66" s="247"/>
      <c r="O66" s="199"/>
      <c r="P66" s="48"/>
      <c r="Q66" s="20"/>
    </row>
    <row r="67" spans="9:17" x14ac:dyDescent="0.2">
      <c r="I67" s="194" t="str">
        <f t="shared" si="1"/>
        <v/>
      </c>
      <c r="J67" s="196"/>
      <c r="K67" s="426" t="str">
        <f>IF(Electricity[[#This Row],[Month]]&lt;&gt;"",VLOOKUP(Electricity[[#This Row],[Month]], dropdown!$S$4:$T$15, 2, FALSE),"")</f>
        <v/>
      </c>
      <c r="L67" s="197"/>
      <c r="M67" s="246"/>
      <c r="N67" s="247"/>
      <c r="O67" s="199"/>
      <c r="P67" s="48"/>
      <c r="Q67" s="20"/>
    </row>
    <row r="68" spans="9:17" x14ac:dyDescent="0.2">
      <c r="I68" s="194" t="str">
        <f t="shared" si="1"/>
        <v/>
      </c>
      <c r="J68" s="196"/>
      <c r="K68" s="426" t="str">
        <f>IF(Electricity[[#This Row],[Month]]&lt;&gt;"",VLOOKUP(Electricity[[#This Row],[Month]], dropdown!$S$4:$T$15, 2, FALSE),"")</f>
        <v/>
      </c>
      <c r="L68" s="197"/>
      <c r="M68" s="246"/>
      <c r="N68" s="247"/>
      <c r="O68" s="199"/>
      <c r="P68" s="48"/>
      <c r="Q68" s="20"/>
    </row>
    <row r="69" spans="9:17" x14ac:dyDescent="0.2">
      <c r="I69" s="194" t="str">
        <f t="shared" si="1"/>
        <v/>
      </c>
      <c r="J69" s="196"/>
      <c r="K69" s="426" t="str">
        <f>IF(Electricity[[#This Row],[Month]]&lt;&gt;"",VLOOKUP(Electricity[[#This Row],[Month]], dropdown!$S$4:$T$15, 2, FALSE),"")</f>
        <v/>
      </c>
      <c r="L69" s="197"/>
      <c r="M69" s="246"/>
      <c r="N69" s="247"/>
      <c r="O69" s="199"/>
      <c r="P69" s="48"/>
      <c r="Q69" s="20"/>
    </row>
    <row r="70" spans="9:17" x14ac:dyDescent="0.2">
      <c r="I70" s="194" t="str">
        <f t="shared" si="1"/>
        <v/>
      </c>
      <c r="J70" s="196"/>
      <c r="K70" s="426" t="str">
        <f>IF(Electricity[[#This Row],[Month]]&lt;&gt;"",VLOOKUP(Electricity[[#This Row],[Month]], dropdown!$S$4:$T$15, 2, FALSE),"")</f>
        <v/>
      </c>
      <c r="L70" s="197"/>
      <c r="M70" s="246"/>
      <c r="N70" s="247"/>
      <c r="O70" s="199"/>
      <c r="P70" s="48"/>
      <c r="Q70" s="20"/>
    </row>
    <row r="71" spans="9:17" x14ac:dyDescent="0.2">
      <c r="I71" s="194" t="str">
        <f t="shared" si="1"/>
        <v/>
      </c>
      <c r="J71" s="196"/>
      <c r="K71" s="426" t="str">
        <f>IF(Electricity[[#This Row],[Month]]&lt;&gt;"",VLOOKUP(Electricity[[#This Row],[Month]], dropdown!$S$4:$T$15, 2, FALSE),"")</f>
        <v/>
      </c>
      <c r="L71" s="197"/>
      <c r="M71" s="246"/>
      <c r="N71" s="247"/>
      <c r="O71" s="199"/>
      <c r="P71" s="48"/>
      <c r="Q71" s="20"/>
    </row>
    <row r="72" spans="9:17" x14ac:dyDescent="0.2">
      <c r="I72" s="194" t="str">
        <f t="shared" si="1"/>
        <v/>
      </c>
      <c r="J72" s="196"/>
      <c r="K72" s="426" t="str">
        <f>IF(Electricity[[#This Row],[Month]]&lt;&gt;"",VLOOKUP(Electricity[[#This Row],[Month]], dropdown!$S$4:$T$15, 2, FALSE),"")</f>
        <v/>
      </c>
      <c r="L72" s="197"/>
      <c r="M72" s="246"/>
      <c r="N72" s="247"/>
      <c r="O72" s="199"/>
      <c r="P72" s="48"/>
      <c r="Q72" s="20"/>
    </row>
    <row r="73" spans="9:17" x14ac:dyDescent="0.2">
      <c r="I73" s="194" t="str">
        <f t="shared" si="1"/>
        <v/>
      </c>
      <c r="J73" s="196"/>
      <c r="K73" s="426" t="str">
        <f>IF(Electricity[[#This Row],[Month]]&lt;&gt;"",VLOOKUP(Electricity[[#This Row],[Month]], dropdown!$S$4:$T$15, 2, FALSE),"")</f>
        <v/>
      </c>
      <c r="L73" s="197"/>
      <c r="M73" s="246"/>
      <c r="N73" s="247"/>
      <c r="O73" s="199"/>
      <c r="P73" s="48"/>
      <c r="Q73" s="20"/>
    </row>
    <row r="74" spans="9:17" x14ac:dyDescent="0.2">
      <c r="I74" s="194" t="str">
        <f t="shared" si="1"/>
        <v/>
      </c>
      <c r="J74" s="196"/>
      <c r="K74" s="426" t="str">
        <f>IF(Electricity[[#This Row],[Month]]&lt;&gt;"",VLOOKUP(Electricity[[#This Row],[Month]], dropdown!$S$4:$T$15, 2, FALSE),"")</f>
        <v/>
      </c>
      <c r="L74" s="197"/>
      <c r="M74" s="246"/>
      <c r="N74" s="247"/>
      <c r="O74" s="199"/>
      <c r="P74" s="48"/>
      <c r="Q74" s="20"/>
    </row>
    <row r="75" spans="9:17" x14ac:dyDescent="0.2">
      <c r="I75" s="194" t="str">
        <f t="shared" si="1"/>
        <v/>
      </c>
      <c r="J75" s="196"/>
      <c r="K75" s="426" t="str">
        <f>IF(Electricity[[#This Row],[Month]]&lt;&gt;"",VLOOKUP(Electricity[[#This Row],[Month]], dropdown!$S$4:$T$15, 2, FALSE),"")</f>
        <v/>
      </c>
      <c r="L75" s="197"/>
      <c r="M75" s="246"/>
      <c r="N75" s="247"/>
      <c r="O75" s="199"/>
      <c r="P75" s="48"/>
      <c r="Q75" s="20"/>
    </row>
    <row r="76" spans="9:17" x14ac:dyDescent="0.2">
      <c r="I76" s="194" t="str">
        <f t="shared" si="1"/>
        <v/>
      </c>
      <c r="J76" s="196"/>
      <c r="K76" s="426" t="str">
        <f>IF(Electricity[[#This Row],[Month]]&lt;&gt;"",VLOOKUP(Electricity[[#This Row],[Month]], dropdown!$S$4:$T$15, 2, FALSE),"")</f>
        <v/>
      </c>
      <c r="L76" s="197"/>
      <c r="M76" s="246"/>
      <c r="N76" s="247"/>
      <c r="O76" s="199"/>
      <c r="P76" s="48"/>
      <c r="Q76" s="20"/>
    </row>
    <row r="77" spans="9:17" x14ac:dyDescent="0.2">
      <c r="I77" s="194" t="str">
        <f t="shared" si="1"/>
        <v/>
      </c>
      <c r="J77" s="196"/>
      <c r="K77" s="426" t="str">
        <f>IF(Electricity[[#This Row],[Month]]&lt;&gt;"",VLOOKUP(Electricity[[#This Row],[Month]], dropdown!$S$4:$T$15, 2, FALSE),"")</f>
        <v/>
      </c>
      <c r="L77" s="197"/>
      <c r="M77" s="246"/>
      <c r="N77" s="247"/>
      <c r="O77" s="199"/>
      <c r="P77" s="48"/>
      <c r="Q77" s="20"/>
    </row>
    <row r="78" spans="9:17" x14ac:dyDescent="0.2">
      <c r="I78" s="194" t="str">
        <f t="shared" si="1"/>
        <v/>
      </c>
      <c r="J78" s="196"/>
      <c r="K78" s="426" t="str">
        <f>IF(Electricity[[#This Row],[Month]]&lt;&gt;"",VLOOKUP(Electricity[[#This Row],[Month]], dropdown!$S$4:$T$15, 2, FALSE),"")</f>
        <v/>
      </c>
      <c r="L78" s="197"/>
      <c r="M78" s="246"/>
      <c r="N78" s="247"/>
      <c r="O78" s="199"/>
      <c r="P78" s="48"/>
      <c r="Q78" s="20"/>
    </row>
    <row r="79" spans="9:17" x14ac:dyDescent="0.2">
      <c r="I79" s="194" t="str">
        <f t="shared" si="1"/>
        <v/>
      </c>
      <c r="J79" s="196"/>
      <c r="K79" s="426" t="str">
        <f>IF(Electricity[[#This Row],[Month]]&lt;&gt;"",VLOOKUP(Electricity[[#This Row],[Month]], dropdown!$S$4:$T$15, 2, FALSE),"")</f>
        <v/>
      </c>
      <c r="L79" s="197"/>
      <c r="M79" s="246"/>
      <c r="N79" s="247"/>
      <c r="O79" s="199"/>
      <c r="P79" s="48"/>
      <c r="Q79" s="20"/>
    </row>
    <row r="80" spans="9:17" x14ac:dyDescent="0.2">
      <c r="I80" s="194" t="str">
        <f t="shared" si="1"/>
        <v/>
      </c>
      <c r="J80" s="196"/>
      <c r="K80" s="426" t="str">
        <f>IF(Electricity[[#This Row],[Month]]&lt;&gt;"",VLOOKUP(Electricity[[#This Row],[Month]], dropdown!$S$4:$T$15, 2, FALSE),"")</f>
        <v/>
      </c>
      <c r="L80" s="197"/>
      <c r="M80" s="246"/>
      <c r="N80" s="247"/>
      <c r="O80" s="199"/>
      <c r="P80" s="48"/>
      <c r="Q80" s="20"/>
    </row>
    <row r="81" spans="9:17" x14ac:dyDescent="0.2">
      <c r="I81" s="194" t="str">
        <f t="shared" si="1"/>
        <v/>
      </c>
      <c r="J81" s="196"/>
      <c r="K81" s="426" t="str">
        <f>IF(Electricity[[#This Row],[Month]]&lt;&gt;"",VLOOKUP(Electricity[[#This Row],[Month]], dropdown!$S$4:$T$15, 2, FALSE),"")</f>
        <v/>
      </c>
      <c r="L81" s="197"/>
      <c r="M81" s="246"/>
      <c r="N81" s="247"/>
      <c r="O81" s="199"/>
      <c r="P81" s="48"/>
      <c r="Q81" s="20"/>
    </row>
    <row r="82" spans="9:17" x14ac:dyDescent="0.2">
      <c r="I82" s="194" t="str">
        <f t="shared" ref="I82:I107" si="2">IF($L82="","",$I81+1)</f>
        <v/>
      </c>
      <c r="J82" s="196"/>
      <c r="K82" s="426" t="str">
        <f>IF(Electricity[[#This Row],[Month]]&lt;&gt;"",VLOOKUP(Electricity[[#This Row],[Month]], dropdown!$S$4:$T$15, 2, FALSE),"")</f>
        <v/>
      </c>
      <c r="L82" s="197"/>
      <c r="M82" s="246"/>
      <c r="N82" s="247"/>
      <c r="O82" s="199"/>
      <c r="P82" s="48"/>
      <c r="Q82" s="20"/>
    </row>
    <row r="83" spans="9:17" x14ac:dyDescent="0.2">
      <c r="I83" s="194" t="str">
        <f t="shared" si="2"/>
        <v/>
      </c>
      <c r="J83" s="196"/>
      <c r="K83" s="426" t="str">
        <f>IF(Electricity[[#This Row],[Month]]&lt;&gt;"",VLOOKUP(Electricity[[#This Row],[Month]], dropdown!$S$4:$T$15, 2, FALSE),"")</f>
        <v/>
      </c>
      <c r="L83" s="197"/>
      <c r="M83" s="246"/>
      <c r="N83" s="247"/>
      <c r="O83" s="199"/>
      <c r="P83" s="48"/>
      <c r="Q83" s="20"/>
    </row>
    <row r="84" spans="9:17" x14ac:dyDescent="0.2">
      <c r="I84" s="194" t="str">
        <f t="shared" si="2"/>
        <v/>
      </c>
      <c r="J84" s="196"/>
      <c r="K84" s="426" t="str">
        <f>IF(Electricity[[#This Row],[Month]]&lt;&gt;"",VLOOKUP(Electricity[[#This Row],[Month]], dropdown!$S$4:$T$15, 2, FALSE),"")</f>
        <v/>
      </c>
      <c r="L84" s="197"/>
      <c r="M84" s="246"/>
      <c r="N84" s="247"/>
      <c r="O84" s="199"/>
      <c r="P84" s="48"/>
      <c r="Q84" s="20"/>
    </row>
    <row r="85" spans="9:17" x14ac:dyDescent="0.2">
      <c r="I85" s="194" t="str">
        <f t="shared" si="2"/>
        <v/>
      </c>
      <c r="J85" s="196"/>
      <c r="K85" s="426" t="str">
        <f>IF(Electricity[[#This Row],[Month]]&lt;&gt;"",VLOOKUP(Electricity[[#This Row],[Month]], dropdown!$S$4:$T$15, 2, FALSE),"")</f>
        <v/>
      </c>
      <c r="L85" s="197"/>
      <c r="M85" s="246"/>
      <c r="N85" s="247"/>
      <c r="O85" s="199"/>
      <c r="P85" s="48"/>
      <c r="Q85" s="20"/>
    </row>
    <row r="86" spans="9:17" x14ac:dyDescent="0.2">
      <c r="I86" s="194" t="str">
        <f t="shared" si="2"/>
        <v/>
      </c>
      <c r="J86" s="196"/>
      <c r="K86" s="426" t="str">
        <f>IF(Electricity[[#This Row],[Month]]&lt;&gt;"",VLOOKUP(Electricity[[#This Row],[Month]], dropdown!$S$4:$T$15, 2, FALSE),"")</f>
        <v/>
      </c>
      <c r="L86" s="197"/>
      <c r="M86" s="246"/>
      <c r="N86" s="247"/>
      <c r="O86" s="199"/>
      <c r="P86" s="48"/>
      <c r="Q86" s="20"/>
    </row>
    <row r="87" spans="9:17" x14ac:dyDescent="0.2">
      <c r="I87" s="194" t="str">
        <f t="shared" si="2"/>
        <v/>
      </c>
      <c r="J87" s="196"/>
      <c r="K87" s="426" t="str">
        <f>IF(Electricity[[#This Row],[Month]]&lt;&gt;"",VLOOKUP(Electricity[[#This Row],[Month]], dropdown!$S$4:$T$15, 2, FALSE),"")</f>
        <v/>
      </c>
      <c r="L87" s="197"/>
      <c r="M87" s="246"/>
      <c r="N87" s="247"/>
      <c r="O87" s="199"/>
      <c r="P87" s="48"/>
      <c r="Q87" s="20"/>
    </row>
    <row r="88" spans="9:17" x14ac:dyDescent="0.2">
      <c r="I88" s="194" t="str">
        <f t="shared" si="2"/>
        <v/>
      </c>
      <c r="J88" s="196"/>
      <c r="K88" s="426" t="str">
        <f>IF(Electricity[[#This Row],[Month]]&lt;&gt;"",VLOOKUP(Electricity[[#This Row],[Month]], dropdown!$S$4:$T$15, 2, FALSE),"")</f>
        <v/>
      </c>
      <c r="L88" s="197"/>
      <c r="M88" s="246"/>
      <c r="N88" s="247"/>
      <c r="O88" s="199"/>
      <c r="P88" s="48"/>
      <c r="Q88" s="20"/>
    </row>
    <row r="89" spans="9:17" x14ac:dyDescent="0.2">
      <c r="I89" s="194" t="str">
        <f t="shared" si="2"/>
        <v/>
      </c>
      <c r="J89" s="196"/>
      <c r="K89" s="426" t="str">
        <f>IF(Electricity[[#This Row],[Month]]&lt;&gt;"",VLOOKUP(Electricity[[#This Row],[Month]], dropdown!$S$4:$T$15, 2, FALSE),"")</f>
        <v/>
      </c>
      <c r="L89" s="197"/>
      <c r="M89" s="246"/>
      <c r="N89" s="247"/>
      <c r="O89" s="199"/>
      <c r="P89" s="48"/>
      <c r="Q89" s="20"/>
    </row>
    <row r="90" spans="9:17" x14ac:dyDescent="0.2">
      <c r="I90" s="194" t="str">
        <f t="shared" si="2"/>
        <v/>
      </c>
      <c r="J90" s="196"/>
      <c r="K90" s="426" t="str">
        <f>IF(Electricity[[#This Row],[Month]]&lt;&gt;"",VLOOKUP(Electricity[[#This Row],[Month]], dropdown!$S$4:$T$15, 2, FALSE),"")</f>
        <v/>
      </c>
      <c r="L90" s="197"/>
      <c r="M90" s="246"/>
      <c r="N90" s="247"/>
      <c r="O90" s="199"/>
      <c r="P90" s="48"/>
      <c r="Q90" s="20"/>
    </row>
    <row r="91" spans="9:17" x14ac:dyDescent="0.2">
      <c r="I91" s="194" t="str">
        <f t="shared" si="2"/>
        <v/>
      </c>
      <c r="J91" s="196"/>
      <c r="K91" s="426" t="str">
        <f>IF(Electricity[[#This Row],[Month]]&lt;&gt;"",VLOOKUP(Electricity[[#This Row],[Month]], dropdown!$S$4:$T$15, 2, FALSE),"")</f>
        <v/>
      </c>
      <c r="L91" s="197"/>
      <c r="M91" s="246"/>
      <c r="N91" s="247"/>
      <c r="O91" s="199"/>
      <c r="P91" s="48"/>
      <c r="Q91" s="20"/>
    </row>
    <row r="92" spans="9:17" x14ac:dyDescent="0.2">
      <c r="I92" s="194" t="str">
        <f t="shared" si="2"/>
        <v/>
      </c>
      <c r="J92" s="196"/>
      <c r="K92" s="426" t="str">
        <f>IF(Electricity[[#This Row],[Month]]&lt;&gt;"",VLOOKUP(Electricity[[#This Row],[Month]], dropdown!$S$4:$T$15, 2, FALSE),"")</f>
        <v/>
      </c>
      <c r="L92" s="197"/>
      <c r="M92" s="246"/>
      <c r="N92" s="247"/>
      <c r="O92" s="199"/>
      <c r="P92" s="48"/>
      <c r="Q92" s="20"/>
    </row>
    <row r="93" spans="9:17" x14ac:dyDescent="0.2">
      <c r="I93" s="194" t="str">
        <f t="shared" si="2"/>
        <v/>
      </c>
      <c r="J93" s="196"/>
      <c r="K93" s="426" t="str">
        <f>IF(Electricity[[#This Row],[Month]]&lt;&gt;"",VLOOKUP(Electricity[[#This Row],[Month]], dropdown!$S$4:$T$15, 2, FALSE),"")</f>
        <v/>
      </c>
      <c r="L93" s="197"/>
      <c r="M93" s="246"/>
      <c r="N93" s="247"/>
      <c r="O93" s="199"/>
      <c r="P93" s="48"/>
      <c r="Q93" s="20"/>
    </row>
    <row r="94" spans="9:17" x14ac:dyDescent="0.2">
      <c r="I94" s="194" t="str">
        <f t="shared" si="2"/>
        <v/>
      </c>
      <c r="J94" s="196"/>
      <c r="K94" s="426" t="str">
        <f>IF(Electricity[[#This Row],[Month]]&lt;&gt;"",VLOOKUP(Electricity[[#This Row],[Month]], dropdown!$S$4:$T$15, 2, FALSE),"")</f>
        <v/>
      </c>
      <c r="L94" s="197"/>
      <c r="M94" s="246"/>
      <c r="N94" s="247"/>
      <c r="O94" s="199"/>
      <c r="P94" s="48"/>
      <c r="Q94" s="20"/>
    </row>
    <row r="95" spans="9:17" x14ac:dyDescent="0.2">
      <c r="I95" s="194" t="str">
        <f t="shared" si="2"/>
        <v/>
      </c>
      <c r="J95" s="196"/>
      <c r="K95" s="426" t="str">
        <f>IF(Electricity[[#This Row],[Month]]&lt;&gt;"",VLOOKUP(Electricity[[#This Row],[Month]], dropdown!$S$4:$T$15, 2, FALSE),"")</f>
        <v/>
      </c>
      <c r="L95" s="197"/>
      <c r="M95" s="246"/>
      <c r="N95" s="247"/>
      <c r="O95" s="199"/>
      <c r="P95" s="48"/>
      <c r="Q95" s="20"/>
    </row>
    <row r="96" spans="9:17" x14ac:dyDescent="0.2">
      <c r="I96" s="194" t="str">
        <f t="shared" si="2"/>
        <v/>
      </c>
      <c r="J96" s="196"/>
      <c r="K96" s="426" t="str">
        <f>IF(Electricity[[#This Row],[Month]]&lt;&gt;"",VLOOKUP(Electricity[[#This Row],[Month]], dropdown!$S$4:$T$15, 2, FALSE),"")</f>
        <v/>
      </c>
      <c r="L96" s="197"/>
      <c r="M96" s="246"/>
      <c r="N96" s="247"/>
      <c r="O96" s="199"/>
      <c r="P96" s="48"/>
      <c r="Q96" s="20"/>
    </row>
    <row r="97" spans="9:17" x14ac:dyDescent="0.2">
      <c r="I97" s="194" t="str">
        <f t="shared" si="2"/>
        <v/>
      </c>
      <c r="J97" s="196"/>
      <c r="K97" s="426" t="str">
        <f>IF(Electricity[[#This Row],[Month]]&lt;&gt;"",VLOOKUP(Electricity[[#This Row],[Month]], dropdown!$S$4:$T$15, 2, FALSE),"")</f>
        <v/>
      </c>
      <c r="L97" s="197"/>
      <c r="M97" s="246"/>
      <c r="N97" s="247"/>
      <c r="O97" s="199"/>
      <c r="P97" s="48"/>
      <c r="Q97" s="20"/>
    </row>
    <row r="98" spans="9:17" x14ac:dyDescent="0.2">
      <c r="I98" s="194" t="str">
        <f t="shared" si="2"/>
        <v/>
      </c>
      <c r="J98" s="196"/>
      <c r="K98" s="426" t="str">
        <f>IF(Electricity[[#This Row],[Month]]&lt;&gt;"",VLOOKUP(Electricity[[#This Row],[Month]], dropdown!$S$4:$T$15, 2, FALSE),"")</f>
        <v/>
      </c>
      <c r="L98" s="197"/>
      <c r="M98" s="246"/>
      <c r="N98" s="247"/>
      <c r="O98" s="199"/>
      <c r="P98" s="48"/>
      <c r="Q98" s="20"/>
    </row>
    <row r="99" spans="9:17" x14ac:dyDescent="0.2">
      <c r="I99" s="194" t="str">
        <f t="shared" si="2"/>
        <v/>
      </c>
      <c r="J99" s="196"/>
      <c r="K99" s="426" t="str">
        <f>IF(Electricity[[#This Row],[Month]]&lt;&gt;"",VLOOKUP(Electricity[[#This Row],[Month]], dropdown!$S$4:$T$15, 2, FALSE),"")</f>
        <v/>
      </c>
      <c r="L99" s="197"/>
      <c r="M99" s="246"/>
      <c r="N99" s="247"/>
      <c r="O99" s="199"/>
      <c r="P99" s="48"/>
      <c r="Q99" s="20"/>
    </row>
    <row r="100" spans="9:17" x14ac:dyDescent="0.2">
      <c r="I100" s="194" t="str">
        <f t="shared" si="2"/>
        <v/>
      </c>
      <c r="J100" s="196"/>
      <c r="K100" s="426" t="str">
        <f>IF(Electricity[[#This Row],[Month]]&lt;&gt;"",VLOOKUP(Electricity[[#This Row],[Month]], dropdown!$S$4:$T$15, 2, FALSE),"")</f>
        <v/>
      </c>
      <c r="L100" s="197"/>
      <c r="M100" s="246"/>
      <c r="N100" s="247"/>
      <c r="O100" s="199"/>
      <c r="P100" s="48"/>
      <c r="Q100" s="20"/>
    </row>
    <row r="101" spans="9:17" x14ac:dyDescent="0.2">
      <c r="I101" s="194" t="str">
        <f t="shared" si="2"/>
        <v/>
      </c>
      <c r="J101" s="196"/>
      <c r="K101" s="426" t="str">
        <f>IF(Electricity[[#This Row],[Month]]&lt;&gt;"",VLOOKUP(Electricity[[#This Row],[Month]], dropdown!$S$4:$T$15, 2, FALSE),"")</f>
        <v/>
      </c>
      <c r="L101" s="197"/>
      <c r="M101" s="246"/>
      <c r="N101" s="247"/>
      <c r="O101" s="199"/>
      <c r="P101" s="48"/>
      <c r="Q101" s="20"/>
    </row>
    <row r="102" spans="9:17" x14ac:dyDescent="0.2">
      <c r="I102" s="194" t="str">
        <f t="shared" si="2"/>
        <v/>
      </c>
      <c r="J102" s="196"/>
      <c r="K102" s="426" t="str">
        <f>IF(Electricity[[#This Row],[Month]]&lt;&gt;"",VLOOKUP(Electricity[[#This Row],[Month]], dropdown!$S$4:$T$15, 2, FALSE),"")</f>
        <v/>
      </c>
      <c r="L102" s="197"/>
      <c r="M102" s="246"/>
      <c r="N102" s="247"/>
      <c r="O102" s="199"/>
      <c r="P102" s="48"/>
      <c r="Q102" s="20"/>
    </row>
    <row r="103" spans="9:17" x14ac:dyDescent="0.2">
      <c r="I103" s="194" t="str">
        <f t="shared" si="2"/>
        <v/>
      </c>
      <c r="J103" s="196"/>
      <c r="K103" s="426" t="str">
        <f>IF(Electricity[[#This Row],[Month]]&lt;&gt;"",VLOOKUP(Electricity[[#This Row],[Month]], dropdown!$S$4:$T$15, 2, FALSE),"")</f>
        <v/>
      </c>
      <c r="L103" s="197"/>
      <c r="M103" s="246"/>
      <c r="N103" s="247"/>
      <c r="O103" s="199"/>
      <c r="P103" s="48"/>
      <c r="Q103" s="20"/>
    </row>
    <row r="104" spans="9:17" x14ac:dyDescent="0.2">
      <c r="I104" s="194" t="str">
        <f t="shared" si="2"/>
        <v/>
      </c>
      <c r="J104" s="196"/>
      <c r="K104" s="426" t="str">
        <f>IF(Electricity[[#This Row],[Month]]&lt;&gt;"",VLOOKUP(Electricity[[#This Row],[Month]], dropdown!$S$4:$T$15, 2, FALSE),"")</f>
        <v/>
      </c>
      <c r="L104" s="197"/>
      <c r="M104" s="246"/>
      <c r="N104" s="247"/>
      <c r="O104" s="199"/>
      <c r="P104" s="48"/>
      <c r="Q104" s="20"/>
    </row>
    <row r="105" spans="9:17" x14ac:dyDescent="0.2">
      <c r="I105" s="194" t="str">
        <f t="shared" si="2"/>
        <v/>
      </c>
      <c r="J105" s="196"/>
      <c r="K105" s="426" t="str">
        <f>IF(Electricity[[#This Row],[Month]]&lt;&gt;"",VLOOKUP(Electricity[[#This Row],[Month]], dropdown!$S$4:$T$15, 2, FALSE),"")</f>
        <v/>
      </c>
      <c r="L105" s="197"/>
      <c r="M105" s="246"/>
      <c r="N105" s="247"/>
      <c r="O105" s="199"/>
      <c r="P105" s="48"/>
      <c r="Q105" s="20"/>
    </row>
    <row r="106" spans="9:17" x14ac:dyDescent="0.2">
      <c r="I106" s="194" t="str">
        <f t="shared" si="2"/>
        <v/>
      </c>
      <c r="J106" s="196"/>
      <c r="K106" s="426" t="str">
        <f>IF(Electricity[[#This Row],[Month]]&lt;&gt;"",VLOOKUP(Electricity[[#This Row],[Month]], dropdown!$S$4:$T$15, 2, FALSE),"")</f>
        <v/>
      </c>
      <c r="L106" s="197"/>
      <c r="M106" s="246"/>
      <c r="N106" s="247"/>
      <c r="O106" s="199"/>
      <c r="P106" s="48"/>
      <c r="Q106" s="20"/>
    </row>
    <row r="107" spans="9:17" x14ac:dyDescent="0.2">
      <c r="I107" s="194" t="str">
        <f t="shared" si="2"/>
        <v/>
      </c>
      <c r="J107" s="196"/>
      <c r="K107" s="426" t="str">
        <f>IF(Electricity[[#This Row],[Month]]&lt;&gt;"",VLOOKUP(Electricity[[#This Row],[Month]], dropdown!$S$4:$T$15, 2, FALSE),"")</f>
        <v/>
      </c>
      <c r="L107" s="197"/>
      <c r="M107" s="246"/>
      <c r="N107" s="247"/>
      <c r="O107" s="199"/>
      <c r="P107" s="48"/>
      <c r="Q107" s="20"/>
    </row>
    <row r="109" spans="9:17" x14ac:dyDescent="0.2">
      <c r="I109" s="322" t="s">
        <v>178</v>
      </c>
    </row>
  </sheetData>
  <sheetProtection algorithmName="SHA-512" hashValue="4i2VYRSoeViuQcJ4m/HnTziPfSoLVjQaPu0Dp1x619tWnE/hDPyZXUWPWqN/xu8a7hTWC0nAawNRHMhp892fPg==" saltValue="kPGA/LB2Mznx7AyfuYQPGw==" spinCount="100000" sheet="1" objects="1" scenarios="1" selectLockedCells="1"/>
  <protectedRanges>
    <protectedRange sqref="J7:J107 L7:O107" name="Range1"/>
  </protectedRanges>
  <mergeCells count="2">
    <mergeCell ref="C6:G6"/>
    <mergeCell ref="C7:G7"/>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EEF40FA1-E3C6-FA4D-B485-0CC37F637319}">
          <x14:formula1>
            <xm:f>dropdown!$S$4:$S$15</xm:f>
          </x14:formula1>
          <xm:sqref>J8:J107</xm:sqref>
        </x14:dataValidation>
        <x14:dataValidation type="list" allowBlank="1" showInputMessage="1" showErrorMessage="1" xr:uid="{7345C049-4FDB-E148-8CAB-905FA6EC1DBF}">
          <x14:formula1>
            <xm:f>dropdown!$AO$4:$AO$156</xm:f>
          </x14:formula1>
          <xm:sqref>N8:N107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9268F-75F1-FF42-AFA3-7A86C6413354}">
  <sheetPr codeName="Sheet13">
    <tabColor rgb="FFFFFF00"/>
  </sheetPr>
  <dimension ref="B2:P108"/>
  <sheetViews>
    <sheetView showGridLines="0" zoomScaleNormal="142" workbookViewId="0">
      <selection activeCell="L20" sqref="L20"/>
    </sheetView>
  </sheetViews>
  <sheetFormatPr baseColWidth="10" defaultColWidth="10.83203125" defaultRowHeight="14" x14ac:dyDescent="0.2"/>
  <cols>
    <col min="1" max="1" width="2.6640625" style="20" customWidth="1"/>
    <col min="2" max="2" width="22.1640625" style="11" bestFit="1" customWidth="1"/>
    <col min="3" max="3" width="14.83203125" style="11" bestFit="1" customWidth="1"/>
    <col min="4" max="7" width="10" style="11" customWidth="1"/>
    <col min="8" max="8" width="4.33203125" style="20" customWidth="1"/>
    <col min="9" max="9" width="7.5" style="12" customWidth="1"/>
    <col min="10" max="10" width="10.6640625" style="21" customWidth="1"/>
    <col min="11" max="11" width="9" style="21" customWidth="1"/>
    <col min="12" max="13" width="22.6640625" style="22" customWidth="1"/>
    <col min="14" max="14" width="31.1640625" style="46" customWidth="1"/>
    <col min="15" max="15" width="4.6640625" style="20" customWidth="1"/>
    <col min="16" max="16" width="10.83203125" style="48" customWidth="1"/>
    <col min="17" max="16384" width="10.83203125" style="20"/>
  </cols>
  <sheetData>
    <row r="2" spans="2:16" ht="19" x14ac:dyDescent="0.25">
      <c r="B2" s="257" t="s">
        <v>29</v>
      </c>
      <c r="C2" s="31"/>
      <c r="D2" s="31"/>
      <c r="E2" s="31"/>
      <c r="F2" s="31"/>
      <c r="G2" s="32"/>
      <c r="I2" s="369" t="s">
        <v>209</v>
      </c>
      <c r="J2" s="370"/>
      <c r="K2" s="370"/>
      <c r="L2" s="371"/>
      <c r="M2" s="371"/>
      <c r="N2" s="372"/>
    </row>
    <row r="3" spans="2:16" x14ac:dyDescent="0.2">
      <c r="B3" s="33" t="s">
        <v>8</v>
      </c>
      <c r="C3" s="34"/>
      <c r="D3" s="35" t="s">
        <v>168</v>
      </c>
      <c r="E3" s="34"/>
      <c r="F3" s="34" t="s">
        <v>169</v>
      </c>
      <c r="G3" s="34"/>
      <c r="I3" s="428" t="s">
        <v>210</v>
      </c>
      <c r="J3" s="285"/>
      <c r="K3" s="285"/>
      <c r="L3" s="285"/>
      <c r="M3" s="285"/>
      <c r="N3" s="289"/>
    </row>
    <row r="4" spans="2:16" x14ac:dyDescent="0.2">
      <c r="B4" s="161" t="str">
        <f>'1. Data Info and Summary'!$D$2</f>
        <v>Zamboanga Branch</v>
      </c>
      <c r="C4" s="37"/>
      <c r="D4" s="38">
        <f>IF('1. Data Info and Summary'!$D$3=0,"-",'1. Data Info and Summary'!$D$3)</f>
        <v>2024</v>
      </c>
      <c r="E4" s="37"/>
      <c r="F4" s="37" t="s">
        <v>211</v>
      </c>
      <c r="G4" s="39"/>
      <c r="I4" s="429"/>
      <c r="J4" s="293"/>
      <c r="K4" s="293"/>
      <c r="L4" s="293"/>
      <c r="M4" s="293"/>
      <c r="N4" s="297"/>
    </row>
    <row r="5" spans="2:16" x14ac:dyDescent="0.2">
      <c r="B5" s="271"/>
      <c r="D5" s="271"/>
    </row>
    <row r="6" spans="2:16" ht="30" x14ac:dyDescent="0.2">
      <c r="B6" s="278" t="s">
        <v>172</v>
      </c>
      <c r="C6" s="447" t="s">
        <v>1432</v>
      </c>
      <c r="D6" s="448"/>
      <c r="E6" s="448"/>
      <c r="F6" s="448"/>
      <c r="G6" s="449"/>
      <c r="I6" s="248" t="s">
        <v>173</v>
      </c>
      <c r="J6" s="249" t="s">
        <v>39</v>
      </c>
      <c r="K6" s="249" t="s">
        <v>43</v>
      </c>
      <c r="L6" s="250" t="s">
        <v>115</v>
      </c>
      <c r="M6" s="352" t="s">
        <v>212</v>
      </c>
      <c r="N6" s="253" t="s">
        <v>54</v>
      </c>
      <c r="O6" s="349"/>
    </row>
    <row r="7" spans="2:16" x14ac:dyDescent="0.2">
      <c r="B7" s="278" t="s">
        <v>174</v>
      </c>
      <c r="C7" s="450">
        <v>45912</v>
      </c>
      <c r="D7" s="448"/>
      <c r="E7" s="448"/>
      <c r="F7" s="448"/>
      <c r="G7" s="449"/>
      <c r="I7" s="194">
        <f>IF(Electricity6[[#This Row],[Month]]="","",1)</f>
        <v>1</v>
      </c>
      <c r="J7" s="58" t="s">
        <v>338</v>
      </c>
      <c r="K7" s="18" t="str">
        <f>IF(Electricity6[[#This Row],[Month]]&lt;&gt;"",VLOOKUP(Electricity6[[#This Row],[Month]], dropdown!$S$4:$T$15, 2, FALSE),"")</f>
        <v>Q1</v>
      </c>
      <c r="L7" s="29">
        <v>9.9999999999999995E-8</v>
      </c>
      <c r="M7" s="350">
        <v>9.9999999999999995E-7</v>
      </c>
      <c r="N7" s="195" t="s">
        <v>1436</v>
      </c>
    </row>
    <row r="8" spans="2:16" x14ac:dyDescent="0.2">
      <c r="B8" s="258"/>
      <c r="C8" s="258"/>
      <c r="D8" s="258"/>
      <c r="E8" s="258"/>
      <c r="F8" s="258"/>
      <c r="G8" s="258"/>
      <c r="I8" s="194">
        <f>IF(Electricity6[[#This Row],[Month]]="","",I7+1)</f>
        <v>2</v>
      </c>
      <c r="J8" s="58" t="s">
        <v>89</v>
      </c>
      <c r="K8" s="18" t="str">
        <f>IF(Electricity6[[#This Row],[Month]]&lt;&gt;"",VLOOKUP(Electricity6[[#This Row],[Month]], dropdown!$S$4:$T$15, 2, FALSE),"")</f>
        <v>Q1</v>
      </c>
      <c r="L8" s="29">
        <v>9.9999999999999995E-8</v>
      </c>
      <c r="M8" s="350">
        <v>9.9999999999999995E-8</v>
      </c>
      <c r="N8" s="195" t="s">
        <v>1436</v>
      </c>
    </row>
    <row r="9" spans="2:16" ht="15" x14ac:dyDescent="0.2">
      <c r="B9" s="334" t="s">
        <v>213</v>
      </c>
      <c r="C9" s="14"/>
      <c r="D9" s="14"/>
      <c r="E9" s="14"/>
      <c r="F9" s="14"/>
      <c r="G9" s="14"/>
      <c r="I9" s="194">
        <f>IF(Electricity6[[#This Row],[Month]]="","",I8+1)</f>
        <v>3</v>
      </c>
      <c r="J9" s="58" t="s">
        <v>362</v>
      </c>
      <c r="K9" s="18" t="str">
        <f>IF(Electricity6[[#This Row],[Month]]&lt;&gt;"",VLOOKUP(Electricity6[[#This Row],[Month]], dropdown!$S$4:$T$15, 2, FALSE),"")</f>
        <v>Q1</v>
      </c>
      <c r="L9" s="29">
        <v>9.9999999999999995E-8</v>
      </c>
      <c r="M9" s="350">
        <v>9.9999999999999995E-8</v>
      </c>
      <c r="N9" s="195" t="s">
        <v>1436</v>
      </c>
    </row>
    <row r="10" spans="2:16" x14ac:dyDescent="0.2">
      <c r="B10" s="13" t="s">
        <v>214</v>
      </c>
      <c r="C10" s="13" t="s">
        <v>51</v>
      </c>
      <c r="D10" s="40" t="s">
        <v>45</v>
      </c>
      <c r="E10" s="40" t="s">
        <v>149</v>
      </c>
      <c r="F10" s="40" t="s">
        <v>150</v>
      </c>
      <c r="G10" s="40" t="s">
        <v>151</v>
      </c>
      <c r="I10" s="194">
        <f>IF(Electricity6[[#This Row],[Month]]="","",I9+1)</f>
        <v>4</v>
      </c>
      <c r="J10" s="58" t="s">
        <v>371</v>
      </c>
      <c r="K10" s="18" t="str">
        <f>IF(Electricity6[[#This Row],[Month]]&lt;&gt;"",VLOOKUP(Electricity6[[#This Row],[Month]], dropdown!$S$4:$T$15, 2, FALSE),"")</f>
        <v>Q2</v>
      </c>
      <c r="L10" s="29">
        <v>9.9999999999999995E-8</v>
      </c>
      <c r="M10" s="350">
        <v>9.9999999999999995E-8</v>
      </c>
      <c r="N10" s="195" t="s">
        <v>1436</v>
      </c>
    </row>
    <row r="11" spans="2:16" x14ac:dyDescent="0.2">
      <c r="B11" s="17" t="s">
        <v>207</v>
      </c>
      <c r="C11" s="17" t="s">
        <v>208</v>
      </c>
      <c r="D11" s="41">
        <f>SUMIFS(Electricity6[Solar Energy Generated (kWh)],Electricity6[Quarter],D$10)</f>
        <v>2.9999999999999999E-7</v>
      </c>
      <c r="E11" s="41">
        <f>SUMIFS(Electricity6[Solar Energy Generated (kWh)],Electricity6[Quarter],E$10)</f>
        <v>2.9999999999999999E-7</v>
      </c>
      <c r="F11" s="41">
        <f>SUMIFS(Electricity6[Solar Energy Generated (kWh)],Electricity6[Quarter],F$10)</f>
        <v>2.9999999999999999E-7</v>
      </c>
      <c r="G11" s="41">
        <f>SUMIFS(Electricity6[Solar Energy Generated (kWh)],Electricity6[Quarter],G$10)</f>
        <v>2.9999999999999999E-7</v>
      </c>
      <c r="I11" s="194">
        <f>IF(Electricity6[[#This Row],[Month]]="","",I10+1)</f>
        <v>5</v>
      </c>
      <c r="J11" s="58" t="s">
        <v>379</v>
      </c>
      <c r="K11" s="18" t="str">
        <f>IF(Electricity6[[#This Row],[Month]]&lt;&gt;"",VLOOKUP(Electricity6[[#This Row],[Month]], dropdown!$S$4:$T$15, 2, FALSE),"")</f>
        <v>Q2</v>
      </c>
      <c r="L11" s="29">
        <v>9.9999999999999995E-8</v>
      </c>
      <c r="M11" s="350">
        <v>-2.6000000000000001E-6</v>
      </c>
      <c r="N11" s="195" t="s">
        <v>1436</v>
      </c>
    </row>
    <row r="12" spans="2:16" s="258" customFormat="1" x14ac:dyDescent="0.2">
      <c r="B12" s="11"/>
      <c r="C12" s="11"/>
      <c r="D12" s="167" t="str">
        <f>IF(SUM(D$11:D$11)&gt;0,"x","")</f>
        <v>x</v>
      </c>
      <c r="E12" s="167" t="str">
        <f>IF(SUM(E$11:E$11)&gt;0,"x","")</f>
        <v>x</v>
      </c>
      <c r="F12" s="167" t="str">
        <f>IF(SUM(F$11:F$11)&gt;0,"x","")</f>
        <v>x</v>
      </c>
      <c r="G12" s="167" t="str">
        <f>IF(SUM(G$11:G$11)&gt;0,"x","")</f>
        <v>x</v>
      </c>
      <c r="H12" s="20"/>
      <c r="I12" s="194">
        <f>IF(Electricity6[[#This Row],[Month]]="","",I11+1)</f>
        <v>6</v>
      </c>
      <c r="J12" s="58" t="s">
        <v>386</v>
      </c>
      <c r="K12" s="18" t="str">
        <f>IF(Electricity6[[#This Row],[Month]]&lt;&gt;"",VLOOKUP(Electricity6[[#This Row],[Month]], dropdown!$S$4:$T$15, 2, FALSE),"")</f>
        <v>Q2</v>
      </c>
      <c r="L12" s="29">
        <v>9.9999999999999995E-8</v>
      </c>
      <c r="M12" s="350">
        <v>-3.4999999999999999E-6</v>
      </c>
      <c r="N12" s="195" t="s">
        <v>1436</v>
      </c>
      <c r="P12" s="259"/>
    </row>
    <row r="13" spans="2:16" x14ac:dyDescent="0.2">
      <c r="B13" s="119" t="s">
        <v>38</v>
      </c>
      <c r="D13" s="168"/>
      <c r="I13" s="194">
        <f>IF(Electricity6[[#This Row],[Month]]="","",I12+1)</f>
        <v>7</v>
      </c>
      <c r="J13" s="58" t="s">
        <v>390</v>
      </c>
      <c r="K13" s="18" t="str">
        <f>IF(Electricity6[[#This Row],[Month]]&lt;&gt;"",VLOOKUP(Electricity6[[#This Row],[Month]], dropdown!$S$4:$T$15, 2, FALSE),"")</f>
        <v>Q3</v>
      </c>
      <c r="L13" s="29">
        <v>9.9999999999999995E-8</v>
      </c>
      <c r="M13" s="350">
        <v>-4.4000000000000002E-6</v>
      </c>
      <c r="N13" s="195" t="s">
        <v>1436</v>
      </c>
    </row>
    <row r="14" spans="2:16" x14ac:dyDescent="0.2">
      <c r="B14" s="120" t="s">
        <v>175</v>
      </c>
      <c r="D14" s="168"/>
      <c r="I14" s="194">
        <f>IF(Electricity6[[#This Row],[Month]]="","",I13+1)</f>
        <v>8</v>
      </c>
      <c r="J14" s="58" t="s">
        <v>41</v>
      </c>
      <c r="K14" s="18" t="str">
        <f>IF(Electricity6[[#This Row],[Month]]&lt;&gt;"",VLOOKUP(Electricity6[[#This Row],[Month]], dropdown!$S$4:$T$15, 2, FALSE),"")</f>
        <v>Q3</v>
      </c>
      <c r="L14" s="29">
        <v>9.9999999999999995E-8</v>
      </c>
      <c r="M14" s="350">
        <v>-5.3000000000000001E-6</v>
      </c>
      <c r="N14" s="195" t="s">
        <v>1436</v>
      </c>
    </row>
    <row r="15" spans="2:16" x14ac:dyDescent="0.2">
      <c r="B15" s="121" t="s">
        <v>176</v>
      </c>
      <c r="I15" s="194">
        <f>IF(Electricity6[[#This Row],[Month]]="","",I14+1)</f>
        <v>9</v>
      </c>
      <c r="J15" s="58" t="s">
        <v>397</v>
      </c>
      <c r="K15" s="18" t="str">
        <f>IF(Electricity6[[#This Row],[Month]]&lt;&gt;"",VLOOKUP(Electricity6[[#This Row],[Month]], dropdown!$S$4:$T$15, 2, FALSE),"")</f>
        <v>Q3</v>
      </c>
      <c r="L15" s="29">
        <v>9.9999999999999995E-8</v>
      </c>
      <c r="M15" s="350">
        <v>-6.1999999999999999E-6</v>
      </c>
      <c r="N15" s="195" t="s">
        <v>1436</v>
      </c>
    </row>
    <row r="16" spans="2:16" x14ac:dyDescent="0.2">
      <c r="B16" s="122" t="s">
        <v>177</v>
      </c>
      <c r="I16" s="194">
        <f>IF(Electricity6[[#This Row],[Month]]="","",I15+1)</f>
        <v>10</v>
      </c>
      <c r="J16" s="58" t="s">
        <v>400</v>
      </c>
      <c r="K16" s="18" t="str">
        <f>IF(Electricity6[[#This Row],[Month]]&lt;&gt;"",VLOOKUP(Electricity6[[#This Row],[Month]], dropdown!$S$4:$T$15, 2, FALSE),"")</f>
        <v>Q4</v>
      </c>
      <c r="L16" s="29">
        <v>9.9999999999999995E-8</v>
      </c>
      <c r="M16" s="350">
        <v>-7.0999999999999998E-6</v>
      </c>
      <c r="N16" s="195" t="s">
        <v>1436</v>
      </c>
      <c r="P16" s="20"/>
    </row>
    <row r="17" spans="2:16" x14ac:dyDescent="0.2">
      <c r="I17" s="194">
        <f>IF(Electricity6[[#This Row],[Month]]="","",I16+1)</f>
        <v>11</v>
      </c>
      <c r="J17" s="58" t="s">
        <v>404</v>
      </c>
      <c r="K17" s="18" t="str">
        <f>IF(Electricity6[[#This Row],[Month]]&lt;&gt;"",VLOOKUP(Electricity6[[#This Row],[Month]], dropdown!$S$4:$T$15, 2, FALSE),"")</f>
        <v>Q4</v>
      </c>
      <c r="L17" s="29">
        <v>9.9999999999999995E-8</v>
      </c>
      <c r="M17" s="350">
        <v>-7.9999999999999996E-6</v>
      </c>
      <c r="N17" s="195" t="s">
        <v>1436</v>
      </c>
      <c r="P17" s="20"/>
    </row>
    <row r="18" spans="2:16" x14ac:dyDescent="0.2">
      <c r="I18" s="194">
        <f>IF(Electricity6[[#This Row],[Month]]="","",I17+1)</f>
        <v>12</v>
      </c>
      <c r="J18" s="58" t="s">
        <v>407</v>
      </c>
      <c r="K18" s="18" t="str">
        <f>IF(Electricity6[[#This Row],[Month]]&lt;&gt;"",VLOOKUP(Electricity6[[#This Row],[Month]], dropdown!$S$4:$T$15, 2, FALSE),"")</f>
        <v>Q4</v>
      </c>
      <c r="L18" s="29">
        <v>9.9999999999999995E-8</v>
      </c>
      <c r="M18" s="350">
        <v>-8.8999999999999995E-6</v>
      </c>
      <c r="N18" s="195" t="s">
        <v>1436</v>
      </c>
      <c r="P18" s="20"/>
    </row>
    <row r="19" spans="2:16" x14ac:dyDescent="0.2">
      <c r="B19" s="20"/>
      <c r="C19" s="20"/>
      <c r="D19" s="20"/>
      <c r="E19" s="20"/>
      <c r="F19" s="20"/>
      <c r="G19" s="20"/>
      <c r="I19" s="194" t="str">
        <f>IF(Electricity6[[#This Row],[Month]]="","",I18+1)</f>
        <v/>
      </c>
      <c r="J19" s="58"/>
      <c r="K19" s="18" t="str">
        <f>IF(Electricity6[[#This Row],[Month]]&lt;&gt;"",VLOOKUP(Electricity6[[#This Row],[Month]], dropdown!$S$4:$T$15, 2, FALSE),"")</f>
        <v/>
      </c>
      <c r="L19" s="29"/>
      <c r="M19" s="350"/>
      <c r="N19" s="195"/>
      <c r="P19" s="20"/>
    </row>
    <row r="20" spans="2:16" x14ac:dyDescent="0.2">
      <c r="B20" s="20"/>
      <c r="C20" s="20"/>
      <c r="D20" s="20"/>
      <c r="E20" s="20"/>
      <c r="F20" s="20"/>
      <c r="G20" s="20"/>
      <c r="I20" s="194" t="str">
        <f>IF(Electricity6[[#This Row],[Month]]="","",I19+1)</f>
        <v/>
      </c>
      <c r="J20" s="196"/>
      <c r="K20" s="18" t="str">
        <f>IF(Electricity6[[#This Row],[Month]]&lt;&gt;"",VLOOKUP(Electricity6[[#This Row],[Month]], dropdown!$S$4:$T$15, 2, FALSE),"")</f>
        <v/>
      </c>
      <c r="L20" s="197"/>
      <c r="M20" s="351"/>
      <c r="N20" s="199"/>
      <c r="P20" s="20"/>
    </row>
    <row r="21" spans="2:16" x14ac:dyDescent="0.2">
      <c r="B21" s="20"/>
      <c r="C21" s="20"/>
      <c r="D21" s="20"/>
      <c r="E21" s="20"/>
      <c r="F21" s="20"/>
      <c r="G21" s="20"/>
      <c r="I21" s="194" t="str">
        <f>IF(Electricity6[[#This Row],[Month]]="","",I20+1)</f>
        <v/>
      </c>
      <c r="J21" s="58"/>
      <c r="K21" s="18" t="str">
        <f>IF(Electricity6[[#This Row],[Month]]&lt;&gt;"",VLOOKUP(Electricity6[[#This Row],[Month]], dropdown!$S$4:$T$15, 2, FALSE),"")</f>
        <v/>
      </c>
      <c r="L21" s="29"/>
      <c r="M21" s="350"/>
      <c r="N21" s="373"/>
      <c r="P21" s="20"/>
    </row>
    <row r="22" spans="2:16" x14ac:dyDescent="0.2">
      <c r="B22" s="20"/>
      <c r="C22" s="20"/>
      <c r="D22" s="20"/>
      <c r="E22" s="20"/>
      <c r="F22" s="20"/>
      <c r="G22" s="20"/>
      <c r="I22" s="194" t="str">
        <f>IF(Electricity6[[#This Row],[Month]]="","",I21+1)</f>
        <v/>
      </c>
      <c r="J22" s="58"/>
      <c r="K22" s="18" t="str">
        <f>IF(Electricity6[[#This Row],[Month]]&lt;&gt;"",VLOOKUP(Electricity6[[#This Row],[Month]], dropdown!$S$4:$T$15, 2, FALSE),"")</f>
        <v/>
      </c>
      <c r="L22" s="29"/>
      <c r="M22" s="350"/>
      <c r="N22" s="373"/>
      <c r="P22" s="20"/>
    </row>
    <row r="23" spans="2:16" x14ac:dyDescent="0.2">
      <c r="B23" s="20"/>
      <c r="C23" s="20"/>
      <c r="D23" s="20"/>
      <c r="E23" s="20"/>
      <c r="F23" s="20"/>
      <c r="G23" s="20"/>
      <c r="I23" s="194" t="str">
        <f>IF(Electricity6[[#This Row],[Month]]="","",I22+1)</f>
        <v/>
      </c>
      <c r="J23" s="58"/>
      <c r="K23" s="18" t="str">
        <f>IF(Electricity6[[#This Row],[Month]]&lt;&gt;"",VLOOKUP(Electricity6[[#This Row],[Month]], dropdown!$S$4:$T$15, 2, FALSE),"")</f>
        <v/>
      </c>
      <c r="L23" s="29"/>
      <c r="M23" s="350"/>
      <c r="N23" s="373"/>
      <c r="P23" s="20"/>
    </row>
    <row r="24" spans="2:16" x14ac:dyDescent="0.2">
      <c r="B24" s="20"/>
      <c r="C24" s="20"/>
      <c r="D24" s="20"/>
      <c r="E24" s="20"/>
      <c r="F24" s="20"/>
      <c r="G24" s="20"/>
      <c r="I24" s="194" t="str">
        <f>IF(Electricity6[[#This Row],[Month]]="","",I23+1)</f>
        <v/>
      </c>
      <c r="J24" s="58"/>
      <c r="K24" s="18" t="str">
        <f>IF(Electricity6[[#This Row],[Month]]&lt;&gt;"",VLOOKUP(Electricity6[[#This Row],[Month]], dropdown!$S$4:$T$15, 2, FALSE),"")</f>
        <v/>
      </c>
      <c r="L24" s="29"/>
      <c r="M24" s="350"/>
      <c r="N24" s="373"/>
      <c r="P24" s="20"/>
    </row>
    <row r="25" spans="2:16" x14ac:dyDescent="0.2">
      <c r="B25" s="20"/>
      <c r="C25" s="20"/>
      <c r="D25" s="20"/>
      <c r="E25" s="20"/>
      <c r="F25" s="20"/>
      <c r="G25" s="20"/>
      <c r="I25" s="194" t="str">
        <f>IF(Electricity6[[#This Row],[Month]]="","",I24+1)</f>
        <v/>
      </c>
      <c r="J25" s="58"/>
      <c r="K25" s="18" t="str">
        <f>IF(Electricity6[[#This Row],[Month]]&lt;&gt;"",VLOOKUP(Electricity6[[#This Row],[Month]], dropdown!$S$4:$T$15, 2, FALSE),"")</f>
        <v/>
      </c>
      <c r="L25" s="29"/>
      <c r="M25" s="350"/>
      <c r="N25" s="373"/>
      <c r="P25" s="20"/>
    </row>
    <row r="26" spans="2:16" x14ac:dyDescent="0.2">
      <c r="B26" s="20"/>
      <c r="C26" s="20"/>
      <c r="D26" s="20"/>
      <c r="E26" s="20"/>
      <c r="F26" s="20"/>
      <c r="G26" s="20"/>
      <c r="I26" s="194" t="str">
        <f>IF(Electricity6[[#This Row],[Month]]="","",I25+1)</f>
        <v/>
      </c>
      <c r="J26" s="58"/>
      <c r="K26" s="18" t="str">
        <f>IF(Electricity6[[#This Row],[Month]]&lt;&gt;"",VLOOKUP(Electricity6[[#This Row],[Month]], dropdown!$S$4:$T$15, 2, FALSE),"")</f>
        <v/>
      </c>
      <c r="L26" s="29"/>
      <c r="M26" s="350"/>
      <c r="N26" s="373"/>
      <c r="P26" s="20"/>
    </row>
    <row r="27" spans="2:16" x14ac:dyDescent="0.2">
      <c r="B27" s="20"/>
      <c r="C27" s="20"/>
      <c r="D27" s="20"/>
      <c r="E27" s="20"/>
      <c r="F27" s="20"/>
      <c r="G27" s="20"/>
      <c r="I27" s="194" t="str">
        <f>IF(Electricity6[[#This Row],[Month]]="","",I26+1)</f>
        <v/>
      </c>
      <c r="J27" s="58"/>
      <c r="K27" s="18" t="str">
        <f>IF(Electricity6[[#This Row],[Month]]&lt;&gt;"",VLOOKUP(Electricity6[[#This Row],[Month]], dropdown!$S$4:$T$15, 2, FALSE),"")</f>
        <v/>
      </c>
      <c r="L27" s="29"/>
      <c r="M27" s="350"/>
      <c r="N27" s="373"/>
      <c r="P27" s="20"/>
    </row>
    <row r="28" spans="2:16" x14ac:dyDescent="0.2">
      <c r="I28" s="194" t="str">
        <f>IF(Electricity6[[#This Row],[Month]]="","",I27+1)</f>
        <v/>
      </c>
      <c r="J28" s="58"/>
      <c r="K28" s="18" t="str">
        <f>IF(Electricity6[[#This Row],[Month]]&lt;&gt;"",VLOOKUP(Electricity6[[#This Row],[Month]], dropdown!$S$4:$T$15, 2, FALSE),"")</f>
        <v/>
      </c>
      <c r="L28" s="29"/>
      <c r="M28" s="350"/>
      <c r="N28" s="373"/>
      <c r="P28" s="20"/>
    </row>
    <row r="29" spans="2:16" x14ac:dyDescent="0.2">
      <c r="I29" s="194" t="str">
        <f>IF(Electricity6[[#This Row],[Month]]="","",I28+1)</f>
        <v/>
      </c>
      <c r="J29" s="58"/>
      <c r="K29" s="18" t="str">
        <f>IF(Electricity6[[#This Row],[Month]]&lt;&gt;"",VLOOKUP(Electricity6[[#This Row],[Month]], dropdown!$S$4:$T$15, 2, FALSE),"")</f>
        <v/>
      </c>
      <c r="L29" s="29"/>
      <c r="M29" s="350"/>
      <c r="N29" s="373"/>
      <c r="P29" s="20"/>
    </row>
    <row r="30" spans="2:16" x14ac:dyDescent="0.2">
      <c r="I30" s="194" t="str">
        <f>IF(Electricity6[[#This Row],[Month]]="","",I29+1)</f>
        <v/>
      </c>
      <c r="J30" s="58"/>
      <c r="K30" s="18" t="str">
        <f>IF(Electricity6[[#This Row],[Month]]&lt;&gt;"",VLOOKUP(Electricity6[[#This Row],[Month]], dropdown!$S$4:$T$15, 2, FALSE),"")</f>
        <v/>
      </c>
      <c r="L30" s="29"/>
      <c r="M30" s="350"/>
      <c r="N30" s="373"/>
    </row>
    <row r="31" spans="2:16" x14ac:dyDescent="0.2">
      <c r="I31" s="194" t="str">
        <f>IF(Electricity6[[#This Row],[Month]]="","",I30+1)</f>
        <v/>
      </c>
      <c r="J31" s="58"/>
      <c r="K31" s="18" t="str">
        <f>IF(Electricity6[[#This Row],[Month]]&lt;&gt;"",VLOOKUP(Electricity6[[#This Row],[Month]], dropdown!$S$4:$T$15, 2, FALSE),"")</f>
        <v/>
      </c>
      <c r="L31" s="29"/>
      <c r="M31" s="350"/>
      <c r="N31" s="373"/>
    </row>
    <row r="32" spans="2:16" x14ac:dyDescent="0.2">
      <c r="I32" s="194" t="str">
        <f>IF(Electricity6[[#This Row],[Month]]="","",I31+1)</f>
        <v/>
      </c>
      <c r="J32" s="58"/>
      <c r="K32" s="18" t="str">
        <f>IF(Electricity6[[#This Row],[Month]]&lt;&gt;"",VLOOKUP(Electricity6[[#This Row],[Month]], dropdown!$S$4:$T$15, 2, FALSE),"")</f>
        <v/>
      </c>
      <c r="L32" s="29"/>
      <c r="M32" s="350"/>
      <c r="N32" s="373"/>
    </row>
    <row r="33" spans="9:14" x14ac:dyDescent="0.2">
      <c r="I33" s="194" t="str">
        <f>IF(Electricity6[[#This Row],[Month]]="","",I32+1)</f>
        <v/>
      </c>
      <c r="J33" s="58"/>
      <c r="K33" s="18" t="str">
        <f>IF(Electricity6[[#This Row],[Month]]&lt;&gt;"",VLOOKUP(Electricity6[[#This Row],[Month]], dropdown!$S$4:$T$15, 2, FALSE),"")</f>
        <v/>
      </c>
      <c r="L33" s="29"/>
      <c r="M33" s="350"/>
      <c r="N33" s="373"/>
    </row>
    <row r="34" spans="9:14" x14ac:dyDescent="0.2">
      <c r="I34" s="194" t="str">
        <f>IF(Electricity6[[#This Row],[Month]]="","",I33+1)</f>
        <v/>
      </c>
      <c r="J34" s="58"/>
      <c r="K34" s="18" t="str">
        <f>IF(Electricity6[[#This Row],[Month]]&lt;&gt;"",VLOOKUP(Electricity6[[#This Row],[Month]], dropdown!$S$4:$T$15, 2, FALSE),"")</f>
        <v/>
      </c>
      <c r="L34" s="29"/>
      <c r="M34" s="350"/>
      <c r="N34" s="373"/>
    </row>
    <row r="35" spans="9:14" x14ac:dyDescent="0.2">
      <c r="I35" s="194" t="str">
        <f>IF(Electricity6[[#This Row],[Month]]="","",I34+1)</f>
        <v/>
      </c>
      <c r="J35" s="58"/>
      <c r="K35" s="18" t="str">
        <f>IF(Electricity6[[#This Row],[Month]]&lt;&gt;"",VLOOKUP(Electricity6[[#This Row],[Month]], dropdown!$S$4:$T$15, 2, FALSE),"")</f>
        <v/>
      </c>
      <c r="L35" s="29"/>
      <c r="M35" s="350"/>
      <c r="N35" s="373"/>
    </row>
    <row r="36" spans="9:14" x14ac:dyDescent="0.2">
      <c r="I36" s="194" t="str">
        <f>IF(Electricity6[[#This Row],[Month]]="","",I35+1)</f>
        <v/>
      </c>
      <c r="J36" s="58"/>
      <c r="K36" s="18" t="str">
        <f>IF(Electricity6[[#This Row],[Month]]&lt;&gt;"",VLOOKUP(Electricity6[[#This Row],[Month]], dropdown!$S$4:$T$15, 2, FALSE),"")</f>
        <v/>
      </c>
      <c r="L36" s="29"/>
      <c r="M36" s="350"/>
      <c r="N36" s="373"/>
    </row>
    <row r="37" spans="9:14" x14ac:dyDescent="0.2">
      <c r="I37" s="194" t="str">
        <f>IF(Electricity6[[#This Row],[Month]]="","",I36+1)</f>
        <v/>
      </c>
      <c r="J37" s="58"/>
      <c r="K37" s="18" t="str">
        <f>IF(Electricity6[[#This Row],[Month]]&lt;&gt;"",VLOOKUP(Electricity6[[#This Row],[Month]], dropdown!$S$4:$T$15, 2, FALSE),"")</f>
        <v/>
      </c>
      <c r="L37" s="29"/>
      <c r="M37" s="350"/>
      <c r="N37" s="373"/>
    </row>
    <row r="38" spans="9:14" x14ac:dyDescent="0.2">
      <c r="I38" s="194" t="str">
        <f>IF(Electricity6[[#This Row],[Month]]="","",I37+1)</f>
        <v/>
      </c>
      <c r="J38" s="58"/>
      <c r="K38" s="18" t="str">
        <f>IF(Electricity6[[#This Row],[Month]]&lt;&gt;"",VLOOKUP(Electricity6[[#This Row],[Month]], dropdown!$S$4:$T$15, 2, FALSE),"")</f>
        <v/>
      </c>
      <c r="L38" s="29"/>
      <c r="M38" s="350"/>
      <c r="N38" s="373"/>
    </row>
    <row r="39" spans="9:14" x14ac:dyDescent="0.2">
      <c r="I39" s="194" t="str">
        <f>IF(Electricity6[[#This Row],[Month]]="","",I38+1)</f>
        <v/>
      </c>
      <c r="J39" s="58"/>
      <c r="K39" s="18" t="str">
        <f>IF(Electricity6[[#This Row],[Month]]&lt;&gt;"",VLOOKUP(Electricity6[[#This Row],[Month]], dropdown!$S$4:$T$15, 2, FALSE),"")</f>
        <v/>
      </c>
      <c r="L39" s="29"/>
      <c r="M39" s="350"/>
      <c r="N39" s="373"/>
    </row>
    <row r="40" spans="9:14" x14ac:dyDescent="0.2">
      <c r="I40" s="194" t="str">
        <f>IF(Electricity6[[#This Row],[Month]]="","",I39+1)</f>
        <v/>
      </c>
      <c r="J40" s="58"/>
      <c r="K40" s="18" t="str">
        <f>IF(Electricity6[[#This Row],[Month]]&lt;&gt;"",VLOOKUP(Electricity6[[#This Row],[Month]], dropdown!$S$4:$T$15, 2, FALSE),"")</f>
        <v/>
      </c>
      <c r="L40" s="29"/>
      <c r="M40" s="350"/>
      <c r="N40" s="373"/>
    </row>
    <row r="41" spans="9:14" x14ac:dyDescent="0.2">
      <c r="I41" s="194" t="str">
        <f>IF(Electricity6[[#This Row],[Month]]="","",I40+1)</f>
        <v/>
      </c>
      <c r="J41" s="58"/>
      <c r="K41" s="18" t="str">
        <f>IF(Electricity6[[#This Row],[Month]]&lt;&gt;"",VLOOKUP(Electricity6[[#This Row],[Month]], dropdown!$S$4:$T$15, 2, FALSE),"")</f>
        <v/>
      </c>
      <c r="L41" s="29"/>
      <c r="M41" s="350"/>
      <c r="N41" s="373"/>
    </row>
    <row r="42" spans="9:14" x14ac:dyDescent="0.2">
      <c r="I42" s="194" t="str">
        <f>IF(Electricity6[[#This Row],[Month]]="","",I41+1)</f>
        <v/>
      </c>
      <c r="J42" s="58"/>
      <c r="K42" s="18" t="str">
        <f>IF(Electricity6[[#This Row],[Month]]&lt;&gt;"",VLOOKUP(Electricity6[[#This Row],[Month]], dropdown!$S$4:$T$15, 2, FALSE),"")</f>
        <v/>
      </c>
      <c r="L42" s="29"/>
      <c r="M42" s="350"/>
      <c r="N42" s="373"/>
    </row>
    <row r="43" spans="9:14" x14ac:dyDescent="0.2">
      <c r="I43" s="194" t="str">
        <f>IF(Electricity6[[#This Row],[Month]]="","",I42+1)</f>
        <v/>
      </c>
      <c r="J43" s="58"/>
      <c r="K43" s="18" t="str">
        <f>IF(Electricity6[[#This Row],[Month]]&lt;&gt;"",VLOOKUP(Electricity6[[#This Row],[Month]], dropdown!$S$4:$T$15, 2, FALSE),"")</f>
        <v/>
      </c>
      <c r="L43" s="29"/>
      <c r="M43" s="350"/>
      <c r="N43" s="373"/>
    </row>
    <row r="44" spans="9:14" x14ac:dyDescent="0.2">
      <c r="I44" s="194" t="str">
        <f>IF(Electricity6[[#This Row],[Month]]="","",I43+1)</f>
        <v/>
      </c>
      <c r="J44" s="58"/>
      <c r="K44" s="18" t="str">
        <f>IF(Electricity6[[#This Row],[Month]]&lt;&gt;"",VLOOKUP(Electricity6[[#This Row],[Month]], dropdown!$S$4:$T$15, 2, FALSE),"")</f>
        <v/>
      </c>
      <c r="L44" s="29"/>
      <c r="M44" s="350"/>
      <c r="N44" s="373"/>
    </row>
    <row r="45" spans="9:14" x14ac:dyDescent="0.2">
      <c r="I45" s="194" t="str">
        <f>IF(Electricity6[[#This Row],[Month]]="","",I44+1)</f>
        <v/>
      </c>
      <c r="J45" s="58"/>
      <c r="K45" s="18" t="str">
        <f>IF(Electricity6[[#This Row],[Month]]&lt;&gt;"",VLOOKUP(Electricity6[[#This Row],[Month]], dropdown!$S$4:$T$15, 2, FALSE),"")</f>
        <v/>
      </c>
      <c r="L45" s="29"/>
      <c r="M45" s="350"/>
      <c r="N45" s="373"/>
    </row>
    <row r="46" spans="9:14" x14ac:dyDescent="0.2">
      <c r="I46" s="194" t="str">
        <f>IF(Electricity6[[#This Row],[Month]]="","",I45+1)</f>
        <v/>
      </c>
      <c r="J46" s="58"/>
      <c r="K46" s="18" t="str">
        <f>IF(Electricity6[[#This Row],[Month]]&lt;&gt;"",VLOOKUP(Electricity6[[#This Row],[Month]], dropdown!$S$4:$T$15, 2, FALSE),"")</f>
        <v/>
      </c>
      <c r="L46" s="29"/>
      <c r="M46" s="350"/>
      <c r="N46" s="373"/>
    </row>
    <row r="47" spans="9:14" x14ac:dyDescent="0.2">
      <c r="I47" s="194" t="str">
        <f>IF(Electricity6[[#This Row],[Month]]="","",I46+1)</f>
        <v/>
      </c>
      <c r="J47" s="58"/>
      <c r="K47" s="18" t="str">
        <f>IF(Electricity6[[#This Row],[Month]]&lt;&gt;"",VLOOKUP(Electricity6[[#This Row],[Month]], dropdown!$S$4:$T$15, 2, FALSE),"")</f>
        <v/>
      </c>
      <c r="L47" s="29"/>
      <c r="M47" s="350"/>
      <c r="N47" s="373"/>
    </row>
    <row r="48" spans="9:14" x14ac:dyDescent="0.2">
      <c r="I48" s="194" t="str">
        <f>IF(Electricity6[[#This Row],[Month]]="","",I47+1)</f>
        <v/>
      </c>
      <c r="J48" s="58"/>
      <c r="K48" s="18" t="str">
        <f>IF(Electricity6[[#This Row],[Month]]&lt;&gt;"",VLOOKUP(Electricity6[[#This Row],[Month]], dropdown!$S$4:$T$15, 2, FALSE),"")</f>
        <v/>
      </c>
      <c r="L48" s="29"/>
      <c r="M48" s="350"/>
      <c r="N48" s="373"/>
    </row>
    <row r="49" spans="9:14" x14ac:dyDescent="0.2">
      <c r="I49" s="194" t="str">
        <f>IF(Electricity6[[#This Row],[Month]]="","",I48+1)</f>
        <v/>
      </c>
      <c r="J49" s="58"/>
      <c r="K49" s="18" t="str">
        <f>IF(Electricity6[[#This Row],[Month]]&lt;&gt;"",VLOOKUP(Electricity6[[#This Row],[Month]], dropdown!$S$4:$T$15, 2, FALSE),"")</f>
        <v/>
      </c>
      <c r="L49" s="29"/>
      <c r="M49" s="350"/>
      <c r="N49" s="373"/>
    </row>
    <row r="50" spans="9:14" x14ac:dyDescent="0.2">
      <c r="I50" s="194" t="str">
        <f>IF(Electricity6[[#This Row],[Month]]="","",I49+1)</f>
        <v/>
      </c>
      <c r="J50" s="58"/>
      <c r="K50" s="18" t="str">
        <f>IF(Electricity6[[#This Row],[Month]]&lt;&gt;"",VLOOKUP(Electricity6[[#This Row],[Month]], dropdown!$S$4:$T$15, 2, FALSE),"")</f>
        <v/>
      </c>
      <c r="L50" s="29"/>
      <c r="M50" s="350"/>
      <c r="N50" s="373"/>
    </row>
    <row r="51" spans="9:14" x14ac:dyDescent="0.2">
      <c r="I51" s="194" t="str">
        <f>IF(Electricity6[[#This Row],[Month]]="","",I50+1)</f>
        <v/>
      </c>
      <c r="J51" s="58"/>
      <c r="K51" s="18" t="str">
        <f>IF(Electricity6[[#This Row],[Month]]&lt;&gt;"",VLOOKUP(Electricity6[[#This Row],[Month]], dropdown!$S$4:$T$15, 2, FALSE),"")</f>
        <v/>
      </c>
      <c r="L51" s="29"/>
      <c r="M51" s="350"/>
      <c r="N51" s="373"/>
    </row>
    <row r="52" spans="9:14" x14ac:dyDescent="0.2">
      <c r="I52" s="194" t="str">
        <f>IF(Electricity6[[#This Row],[Month]]="","",I51+1)</f>
        <v/>
      </c>
      <c r="J52" s="58"/>
      <c r="K52" s="18" t="str">
        <f>IF(Electricity6[[#This Row],[Month]]&lt;&gt;"",VLOOKUP(Electricity6[[#This Row],[Month]], dropdown!$S$4:$T$15, 2, FALSE),"")</f>
        <v/>
      </c>
      <c r="L52" s="29"/>
      <c r="M52" s="350"/>
      <c r="N52" s="373"/>
    </row>
    <row r="53" spans="9:14" x14ac:dyDescent="0.2">
      <c r="I53" s="194" t="str">
        <f>IF(Electricity6[[#This Row],[Month]]="","",I52+1)</f>
        <v/>
      </c>
      <c r="J53" s="58"/>
      <c r="K53" s="18" t="str">
        <f>IF(Electricity6[[#This Row],[Month]]&lt;&gt;"",VLOOKUP(Electricity6[[#This Row],[Month]], dropdown!$S$4:$T$15, 2, FALSE),"")</f>
        <v/>
      </c>
      <c r="L53" s="29"/>
      <c r="M53" s="350"/>
      <c r="N53" s="373"/>
    </row>
    <row r="54" spans="9:14" x14ac:dyDescent="0.2">
      <c r="I54" s="194" t="str">
        <f>IF(Electricity6[[#This Row],[Month]]="","",I53+1)</f>
        <v/>
      </c>
      <c r="J54" s="58"/>
      <c r="K54" s="18" t="str">
        <f>IF(Electricity6[[#This Row],[Month]]&lt;&gt;"",VLOOKUP(Electricity6[[#This Row],[Month]], dropdown!$S$4:$T$15, 2, FALSE),"")</f>
        <v/>
      </c>
      <c r="L54" s="29"/>
      <c r="M54" s="350"/>
      <c r="N54" s="373"/>
    </row>
    <row r="55" spans="9:14" x14ac:dyDescent="0.2">
      <c r="I55" s="194" t="str">
        <f>IF(Electricity6[[#This Row],[Month]]="","",I54+1)</f>
        <v/>
      </c>
      <c r="J55" s="58"/>
      <c r="K55" s="18" t="str">
        <f>IF(Electricity6[[#This Row],[Month]]&lt;&gt;"",VLOOKUP(Electricity6[[#This Row],[Month]], dropdown!$S$4:$T$15, 2, FALSE),"")</f>
        <v/>
      </c>
      <c r="L55" s="29"/>
      <c r="M55" s="350"/>
      <c r="N55" s="373"/>
    </row>
    <row r="56" spans="9:14" x14ac:dyDescent="0.2">
      <c r="I56" s="194" t="str">
        <f>IF(Electricity6[[#This Row],[Month]]="","",I55+1)</f>
        <v/>
      </c>
      <c r="J56" s="58"/>
      <c r="K56" s="18" t="str">
        <f>IF(Electricity6[[#This Row],[Month]]&lt;&gt;"",VLOOKUP(Electricity6[[#This Row],[Month]], dropdown!$S$4:$T$15, 2, FALSE),"")</f>
        <v/>
      </c>
      <c r="L56" s="29"/>
      <c r="M56" s="350"/>
      <c r="N56" s="373"/>
    </row>
    <row r="57" spans="9:14" x14ac:dyDescent="0.2">
      <c r="I57" s="194" t="str">
        <f>IF(Electricity6[[#This Row],[Month]]="","",I56+1)</f>
        <v/>
      </c>
      <c r="J57" s="58"/>
      <c r="K57" s="18" t="str">
        <f>IF(Electricity6[[#This Row],[Month]]&lt;&gt;"",VLOOKUP(Electricity6[[#This Row],[Month]], dropdown!$S$4:$T$15, 2, FALSE),"")</f>
        <v/>
      </c>
      <c r="L57" s="29"/>
      <c r="M57" s="350"/>
      <c r="N57" s="373"/>
    </row>
    <row r="58" spans="9:14" x14ac:dyDescent="0.2">
      <c r="I58" s="194" t="str">
        <f>IF(Electricity6[[#This Row],[Month]]="","",I57+1)</f>
        <v/>
      </c>
      <c r="J58" s="58"/>
      <c r="K58" s="18" t="str">
        <f>IF(Electricity6[[#This Row],[Month]]&lt;&gt;"",VLOOKUP(Electricity6[[#This Row],[Month]], dropdown!$S$4:$T$15, 2, FALSE),"")</f>
        <v/>
      </c>
      <c r="L58" s="29"/>
      <c r="M58" s="350"/>
      <c r="N58" s="373"/>
    </row>
    <row r="59" spans="9:14" x14ac:dyDescent="0.2">
      <c r="I59" s="194" t="str">
        <f>IF(Electricity6[[#This Row],[Month]]="","",I58+1)</f>
        <v/>
      </c>
      <c r="J59" s="58"/>
      <c r="K59" s="18" t="str">
        <f>IF(Electricity6[[#This Row],[Month]]&lt;&gt;"",VLOOKUP(Electricity6[[#This Row],[Month]], dropdown!$S$4:$T$15, 2, FALSE),"")</f>
        <v/>
      </c>
      <c r="L59" s="29"/>
      <c r="M59" s="350"/>
      <c r="N59" s="373"/>
    </row>
    <row r="60" spans="9:14" x14ac:dyDescent="0.2">
      <c r="I60" s="194" t="str">
        <f>IF(Electricity6[[#This Row],[Month]]="","",I59+1)</f>
        <v/>
      </c>
      <c r="J60" s="58"/>
      <c r="K60" s="18" t="str">
        <f>IF(Electricity6[[#This Row],[Month]]&lt;&gt;"",VLOOKUP(Electricity6[[#This Row],[Month]], dropdown!$S$4:$T$15, 2, FALSE),"")</f>
        <v/>
      </c>
      <c r="L60" s="29"/>
      <c r="M60" s="350"/>
      <c r="N60" s="373"/>
    </row>
    <row r="61" spans="9:14" x14ac:dyDescent="0.2">
      <c r="I61" s="194" t="str">
        <f>IF(Electricity6[[#This Row],[Month]]="","",I60+1)</f>
        <v/>
      </c>
      <c r="J61" s="58"/>
      <c r="K61" s="18" t="str">
        <f>IF(Electricity6[[#This Row],[Month]]&lt;&gt;"",VLOOKUP(Electricity6[[#This Row],[Month]], dropdown!$S$4:$T$15, 2, FALSE),"")</f>
        <v/>
      </c>
      <c r="L61" s="29"/>
      <c r="M61" s="350"/>
      <c r="N61" s="373"/>
    </row>
    <row r="62" spans="9:14" x14ac:dyDescent="0.2">
      <c r="I62" s="194" t="str">
        <f>IF(Electricity6[[#This Row],[Month]]="","",I61+1)</f>
        <v/>
      </c>
      <c r="J62" s="58"/>
      <c r="K62" s="18" t="str">
        <f>IF(Electricity6[[#This Row],[Month]]&lt;&gt;"",VLOOKUP(Electricity6[[#This Row],[Month]], dropdown!$S$4:$T$15, 2, FALSE),"")</f>
        <v/>
      </c>
      <c r="L62" s="29"/>
      <c r="M62" s="350"/>
      <c r="N62" s="373"/>
    </row>
    <row r="63" spans="9:14" x14ac:dyDescent="0.2">
      <c r="I63" s="194" t="str">
        <f>IF(Electricity6[[#This Row],[Month]]="","",I62+1)</f>
        <v/>
      </c>
      <c r="J63" s="58"/>
      <c r="K63" s="18" t="str">
        <f>IF(Electricity6[[#This Row],[Month]]&lt;&gt;"",VLOOKUP(Electricity6[[#This Row],[Month]], dropdown!$S$4:$T$15, 2, FALSE),"")</f>
        <v/>
      </c>
      <c r="L63" s="29"/>
      <c r="M63" s="350"/>
      <c r="N63" s="373"/>
    </row>
    <row r="64" spans="9:14" x14ac:dyDescent="0.2">
      <c r="I64" s="194" t="str">
        <f>IF(Electricity6[[#This Row],[Month]]="","",I63+1)</f>
        <v/>
      </c>
      <c r="J64" s="58"/>
      <c r="K64" s="18" t="str">
        <f>IF(Electricity6[[#This Row],[Month]]&lt;&gt;"",VLOOKUP(Electricity6[[#This Row],[Month]], dropdown!$S$4:$T$15, 2, FALSE),"")</f>
        <v/>
      </c>
      <c r="L64" s="29"/>
      <c r="M64" s="350"/>
      <c r="N64" s="373"/>
    </row>
    <row r="65" spans="9:14" x14ac:dyDescent="0.2">
      <c r="I65" s="194" t="str">
        <f>IF(Electricity6[[#This Row],[Month]]="","",I64+1)</f>
        <v/>
      </c>
      <c r="J65" s="58"/>
      <c r="K65" s="18" t="str">
        <f>IF(Electricity6[[#This Row],[Month]]&lt;&gt;"",VLOOKUP(Electricity6[[#This Row],[Month]], dropdown!$S$4:$T$15, 2, FALSE),"")</f>
        <v/>
      </c>
      <c r="L65" s="29"/>
      <c r="M65" s="350"/>
      <c r="N65" s="373"/>
    </row>
    <row r="66" spans="9:14" x14ac:dyDescent="0.2">
      <c r="I66" s="194" t="str">
        <f>IF(Electricity6[[#This Row],[Month]]="","",I65+1)</f>
        <v/>
      </c>
      <c r="J66" s="58"/>
      <c r="K66" s="18" t="str">
        <f>IF(Electricity6[[#This Row],[Month]]&lt;&gt;"",VLOOKUP(Electricity6[[#This Row],[Month]], dropdown!$S$4:$T$15, 2, FALSE),"")</f>
        <v/>
      </c>
      <c r="L66" s="29"/>
      <c r="M66" s="350"/>
      <c r="N66" s="373"/>
    </row>
    <row r="67" spans="9:14" x14ac:dyDescent="0.2">
      <c r="I67" s="194" t="str">
        <f>IF(Electricity6[[#This Row],[Month]]="","",I66+1)</f>
        <v/>
      </c>
      <c r="J67" s="58"/>
      <c r="K67" s="18" t="str">
        <f>IF(Electricity6[[#This Row],[Month]]&lt;&gt;"",VLOOKUP(Electricity6[[#This Row],[Month]], dropdown!$S$4:$T$15, 2, FALSE),"")</f>
        <v/>
      </c>
      <c r="L67" s="29"/>
      <c r="M67" s="350"/>
      <c r="N67" s="373"/>
    </row>
    <row r="68" spans="9:14" x14ac:dyDescent="0.2">
      <c r="I68" s="194" t="str">
        <f>IF(Electricity6[[#This Row],[Month]]="","",I67+1)</f>
        <v/>
      </c>
      <c r="J68" s="58"/>
      <c r="K68" s="18" t="str">
        <f>IF(Electricity6[[#This Row],[Month]]&lt;&gt;"",VLOOKUP(Electricity6[[#This Row],[Month]], dropdown!$S$4:$T$15, 2, FALSE),"")</f>
        <v/>
      </c>
      <c r="L68" s="29"/>
      <c r="M68" s="350"/>
      <c r="N68" s="373"/>
    </row>
    <row r="69" spans="9:14" x14ac:dyDescent="0.2">
      <c r="I69" s="194" t="str">
        <f>IF(Electricity6[[#This Row],[Month]]="","",I68+1)</f>
        <v/>
      </c>
      <c r="J69" s="58"/>
      <c r="K69" s="18" t="str">
        <f>IF(Electricity6[[#This Row],[Month]]&lt;&gt;"",VLOOKUP(Electricity6[[#This Row],[Month]], dropdown!$S$4:$T$15, 2, FALSE),"")</f>
        <v/>
      </c>
      <c r="L69" s="29"/>
      <c r="M69" s="350"/>
      <c r="N69" s="373"/>
    </row>
    <row r="70" spans="9:14" x14ac:dyDescent="0.2">
      <c r="I70" s="194" t="str">
        <f>IF(Electricity6[[#This Row],[Month]]="","",I69+1)</f>
        <v/>
      </c>
      <c r="J70" s="58"/>
      <c r="K70" s="18" t="str">
        <f>IF(Electricity6[[#This Row],[Month]]&lt;&gt;"",VLOOKUP(Electricity6[[#This Row],[Month]], dropdown!$S$4:$T$15, 2, FALSE),"")</f>
        <v/>
      </c>
      <c r="L70" s="29"/>
      <c r="M70" s="350"/>
      <c r="N70" s="373"/>
    </row>
    <row r="71" spans="9:14" x14ac:dyDescent="0.2">
      <c r="I71" s="194" t="str">
        <f>IF(Electricity6[[#This Row],[Month]]="","",I70+1)</f>
        <v/>
      </c>
      <c r="J71" s="58"/>
      <c r="K71" s="18" t="str">
        <f>IF(Electricity6[[#This Row],[Month]]&lt;&gt;"",VLOOKUP(Electricity6[[#This Row],[Month]], dropdown!$S$4:$T$15, 2, FALSE),"")</f>
        <v/>
      </c>
      <c r="L71" s="29"/>
      <c r="M71" s="350"/>
      <c r="N71" s="373"/>
    </row>
    <row r="72" spans="9:14" x14ac:dyDescent="0.2">
      <c r="I72" s="194" t="str">
        <f>IF(Electricity6[[#This Row],[Month]]="","",I71+1)</f>
        <v/>
      </c>
      <c r="J72" s="58"/>
      <c r="K72" s="18" t="str">
        <f>IF(Electricity6[[#This Row],[Month]]&lt;&gt;"",VLOOKUP(Electricity6[[#This Row],[Month]], dropdown!$S$4:$T$15, 2, FALSE),"")</f>
        <v/>
      </c>
      <c r="L72" s="29"/>
      <c r="M72" s="350"/>
      <c r="N72" s="373"/>
    </row>
    <row r="73" spans="9:14" x14ac:dyDescent="0.2">
      <c r="I73" s="194" t="str">
        <f>IF(Electricity6[[#This Row],[Month]]="","",I72+1)</f>
        <v/>
      </c>
      <c r="J73" s="58"/>
      <c r="K73" s="18" t="str">
        <f>IF(Electricity6[[#This Row],[Month]]&lt;&gt;"",VLOOKUP(Electricity6[[#This Row],[Month]], dropdown!$S$4:$T$15, 2, FALSE),"")</f>
        <v/>
      </c>
      <c r="L73" s="29"/>
      <c r="M73" s="350"/>
      <c r="N73" s="373"/>
    </row>
    <row r="74" spans="9:14" x14ac:dyDescent="0.2">
      <c r="I74" s="194" t="str">
        <f>IF(Electricity6[[#This Row],[Month]]="","",I73+1)</f>
        <v/>
      </c>
      <c r="J74" s="58"/>
      <c r="K74" s="18" t="str">
        <f>IF(Electricity6[[#This Row],[Month]]&lt;&gt;"",VLOOKUP(Electricity6[[#This Row],[Month]], dropdown!$S$4:$T$15, 2, FALSE),"")</f>
        <v/>
      </c>
      <c r="L74" s="29"/>
      <c r="M74" s="350"/>
      <c r="N74" s="373"/>
    </row>
    <row r="75" spans="9:14" x14ac:dyDescent="0.2">
      <c r="I75" s="194" t="str">
        <f>IF(Electricity6[[#This Row],[Month]]="","",I74+1)</f>
        <v/>
      </c>
      <c r="J75" s="58"/>
      <c r="K75" s="18" t="str">
        <f>IF(Electricity6[[#This Row],[Month]]&lt;&gt;"",VLOOKUP(Electricity6[[#This Row],[Month]], dropdown!$S$4:$T$15, 2, FALSE),"")</f>
        <v/>
      </c>
      <c r="L75" s="29"/>
      <c r="M75" s="350"/>
      <c r="N75" s="373"/>
    </row>
    <row r="76" spans="9:14" x14ac:dyDescent="0.2">
      <c r="I76" s="194" t="str">
        <f>IF(Electricity6[[#This Row],[Month]]="","",I75+1)</f>
        <v/>
      </c>
      <c r="J76" s="58"/>
      <c r="K76" s="18" t="str">
        <f>IF(Electricity6[[#This Row],[Month]]&lt;&gt;"",VLOOKUP(Electricity6[[#This Row],[Month]], dropdown!$S$4:$T$15, 2, FALSE),"")</f>
        <v/>
      </c>
      <c r="L76" s="29"/>
      <c r="M76" s="350"/>
      <c r="N76" s="373"/>
    </row>
    <row r="77" spans="9:14" x14ac:dyDescent="0.2">
      <c r="I77" s="194" t="str">
        <f>IF(Electricity6[[#This Row],[Month]]="","",I76+1)</f>
        <v/>
      </c>
      <c r="J77" s="58"/>
      <c r="K77" s="18" t="str">
        <f>IF(Electricity6[[#This Row],[Month]]&lt;&gt;"",VLOOKUP(Electricity6[[#This Row],[Month]], dropdown!$S$4:$T$15, 2, FALSE),"")</f>
        <v/>
      </c>
      <c r="L77" s="29"/>
      <c r="M77" s="350"/>
      <c r="N77" s="373"/>
    </row>
    <row r="78" spans="9:14" x14ac:dyDescent="0.2">
      <c r="I78" s="194" t="str">
        <f>IF(Electricity6[[#This Row],[Month]]="","",I77+1)</f>
        <v/>
      </c>
      <c r="J78" s="58"/>
      <c r="K78" s="18" t="str">
        <f>IF(Electricity6[[#This Row],[Month]]&lt;&gt;"",VLOOKUP(Electricity6[[#This Row],[Month]], dropdown!$S$4:$T$15, 2, FALSE),"")</f>
        <v/>
      </c>
      <c r="L78" s="29"/>
      <c r="M78" s="350"/>
      <c r="N78" s="373"/>
    </row>
    <row r="79" spans="9:14" x14ac:dyDescent="0.2">
      <c r="I79" s="194" t="str">
        <f>IF(Electricity6[[#This Row],[Month]]="","",I78+1)</f>
        <v/>
      </c>
      <c r="J79" s="58"/>
      <c r="K79" s="18" t="str">
        <f>IF(Electricity6[[#This Row],[Month]]&lt;&gt;"",VLOOKUP(Electricity6[[#This Row],[Month]], dropdown!$S$4:$T$15, 2, FALSE),"")</f>
        <v/>
      </c>
      <c r="L79" s="29"/>
      <c r="M79" s="350"/>
      <c r="N79" s="373"/>
    </row>
    <row r="80" spans="9:14" x14ac:dyDescent="0.2">
      <c r="I80" s="194" t="str">
        <f>IF(Electricity6[[#This Row],[Month]]="","",I79+1)</f>
        <v/>
      </c>
      <c r="J80" s="58"/>
      <c r="K80" s="18" t="str">
        <f>IF(Electricity6[[#This Row],[Month]]&lt;&gt;"",VLOOKUP(Electricity6[[#This Row],[Month]], dropdown!$S$4:$T$15, 2, FALSE),"")</f>
        <v/>
      </c>
      <c r="L80" s="29"/>
      <c r="M80" s="350"/>
      <c r="N80" s="373"/>
    </row>
    <row r="81" spans="9:14" x14ac:dyDescent="0.2">
      <c r="I81" s="194" t="str">
        <f>IF(Electricity6[[#This Row],[Month]]="","",I80+1)</f>
        <v/>
      </c>
      <c r="J81" s="58"/>
      <c r="K81" s="18" t="str">
        <f>IF(Electricity6[[#This Row],[Month]]&lt;&gt;"",VLOOKUP(Electricity6[[#This Row],[Month]], dropdown!$S$4:$T$15, 2, FALSE),"")</f>
        <v/>
      </c>
      <c r="L81" s="29"/>
      <c r="M81" s="350"/>
      <c r="N81" s="373"/>
    </row>
    <row r="82" spans="9:14" x14ac:dyDescent="0.2">
      <c r="I82" s="194" t="str">
        <f>IF(Electricity6[[#This Row],[Month]]="","",I81+1)</f>
        <v/>
      </c>
      <c r="J82" s="58"/>
      <c r="K82" s="18" t="str">
        <f>IF(Electricity6[[#This Row],[Month]]&lt;&gt;"",VLOOKUP(Electricity6[[#This Row],[Month]], dropdown!$S$4:$T$15, 2, FALSE),"")</f>
        <v/>
      </c>
      <c r="L82" s="29"/>
      <c r="M82" s="350"/>
      <c r="N82" s="373"/>
    </row>
    <row r="83" spans="9:14" x14ac:dyDescent="0.2">
      <c r="I83" s="194" t="str">
        <f>IF(Electricity6[[#This Row],[Month]]="","",I82+1)</f>
        <v/>
      </c>
      <c r="J83" s="58"/>
      <c r="K83" s="18" t="str">
        <f>IF(Electricity6[[#This Row],[Month]]&lt;&gt;"",VLOOKUP(Electricity6[[#This Row],[Month]], dropdown!$S$4:$T$15, 2, FALSE),"")</f>
        <v/>
      </c>
      <c r="L83" s="29"/>
      <c r="M83" s="350"/>
      <c r="N83" s="373"/>
    </row>
    <row r="84" spans="9:14" x14ac:dyDescent="0.2">
      <c r="I84" s="194" t="str">
        <f>IF(Electricity6[[#This Row],[Month]]="","",I83+1)</f>
        <v/>
      </c>
      <c r="J84" s="58"/>
      <c r="K84" s="18" t="str">
        <f>IF(Electricity6[[#This Row],[Month]]&lt;&gt;"",VLOOKUP(Electricity6[[#This Row],[Month]], dropdown!$S$4:$T$15, 2, FALSE),"")</f>
        <v/>
      </c>
      <c r="L84" s="29"/>
      <c r="M84" s="350"/>
      <c r="N84" s="373"/>
    </row>
    <row r="85" spans="9:14" x14ac:dyDescent="0.2">
      <c r="I85" s="194" t="str">
        <f>IF(Electricity6[[#This Row],[Month]]="","",I84+1)</f>
        <v/>
      </c>
      <c r="J85" s="58"/>
      <c r="K85" s="18" t="str">
        <f>IF(Electricity6[[#This Row],[Month]]&lt;&gt;"",VLOOKUP(Electricity6[[#This Row],[Month]], dropdown!$S$4:$T$15, 2, FALSE),"")</f>
        <v/>
      </c>
      <c r="L85" s="29"/>
      <c r="M85" s="350"/>
      <c r="N85" s="373"/>
    </row>
    <row r="86" spans="9:14" x14ac:dyDescent="0.2">
      <c r="I86" s="194" t="str">
        <f>IF(Electricity6[[#This Row],[Month]]="","",I85+1)</f>
        <v/>
      </c>
      <c r="J86" s="58"/>
      <c r="K86" s="18" t="str">
        <f>IF(Electricity6[[#This Row],[Month]]&lt;&gt;"",VLOOKUP(Electricity6[[#This Row],[Month]], dropdown!$S$4:$T$15, 2, FALSE),"")</f>
        <v/>
      </c>
      <c r="L86" s="29"/>
      <c r="M86" s="350"/>
      <c r="N86" s="373"/>
    </row>
    <row r="87" spans="9:14" x14ac:dyDescent="0.2">
      <c r="I87" s="194" t="str">
        <f>IF(Electricity6[[#This Row],[Month]]="","",I86+1)</f>
        <v/>
      </c>
      <c r="J87" s="58"/>
      <c r="K87" s="18" t="str">
        <f>IF(Electricity6[[#This Row],[Month]]&lt;&gt;"",VLOOKUP(Electricity6[[#This Row],[Month]], dropdown!$S$4:$T$15, 2, FALSE),"")</f>
        <v/>
      </c>
      <c r="L87" s="29"/>
      <c r="M87" s="350"/>
      <c r="N87" s="373"/>
    </row>
    <row r="88" spans="9:14" x14ac:dyDescent="0.2">
      <c r="I88" s="194" t="str">
        <f>IF(Electricity6[[#This Row],[Month]]="","",I87+1)</f>
        <v/>
      </c>
      <c r="J88" s="58"/>
      <c r="K88" s="18" t="str">
        <f>IF(Electricity6[[#This Row],[Month]]&lt;&gt;"",VLOOKUP(Electricity6[[#This Row],[Month]], dropdown!$S$4:$T$15, 2, FALSE),"")</f>
        <v/>
      </c>
      <c r="L88" s="29"/>
      <c r="M88" s="350"/>
      <c r="N88" s="373"/>
    </row>
    <row r="89" spans="9:14" x14ac:dyDescent="0.2">
      <c r="I89" s="194" t="str">
        <f>IF(Electricity6[[#This Row],[Month]]="","",I88+1)</f>
        <v/>
      </c>
      <c r="J89" s="58"/>
      <c r="K89" s="18" t="str">
        <f>IF(Electricity6[[#This Row],[Month]]&lt;&gt;"",VLOOKUP(Electricity6[[#This Row],[Month]], dropdown!$S$4:$T$15, 2, FALSE),"")</f>
        <v/>
      </c>
      <c r="L89" s="29"/>
      <c r="M89" s="350"/>
      <c r="N89" s="373"/>
    </row>
    <row r="90" spans="9:14" x14ac:dyDescent="0.2">
      <c r="I90" s="194" t="str">
        <f>IF(Electricity6[[#This Row],[Month]]="","",I89+1)</f>
        <v/>
      </c>
      <c r="J90" s="58"/>
      <c r="K90" s="18" t="str">
        <f>IF(Electricity6[[#This Row],[Month]]&lt;&gt;"",VLOOKUP(Electricity6[[#This Row],[Month]], dropdown!$S$4:$T$15, 2, FALSE),"")</f>
        <v/>
      </c>
      <c r="L90" s="29"/>
      <c r="M90" s="350"/>
      <c r="N90" s="373"/>
    </row>
    <row r="91" spans="9:14" x14ac:dyDescent="0.2">
      <c r="I91" s="194" t="str">
        <f>IF(Electricity6[[#This Row],[Month]]="","",I90+1)</f>
        <v/>
      </c>
      <c r="J91" s="58"/>
      <c r="K91" s="18" t="str">
        <f>IF(Electricity6[[#This Row],[Month]]&lt;&gt;"",VLOOKUP(Electricity6[[#This Row],[Month]], dropdown!$S$4:$T$15, 2, FALSE),"")</f>
        <v/>
      </c>
      <c r="L91" s="29"/>
      <c r="M91" s="350"/>
      <c r="N91" s="373"/>
    </row>
    <row r="92" spans="9:14" x14ac:dyDescent="0.2">
      <c r="I92" s="194" t="str">
        <f>IF(Electricity6[[#This Row],[Month]]="","",I91+1)</f>
        <v/>
      </c>
      <c r="J92" s="58"/>
      <c r="K92" s="18" t="str">
        <f>IF(Electricity6[[#This Row],[Month]]&lt;&gt;"",VLOOKUP(Electricity6[[#This Row],[Month]], dropdown!$S$4:$T$15, 2, FALSE),"")</f>
        <v/>
      </c>
      <c r="L92" s="29"/>
      <c r="M92" s="350"/>
      <c r="N92" s="373"/>
    </row>
    <row r="93" spans="9:14" x14ac:dyDescent="0.2">
      <c r="I93" s="194" t="str">
        <f>IF(Electricity6[[#This Row],[Month]]="","",I92+1)</f>
        <v/>
      </c>
      <c r="J93" s="58"/>
      <c r="K93" s="18" t="str">
        <f>IF(Electricity6[[#This Row],[Month]]&lt;&gt;"",VLOOKUP(Electricity6[[#This Row],[Month]], dropdown!$S$4:$T$15, 2, FALSE),"")</f>
        <v/>
      </c>
      <c r="L93" s="29"/>
      <c r="M93" s="350"/>
      <c r="N93" s="373"/>
    </row>
    <row r="94" spans="9:14" x14ac:dyDescent="0.2">
      <c r="I94" s="194" t="str">
        <f>IF(Electricity6[[#This Row],[Month]]="","",I93+1)</f>
        <v/>
      </c>
      <c r="J94" s="58"/>
      <c r="K94" s="18" t="str">
        <f>IF(Electricity6[[#This Row],[Month]]&lt;&gt;"",VLOOKUP(Electricity6[[#This Row],[Month]], dropdown!$S$4:$T$15, 2, FALSE),"")</f>
        <v/>
      </c>
      <c r="L94" s="29"/>
      <c r="M94" s="350"/>
      <c r="N94" s="373"/>
    </row>
    <row r="95" spans="9:14" x14ac:dyDescent="0.2">
      <c r="I95" s="194" t="str">
        <f>IF(Electricity6[[#This Row],[Month]]="","",I94+1)</f>
        <v/>
      </c>
      <c r="J95" s="58"/>
      <c r="K95" s="18" t="str">
        <f>IF(Electricity6[[#This Row],[Month]]&lt;&gt;"",VLOOKUP(Electricity6[[#This Row],[Month]], dropdown!$S$4:$T$15, 2, FALSE),"")</f>
        <v/>
      </c>
      <c r="L95" s="29"/>
      <c r="M95" s="350"/>
      <c r="N95" s="373"/>
    </row>
    <row r="96" spans="9:14" x14ac:dyDescent="0.2">
      <c r="I96" s="194" t="str">
        <f>IF(Electricity6[[#This Row],[Month]]="","",I95+1)</f>
        <v/>
      </c>
      <c r="J96" s="58"/>
      <c r="K96" s="18" t="str">
        <f>IF(Electricity6[[#This Row],[Month]]&lt;&gt;"",VLOOKUP(Electricity6[[#This Row],[Month]], dropdown!$S$4:$T$15, 2, FALSE),"")</f>
        <v/>
      </c>
      <c r="L96" s="29"/>
      <c r="M96" s="350"/>
      <c r="N96" s="373"/>
    </row>
    <row r="97" spans="9:14" x14ac:dyDescent="0.2">
      <c r="I97" s="194" t="str">
        <f>IF(Electricity6[[#This Row],[Month]]="","",I96+1)</f>
        <v/>
      </c>
      <c r="J97" s="58"/>
      <c r="K97" s="18" t="str">
        <f>IF(Electricity6[[#This Row],[Month]]&lt;&gt;"",VLOOKUP(Electricity6[[#This Row],[Month]], dropdown!$S$4:$T$15, 2, FALSE),"")</f>
        <v/>
      </c>
      <c r="L97" s="29"/>
      <c r="M97" s="350"/>
      <c r="N97" s="373"/>
    </row>
    <row r="98" spans="9:14" x14ac:dyDescent="0.2">
      <c r="I98" s="194" t="str">
        <f>IF(Electricity6[[#This Row],[Month]]="","",I97+1)</f>
        <v/>
      </c>
      <c r="J98" s="58"/>
      <c r="K98" s="18" t="str">
        <f>IF(Electricity6[[#This Row],[Month]]&lt;&gt;"",VLOOKUP(Electricity6[[#This Row],[Month]], dropdown!$S$4:$T$15, 2, FALSE),"")</f>
        <v/>
      </c>
      <c r="L98" s="29"/>
      <c r="M98" s="350"/>
      <c r="N98" s="373"/>
    </row>
    <row r="99" spans="9:14" x14ac:dyDescent="0.2">
      <c r="I99" s="194" t="str">
        <f>IF(Electricity6[[#This Row],[Month]]="","",I98+1)</f>
        <v/>
      </c>
      <c r="J99" s="58"/>
      <c r="K99" s="18" t="str">
        <f>IF(Electricity6[[#This Row],[Month]]&lt;&gt;"",VLOOKUP(Electricity6[[#This Row],[Month]], dropdown!$S$4:$T$15, 2, FALSE),"")</f>
        <v/>
      </c>
      <c r="L99" s="29"/>
      <c r="M99" s="350"/>
      <c r="N99" s="373"/>
    </row>
    <row r="100" spans="9:14" x14ac:dyDescent="0.2">
      <c r="I100" s="194" t="str">
        <f>IF(Electricity6[[#This Row],[Month]]="","",I99+1)</f>
        <v/>
      </c>
      <c r="J100" s="58"/>
      <c r="K100" s="18" t="str">
        <f>IF(Electricity6[[#This Row],[Month]]&lt;&gt;"",VLOOKUP(Electricity6[[#This Row],[Month]], dropdown!$S$4:$T$15, 2, FALSE),"")</f>
        <v/>
      </c>
      <c r="L100" s="29"/>
      <c r="M100" s="350"/>
      <c r="N100" s="373"/>
    </row>
    <row r="101" spans="9:14" x14ac:dyDescent="0.2">
      <c r="I101" s="194" t="str">
        <f>IF(Electricity6[[#This Row],[Month]]="","",I100+1)</f>
        <v/>
      </c>
      <c r="J101" s="58"/>
      <c r="K101" s="18" t="str">
        <f>IF(Electricity6[[#This Row],[Month]]&lt;&gt;"",VLOOKUP(Electricity6[[#This Row],[Month]], dropdown!$S$4:$T$15, 2, FALSE),"")</f>
        <v/>
      </c>
      <c r="L101" s="29"/>
      <c r="M101" s="350"/>
      <c r="N101" s="373"/>
    </row>
    <row r="102" spans="9:14" x14ac:dyDescent="0.2">
      <c r="I102" s="194" t="str">
        <f>IF(Electricity6[[#This Row],[Month]]="","",I101+1)</f>
        <v/>
      </c>
      <c r="J102" s="58"/>
      <c r="K102" s="18" t="str">
        <f>IF(Electricity6[[#This Row],[Month]]&lt;&gt;"",VLOOKUP(Electricity6[[#This Row],[Month]], dropdown!$S$4:$T$15, 2, FALSE),"")</f>
        <v/>
      </c>
      <c r="L102" s="29"/>
      <c r="M102" s="350"/>
      <c r="N102" s="373"/>
    </row>
    <row r="103" spans="9:14" x14ac:dyDescent="0.2">
      <c r="I103" s="194" t="str">
        <f>IF(Electricity6[[#This Row],[Month]]="","",I102+1)</f>
        <v/>
      </c>
      <c r="J103" s="58"/>
      <c r="K103" s="18" t="str">
        <f>IF(Electricity6[[#This Row],[Month]]&lt;&gt;"",VLOOKUP(Electricity6[[#This Row],[Month]], dropdown!$S$4:$T$15, 2, FALSE),"")</f>
        <v/>
      </c>
      <c r="L103" s="29"/>
      <c r="M103" s="350"/>
      <c r="N103" s="373"/>
    </row>
    <row r="104" spans="9:14" x14ac:dyDescent="0.2">
      <c r="I104" s="194" t="str">
        <f>IF(Electricity6[[#This Row],[Month]]="","",I103+1)</f>
        <v/>
      </c>
      <c r="J104" s="58"/>
      <c r="K104" s="18" t="str">
        <f>IF(Electricity6[[#This Row],[Month]]&lt;&gt;"",VLOOKUP(Electricity6[[#This Row],[Month]], dropdown!$S$4:$T$15, 2, FALSE),"")</f>
        <v/>
      </c>
      <c r="L104" s="29"/>
      <c r="M104" s="350"/>
      <c r="N104" s="373"/>
    </row>
    <row r="105" spans="9:14" x14ac:dyDescent="0.2">
      <c r="I105" s="194" t="str">
        <f>IF(Electricity6[[#This Row],[Month]]="","",I104+1)</f>
        <v/>
      </c>
      <c r="J105" s="58"/>
      <c r="K105" s="18" t="str">
        <f>IF(Electricity6[[#This Row],[Month]]&lt;&gt;"",VLOOKUP(Electricity6[[#This Row],[Month]], dropdown!$S$4:$T$15, 2, FALSE),"")</f>
        <v/>
      </c>
      <c r="L105" s="29"/>
      <c r="M105" s="350"/>
      <c r="N105" s="373"/>
    </row>
    <row r="106" spans="9:14" x14ac:dyDescent="0.2">
      <c r="I106" s="194" t="str">
        <f>IF(Electricity6[[#This Row],[Month]]="","",I105+1)</f>
        <v/>
      </c>
      <c r="J106" s="58"/>
      <c r="K106" s="18" t="str">
        <f>IF(Electricity6[[#This Row],[Month]]&lt;&gt;"",VLOOKUP(Electricity6[[#This Row],[Month]], dropdown!$S$4:$T$15, 2, FALSE),"")</f>
        <v/>
      </c>
      <c r="L106" s="29"/>
      <c r="M106" s="350"/>
      <c r="N106" s="373"/>
    </row>
    <row r="108" spans="9:14" x14ac:dyDescent="0.2">
      <c r="I108" s="322" t="s">
        <v>178</v>
      </c>
    </row>
  </sheetData>
  <sheetProtection algorithmName="SHA-512" hashValue="bZFQmGjgoQSfJdzfz2Lr7x3lRDomTp7YUms//lfuRhs0WWVWgaLgcg/MTHOgS/E4ZKMA/X6nj1KdD9BMWMDFYw==" saltValue="eWzfQf6lyfdFwQGX0tts3w==" spinCount="100000" sheet="1" objects="1" scenarios="1" selectLockedCells="1"/>
  <mergeCells count="2">
    <mergeCell ref="C6:G6"/>
    <mergeCell ref="C7:G7"/>
  </mergeCells>
  <pageMargins left="0.7" right="0.7" top="0.75" bottom="0.75" header="0.3" footer="0.3"/>
  <pageSetup orientation="portrait" horizontalDpi="0" verticalDpi="0"/>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6C1CE5BB-597C-B14F-8997-E025974B4DB9}">
          <x14:formula1>
            <xm:f>dropdown!$S$4:$S$15</xm:f>
          </x14:formula1>
          <xm:sqref>J7:J106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5D3A6-FC47-8B42-80B2-3630DE93CB5F}">
  <sheetPr codeName="Sheet10">
    <tabColor rgb="FF00B0F0"/>
  </sheetPr>
  <dimension ref="B2:W109"/>
  <sheetViews>
    <sheetView showGridLines="0" zoomScale="85" zoomScaleNormal="85" workbookViewId="0">
      <selection activeCell="L22" sqref="L22"/>
    </sheetView>
  </sheetViews>
  <sheetFormatPr baseColWidth="10" defaultColWidth="10.83203125" defaultRowHeight="15" customHeight="1" x14ac:dyDescent="0.2"/>
  <cols>
    <col min="1" max="1" width="2.6640625" style="20" customWidth="1"/>
    <col min="2" max="2" width="28.5" style="11" bestFit="1" customWidth="1"/>
    <col min="3" max="3" width="11.83203125" style="11" bestFit="1" customWidth="1"/>
    <col min="4" max="7" width="8.33203125" style="11" customWidth="1"/>
    <col min="8" max="8" width="3" style="20" customWidth="1"/>
    <col min="9" max="9" width="5.33203125" style="12" customWidth="1"/>
    <col min="10" max="10" width="15.33203125" style="21" customWidth="1"/>
    <col min="11" max="11" width="7.6640625" style="21" customWidth="1"/>
    <col min="12" max="12" width="22.33203125" style="21" customWidth="1"/>
    <col min="13" max="13" width="18.5" style="21" customWidth="1"/>
    <col min="14" max="14" width="12.33203125" style="22" customWidth="1"/>
    <col min="15" max="15" width="8.83203125" style="20" customWidth="1"/>
    <col min="16" max="16" width="8.6640625" style="20" customWidth="1"/>
    <col min="17" max="17" width="18" style="11" customWidth="1"/>
    <col min="18" max="18" width="7.6640625" style="20" customWidth="1"/>
    <col min="19" max="19" width="26" style="20" customWidth="1"/>
    <col min="20" max="20" width="23.83203125" style="20" customWidth="1"/>
    <col min="21" max="21" width="12.33203125" style="22" customWidth="1"/>
    <col min="22" max="22" width="23.6640625" style="20" customWidth="1"/>
    <col min="23" max="23" width="23.83203125" style="21" customWidth="1"/>
    <col min="24" max="24" width="3.33203125" style="20" customWidth="1"/>
    <col min="25" max="16384" width="10.83203125" style="20"/>
  </cols>
  <sheetData>
    <row r="2" spans="2:23" ht="19" x14ac:dyDescent="0.25">
      <c r="B2" s="257" t="s">
        <v>29</v>
      </c>
      <c r="C2" s="31"/>
      <c r="D2" s="31"/>
      <c r="E2" s="31"/>
      <c r="F2" s="31"/>
      <c r="G2" s="32"/>
      <c r="I2" s="135" t="s">
        <v>215</v>
      </c>
      <c r="J2" s="131"/>
      <c r="K2" s="63"/>
      <c r="L2" s="63"/>
      <c r="M2" s="63"/>
      <c r="N2" s="64"/>
      <c r="O2" s="67"/>
      <c r="P2" s="67"/>
      <c r="Q2" s="133"/>
      <c r="R2" s="67"/>
      <c r="S2" s="67"/>
      <c r="T2" s="67"/>
      <c r="U2" s="142"/>
      <c r="V2" s="67"/>
      <c r="W2" s="365"/>
    </row>
    <row r="3" spans="2:23" ht="14" x14ac:dyDescent="0.2">
      <c r="B3" s="33" t="s">
        <v>8</v>
      </c>
      <c r="C3" s="34"/>
      <c r="D3" s="35" t="s">
        <v>168</v>
      </c>
      <c r="E3" s="34"/>
      <c r="F3" s="34" t="s">
        <v>169</v>
      </c>
      <c r="G3" s="36"/>
      <c r="I3" s="54" t="s">
        <v>216</v>
      </c>
      <c r="J3" s="366"/>
      <c r="W3" s="367"/>
    </row>
    <row r="4" spans="2:23" ht="14" x14ac:dyDescent="0.2">
      <c r="B4" s="161" t="str">
        <f>'1. Data Info and Summary'!$D$2</f>
        <v>Zamboanga Branch</v>
      </c>
      <c r="C4" s="37"/>
      <c r="D4" s="38">
        <f>IF('1. Data Info and Summary'!$D$3=0,"-",'1. Data Info and Summary'!$D$3)</f>
        <v>2024</v>
      </c>
      <c r="E4" s="37"/>
      <c r="F4" s="37" t="s">
        <v>164</v>
      </c>
      <c r="G4" s="39"/>
      <c r="I4" s="136" t="s">
        <v>217</v>
      </c>
      <c r="J4" s="132"/>
      <c r="K4" s="25"/>
      <c r="L4" s="25"/>
      <c r="M4" s="25"/>
      <c r="N4" s="26"/>
      <c r="O4" s="24"/>
      <c r="P4" s="24"/>
      <c r="Q4" s="43"/>
      <c r="R4" s="24"/>
      <c r="S4" s="24"/>
      <c r="T4" s="24"/>
      <c r="U4" s="26"/>
      <c r="V4" s="24"/>
      <c r="W4" s="368"/>
    </row>
    <row r="5" spans="2:23" ht="14" x14ac:dyDescent="0.2">
      <c r="B5" s="212"/>
      <c r="C5" s="213"/>
      <c r="D5" s="212"/>
      <c r="E5" s="213"/>
      <c r="F5" s="213"/>
      <c r="G5" s="213"/>
      <c r="I5" s="322"/>
      <c r="J5" s="333"/>
    </row>
    <row r="6" spans="2:23" ht="14" x14ac:dyDescent="0.2">
      <c r="B6" s="278" t="s">
        <v>172</v>
      </c>
      <c r="C6" s="447" t="s">
        <v>1432</v>
      </c>
      <c r="D6" s="448"/>
      <c r="E6" s="448"/>
      <c r="F6" s="448"/>
      <c r="G6" s="449"/>
      <c r="I6" s="134" t="s">
        <v>120</v>
      </c>
      <c r="J6" s="65"/>
      <c r="K6" s="65"/>
      <c r="L6" s="65"/>
      <c r="M6" s="65"/>
      <c r="N6" s="66"/>
      <c r="P6" s="134" t="s">
        <v>128</v>
      </c>
      <c r="Q6" s="65"/>
      <c r="R6" s="65"/>
      <c r="S6" s="65"/>
      <c r="T6" s="66"/>
      <c r="U6" s="66"/>
      <c r="W6" s="20"/>
    </row>
    <row r="7" spans="2:23" ht="12.75" customHeight="1" x14ac:dyDescent="0.2">
      <c r="B7" s="278" t="s">
        <v>174</v>
      </c>
      <c r="C7" s="450">
        <v>45912</v>
      </c>
      <c r="D7" s="448"/>
      <c r="E7" s="448"/>
      <c r="F7" s="448"/>
      <c r="G7" s="449"/>
      <c r="I7" s="248" t="s">
        <v>173</v>
      </c>
      <c r="J7" s="249" t="s">
        <v>39</v>
      </c>
      <c r="K7" s="249" t="s">
        <v>43</v>
      </c>
      <c r="L7" s="249" t="s">
        <v>122</v>
      </c>
      <c r="M7" s="250" t="s">
        <v>125</v>
      </c>
      <c r="N7" s="253" t="s">
        <v>54</v>
      </c>
      <c r="O7" s="68"/>
      <c r="P7" s="248" t="s">
        <v>173</v>
      </c>
      <c r="Q7" s="249" t="s">
        <v>39</v>
      </c>
      <c r="R7" s="249" t="s">
        <v>43</v>
      </c>
      <c r="S7" s="261" t="s">
        <v>131</v>
      </c>
      <c r="T7" s="250" t="s">
        <v>218</v>
      </c>
      <c r="U7" s="262" t="s">
        <v>54</v>
      </c>
      <c r="W7" s="20"/>
    </row>
    <row r="8" spans="2:23" ht="14" x14ac:dyDescent="0.2">
      <c r="B8" s="20"/>
      <c r="C8" s="20"/>
      <c r="D8" s="20"/>
      <c r="E8" s="20"/>
      <c r="F8" s="20"/>
      <c r="G8" s="20"/>
      <c r="I8" s="194">
        <f>IF($M8="","",1)</f>
        <v>1</v>
      </c>
      <c r="J8" s="58" t="s">
        <v>338</v>
      </c>
      <c r="K8" s="18" t="str">
        <f>IF(water_in[[#This Row],[Month]]&lt;&gt;"",VLOOKUP(water_in[[#This Row],[Month]], dropdown!$S$4:$T$15, 2, FALSE),"")</f>
        <v>Q1</v>
      </c>
      <c r="L8" s="58" t="s">
        <v>124</v>
      </c>
      <c r="M8" s="29">
        <v>530</v>
      </c>
      <c r="N8" s="195"/>
      <c r="O8" s="44"/>
      <c r="P8" s="194">
        <f>IF($T8="","",1)</f>
        <v>1</v>
      </c>
      <c r="Q8" s="58" t="s">
        <v>338</v>
      </c>
      <c r="R8" s="18" t="str">
        <f>IF(water_out[[#This Row],[Month]]&lt;&gt;"",VLOOKUP(water_out[[#This Row],[Month]], dropdown!$S$4:$T$15, 2, FALSE),"")</f>
        <v>Q1</v>
      </c>
      <c r="S8" s="60" t="s">
        <v>364</v>
      </c>
      <c r="T8" s="29">
        <v>530</v>
      </c>
      <c r="U8" s="195" t="s">
        <v>1475</v>
      </c>
      <c r="W8" s="20"/>
    </row>
    <row r="9" spans="2:23" ht="14" x14ac:dyDescent="0.2">
      <c r="B9" s="14" t="s">
        <v>219</v>
      </c>
      <c r="C9" s="14"/>
      <c r="D9" s="14"/>
      <c r="E9" s="14"/>
      <c r="F9" s="14"/>
      <c r="G9" s="14"/>
      <c r="I9" s="194">
        <f>IF($M9="","",$I8+1)</f>
        <v>2</v>
      </c>
      <c r="J9" s="58" t="s">
        <v>89</v>
      </c>
      <c r="K9" s="18" t="str">
        <f>IF(water_in[[#This Row],[Month]]&lt;&gt;"",VLOOKUP(water_in[[#This Row],[Month]], dropdown!$S$4:$T$15, 2, FALSE),"")</f>
        <v>Q1</v>
      </c>
      <c r="L9" s="58" t="s">
        <v>124</v>
      </c>
      <c r="M9" s="29">
        <v>530</v>
      </c>
      <c r="N9" s="195"/>
      <c r="O9" s="44"/>
      <c r="P9" s="194">
        <f>IF($T9="","",$P8+1)</f>
        <v>2</v>
      </c>
      <c r="Q9" s="58" t="s">
        <v>89</v>
      </c>
      <c r="R9" s="18" t="str">
        <f>IF(water_out[[#This Row],[Month]]&lt;&gt;"",VLOOKUP(water_out[[#This Row],[Month]], dropdown!$S$4:$T$15, 2, FALSE),"")</f>
        <v>Q1</v>
      </c>
      <c r="S9" s="60" t="s">
        <v>364</v>
      </c>
      <c r="T9" s="29">
        <v>530</v>
      </c>
      <c r="U9" s="195" t="s">
        <v>1475</v>
      </c>
      <c r="W9" s="20"/>
    </row>
    <row r="10" spans="2:23" ht="14" x14ac:dyDescent="0.2">
      <c r="B10" s="13" t="s">
        <v>157</v>
      </c>
      <c r="C10" s="13" t="s">
        <v>51</v>
      </c>
      <c r="D10" s="40" t="s">
        <v>45</v>
      </c>
      <c r="E10" s="40" t="s">
        <v>149</v>
      </c>
      <c r="F10" s="40" t="s">
        <v>150</v>
      </c>
      <c r="G10" s="40" t="s">
        <v>151</v>
      </c>
      <c r="I10" s="194">
        <f t="shared" ref="I10:I73" si="0">IF($M10="","",$I9+1)</f>
        <v>3</v>
      </c>
      <c r="J10" s="58" t="s">
        <v>362</v>
      </c>
      <c r="K10" s="426" t="str">
        <f>IF(water_in[[#This Row],[Month]]&lt;&gt;"",VLOOKUP(water_in[[#This Row],[Month]], dropdown!$S$4:$T$15, 2, FALSE),"")</f>
        <v>Q1</v>
      </c>
      <c r="L10" s="58" t="s">
        <v>124</v>
      </c>
      <c r="M10" s="29">
        <v>198</v>
      </c>
      <c r="N10" s="195"/>
      <c r="O10" s="44"/>
      <c r="P10" s="194">
        <f t="shared" ref="P10:P73" si="1">IF($T10="","",$P9+1)</f>
        <v>3</v>
      </c>
      <c r="Q10" s="58" t="s">
        <v>362</v>
      </c>
      <c r="R10" s="18" t="str">
        <f>IF(water_out[[#This Row],[Month]]&lt;&gt;"",VLOOKUP(water_out[[#This Row],[Month]], dropdown!$S$4:$T$15, 2, FALSE),"")</f>
        <v>Q1</v>
      </c>
      <c r="S10" s="60" t="s">
        <v>364</v>
      </c>
      <c r="T10" s="29">
        <v>198</v>
      </c>
      <c r="U10" s="195" t="s">
        <v>1475</v>
      </c>
      <c r="W10" s="20"/>
    </row>
    <row r="11" spans="2:23" ht="14" x14ac:dyDescent="0.2">
      <c r="B11" s="17" t="s">
        <v>120</v>
      </c>
      <c r="C11" s="17" t="s">
        <v>220</v>
      </c>
      <c r="D11" s="41">
        <f>SUMIFS(water_in[Volume (m3)],water_in[Quarter],D$10)</f>
        <v>1258</v>
      </c>
      <c r="E11" s="41">
        <f>SUMIFS(water_in[Volume (m3)],water_in[Quarter],E$10)</f>
        <v>336</v>
      </c>
      <c r="F11" s="41">
        <f>SUMIFS(water_in[Volume (m3)],water_in[Quarter],F$10)</f>
        <v>585</v>
      </c>
      <c r="G11" s="41">
        <f>SUMIFS(water_in[Volume (m3)],water_in[Quarter],G$10)</f>
        <v>620</v>
      </c>
      <c r="I11" s="194">
        <f t="shared" si="0"/>
        <v>4</v>
      </c>
      <c r="J11" s="58" t="s">
        <v>371</v>
      </c>
      <c r="K11" s="426" t="str">
        <f>IF(water_in[[#This Row],[Month]]&lt;&gt;"",VLOOKUP(water_in[[#This Row],[Month]], dropdown!$S$4:$T$15, 2, FALSE),"")</f>
        <v>Q2</v>
      </c>
      <c r="L11" s="58" t="s">
        <v>124</v>
      </c>
      <c r="M11" s="29">
        <v>52</v>
      </c>
      <c r="N11" s="195"/>
      <c r="O11" s="44"/>
      <c r="P11" s="194">
        <f t="shared" si="1"/>
        <v>4</v>
      </c>
      <c r="Q11" s="58" t="s">
        <v>371</v>
      </c>
      <c r="R11" s="18" t="str">
        <f>IF(water_out[[#This Row],[Month]]&lt;&gt;"",VLOOKUP(water_out[[#This Row],[Month]], dropdown!$S$4:$T$15, 2, FALSE),"")</f>
        <v>Q2</v>
      </c>
      <c r="S11" s="60" t="s">
        <v>364</v>
      </c>
      <c r="T11" s="29">
        <v>52</v>
      </c>
      <c r="U11" s="195" t="s">
        <v>1475</v>
      </c>
      <c r="W11" s="20"/>
    </row>
    <row r="12" spans="2:23" ht="14" x14ac:dyDescent="0.2">
      <c r="B12" s="17" t="s">
        <v>128</v>
      </c>
      <c r="C12" s="17" t="s">
        <v>220</v>
      </c>
      <c r="D12" s="41">
        <f>SUMIFS(water_out[Volume2 (m3)],water_out[Quarter],D$10)</f>
        <v>1258</v>
      </c>
      <c r="E12" s="41">
        <f>SUMIFS(water_out[Volume2 (m3)],water_out[Quarter],E$10)</f>
        <v>336</v>
      </c>
      <c r="F12" s="41">
        <f>SUMIFS(water_out[Volume2 (m3)],water_out[Quarter],F$10)</f>
        <v>585</v>
      </c>
      <c r="G12" s="41">
        <f>SUMIFS(water_out[Volume2 (m3)],water_out[Quarter],G$10)</f>
        <v>620</v>
      </c>
      <c r="I12" s="194">
        <f t="shared" si="0"/>
        <v>5</v>
      </c>
      <c r="J12" s="58" t="s">
        <v>379</v>
      </c>
      <c r="K12" s="426" t="str">
        <f>IF(water_in[[#This Row],[Month]]&lt;&gt;"",VLOOKUP(water_in[[#This Row],[Month]], dropdown!$S$4:$T$15, 2, FALSE),"")</f>
        <v>Q2</v>
      </c>
      <c r="L12" s="58" t="s">
        <v>124</v>
      </c>
      <c r="M12" s="29">
        <v>167</v>
      </c>
      <c r="N12" s="195"/>
      <c r="O12" s="44" t="str">
        <f>IF(J12="","",VLOOKUP($J12,dropdown!$S$3:$T$15,2,FALSE))</f>
        <v>Q2</v>
      </c>
      <c r="P12" s="194">
        <f t="shared" si="1"/>
        <v>5</v>
      </c>
      <c r="Q12" s="58" t="s">
        <v>379</v>
      </c>
      <c r="R12" s="18" t="str">
        <f>IF(water_out[[#This Row],[Month]]&lt;&gt;"",VLOOKUP(water_out[[#This Row],[Month]], dropdown!$S$4:$T$15, 2, FALSE),"")</f>
        <v>Q2</v>
      </c>
      <c r="S12" s="60" t="s">
        <v>364</v>
      </c>
      <c r="T12" s="29">
        <v>167</v>
      </c>
      <c r="U12" s="195" t="s">
        <v>1475</v>
      </c>
      <c r="W12" s="20"/>
    </row>
    <row r="13" spans="2:23" ht="14" x14ac:dyDescent="0.2">
      <c r="D13" s="167" t="str">
        <f>IF(SUM(D$11:D$12)&gt;0,"x","")</f>
        <v>x</v>
      </c>
      <c r="E13" s="167" t="str">
        <f>IF(SUM(E$11:E$12)&gt;0,"x","")</f>
        <v>x</v>
      </c>
      <c r="F13" s="167" t="str">
        <f>IF(SUM(F$11:F$12)&gt;0,"x","")</f>
        <v>x</v>
      </c>
      <c r="G13" s="167" t="str">
        <f>IF(SUM(G$11:G$12)&gt;0,"x","")</f>
        <v>x</v>
      </c>
      <c r="I13" s="194">
        <f t="shared" si="0"/>
        <v>6</v>
      </c>
      <c r="J13" s="58" t="s">
        <v>386</v>
      </c>
      <c r="K13" s="426" t="str">
        <f>IF(water_in[[#This Row],[Month]]&lt;&gt;"",VLOOKUP(water_in[[#This Row],[Month]], dropdown!$S$4:$T$15, 2, FALSE),"")</f>
        <v>Q2</v>
      </c>
      <c r="L13" s="58" t="s">
        <v>124</v>
      </c>
      <c r="M13" s="29">
        <v>117</v>
      </c>
      <c r="N13" s="195"/>
      <c r="O13" s="44" t="str">
        <f>IF(J13="","",VLOOKUP($J13,dropdown!$S$3:$T$15,2,FALSE))</f>
        <v>Q2</v>
      </c>
      <c r="P13" s="194">
        <f t="shared" si="1"/>
        <v>6</v>
      </c>
      <c r="Q13" s="58" t="s">
        <v>386</v>
      </c>
      <c r="R13" s="18" t="str">
        <f>IF(water_out[[#This Row],[Month]]&lt;&gt;"",VLOOKUP(water_out[[#This Row],[Month]], dropdown!$S$4:$T$15, 2, FALSE),"")</f>
        <v>Q2</v>
      </c>
      <c r="S13" s="60" t="s">
        <v>364</v>
      </c>
      <c r="T13" s="29">
        <v>117</v>
      </c>
      <c r="U13" s="195" t="s">
        <v>1475</v>
      </c>
      <c r="W13" s="20"/>
    </row>
    <row r="14" spans="2:23" ht="14" x14ac:dyDescent="0.2">
      <c r="B14" s="119" t="s">
        <v>38</v>
      </c>
      <c r="I14" s="194">
        <f t="shared" si="0"/>
        <v>7</v>
      </c>
      <c r="J14" s="58" t="s">
        <v>390</v>
      </c>
      <c r="K14" s="426" t="str">
        <f>IF(water_in[[#This Row],[Month]]&lt;&gt;"",VLOOKUP(water_in[[#This Row],[Month]], dropdown!$S$4:$T$15, 2, FALSE),"")</f>
        <v>Q3</v>
      </c>
      <c r="L14" s="58" t="s">
        <v>124</v>
      </c>
      <c r="M14" s="29">
        <v>143</v>
      </c>
      <c r="N14" s="195"/>
      <c r="O14" s="44" t="str">
        <f>IF(J14="","",VLOOKUP($J14,dropdown!$S$3:$T$15,2,FALSE))</f>
        <v>Q3</v>
      </c>
      <c r="P14" s="194">
        <f t="shared" si="1"/>
        <v>7</v>
      </c>
      <c r="Q14" s="58" t="s">
        <v>390</v>
      </c>
      <c r="R14" s="18" t="str">
        <f>IF(water_out[[#This Row],[Month]]&lt;&gt;"",VLOOKUP(water_out[[#This Row],[Month]], dropdown!$S$4:$T$15, 2, FALSE),"")</f>
        <v>Q3</v>
      </c>
      <c r="S14" s="60" t="s">
        <v>364</v>
      </c>
      <c r="T14" s="29">
        <v>143</v>
      </c>
      <c r="U14" s="195" t="s">
        <v>1475</v>
      </c>
      <c r="W14" s="20"/>
    </row>
    <row r="15" spans="2:23" ht="11" customHeight="1" x14ac:dyDescent="0.2">
      <c r="B15" s="120" t="s">
        <v>175</v>
      </c>
      <c r="I15" s="194">
        <f t="shared" si="0"/>
        <v>8</v>
      </c>
      <c r="J15" s="58" t="s">
        <v>41</v>
      </c>
      <c r="K15" s="426" t="str">
        <f>IF(water_in[[#This Row],[Month]]&lt;&gt;"",VLOOKUP(water_in[[#This Row],[Month]], dropdown!$S$4:$T$15, 2, FALSE),"")</f>
        <v>Q3</v>
      </c>
      <c r="L15" s="58" t="s">
        <v>124</v>
      </c>
      <c r="M15" s="29">
        <v>226</v>
      </c>
      <c r="N15" s="195"/>
      <c r="O15" s="44" t="str">
        <f>IF(J15="","",VLOOKUP($J15,dropdown!$S$3:$T$15,2,FALSE))</f>
        <v>Q3</v>
      </c>
      <c r="P15" s="194">
        <f t="shared" si="1"/>
        <v>8</v>
      </c>
      <c r="Q15" s="58" t="s">
        <v>41</v>
      </c>
      <c r="R15" s="18" t="str">
        <f>IF(water_out[[#This Row],[Month]]&lt;&gt;"",VLOOKUP(water_out[[#This Row],[Month]], dropdown!$S$4:$T$15, 2, FALSE),"")</f>
        <v>Q3</v>
      </c>
      <c r="S15" s="60" t="s">
        <v>364</v>
      </c>
      <c r="T15" s="29">
        <v>226</v>
      </c>
      <c r="U15" s="195" t="s">
        <v>1475</v>
      </c>
      <c r="W15" s="20"/>
    </row>
    <row r="16" spans="2:23" ht="14" x14ac:dyDescent="0.2">
      <c r="B16" s="121" t="s">
        <v>176</v>
      </c>
      <c r="I16" s="194">
        <f t="shared" si="0"/>
        <v>9</v>
      </c>
      <c r="J16" s="58" t="s">
        <v>397</v>
      </c>
      <c r="K16" s="426" t="str">
        <f>IF(water_in[[#This Row],[Month]]&lt;&gt;"",VLOOKUP(water_in[[#This Row],[Month]], dropdown!$S$4:$T$15, 2, FALSE),"")</f>
        <v>Q3</v>
      </c>
      <c r="L16" s="58" t="s">
        <v>124</v>
      </c>
      <c r="M16" s="29">
        <v>216</v>
      </c>
      <c r="N16" s="195"/>
      <c r="O16" s="44" t="str">
        <f>IF(J16="","",VLOOKUP($J16,dropdown!$S$3:$T$15,2,FALSE))</f>
        <v>Q3</v>
      </c>
      <c r="P16" s="194">
        <f t="shared" si="1"/>
        <v>9</v>
      </c>
      <c r="Q16" s="58" t="s">
        <v>397</v>
      </c>
      <c r="R16" s="18" t="str">
        <f>IF(water_out[[#This Row],[Month]]&lt;&gt;"",VLOOKUP(water_out[[#This Row],[Month]], dropdown!$S$4:$T$15, 2, FALSE),"")</f>
        <v>Q3</v>
      </c>
      <c r="S16" s="60" t="s">
        <v>364</v>
      </c>
      <c r="T16" s="29">
        <v>216</v>
      </c>
      <c r="U16" s="195" t="s">
        <v>1475</v>
      </c>
      <c r="W16" s="20"/>
    </row>
    <row r="17" spans="2:23" ht="14" x14ac:dyDescent="0.2">
      <c r="B17" s="122" t="s">
        <v>177</v>
      </c>
      <c r="I17" s="194">
        <f t="shared" si="0"/>
        <v>10</v>
      </c>
      <c r="J17" s="58" t="s">
        <v>400</v>
      </c>
      <c r="K17" s="426" t="str">
        <f>IF(water_in[[#This Row],[Month]]&lt;&gt;"",VLOOKUP(water_in[[#This Row],[Month]], dropdown!$S$4:$T$15, 2, FALSE),"")</f>
        <v>Q4</v>
      </c>
      <c r="L17" s="58" t="s">
        <v>124</v>
      </c>
      <c r="M17" s="29">
        <v>271</v>
      </c>
      <c r="N17" s="195"/>
      <c r="O17" s="44" t="str">
        <f>IF(J17="","",VLOOKUP($J17,dropdown!$S$3:$T$15,2,FALSE))</f>
        <v>Q4</v>
      </c>
      <c r="P17" s="194">
        <f t="shared" si="1"/>
        <v>10</v>
      </c>
      <c r="Q17" s="58" t="s">
        <v>400</v>
      </c>
      <c r="R17" s="18" t="str">
        <f>IF(water_out[[#This Row],[Month]]&lt;&gt;"",VLOOKUP(water_out[[#This Row],[Month]], dropdown!$S$4:$T$15, 2, FALSE),"")</f>
        <v>Q4</v>
      </c>
      <c r="S17" s="60" t="s">
        <v>364</v>
      </c>
      <c r="T17" s="29">
        <v>271</v>
      </c>
      <c r="U17" s="195" t="s">
        <v>1475</v>
      </c>
      <c r="V17" s="44" t="s">
        <v>43</v>
      </c>
      <c r="W17" s="20"/>
    </row>
    <row r="18" spans="2:23" ht="14" x14ac:dyDescent="0.2">
      <c r="I18" s="194">
        <f t="shared" si="0"/>
        <v>11</v>
      </c>
      <c r="J18" s="58" t="s">
        <v>404</v>
      </c>
      <c r="K18" s="426" t="str">
        <f>IF(water_in[[#This Row],[Month]]&lt;&gt;"",VLOOKUP(water_in[[#This Row],[Month]], dropdown!$S$4:$T$15, 2, FALSE),"")</f>
        <v>Q4</v>
      </c>
      <c r="L18" s="58" t="s">
        <v>124</v>
      </c>
      <c r="M18" s="29">
        <v>140</v>
      </c>
      <c r="N18" s="195"/>
      <c r="O18" s="44" t="str">
        <f>IF(J18="","",VLOOKUP($J18,dropdown!$S$3:$T$15,2,FALSE))</f>
        <v>Q4</v>
      </c>
      <c r="P18" s="194">
        <f t="shared" si="1"/>
        <v>11</v>
      </c>
      <c r="Q18" s="58" t="s">
        <v>404</v>
      </c>
      <c r="R18" s="18" t="str">
        <f>IF(water_out[[#This Row],[Month]]&lt;&gt;"",VLOOKUP(water_out[[#This Row],[Month]], dropdown!$S$4:$T$15, 2, FALSE),"")</f>
        <v>Q4</v>
      </c>
      <c r="S18" s="60" t="s">
        <v>364</v>
      </c>
      <c r="T18" s="29">
        <v>140</v>
      </c>
      <c r="U18" s="195" t="s">
        <v>1475</v>
      </c>
      <c r="V18" s="44" t="str">
        <f>IF(Q8="","",VLOOKUP($Q8,dropdown!$S$3:$T$15,2,FALSE))</f>
        <v>Q1</v>
      </c>
      <c r="W18" s="20"/>
    </row>
    <row r="19" spans="2:23" ht="14" x14ac:dyDescent="0.2">
      <c r="I19" s="194">
        <f t="shared" si="0"/>
        <v>12</v>
      </c>
      <c r="J19" s="58" t="s">
        <v>407</v>
      </c>
      <c r="K19" s="426" t="str">
        <f>IF(water_in[[#This Row],[Month]]&lt;&gt;"",VLOOKUP(water_in[[#This Row],[Month]], dropdown!$S$4:$T$15, 2, FALSE),"")</f>
        <v>Q4</v>
      </c>
      <c r="L19" s="58" t="s">
        <v>124</v>
      </c>
      <c r="M19" s="29">
        <v>209</v>
      </c>
      <c r="N19" s="195"/>
      <c r="O19" s="44" t="str">
        <f>IF(J19="","",VLOOKUP($J19,dropdown!$S$3:$T$15,2,FALSE))</f>
        <v>Q4</v>
      </c>
      <c r="P19" s="194">
        <f t="shared" si="1"/>
        <v>12</v>
      </c>
      <c r="Q19" s="58" t="s">
        <v>407</v>
      </c>
      <c r="R19" s="18" t="str">
        <f>IF(water_out[[#This Row],[Month]]&lt;&gt;"",VLOOKUP(water_out[[#This Row],[Month]], dropdown!$S$4:$T$15, 2, FALSE),"")</f>
        <v>Q4</v>
      </c>
      <c r="S19" s="60" t="s">
        <v>364</v>
      </c>
      <c r="T19" s="29">
        <v>209</v>
      </c>
      <c r="U19" s="195" t="s">
        <v>1475</v>
      </c>
      <c r="V19" s="44" t="str">
        <f>IF(Q9="","",VLOOKUP($Q9,dropdown!$S$3:$T$15,2,FALSE))</f>
        <v>Q1</v>
      </c>
      <c r="W19" s="20"/>
    </row>
    <row r="20" spans="2:23" ht="14" x14ac:dyDescent="0.2">
      <c r="I20" s="194" t="str">
        <f t="shared" si="0"/>
        <v/>
      </c>
      <c r="J20" s="58"/>
      <c r="K20" s="426" t="str">
        <f>IF(water_in[[#This Row],[Month]]&lt;&gt;"",VLOOKUP(water_in[[#This Row],[Month]], dropdown!$S$4:$T$15, 2, FALSE),"")</f>
        <v/>
      </c>
      <c r="L20" s="58"/>
      <c r="M20" s="29"/>
      <c r="N20" s="195"/>
      <c r="O20" s="44" t="str">
        <f>IF(J20="","",VLOOKUP($J20,dropdown!$S$3:$T$15,2,FALSE))</f>
        <v/>
      </c>
      <c r="P20" s="194" t="str">
        <f t="shared" si="1"/>
        <v/>
      </c>
      <c r="Q20" s="58"/>
      <c r="R20" s="18" t="str">
        <f>IF(water_out[[#This Row],[Month]]&lt;&gt;"",VLOOKUP(water_out[[#This Row],[Month]], dropdown!$S$4:$T$15, 2, FALSE),"")</f>
        <v/>
      </c>
      <c r="S20" s="60"/>
      <c r="T20" s="29"/>
      <c r="U20" s="195"/>
      <c r="V20" s="44" t="str">
        <f>IF(Q10="","",VLOOKUP($Q10,dropdown!$S$3:$T$15,2,FALSE))</f>
        <v>Q1</v>
      </c>
      <c r="W20" s="20"/>
    </row>
    <row r="21" spans="2:23" ht="14" x14ac:dyDescent="0.2">
      <c r="I21" s="194" t="str">
        <f t="shared" si="0"/>
        <v/>
      </c>
      <c r="J21" s="58"/>
      <c r="K21" s="426" t="str">
        <f>IF(water_in[[#This Row],[Month]]&lt;&gt;"",VLOOKUP(water_in[[#This Row],[Month]], dropdown!$S$4:$T$15, 2, FALSE),"")</f>
        <v/>
      </c>
      <c r="L21" s="58"/>
      <c r="M21" s="29"/>
      <c r="N21" s="195"/>
      <c r="O21" s="44" t="str">
        <f>IF(J21="","",VLOOKUP($J21,dropdown!$S$3:$T$15,2,FALSE))</f>
        <v/>
      </c>
      <c r="P21" s="194" t="str">
        <f t="shared" si="1"/>
        <v/>
      </c>
      <c r="Q21" s="58"/>
      <c r="R21" s="18" t="str">
        <f>IF(water_out[[#This Row],[Month]]&lt;&gt;"",VLOOKUP(water_out[[#This Row],[Month]], dropdown!$S$4:$T$15, 2, FALSE),"")</f>
        <v/>
      </c>
      <c r="S21" s="60"/>
      <c r="T21" s="29"/>
      <c r="U21" s="195"/>
      <c r="V21" s="44" t="str">
        <f>IF(Q11="","",VLOOKUP($Q11,dropdown!$S$3:$T$15,2,FALSE))</f>
        <v>Q2</v>
      </c>
      <c r="W21" s="20"/>
    </row>
    <row r="22" spans="2:23" ht="14" x14ac:dyDescent="0.2">
      <c r="I22" s="194" t="str">
        <f t="shared" si="0"/>
        <v/>
      </c>
      <c r="J22" s="58"/>
      <c r="K22" s="426" t="str">
        <f>IF(water_in[[#This Row],[Month]]&lt;&gt;"",VLOOKUP(water_in[[#This Row],[Month]], dropdown!$S$4:$T$15, 2, FALSE),"")</f>
        <v/>
      </c>
      <c r="L22" s="58"/>
      <c r="M22" s="29"/>
      <c r="N22" s="195"/>
      <c r="O22" s="44" t="str">
        <f>IF(J22="","",VLOOKUP($J22,dropdown!$S$3:$T$15,2,FALSE))</f>
        <v/>
      </c>
      <c r="P22" s="194" t="str">
        <f t="shared" si="1"/>
        <v/>
      </c>
      <c r="Q22" s="58"/>
      <c r="R22" s="18" t="str">
        <f>IF(water_out[[#This Row],[Month]]&lt;&gt;"",VLOOKUP(water_out[[#This Row],[Month]], dropdown!$S$4:$T$15, 2, FALSE),"")</f>
        <v/>
      </c>
      <c r="S22" s="60"/>
      <c r="T22" s="29"/>
      <c r="U22" s="195"/>
      <c r="V22" s="44" t="str">
        <f>IF(Q12="","",VLOOKUP($Q12,dropdown!$S$3:$T$15,2,FALSE))</f>
        <v>Q2</v>
      </c>
      <c r="W22" s="20"/>
    </row>
    <row r="23" spans="2:23" ht="14" x14ac:dyDescent="0.2">
      <c r="I23" s="194" t="str">
        <f t="shared" si="0"/>
        <v/>
      </c>
      <c r="J23" s="58"/>
      <c r="K23" s="426" t="str">
        <f>IF(water_in[[#This Row],[Month]]&lt;&gt;"",VLOOKUP(water_in[[#This Row],[Month]], dropdown!$S$4:$T$15, 2, FALSE),"")</f>
        <v/>
      </c>
      <c r="L23" s="58"/>
      <c r="M23" s="29"/>
      <c r="N23" s="195"/>
      <c r="O23" s="44" t="str">
        <f>IF(J23="","",VLOOKUP($J23,dropdown!$S$3:$T$15,2,FALSE))</f>
        <v/>
      </c>
      <c r="P23" s="194" t="str">
        <f t="shared" si="1"/>
        <v/>
      </c>
      <c r="Q23" s="58"/>
      <c r="R23" s="18" t="str">
        <f>IF(water_out[[#This Row],[Month]]&lt;&gt;"",VLOOKUP(water_out[[#This Row],[Month]], dropdown!$S$4:$T$15, 2, FALSE),"")</f>
        <v/>
      </c>
      <c r="S23" s="60"/>
      <c r="T23" s="29"/>
      <c r="U23" s="195"/>
      <c r="V23" s="44" t="str">
        <f>IF(Q13="","",VLOOKUP($Q13,dropdown!$S$3:$T$15,2,FALSE))</f>
        <v>Q2</v>
      </c>
      <c r="W23" s="20"/>
    </row>
    <row r="24" spans="2:23" ht="14" x14ac:dyDescent="0.2">
      <c r="I24" s="194" t="str">
        <f t="shared" si="0"/>
        <v/>
      </c>
      <c r="J24" s="58"/>
      <c r="K24" s="426" t="str">
        <f>IF(water_in[[#This Row],[Month]]&lt;&gt;"",VLOOKUP(water_in[[#This Row],[Month]], dropdown!$S$4:$T$15, 2, FALSE),"")</f>
        <v/>
      </c>
      <c r="L24" s="58"/>
      <c r="M24" s="29"/>
      <c r="N24" s="195"/>
      <c r="O24" s="44" t="str">
        <f>IF(J24="","",VLOOKUP($J24,dropdown!$S$3:$T$15,2,FALSE))</f>
        <v/>
      </c>
      <c r="P24" s="194" t="str">
        <f t="shared" si="1"/>
        <v/>
      </c>
      <c r="Q24" s="58"/>
      <c r="R24" s="18" t="str">
        <f>IF(water_out[[#This Row],[Month]]&lt;&gt;"",VLOOKUP(water_out[[#This Row],[Month]], dropdown!$S$4:$T$15, 2, FALSE),"")</f>
        <v/>
      </c>
      <c r="S24" s="60"/>
      <c r="T24" s="29"/>
      <c r="U24" s="195"/>
      <c r="V24" s="44" t="str">
        <f>IF(Q14="","",VLOOKUP($Q14,dropdown!$S$3:$T$15,2,FALSE))</f>
        <v>Q3</v>
      </c>
      <c r="W24" s="20"/>
    </row>
    <row r="25" spans="2:23" ht="14" x14ac:dyDescent="0.2">
      <c r="I25" s="194" t="str">
        <f t="shared" si="0"/>
        <v/>
      </c>
      <c r="J25" s="58"/>
      <c r="K25" s="426" t="str">
        <f>IF(water_in[[#This Row],[Month]]&lt;&gt;"",VLOOKUP(water_in[[#This Row],[Month]], dropdown!$S$4:$T$15, 2, FALSE),"")</f>
        <v/>
      </c>
      <c r="L25" s="58"/>
      <c r="M25" s="29"/>
      <c r="N25" s="195"/>
      <c r="O25" s="44" t="str">
        <f>IF(J25="","",VLOOKUP($J25,dropdown!$S$3:$T$15,2,FALSE))</f>
        <v/>
      </c>
      <c r="P25" s="194" t="str">
        <f t="shared" si="1"/>
        <v/>
      </c>
      <c r="Q25" s="58"/>
      <c r="R25" s="18" t="str">
        <f>IF(water_out[[#This Row],[Month]]&lt;&gt;"",VLOOKUP(water_out[[#This Row],[Month]], dropdown!$S$4:$T$15, 2, FALSE),"")</f>
        <v/>
      </c>
      <c r="S25" s="60"/>
      <c r="T25" s="29"/>
      <c r="U25" s="195"/>
      <c r="V25" s="44" t="str">
        <f>IF(Q15="","",VLOOKUP($Q15,dropdown!$S$3:$T$15,2,FALSE))</f>
        <v>Q3</v>
      </c>
      <c r="W25" s="20"/>
    </row>
    <row r="26" spans="2:23" ht="14" x14ac:dyDescent="0.2">
      <c r="I26" s="194" t="str">
        <f t="shared" si="0"/>
        <v/>
      </c>
      <c r="J26" s="196"/>
      <c r="K26" s="426" t="str">
        <f>IF(water_in[[#This Row],[Month]]&lt;&gt;"",VLOOKUP(water_in[[#This Row],[Month]], dropdown!$S$4:$T$15, 2, FALSE),"")</f>
        <v/>
      </c>
      <c r="L26" s="196"/>
      <c r="M26" s="197"/>
      <c r="N26" s="199"/>
      <c r="O26" s="44" t="str">
        <f>IF(J26="","",VLOOKUP($J26,dropdown!$S$3:$T$15,2,FALSE))</f>
        <v/>
      </c>
      <c r="P26" s="194" t="str">
        <f t="shared" si="1"/>
        <v/>
      </c>
      <c r="Q26" s="196"/>
      <c r="R26" s="18" t="str">
        <f>IF(water_out[[#This Row],[Month]]&lt;&gt;"",VLOOKUP(water_out[[#This Row],[Month]], dropdown!$S$4:$T$15, 2, FALSE),"")</f>
        <v/>
      </c>
      <c r="S26" s="260"/>
      <c r="T26" s="197"/>
      <c r="U26" s="199"/>
      <c r="V26" s="44" t="str">
        <f>IF(Q16="","",VLOOKUP($Q16,dropdown!$S$3:$T$15,2,FALSE))</f>
        <v>Q3</v>
      </c>
      <c r="W26" s="20"/>
    </row>
    <row r="27" spans="2:23" ht="14" x14ac:dyDescent="0.2">
      <c r="I27" s="194" t="str">
        <f t="shared" si="0"/>
        <v/>
      </c>
      <c r="J27" s="58"/>
      <c r="K27" s="426" t="str">
        <f>IF(water_in[[#This Row],[Month]]&lt;&gt;"",VLOOKUP(water_in[[#This Row],[Month]], dropdown!$S$4:$T$15, 2, FALSE),"")</f>
        <v/>
      </c>
      <c r="L27" s="58"/>
      <c r="M27" s="29"/>
      <c r="N27" s="195"/>
      <c r="O27" s="44"/>
      <c r="P27" s="194" t="str">
        <f t="shared" si="1"/>
        <v/>
      </c>
      <c r="Q27" s="58"/>
      <c r="R27" s="18" t="str">
        <f>IF(water_out[[#This Row],[Month]]&lt;&gt;"",VLOOKUP(water_out[[#This Row],[Month]], dropdown!$S$4:$T$15, 2, FALSE),"")</f>
        <v/>
      </c>
      <c r="S27" s="60"/>
      <c r="T27" s="29"/>
      <c r="U27" s="374"/>
      <c r="V27" s="44" t="str">
        <f>IF(Q17="","",VLOOKUP($Q17,dropdown!$S$3:$T$15,2,FALSE))</f>
        <v>Q4</v>
      </c>
      <c r="W27" s="20"/>
    </row>
    <row r="28" spans="2:23" ht="14" x14ac:dyDescent="0.2">
      <c r="I28" s="194" t="str">
        <f t="shared" si="0"/>
        <v/>
      </c>
      <c r="J28" s="58"/>
      <c r="K28" s="426" t="str">
        <f>IF(water_in[[#This Row],[Month]]&lt;&gt;"",VLOOKUP(water_in[[#This Row],[Month]], dropdown!$S$4:$T$15, 2, FALSE),"")</f>
        <v/>
      </c>
      <c r="L28" s="58"/>
      <c r="M28" s="29"/>
      <c r="N28" s="195"/>
      <c r="O28" s="44"/>
      <c r="P28" s="194" t="str">
        <f t="shared" si="1"/>
        <v/>
      </c>
      <c r="Q28" s="58"/>
      <c r="R28" s="18" t="str">
        <f>IF(water_out[[#This Row],[Month]]&lt;&gt;"",VLOOKUP(water_out[[#This Row],[Month]], dropdown!$S$4:$T$15, 2, FALSE),"")</f>
        <v/>
      </c>
      <c r="S28" s="60"/>
      <c r="T28" s="29"/>
      <c r="U28" s="374"/>
      <c r="V28" s="44" t="str">
        <f>IF(Q18="","",VLOOKUP($Q18,dropdown!$S$3:$T$15,2,FALSE))</f>
        <v>Q4</v>
      </c>
      <c r="W28" s="20"/>
    </row>
    <row r="29" spans="2:23" ht="14" x14ac:dyDescent="0.2">
      <c r="I29" s="194" t="str">
        <f t="shared" si="0"/>
        <v/>
      </c>
      <c r="J29" s="58"/>
      <c r="K29" s="426" t="str">
        <f>IF(water_in[[#This Row],[Month]]&lt;&gt;"",VLOOKUP(water_in[[#This Row],[Month]], dropdown!$S$4:$T$15, 2, FALSE),"")</f>
        <v/>
      </c>
      <c r="L29" s="58"/>
      <c r="M29" s="29"/>
      <c r="N29" s="195"/>
      <c r="O29" s="44"/>
      <c r="P29" s="194" t="str">
        <f t="shared" si="1"/>
        <v/>
      </c>
      <c r="Q29" s="58"/>
      <c r="R29" s="18" t="str">
        <f>IF(water_out[[#This Row],[Month]]&lt;&gt;"",VLOOKUP(water_out[[#This Row],[Month]], dropdown!$S$4:$T$15, 2, FALSE),"")</f>
        <v/>
      </c>
      <c r="S29" s="60"/>
      <c r="T29" s="29"/>
      <c r="U29" s="374"/>
      <c r="V29" s="44" t="str">
        <f>IF(Q19="","",VLOOKUP($Q19,dropdown!$S$3:$T$15,2,FALSE))</f>
        <v>Q4</v>
      </c>
      <c r="W29" s="20"/>
    </row>
    <row r="30" spans="2:23" ht="14" x14ac:dyDescent="0.2">
      <c r="I30" s="194" t="str">
        <f t="shared" si="0"/>
        <v/>
      </c>
      <c r="J30" s="58"/>
      <c r="K30" s="426" t="str">
        <f>IF(water_in[[#This Row],[Month]]&lt;&gt;"",VLOOKUP(water_in[[#This Row],[Month]], dropdown!$S$4:$T$15, 2, FALSE),"")</f>
        <v/>
      </c>
      <c r="L30" s="58"/>
      <c r="M30" s="29"/>
      <c r="N30" s="195"/>
      <c r="O30" s="44"/>
      <c r="P30" s="194" t="str">
        <f t="shared" si="1"/>
        <v/>
      </c>
      <c r="Q30" s="58"/>
      <c r="R30" s="18" t="str">
        <f>IF(water_out[[#This Row],[Month]]&lt;&gt;"",VLOOKUP(water_out[[#This Row],[Month]], dropdown!$S$4:$T$15, 2, FALSE),"")</f>
        <v/>
      </c>
      <c r="S30" s="60"/>
      <c r="T30" s="29"/>
      <c r="U30" s="374"/>
      <c r="V30" s="44" t="str">
        <f>IF(Q20="","",VLOOKUP($Q20,dropdown!$S$3:$T$15,2,FALSE))</f>
        <v/>
      </c>
      <c r="W30" s="20"/>
    </row>
    <row r="31" spans="2:23" ht="14" x14ac:dyDescent="0.2">
      <c r="I31" s="194" t="str">
        <f t="shared" si="0"/>
        <v/>
      </c>
      <c r="J31" s="58"/>
      <c r="K31" s="426" t="str">
        <f>IF(water_in[[#This Row],[Month]]&lt;&gt;"",VLOOKUP(water_in[[#This Row],[Month]], dropdown!$S$4:$T$15, 2, FALSE),"")</f>
        <v/>
      </c>
      <c r="L31" s="58"/>
      <c r="M31" s="29"/>
      <c r="N31" s="195"/>
      <c r="O31" s="44"/>
      <c r="P31" s="194" t="str">
        <f t="shared" si="1"/>
        <v/>
      </c>
      <c r="Q31" s="58"/>
      <c r="R31" s="18" t="str">
        <f>IF(water_out[[#This Row],[Month]]&lt;&gt;"",VLOOKUP(water_out[[#This Row],[Month]], dropdown!$S$4:$T$15, 2, FALSE),"")</f>
        <v/>
      </c>
      <c r="S31" s="60"/>
      <c r="T31" s="29"/>
      <c r="U31" s="374"/>
      <c r="V31" s="44" t="str">
        <f>IF(Q21="","",VLOOKUP($Q21,dropdown!$S$3:$T$15,2,FALSE))</f>
        <v/>
      </c>
      <c r="W31" s="20"/>
    </row>
    <row r="32" spans="2:23" ht="14" x14ac:dyDescent="0.2">
      <c r="I32" s="194" t="str">
        <f t="shared" si="0"/>
        <v/>
      </c>
      <c r="J32" s="58"/>
      <c r="K32" s="426" t="str">
        <f>IF(water_in[[#This Row],[Month]]&lt;&gt;"",VLOOKUP(water_in[[#This Row],[Month]], dropdown!$S$4:$T$15, 2, FALSE),"")</f>
        <v/>
      </c>
      <c r="L32" s="58"/>
      <c r="M32" s="29"/>
      <c r="N32" s="195"/>
      <c r="O32" s="44"/>
      <c r="P32" s="194" t="str">
        <f t="shared" si="1"/>
        <v/>
      </c>
      <c r="Q32" s="58"/>
      <c r="R32" s="18" t="str">
        <f>IF(water_out[[#This Row],[Month]]&lt;&gt;"",VLOOKUP(water_out[[#This Row],[Month]], dropdown!$S$4:$T$15, 2, FALSE),"")</f>
        <v/>
      </c>
      <c r="S32" s="60"/>
      <c r="T32" s="29"/>
      <c r="U32" s="374"/>
      <c r="V32" s="44" t="str">
        <f>IF(Q22="","",VLOOKUP($Q22,dropdown!$S$3:$T$15,2,FALSE))</f>
        <v/>
      </c>
      <c r="W32" s="20"/>
    </row>
    <row r="33" spans="9:23" ht="14" x14ac:dyDescent="0.2">
      <c r="I33" s="194" t="str">
        <f t="shared" si="0"/>
        <v/>
      </c>
      <c r="J33" s="58"/>
      <c r="K33" s="426" t="str">
        <f>IF(water_in[[#This Row],[Month]]&lt;&gt;"",VLOOKUP(water_in[[#This Row],[Month]], dropdown!$S$4:$T$15, 2, FALSE),"")</f>
        <v/>
      </c>
      <c r="L33" s="58"/>
      <c r="M33" s="29"/>
      <c r="N33" s="195"/>
      <c r="O33" s="44"/>
      <c r="P33" s="194" t="str">
        <f t="shared" si="1"/>
        <v/>
      </c>
      <c r="Q33" s="58"/>
      <c r="R33" s="18" t="str">
        <f>IF(water_out[[#This Row],[Month]]&lt;&gt;"",VLOOKUP(water_out[[#This Row],[Month]], dropdown!$S$4:$T$15, 2, FALSE),"")</f>
        <v/>
      </c>
      <c r="S33" s="60"/>
      <c r="T33" s="29"/>
      <c r="U33" s="374"/>
      <c r="V33" s="44" t="str">
        <f>IF(Q23="","",VLOOKUP($Q23,dropdown!$S$3:$T$15,2,FALSE))</f>
        <v/>
      </c>
      <c r="W33" s="20"/>
    </row>
    <row r="34" spans="9:23" ht="14" x14ac:dyDescent="0.2">
      <c r="I34" s="194" t="str">
        <f t="shared" si="0"/>
        <v/>
      </c>
      <c r="J34" s="58"/>
      <c r="K34" s="426" t="str">
        <f>IF(water_in[[#This Row],[Month]]&lt;&gt;"",VLOOKUP(water_in[[#This Row],[Month]], dropdown!$S$4:$T$15, 2, FALSE),"")</f>
        <v/>
      </c>
      <c r="L34" s="58"/>
      <c r="M34" s="29"/>
      <c r="N34" s="195"/>
      <c r="O34" s="44"/>
      <c r="P34" s="194" t="str">
        <f t="shared" si="1"/>
        <v/>
      </c>
      <c r="Q34" s="58"/>
      <c r="R34" s="18" t="str">
        <f>IF(water_out[[#This Row],[Month]]&lt;&gt;"",VLOOKUP(water_out[[#This Row],[Month]], dropdown!$S$4:$T$15, 2, FALSE),"")</f>
        <v/>
      </c>
      <c r="S34" s="60"/>
      <c r="T34" s="29"/>
      <c r="U34" s="374"/>
      <c r="V34" s="44" t="str">
        <f>IF(Q24="","",VLOOKUP($Q24,dropdown!$S$3:$T$15,2,FALSE))</f>
        <v/>
      </c>
      <c r="W34" s="20"/>
    </row>
    <row r="35" spans="9:23" ht="14" x14ac:dyDescent="0.2">
      <c r="I35" s="194" t="str">
        <f t="shared" si="0"/>
        <v/>
      </c>
      <c r="J35" s="58"/>
      <c r="K35" s="426" t="str">
        <f>IF(water_in[[#This Row],[Month]]&lt;&gt;"",VLOOKUP(water_in[[#This Row],[Month]], dropdown!$S$4:$T$15, 2, FALSE),"")</f>
        <v/>
      </c>
      <c r="L35" s="58"/>
      <c r="M35" s="29"/>
      <c r="N35" s="195"/>
      <c r="O35" s="44"/>
      <c r="P35" s="194" t="str">
        <f t="shared" si="1"/>
        <v/>
      </c>
      <c r="Q35" s="58"/>
      <c r="R35" s="18" t="str">
        <f>IF(water_out[[#This Row],[Month]]&lt;&gt;"",VLOOKUP(water_out[[#This Row],[Month]], dropdown!$S$4:$T$15, 2, FALSE),"")</f>
        <v/>
      </c>
      <c r="S35" s="60"/>
      <c r="T35" s="29"/>
      <c r="U35" s="374"/>
      <c r="V35" s="44" t="str">
        <f>IF(Q25="","",VLOOKUP($Q25,dropdown!$S$3:$T$15,2,FALSE))</f>
        <v/>
      </c>
      <c r="W35" s="20"/>
    </row>
    <row r="36" spans="9:23" ht="14" x14ac:dyDescent="0.2">
      <c r="I36" s="194" t="str">
        <f t="shared" si="0"/>
        <v/>
      </c>
      <c r="J36" s="58"/>
      <c r="K36" s="426" t="str">
        <f>IF(water_in[[#This Row],[Month]]&lt;&gt;"",VLOOKUP(water_in[[#This Row],[Month]], dropdown!$S$4:$T$15, 2, FALSE),"")</f>
        <v/>
      </c>
      <c r="L36" s="58"/>
      <c r="M36" s="29"/>
      <c r="N36" s="195"/>
      <c r="O36" s="44"/>
      <c r="P36" s="194" t="str">
        <f t="shared" si="1"/>
        <v/>
      </c>
      <c r="Q36" s="58"/>
      <c r="R36" s="18" t="str">
        <f>IF(water_out[[#This Row],[Month]]&lt;&gt;"",VLOOKUP(water_out[[#This Row],[Month]], dropdown!$S$4:$T$15, 2, FALSE),"")</f>
        <v/>
      </c>
      <c r="S36" s="60"/>
      <c r="T36" s="29"/>
      <c r="U36" s="374"/>
      <c r="V36" s="44" t="str">
        <f>IF(Q26="","",VLOOKUP($Q26,dropdown!$S$3:$T$15,2,FALSE))</f>
        <v/>
      </c>
      <c r="W36" s="20"/>
    </row>
    <row r="37" spans="9:23" ht="14" x14ac:dyDescent="0.2">
      <c r="I37" s="194" t="str">
        <f t="shared" si="0"/>
        <v/>
      </c>
      <c r="J37" s="58"/>
      <c r="K37" s="426" t="str">
        <f>IF(water_in[[#This Row],[Month]]&lt;&gt;"",VLOOKUP(water_in[[#This Row],[Month]], dropdown!$S$4:$T$15, 2, FALSE),"")</f>
        <v/>
      </c>
      <c r="L37" s="58"/>
      <c r="M37" s="29"/>
      <c r="N37" s="195"/>
      <c r="O37" s="44"/>
      <c r="P37" s="194" t="str">
        <f t="shared" si="1"/>
        <v/>
      </c>
      <c r="Q37" s="58"/>
      <c r="R37" s="18" t="str">
        <f>IF(water_out[[#This Row],[Month]]&lt;&gt;"",VLOOKUP(water_out[[#This Row],[Month]], dropdown!$S$4:$T$15, 2, FALSE),"")</f>
        <v/>
      </c>
      <c r="S37" s="60"/>
      <c r="T37" s="29"/>
      <c r="U37" s="374"/>
      <c r="W37" s="20"/>
    </row>
    <row r="38" spans="9:23" ht="14" x14ac:dyDescent="0.2">
      <c r="I38" s="194" t="str">
        <f t="shared" si="0"/>
        <v/>
      </c>
      <c r="J38" s="58"/>
      <c r="K38" s="426" t="str">
        <f>IF(water_in[[#This Row],[Month]]&lt;&gt;"",VLOOKUP(water_in[[#This Row],[Month]], dropdown!$S$4:$T$15, 2, FALSE),"")</f>
        <v/>
      </c>
      <c r="L38" s="58"/>
      <c r="M38" s="29"/>
      <c r="N38" s="195"/>
      <c r="O38" s="44"/>
      <c r="P38" s="194" t="str">
        <f t="shared" si="1"/>
        <v/>
      </c>
      <c r="Q38" s="58"/>
      <c r="R38" s="18" t="str">
        <f>IF(water_out[[#This Row],[Month]]&lt;&gt;"",VLOOKUP(water_out[[#This Row],[Month]], dropdown!$S$4:$T$15, 2, FALSE),"")</f>
        <v/>
      </c>
      <c r="S38" s="60"/>
      <c r="T38" s="29"/>
      <c r="U38" s="374"/>
      <c r="W38" s="20"/>
    </row>
    <row r="39" spans="9:23" ht="14" x14ac:dyDescent="0.2">
      <c r="I39" s="194" t="str">
        <f t="shared" si="0"/>
        <v/>
      </c>
      <c r="J39" s="58"/>
      <c r="K39" s="426" t="str">
        <f>IF(water_in[[#This Row],[Month]]&lt;&gt;"",VLOOKUP(water_in[[#This Row],[Month]], dropdown!$S$4:$T$15, 2, FALSE),"")</f>
        <v/>
      </c>
      <c r="L39" s="58"/>
      <c r="M39" s="29"/>
      <c r="N39" s="195"/>
      <c r="O39" s="44"/>
      <c r="P39" s="194" t="str">
        <f t="shared" si="1"/>
        <v/>
      </c>
      <c r="Q39" s="58"/>
      <c r="R39" s="18" t="str">
        <f>IF(water_out[[#This Row],[Month]]&lt;&gt;"",VLOOKUP(water_out[[#This Row],[Month]], dropdown!$S$4:$T$15, 2, FALSE),"")</f>
        <v/>
      </c>
      <c r="S39" s="60"/>
      <c r="T39" s="29"/>
      <c r="U39" s="374"/>
      <c r="W39" s="20"/>
    </row>
    <row r="40" spans="9:23" ht="14" x14ac:dyDescent="0.2">
      <c r="I40" s="194" t="str">
        <f t="shared" si="0"/>
        <v/>
      </c>
      <c r="J40" s="58"/>
      <c r="K40" s="426" t="str">
        <f>IF(water_in[[#This Row],[Month]]&lt;&gt;"",VLOOKUP(water_in[[#This Row],[Month]], dropdown!$S$4:$T$15, 2, FALSE),"")</f>
        <v/>
      </c>
      <c r="L40" s="58"/>
      <c r="M40" s="29"/>
      <c r="N40" s="195"/>
      <c r="O40" s="44"/>
      <c r="P40" s="194" t="str">
        <f t="shared" si="1"/>
        <v/>
      </c>
      <c r="Q40" s="58"/>
      <c r="R40" s="18" t="str">
        <f>IF(water_out[[#This Row],[Month]]&lt;&gt;"",VLOOKUP(water_out[[#This Row],[Month]], dropdown!$S$4:$T$15, 2, FALSE),"")</f>
        <v/>
      </c>
      <c r="S40" s="60"/>
      <c r="T40" s="29"/>
      <c r="U40" s="374"/>
      <c r="W40" s="20"/>
    </row>
    <row r="41" spans="9:23" ht="14" x14ac:dyDescent="0.2">
      <c r="I41" s="194" t="str">
        <f t="shared" si="0"/>
        <v/>
      </c>
      <c r="J41" s="58"/>
      <c r="K41" s="426" t="str">
        <f>IF(water_in[[#This Row],[Month]]&lt;&gt;"",VLOOKUP(water_in[[#This Row],[Month]], dropdown!$S$4:$T$15, 2, FALSE),"")</f>
        <v/>
      </c>
      <c r="L41" s="58"/>
      <c r="M41" s="29"/>
      <c r="N41" s="195"/>
      <c r="O41" s="44"/>
      <c r="P41" s="194" t="str">
        <f t="shared" si="1"/>
        <v/>
      </c>
      <c r="Q41" s="58"/>
      <c r="R41" s="18" t="str">
        <f>IF(water_out[[#This Row],[Month]]&lt;&gt;"",VLOOKUP(water_out[[#This Row],[Month]], dropdown!$S$4:$T$15, 2, FALSE),"")</f>
        <v/>
      </c>
      <c r="S41" s="60"/>
      <c r="T41" s="29"/>
      <c r="U41" s="374"/>
      <c r="W41" s="20"/>
    </row>
    <row r="42" spans="9:23" ht="14" x14ac:dyDescent="0.2">
      <c r="I42" s="194" t="str">
        <f t="shared" si="0"/>
        <v/>
      </c>
      <c r="J42" s="58"/>
      <c r="K42" s="426" t="str">
        <f>IF(water_in[[#This Row],[Month]]&lt;&gt;"",VLOOKUP(water_in[[#This Row],[Month]], dropdown!$S$4:$T$15, 2, FALSE),"")</f>
        <v/>
      </c>
      <c r="L42" s="58"/>
      <c r="M42" s="29"/>
      <c r="N42" s="195"/>
      <c r="O42" s="44"/>
      <c r="P42" s="194" t="str">
        <f t="shared" si="1"/>
        <v/>
      </c>
      <c r="Q42" s="58"/>
      <c r="R42" s="18" t="str">
        <f>IF(water_out[[#This Row],[Month]]&lt;&gt;"",VLOOKUP(water_out[[#This Row],[Month]], dropdown!$S$4:$T$15, 2, FALSE),"")</f>
        <v/>
      </c>
      <c r="S42" s="60"/>
      <c r="T42" s="29"/>
      <c r="U42" s="374"/>
      <c r="W42" s="20"/>
    </row>
    <row r="43" spans="9:23" ht="14" x14ac:dyDescent="0.2">
      <c r="I43" s="194" t="str">
        <f t="shared" si="0"/>
        <v/>
      </c>
      <c r="J43" s="58"/>
      <c r="K43" s="426" t="str">
        <f>IF(water_in[[#This Row],[Month]]&lt;&gt;"",VLOOKUP(water_in[[#This Row],[Month]], dropdown!$S$4:$T$15, 2, FALSE),"")</f>
        <v/>
      </c>
      <c r="L43" s="58"/>
      <c r="M43" s="29"/>
      <c r="N43" s="195"/>
      <c r="O43" s="44"/>
      <c r="P43" s="194" t="str">
        <f t="shared" si="1"/>
        <v/>
      </c>
      <c r="Q43" s="58"/>
      <c r="R43" s="18" t="str">
        <f>IF(water_out[[#This Row],[Month]]&lt;&gt;"",VLOOKUP(water_out[[#This Row],[Month]], dropdown!$S$4:$T$15, 2, FALSE),"")</f>
        <v/>
      </c>
      <c r="S43" s="60"/>
      <c r="T43" s="29"/>
      <c r="U43" s="374"/>
      <c r="W43" s="20"/>
    </row>
    <row r="44" spans="9:23" ht="14" x14ac:dyDescent="0.2">
      <c r="I44" s="194" t="str">
        <f t="shared" si="0"/>
        <v/>
      </c>
      <c r="J44" s="58"/>
      <c r="K44" s="426" t="str">
        <f>IF(water_in[[#This Row],[Month]]&lt;&gt;"",VLOOKUP(water_in[[#This Row],[Month]], dropdown!$S$4:$T$15, 2, FALSE),"")</f>
        <v/>
      </c>
      <c r="L44" s="58"/>
      <c r="M44" s="29"/>
      <c r="N44" s="195"/>
      <c r="O44" s="44"/>
      <c r="P44" s="194" t="str">
        <f t="shared" si="1"/>
        <v/>
      </c>
      <c r="Q44" s="58"/>
      <c r="R44" s="18" t="str">
        <f>IF(water_out[[#This Row],[Month]]&lt;&gt;"",VLOOKUP(water_out[[#This Row],[Month]], dropdown!$S$4:$T$15, 2, FALSE),"")</f>
        <v/>
      </c>
      <c r="S44" s="60"/>
      <c r="T44" s="29"/>
      <c r="U44" s="374"/>
      <c r="W44" s="20"/>
    </row>
    <row r="45" spans="9:23" ht="14" x14ac:dyDescent="0.2">
      <c r="I45" s="194" t="str">
        <f t="shared" si="0"/>
        <v/>
      </c>
      <c r="J45" s="58"/>
      <c r="K45" s="426" t="str">
        <f>IF(water_in[[#This Row],[Month]]&lt;&gt;"",VLOOKUP(water_in[[#This Row],[Month]], dropdown!$S$4:$T$15, 2, FALSE),"")</f>
        <v/>
      </c>
      <c r="L45" s="58"/>
      <c r="M45" s="29"/>
      <c r="N45" s="195"/>
      <c r="O45" s="44"/>
      <c r="P45" s="194" t="str">
        <f t="shared" si="1"/>
        <v/>
      </c>
      <c r="Q45" s="58"/>
      <c r="R45" s="18" t="str">
        <f>IF(water_out[[#This Row],[Month]]&lt;&gt;"",VLOOKUP(water_out[[#This Row],[Month]], dropdown!$S$4:$T$15, 2, FALSE),"")</f>
        <v/>
      </c>
      <c r="S45" s="60"/>
      <c r="T45" s="29"/>
      <c r="U45" s="374"/>
      <c r="W45" s="20"/>
    </row>
    <row r="46" spans="9:23" ht="14" x14ac:dyDescent="0.2">
      <c r="I46" s="194" t="str">
        <f t="shared" si="0"/>
        <v/>
      </c>
      <c r="J46" s="58"/>
      <c r="K46" s="426" t="str">
        <f>IF(water_in[[#This Row],[Month]]&lt;&gt;"",VLOOKUP(water_in[[#This Row],[Month]], dropdown!$S$4:$T$15, 2, FALSE),"")</f>
        <v/>
      </c>
      <c r="L46" s="58"/>
      <c r="M46" s="29"/>
      <c r="N46" s="195"/>
      <c r="O46" s="44"/>
      <c r="P46" s="194" t="str">
        <f t="shared" si="1"/>
        <v/>
      </c>
      <c r="Q46" s="58"/>
      <c r="R46" s="18" t="str">
        <f>IF(water_out[[#This Row],[Month]]&lt;&gt;"",VLOOKUP(water_out[[#This Row],[Month]], dropdown!$S$4:$T$15, 2, FALSE),"")</f>
        <v/>
      </c>
      <c r="S46" s="60"/>
      <c r="T46" s="29"/>
      <c r="U46" s="374"/>
      <c r="W46" s="20"/>
    </row>
    <row r="47" spans="9:23" ht="14" x14ac:dyDescent="0.2">
      <c r="I47" s="194" t="str">
        <f t="shared" si="0"/>
        <v/>
      </c>
      <c r="J47" s="58"/>
      <c r="K47" s="426" t="str">
        <f>IF(water_in[[#This Row],[Month]]&lt;&gt;"",VLOOKUP(water_in[[#This Row],[Month]], dropdown!$S$4:$T$15, 2, FALSE),"")</f>
        <v/>
      </c>
      <c r="L47" s="58"/>
      <c r="M47" s="29"/>
      <c r="N47" s="195"/>
      <c r="O47" s="44"/>
      <c r="P47" s="194" t="str">
        <f t="shared" si="1"/>
        <v/>
      </c>
      <c r="Q47" s="58"/>
      <c r="R47" s="18" t="str">
        <f>IF(water_out[[#This Row],[Month]]&lt;&gt;"",VLOOKUP(water_out[[#This Row],[Month]], dropdown!$S$4:$T$15, 2, FALSE),"")</f>
        <v/>
      </c>
      <c r="S47" s="60"/>
      <c r="T47" s="29"/>
      <c r="U47" s="374"/>
      <c r="W47" s="20"/>
    </row>
    <row r="48" spans="9:23" ht="14" x14ac:dyDescent="0.2">
      <c r="I48" s="194" t="str">
        <f t="shared" si="0"/>
        <v/>
      </c>
      <c r="J48" s="58"/>
      <c r="K48" s="426" t="str">
        <f>IF(water_in[[#This Row],[Month]]&lt;&gt;"",VLOOKUP(water_in[[#This Row],[Month]], dropdown!$S$4:$T$15, 2, FALSE),"")</f>
        <v/>
      </c>
      <c r="L48" s="58"/>
      <c r="M48" s="29"/>
      <c r="N48" s="195"/>
      <c r="O48" s="44"/>
      <c r="P48" s="194" t="str">
        <f t="shared" si="1"/>
        <v/>
      </c>
      <c r="Q48" s="58"/>
      <c r="R48" s="18" t="str">
        <f>IF(water_out[[#This Row],[Month]]&lt;&gt;"",VLOOKUP(water_out[[#This Row],[Month]], dropdown!$S$4:$T$15, 2, FALSE),"")</f>
        <v/>
      </c>
      <c r="S48" s="60"/>
      <c r="T48" s="29"/>
      <c r="U48" s="374"/>
      <c r="W48" s="20"/>
    </row>
    <row r="49" spans="9:23" ht="14" x14ac:dyDescent="0.2">
      <c r="I49" s="194" t="str">
        <f t="shared" si="0"/>
        <v/>
      </c>
      <c r="J49" s="58"/>
      <c r="K49" s="426" t="str">
        <f>IF(water_in[[#This Row],[Month]]&lt;&gt;"",VLOOKUP(water_in[[#This Row],[Month]], dropdown!$S$4:$T$15, 2, FALSE),"")</f>
        <v/>
      </c>
      <c r="L49" s="58"/>
      <c r="M49" s="29"/>
      <c r="N49" s="195"/>
      <c r="O49" s="44"/>
      <c r="P49" s="194" t="str">
        <f t="shared" si="1"/>
        <v/>
      </c>
      <c r="Q49" s="58"/>
      <c r="R49" s="18" t="str">
        <f>IF(water_out[[#This Row],[Month]]&lt;&gt;"",VLOOKUP(water_out[[#This Row],[Month]], dropdown!$S$4:$T$15, 2, FALSE),"")</f>
        <v/>
      </c>
      <c r="S49" s="60"/>
      <c r="T49" s="29"/>
      <c r="U49" s="374"/>
      <c r="W49" s="20"/>
    </row>
    <row r="50" spans="9:23" ht="14" x14ac:dyDescent="0.2">
      <c r="I50" s="194" t="str">
        <f t="shared" si="0"/>
        <v/>
      </c>
      <c r="J50" s="58"/>
      <c r="K50" s="426" t="str">
        <f>IF(water_in[[#This Row],[Month]]&lt;&gt;"",VLOOKUP(water_in[[#This Row],[Month]], dropdown!$S$4:$T$15, 2, FALSE),"")</f>
        <v/>
      </c>
      <c r="L50" s="58"/>
      <c r="M50" s="29"/>
      <c r="N50" s="195"/>
      <c r="O50" s="44"/>
      <c r="P50" s="194" t="str">
        <f t="shared" si="1"/>
        <v/>
      </c>
      <c r="Q50" s="58"/>
      <c r="R50" s="18" t="str">
        <f>IF(water_out[[#This Row],[Month]]&lt;&gt;"",VLOOKUP(water_out[[#This Row],[Month]], dropdown!$S$4:$T$15, 2, FALSE),"")</f>
        <v/>
      </c>
      <c r="S50" s="60"/>
      <c r="T50" s="29"/>
      <c r="U50" s="374"/>
      <c r="W50" s="20"/>
    </row>
    <row r="51" spans="9:23" ht="14" x14ac:dyDescent="0.2">
      <c r="I51" s="194" t="str">
        <f t="shared" si="0"/>
        <v/>
      </c>
      <c r="J51" s="58"/>
      <c r="K51" s="426" t="str">
        <f>IF(water_in[[#This Row],[Month]]&lt;&gt;"",VLOOKUP(water_in[[#This Row],[Month]], dropdown!$S$4:$T$15, 2, FALSE),"")</f>
        <v/>
      </c>
      <c r="L51" s="58"/>
      <c r="M51" s="29"/>
      <c r="N51" s="195"/>
      <c r="O51" s="44"/>
      <c r="P51" s="194" t="str">
        <f t="shared" si="1"/>
        <v/>
      </c>
      <c r="Q51" s="58"/>
      <c r="R51" s="18" t="str">
        <f>IF(water_out[[#This Row],[Month]]&lt;&gt;"",VLOOKUP(water_out[[#This Row],[Month]], dropdown!$S$4:$T$15, 2, FALSE),"")</f>
        <v/>
      </c>
      <c r="S51" s="60"/>
      <c r="T51" s="29"/>
      <c r="U51" s="374"/>
      <c r="W51" s="20"/>
    </row>
    <row r="52" spans="9:23" ht="14" x14ac:dyDescent="0.2">
      <c r="I52" s="194" t="str">
        <f t="shared" si="0"/>
        <v/>
      </c>
      <c r="J52" s="58"/>
      <c r="K52" s="426" t="str">
        <f>IF(water_in[[#This Row],[Month]]&lt;&gt;"",VLOOKUP(water_in[[#This Row],[Month]], dropdown!$S$4:$T$15, 2, FALSE),"")</f>
        <v/>
      </c>
      <c r="L52" s="58"/>
      <c r="M52" s="29"/>
      <c r="N52" s="195"/>
      <c r="O52" s="44"/>
      <c r="P52" s="194" t="str">
        <f t="shared" si="1"/>
        <v/>
      </c>
      <c r="Q52" s="58"/>
      <c r="R52" s="18" t="str">
        <f>IF(water_out[[#This Row],[Month]]&lt;&gt;"",VLOOKUP(water_out[[#This Row],[Month]], dropdown!$S$4:$T$15, 2, FALSE),"")</f>
        <v/>
      </c>
      <c r="S52" s="60"/>
      <c r="T52" s="29"/>
      <c r="U52" s="374"/>
      <c r="W52" s="20"/>
    </row>
    <row r="53" spans="9:23" ht="14" x14ac:dyDescent="0.2">
      <c r="I53" s="194" t="str">
        <f t="shared" si="0"/>
        <v/>
      </c>
      <c r="J53" s="58"/>
      <c r="K53" s="426" t="str">
        <f>IF(water_in[[#This Row],[Month]]&lt;&gt;"",VLOOKUP(water_in[[#This Row],[Month]], dropdown!$S$4:$T$15, 2, FALSE),"")</f>
        <v/>
      </c>
      <c r="L53" s="58"/>
      <c r="M53" s="29"/>
      <c r="N53" s="195"/>
      <c r="O53" s="44"/>
      <c r="P53" s="194" t="str">
        <f t="shared" si="1"/>
        <v/>
      </c>
      <c r="Q53" s="58"/>
      <c r="R53" s="18" t="str">
        <f>IF(water_out[[#This Row],[Month]]&lt;&gt;"",VLOOKUP(water_out[[#This Row],[Month]], dropdown!$S$4:$T$15, 2, FALSE),"")</f>
        <v/>
      </c>
      <c r="S53" s="60"/>
      <c r="T53" s="29"/>
      <c r="U53" s="374"/>
      <c r="W53" s="20"/>
    </row>
    <row r="54" spans="9:23" ht="14" x14ac:dyDescent="0.2">
      <c r="I54" s="194" t="str">
        <f t="shared" si="0"/>
        <v/>
      </c>
      <c r="J54" s="58"/>
      <c r="K54" s="426" t="str">
        <f>IF(water_in[[#This Row],[Month]]&lt;&gt;"",VLOOKUP(water_in[[#This Row],[Month]], dropdown!$S$4:$T$15, 2, FALSE),"")</f>
        <v/>
      </c>
      <c r="L54" s="58"/>
      <c r="M54" s="29"/>
      <c r="N54" s="195"/>
      <c r="O54" s="44"/>
      <c r="P54" s="194" t="str">
        <f t="shared" si="1"/>
        <v/>
      </c>
      <c r="Q54" s="58"/>
      <c r="R54" s="18" t="str">
        <f>IF(water_out[[#This Row],[Month]]&lt;&gt;"",VLOOKUP(water_out[[#This Row],[Month]], dropdown!$S$4:$T$15, 2, FALSE),"")</f>
        <v/>
      </c>
      <c r="S54" s="60"/>
      <c r="T54" s="29"/>
      <c r="U54" s="374"/>
      <c r="W54" s="20"/>
    </row>
    <row r="55" spans="9:23" ht="14" x14ac:dyDescent="0.2">
      <c r="I55" s="194" t="str">
        <f t="shared" si="0"/>
        <v/>
      </c>
      <c r="J55" s="58"/>
      <c r="K55" s="426" t="str">
        <f>IF(water_in[[#This Row],[Month]]&lt;&gt;"",VLOOKUP(water_in[[#This Row],[Month]], dropdown!$S$4:$T$15, 2, FALSE),"")</f>
        <v/>
      </c>
      <c r="L55" s="58"/>
      <c r="M55" s="29"/>
      <c r="N55" s="195"/>
      <c r="O55" s="44"/>
      <c r="P55" s="194" t="str">
        <f t="shared" si="1"/>
        <v/>
      </c>
      <c r="Q55" s="58"/>
      <c r="R55" s="18" t="str">
        <f>IF(water_out[[#This Row],[Month]]&lt;&gt;"",VLOOKUP(water_out[[#This Row],[Month]], dropdown!$S$4:$T$15, 2, FALSE),"")</f>
        <v/>
      </c>
      <c r="S55" s="60"/>
      <c r="T55" s="29"/>
      <c r="U55" s="374"/>
      <c r="W55" s="20"/>
    </row>
    <row r="56" spans="9:23" ht="14" x14ac:dyDescent="0.2">
      <c r="I56" s="194" t="str">
        <f t="shared" si="0"/>
        <v/>
      </c>
      <c r="J56" s="58"/>
      <c r="K56" s="426" t="str">
        <f>IF(water_in[[#This Row],[Month]]&lt;&gt;"",VLOOKUP(water_in[[#This Row],[Month]], dropdown!$S$4:$T$15, 2, FALSE),"")</f>
        <v/>
      </c>
      <c r="L56" s="58"/>
      <c r="M56" s="29"/>
      <c r="N56" s="195"/>
      <c r="O56" s="44"/>
      <c r="P56" s="194" t="str">
        <f t="shared" si="1"/>
        <v/>
      </c>
      <c r="Q56" s="58"/>
      <c r="R56" s="18" t="str">
        <f>IF(water_out[[#This Row],[Month]]&lt;&gt;"",VLOOKUP(water_out[[#This Row],[Month]], dropdown!$S$4:$T$15, 2, FALSE),"")</f>
        <v/>
      </c>
      <c r="S56" s="60"/>
      <c r="T56" s="29"/>
      <c r="U56" s="374"/>
      <c r="W56" s="20"/>
    </row>
    <row r="57" spans="9:23" ht="14" x14ac:dyDescent="0.2">
      <c r="I57" s="194" t="str">
        <f t="shared" si="0"/>
        <v/>
      </c>
      <c r="J57" s="58"/>
      <c r="K57" s="426" t="str">
        <f>IF(water_in[[#This Row],[Month]]&lt;&gt;"",VLOOKUP(water_in[[#This Row],[Month]], dropdown!$S$4:$T$15, 2, FALSE),"")</f>
        <v/>
      </c>
      <c r="L57" s="58"/>
      <c r="M57" s="29"/>
      <c r="N57" s="195"/>
      <c r="O57" s="44"/>
      <c r="P57" s="194" t="str">
        <f t="shared" si="1"/>
        <v/>
      </c>
      <c r="Q57" s="58"/>
      <c r="R57" s="18" t="str">
        <f>IF(water_out[[#This Row],[Month]]&lt;&gt;"",VLOOKUP(water_out[[#This Row],[Month]], dropdown!$S$4:$T$15, 2, FALSE),"")</f>
        <v/>
      </c>
      <c r="S57" s="60"/>
      <c r="T57" s="29"/>
      <c r="U57" s="374"/>
      <c r="W57" s="20"/>
    </row>
    <row r="58" spans="9:23" ht="14" x14ac:dyDescent="0.2">
      <c r="I58" s="194" t="str">
        <f t="shared" si="0"/>
        <v/>
      </c>
      <c r="J58" s="58"/>
      <c r="K58" s="426" t="str">
        <f>IF(water_in[[#This Row],[Month]]&lt;&gt;"",VLOOKUP(water_in[[#This Row],[Month]], dropdown!$S$4:$T$15, 2, FALSE),"")</f>
        <v/>
      </c>
      <c r="L58" s="58"/>
      <c r="M58" s="29"/>
      <c r="N58" s="195"/>
      <c r="O58" s="44"/>
      <c r="P58" s="194" t="str">
        <f t="shared" si="1"/>
        <v/>
      </c>
      <c r="Q58" s="58"/>
      <c r="R58" s="18" t="str">
        <f>IF(water_out[[#This Row],[Month]]&lt;&gt;"",VLOOKUP(water_out[[#This Row],[Month]], dropdown!$S$4:$T$15, 2, FALSE),"")</f>
        <v/>
      </c>
      <c r="S58" s="60"/>
      <c r="T58" s="29"/>
      <c r="U58" s="374"/>
      <c r="W58" s="20"/>
    </row>
    <row r="59" spans="9:23" ht="14" x14ac:dyDescent="0.2">
      <c r="I59" s="194" t="str">
        <f t="shared" si="0"/>
        <v/>
      </c>
      <c r="J59" s="58"/>
      <c r="K59" s="426" t="str">
        <f>IF(water_in[[#This Row],[Month]]&lt;&gt;"",VLOOKUP(water_in[[#This Row],[Month]], dropdown!$S$4:$T$15, 2, FALSE),"")</f>
        <v/>
      </c>
      <c r="L59" s="58"/>
      <c r="M59" s="29"/>
      <c r="N59" s="195"/>
      <c r="O59" s="44"/>
      <c r="P59" s="194" t="str">
        <f t="shared" si="1"/>
        <v/>
      </c>
      <c r="Q59" s="58"/>
      <c r="R59" s="18" t="str">
        <f>IF(water_out[[#This Row],[Month]]&lt;&gt;"",VLOOKUP(water_out[[#This Row],[Month]], dropdown!$S$4:$T$15, 2, FALSE),"")</f>
        <v/>
      </c>
      <c r="S59" s="60"/>
      <c r="T59" s="29"/>
      <c r="U59" s="374"/>
      <c r="W59" s="20"/>
    </row>
    <row r="60" spans="9:23" ht="14" x14ac:dyDescent="0.2">
      <c r="I60" s="194" t="str">
        <f t="shared" si="0"/>
        <v/>
      </c>
      <c r="J60" s="58"/>
      <c r="K60" s="426" t="str">
        <f>IF(water_in[[#This Row],[Month]]&lt;&gt;"",VLOOKUP(water_in[[#This Row],[Month]], dropdown!$S$4:$T$15, 2, FALSE),"")</f>
        <v/>
      </c>
      <c r="L60" s="58"/>
      <c r="M60" s="29"/>
      <c r="N60" s="195"/>
      <c r="O60" s="44"/>
      <c r="P60" s="194" t="str">
        <f t="shared" si="1"/>
        <v/>
      </c>
      <c r="Q60" s="58"/>
      <c r="R60" s="18" t="str">
        <f>IF(water_out[[#This Row],[Month]]&lt;&gt;"",VLOOKUP(water_out[[#This Row],[Month]], dropdown!$S$4:$T$15, 2, FALSE),"")</f>
        <v/>
      </c>
      <c r="S60" s="60"/>
      <c r="T60" s="29"/>
      <c r="U60" s="374"/>
      <c r="W60" s="20"/>
    </row>
    <row r="61" spans="9:23" ht="14" x14ac:dyDescent="0.2">
      <c r="I61" s="194" t="str">
        <f t="shared" si="0"/>
        <v/>
      </c>
      <c r="J61" s="58"/>
      <c r="K61" s="426" t="str">
        <f>IF(water_in[[#This Row],[Month]]&lt;&gt;"",VLOOKUP(water_in[[#This Row],[Month]], dropdown!$S$4:$T$15, 2, FALSE),"")</f>
        <v/>
      </c>
      <c r="L61" s="58"/>
      <c r="M61" s="29"/>
      <c r="N61" s="195"/>
      <c r="O61" s="44"/>
      <c r="P61" s="194" t="str">
        <f t="shared" si="1"/>
        <v/>
      </c>
      <c r="Q61" s="58"/>
      <c r="R61" s="18" t="str">
        <f>IF(water_out[[#This Row],[Month]]&lt;&gt;"",VLOOKUP(water_out[[#This Row],[Month]], dropdown!$S$4:$T$15, 2, FALSE),"")</f>
        <v/>
      </c>
      <c r="S61" s="60"/>
      <c r="T61" s="29"/>
      <c r="U61" s="374"/>
      <c r="W61" s="20"/>
    </row>
    <row r="62" spans="9:23" ht="14" x14ac:dyDescent="0.2">
      <c r="I62" s="194" t="str">
        <f t="shared" si="0"/>
        <v/>
      </c>
      <c r="J62" s="58"/>
      <c r="K62" s="426" t="str">
        <f>IF(water_in[[#This Row],[Month]]&lt;&gt;"",VLOOKUP(water_in[[#This Row],[Month]], dropdown!$S$4:$T$15, 2, FALSE),"")</f>
        <v/>
      </c>
      <c r="L62" s="58"/>
      <c r="M62" s="29"/>
      <c r="N62" s="195"/>
      <c r="O62" s="44"/>
      <c r="P62" s="194" t="str">
        <f t="shared" si="1"/>
        <v/>
      </c>
      <c r="Q62" s="58"/>
      <c r="R62" s="18" t="str">
        <f>IF(water_out[[#This Row],[Month]]&lt;&gt;"",VLOOKUP(water_out[[#This Row],[Month]], dropdown!$S$4:$T$15, 2, FALSE),"")</f>
        <v/>
      </c>
      <c r="S62" s="60"/>
      <c r="T62" s="29"/>
      <c r="U62" s="374"/>
      <c r="W62" s="20"/>
    </row>
    <row r="63" spans="9:23" ht="14" x14ac:dyDescent="0.2">
      <c r="I63" s="194" t="str">
        <f t="shared" si="0"/>
        <v/>
      </c>
      <c r="J63" s="58"/>
      <c r="K63" s="426" t="str">
        <f>IF(water_in[[#This Row],[Month]]&lt;&gt;"",VLOOKUP(water_in[[#This Row],[Month]], dropdown!$S$4:$T$15, 2, FALSE),"")</f>
        <v/>
      </c>
      <c r="L63" s="58"/>
      <c r="M63" s="29"/>
      <c r="N63" s="195"/>
      <c r="O63" s="44"/>
      <c r="P63" s="194" t="str">
        <f t="shared" si="1"/>
        <v/>
      </c>
      <c r="Q63" s="58"/>
      <c r="R63" s="18" t="str">
        <f>IF(water_out[[#This Row],[Month]]&lt;&gt;"",VLOOKUP(water_out[[#This Row],[Month]], dropdown!$S$4:$T$15, 2, FALSE),"")</f>
        <v/>
      </c>
      <c r="S63" s="60"/>
      <c r="T63" s="29"/>
      <c r="U63" s="374"/>
      <c r="W63" s="20"/>
    </row>
    <row r="64" spans="9:23" ht="14" x14ac:dyDescent="0.2">
      <c r="I64" s="194" t="str">
        <f t="shared" si="0"/>
        <v/>
      </c>
      <c r="J64" s="58"/>
      <c r="K64" s="426" t="str">
        <f>IF(water_in[[#This Row],[Month]]&lt;&gt;"",VLOOKUP(water_in[[#This Row],[Month]], dropdown!$S$4:$T$15, 2, FALSE),"")</f>
        <v/>
      </c>
      <c r="L64" s="58"/>
      <c r="M64" s="29"/>
      <c r="N64" s="195"/>
      <c r="O64" s="44"/>
      <c r="P64" s="194" t="str">
        <f t="shared" si="1"/>
        <v/>
      </c>
      <c r="Q64" s="58"/>
      <c r="R64" s="18" t="str">
        <f>IF(water_out[[#This Row],[Month]]&lt;&gt;"",VLOOKUP(water_out[[#This Row],[Month]], dropdown!$S$4:$T$15, 2, FALSE),"")</f>
        <v/>
      </c>
      <c r="S64" s="60"/>
      <c r="T64" s="29"/>
      <c r="U64" s="374"/>
      <c r="W64" s="20"/>
    </row>
    <row r="65" spans="9:23" ht="14" x14ac:dyDescent="0.2">
      <c r="I65" s="194" t="str">
        <f t="shared" si="0"/>
        <v/>
      </c>
      <c r="J65" s="58"/>
      <c r="K65" s="426" t="str">
        <f>IF(water_in[[#This Row],[Month]]&lt;&gt;"",VLOOKUP(water_in[[#This Row],[Month]], dropdown!$S$4:$T$15, 2, FALSE),"")</f>
        <v/>
      </c>
      <c r="L65" s="58"/>
      <c r="M65" s="29"/>
      <c r="N65" s="195"/>
      <c r="O65" s="44"/>
      <c r="P65" s="194" t="str">
        <f t="shared" si="1"/>
        <v/>
      </c>
      <c r="Q65" s="58"/>
      <c r="R65" s="18" t="str">
        <f>IF(water_out[[#This Row],[Month]]&lt;&gt;"",VLOOKUP(water_out[[#This Row],[Month]], dropdown!$S$4:$T$15, 2, FALSE),"")</f>
        <v/>
      </c>
      <c r="S65" s="60"/>
      <c r="T65" s="29"/>
      <c r="U65" s="374"/>
      <c r="W65" s="20"/>
    </row>
    <row r="66" spans="9:23" ht="14" x14ac:dyDescent="0.2">
      <c r="I66" s="194" t="str">
        <f t="shared" si="0"/>
        <v/>
      </c>
      <c r="J66" s="58"/>
      <c r="K66" s="426" t="str">
        <f>IF(water_in[[#This Row],[Month]]&lt;&gt;"",VLOOKUP(water_in[[#This Row],[Month]], dropdown!$S$4:$T$15, 2, FALSE),"")</f>
        <v/>
      </c>
      <c r="L66" s="58"/>
      <c r="M66" s="29"/>
      <c r="N66" s="195"/>
      <c r="O66" s="44"/>
      <c r="P66" s="194" t="str">
        <f t="shared" si="1"/>
        <v/>
      </c>
      <c r="Q66" s="58"/>
      <c r="R66" s="18" t="str">
        <f>IF(water_out[[#This Row],[Month]]&lt;&gt;"",VLOOKUP(water_out[[#This Row],[Month]], dropdown!$S$4:$T$15, 2, FALSE),"")</f>
        <v/>
      </c>
      <c r="S66" s="60"/>
      <c r="T66" s="29"/>
      <c r="U66" s="374"/>
      <c r="W66" s="20"/>
    </row>
    <row r="67" spans="9:23" ht="14" x14ac:dyDescent="0.2">
      <c r="I67" s="194" t="str">
        <f t="shared" si="0"/>
        <v/>
      </c>
      <c r="J67" s="58"/>
      <c r="K67" s="426" t="str">
        <f>IF(water_in[[#This Row],[Month]]&lt;&gt;"",VLOOKUP(water_in[[#This Row],[Month]], dropdown!$S$4:$T$15, 2, FALSE),"")</f>
        <v/>
      </c>
      <c r="L67" s="58"/>
      <c r="M67" s="29"/>
      <c r="N67" s="195"/>
      <c r="O67" s="44"/>
      <c r="P67" s="194" t="str">
        <f t="shared" si="1"/>
        <v/>
      </c>
      <c r="Q67" s="58"/>
      <c r="R67" s="18" t="str">
        <f>IF(water_out[[#This Row],[Month]]&lt;&gt;"",VLOOKUP(water_out[[#This Row],[Month]], dropdown!$S$4:$T$15, 2, FALSE),"")</f>
        <v/>
      </c>
      <c r="S67" s="60"/>
      <c r="T67" s="29"/>
      <c r="U67" s="374"/>
      <c r="W67" s="20"/>
    </row>
    <row r="68" spans="9:23" ht="14" x14ac:dyDescent="0.2">
      <c r="I68" s="194" t="str">
        <f t="shared" si="0"/>
        <v/>
      </c>
      <c r="J68" s="58"/>
      <c r="K68" s="426" t="str">
        <f>IF(water_in[[#This Row],[Month]]&lt;&gt;"",VLOOKUP(water_in[[#This Row],[Month]], dropdown!$S$4:$T$15, 2, FALSE),"")</f>
        <v/>
      </c>
      <c r="L68" s="58"/>
      <c r="M68" s="29"/>
      <c r="N68" s="195"/>
      <c r="O68" s="44"/>
      <c r="P68" s="194" t="str">
        <f t="shared" si="1"/>
        <v/>
      </c>
      <c r="Q68" s="58"/>
      <c r="R68" s="18" t="str">
        <f>IF(water_out[[#This Row],[Month]]&lt;&gt;"",VLOOKUP(water_out[[#This Row],[Month]], dropdown!$S$4:$T$15, 2, FALSE),"")</f>
        <v/>
      </c>
      <c r="S68" s="60"/>
      <c r="T68" s="29"/>
      <c r="U68" s="374"/>
      <c r="W68" s="20"/>
    </row>
    <row r="69" spans="9:23" ht="14" x14ac:dyDescent="0.2">
      <c r="I69" s="194" t="str">
        <f t="shared" si="0"/>
        <v/>
      </c>
      <c r="J69" s="58"/>
      <c r="K69" s="426" t="str">
        <f>IF(water_in[[#This Row],[Month]]&lt;&gt;"",VLOOKUP(water_in[[#This Row],[Month]], dropdown!$S$4:$T$15, 2, FALSE),"")</f>
        <v/>
      </c>
      <c r="L69" s="58"/>
      <c r="M69" s="29"/>
      <c r="N69" s="195"/>
      <c r="O69" s="44"/>
      <c r="P69" s="194" t="str">
        <f t="shared" si="1"/>
        <v/>
      </c>
      <c r="Q69" s="58"/>
      <c r="R69" s="18" t="str">
        <f>IF(water_out[[#This Row],[Month]]&lt;&gt;"",VLOOKUP(water_out[[#This Row],[Month]], dropdown!$S$4:$T$15, 2, FALSE),"")</f>
        <v/>
      </c>
      <c r="S69" s="60"/>
      <c r="T69" s="29"/>
      <c r="U69" s="374"/>
      <c r="W69" s="20"/>
    </row>
    <row r="70" spans="9:23" ht="14" x14ac:dyDescent="0.2">
      <c r="I70" s="194" t="str">
        <f t="shared" si="0"/>
        <v/>
      </c>
      <c r="J70" s="58"/>
      <c r="K70" s="426" t="str">
        <f>IF(water_in[[#This Row],[Month]]&lt;&gt;"",VLOOKUP(water_in[[#This Row],[Month]], dropdown!$S$4:$T$15, 2, FALSE),"")</f>
        <v/>
      </c>
      <c r="L70" s="58"/>
      <c r="M70" s="29"/>
      <c r="N70" s="195"/>
      <c r="O70" s="44"/>
      <c r="P70" s="194" t="str">
        <f t="shared" si="1"/>
        <v/>
      </c>
      <c r="Q70" s="58"/>
      <c r="R70" s="18" t="str">
        <f>IF(water_out[[#This Row],[Month]]&lt;&gt;"",VLOOKUP(water_out[[#This Row],[Month]], dropdown!$S$4:$T$15, 2, FALSE),"")</f>
        <v/>
      </c>
      <c r="S70" s="60"/>
      <c r="T70" s="29"/>
      <c r="U70" s="374"/>
      <c r="W70" s="20"/>
    </row>
    <row r="71" spans="9:23" ht="14" x14ac:dyDescent="0.2">
      <c r="I71" s="194" t="str">
        <f t="shared" si="0"/>
        <v/>
      </c>
      <c r="J71" s="58"/>
      <c r="K71" s="426" t="str">
        <f>IF(water_in[[#This Row],[Month]]&lt;&gt;"",VLOOKUP(water_in[[#This Row],[Month]], dropdown!$S$4:$T$15, 2, FALSE),"")</f>
        <v/>
      </c>
      <c r="L71" s="58"/>
      <c r="M71" s="29"/>
      <c r="N71" s="195"/>
      <c r="O71" s="44"/>
      <c r="P71" s="194" t="str">
        <f t="shared" si="1"/>
        <v/>
      </c>
      <c r="Q71" s="58"/>
      <c r="R71" s="18" t="str">
        <f>IF(water_out[[#This Row],[Month]]&lt;&gt;"",VLOOKUP(water_out[[#This Row],[Month]], dropdown!$S$4:$T$15, 2, FALSE),"")</f>
        <v/>
      </c>
      <c r="S71" s="60"/>
      <c r="T71" s="29"/>
      <c r="U71" s="374"/>
      <c r="W71" s="20"/>
    </row>
    <row r="72" spans="9:23" ht="14" x14ac:dyDescent="0.2">
      <c r="I72" s="194" t="str">
        <f t="shared" si="0"/>
        <v/>
      </c>
      <c r="J72" s="58"/>
      <c r="K72" s="426" t="str">
        <f>IF(water_in[[#This Row],[Month]]&lt;&gt;"",VLOOKUP(water_in[[#This Row],[Month]], dropdown!$S$4:$T$15, 2, FALSE),"")</f>
        <v/>
      </c>
      <c r="L72" s="58"/>
      <c r="M72" s="29"/>
      <c r="N72" s="195"/>
      <c r="O72" s="44"/>
      <c r="P72" s="194" t="str">
        <f t="shared" si="1"/>
        <v/>
      </c>
      <c r="Q72" s="58"/>
      <c r="R72" s="18" t="str">
        <f>IF(water_out[[#This Row],[Month]]&lt;&gt;"",VLOOKUP(water_out[[#This Row],[Month]], dropdown!$S$4:$T$15, 2, FALSE),"")</f>
        <v/>
      </c>
      <c r="S72" s="60"/>
      <c r="T72" s="29"/>
      <c r="U72" s="374"/>
      <c r="W72" s="20"/>
    </row>
    <row r="73" spans="9:23" ht="14" x14ac:dyDescent="0.2">
      <c r="I73" s="194" t="str">
        <f t="shared" si="0"/>
        <v/>
      </c>
      <c r="J73" s="58"/>
      <c r="K73" s="426" t="str">
        <f>IF(water_in[[#This Row],[Month]]&lt;&gt;"",VLOOKUP(water_in[[#This Row],[Month]], dropdown!$S$4:$T$15, 2, FALSE),"")</f>
        <v/>
      </c>
      <c r="L73" s="58"/>
      <c r="M73" s="29"/>
      <c r="N73" s="195"/>
      <c r="O73" s="44"/>
      <c r="P73" s="194" t="str">
        <f t="shared" si="1"/>
        <v/>
      </c>
      <c r="Q73" s="58"/>
      <c r="R73" s="18" t="str">
        <f>IF(water_out[[#This Row],[Month]]&lt;&gt;"",VLOOKUP(water_out[[#This Row],[Month]], dropdown!$S$4:$T$15, 2, FALSE),"")</f>
        <v/>
      </c>
      <c r="S73" s="60"/>
      <c r="T73" s="29"/>
      <c r="U73" s="374"/>
      <c r="W73" s="20"/>
    </row>
    <row r="74" spans="9:23" ht="14" x14ac:dyDescent="0.2">
      <c r="I74" s="194" t="str">
        <f t="shared" ref="I74:I107" si="2">IF($M74="","",$I73+1)</f>
        <v/>
      </c>
      <c r="J74" s="58"/>
      <c r="K74" s="426" t="str">
        <f>IF(water_in[[#This Row],[Month]]&lt;&gt;"",VLOOKUP(water_in[[#This Row],[Month]], dropdown!$S$4:$T$15, 2, FALSE),"")</f>
        <v/>
      </c>
      <c r="L74" s="58"/>
      <c r="M74" s="29"/>
      <c r="N74" s="195"/>
      <c r="O74" s="44"/>
      <c r="P74" s="194" t="str">
        <f t="shared" ref="P74:P107" si="3">IF($T74="","",$P73+1)</f>
        <v/>
      </c>
      <c r="Q74" s="58"/>
      <c r="R74" s="18" t="str">
        <f>IF(water_out[[#This Row],[Month]]&lt;&gt;"",VLOOKUP(water_out[[#This Row],[Month]], dropdown!$S$4:$T$15, 2, FALSE),"")</f>
        <v/>
      </c>
      <c r="S74" s="60"/>
      <c r="T74" s="29"/>
      <c r="U74" s="374"/>
      <c r="W74" s="20"/>
    </row>
    <row r="75" spans="9:23" ht="14" x14ac:dyDescent="0.2">
      <c r="I75" s="194" t="str">
        <f t="shared" si="2"/>
        <v/>
      </c>
      <c r="J75" s="58"/>
      <c r="K75" s="426" t="str">
        <f>IF(water_in[[#This Row],[Month]]&lt;&gt;"",VLOOKUP(water_in[[#This Row],[Month]], dropdown!$S$4:$T$15, 2, FALSE),"")</f>
        <v/>
      </c>
      <c r="L75" s="58"/>
      <c r="M75" s="29"/>
      <c r="N75" s="195"/>
      <c r="O75" s="44"/>
      <c r="P75" s="194" t="str">
        <f t="shared" si="3"/>
        <v/>
      </c>
      <c r="Q75" s="58"/>
      <c r="R75" s="18" t="str">
        <f>IF(water_out[[#This Row],[Month]]&lt;&gt;"",VLOOKUP(water_out[[#This Row],[Month]], dropdown!$S$4:$T$15, 2, FALSE),"")</f>
        <v/>
      </c>
      <c r="S75" s="60"/>
      <c r="T75" s="29"/>
      <c r="U75" s="374"/>
      <c r="W75" s="20"/>
    </row>
    <row r="76" spans="9:23" ht="14" x14ac:dyDescent="0.2">
      <c r="I76" s="194" t="str">
        <f t="shared" si="2"/>
        <v/>
      </c>
      <c r="J76" s="58"/>
      <c r="K76" s="426" t="str">
        <f>IF(water_in[[#This Row],[Month]]&lt;&gt;"",VLOOKUP(water_in[[#This Row],[Month]], dropdown!$S$4:$T$15, 2, FALSE),"")</f>
        <v/>
      </c>
      <c r="L76" s="58"/>
      <c r="M76" s="29"/>
      <c r="N76" s="195"/>
      <c r="O76" s="44"/>
      <c r="P76" s="194" t="str">
        <f t="shared" si="3"/>
        <v/>
      </c>
      <c r="Q76" s="58"/>
      <c r="R76" s="18" t="str">
        <f>IF(water_out[[#This Row],[Month]]&lt;&gt;"",VLOOKUP(water_out[[#This Row],[Month]], dropdown!$S$4:$T$15, 2, FALSE),"")</f>
        <v/>
      </c>
      <c r="S76" s="60"/>
      <c r="T76" s="29"/>
      <c r="U76" s="374"/>
      <c r="W76" s="20"/>
    </row>
    <row r="77" spans="9:23" ht="14" x14ac:dyDescent="0.2">
      <c r="I77" s="194" t="str">
        <f t="shared" si="2"/>
        <v/>
      </c>
      <c r="J77" s="58"/>
      <c r="K77" s="426" t="str">
        <f>IF(water_in[[#This Row],[Month]]&lt;&gt;"",VLOOKUP(water_in[[#This Row],[Month]], dropdown!$S$4:$T$15, 2, FALSE),"")</f>
        <v/>
      </c>
      <c r="L77" s="58"/>
      <c r="M77" s="29"/>
      <c r="N77" s="195"/>
      <c r="O77" s="44"/>
      <c r="P77" s="194" t="str">
        <f t="shared" si="3"/>
        <v/>
      </c>
      <c r="Q77" s="58"/>
      <c r="R77" s="18" t="str">
        <f>IF(water_out[[#This Row],[Month]]&lt;&gt;"",VLOOKUP(water_out[[#This Row],[Month]], dropdown!$S$4:$T$15, 2, FALSE),"")</f>
        <v/>
      </c>
      <c r="S77" s="60"/>
      <c r="T77" s="29"/>
      <c r="U77" s="374"/>
      <c r="W77" s="20"/>
    </row>
    <row r="78" spans="9:23" ht="14" x14ac:dyDescent="0.2">
      <c r="I78" s="194" t="str">
        <f t="shared" si="2"/>
        <v/>
      </c>
      <c r="J78" s="58"/>
      <c r="K78" s="426" t="str">
        <f>IF(water_in[[#This Row],[Month]]&lt;&gt;"",VLOOKUP(water_in[[#This Row],[Month]], dropdown!$S$4:$T$15, 2, FALSE),"")</f>
        <v/>
      </c>
      <c r="L78" s="58"/>
      <c r="M78" s="29"/>
      <c r="N78" s="195"/>
      <c r="O78" s="44"/>
      <c r="P78" s="194" t="str">
        <f t="shared" si="3"/>
        <v/>
      </c>
      <c r="Q78" s="58"/>
      <c r="R78" s="18" t="str">
        <f>IF(water_out[[#This Row],[Month]]&lt;&gt;"",VLOOKUP(water_out[[#This Row],[Month]], dropdown!$S$4:$T$15, 2, FALSE),"")</f>
        <v/>
      </c>
      <c r="S78" s="60"/>
      <c r="T78" s="29"/>
      <c r="U78" s="374"/>
      <c r="W78" s="20"/>
    </row>
    <row r="79" spans="9:23" ht="14" x14ac:dyDescent="0.2">
      <c r="I79" s="194" t="str">
        <f t="shared" si="2"/>
        <v/>
      </c>
      <c r="J79" s="58"/>
      <c r="K79" s="426" t="str">
        <f>IF(water_in[[#This Row],[Month]]&lt;&gt;"",VLOOKUP(water_in[[#This Row],[Month]], dropdown!$S$4:$T$15, 2, FALSE),"")</f>
        <v/>
      </c>
      <c r="L79" s="58"/>
      <c r="M79" s="29"/>
      <c r="N79" s="195"/>
      <c r="O79" s="44"/>
      <c r="P79" s="194" t="str">
        <f t="shared" si="3"/>
        <v/>
      </c>
      <c r="Q79" s="58"/>
      <c r="R79" s="18" t="str">
        <f>IF(water_out[[#This Row],[Month]]&lt;&gt;"",VLOOKUP(water_out[[#This Row],[Month]], dropdown!$S$4:$T$15, 2, FALSE),"")</f>
        <v/>
      </c>
      <c r="S79" s="60"/>
      <c r="T79" s="29"/>
      <c r="U79" s="374"/>
      <c r="W79" s="20"/>
    </row>
    <row r="80" spans="9:23" ht="14" x14ac:dyDescent="0.2">
      <c r="I80" s="194" t="str">
        <f t="shared" si="2"/>
        <v/>
      </c>
      <c r="J80" s="58"/>
      <c r="K80" s="426" t="str">
        <f>IF(water_in[[#This Row],[Month]]&lt;&gt;"",VLOOKUP(water_in[[#This Row],[Month]], dropdown!$S$4:$T$15, 2, FALSE),"")</f>
        <v/>
      </c>
      <c r="L80" s="58"/>
      <c r="M80" s="29"/>
      <c r="N80" s="195"/>
      <c r="O80" s="44"/>
      <c r="P80" s="194" t="str">
        <f t="shared" si="3"/>
        <v/>
      </c>
      <c r="Q80" s="58"/>
      <c r="R80" s="18" t="str">
        <f>IF(water_out[[#This Row],[Month]]&lt;&gt;"",VLOOKUP(water_out[[#This Row],[Month]], dropdown!$S$4:$T$15, 2, FALSE),"")</f>
        <v/>
      </c>
      <c r="S80" s="60"/>
      <c r="T80" s="29"/>
      <c r="U80" s="374"/>
      <c r="W80" s="20"/>
    </row>
    <row r="81" spans="9:23" ht="14" x14ac:dyDescent="0.2">
      <c r="I81" s="194" t="str">
        <f t="shared" si="2"/>
        <v/>
      </c>
      <c r="J81" s="58"/>
      <c r="K81" s="426" t="str">
        <f>IF(water_in[[#This Row],[Month]]&lt;&gt;"",VLOOKUP(water_in[[#This Row],[Month]], dropdown!$S$4:$T$15, 2, FALSE),"")</f>
        <v/>
      </c>
      <c r="L81" s="58"/>
      <c r="M81" s="29"/>
      <c r="N81" s="195"/>
      <c r="O81" s="44"/>
      <c r="P81" s="194" t="str">
        <f t="shared" si="3"/>
        <v/>
      </c>
      <c r="Q81" s="58"/>
      <c r="R81" s="18" t="str">
        <f>IF(water_out[[#This Row],[Month]]&lt;&gt;"",VLOOKUP(water_out[[#This Row],[Month]], dropdown!$S$4:$T$15, 2, FALSE),"")</f>
        <v/>
      </c>
      <c r="S81" s="60"/>
      <c r="T81" s="29"/>
      <c r="U81" s="374"/>
      <c r="W81" s="20"/>
    </row>
    <row r="82" spans="9:23" ht="14" x14ac:dyDescent="0.2">
      <c r="I82" s="194" t="str">
        <f t="shared" si="2"/>
        <v/>
      </c>
      <c r="J82" s="58"/>
      <c r="K82" s="426" t="str">
        <f>IF(water_in[[#This Row],[Month]]&lt;&gt;"",VLOOKUP(water_in[[#This Row],[Month]], dropdown!$S$4:$T$15, 2, FALSE),"")</f>
        <v/>
      </c>
      <c r="L82" s="58"/>
      <c r="M82" s="29"/>
      <c r="N82" s="195"/>
      <c r="O82" s="44"/>
      <c r="P82" s="194" t="str">
        <f t="shared" si="3"/>
        <v/>
      </c>
      <c r="Q82" s="58"/>
      <c r="R82" s="18" t="str">
        <f>IF(water_out[[#This Row],[Month]]&lt;&gt;"",VLOOKUP(water_out[[#This Row],[Month]], dropdown!$S$4:$T$15, 2, FALSE),"")</f>
        <v/>
      </c>
      <c r="S82" s="60"/>
      <c r="T82" s="29"/>
      <c r="U82" s="374"/>
      <c r="W82" s="20"/>
    </row>
    <row r="83" spans="9:23" ht="14" x14ac:dyDescent="0.2">
      <c r="I83" s="194" t="str">
        <f t="shared" si="2"/>
        <v/>
      </c>
      <c r="J83" s="58"/>
      <c r="K83" s="426" t="str">
        <f>IF(water_in[[#This Row],[Month]]&lt;&gt;"",VLOOKUP(water_in[[#This Row],[Month]], dropdown!$S$4:$T$15, 2, FALSE),"")</f>
        <v/>
      </c>
      <c r="L83" s="58"/>
      <c r="M83" s="29"/>
      <c r="N83" s="195"/>
      <c r="O83" s="44"/>
      <c r="P83" s="194" t="str">
        <f t="shared" si="3"/>
        <v/>
      </c>
      <c r="Q83" s="58"/>
      <c r="R83" s="18" t="str">
        <f>IF(water_out[[#This Row],[Month]]&lt;&gt;"",VLOOKUP(water_out[[#This Row],[Month]], dropdown!$S$4:$T$15, 2, FALSE),"")</f>
        <v/>
      </c>
      <c r="S83" s="60"/>
      <c r="T83" s="29"/>
      <c r="U83" s="374"/>
      <c r="W83" s="20"/>
    </row>
    <row r="84" spans="9:23" ht="14" x14ac:dyDescent="0.2">
      <c r="I84" s="194" t="str">
        <f t="shared" si="2"/>
        <v/>
      </c>
      <c r="J84" s="58"/>
      <c r="K84" s="426" t="str">
        <f>IF(water_in[[#This Row],[Month]]&lt;&gt;"",VLOOKUP(water_in[[#This Row],[Month]], dropdown!$S$4:$T$15, 2, FALSE),"")</f>
        <v/>
      </c>
      <c r="L84" s="58"/>
      <c r="M84" s="29"/>
      <c r="N84" s="195"/>
      <c r="O84" s="44"/>
      <c r="P84" s="194" t="str">
        <f t="shared" si="3"/>
        <v/>
      </c>
      <c r="Q84" s="58"/>
      <c r="R84" s="18" t="str">
        <f>IF(water_out[[#This Row],[Month]]&lt;&gt;"",VLOOKUP(water_out[[#This Row],[Month]], dropdown!$S$4:$T$15, 2, FALSE),"")</f>
        <v/>
      </c>
      <c r="S84" s="60"/>
      <c r="T84" s="29"/>
      <c r="U84" s="374"/>
      <c r="W84" s="20"/>
    </row>
    <row r="85" spans="9:23" ht="14" x14ac:dyDescent="0.2">
      <c r="I85" s="194" t="str">
        <f t="shared" si="2"/>
        <v/>
      </c>
      <c r="J85" s="58"/>
      <c r="K85" s="426" t="str">
        <f>IF(water_in[[#This Row],[Month]]&lt;&gt;"",VLOOKUP(water_in[[#This Row],[Month]], dropdown!$S$4:$T$15, 2, FALSE),"")</f>
        <v/>
      </c>
      <c r="L85" s="58"/>
      <c r="M85" s="29"/>
      <c r="N85" s="195"/>
      <c r="O85" s="44"/>
      <c r="P85" s="194" t="str">
        <f t="shared" si="3"/>
        <v/>
      </c>
      <c r="Q85" s="58"/>
      <c r="R85" s="18" t="str">
        <f>IF(water_out[[#This Row],[Month]]&lt;&gt;"",VLOOKUP(water_out[[#This Row],[Month]], dropdown!$S$4:$T$15, 2, FALSE),"")</f>
        <v/>
      </c>
      <c r="S85" s="60"/>
      <c r="T85" s="29"/>
      <c r="U85" s="374"/>
      <c r="W85" s="20"/>
    </row>
    <row r="86" spans="9:23" ht="14" x14ac:dyDescent="0.2">
      <c r="I86" s="194" t="str">
        <f t="shared" si="2"/>
        <v/>
      </c>
      <c r="J86" s="58"/>
      <c r="K86" s="426" t="str">
        <f>IF(water_in[[#This Row],[Month]]&lt;&gt;"",VLOOKUP(water_in[[#This Row],[Month]], dropdown!$S$4:$T$15, 2, FALSE),"")</f>
        <v/>
      </c>
      <c r="L86" s="58"/>
      <c r="M86" s="29"/>
      <c r="N86" s="195"/>
      <c r="O86" s="44"/>
      <c r="P86" s="194" t="str">
        <f t="shared" si="3"/>
        <v/>
      </c>
      <c r="Q86" s="58"/>
      <c r="R86" s="18" t="str">
        <f>IF(water_out[[#This Row],[Month]]&lt;&gt;"",VLOOKUP(water_out[[#This Row],[Month]], dropdown!$S$4:$T$15, 2, FALSE),"")</f>
        <v/>
      </c>
      <c r="S86" s="60"/>
      <c r="T86" s="29"/>
      <c r="U86" s="374"/>
      <c r="W86" s="20"/>
    </row>
    <row r="87" spans="9:23" ht="14" x14ac:dyDescent="0.2">
      <c r="I87" s="194" t="str">
        <f t="shared" si="2"/>
        <v/>
      </c>
      <c r="J87" s="58"/>
      <c r="K87" s="426" t="str">
        <f>IF(water_in[[#This Row],[Month]]&lt;&gt;"",VLOOKUP(water_in[[#This Row],[Month]], dropdown!$S$4:$T$15, 2, FALSE),"")</f>
        <v/>
      </c>
      <c r="L87" s="58"/>
      <c r="M87" s="29"/>
      <c r="N87" s="195"/>
      <c r="O87" s="44"/>
      <c r="P87" s="194" t="str">
        <f t="shared" si="3"/>
        <v/>
      </c>
      <c r="Q87" s="58"/>
      <c r="R87" s="18" t="str">
        <f>IF(water_out[[#This Row],[Month]]&lt;&gt;"",VLOOKUP(water_out[[#This Row],[Month]], dropdown!$S$4:$T$15, 2, FALSE),"")</f>
        <v/>
      </c>
      <c r="S87" s="60"/>
      <c r="T87" s="29"/>
      <c r="U87" s="374"/>
      <c r="W87" s="20"/>
    </row>
    <row r="88" spans="9:23" ht="14" x14ac:dyDescent="0.2">
      <c r="I88" s="194" t="str">
        <f t="shared" si="2"/>
        <v/>
      </c>
      <c r="J88" s="58"/>
      <c r="K88" s="426" t="str">
        <f>IF(water_in[[#This Row],[Month]]&lt;&gt;"",VLOOKUP(water_in[[#This Row],[Month]], dropdown!$S$4:$T$15, 2, FALSE),"")</f>
        <v/>
      </c>
      <c r="L88" s="58"/>
      <c r="M88" s="29"/>
      <c r="N88" s="195"/>
      <c r="O88" s="44"/>
      <c r="P88" s="194" t="str">
        <f t="shared" si="3"/>
        <v/>
      </c>
      <c r="Q88" s="58"/>
      <c r="R88" s="18" t="str">
        <f>IF(water_out[[#This Row],[Month]]&lt;&gt;"",VLOOKUP(water_out[[#This Row],[Month]], dropdown!$S$4:$T$15, 2, FALSE),"")</f>
        <v/>
      </c>
      <c r="S88" s="60"/>
      <c r="T88" s="29"/>
      <c r="U88" s="374"/>
      <c r="W88" s="20"/>
    </row>
    <row r="89" spans="9:23" ht="14" x14ac:dyDescent="0.2">
      <c r="I89" s="194" t="str">
        <f t="shared" si="2"/>
        <v/>
      </c>
      <c r="J89" s="58"/>
      <c r="K89" s="426" t="str">
        <f>IF(water_in[[#This Row],[Month]]&lt;&gt;"",VLOOKUP(water_in[[#This Row],[Month]], dropdown!$S$4:$T$15, 2, FALSE),"")</f>
        <v/>
      </c>
      <c r="L89" s="58"/>
      <c r="M89" s="29"/>
      <c r="N89" s="195"/>
      <c r="O89" s="44"/>
      <c r="P89" s="194" t="str">
        <f t="shared" si="3"/>
        <v/>
      </c>
      <c r="Q89" s="58"/>
      <c r="R89" s="18" t="str">
        <f>IF(water_out[[#This Row],[Month]]&lt;&gt;"",VLOOKUP(water_out[[#This Row],[Month]], dropdown!$S$4:$T$15, 2, FALSE),"")</f>
        <v/>
      </c>
      <c r="S89" s="60"/>
      <c r="T89" s="29"/>
      <c r="U89" s="374"/>
      <c r="W89" s="20"/>
    </row>
    <row r="90" spans="9:23" ht="14" x14ac:dyDescent="0.2">
      <c r="I90" s="194" t="str">
        <f t="shared" si="2"/>
        <v/>
      </c>
      <c r="J90" s="58"/>
      <c r="K90" s="426" t="str">
        <f>IF(water_in[[#This Row],[Month]]&lt;&gt;"",VLOOKUP(water_in[[#This Row],[Month]], dropdown!$S$4:$T$15, 2, FALSE),"")</f>
        <v/>
      </c>
      <c r="L90" s="58"/>
      <c r="M90" s="29"/>
      <c r="N90" s="195"/>
      <c r="O90" s="44"/>
      <c r="P90" s="194" t="str">
        <f t="shared" si="3"/>
        <v/>
      </c>
      <c r="Q90" s="58"/>
      <c r="R90" s="18" t="str">
        <f>IF(water_out[[#This Row],[Month]]&lt;&gt;"",VLOOKUP(water_out[[#This Row],[Month]], dropdown!$S$4:$T$15, 2, FALSE),"")</f>
        <v/>
      </c>
      <c r="S90" s="60"/>
      <c r="T90" s="29"/>
      <c r="U90" s="374"/>
      <c r="W90" s="20"/>
    </row>
    <row r="91" spans="9:23" ht="14" x14ac:dyDescent="0.2">
      <c r="I91" s="194" t="str">
        <f t="shared" si="2"/>
        <v/>
      </c>
      <c r="J91" s="58"/>
      <c r="K91" s="426" t="str">
        <f>IF(water_in[[#This Row],[Month]]&lt;&gt;"",VLOOKUP(water_in[[#This Row],[Month]], dropdown!$S$4:$T$15, 2, FALSE),"")</f>
        <v/>
      </c>
      <c r="L91" s="58"/>
      <c r="M91" s="29"/>
      <c r="N91" s="195"/>
      <c r="O91" s="44"/>
      <c r="P91" s="194" t="str">
        <f t="shared" si="3"/>
        <v/>
      </c>
      <c r="Q91" s="58"/>
      <c r="R91" s="18" t="str">
        <f>IF(water_out[[#This Row],[Month]]&lt;&gt;"",VLOOKUP(water_out[[#This Row],[Month]], dropdown!$S$4:$T$15, 2, FALSE),"")</f>
        <v/>
      </c>
      <c r="S91" s="60"/>
      <c r="T91" s="29"/>
      <c r="U91" s="374"/>
      <c r="W91" s="20"/>
    </row>
    <row r="92" spans="9:23" ht="14" x14ac:dyDescent="0.2">
      <c r="I92" s="194" t="str">
        <f t="shared" si="2"/>
        <v/>
      </c>
      <c r="J92" s="58"/>
      <c r="K92" s="426" t="str">
        <f>IF(water_in[[#This Row],[Month]]&lt;&gt;"",VLOOKUP(water_in[[#This Row],[Month]], dropdown!$S$4:$T$15, 2, FALSE),"")</f>
        <v/>
      </c>
      <c r="L92" s="58"/>
      <c r="M92" s="29"/>
      <c r="N92" s="195"/>
      <c r="O92" s="44"/>
      <c r="P92" s="194" t="str">
        <f t="shared" si="3"/>
        <v/>
      </c>
      <c r="Q92" s="58"/>
      <c r="R92" s="18" t="str">
        <f>IF(water_out[[#This Row],[Month]]&lt;&gt;"",VLOOKUP(water_out[[#This Row],[Month]], dropdown!$S$4:$T$15, 2, FALSE),"")</f>
        <v/>
      </c>
      <c r="S92" s="60"/>
      <c r="T92" s="29"/>
      <c r="U92" s="374"/>
      <c r="W92" s="20"/>
    </row>
    <row r="93" spans="9:23" ht="14" x14ac:dyDescent="0.2">
      <c r="I93" s="194" t="str">
        <f t="shared" si="2"/>
        <v/>
      </c>
      <c r="J93" s="58"/>
      <c r="K93" s="426" t="str">
        <f>IF(water_in[[#This Row],[Month]]&lt;&gt;"",VLOOKUP(water_in[[#This Row],[Month]], dropdown!$S$4:$T$15, 2, FALSE),"")</f>
        <v/>
      </c>
      <c r="L93" s="58"/>
      <c r="M93" s="29"/>
      <c r="N93" s="195"/>
      <c r="O93" s="44"/>
      <c r="P93" s="194" t="str">
        <f t="shared" si="3"/>
        <v/>
      </c>
      <c r="Q93" s="58"/>
      <c r="R93" s="18" t="str">
        <f>IF(water_out[[#This Row],[Month]]&lt;&gt;"",VLOOKUP(water_out[[#This Row],[Month]], dropdown!$S$4:$T$15, 2, FALSE),"")</f>
        <v/>
      </c>
      <c r="S93" s="60"/>
      <c r="T93" s="29"/>
      <c r="U93" s="374"/>
      <c r="W93" s="20"/>
    </row>
    <row r="94" spans="9:23" ht="14" x14ac:dyDescent="0.2">
      <c r="I94" s="194" t="str">
        <f t="shared" si="2"/>
        <v/>
      </c>
      <c r="J94" s="58"/>
      <c r="K94" s="426" t="str">
        <f>IF(water_in[[#This Row],[Month]]&lt;&gt;"",VLOOKUP(water_in[[#This Row],[Month]], dropdown!$S$4:$T$15, 2, FALSE),"")</f>
        <v/>
      </c>
      <c r="L94" s="58"/>
      <c r="M94" s="29"/>
      <c r="N94" s="195"/>
      <c r="O94" s="44"/>
      <c r="P94" s="194" t="str">
        <f t="shared" si="3"/>
        <v/>
      </c>
      <c r="Q94" s="58"/>
      <c r="R94" s="18" t="str">
        <f>IF(water_out[[#This Row],[Month]]&lt;&gt;"",VLOOKUP(water_out[[#This Row],[Month]], dropdown!$S$4:$T$15, 2, FALSE),"")</f>
        <v/>
      </c>
      <c r="S94" s="60"/>
      <c r="T94" s="29"/>
      <c r="U94" s="374"/>
      <c r="W94" s="20"/>
    </row>
    <row r="95" spans="9:23" ht="14" x14ac:dyDescent="0.2">
      <c r="I95" s="194" t="str">
        <f t="shared" si="2"/>
        <v/>
      </c>
      <c r="J95" s="58"/>
      <c r="K95" s="426" t="str">
        <f>IF(water_in[[#This Row],[Month]]&lt;&gt;"",VLOOKUP(water_in[[#This Row],[Month]], dropdown!$S$4:$T$15, 2, FALSE),"")</f>
        <v/>
      </c>
      <c r="L95" s="58"/>
      <c r="M95" s="29"/>
      <c r="N95" s="195"/>
      <c r="O95" s="44"/>
      <c r="P95" s="194" t="str">
        <f t="shared" si="3"/>
        <v/>
      </c>
      <c r="Q95" s="58"/>
      <c r="R95" s="18" t="str">
        <f>IF(water_out[[#This Row],[Month]]&lt;&gt;"",VLOOKUP(water_out[[#This Row],[Month]], dropdown!$S$4:$T$15, 2, FALSE),"")</f>
        <v/>
      </c>
      <c r="S95" s="60"/>
      <c r="T95" s="29"/>
      <c r="U95" s="374"/>
      <c r="W95" s="20"/>
    </row>
    <row r="96" spans="9:23" ht="14" x14ac:dyDescent="0.2">
      <c r="I96" s="194" t="str">
        <f t="shared" si="2"/>
        <v/>
      </c>
      <c r="J96" s="58"/>
      <c r="K96" s="426" t="str">
        <f>IF(water_in[[#This Row],[Month]]&lt;&gt;"",VLOOKUP(water_in[[#This Row],[Month]], dropdown!$S$4:$T$15, 2, FALSE),"")</f>
        <v/>
      </c>
      <c r="L96" s="58"/>
      <c r="M96" s="29"/>
      <c r="N96" s="195"/>
      <c r="O96" s="44"/>
      <c r="P96" s="194" t="str">
        <f t="shared" si="3"/>
        <v/>
      </c>
      <c r="Q96" s="58"/>
      <c r="R96" s="18" t="str">
        <f>IF(water_out[[#This Row],[Month]]&lt;&gt;"",VLOOKUP(water_out[[#This Row],[Month]], dropdown!$S$4:$T$15, 2, FALSE),"")</f>
        <v/>
      </c>
      <c r="S96" s="60"/>
      <c r="T96" s="29"/>
      <c r="U96" s="374"/>
      <c r="W96" s="20"/>
    </row>
    <row r="97" spans="9:23" ht="14" x14ac:dyDescent="0.2">
      <c r="I97" s="194" t="str">
        <f t="shared" si="2"/>
        <v/>
      </c>
      <c r="J97" s="58"/>
      <c r="K97" s="426" t="str">
        <f>IF(water_in[[#This Row],[Month]]&lt;&gt;"",VLOOKUP(water_in[[#This Row],[Month]], dropdown!$S$4:$T$15, 2, FALSE),"")</f>
        <v/>
      </c>
      <c r="L97" s="58"/>
      <c r="M97" s="29"/>
      <c r="N97" s="195"/>
      <c r="O97" s="44"/>
      <c r="P97" s="194" t="str">
        <f t="shared" si="3"/>
        <v/>
      </c>
      <c r="Q97" s="58"/>
      <c r="R97" s="18" t="str">
        <f>IF(water_out[[#This Row],[Month]]&lt;&gt;"",VLOOKUP(water_out[[#This Row],[Month]], dropdown!$S$4:$T$15, 2, FALSE),"")</f>
        <v/>
      </c>
      <c r="S97" s="60"/>
      <c r="T97" s="29"/>
      <c r="U97" s="374"/>
      <c r="W97" s="20"/>
    </row>
    <row r="98" spans="9:23" ht="14" x14ac:dyDescent="0.2">
      <c r="I98" s="194" t="str">
        <f t="shared" si="2"/>
        <v/>
      </c>
      <c r="J98" s="58"/>
      <c r="K98" s="426" t="str">
        <f>IF(water_in[[#This Row],[Month]]&lt;&gt;"",VLOOKUP(water_in[[#This Row],[Month]], dropdown!$S$4:$T$15, 2, FALSE),"")</f>
        <v/>
      </c>
      <c r="L98" s="58"/>
      <c r="M98" s="29"/>
      <c r="N98" s="195"/>
      <c r="O98" s="44"/>
      <c r="P98" s="194" t="str">
        <f t="shared" si="3"/>
        <v/>
      </c>
      <c r="Q98" s="58"/>
      <c r="R98" s="18" t="str">
        <f>IF(water_out[[#This Row],[Month]]&lt;&gt;"",VLOOKUP(water_out[[#This Row],[Month]], dropdown!$S$4:$T$15, 2, FALSE),"")</f>
        <v/>
      </c>
      <c r="S98" s="60"/>
      <c r="T98" s="29"/>
      <c r="U98" s="374"/>
      <c r="W98" s="20"/>
    </row>
    <row r="99" spans="9:23" ht="14" x14ac:dyDescent="0.2">
      <c r="I99" s="194" t="str">
        <f t="shared" si="2"/>
        <v/>
      </c>
      <c r="J99" s="58"/>
      <c r="K99" s="426" t="str">
        <f>IF(water_in[[#This Row],[Month]]&lt;&gt;"",VLOOKUP(water_in[[#This Row],[Month]], dropdown!$S$4:$T$15, 2, FALSE),"")</f>
        <v/>
      </c>
      <c r="L99" s="58"/>
      <c r="M99" s="29"/>
      <c r="N99" s="195"/>
      <c r="O99" s="44"/>
      <c r="P99" s="194" t="str">
        <f t="shared" si="3"/>
        <v/>
      </c>
      <c r="Q99" s="58"/>
      <c r="R99" s="18" t="str">
        <f>IF(water_out[[#This Row],[Month]]&lt;&gt;"",VLOOKUP(water_out[[#This Row],[Month]], dropdown!$S$4:$T$15, 2, FALSE),"")</f>
        <v/>
      </c>
      <c r="S99" s="60"/>
      <c r="T99" s="29"/>
      <c r="U99" s="374"/>
      <c r="W99" s="20"/>
    </row>
    <row r="100" spans="9:23" ht="14" x14ac:dyDescent="0.2">
      <c r="I100" s="194" t="str">
        <f t="shared" si="2"/>
        <v/>
      </c>
      <c r="J100" s="58"/>
      <c r="K100" s="426" t="str">
        <f>IF(water_in[[#This Row],[Month]]&lt;&gt;"",VLOOKUP(water_in[[#This Row],[Month]], dropdown!$S$4:$T$15, 2, FALSE),"")</f>
        <v/>
      </c>
      <c r="L100" s="58"/>
      <c r="M100" s="29"/>
      <c r="N100" s="195"/>
      <c r="O100" s="44"/>
      <c r="P100" s="194" t="str">
        <f t="shared" si="3"/>
        <v/>
      </c>
      <c r="Q100" s="58"/>
      <c r="R100" s="18" t="str">
        <f>IF(water_out[[#This Row],[Month]]&lt;&gt;"",VLOOKUP(water_out[[#This Row],[Month]], dropdown!$S$4:$T$15, 2, FALSE),"")</f>
        <v/>
      </c>
      <c r="S100" s="60"/>
      <c r="T100" s="29"/>
      <c r="U100" s="374"/>
      <c r="W100" s="20"/>
    </row>
    <row r="101" spans="9:23" ht="14" x14ac:dyDescent="0.2">
      <c r="I101" s="194" t="str">
        <f t="shared" si="2"/>
        <v/>
      </c>
      <c r="J101" s="58"/>
      <c r="K101" s="426" t="str">
        <f>IF(water_in[[#This Row],[Month]]&lt;&gt;"",VLOOKUP(water_in[[#This Row],[Month]], dropdown!$S$4:$T$15, 2, FALSE),"")</f>
        <v/>
      </c>
      <c r="L101" s="58"/>
      <c r="M101" s="29"/>
      <c r="N101" s="195"/>
      <c r="O101" s="44"/>
      <c r="P101" s="194" t="str">
        <f t="shared" si="3"/>
        <v/>
      </c>
      <c r="Q101" s="58"/>
      <c r="R101" s="18" t="str">
        <f>IF(water_out[[#This Row],[Month]]&lt;&gt;"",VLOOKUP(water_out[[#This Row],[Month]], dropdown!$S$4:$T$15, 2, FALSE),"")</f>
        <v/>
      </c>
      <c r="S101" s="60"/>
      <c r="T101" s="29"/>
      <c r="U101" s="374"/>
      <c r="W101" s="20"/>
    </row>
    <row r="102" spans="9:23" ht="14" x14ac:dyDescent="0.2">
      <c r="I102" s="194" t="str">
        <f t="shared" si="2"/>
        <v/>
      </c>
      <c r="J102" s="58"/>
      <c r="K102" s="426" t="str">
        <f>IF(water_in[[#This Row],[Month]]&lt;&gt;"",VLOOKUP(water_in[[#This Row],[Month]], dropdown!$S$4:$T$15, 2, FALSE),"")</f>
        <v/>
      </c>
      <c r="L102" s="58"/>
      <c r="M102" s="29"/>
      <c r="N102" s="195"/>
      <c r="O102" s="44"/>
      <c r="P102" s="194" t="str">
        <f t="shared" si="3"/>
        <v/>
      </c>
      <c r="Q102" s="58"/>
      <c r="R102" s="18" t="str">
        <f>IF(water_out[[#This Row],[Month]]&lt;&gt;"",VLOOKUP(water_out[[#This Row],[Month]], dropdown!$S$4:$T$15, 2, FALSE),"")</f>
        <v/>
      </c>
      <c r="S102" s="60"/>
      <c r="T102" s="29"/>
      <c r="U102" s="374"/>
      <c r="W102" s="20"/>
    </row>
    <row r="103" spans="9:23" ht="14" x14ac:dyDescent="0.2">
      <c r="I103" s="194" t="str">
        <f t="shared" si="2"/>
        <v/>
      </c>
      <c r="J103" s="58"/>
      <c r="K103" s="426" t="str">
        <f>IF(water_in[[#This Row],[Month]]&lt;&gt;"",VLOOKUP(water_in[[#This Row],[Month]], dropdown!$S$4:$T$15, 2, FALSE),"")</f>
        <v/>
      </c>
      <c r="L103" s="58"/>
      <c r="M103" s="29"/>
      <c r="N103" s="195"/>
      <c r="O103" s="44"/>
      <c r="P103" s="194" t="str">
        <f t="shared" si="3"/>
        <v/>
      </c>
      <c r="Q103" s="58"/>
      <c r="R103" s="18" t="str">
        <f>IF(water_out[[#This Row],[Month]]&lt;&gt;"",VLOOKUP(water_out[[#This Row],[Month]], dropdown!$S$4:$T$15, 2, FALSE),"")</f>
        <v/>
      </c>
      <c r="S103" s="60"/>
      <c r="T103" s="29"/>
      <c r="U103" s="374"/>
      <c r="W103" s="20"/>
    </row>
    <row r="104" spans="9:23" ht="14" x14ac:dyDescent="0.2">
      <c r="I104" s="194" t="str">
        <f t="shared" si="2"/>
        <v/>
      </c>
      <c r="J104" s="58"/>
      <c r="K104" s="426" t="str">
        <f>IF(water_in[[#This Row],[Month]]&lt;&gt;"",VLOOKUP(water_in[[#This Row],[Month]], dropdown!$S$4:$T$15, 2, FALSE),"")</f>
        <v/>
      </c>
      <c r="L104" s="58"/>
      <c r="M104" s="29"/>
      <c r="N104" s="195"/>
      <c r="O104" s="44"/>
      <c r="P104" s="194" t="str">
        <f t="shared" si="3"/>
        <v/>
      </c>
      <c r="Q104" s="58"/>
      <c r="R104" s="18" t="str">
        <f>IF(water_out[[#This Row],[Month]]&lt;&gt;"",VLOOKUP(water_out[[#This Row],[Month]], dropdown!$S$4:$T$15, 2, FALSE),"")</f>
        <v/>
      </c>
      <c r="S104" s="60"/>
      <c r="T104" s="29"/>
      <c r="U104" s="374"/>
      <c r="W104" s="20"/>
    </row>
    <row r="105" spans="9:23" ht="14" x14ac:dyDescent="0.2">
      <c r="I105" s="194" t="str">
        <f t="shared" si="2"/>
        <v/>
      </c>
      <c r="J105" s="58"/>
      <c r="K105" s="426" t="str">
        <f>IF(water_in[[#This Row],[Month]]&lt;&gt;"",VLOOKUP(water_in[[#This Row],[Month]], dropdown!$S$4:$T$15, 2, FALSE),"")</f>
        <v/>
      </c>
      <c r="L105" s="58"/>
      <c r="M105" s="29"/>
      <c r="N105" s="195"/>
      <c r="O105" s="44"/>
      <c r="P105" s="194" t="str">
        <f t="shared" si="3"/>
        <v/>
      </c>
      <c r="Q105" s="58"/>
      <c r="R105" s="18" t="str">
        <f>IF(water_out[[#This Row],[Month]]&lt;&gt;"",VLOOKUP(water_out[[#This Row],[Month]], dropdown!$S$4:$T$15, 2, FALSE),"")</f>
        <v/>
      </c>
      <c r="S105" s="60"/>
      <c r="T105" s="29"/>
      <c r="U105" s="374"/>
      <c r="W105" s="20"/>
    </row>
    <row r="106" spans="9:23" ht="14" x14ac:dyDescent="0.2">
      <c r="I106" s="194" t="str">
        <f t="shared" si="2"/>
        <v/>
      </c>
      <c r="J106" s="58"/>
      <c r="K106" s="426" t="str">
        <f>IF(water_in[[#This Row],[Month]]&lt;&gt;"",VLOOKUP(water_in[[#This Row],[Month]], dropdown!$S$4:$T$15, 2, FALSE),"")</f>
        <v/>
      </c>
      <c r="L106" s="58"/>
      <c r="M106" s="29"/>
      <c r="N106" s="195"/>
      <c r="O106" s="44"/>
      <c r="P106" s="194" t="str">
        <f t="shared" si="3"/>
        <v/>
      </c>
      <c r="Q106" s="58"/>
      <c r="R106" s="18" t="str">
        <f>IF(water_out[[#This Row],[Month]]&lt;&gt;"",VLOOKUP(water_out[[#This Row],[Month]], dropdown!$S$4:$T$15, 2, FALSE),"")</f>
        <v/>
      </c>
      <c r="S106" s="60"/>
      <c r="T106" s="29"/>
      <c r="U106" s="374"/>
      <c r="W106" s="20"/>
    </row>
    <row r="107" spans="9:23" ht="14" x14ac:dyDescent="0.2">
      <c r="I107" s="194" t="str">
        <f t="shared" si="2"/>
        <v/>
      </c>
      <c r="J107" s="196"/>
      <c r="K107" s="426" t="str">
        <f>IF(water_in[[#This Row],[Month]]&lt;&gt;"",VLOOKUP(water_in[[#This Row],[Month]], dropdown!$S$4:$T$15, 2, FALSE),"")</f>
        <v/>
      </c>
      <c r="L107" s="196"/>
      <c r="M107" s="197"/>
      <c r="N107" s="199"/>
      <c r="O107" s="44"/>
      <c r="P107" s="194" t="str">
        <f t="shared" si="3"/>
        <v/>
      </c>
      <c r="Q107" s="196"/>
      <c r="R107" s="18" t="str">
        <f>IF(water_out[[#This Row],[Month]]&lt;&gt;"",VLOOKUP(water_out[[#This Row],[Month]], dropdown!$S$4:$T$15, 2, FALSE),"")</f>
        <v/>
      </c>
      <c r="S107" s="260"/>
      <c r="T107" s="197"/>
      <c r="U107" s="375"/>
      <c r="W107" s="20"/>
    </row>
    <row r="109" spans="9:23" ht="14" x14ac:dyDescent="0.2">
      <c r="I109" s="322" t="s">
        <v>178</v>
      </c>
    </row>
  </sheetData>
  <sheetProtection algorithmName="SHA-512" hashValue="dqJiSYdej1ISdNKrHLmtfNEq41nZcwYecGhQdKJKGEjDxUZ75ffDptTBzT35nri9zgfakp02UnTXzXs9CAutJw==" saltValue="qd0HQ2bdnfpEZghVfIoAjA==" spinCount="100000" sheet="1" objects="1" scenarios="1" selectLockedCells="1"/>
  <protectedRanges>
    <protectedRange sqref="J7:J107 L7:L107 M7:M107 N7:N107 Q7:Q107 S7:U107" name="Range1"/>
  </protectedRanges>
  <mergeCells count="2">
    <mergeCell ref="C6:G6"/>
    <mergeCell ref="C7:G7"/>
  </mergeCells>
  <pageMargins left="0.7" right="0.7" top="0.75" bottom="0.75" header="0.3" footer="0.3"/>
  <tableParts count="2">
    <tablePart r:id="rId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D9AF8E58-C296-B44E-84CF-9B841AB050BB}">
          <x14:formula1>
            <xm:f>dropdown!$S$4:$S$15</xm:f>
          </x14:formula1>
          <xm:sqref>J8:J107 Q8:Q107</xm:sqref>
        </x14:dataValidation>
        <x14:dataValidation type="list" allowBlank="1" showInputMessage="1" showErrorMessage="1" xr:uid="{0D972FCF-AAD5-5343-83D6-C0D5AAAC5501}">
          <x14:formula1>
            <xm:f>dropdown!$AG$4:$AG$6</xm:f>
          </x14:formula1>
          <xm:sqref>S9:S26</xm:sqref>
        </x14:dataValidation>
        <x14:dataValidation type="list" allowBlank="1" showInputMessage="1" showErrorMessage="1" xr:uid="{C7F40750-B972-574F-A8D2-221414391BE6}">
          <x14:formula1>
            <xm:f>dropdown!$AE$4:$AE$8</xm:f>
          </x14:formula1>
          <xm:sqref>L8:L107</xm:sqref>
        </x14:dataValidation>
        <x14:dataValidation type="list" allowBlank="1" showInputMessage="1" showErrorMessage="1" xr:uid="{9EFB9CF8-643B-9D4C-8BB7-B4E815C7E0B3}">
          <x14:formula1>
            <xm:f>dropdown!$AG$4:$AG$7</xm:f>
          </x14:formula1>
          <xm:sqref>S8</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BC427-F60E-B441-BCA0-12B018486E98}">
  <sheetPr codeName="Sheet8">
    <tabColor rgb="FFFFFF00"/>
  </sheetPr>
  <dimension ref="B2:Q30"/>
  <sheetViews>
    <sheetView showGridLines="0" zoomScale="117" workbookViewId="0">
      <pane ySplit="8" topLeftCell="A11" activePane="bottomLeft" state="frozen"/>
      <selection pane="bottomLeft" activeCell="B6" sqref="B6:E8"/>
    </sheetView>
  </sheetViews>
  <sheetFormatPr baseColWidth="10" defaultColWidth="10.83203125" defaultRowHeight="14" x14ac:dyDescent="0.2"/>
  <cols>
    <col min="1" max="1" width="2.6640625" style="20" customWidth="1"/>
    <col min="2" max="2" width="18" style="11" customWidth="1"/>
    <col min="3" max="3" width="12.33203125" style="11" customWidth="1"/>
    <col min="4" max="4" width="15.83203125" style="11" customWidth="1"/>
    <col min="5" max="5" width="12.1640625" style="11" customWidth="1"/>
    <col min="6" max="7" width="11.6640625" style="11" customWidth="1"/>
    <col min="8" max="8" width="6.6640625" style="20" customWidth="1"/>
    <col min="9" max="9" width="12.1640625" style="12" customWidth="1"/>
    <col min="10" max="10" width="22.5" style="20" customWidth="1"/>
    <col min="11" max="11" width="17" style="21" customWidth="1"/>
    <col min="12" max="12" width="21.33203125" style="22" customWidth="1"/>
    <col min="13" max="13" width="21.33203125" style="46" customWidth="1"/>
    <col min="14" max="14" width="20.1640625" style="164" customWidth="1"/>
    <col min="15" max="15" width="23.6640625" style="20" customWidth="1"/>
    <col min="16" max="16" width="4.6640625" style="20" customWidth="1"/>
    <col min="17" max="17" width="10.83203125" style="48"/>
    <col min="18" max="16384" width="10.83203125" style="20"/>
  </cols>
  <sheetData>
    <row r="2" spans="2:15" ht="19" x14ac:dyDescent="0.25">
      <c r="B2" s="257" t="s">
        <v>29</v>
      </c>
      <c r="C2" s="31"/>
      <c r="D2" s="31"/>
      <c r="E2" s="31"/>
      <c r="F2" s="31"/>
      <c r="G2" s="32"/>
      <c r="I2" s="307" t="s">
        <v>221</v>
      </c>
      <c r="J2" s="308"/>
      <c r="K2" s="309"/>
      <c r="L2" s="310"/>
      <c r="M2" s="311"/>
      <c r="N2" s="312"/>
      <c r="O2" s="313"/>
    </row>
    <row r="3" spans="2:15" x14ac:dyDescent="0.2">
      <c r="B3" s="33" t="s">
        <v>8</v>
      </c>
      <c r="C3" s="34"/>
      <c r="D3" s="35" t="s">
        <v>168</v>
      </c>
      <c r="E3" s="34"/>
      <c r="F3" s="34" t="s">
        <v>169</v>
      </c>
      <c r="G3" s="36"/>
      <c r="I3" s="284" t="s">
        <v>222</v>
      </c>
      <c r="J3" s="285"/>
      <c r="K3" s="286"/>
      <c r="L3" s="287"/>
      <c r="M3" s="314"/>
      <c r="N3" s="315"/>
      <c r="O3" s="289"/>
    </row>
    <row r="4" spans="2:15" x14ac:dyDescent="0.2">
      <c r="B4" s="161" t="str">
        <f>'1. Data Info and Summary'!$D$2</f>
        <v>Zamboanga Branch</v>
      </c>
      <c r="C4" s="37"/>
      <c r="D4" s="38">
        <f>'1. Data Info and Summary'!$D$3</f>
        <v>2024</v>
      </c>
      <c r="E4" s="37"/>
      <c r="F4" s="37" t="s">
        <v>223</v>
      </c>
      <c r="G4" s="39"/>
      <c r="I4" s="290" t="s">
        <v>224</v>
      </c>
      <c r="O4" s="291"/>
    </row>
    <row r="5" spans="2:15" x14ac:dyDescent="0.2">
      <c r="B5" s="271"/>
      <c r="D5" s="271"/>
      <c r="I5" s="324" t="s">
        <v>225</v>
      </c>
      <c r="O5" s="291"/>
    </row>
    <row r="6" spans="2:15" x14ac:dyDescent="0.2">
      <c r="B6" s="278" t="s">
        <v>226</v>
      </c>
      <c r="C6" s="279"/>
      <c r="D6" s="278" t="s">
        <v>227</v>
      </c>
      <c r="E6" s="279"/>
      <c r="I6" s="323" t="s">
        <v>228</v>
      </c>
      <c r="J6" s="293"/>
      <c r="K6" s="294"/>
      <c r="L6" s="295"/>
      <c r="M6" s="318"/>
      <c r="N6" s="319"/>
      <c r="O6" s="297"/>
    </row>
    <row r="7" spans="2:15" x14ac:dyDescent="0.2">
      <c r="B7" s="278" t="s">
        <v>229</v>
      </c>
      <c r="C7" s="279"/>
      <c r="D7" s="278" t="s">
        <v>229</v>
      </c>
      <c r="E7" s="279"/>
      <c r="I7" s="271"/>
    </row>
    <row r="8" spans="2:15" x14ac:dyDescent="0.2">
      <c r="B8" s="278" t="s">
        <v>230</v>
      </c>
      <c r="C8" s="280"/>
      <c r="D8" s="278" t="s">
        <v>230</v>
      </c>
      <c r="E8" s="280"/>
      <c r="I8" s="271"/>
    </row>
    <row r="9" spans="2:15" x14ac:dyDescent="0.2">
      <c r="B9" s="327"/>
      <c r="C9" s="328"/>
      <c r="D9" s="327"/>
      <c r="E9" s="306"/>
      <c r="I9" s="271"/>
    </row>
    <row r="10" spans="2:15" ht="19" x14ac:dyDescent="0.25">
      <c r="B10" s="257" t="s">
        <v>231</v>
      </c>
      <c r="C10" s="31"/>
      <c r="D10" s="31"/>
      <c r="E10" s="31"/>
      <c r="F10" s="31"/>
      <c r="G10" s="32"/>
      <c r="I10" s="271"/>
    </row>
    <row r="11" spans="2:15" x14ac:dyDescent="0.2">
      <c r="I11" s="321" t="s">
        <v>232</v>
      </c>
    </row>
    <row r="12" spans="2:15" ht="15" x14ac:dyDescent="0.2">
      <c r="B12" s="119" t="s">
        <v>38</v>
      </c>
      <c r="C12"/>
      <c r="D12" s="119" t="s">
        <v>233</v>
      </c>
      <c r="E12" s="119"/>
      <c r="F12" s="119"/>
      <c r="G12"/>
      <c r="I12" s="216" t="s">
        <v>234</v>
      </c>
      <c r="J12" s="217" t="s">
        <v>235</v>
      </c>
      <c r="K12" s="217" t="s">
        <v>236</v>
      </c>
      <c r="L12" s="221" t="s">
        <v>237</v>
      </c>
      <c r="M12" s="218" t="s">
        <v>238</v>
      </c>
      <c r="N12" s="219" t="s">
        <v>239</v>
      </c>
      <c r="O12" s="223" t="s">
        <v>240</v>
      </c>
    </row>
    <row r="13" spans="2:15" ht="16" x14ac:dyDescent="0.2">
      <c r="B13" s="330" t="s">
        <v>175</v>
      </c>
      <c r="C13"/>
      <c r="D13" s="325">
        <v>1000</v>
      </c>
      <c r="E13" s="326"/>
      <c r="F13" s="120" t="s">
        <v>241</v>
      </c>
      <c r="G13"/>
      <c r="I13" s="220" t="s">
        <v>242</v>
      </c>
      <c r="J13" s="220" t="s">
        <v>243</v>
      </c>
      <c r="K13" s="331">
        <v>0.5</v>
      </c>
      <c r="L13" s="232">
        <f>IF(Waste_Gases[[#This Row],[Molar Fraction (%)]]=0,"",Waste_Gases[[#This Row],[Molar Fraction (%)]]*$D$15)</f>
        <v>2.0400000000000001E-2</v>
      </c>
      <c r="M13" s="332">
        <v>28.010399999999997</v>
      </c>
      <c r="N13" s="230">
        <f>Emission_Factors!$B$17/Waste_Gases[[#This Row],[Molecular Weight]]</f>
        <v>0.42880501528003884</v>
      </c>
      <c r="O13" s="231">
        <f>IF(Waste_Gases[[#This Row],[Molar Fraction (%)]]=0,"",Waste_Gases[[#This Row],[Total Moles (kg-mole/m3)]]*Waste_Gases[[#This Row],[Molecular Weight]]*Waste_Gases[[#This Row],[Percent Carbon (%)]])</f>
        <v>0.24502439999999998</v>
      </c>
    </row>
    <row r="14" spans="2:15" ht="15" x14ac:dyDescent="0.2">
      <c r="B14" s="121" t="s">
        <v>176</v>
      </c>
      <c r="C14"/>
      <c r="D14" s="119" t="s">
        <v>244</v>
      </c>
      <c r="E14" s="119"/>
      <c r="F14" s="119"/>
      <c r="G14"/>
      <c r="I14" s="220" t="s">
        <v>245</v>
      </c>
      <c r="J14" s="220" t="s">
        <v>246</v>
      </c>
      <c r="K14" s="331">
        <v>0.05</v>
      </c>
      <c r="L14" s="232">
        <f>IF(Waste_Gases[[#This Row],[Molar Fraction (%)]]=0,"",Waste_Gases[[#This Row],[Molar Fraction (%)]]*$D$15)</f>
        <v>2.0400000000000001E-3</v>
      </c>
      <c r="M14" s="332">
        <v>44.009799999999998</v>
      </c>
      <c r="N14" s="230">
        <f>Emission_Factors!$B$17/Waste_Gases[[#This Row],[Molecular Weight]]</f>
        <v>0.27291648678248936</v>
      </c>
      <c r="O14" s="231">
        <f>IF(Waste_Gases[[#This Row],[Molar Fraction (%)]]=0,"",Waste_Gases[[#This Row],[Total Moles (kg-mole/m3)]]*Waste_Gases[[#This Row],[Molecular Weight]]*Waste_Gases[[#This Row],[Percent Carbon (%)]])</f>
        <v>2.450244E-2</v>
      </c>
    </row>
    <row r="15" spans="2:15" ht="15" x14ac:dyDescent="0.2">
      <c r="B15" s="122" t="s">
        <v>177</v>
      </c>
      <c r="C15"/>
      <c r="D15" s="222">
        <v>4.0800000000000003E-2</v>
      </c>
      <c r="E15" s="215"/>
      <c r="F15" s="122" t="s">
        <v>247</v>
      </c>
      <c r="G15"/>
      <c r="I15" s="220" t="s">
        <v>248</v>
      </c>
      <c r="J15" s="220" t="s">
        <v>249</v>
      </c>
      <c r="K15" s="331">
        <v>0.02</v>
      </c>
      <c r="L15" s="232">
        <f>IF(Waste_Gases[[#This Row],[Molar Fraction (%)]]=0,"",Waste_Gases[[#This Row],[Molar Fraction (%)]]*$D$15)</f>
        <v>8.160000000000001E-4</v>
      </c>
      <c r="M15" s="332">
        <v>16.0426</v>
      </c>
      <c r="N15" s="230">
        <f>Emission_Factors!$B$17/Waste_Gases[[#This Row],[Molecular Weight]]</f>
        <v>0.74869410195354857</v>
      </c>
      <c r="O15" s="231">
        <f>IF(Waste_Gases[[#This Row],[Molar Fraction (%)]]=0,"",Waste_Gases[[#This Row],[Total Moles (kg-mole/m3)]]*Waste_Gases[[#This Row],[Molecular Weight]]*Waste_Gases[[#This Row],[Percent Carbon (%)]])</f>
        <v>9.8009759999999994E-3</v>
      </c>
    </row>
    <row r="16" spans="2:15" x14ac:dyDescent="0.2">
      <c r="D16" s="167" t="str">
        <f>IF(SUM(D$14:D$15)&gt;0,"x","")</f>
        <v>x</v>
      </c>
      <c r="E16" s="167" t="str">
        <f>IF(SUM(E$14:E$15)&gt;0,"x","")</f>
        <v/>
      </c>
      <c r="F16" s="167" t="str">
        <f>IF(SUM(F$14:F$15)&gt;0,"x","")</f>
        <v/>
      </c>
      <c r="G16" s="167" t="str">
        <f>IF(SUM(G$14:G$15)&gt;0,"x","")</f>
        <v/>
      </c>
      <c r="I16" s="220" t="s">
        <v>250</v>
      </c>
      <c r="J16" s="220" t="s">
        <v>251</v>
      </c>
      <c r="K16" s="331">
        <v>0.21</v>
      </c>
      <c r="L16" s="232">
        <f>IF(Waste_Gases[[#This Row],[Molar Fraction (%)]]=0,"",Waste_Gases[[#This Row],[Molar Fraction (%)]]*$D$15)</f>
        <v>8.568000000000001E-3</v>
      </c>
      <c r="M16" s="332">
        <v>26.037799999999997</v>
      </c>
      <c r="N16" s="230">
        <f>Emission_Factors!$B$17/Waste_Gases[[#This Row],[Molecular Weight]]</f>
        <v>0.46129089247171423</v>
      </c>
      <c r="O16" s="231">
        <f>IF(Waste_Gases[[#This Row],[Molar Fraction (%)]]=0,"",Waste_Gases[[#This Row],[Total Moles (kg-mole/m3)]]*Waste_Gases[[#This Row],[Molecular Weight]]*Waste_Gases[[#This Row],[Percent Carbon (%)]])</f>
        <v>0.10291024800000001</v>
      </c>
    </row>
    <row r="17" spans="2:15" x14ac:dyDescent="0.2">
      <c r="B17" s="119" t="s">
        <v>252</v>
      </c>
      <c r="D17" s="119" t="s">
        <v>253</v>
      </c>
      <c r="E17" s="119"/>
      <c r="F17" s="119"/>
      <c r="I17" s="220" t="s">
        <v>254</v>
      </c>
      <c r="J17" s="220" t="s">
        <v>255</v>
      </c>
      <c r="K17" s="331">
        <v>0.01</v>
      </c>
      <c r="L17" s="233">
        <f>IF(Waste_Gases[[#This Row],[Molar Fraction (%)]]=0,"",Waste_Gases[[#This Row],[Molar Fraction (%)]]*$D$15)</f>
        <v>4.0800000000000005E-4</v>
      </c>
      <c r="M17" s="332">
        <v>28.053599999999999</v>
      </c>
      <c r="N17" s="230">
        <f>Emission_Factors!$B$17/Waste_Gases[[#This Row],[Molecular Weight]]</f>
        <v>0.42814469444206804</v>
      </c>
      <c r="O17" s="231">
        <f>IF(Waste_Gases[[#This Row],[Molar Fraction (%)]]=0,"",Waste_Gases[[#This Row],[Total Moles (kg-mole/m3)]]*Waste_Gases[[#This Row],[Molecular Weight]]*Waste_Gases[[#This Row],[Percent Carbon (%)]])</f>
        <v>4.9004880000000006E-3</v>
      </c>
    </row>
    <row r="18" spans="2:15" ht="15" x14ac:dyDescent="0.2">
      <c r="B18" s="245">
        <f>($D$18*$O$30/100*($M$14/12.011))*$D$13</f>
        <v>14.185238736000002</v>
      </c>
      <c r="D18" s="329">
        <v>1</v>
      </c>
      <c r="E18" s="326"/>
      <c r="F18" s="120" t="s">
        <v>256</v>
      </c>
      <c r="I18" s="220" t="s">
        <v>257</v>
      </c>
      <c r="J18" s="220" t="s">
        <v>258</v>
      </c>
      <c r="K18" s="331">
        <v>0</v>
      </c>
      <c r="L18" s="233" t="str">
        <f>IF(Waste_Gases[[#This Row],[Molar Fraction (%)]]=0,"",Waste_Gases[[#This Row],[Molar Fraction (%)]]*$D$15)</f>
        <v/>
      </c>
      <c r="M18" s="332">
        <v>30.069399999999998</v>
      </c>
      <c r="N18" s="230">
        <f>Emission_Factors!$B$17/Waste_Gases[[#This Row],[Molecular Weight]]</f>
        <v>0.39944262273274489</v>
      </c>
      <c r="O18" s="231" t="str">
        <f>IF(Waste_Gases[[#This Row],[Molar Fraction (%)]]=0,"",Waste_Gases[[#This Row],[Total Moles (kg-mole/m3)]]*Waste_Gases[[#This Row],[Molecular Weight]]*Waste_Gases[[#This Row],[Percent Carbon (%)]])</f>
        <v/>
      </c>
    </row>
    <row r="19" spans="2:15" ht="15" x14ac:dyDescent="0.2">
      <c r="B19"/>
      <c r="D19" s="168" t="s">
        <v>259</v>
      </c>
      <c r="I19" s="220" t="s">
        <v>260</v>
      </c>
      <c r="J19" s="220" t="s">
        <v>261</v>
      </c>
      <c r="K19" s="331">
        <v>0</v>
      </c>
      <c r="L19" s="233" t="str">
        <f>IF(Waste_Gases[[#This Row],[Molar Fraction (%)]]=0,"",Waste_Gases[[#This Row],[Molar Fraction (%)]]*$D$15)</f>
        <v/>
      </c>
      <c r="M19" s="332">
        <v>42.080399999999997</v>
      </c>
      <c r="N19" s="230">
        <f>Emission_Factors!$B$17/Waste_Gases[[#This Row],[Molecular Weight]]</f>
        <v>0.28542979629471205</v>
      </c>
      <c r="O19" s="231" t="str">
        <f>IF(Waste_Gases[[#This Row],[Molar Fraction (%)]]=0,"",Waste_Gases[[#This Row],[Total Moles (kg-mole/m3)]]*Waste_Gases[[#This Row],[Molecular Weight]]*Waste_Gases[[#This Row],[Percent Carbon (%)]])</f>
        <v/>
      </c>
    </row>
    <row r="20" spans="2:15" ht="15" x14ac:dyDescent="0.2">
      <c r="B20"/>
      <c r="I20" s="220" t="s">
        <v>262</v>
      </c>
      <c r="J20" s="220" t="s">
        <v>263</v>
      </c>
      <c r="K20" s="331">
        <v>0</v>
      </c>
      <c r="L20" s="233" t="str">
        <f>IF(Waste_Gases[[#This Row],[Molar Fraction (%)]]=0,"",Waste_Gases[[#This Row],[Molar Fraction (%)]]*$D$15)</f>
        <v/>
      </c>
      <c r="M20" s="332">
        <v>44.096200000000003</v>
      </c>
      <c r="N20" s="230">
        <f>Emission_Factors!$B$17/Waste_Gases[[#This Row],[Molecular Weight]]</f>
        <v>0.27238174718002905</v>
      </c>
      <c r="O20" s="231" t="str">
        <f>IF(Waste_Gases[[#This Row],[Molar Fraction (%)]]=0,"",Waste_Gases[[#This Row],[Total Moles (kg-mole/m3)]]*Waste_Gases[[#This Row],[Molecular Weight]]*Waste_Gases[[#This Row],[Percent Carbon (%)]])</f>
        <v/>
      </c>
    </row>
    <row r="21" spans="2:15" ht="15" x14ac:dyDescent="0.2">
      <c r="B21"/>
      <c r="I21" s="220" t="s">
        <v>264</v>
      </c>
      <c r="J21" s="220" t="s">
        <v>265</v>
      </c>
      <c r="K21" s="331">
        <v>0</v>
      </c>
      <c r="L21" s="233" t="str">
        <f>IF(Waste_Gases[[#This Row],[Molar Fraction (%)]]=0,"",Waste_Gases[[#This Row],[Molar Fraction (%)]]*$D$15)</f>
        <v/>
      </c>
      <c r="M21" s="332">
        <v>58.122999999999998</v>
      </c>
      <c r="N21" s="230">
        <f>Emission_Factors!$B$17/Waste_Gases[[#This Row],[Molecular Weight]]</f>
        <v>0.2066479706828622</v>
      </c>
      <c r="O21" s="231" t="str">
        <f>IF(Waste_Gases[[#This Row],[Molar Fraction (%)]]=0,"",Waste_Gases[[#This Row],[Total Moles (kg-mole/m3)]]*Waste_Gases[[#This Row],[Molecular Weight]]*Waste_Gases[[#This Row],[Percent Carbon (%)]])</f>
        <v/>
      </c>
    </row>
    <row r="22" spans="2:15" x14ac:dyDescent="0.2">
      <c r="I22" s="220" t="s">
        <v>266</v>
      </c>
      <c r="J22" s="220" t="s">
        <v>267</v>
      </c>
      <c r="K22" s="331">
        <v>0</v>
      </c>
      <c r="L22" s="233" t="str">
        <f>IF(Waste_Gases[[#This Row],[Molar Fraction (%)]]=0,"",Waste_Gases[[#This Row],[Molar Fraction (%)]]*$D$15)</f>
        <v/>
      </c>
      <c r="M22" s="332">
        <v>78.113399999999999</v>
      </c>
      <c r="N22" s="230">
        <f>Emission_Factors!$B$17/Waste_Gases[[#This Row],[Molecular Weight]]</f>
        <v>0.15376363082390473</v>
      </c>
      <c r="O22" s="231" t="str">
        <f>IF(Waste_Gases[[#This Row],[Molar Fraction (%)]]=0,"",Waste_Gases[[#This Row],[Total Moles (kg-mole/m3)]]*Waste_Gases[[#This Row],[Molecular Weight]]*Waste_Gases[[#This Row],[Percent Carbon (%)]])</f>
        <v/>
      </c>
    </row>
    <row r="23" spans="2:15" x14ac:dyDescent="0.2">
      <c r="I23" s="220" t="s">
        <v>268</v>
      </c>
      <c r="J23" s="220" t="s">
        <v>269</v>
      </c>
      <c r="K23" s="331">
        <v>0</v>
      </c>
      <c r="L23" s="233" t="str">
        <f>IF(Waste_Gases[[#This Row],[Molar Fraction (%)]]=0,"",Waste_Gases[[#This Row],[Molar Fraction (%)]]*$D$15)</f>
        <v/>
      </c>
      <c r="M23" s="332">
        <v>86.176600000000008</v>
      </c>
      <c r="N23" s="230">
        <f>Emission_Factors!$B$17/Waste_Gases[[#This Row],[Molecular Weight]]</f>
        <v>0.13937658250615595</v>
      </c>
      <c r="O23" s="231" t="str">
        <f>IF(Waste_Gases[[#This Row],[Molar Fraction (%)]]=0,"",Waste_Gases[[#This Row],[Total Moles (kg-mole/m3)]]*Waste_Gases[[#This Row],[Molecular Weight]]*Waste_Gases[[#This Row],[Percent Carbon (%)]])</f>
        <v/>
      </c>
    </row>
    <row r="24" spans="2:15" x14ac:dyDescent="0.2">
      <c r="I24" s="220" t="s">
        <v>270</v>
      </c>
      <c r="J24" s="220" t="s">
        <v>271</v>
      </c>
      <c r="K24" s="331">
        <v>0</v>
      </c>
      <c r="L24" s="233" t="str">
        <f>IF(Waste_Gases[[#This Row],[Molar Fraction (%)]]=0,"",Waste_Gases[[#This Row],[Molar Fraction (%)]]*$D$15)</f>
        <v/>
      </c>
      <c r="M24" s="332">
        <v>92.140199999999993</v>
      </c>
      <c r="N24" s="230">
        <f>Emission_Factors!$B$17/Waste_Gases[[#This Row],[Molecular Weight]]</f>
        <v>0.13035569707901654</v>
      </c>
      <c r="O24" s="231" t="str">
        <f>IF(Waste_Gases[[#This Row],[Molar Fraction (%)]]=0,"",Waste_Gases[[#This Row],[Total Moles (kg-mole/m3)]]*Waste_Gases[[#This Row],[Molecular Weight]]*Waste_Gases[[#This Row],[Percent Carbon (%)]])</f>
        <v/>
      </c>
    </row>
    <row r="25" spans="2:15" x14ac:dyDescent="0.2">
      <c r="I25" s="220" t="s">
        <v>272</v>
      </c>
      <c r="J25" s="220" t="s">
        <v>273</v>
      </c>
      <c r="K25" s="331">
        <v>0</v>
      </c>
      <c r="L25" s="233" t="str">
        <f>IF(Waste_Gases[[#This Row],[Molar Fraction (%)]]=0,"",Waste_Gases[[#This Row],[Molar Fraction (%)]]*$D$15)</f>
        <v/>
      </c>
      <c r="M25" s="332">
        <v>114.2302</v>
      </c>
      <c r="N25" s="230">
        <f>Emission_Factors!$B$17/Waste_Gases[[#This Row],[Molecular Weight]]</f>
        <v>0.10514732531327092</v>
      </c>
      <c r="O25" s="231" t="str">
        <f>IF(Waste_Gases[[#This Row],[Molar Fraction (%)]]=0,"",Waste_Gases[[#This Row],[Total Moles (kg-mole/m3)]]*Waste_Gases[[#This Row],[Molecular Weight]]*Waste_Gases[[#This Row],[Percent Carbon (%)]])</f>
        <v/>
      </c>
    </row>
    <row r="26" spans="2:15" x14ac:dyDescent="0.2">
      <c r="I26" s="220" t="s">
        <v>274</v>
      </c>
      <c r="J26" s="220" t="s">
        <v>275</v>
      </c>
      <c r="K26" s="331">
        <v>0</v>
      </c>
      <c r="L26" s="233" t="str">
        <f>IF(Waste_Gases[[#This Row],[Molar Fraction (%)]]=0,"",Waste_Gases[[#This Row],[Molar Fraction (%)]]*$D$15)</f>
        <v/>
      </c>
      <c r="M26" s="332">
        <v>46.068799999999996</v>
      </c>
      <c r="N26" s="230">
        <f>Emission_Factors!$B$17/Waste_Gases[[#This Row],[Molecular Weight]]</f>
        <v>0.26071875108533327</v>
      </c>
      <c r="O26" s="231" t="str">
        <f>IF(Waste_Gases[[#This Row],[Molar Fraction (%)]]=0,"",Waste_Gases[[#This Row],[Total Moles (kg-mole/m3)]]*Waste_Gases[[#This Row],[Molecular Weight]]*Waste_Gases[[#This Row],[Percent Carbon (%)]])</f>
        <v/>
      </c>
    </row>
    <row r="27" spans="2:15" x14ac:dyDescent="0.2">
      <c r="I27" s="220" t="s">
        <v>276</v>
      </c>
      <c r="J27" s="220" t="s">
        <v>277</v>
      </c>
      <c r="K27" s="331">
        <v>0</v>
      </c>
      <c r="L27" s="233" t="str">
        <f>IF(Waste_Gases[[#This Row],[Molar Fraction (%)]]=0,"",Waste_Gases[[#This Row],[Molar Fraction (%)]]*$D$15)</f>
        <v/>
      </c>
      <c r="M27" s="332">
        <v>58.079799999999999</v>
      </c>
      <c r="N27" s="230">
        <f>Emission_Factors!$B$17/Waste_Gases[[#This Row],[Molecular Weight]]</f>
        <v>0.20680167631431237</v>
      </c>
      <c r="O27" s="231" t="str">
        <f>IF(Waste_Gases[[#This Row],[Molar Fraction (%)]]=0,"",Waste_Gases[[#This Row],[Total Moles (kg-mole/m3)]]*Waste_Gases[[#This Row],[Molecular Weight]]*Waste_Gases[[#This Row],[Percent Carbon (%)]])</f>
        <v/>
      </c>
    </row>
    <row r="28" spans="2:15" x14ac:dyDescent="0.2">
      <c r="I28" s="220" t="s">
        <v>278</v>
      </c>
      <c r="J28" s="220" t="s">
        <v>279</v>
      </c>
      <c r="K28" s="331">
        <v>0</v>
      </c>
      <c r="L28" s="233" t="str">
        <f>IF(Waste_Gases[[#This Row],[Molar Fraction (%)]]=0,"",Waste_Gases[[#This Row],[Molar Fraction (%)]]*$D$15)</f>
        <v/>
      </c>
      <c r="M28" s="332">
        <v>72.1066</v>
      </c>
      <c r="N28" s="230">
        <f>Emission_Factors!$B$17/Waste_Gases[[#This Row],[Molecular Weight]]</f>
        <v>0.16657282412428265</v>
      </c>
      <c r="O28" s="231" t="str">
        <f>IF(Waste_Gases[[#This Row],[Molar Fraction (%)]]=0,"",Waste_Gases[[#This Row],[Total Moles (kg-mole/m3)]]*Waste_Gases[[#This Row],[Molecular Weight]]*Waste_Gases[[#This Row],[Percent Carbon (%)]])</f>
        <v/>
      </c>
    </row>
    <row r="29" spans="2:15" x14ac:dyDescent="0.2">
      <c r="I29" s="220" t="s">
        <v>280</v>
      </c>
      <c r="J29" s="220"/>
      <c r="K29" s="242">
        <f>1-SUM(K13:K28)</f>
        <v>0.20999999999999996</v>
      </c>
      <c r="L29" s="233">
        <f>IF(Waste_Gases[[#This Row],[Molar Fraction (%)]]=0,"",Waste_Gases[[#This Row],[Molar Fraction (%)]]*$D$15)</f>
        <v>8.5679999999999992E-3</v>
      </c>
      <c r="M29" s="243">
        <v>0</v>
      </c>
      <c r="N29" s="244">
        <v>0</v>
      </c>
      <c r="O29" s="234">
        <f>IF(Waste_Gases[[#This Row],[Molar Fraction (%)]]=0,"",Waste_Gases[[#This Row],[Total Moles (kg-mole/m3)]]*Waste_Gases[[#This Row],[Molecular Weight]]*Waste_Gases[[#This Row],[Percent Carbon (%)]])</f>
        <v>0</v>
      </c>
    </row>
    <row r="30" spans="2:15" x14ac:dyDescent="0.2">
      <c r="I30" s="235" t="s">
        <v>160</v>
      </c>
      <c r="J30" s="236"/>
      <c r="K30" s="237">
        <f>SUM(K13:K29)</f>
        <v>1</v>
      </c>
      <c r="L30" s="238">
        <f>SUM(L13:L29)</f>
        <v>4.0800000000000003E-2</v>
      </c>
      <c r="M30" s="239"/>
      <c r="N30" s="240"/>
      <c r="O30" s="241">
        <f>SUM(O13:O29)</f>
        <v>0.38713855200000002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0664F-BA69-8541-8354-700189083C3C}">
  <sheetPr codeName="Sheet11">
    <tabColor theme="9"/>
  </sheetPr>
  <dimension ref="B2:R106"/>
  <sheetViews>
    <sheetView showGridLines="0" topLeftCell="E1" zoomScaleNormal="100" workbookViewId="0">
      <selection activeCell="N37" sqref="N37"/>
    </sheetView>
  </sheetViews>
  <sheetFormatPr baseColWidth="10" defaultColWidth="10.83203125" defaultRowHeight="14" x14ac:dyDescent="0.2"/>
  <cols>
    <col min="1" max="1" width="2.6640625" style="20" customWidth="1"/>
    <col min="2" max="2" width="25.33203125" style="11" bestFit="1" customWidth="1"/>
    <col min="3" max="3" width="14.83203125" style="11" bestFit="1" customWidth="1"/>
    <col min="4" max="7" width="8.6640625" style="11" customWidth="1"/>
    <col min="8" max="8" width="3.5" style="11" customWidth="1"/>
    <col min="9" max="9" width="9" style="12" customWidth="1"/>
    <col min="10" max="10" width="15.5" style="21" customWidth="1"/>
    <col min="11" max="11" width="9.5" style="21" bestFit="1" customWidth="1"/>
    <col min="12" max="12" width="19.6640625" style="20" bestFit="1" customWidth="1"/>
    <col min="13" max="13" width="13.5" style="22" customWidth="1"/>
    <col min="14" max="14" width="24.33203125" style="20" customWidth="1"/>
    <col min="15" max="15" width="37" style="20" customWidth="1"/>
    <col min="16" max="16" width="3.1640625" style="20" customWidth="1"/>
    <col min="17" max="17" width="7.83203125" style="45" customWidth="1"/>
    <col min="18" max="18" width="10.83203125" style="44" customWidth="1"/>
    <col min="19" max="19" width="3.83203125" style="20" customWidth="1"/>
    <col min="20" max="16384" width="10.83203125" style="20"/>
  </cols>
  <sheetData>
    <row r="2" spans="2:17" ht="19" x14ac:dyDescent="0.25">
      <c r="B2" s="257" t="s">
        <v>29</v>
      </c>
      <c r="C2" s="31"/>
      <c r="D2" s="31"/>
      <c r="E2" s="31"/>
      <c r="F2" s="31"/>
      <c r="G2" s="32"/>
      <c r="I2" s="377" t="s">
        <v>281</v>
      </c>
      <c r="J2" s="378"/>
      <c r="K2" s="378"/>
      <c r="L2" s="379"/>
      <c r="M2" s="380"/>
      <c r="N2" s="379"/>
      <c r="O2" s="381"/>
      <c r="Q2" s="44"/>
    </row>
    <row r="3" spans="2:17" x14ac:dyDescent="0.2">
      <c r="B3" s="33" t="s">
        <v>8</v>
      </c>
      <c r="C3" s="34"/>
      <c r="D3" s="35" t="s">
        <v>168</v>
      </c>
      <c r="E3" s="34"/>
      <c r="F3" s="34" t="s">
        <v>169</v>
      </c>
      <c r="G3" s="36"/>
      <c r="I3" s="54"/>
      <c r="O3" s="23"/>
      <c r="Q3" s="44"/>
    </row>
    <row r="4" spans="2:17" x14ac:dyDescent="0.2">
      <c r="B4" s="161" t="str">
        <f>'1. Data Info and Summary'!$D$2</f>
        <v>Zamboanga Branch</v>
      </c>
      <c r="C4" s="37"/>
      <c r="D4" s="38">
        <f>IF('1. Data Info and Summary'!$D$3=0,"-",'1. Data Info and Summary'!$D$3)</f>
        <v>2024</v>
      </c>
      <c r="E4" s="37"/>
      <c r="F4" s="37" t="s">
        <v>165</v>
      </c>
      <c r="G4" s="39"/>
      <c r="I4" s="42"/>
      <c r="J4" s="25"/>
      <c r="K4" s="25"/>
      <c r="L4" s="24"/>
      <c r="M4" s="26"/>
      <c r="N4" s="24"/>
      <c r="O4" s="27"/>
      <c r="Q4" s="44"/>
    </row>
    <row r="5" spans="2:17" x14ac:dyDescent="0.2">
      <c r="B5" s="212"/>
      <c r="C5" s="213"/>
      <c r="D5" s="212"/>
      <c r="E5" s="213"/>
      <c r="F5" s="213"/>
      <c r="G5" s="213"/>
      <c r="Q5" s="44"/>
    </row>
    <row r="6" spans="2:17" x14ac:dyDescent="0.2">
      <c r="B6" s="278" t="s">
        <v>172</v>
      </c>
      <c r="C6" s="447" t="s">
        <v>1432</v>
      </c>
      <c r="D6" s="448"/>
      <c r="E6" s="448"/>
      <c r="F6" s="448"/>
      <c r="G6" s="449"/>
      <c r="I6" s="409" t="s">
        <v>282</v>
      </c>
      <c r="J6" s="407"/>
      <c r="K6" s="407"/>
      <c r="L6" s="407"/>
      <c r="M6" s="408"/>
      <c r="N6" s="407"/>
      <c r="O6" s="407"/>
      <c r="Q6" s="44"/>
    </row>
    <row r="7" spans="2:17" ht="25.5" customHeight="1" x14ac:dyDescent="0.2">
      <c r="B7" s="278" t="s">
        <v>174</v>
      </c>
      <c r="C7" s="450">
        <v>45912</v>
      </c>
      <c r="D7" s="448"/>
      <c r="E7" s="448"/>
      <c r="F7" s="448"/>
      <c r="G7" s="449"/>
      <c r="I7" s="248" t="s">
        <v>173</v>
      </c>
      <c r="J7" s="249" t="s">
        <v>39</v>
      </c>
      <c r="K7" s="249" t="s">
        <v>43</v>
      </c>
      <c r="L7" s="249" t="s">
        <v>137</v>
      </c>
      <c r="M7" s="254" t="s">
        <v>140</v>
      </c>
      <c r="N7" s="255" t="s">
        <v>142</v>
      </c>
      <c r="O7" s="253" t="s">
        <v>54</v>
      </c>
      <c r="Q7" s="44"/>
    </row>
    <row r="8" spans="2:17" x14ac:dyDescent="0.2">
      <c r="I8" s="194">
        <f>IF($J8="","",1)</f>
        <v>1</v>
      </c>
      <c r="J8" s="58" t="s">
        <v>338</v>
      </c>
      <c r="K8" s="194" t="str">
        <f>IF(Waste[[#This Row],[Month]]&lt;&gt;"",VLOOKUP(Waste[[#This Row],[Month]], dropdown!$S$4:$T$15, 2, FALSE),"")</f>
        <v>Q1</v>
      </c>
      <c r="L8" s="57" t="s">
        <v>317</v>
      </c>
      <c r="M8" s="29">
        <v>9.9999999999999995E-7</v>
      </c>
      <c r="N8" s="57"/>
      <c r="O8" s="195" t="s">
        <v>1437</v>
      </c>
      <c r="Q8" s="44"/>
    </row>
    <row r="9" spans="2:17" x14ac:dyDescent="0.2">
      <c r="B9" s="14" t="s">
        <v>134</v>
      </c>
      <c r="C9" s="14"/>
      <c r="D9" s="14"/>
      <c r="E9" s="14"/>
      <c r="F9" s="14"/>
      <c r="G9" s="14"/>
      <c r="I9" s="194">
        <f t="shared" ref="I9:I72" si="0">IF($J9="","",$I8+1)</f>
        <v>2</v>
      </c>
      <c r="J9" s="58" t="s">
        <v>371</v>
      </c>
      <c r="K9" s="194" t="str">
        <f>IF(Waste[[#This Row],[Month]]&lt;&gt;"",VLOOKUP(Waste[[#This Row],[Month]], dropdown!$S$4:$T$15, 2, FALSE),"")</f>
        <v>Q2</v>
      </c>
      <c r="L9" s="57" t="s">
        <v>317</v>
      </c>
      <c r="M9" s="29">
        <v>9.9999999999999995E-8</v>
      </c>
      <c r="N9" s="57"/>
      <c r="O9" s="195" t="s">
        <v>1438</v>
      </c>
      <c r="Q9" s="44"/>
    </row>
    <row r="10" spans="2:17" x14ac:dyDescent="0.2">
      <c r="B10" s="13" t="s">
        <v>137</v>
      </c>
      <c r="C10" s="13" t="s">
        <v>51</v>
      </c>
      <c r="D10" s="40" t="s">
        <v>45</v>
      </c>
      <c r="E10" s="40" t="s">
        <v>149</v>
      </c>
      <c r="F10" s="40" t="s">
        <v>150</v>
      </c>
      <c r="G10" s="40" t="s">
        <v>151</v>
      </c>
      <c r="I10" s="194">
        <f t="shared" si="0"/>
        <v>3</v>
      </c>
      <c r="J10" s="58" t="s">
        <v>390</v>
      </c>
      <c r="K10" s="194" t="str">
        <f>IF(Waste[[#This Row],[Month]]&lt;&gt;"",VLOOKUP(Waste[[#This Row],[Month]], dropdown!$S$4:$T$15, 2, FALSE),"")</f>
        <v>Q3</v>
      </c>
      <c r="L10" s="57" t="s">
        <v>317</v>
      </c>
      <c r="M10" s="29">
        <v>5830.1</v>
      </c>
      <c r="N10" s="57" t="s">
        <v>345</v>
      </c>
      <c r="O10" s="195" t="s">
        <v>1666</v>
      </c>
      <c r="Q10" s="44"/>
    </row>
    <row r="11" spans="2:17" x14ac:dyDescent="0.2">
      <c r="B11" s="17" t="str">
        <f>dropdown!$B4</f>
        <v>Compostable</v>
      </c>
      <c r="C11" s="17" t="s">
        <v>283</v>
      </c>
      <c r="D11" s="41">
        <f>SUMIFS(Waste[Weight (kg)],Waste[Quarter],D$10,Waste[Waste Composition],$B$11)</f>
        <v>0</v>
      </c>
      <c r="E11" s="41">
        <f>SUMIFS(Waste[Weight (kg)],Waste[Quarter],E$10,Waste[Waste Composition],$B11)</f>
        <v>0</v>
      </c>
      <c r="F11" s="41">
        <f>SUMIFS(Waste[Weight (kg)],Waste[Quarter],F$10,Waste[Waste Composition],$B11)</f>
        <v>0</v>
      </c>
      <c r="G11" s="41">
        <f>SUMIFS(Waste[Weight (kg)],Waste[Quarter],G$10,Waste[Waste Composition],$B11)</f>
        <v>0</v>
      </c>
      <c r="I11" s="194">
        <f t="shared" si="0"/>
        <v>4</v>
      </c>
      <c r="J11" s="58" t="s">
        <v>400</v>
      </c>
      <c r="K11" s="194" t="str">
        <f>IF(Waste[[#This Row],[Month]]&lt;&gt;"",VLOOKUP(Waste[[#This Row],[Month]], dropdown!$S$4:$T$15, 2, FALSE),"")</f>
        <v>Q4</v>
      </c>
      <c r="L11" s="57" t="s">
        <v>317</v>
      </c>
      <c r="M11" s="29">
        <v>1E-8</v>
      </c>
      <c r="N11" s="57"/>
      <c r="O11" s="195" t="s">
        <v>1439</v>
      </c>
      <c r="Q11" s="44"/>
    </row>
    <row r="12" spans="2:17" x14ac:dyDescent="0.2">
      <c r="B12" s="17" t="str">
        <f>dropdown!$B5</f>
        <v>Recyclable</v>
      </c>
      <c r="C12" s="17" t="s">
        <v>283</v>
      </c>
      <c r="D12" s="41">
        <f>SUMIFS(Waste[Weight (kg)],Waste[Quarter],D$10,Waste[Waste Composition],$B12)</f>
        <v>0</v>
      </c>
      <c r="E12" s="41">
        <f>SUMIFS(Waste[Weight (kg)],Waste[Quarter],E$10,Waste[Waste Composition],$B12)</f>
        <v>0</v>
      </c>
      <c r="F12" s="41">
        <f>SUMIFS(Waste[Weight (kg)],Waste[Quarter],F$10,Waste[Waste Composition],$B12)</f>
        <v>0</v>
      </c>
      <c r="G12" s="41">
        <f>SUMIFS(Waste[Weight (kg)],Waste[Quarter],G$10,Waste[Waste Composition],$B12)</f>
        <v>0</v>
      </c>
      <c r="I12" s="194">
        <f t="shared" si="0"/>
        <v>5</v>
      </c>
      <c r="J12" s="58" t="s">
        <v>338</v>
      </c>
      <c r="K12" s="194" t="str">
        <f>IF(Waste[[#This Row],[Month]]&lt;&gt;"",VLOOKUP(Waste[[#This Row],[Month]], dropdown!$S$4:$T$15, 2, FALSE),"")</f>
        <v>Q1</v>
      </c>
      <c r="L12" s="57" t="s">
        <v>383</v>
      </c>
      <c r="M12" s="29">
        <v>1200</v>
      </c>
      <c r="N12" s="57" t="s">
        <v>313</v>
      </c>
      <c r="O12" s="195" t="s">
        <v>1441</v>
      </c>
      <c r="Q12" s="44"/>
    </row>
    <row r="13" spans="2:17" ht="15" x14ac:dyDescent="0.2">
      <c r="B13" s="17" t="str">
        <f>dropdown!$B6</f>
        <v>Infectious</v>
      </c>
      <c r="C13" s="17" t="s">
        <v>283</v>
      </c>
      <c r="D13" s="41">
        <f>SUMIFS(Waste[Weight (kg)],Waste[Quarter],D$10,Waste[Waste Composition],$B13)</f>
        <v>0</v>
      </c>
      <c r="E13" s="41">
        <f>SUMIFS(Waste[Weight (kg)],Waste[Quarter],E$10,Waste[Waste Composition],$B13)</f>
        <v>0</v>
      </c>
      <c r="F13" s="41">
        <f>SUMIFS(Waste[Weight (kg)],Waste[Quarter],F$10,Waste[Waste Composition],$B13)</f>
        <v>0</v>
      </c>
      <c r="G13" s="41">
        <f>SUMIFS(Waste[Weight (kg)],Waste[Quarter],G$10,Waste[Waste Composition],$B13)</f>
        <v>0</v>
      </c>
      <c r="H13" s="173"/>
      <c r="I13" s="194">
        <f t="shared" si="0"/>
        <v>6</v>
      </c>
      <c r="J13" s="58" t="s">
        <v>89</v>
      </c>
      <c r="K13" s="194" t="str">
        <f>IF(Waste[[#This Row],[Month]]&lt;&gt;"",VLOOKUP(Waste[[#This Row],[Month]], dropdown!$S$4:$T$15, 2, FALSE),"")</f>
        <v>Q1</v>
      </c>
      <c r="L13" s="57" t="s">
        <v>383</v>
      </c>
      <c r="M13" s="29">
        <v>1200</v>
      </c>
      <c r="N13" s="57" t="s">
        <v>313</v>
      </c>
      <c r="O13" s="195" t="s">
        <v>1441</v>
      </c>
    </row>
    <row r="14" spans="2:17" ht="14" customHeight="1" x14ac:dyDescent="0.2">
      <c r="B14" s="17" t="str">
        <f>dropdown!$B7</f>
        <v>Security</v>
      </c>
      <c r="C14" s="17" t="s">
        <v>283</v>
      </c>
      <c r="D14" s="41">
        <f>SUMIFS(Waste[Weight (kg)],Waste[Quarter],D$10,Waste[Waste Composition],$B14)</f>
        <v>422</v>
      </c>
      <c r="E14" s="41">
        <f>SUMIFS(Waste[Weight (kg)],Waste[Quarter],E$10,Waste[Waste Composition],$B14)</f>
        <v>259</v>
      </c>
      <c r="F14" s="41">
        <f>SUMIFS(Waste[Weight (kg)],Waste[Quarter],F$10,Waste[Waste Composition],$B14)</f>
        <v>171</v>
      </c>
      <c r="G14" s="41">
        <f>SUMIFS(Waste[Weight (kg)],Waste[Quarter],G$10,Waste[Waste Composition],$B14)</f>
        <v>75</v>
      </c>
      <c r="I14" s="194">
        <f t="shared" si="0"/>
        <v>7</v>
      </c>
      <c r="J14" s="58" t="s">
        <v>362</v>
      </c>
      <c r="K14" s="194" t="str">
        <f>IF(Waste[[#This Row],[Month]]&lt;&gt;"",VLOOKUP(Waste[[#This Row],[Month]], dropdown!$S$4:$T$15, 2, FALSE),"")</f>
        <v>Q1</v>
      </c>
      <c r="L14" s="57" t="s">
        <v>383</v>
      </c>
      <c r="M14" s="29">
        <v>1200</v>
      </c>
      <c r="N14" s="57" t="s">
        <v>313</v>
      </c>
      <c r="O14" s="195" t="s">
        <v>1441</v>
      </c>
      <c r="Q14" s="44"/>
    </row>
    <row r="15" spans="2:17" ht="15" customHeight="1" x14ac:dyDescent="0.2">
      <c r="B15" s="17" t="str">
        <f>dropdown!$B8</f>
        <v>Hazardous</v>
      </c>
      <c r="C15" s="17" t="s">
        <v>283</v>
      </c>
      <c r="D15" s="41">
        <f>SUMIFS(Waste[Weight (kg)],Waste[Quarter],D$10,Waste[Waste Composition],$B15)</f>
        <v>9.9999999999999995E-7</v>
      </c>
      <c r="E15" s="41">
        <f>SUMIFS(Waste[Weight (kg)],Waste[Quarter],E$10,Waste[Waste Composition],$B15)</f>
        <v>9.9999999999999995E-8</v>
      </c>
      <c r="F15" s="41">
        <f>SUMIFS(Waste[Weight (kg)],Waste[Quarter],F$10,Waste[Waste Composition],$B15)</f>
        <v>5830.1</v>
      </c>
      <c r="G15" s="41">
        <f>SUMIFS(Waste[Weight (kg)],Waste[Quarter],G$10,Waste[Waste Composition],$B15)</f>
        <v>1E-8</v>
      </c>
      <c r="I15" s="194">
        <f t="shared" si="0"/>
        <v>8</v>
      </c>
      <c r="J15" s="58" t="s">
        <v>371</v>
      </c>
      <c r="K15" s="194" t="str">
        <f>IF(Waste[[#This Row],[Month]]&lt;&gt;"",VLOOKUP(Waste[[#This Row],[Month]], dropdown!$S$4:$T$15, 2, FALSE),"")</f>
        <v>Q2</v>
      </c>
      <c r="L15" s="57" t="s">
        <v>383</v>
      </c>
      <c r="M15" s="29">
        <v>1100</v>
      </c>
      <c r="N15" s="57" t="s">
        <v>313</v>
      </c>
      <c r="O15" s="195" t="s">
        <v>1442</v>
      </c>
    </row>
    <row r="16" spans="2:17" x14ac:dyDescent="0.2">
      <c r="B16" s="17" t="str">
        <f>dropdown!$B9</f>
        <v>Residual/Landfill</v>
      </c>
      <c r="C16" s="17" t="s">
        <v>283</v>
      </c>
      <c r="D16" s="41">
        <f>SUMIFS(Waste[Weight (kg)],Waste[Quarter],D$10,Waste[Waste Composition],$B16)</f>
        <v>3600</v>
      </c>
      <c r="E16" s="41">
        <f>SUMIFS(Waste[Weight (kg)],Waste[Quarter],E$10,Waste[Waste Composition],$B16)</f>
        <v>3300</v>
      </c>
      <c r="F16" s="41">
        <f>SUMIFS(Waste[Weight (kg)],Waste[Quarter],F$10,Waste[Waste Composition],$B16)</f>
        <v>3900</v>
      </c>
      <c r="G16" s="41">
        <f>SUMIFS(Waste[Weight (kg)],Waste[Quarter],G$10,Waste[Waste Composition],$B16)</f>
        <v>4200</v>
      </c>
      <c r="I16" s="194">
        <f t="shared" si="0"/>
        <v>9</v>
      </c>
      <c r="J16" s="58" t="s">
        <v>379</v>
      </c>
      <c r="K16" s="194" t="str">
        <f>IF(Waste[[#This Row],[Month]]&lt;&gt;"",VLOOKUP(Waste[[#This Row],[Month]], dropdown!$S$4:$T$15, 2, FALSE),"")</f>
        <v>Q2</v>
      </c>
      <c r="L16" s="57" t="s">
        <v>383</v>
      </c>
      <c r="M16" s="29">
        <v>1100</v>
      </c>
      <c r="N16" s="57" t="s">
        <v>313</v>
      </c>
      <c r="O16" s="195" t="s">
        <v>1442</v>
      </c>
    </row>
    <row r="17" spans="2:15" x14ac:dyDescent="0.2">
      <c r="I17" s="194">
        <f t="shared" si="0"/>
        <v>10</v>
      </c>
      <c r="J17" s="58" t="s">
        <v>386</v>
      </c>
      <c r="K17" s="194" t="str">
        <f>IF(Waste[[#This Row],[Month]]&lt;&gt;"",VLOOKUP(Waste[[#This Row],[Month]], dropdown!$S$4:$T$15, 2, FALSE),"")</f>
        <v>Q2</v>
      </c>
      <c r="L17" s="57" t="s">
        <v>383</v>
      </c>
      <c r="M17" s="29">
        <v>1100</v>
      </c>
      <c r="N17" s="57" t="s">
        <v>313</v>
      </c>
      <c r="O17" s="195" t="s">
        <v>1442</v>
      </c>
    </row>
    <row r="18" spans="2:15" x14ac:dyDescent="0.2">
      <c r="B18" s="267" t="s">
        <v>38</v>
      </c>
      <c r="I18" s="194">
        <f t="shared" si="0"/>
        <v>11</v>
      </c>
      <c r="J18" s="58" t="s">
        <v>390</v>
      </c>
      <c r="K18" s="194" t="str">
        <f>IF(Waste[[#This Row],[Month]]&lt;&gt;"",VLOOKUP(Waste[[#This Row],[Month]], dropdown!$S$4:$T$15, 2, FALSE),"")</f>
        <v>Q3</v>
      </c>
      <c r="L18" s="57" t="s">
        <v>383</v>
      </c>
      <c r="M18" s="29">
        <v>1300</v>
      </c>
      <c r="N18" s="57" t="s">
        <v>313</v>
      </c>
      <c r="O18" s="195" t="s">
        <v>1443</v>
      </c>
    </row>
    <row r="19" spans="2:15" x14ac:dyDescent="0.2">
      <c r="B19" s="268" t="s">
        <v>175</v>
      </c>
      <c r="I19" s="194">
        <f t="shared" ref="I19" si="1">IF($J19="","",$I18+1)</f>
        <v>12</v>
      </c>
      <c r="J19" s="58" t="s">
        <v>41</v>
      </c>
      <c r="K19" s="194" t="str">
        <f>IF(Waste[[#This Row],[Month]]&lt;&gt;"",VLOOKUP(Waste[[#This Row],[Month]], dropdown!$S$4:$T$15, 2, FALSE),"")</f>
        <v>Q3</v>
      </c>
      <c r="L19" s="57" t="s">
        <v>383</v>
      </c>
      <c r="M19" s="29">
        <v>1300</v>
      </c>
      <c r="N19" s="57" t="s">
        <v>313</v>
      </c>
      <c r="O19" s="195" t="s">
        <v>1443</v>
      </c>
    </row>
    <row r="20" spans="2:15" x14ac:dyDescent="0.2">
      <c r="B20" s="266" t="s">
        <v>176</v>
      </c>
      <c r="I20" s="194">
        <f t="shared" si="0"/>
        <v>13</v>
      </c>
      <c r="J20" s="58" t="s">
        <v>397</v>
      </c>
      <c r="K20" s="194" t="str">
        <f>IF(Waste[[#This Row],[Month]]&lt;&gt;"",VLOOKUP(Waste[[#This Row],[Month]], dropdown!$S$4:$T$15, 2, FALSE),"")</f>
        <v>Q3</v>
      </c>
      <c r="L20" s="57" t="s">
        <v>383</v>
      </c>
      <c r="M20" s="29">
        <v>1300</v>
      </c>
      <c r="N20" s="57" t="s">
        <v>313</v>
      </c>
      <c r="O20" s="195" t="s">
        <v>1443</v>
      </c>
    </row>
    <row r="21" spans="2:15" x14ac:dyDescent="0.2">
      <c r="B21" s="17" t="s">
        <v>177</v>
      </c>
      <c r="I21" s="194">
        <f t="shared" si="0"/>
        <v>14</v>
      </c>
      <c r="J21" s="58" t="s">
        <v>400</v>
      </c>
      <c r="K21" s="194" t="str">
        <f>IF(Waste[[#This Row],[Month]]&lt;&gt;"",VLOOKUP(Waste[[#This Row],[Month]], dropdown!$S$4:$T$15, 2, FALSE),"")</f>
        <v>Q4</v>
      </c>
      <c r="L21" s="57" t="s">
        <v>383</v>
      </c>
      <c r="M21" s="29">
        <v>1400</v>
      </c>
      <c r="N21" s="57" t="s">
        <v>313</v>
      </c>
      <c r="O21" s="195" t="s">
        <v>1440</v>
      </c>
    </row>
    <row r="22" spans="2:15" x14ac:dyDescent="0.2">
      <c r="I22" s="194">
        <f t="shared" si="0"/>
        <v>15</v>
      </c>
      <c r="J22" s="58" t="s">
        <v>404</v>
      </c>
      <c r="K22" s="194" t="str">
        <f>IF(Waste[[#This Row],[Month]]&lt;&gt;"",VLOOKUP(Waste[[#This Row],[Month]], dropdown!$S$4:$T$15, 2, FALSE),"")</f>
        <v>Q4</v>
      </c>
      <c r="L22" s="57" t="s">
        <v>383</v>
      </c>
      <c r="M22" s="29">
        <v>1400</v>
      </c>
      <c r="N22" s="57" t="s">
        <v>313</v>
      </c>
      <c r="O22" s="195" t="s">
        <v>1440</v>
      </c>
    </row>
    <row r="23" spans="2:15" x14ac:dyDescent="0.2">
      <c r="I23" s="194">
        <f t="shared" si="0"/>
        <v>16</v>
      </c>
      <c r="J23" s="58" t="s">
        <v>407</v>
      </c>
      <c r="K23" s="194" t="str">
        <f>IF(Waste[[#This Row],[Month]]&lt;&gt;"",VLOOKUP(Waste[[#This Row],[Month]], dropdown!$S$4:$T$15, 2, FALSE),"")</f>
        <v>Q4</v>
      </c>
      <c r="L23" s="57" t="s">
        <v>383</v>
      </c>
      <c r="M23" s="29">
        <v>1400</v>
      </c>
      <c r="N23" s="57" t="s">
        <v>313</v>
      </c>
      <c r="O23" s="195" t="s">
        <v>1440</v>
      </c>
    </row>
    <row r="24" spans="2:15" x14ac:dyDescent="0.2">
      <c r="I24" s="194">
        <f t="shared" si="0"/>
        <v>17</v>
      </c>
      <c r="J24" s="58" t="s">
        <v>338</v>
      </c>
      <c r="K24" s="194" t="str">
        <f>IF(Waste[[#This Row],[Month]]&lt;&gt;"",VLOOKUP(Waste[[#This Row],[Month]], dropdown!$S$4:$T$15, 2, FALSE),"")</f>
        <v>Q1</v>
      </c>
      <c r="L24" s="57" t="s">
        <v>367</v>
      </c>
      <c r="M24" s="29">
        <v>72</v>
      </c>
      <c r="N24" s="57" t="s">
        <v>313</v>
      </c>
      <c r="O24" s="195" t="s">
        <v>1667</v>
      </c>
    </row>
    <row r="25" spans="2:15" x14ac:dyDescent="0.2">
      <c r="I25" s="194">
        <f t="shared" si="0"/>
        <v>18</v>
      </c>
      <c r="J25" s="58" t="s">
        <v>89</v>
      </c>
      <c r="K25" s="194" t="str">
        <f>IF(Waste[[#This Row],[Month]]&lt;&gt;"",VLOOKUP(Waste[[#This Row],[Month]], dropdown!$S$4:$T$15, 2, FALSE),"")</f>
        <v>Q1</v>
      </c>
      <c r="L25" s="57" t="s">
        <v>367</v>
      </c>
      <c r="M25" s="29">
        <v>200</v>
      </c>
      <c r="N25" s="57" t="s">
        <v>313</v>
      </c>
      <c r="O25" s="195" t="s">
        <v>1667</v>
      </c>
    </row>
    <row r="26" spans="2:15" x14ac:dyDescent="0.2">
      <c r="I26" s="194">
        <f t="shared" si="0"/>
        <v>19</v>
      </c>
      <c r="J26" s="58" t="s">
        <v>362</v>
      </c>
      <c r="K26" s="194" t="str">
        <f>IF(Waste[[#This Row],[Month]]&lt;&gt;"",VLOOKUP(Waste[[#This Row],[Month]], dropdown!$S$4:$T$15, 2, FALSE),"")</f>
        <v>Q1</v>
      </c>
      <c r="L26" s="57" t="s">
        <v>367</v>
      </c>
      <c r="M26" s="29">
        <v>150</v>
      </c>
      <c r="N26" s="57" t="s">
        <v>313</v>
      </c>
      <c r="O26" s="195" t="s">
        <v>1667</v>
      </c>
    </row>
    <row r="27" spans="2:15" x14ac:dyDescent="0.2">
      <c r="I27" s="194">
        <f t="shared" si="0"/>
        <v>20</v>
      </c>
      <c r="J27" s="58" t="s">
        <v>371</v>
      </c>
      <c r="K27" s="194" t="str">
        <f>IF(Waste[[#This Row],[Month]]&lt;&gt;"",VLOOKUP(Waste[[#This Row],[Month]], dropdown!$S$4:$T$15, 2, FALSE),"")</f>
        <v>Q2</v>
      </c>
      <c r="L27" s="57" t="s">
        <v>367</v>
      </c>
      <c r="M27" s="29">
        <v>96</v>
      </c>
      <c r="N27" s="57" t="s">
        <v>313</v>
      </c>
      <c r="O27" s="195" t="s">
        <v>1667</v>
      </c>
    </row>
    <row r="28" spans="2:15" x14ac:dyDescent="0.2">
      <c r="I28" s="194">
        <f t="shared" si="0"/>
        <v>21</v>
      </c>
      <c r="J28" s="58" t="s">
        <v>379</v>
      </c>
      <c r="K28" s="194" t="str">
        <f>IF(Waste[[#This Row],[Month]]&lt;&gt;"",VLOOKUP(Waste[[#This Row],[Month]], dropdown!$S$4:$T$15, 2, FALSE),"")</f>
        <v>Q2</v>
      </c>
      <c r="L28" s="57" t="s">
        <v>367</v>
      </c>
      <c r="M28" s="29">
        <v>81</v>
      </c>
      <c r="N28" s="57" t="s">
        <v>313</v>
      </c>
      <c r="O28" s="195" t="s">
        <v>1667</v>
      </c>
    </row>
    <row r="29" spans="2:15" x14ac:dyDescent="0.2">
      <c r="I29" s="194">
        <f t="shared" si="0"/>
        <v>22</v>
      </c>
      <c r="J29" s="58" t="s">
        <v>386</v>
      </c>
      <c r="K29" s="194" t="str">
        <f>IF(Waste[[#This Row],[Month]]&lt;&gt;"",VLOOKUP(Waste[[#This Row],[Month]], dropdown!$S$4:$T$15, 2, FALSE),"")</f>
        <v>Q2</v>
      </c>
      <c r="L29" s="57" t="s">
        <v>367</v>
      </c>
      <c r="M29" s="29">
        <v>82</v>
      </c>
      <c r="N29" s="57" t="s">
        <v>313</v>
      </c>
      <c r="O29" s="195" t="s">
        <v>1667</v>
      </c>
    </row>
    <row r="30" spans="2:15" x14ac:dyDescent="0.2">
      <c r="I30" s="194">
        <f t="shared" si="0"/>
        <v>23</v>
      </c>
      <c r="J30" s="58" t="s">
        <v>390</v>
      </c>
      <c r="K30" s="194" t="str">
        <f>IF(Waste[[#This Row],[Month]]&lt;&gt;"",VLOOKUP(Waste[[#This Row],[Month]], dropdown!$S$4:$T$15, 2, FALSE),"")</f>
        <v>Q3</v>
      </c>
      <c r="L30" s="57" t="s">
        <v>367</v>
      </c>
      <c r="M30" s="29">
        <v>56</v>
      </c>
      <c r="N30" s="57" t="s">
        <v>313</v>
      </c>
      <c r="O30" s="195" t="s">
        <v>1667</v>
      </c>
    </row>
    <row r="31" spans="2:15" x14ac:dyDescent="0.2">
      <c r="I31" s="194">
        <f t="shared" si="0"/>
        <v>24</v>
      </c>
      <c r="J31" s="58" t="s">
        <v>41</v>
      </c>
      <c r="K31" s="194" t="str">
        <f>IF(Waste[[#This Row],[Month]]&lt;&gt;"",VLOOKUP(Waste[[#This Row],[Month]], dropdown!$S$4:$T$15, 2, FALSE),"")</f>
        <v>Q3</v>
      </c>
      <c r="L31" s="57" t="s">
        <v>367</v>
      </c>
      <c r="M31" s="29">
        <v>40</v>
      </c>
      <c r="N31" s="57" t="s">
        <v>313</v>
      </c>
      <c r="O31" s="195" t="s">
        <v>1667</v>
      </c>
    </row>
    <row r="32" spans="2:15" x14ac:dyDescent="0.2">
      <c r="I32" s="194">
        <f t="shared" si="0"/>
        <v>25</v>
      </c>
      <c r="J32" s="58" t="s">
        <v>397</v>
      </c>
      <c r="K32" s="194" t="str">
        <f>IF(Waste[[#This Row],[Month]]&lt;&gt;"",VLOOKUP(Waste[[#This Row],[Month]], dropdown!$S$4:$T$15, 2, FALSE),"")</f>
        <v>Q3</v>
      </c>
      <c r="L32" s="57" t="s">
        <v>367</v>
      </c>
      <c r="M32" s="29">
        <v>75</v>
      </c>
      <c r="N32" s="57" t="s">
        <v>313</v>
      </c>
      <c r="O32" s="195" t="s">
        <v>1667</v>
      </c>
    </row>
    <row r="33" spans="9:15" x14ac:dyDescent="0.2">
      <c r="I33" s="194">
        <f t="shared" si="0"/>
        <v>26</v>
      </c>
      <c r="J33" s="58" t="s">
        <v>400</v>
      </c>
      <c r="K33" s="194" t="str">
        <f>IF(Waste[[#This Row],[Month]]&lt;&gt;"",VLOOKUP(Waste[[#This Row],[Month]], dropdown!$S$4:$T$15, 2, FALSE),"")</f>
        <v>Q4</v>
      </c>
      <c r="L33" s="57" t="s">
        <v>367</v>
      </c>
      <c r="M33" s="29">
        <v>16</v>
      </c>
      <c r="N33" s="57" t="s">
        <v>313</v>
      </c>
      <c r="O33" s="195" t="s">
        <v>1667</v>
      </c>
    </row>
    <row r="34" spans="9:15" x14ac:dyDescent="0.2">
      <c r="I34" s="194">
        <f t="shared" si="0"/>
        <v>27</v>
      </c>
      <c r="J34" s="58" t="s">
        <v>404</v>
      </c>
      <c r="K34" s="194" t="str">
        <f>IF(Waste[[#This Row],[Month]]&lt;&gt;"",VLOOKUP(Waste[[#This Row],[Month]], dropdown!$S$4:$T$15, 2, FALSE),"")</f>
        <v>Q4</v>
      </c>
      <c r="L34" s="57" t="s">
        <v>367</v>
      </c>
      <c r="M34" s="29">
        <v>41</v>
      </c>
      <c r="N34" s="57" t="s">
        <v>313</v>
      </c>
      <c r="O34" s="195" t="s">
        <v>1667</v>
      </c>
    </row>
    <row r="35" spans="9:15" x14ac:dyDescent="0.2">
      <c r="I35" s="194">
        <f t="shared" si="0"/>
        <v>28</v>
      </c>
      <c r="J35" s="58" t="s">
        <v>407</v>
      </c>
      <c r="K35" s="194" t="str">
        <f>IF(Waste[[#This Row],[Month]]&lt;&gt;"",VLOOKUP(Waste[[#This Row],[Month]], dropdown!$S$4:$T$15, 2, FALSE),"")</f>
        <v>Q4</v>
      </c>
      <c r="L35" s="57" t="s">
        <v>367</v>
      </c>
      <c r="M35" s="29">
        <v>18</v>
      </c>
      <c r="N35" s="57" t="s">
        <v>313</v>
      </c>
      <c r="O35" s="195" t="s">
        <v>1667</v>
      </c>
    </row>
    <row r="36" spans="9:15" x14ac:dyDescent="0.2">
      <c r="I36" s="194" t="str">
        <f t="shared" si="0"/>
        <v/>
      </c>
      <c r="J36" s="58"/>
      <c r="K36" s="194" t="str">
        <f>IF(Waste[[#This Row],[Month]]&lt;&gt;"",VLOOKUP(Waste[[#This Row],[Month]], dropdown!$S$4:$T$15, 2, FALSE),"")</f>
        <v/>
      </c>
      <c r="L36" s="57"/>
      <c r="M36" s="29"/>
      <c r="N36" s="57"/>
      <c r="O36" s="195"/>
    </row>
    <row r="37" spans="9:15" x14ac:dyDescent="0.2">
      <c r="I37" s="194" t="str">
        <f t="shared" si="0"/>
        <v/>
      </c>
      <c r="J37" s="58"/>
      <c r="K37" s="194" t="str">
        <f>IF(Waste[[#This Row],[Month]]&lt;&gt;"",VLOOKUP(Waste[[#This Row],[Month]], dropdown!$S$4:$T$15, 2, FALSE),"")</f>
        <v/>
      </c>
      <c r="L37" s="57"/>
      <c r="M37" s="29"/>
      <c r="N37" s="57"/>
      <c r="O37" s="195"/>
    </row>
    <row r="38" spans="9:15" x14ac:dyDescent="0.2">
      <c r="I38" s="194" t="str">
        <f t="shared" si="0"/>
        <v/>
      </c>
      <c r="J38" s="58"/>
      <c r="K38" s="194" t="str">
        <f>IF(Waste[[#This Row],[Month]]&lt;&gt;"",VLOOKUP(Waste[[#This Row],[Month]], dropdown!$S$4:$T$15, 2, FALSE),"")</f>
        <v/>
      </c>
      <c r="L38" s="57"/>
      <c r="M38" s="29"/>
      <c r="N38" s="57"/>
      <c r="O38" s="195"/>
    </row>
    <row r="39" spans="9:15" x14ac:dyDescent="0.2">
      <c r="I39" s="194" t="str">
        <f t="shared" si="0"/>
        <v/>
      </c>
      <c r="J39" s="58"/>
      <c r="K39" s="194" t="str">
        <f>IF(Waste[[#This Row],[Month]]&lt;&gt;"",VLOOKUP(Waste[[#This Row],[Month]], dropdown!$S$4:$T$15, 2, FALSE),"")</f>
        <v/>
      </c>
      <c r="L39" s="57"/>
      <c r="M39" s="29"/>
      <c r="N39" s="57"/>
      <c r="O39" s="195"/>
    </row>
    <row r="40" spans="9:15" x14ac:dyDescent="0.2">
      <c r="I40" s="194" t="str">
        <f t="shared" si="0"/>
        <v/>
      </c>
      <c r="J40" s="58"/>
      <c r="K40" s="194" t="str">
        <f>IF(Waste[[#This Row],[Month]]&lt;&gt;"",VLOOKUP(Waste[[#This Row],[Month]], dropdown!$S$4:$T$15, 2, FALSE),"")</f>
        <v/>
      </c>
      <c r="L40" s="57"/>
      <c r="M40" s="29"/>
      <c r="N40" s="57"/>
      <c r="O40" s="195"/>
    </row>
    <row r="41" spans="9:15" x14ac:dyDescent="0.2">
      <c r="I41" s="194" t="str">
        <f t="shared" si="0"/>
        <v/>
      </c>
      <c r="J41" s="58"/>
      <c r="K41" s="194" t="str">
        <f>IF(Waste[[#This Row],[Month]]&lt;&gt;"",VLOOKUP(Waste[[#This Row],[Month]], dropdown!$S$4:$T$15, 2, FALSE),"")</f>
        <v/>
      </c>
      <c r="L41" s="57"/>
      <c r="M41" s="29"/>
      <c r="N41" s="57"/>
      <c r="O41" s="195"/>
    </row>
    <row r="42" spans="9:15" x14ac:dyDescent="0.2">
      <c r="I42" s="194" t="str">
        <f t="shared" si="0"/>
        <v/>
      </c>
      <c r="J42" s="58"/>
      <c r="K42" s="194" t="str">
        <f>IF(Waste[[#This Row],[Month]]&lt;&gt;"",VLOOKUP(Waste[[#This Row],[Month]], dropdown!$S$4:$T$15, 2, FALSE),"")</f>
        <v/>
      </c>
      <c r="L42" s="57"/>
      <c r="M42" s="29"/>
      <c r="N42" s="57"/>
      <c r="O42" s="195"/>
    </row>
    <row r="43" spans="9:15" x14ac:dyDescent="0.2">
      <c r="I43" s="194" t="str">
        <f t="shared" si="0"/>
        <v/>
      </c>
      <c r="J43" s="58"/>
      <c r="K43" s="194" t="str">
        <f>IF(Waste[[#This Row],[Month]]&lt;&gt;"",VLOOKUP(Waste[[#This Row],[Month]], dropdown!$S$4:$T$15, 2, FALSE),"")</f>
        <v/>
      </c>
      <c r="L43" s="57"/>
      <c r="M43" s="29"/>
      <c r="N43" s="57"/>
      <c r="O43" s="195"/>
    </row>
    <row r="44" spans="9:15" x14ac:dyDescent="0.2">
      <c r="I44" s="194" t="str">
        <f t="shared" si="0"/>
        <v/>
      </c>
      <c r="J44" s="58"/>
      <c r="K44" s="194" t="str">
        <f>IF(Waste[[#This Row],[Month]]&lt;&gt;"",VLOOKUP(Waste[[#This Row],[Month]], dropdown!$S$4:$T$15, 2, FALSE),"")</f>
        <v/>
      </c>
      <c r="L44" s="57"/>
      <c r="M44" s="29"/>
      <c r="N44" s="57"/>
      <c r="O44" s="195"/>
    </row>
    <row r="45" spans="9:15" x14ac:dyDescent="0.2">
      <c r="I45" s="194" t="str">
        <f t="shared" si="0"/>
        <v/>
      </c>
      <c r="J45" s="58"/>
      <c r="K45" s="194" t="str">
        <f>IF(Waste[[#This Row],[Month]]&lt;&gt;"",VLOOKUP(Waste[[#This Row],[Month]], dropdown!$S$4:$T$15, 2, FALSE),"")</f>
        <v/>
      </c>
      <c r="L45" s="57"/>
      <c r="M45" s="29"/>
      <c r="N45" s="57"/>
      <c r="O45" s="195"/>
    </row>
    <row r="46" spans="9:15" x14ac:dyDescent="0.2">
      <c r="I46" s="194" t="str">
        <f t="shared" si="0"/>
        <v/>
      </c>
      <c r="J46" s="58"/>
      <c r="K46" s="194" t="str">
        <f>IF(Waste[[#This Row],[Month]]&lt;&gt;"",VLOOKUP(Waste[[#This Row],[Month]], dropdown!$S$4:$T$15, 2, FALSE),"")</f>
        <v/>
      </c>
      <c r="L46" s="57"/>
      <c r="M46" s="29"/>
      <c r="N46" s="57"/>
      <c r="O46" s="195"/>
    </row>
    <row r="47" spans="9:15" x14ac:dyDescent="0.2">
      <c r="I47" s="194" t="str">
        <f t="shared" si="0"/>
        <v/>
      </c>
      <c r="J47" s="58"/>
      <c r="K47" s="194" t="str">
        <f>IF(Waste[[#This Row],[Month]]&lt;&gt;"",VLOOKUP(Waste[[#This Row],[Month]], dropdown!$S$4:$T$15, 2, FALSE),"")</f>
        <v/>
      </c>
      <c r="L47" s="57"/>
      <c r="M47" s="29"/>
      <c r="N47" s="57"/>
      <c r="O47" s="195"/>
    </row>
    <row r="48" spans="9:15" x14ac:dyDescent="0.2">
      <c r="I48" s="194" t="str">
        <f t="shared" si="0"/>
        <v/>
      </c>
      <c r="J48" s="58"/>
      <c r="K48" s="194" t="str">
        <f>IF(Waste[[#This Row],[Month]]&lt;&gt;"",VLOOKUP(Waste[[#This Row],[Month]], dropdown!$S$4:$T$15, 2, FALSE),"")</f>
        <v/>
      </c>
      <c r="L48" s="57"/>
      <c r="M48" s="29"/>
      <c r="N48" s="57"/>
      <c r="O48" s="195"/>
    </row>
    <row r="49" spans="9:15" x14ac:dyDescent="0.2">
      <c r="I49" s="194" t="str">
        <f t="shared" si="0"/>
        <v/>
      </c>
      <c r="J49" s="58"/>
      <c r="K49" s="194" t="str">
        <f>IF(Waste[[#This Row],[Month]]&lt;&gt;"",VLOOKUP(Waste[[#This Row],[Month]], dropdown!$S$4:$T$15, 2, FALSE),"")</f>
        <v/>
      </c>
      <c r="L49" s="57"/>
      <c r="M49" s="29"/>
      <c r="N49" s="57"/>
      <c r="O49" s="195"/>
    </row>
    <row r="50" spans="9:15" x14ac:dyDescent="0.2">
      <c r="I50" s="194" t="str">
        <f t="shared" si="0"/>
        <v/>
      </c>
      <c r="J50" s="58"/>
      <c r="K50" s="194" t="str">
        <f>IF(Waste[[#This Row],[Month]]&lt;&gt;"",VLOOKUP(Waste[[#This Row],[Month]], dropdown!$S$4:$T$15, 2, FALSE),"")</f>
        <v/>
      </c>
      <c r="L50" s="57"/>
      <c r="M50" s="29"/>
      <c r="N50" s="57"/>
      <c r="O50" s="195"/>
    </row>
    <row r="51" spans="9:15" x14ac:dyDescent="0.2">
      <c r="I51" s="194" t="str">
        <f t="shared" si="0"/>
        <v/>
      </c>
      <c r="J51" s="58"/>
      <c r="K51" s="194" t="str">
        <f>IF(Waste[[#This Row],[Month]]&lt;&gt;"",VLOOKUP(Waste[[#This Row],[Month]], dropdown!$S$4:$T$15, 2, FALSE),"")</f>
        <v/>
      </c>
      <c r="L51" s="57"/>
      <c r="M51" s="29"/>
      <c r="N51" s="57"/>
      <c r="O51" s="195"/>
    </row>
    <row r="52" spans="9:15" x14ac:dyDescent="0.2">
      <c r="I52" s="194" t="str">
        <f t="shared" si="0"/>
        <v/>
      </c>
      <c r="J52" s="58"/>
      <c r="K52" s="194" t="str">
        <f>IF(Waste[[#This Row],[Month]]&lt;&gt;"",VLOOKUP(Waste[[#This Row],[Month]], dropdown!$S$4:$T$15, 2, FALSE),"")</f>
        <v/>
      </c>
      <c r="L52" s="57"/>
      <c r="M52" s="29"/>
      <c r="N52" s="57"/>
      <c r="O52" s="195"/>
    </row>
    <row r="53" spans="9:15" x14ac:dyDescent="0.2">
      <c r="I53" s="194" t="str">
        <f t="shared" si="0"/>
        <v/>
      </c>
      <c r="J53" s="58"/>
      <c r="K53" s="194" t="str">
        <f>IF(Waste[[#This Row],[Month]]&lt;&gt;"",VLOOKUP(Waste[[#This Row],[Month]], dropdown!$S$4:$T$15, 2, FALSE),"")</f>
        <v/>
      </c>
      <c r="L53" s="57"/>
      <c r="M53" s="29"/>
      <c r="N53" s="57"/>
      <c r="O53" s="195"/>
    </row>
    <row r="54" spans="9:15" x14ac:dyDescent="0.2">
      <c r="I54" s="194" t="str">
        <f t="shared" si="0"/>
        <v/>
      </c>
      <c r="J54" s="58"/>
      <c r="K54" s="194" t="str">
        <f>IF(Waste[[#This Row],[Month]]&lt;&gt;"",VLOOKUP(Waste[[#This Row],[Month]], dropdown!$S$4:$T$15, 2, FALSE),"")</f>
        <v/>
      </c>
      <c r="L54" s="57"/>
      <c r="M54" s="29"/>
      <c r="N54" s="57"/>
      <c r="O54" s="195"/>
    </row>
    <row r="55" spans="9:15" x14ac:dyDescent="0.2">
      <c r="I55" s="194" t="str">
        <f t="shared" si="0"/>
        <v/>
      </c>
      <c r="J55" s="58"/>
      <c r="K55" s="194" t="str">
        <f>IF(Waste[[#This Row],[Month]]&lt;&gt;"",VLOOKUP(Waste[[#This Row],[Month]], dropdown!$S$4:$T$15, 2, FALSE),"")</f>
        <v/>
      </c>
      <c r="L55" s="57"/>
      <c r="M55" s="29"/>
      <c r="N55" s="57"/>
      <c r="O55" s="195"/>
    </row>
    <row r="56" spans="9:15" x14ac:dyDescent="0.2">
      <c r="I56" s="194" t="str">
        <f t="shared" si="0"/>
        <v/>
      </c>
      <c r="J56" s="58"/>
      <c r="K56" s="194" t="str">
        <f>IF(Waste[[#This Row],[Month]]&lt;&gt;"",VLOOKUP(Waste[[#This Row],[Month]], dropdown!$S$4:$T$15, 2, FALSE),"")</f>
        <v/>
      </c>
      <c r="L56" s="57"/>
      <c r="M56" s="29"/>
      <c r="N56" s="57"/>
      <c r="O56" s="195"/>
    </row>
    <row r="57" spans="9:15" x14ac:dyDescent="0.2">
      <c r="I57" s="194" t="str">
        <f t="shared" si="0"/>
        <v/>
      </c>
      <c r="J57" s="58"/>
      <c r="K57" s="194" t="str">
        <f>IF(Waste[[#This Row],[Month]]&lt;&gt;"",VLOOKUP(Waste[[#This Row],[Month]], dropdown!$S$4:$T$15, 2, FALSE),"")</f>
        <v/>
      </c>
      <c r="L57" s="57"/>
      <c r="M57" s="29"/>
      <c r="N57" s="57"/>
      <c r="O57" s="195"/>
    </row>
    <row r="58" spans="9:15" x14ac:dyDescent="0.2">
      <c r="I58" s="194" t="str">
        <f t="shared" si="0"/>
        <v/>
      </c>
      <c r="J58" s="58"/>
      <c r="K58" s="194" t="str">
        <f>IF(Waste[[#This Row],[Month]]&lt;&gt;"",VLOOKUP(Waste[[#This Row],[Month]], dropdown!$S$4:$T$15, 2, FALSE),"")</f>
        <v/>
      </c>
      <c r="L58" s="57"/>
      <c r="M58" s="29"/>
      <c r="N58" s="57"/>
      <c r="O58" s="195"/>
    </row>
    <row r="59" spans="9:15" x14ac:dyDescent="0.2">
      <c r="I59" s="194" t="str">
        <f t="shared" si="0"/>
        <v/>
      </c>
      <c r="J59" s="58"/>
      <c r="K59" s="194" t="str">
        <f>IF(Waste[[#This Row],[Month]]&lt;&gt;"",VLOOKUP(Waste[[#This Row],[Month]], dropdown!$S$4:$T$15, 2, FALSE),"")</f>
        <v/>
      </c>
      <c r="L59" s="57"/>
      <c r="M59" s="29"/>
      <c r="N59" s="57"/>
      <c r="O59" s="195"/>
    </row>
    <row r="60" spans="9:15" x14ac:dyDescent="0.2">
      <c r="I60" s="194" t="str">
        <f t="shared" si="0"/>
        <v/>
      </c>
      <c r="J60" s="58"/>
      <c r="K60" s="194" t="str">
        <f>IF(Waste[[#This Row],[Month]]&lt;&gt;"",VLOOKUP(Waste[[#This Row],[Month]], dropdown!$S$4:$T$15, 2, FALSE),"")</f>
        <v/>
      </c>
      <c r="L60" s="57"/>
      <c r="M60" s="29"/>
      <c r="N60" s="57"/>
      <c r="O60" s="195"/>
    </row>
    <row r="61" spans="9:15" x14ac:dyDescent="0.2">
      <c r="I61" s="194" t="str">
        <f t="shared" si="0"/>
        <v/>
      </c>
      <c r="J61" s="58"/>
      <c r="K61" s="194" t="str">
        <f>IF(Waste[[#This Row],[Month]]&lt;&gt;"",VLOOKUP(Waste[[#This Row],[Month]], dropdown!$S$4:$T$15, 2, FALSE),"")</f>
        <v/>
      </c>
      <c r="L61" s="57"/>
      <c r="M61" s="29"/>
      <c r="N61" s="57"/>
      <c r="O61" s="195"/>
    </row>
    <row r="62" spans="9:15" x14ac:dyDescent="0.2">
      <c r="I62" s="194" t="str">
        <f t="shared" si="0"/>
        <v/>
      </c>
      <c r="J62" s="58"/>
      <c r="K62" s="194" t="str">
        <f>IF(Waste[[#This Row],[Month]]&lt;&gt;"",VLOOKUP(Waste[[#This Row],[Month]], dropdown!$S$4:$T$15, 2, FALSE),"")</f>
        <v/>
      </c>
      <c r="L62" s="57"/>
      <c r="M62" s="29"/>
      <c r="N62" s="57"/>
      <c r="O62" s="195"/>
    </row>
    <row r="63" spans="9:15" x14ac:dyDescent="0.2">
      <c r="I63" s="194" t="str">
        <f t="shared" si="0"/>
        <v/>
      </c>
      <c r="J63" s="58"/>
      <c r="K63" s="194" t="str">
        <f>IF(Waste[[#This Row],[Month]]&lt;&gt;"",VLOOKUP(Waste[[#This Row],[Month]], dropdown!$S$4:$T$15, 2, FALSE),"")</f>
        <v/>
      </c>
      <c r="L63" s="57"/>
      <c r="M63" s="29"/>
      <c r="N63" s="57"/>
      <c r="O63" s="195"/>
    </row>
    <row r="64" spans="9:15" x14ac:dyDescent="0.2">
      <c r="I64" s="194" t="str">
        <f t="shared" si="0"/>
        <v/>
      </c>
      <c r="J64" s="58"/>
      <c r="K64" s="194" t="str">
        <f>IF(Waste[[#This Row],[Month]]&lt;&gt;"",VLOOKUP(Waste[[#This Row],[Month]], dropdown!$S$4:$T$15, 2, FALSE),"")</f>
        <v/>
      </c>
      <c r="L64" s="57"/>
      <c r="M64" s="29"/>
      <c r="N64" s="57"/>
      <c r="O64" s="195"/>
    </row>
    <row r="65" spans="9:15" x14ac:dyDescent="0.2">
      <c r="I65" s="194" t="str">
        <f t="shared" si="0"/>
        <v/>
      </c>
      <c r="J65" s="58"/>
      <c r="K65" s="194" t="str">
        <f>IF(Waste[[#This Row],[Month]]&lt;&gt;"",VLOOKUP(Waste[[#This Row],[Month]], dropdown!$S$4:$T$15, 2, FALSE),"")</f>
        <v/>
      </c>
      <c r="L65" s="57"/>
      <c r="M65" s="29"/>
      <c r="N65" s="57"/>
      <c r="O65" s="195"/>
    </row>
    <row r="66" spans="9:15" x14ac:dyDescent="0.2">
      <c r="I66" s="194" t="str">
        <f t="shared" si="0"/>
        <v/>
      </c>
      <c r="J66" s="58"/>
      <c r="K66" s="194" t="str">
        <f>IF(Waste[[#This Row],[Month]]&lt;&gt;"",VLOOKUP(Waste[[#This Row],[Month]], dropdown!$S$4:$T$15, 2, FALSE),"")</f>
        <v/>
      </c>
      <c r="L66" s="57"/>
      <c r="M66" s="29"/>
      <c r="N66" s="57"/>
      <c r="O66" s="195"/>
    </row>
    <row r="67" spans="9:15" x14ac:dyDescent="0.2">
      <c r="I67" s="194" t="str">
        <f t="shared" si="0"/>
        <v/>
      </c>
      <c r="J67" s="58"/>
      <c r="K67" s="194" t="str">
        <f>IF(Waste[[#This Row],[Month]]&lt;&gt;"",VLOOKUP(Waste[[#This Row],[Month]], dropdown!$S$4:$T$15, 2, FALSE),"")</f>
        <v/>
      </c>
      <c r="L67" s="57"/>
      <c r="M67" s="29"/>
      <c r="N67" s="57"/>
      <c r="O67" s="195"/>
    </row>
    <row r="68" spans="9:15" x14ac:dyDescent="0.2">
      <c r="I68" s="194" t="str">
        <f t="shared" si="0"/>
        <v/>
      </c>
      <c r="J68" s="58"/>
      <c r="K68" s="194" t="str">
        <f>IF(Waste[[#This Row],[Month]]&lt;&gt;"",VLOOKUP(Waste[[#This Row],[Month]], dropdown!$S$4:$T$15, 2, FALSE),"")</f>
        <v/>
      </c>
      <c r="L68" s="57"/>
      <c r="M68" s="29"/>
      <c r="N68" s="57"/>
      <c r="O68" s="195"/>
    </row>
    <row r="69" spans="9:15" x14ac:dyDescent="0.2">
      <c r="I69" s="194" t="str">
        <f t="shared" si="0"/>
        <v/>
      </c>
      <c r="J69" s="58"/>
      <c r="K69" s="194" t="str">
        <f>IF(Waste[[#This Row],[Month]]&lt;&gt;"",VLOOKUP(Waste[[#This Row],[Month]], dropdown!$S$4:$T$15, 2, FALSE),"")</f>
        <v/>
      </c>
      <c r="L69" s="57"/>
      <c r="M69" s="29"/>
      <c r="N69" s="57"/>
      <c r="O69" s="195"/>
    </row>
    <row r="70" spans="9:15" x14ac:dyDescent="0.2">
      <c r="I70" s="194" t="str">
        <f t="shared" si="0"/>
        <v/>
      </c>
      <c r="J70" s="58"/>
      <c r="K70" s="194" t="str">
        <f>IF(Waste[[#This Row],[Month]]&lt;&gt;"",VLOOKUP(Waste[[#This Row],[Month]], dropdown!$S$4:$T$15, 2, FALSE),"")</f>
        <v/>
      </c>
      <c r="L70" s="57"/>
      <c r="M70" s="29"/>
      <c r="N70" s="57"/>
      <c r="O70" s="195"/>
    </row>
    <row r="71" spans="9:15" x14ac:dyDescent="0.2">
      <c r="I71" s="194" t="str">
        <f t="shared" si="0"/>
        <v/>
      </c>
      <c r="J71" s="58"/>
      <c r="K71" s="194" t="str">
        <f>IF(Waste[[#This Row],[Month]]&lt;&gt;"",VLOOKUP(Waste[[#This Row],[Month]], dropdown!$S$4:$T$15, 2, FALSE),"")</f>
        <v/>
      </c>
      <c r="L71" s="57"/>
      <c r="M71" s="29"/>
      <c r="N71" s="57"/>
      <c r="O71" s="195"/>
    </row>
    <row r="72" spans="9:15" x14ac:dyDescent="0.2">
      <c r="I72" s="194" t="str">
        <f t="shared" si="0"/>
        <v/>
      </c>
      <c r="J72" s="58"/>
      <c r="K72" s="194" t="str">
        <f>IF(Waste[[#This Row],[Month]]&lt;&gt;"",VLOOKUP(Waste[[#This Row],[Month]], dropdown!$S$4:$T$15, 2, FALSE),"")</f>
        <v/>
      </c>
      <c r="L72" s="57"/>
      <c r="M72" s="29"/>
      <c r="N72" s="57"/>
      <c r="O72" s="195"/>
    </row>
    <row r="73" spans="9:15" x14ac:dyDescent="0.2">
      <c r="I73" s="194" t="str">
        <f t="shared" ref="I73:I104" si="2">IF($J73="","",$I72+1)</f>
        <v/>
      </c>
      <c r="J73" s="58"/>
      <c r="K73" s="194" t="str">
        <f>IF(Waste[[#This Row],[Month]]&lt;&gt;"",VLOOKUP(Waste[[#This Row],[Month]], dropdown!$S$4:$T$15, 2, FALSE),"")</f>
        <v/>
      </c>
      <c r="L73" s="57"/>
      <c r="M73" s="29"/>
      <c r="N73" s="57"/>
      <c r="O73" s="195"/>
    </row>
    <row r="74" spans="9:15" x14ac:dyDescent="0.2">
      <c r="I74" s="194" t="str">
        <f t="shared" si="2"/>
        <v/>
      </c>
      <c r="J74" s="58"/>
      <c r="K74" s="194" t="str">
        <f>IF(Waste[[#This Row],[Month]]&lt;&gt;"",VLOOKUP(Waste[[#This Row],[Month]], dropdown!$S$4:$T$15, 2, FALSE),"")</f>
        <v/>
      </c>
      <c r="L74" s="57"/>
      <c r="M74" s="29"/>
      <c r="N74" s="57"/>
      <c r="O74" s="195"/>
    </row>
    <row r="75" spans="9:15" x14ac:dyDescent="0.2">
      <c r="I75" s="194" t="str">
        <f t="shared" si="2"/>
        <v/>
      </c>
      <c r="J75" s="58"/>
      <c r="K75" s="194" t="str">
        <f>IF(Waste[[#This Row],[Month]]&lt;&gt;"",VLOOKUP(Waste[[#This Row],[Month]], dropdown!$S$4:$T$15, 2, FALSE),"")</f>
        <v/>
      </c>
      <c r="L75" s="57"/>
      <c r="M75" s="29"/>
      <c r="N75" s="57"/>
      <c r="O75" s="195"/>
    </row>
    <row r="76" spans="9:15" x14ac:dyDescent="0.2">
      <c r="I76" s="194" t="str">
        <f t="shared" si="2"/>
        <v/>
      </c>
      <c r="J76" s="58"/>
      <c r="K76" s="194" t="str">
        <f>IF(Waste[[#This Row],[Month]]&lt;&gt;"",VLOOKUP(Waste[[#This Row],[Month]], dropdown!$S$4:$T$15, 2, FALSE),"")</f>
        <v/>
      </c>
      <c r="L76" s="57"/>
      <c r="M76" s="29"/>
      <c r="N76" s="57"/>
      <c r="O76" s="195"/>
    </row>
    <row r="77" spans="9:15" x14ac:dyDescent="0.2">
      <c r="I77" s="194" t="str">
        <f t="shared" si="2"/>
        <v/>
      </c>
      <c r="J77" s="58"/>
      <c r="K77" s="194" t="str">
        <f>IF(Waste[[#This Row],[Month]]&lt;&gt;"",VLOOKUP(Waste[[#This Row],[Month]], dropdown!$S$4:$T$15, 2, FALSE),"")</f>
        <v/>
      </c>
      <c r="L77" s="57"/>
      <c r="M77" s="29"/>
      <c r="N77" s="57"/>
      <c r="O77" s="195"/>
    </row>
    <row r="78" spans="9:15" x14ac:dyDescent="0.2">
      <c r="I78" s="194" t="str">
        <f t="shared" si="2"/>
        <v/>
      </c>
      <c r="J78" s="58"/>
      <c r="K78" s="194" t="str">
        <f>IF(Waste[[#This Row],[Month]]&lt;&gt;"",VLOOKUP(Waste[[#This Row],[Month]], dropdown!$S$4:$T$15, 2, FALSE),"")</f>
        <v/>
      </c>
      <c r="L78" s="57"/>
      <c r="M78" s="29"/>
      <c r="N78" s="57"/>
      <c r="O78" s="195"/>
    </row>
    <row r="79" spans="9:15" x14ac:dyDescent="0.2">
      <c r="I79" s="194" t="str">
        <f t="shared" si="2"/>
        <v/>
      </c>
      <c r="J79" s="58"/>
      <c r="K79" s="194" t="str">
        <f>IF(Waste[[#This Row],[Month]]&lt;&gt;"",VLOOKUP(Waste[[#This Row],[Month]], dropdown!$S$4:$T$15, 2, FALSE),"")</f>
        <v/>
      </c>
      <c r="L79" s="57"/>
      <c r="M79" s="29"/>
      <c r="N79" s="57"/>
      <c r="O79" s="195"/>
    </row>
    <row r="80" spans="9:15" x14ac:dyDescent="0.2">
      <c r="I80" s="194" t="str">
        <f t="shared" si="2"/>
        <v/>
      </c>
      <c r="J80" s="58"/>
      <c r="K80" s="194" t="str">
        <f>IF(Waste[[#This Row],[Month]]&lt;&gt;"",VLOOKUP(Waste[[#This Row],[Month]], dropdown!$S$4:$T$15, 2, FALSE),"")</f>
        <v/>
      </c>
      <c r="L80" s="57"/>
      <c r="M80" s="29"/>
      <c r="N80" s="57"/>
      <c r="O80" s="195"/>
    </row>
    <row r="81" spans="9:15" x14ac:dyDescent="0.2">
      <c r="I81" s="194" t="str">
        <f t="shared" si="2"/>
        <v/>
      </c>
      <c r="J81" s="58"/>
      <c r="K81" s="194" t="str">
        <f>IF(Waste[[#This Row],[Month]]&lt;&gt;"",VLOOKUP(Waste[[#This Row],[Month]], dropdown!$S$4:$T$15, 2, FALSE),"")</f>
        <v/>
      </c>
      <c r="L81" s="57"/>
      <c r="M81" s="29"/>
      <c r="N81" s="57"/>
      <c r="O81" s="195"/>
    </row>
    <row r="82" spans="9:15" x14ac:dyDescent="0.2">
      <c r="I82" s="194" t="str">
        <f t="shared" si="2"/>
        <v/>
      </c>
      <c r="J82" s="58"/>
      <c r="K82" s="194" t="str">
        <f>IF(Waste[[#This Row],[Month]]&lt;&gt;"",VLOOKUP(Waste[[#This Row],[Month]], dropdown!$S$4:$T$15, 2, FALSE),"")</f>
        <v/>
      </c>
      <c r="L82" s="57"/>
      <c r="M82" s="29"/>
      <c r="N82" s="57"/>
      <c r="O82" s="195"/>
    </row>
    <row r="83" spans="9:15" x14ac:dyDescent="0.2">
      <c r="I83" s="194" t="str">
        <f t="shared" si="2"/>
        <v/>
      </c>
      <c r="J83" s="58"/>
      <c r="K83" s="194" t="str">
        <f>IF(Waste[[#This Row],[Month]]&lt;&gt;"",VLOOKUP(Waste[[#This Row],[Month]], dropdown!$S$4:$T$15, 2, FALSE),"")</f>
        <v/>
      </c>
      <c r="L83" s="57"/>
      <c r="M83" s="29"/>
      <c r="N83" s="57"/>
      <c r="O83" s="195"/>
    </row>
    <row r="84" spans="9:15" x14ac:dyDescent="0.2">
      <c r="I84" s="194" t="str">
        <f t="shared" si="2"/>
        <v/>
      </c>
      <c r="J84" s="58"/>
      <c r="K84" s="194" t="str">
        <f>IF(Waste[[#This Row],[Month]]&lt;&gt;"",VLOOKUP(Waste[[#This Row],[Month]], dropdown!$S$4:$T$15, 2, FALSE),"")</f>
        <v/>
      </c>
      <c r="L84" s="57"/>
      <c r="M84" s="29"/>
      <c r="N84" s="57"/>
      <c r="O84" s="195"/>
    </row>
    <row r="85" spans="9:15" x14ac:dyDescent="0.2">
      <c r="I85" s="194" t="str">
        <f t="shared" si="2"/>
        <v/>
      </c>
      <c r="J85" s="58"/>
      <c r="K85" s="194" t="str">
        <f>IF(Waste[[#This Row],[Month]]&lt;&gt;"",VLOOKUP(Waste[[#This Row],[Month]], dropdown!$S$4:$T$15, 2, FALSE),"")</f>
        <v/>
      </c>
      <c r="L85" s="57"/>
      <c r="M85" s="29"/>
      <c r="N85" s="57"/>
      <c r="O85" s="195"/>
    </row>
    <row r="86" spans="9:15" x14ac:dyDescent="0.2">
      <c r="I86" s="194" t="str">
        <f t="shared" si="2"/>
        <v/>
      </c>
      <c r="J86" s="58"/>
      <c r="K86" s="194" t="str">
        <f>IF(Waste[[#This Row],[Month]]&lt;&gt;"",VLOOKUP(Waste[[#This Row],[Month]], dropdown!$S$4:$T$15, 2, FALSE),"")</f>
        <v/>
      </c>
      <c r="L86" s="57"/>
      <c r="M86" s="29"/>
      <c r="N86" s="57"/>
      <c r="O86" s="195"/>
    </row>
    <row r="87" spans="9:15" x14ac:dyDescent="0.2">
      <c r="I87" s="194" t="str">
        <f t="shared" si="2"/>
        <v/>
      </c>
      <c r="J87" s="58"/>
      <c r="K87" s="194" t="str">
        <f>IF(Waste[[#This Row],[Month]]&lt;&gt;"",VLOOKUP(Waste[[#This Row],[Month]], dropdown!$S$4:$T$15, 2, FALSE),"")</f>
        <v/>
      </c>
      <c r="L87" s="57"/>
      <c r="M87" s="29"/>
      <c r="N87" s="57"/>
      <c r="O87" s="195"/>
    </row>
    <row r="88" spans="9:15" x14ac:dyDescent="0.2">
      <c r="I88" s="194" t="str">
        <f t="shared" si="2"/>
        <v/>
      </c>
      <c r="J88" s="58"/>
      <c r="K88" s="194" t="str">
        <f>IF(Waste[[#This Row],[Month]]&lt;&gt;"",VLOOKUP(Waste[[#This Row],[Month]], dropdown!$S$4:$T$15, 2, FALSE),"")</f>
        <v/>
      </c>
      <c r="L88" s="57"/>
      <c r="M88" s="29"/>
      <c r="N88" s="57"/>
      <c r="O88" s="195"/>
    </row>
    <row r="89" spans="9:15" x14ac:dyDescent="0.2">
      <c r="I89" s="194" t="str">
        <f t="shared" si="2"/>
        <v/>
      </c>
      <c r="J89" s="58"/>
      <c r="K89" s="194" t="str">
        <f>IF(Waste[[#This Row],[Month]]&lt;&gt;"",VLOOKUP(Waste[[#This Row],[Month]], dropdown!$S$4:$T$15, 2, FALSE),"")</f>
        <v/>
      </c>
      <c r="L89" s="57"/>
      <c r="M89" s="29"/>
      <c r="N89" s="57"/>
      <c r="O89" s="195"/>
    </row>
    <row r="90" spans="9:15" x14ac:dyDescent="0.2">
      <c r="I90" s="194" t="str">
        <f t="shared" si="2"/>
        <v/>
      </c>
      <c r="J90" s="58"/>
      <c r="K90" s="194" t="str">
        <f>IF(Waste[[#This Row],[Month]]&lt;&gt;"",VLOOKUP(Waste[[#This Row],[Month]], dropdown!$S$4:$T$15, 2, FALSE),"")</f>
        <v/>
      </c>
      <c r="L90" s="57"/>
      <c r="M90" s="29"/>
      <c r="N90" s="57"/>
      <c r="O90" s="195"/>
    </row>
    <row r="91" spans="9:15" x14ac:dyDescent="0.2">
      <c r="I91" s="194" t="str">
        <f t="shared" si="2"/>
        <v/>
      </c>
      <c r="J91" s="58"/>
      <c r="K91" s="194" t="str">
        <f>IF(Waste[[#This Row],[Month]]&lt;&gt;"",VLOOKUP(Waste[[#This Row],[Month]], dropdown!$S$4:$T$15, 2, FALSE),"")</f>
        <v/>
      </c>
      <c r="L91" s="57"/>
      <c r="M91" s="29"/>
      <c r="N91" s="57"/>
      <c r="O91" s="195"/>
    </row>
    <row r="92" spans="9:15" x14ac:dyDescent="0.2">
      <c r="I92" s="194" t="str">
        <f t="shared" si="2"/>
        <v/>
      </c>
      <c r="J92" s="58"/>
      <c r="K92" s="194" t="str">
        <f>IF(Waste[[#This Row],[Month]]&lt;&gt;"",VLOOKUP(Waste[[#This Row],[Month]], dropdown!$S$4:$T$15, 2, FALSE),"")</f>
        <v/>
      </c>
      <c r="L92" s="57"/>
      <c r="M92" s="29"/>
      <c r="N92" s="57"/>
      <c r="O92" s="195"/>
    </row>
    <row r="93" spans="9:15" x14ac:dyDescent="0.2">
      <c r="I93" s="194" t="str">
        <f t="shared" si="2"/>
        <v/>
      </c>
      <c r="J93" s="58"/>
      <c r="K93" s="194" t="str">
        <f>IF(Waste[[#This Row],[Month]]&lt;&gt;"",VLOOKUP(Waste[[#This Row],[Month]], dropdown!$S$4:$T$15, 2, FALSE),"")</f>
        <v/>
      </c>
      <c r="L93" s="57"/>
      <c r="M93" s="29"/>
      <c r="N93" s="57"/>
      <c r="O93" s="195"/>
    </row>
    <row r="94" spans="9:15" x14ac:dyDescent="0.2">
      <c r="I94" s="194" t="str">
        <f t="shared" si="2"/>
        <v/>
      </c>
      <c r="J94" s="58"/>
      <c r="K94" s="194" t="str">
        <f>IF(Waste[[#This Row],[Month]]&lt;&gt;"",VLOOKUP(Waste[[#This Row],[Month]], dropdown!$S$4:$T$15, 2, FALSE),"")</f>
        <v/>
      </c>
      <c r="L94" s="57"/>
      <c r="M94" s="29"/>
      <c r="N94" s="57"/>
      <c r="O94" s="195"/>
    </row>
    <row r="95" spans="9:15" x14ac:dyDescent="0.2">
      <c r="I95" s="194" t="str">
        <f t="shared" si="2"/>
        <v/>
      </c>
      <c r="J95" s="58"/>
      <c r="K95" s="194" t="str">
        <f>IF(Waste[[#This Row],[Month]]&lt;&gt;"",VLOOKUP(Waste[[#This Row],[Month]], dropdown!$S$4:$T$15, 2, FALSE),"")</f>
        <v/>
      </c>
      <c r="L95" s="57"/>
      <c r="M95" s="29"/>
      <c r="N95" s="57"/>
      <c r="O95" s="195"/>
    </row>
    <row r="96" spans="9:15" x14ac:dyDescent="0.2">
      <c r="I96" s="194" t="str">
        <f t="shared" si="2"/>
        <v/>
      </c>
      <c r="J96" s="58"/>
      <c r="K96" s="194" t="str">
        <f>IF(Waste[[#This Row],[Month]]&lt;&gt;"",VLOOKUP(Waste[[#This Row],[Month]], dropdown!$S$4:$T$15, 2, FALSE),"")</f>
        <v/>
      </c>
      <c r="L96" s="57"/>
      <c r="M96" s="29"/>
      <c r="N96" s="57"/>
      <c r="O96" s="195"/>
    </row>
    <row r="97" spans="9:15" x14ac:dyDescent="0.2">
      <c r="I97" s="194" t="str">
        <f t="shared" si="2"/>
        <v/>
      </c>
      <c r="J97" s="58"/>
      <c r="K97" s="194" t="str">
        <f>IF(Waste[[#This Row],[Month]]&lt;&gt;"",VLOOKUP(Waste[[#This Row],[Month]], dropdown!$S$4:$T$15, 2, FALSE),"")</f>
        <v/>
      </c>
      <c r="L97" s="57"/>
      <c r="M97" s="29"/>
      <c r="N97" s="57"/>
      <c r="O97" s="195"/>
    </row>
    <row r="98" spans="9:15" x14ac:dyDescent="0.2">
      <c r="I98" s="194" t="str">
        <f t="shared" si="2"/>
        <v/>
      </c>
      <c r="J98" s="58"/>
      <c r="K98" s="194" t="str">
        <f>IF(Waste[[#This Row],[Month]]&lt;&gt;"",VLOOKUP(Waste[[#This Row],[Month]], dropdown!$S$4:$T$15, 2, FALSE),"")</f>
        <v/>
      </c>
      <c r="L98" s="57"/>
      <c r="M98" s="29"/>
      <c r="N98" s="57"/>
      <c r="O98" s="195"/>
    </row>
    <row r="99" spans="9:15" x14ac:dyDescent="0.2">
      <c r="I99" s="194" t="str">
        <f t="shared" si="2"/>
        <v/>
      </c>
      <c r="J99" s="58"/>
      <c r="K99" s="194" t="str">
        <f>IF(Waste[[#This Row],[Month]]&lt;&gt;"",VLOOKUP(Waste[[#This Row],[Month]], dropdown!$S$4:$T$15, 2, FALSE),"")</f>
        <v/>
      </c>
      <c r="L99" s="57"/>
      <c r="M99" s="29"/>
      <c r="N99" s="57"/>
      <c r="O99" s="195"/>
    </row>
    <row r="100" spans="9:15" x14ac:dyDescent="0.2">
      <c r="I100" s="194" t="str">
        <f t="shared" si="2"/>
        <v/>
      </c>
      <c r="J100" s="58"/>
      <c r="K100" s="194" t="str">
        <f>IF(Waste[[#This Row],[Month]]&lt;&gt;"",VLOOKUP(Waste[[#This Row],[Month]], dropdown!$S$4:$T$15, 2, FALSE),"")</f>
        <v/>
      </c>
      <c r="L100" s="57"/>
      <c r="M100" s="29"/>
      <c r="N100" s="57"/>
      <c r="O100" s="195"/>
    </row>
    <row r="101" spans="9:15" x14ac:dyDescent="0.2">
      <c r="I101" s="194" t="str">
        <f t="shared" si="2"/>
        <v/>
      </c>
      <c r="J101" s="58"/>
      <c r="K101" s="194" t="str">
        <f>IF(Waste[[#This Row],[Month]]&lt;&gt;"",VLOOKUP(Waste[[#This Row],[Month]], dropdown!$S$4:$T$15, 2, FALSE),"")</f>
        <v/>
      </c>
      <c r="L101" s="57"/>
      <c r="M101" s="29"/>
      <c r="N101" s="57"/>
      <c r="O101" s="195"/>
    </row>
    <row r="102" spans="9:15" x14ac:dyDescent="0.2">
      <c r="I102" s="194" t="str">
        <f t="shared" si="2"/>
        <v/>
      </c>
      <c r="J102" s="58"/>
      <c r="K102" s="194" t="str">
        <f>IF(Waste[[#This Row],[Month]]&lt;&gt;"",VLOOKUP(Waste[[#This Row],[Month]], dropdown!$S$4:$T$15, 2, FALSE),"")</f>
        <v/>
      </c>
      <c r="L102" s="57"/>
      <c r="M102" s="29"/>
      <c r="N102" s="57"/>
      <c r="O102" s="195"/>
    </row>
    <row r="103" spans="9:15" x14ac:dyDescent="0.2">
      <c r="I103" s="194" t="str">
        <f t="shared" si="2"/>
        <v/>
      </c>
      <c r="J103" s="58"/>
      <c r="K103" s="194" t="str">
        <f>IF(Waste[[#This Row],[Month]]&lt;&gt;"",VLOOKUP(Waste[[#This Row],[Month]], dropdown!$S$4:$T$15, 2, FALSE),"")</f>
        <v/>
      </c>
      <c r="L103" s="57"/>
      <c r="M103" s="29"/>
      <c r="N103" s="57"/>
      <c r="O103" s="195"/>
    </row>
    <row r="104" spans="9:15" x14ac:dyDescent="0.2">
      <c r="I104" s="431" t="str">
        <f t="shared" si="2"/>
        <v/>
      </c>
      <c r="J104" s="196"/>
      <c r="K104" s="194" t="str">
        <f>IF(Waste[[#This Row],[Month]]&lt;&gt;"",VLOOKUP(Waste[[#This Row],[Month]], dropdown!$S$4:$T$15, 2, FALSE),"")</f>
        <v/>
      </c>
      <c r="L104" s="345"/>
      <c r="M104" s="197"/>
      <c r="N104" s="345"/>
      <c r="O104" s="199"/>
    </row>
    <row r="106" spans="9:15" x14ac:dyDescent="0.2">
      <c r="I106" s="322" t="s">
        <v>178</v>
      </c>
    </row>
  </sheetData>
  <sheetProtection algorithmName="SHA-512" hashValue="tFEbAFFpSrWPs6HnVmvktzCSSYvYdZHcv36GUeY5nfJMR0GeGqPxD/uQQkIEo0PgYHNAxz0m3QgVar86wljiOQ==" saltValue="SrAHw1B+sc7CzmabFKoOIQ==" spinCount="100000" sheet="1" objects="1" scenarios="1" selectLockedCells="1"/>
  <protectedRanges>
    <protectedRange sqref="J7:J104 L7:L104 M7:M104 N7:O104" name="Range1"/>
  </protectedRanges>
  <mergeCells count="2">
    <mergeCell ref="C6:G6"/>
    <mergeCell ref="C7:G7"/>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40E11D05-27DC-0347-9B1C-E475F03A8C54}">
          <x14:formula1>
            <xm:f>dropdown!$S$4:$S$15</xm:f>
          </x14:formula1>
          <xm:sqref>J8:J104</xm:sqref>
        </x14:dataValidation>
        <x14:dataValidation type="list" allowBlank="1" showInputMessage="1" showErrorMessage="1" xr:uid="{5856050E-3DE3-2445-B059-D3013DFE24FC}">
          <x14:formula1>
            <xm:f>dropdown!$B$4:$B$9</xm:f>
          </x14:formula1>
          <xm:sqref>L8:L104</xm:sqref>
        </x14:dataValidation>
        <x14:dataValidation type="list" allowBlank="1" showInputMessage="1" showErrorMessage="1" xr:uid="{651CB0F0-3F28-CD48-8F08-2C709B6F2E73}">
          <x14:formula1>
            <xm:f>dropdown!$D$4:$D$10</xm:f>
          </x14:formula1>
          <xm:sqref>N8:N104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1774D-9269-0E4F-9FC7-B9E92EDEF4F6}">
  <sheetPr codeName="Sheet12">
    <tabColor theme="5"/>
  </sheetPr>
  <dimension ref="B6:Q30"/>
  <sheetViews>
    <sheetView topLeftCell="A8" zoomScale="88" zoomScaleNormal="100" workbookViewId="0">
      <selection activeCell="C8" sqref="B8:C8"/>
    </sheetView>
  </sheetViews>
  <sheetFormatPr baseColWidth="10" defaultColWidth="10.83203125" defaultRowHeight="19" x14ac:dyDescent="0.2"/>
  <cols>
    <col min="1" max="1" width="8" style="52" customWidth="1"/>
    <col min="2" max="2" width="18.1640625" style="53" customWidth="1"/>
    <col min="3" max="3" width="26.5" style="52" customWidth="1"/>
    <col min="4" max="4" width="5.33203125" style="52" customWidth="1"/>
    <col min="5" max="5" width="36.1640625" style="52" customWidth="1"/>
    <col min="6" max="6" width="12.6640625" style="69" customWidth="1"/>
    <col min="7" max="7" width="14.6640625" style="52" customWidth="1"/>
    <col min="8" max="8" width="1.6640625" style="52" customWidth="1"/>
    <col min="9" max="9" width="0.6640625" style="74" hidden="1" customWidth="1"/>
    <col min="10" max="10" width="17" style="52" customWidth="1"/>
    <col min="11" max="11" width="4.5" style="52" customWidth="1"/>
    <col min="12" max="12" width="32.1640625" style="52" customWidth="1"/>
    <col min="13" max="13" width="25.6640625" style="52" customWidth="1"/>
    <col min="14" max="14" width="15" style="52" customWidth="1"/>
    <col min="15" max="15" width="2.33203125" style="52" customWidth="1"/>
    <col min="16" max="16" width="12.83203125" style="52" hidden="1" customWidth="1"/>
    <col min="17" max="17" width="19.1640625" style="52" customWidth="1"/>
    <col min="18" max="16384" width="10.83203125" style="52"/>
  </cols>
  <sheetData>
    <row r="6" spans="2:17" ht="19" customHeight="1" x14ac:dyDescent="0.2">
      <c r="B6" s="70" t="s">
        <v>8</v>
      </c>
      <c r="C6" s="59" t="str">
        <f>'1. Data Info and Summary'!$D$2</f>
        <v>Zamboanga Branch</v>
      </c>
      <c r="E6" s="462" t="s">
        <v>284</v>
      </c>
      <c r="F6" s="462"/>
      <c r="G6" s="462"/>
      <c r="H6" s="462"/>
      <c r="I6" s="462"/>
      <c r="J6" s="462"/>
      <c r="K6" s="462"/>
      <c r="L6" s="462"/>
      <c r="M6" s="462"/>
      <c r="N6" s="462"/>
      <c r="O6" s="462"/>
      <c r="P6" s="462"/>
      <c r="Q6" s="462"/>
    </row>
    <row r="7" spans="2:17" ht="20" customHeight="1" x14ac:dyDescent="0.2">
      <c r="B7" s="70" t="s">
        <v>12</v>
      </c>
      <c r="C7" s="59">
        <f>'1. Data Info and Summary'!$D$3</f>
        <v>2024</v>
      </c>
      <c r="E7" s="462"/>
      <c r="F7" s="462"/>
      <c r="G7" s="462"/>
      <c r="H7" s="462"/>
      <c r="I7" s="462"/>
      <c r="J7" s="462"/>
      <c r="K7" s="462"/>
      <c r="L7" s="462"/>
      <c r="M7" s="462"/>
      <c r="N7" s="462"/>
      <c r="O7" s="462"/>
      <c r="P7" s="462"/>
      <c r="Q7" s="462"/>
    </row>
    <row r="8" spans="2:17" ht="20" customHeight="1" x14ac:dyDescent="0.2">
      <c r="B8" s="71"/>
    </row>
    <row r="9" spans="2:17" x14ac:dyDescent="0.2">
      <c r="C9" s="53"/>
      <c r="E9" s="464" t="s">
        <v>285</v>
      </c>
      <c r="F9" s="464"/>
      <c r="G9" s="464"/>
      <c r="H9" s="464"/>
      <c r="I9" s="464"/>
      <c r="J9" s="464"/>
      <c r="L9" s="464" t="s">
        <v>286</v>
      </c>
      <c r="M9" s="464"/>
      <c r="N9" s="464"/>
      <c r="O9" s="464"/>
      <c r="P9" s="464"/>
      <c r="Q9" s="464"/>
    </row>
    <row r="10" spans="2:17" ht="8" customHeight="1" x14ac:dyDescent="0.2">
      <c r="B10" s="71"/>
    </row>
    <row r="11" spans="2:17" x14ac:dyDescent="0.2">
      <c r="E11" s="463" t="s">
        <v>287</v>
      </c>
      <c r="F11" s="463"/>
      <c r="G11" s="463"/>
      <c r="H11" s="463"/>
      <c r="I11" s="463"/>
      <c r="J11" s="463"/>
      <c r="L11" s="463" t="s">
        <v>288</v>
      </c>
      <c r="M11" s="463"/>
      <c r="N11" s="463"/>
      <c r="O11" s="463"/>
      <c r="P11" s="463"/>
      <c r="Q11" s="463"/>
    </row>
    <row r="12" spans="2:17" x14ac:dyDescent="0.2">
      <c r="E12" s="72" t="str">
        <f>'1. Data Info and Summary'!$C17</f>
        <v>Fuel Type</v>
      </c>
      <c r="F12" s="75" t="s">
        <v>289</v>
      </c>
      <c r="G12" s="72" t="s">
        <v>51</v>
      </c>
      <c r="H12" s="77"/>
      <c r="I12" s="75" t="s">
        <v>290</v>
      </c>
      <c r="J12" s="75" t="s">
        <v>291</v>
      </c>
      <c r="L12" s="72" t="str">
        <f>'2.3a Electricity'!$B$11</f>
        <v>Electricity</v>
      </c>
      <c r="M12" s="79" t="s">
        <v>289</v>
      </c>
      <c r="N12" s="72" t="str">
        <f>'2.3a Electricity'!$C$11</f>
        <v>Unit</v>
      </c>
      <c r="O12" s="77"/>
      <c r="P12" s="75" t="s">
        <v>290</v>
      </c>
      <c r="Q12" s="72" t="s">
        <v>291</v>
      </c>
    </row>
    <row r="13" spans="2:17" x14ac:dyDescent="0.2">
      <c r="E13" s="73" t="str">
        <f>'1. Data Info and Summary'!$C18</f>
        <v>Diesel - Standby generator sets</v>
      </c>
      <c r="F13" s="78">
        <f>'1. Data Info and Summary'!$E18</f>
        <v>203.7</v>
      </c>
      <c r="G13" s="73" t="str">
        <f>'1. Data Info and Summary'!$D18</f>
        <v>Liters</v>
      </c>
      <c r="I13" s="76">
        <f>VLOOKUP($E13,Emission_Factors!$A$1:$G$20,5,FALSE)</f>
        <v>2.68</v>
      </c>
      <c r="J13" s="141">
        <f>F13*I13</f>
        <v>545.91600000000005</v>
      </c>
      <c r="L13" s="73" t="s">
        <v>155</v>
      </c>
      <c r="M13" s="78">
        <f>SUM('2.3a Electricity'!$D$12:$G$12)</f>
        <v>327740</v>
      </c>
      <c r="N13" s="73" t="str">
        <f>'2.3a Electricity'!$C$12</f>
        <v>Kilowatt-hour</v>
      </c>
      <c r="P13" s="76">
        <f>VLOOKUP($L13,Emission_Factors!$A$1:$G$20,5,FALSE)</f>
        <v>0.56000000000000005</v>
      </c>
      <c r="Q13" s="141">
        <f>M13*P13</f>
        <v>183534.40000000002</v>
      </c>
    </row>
    <row r="14" spans="2:17" x14ac:dyDescent="0.2">
      <c r="E14" s="73" t="str">
        <f>'1. Data Info and Summary'!$C19</f>
        <v>Diesel - Others</v>
      </c>
      <c r="F14" s="78">
        <f>'1. Data Info and Summary'!$E19</f>
        <v>0</v>
      </c>
      <c r="G14" s="73" t="str">
        <f>'1. Data Info and Summary'!$D19</f>
        <v>Liters</v>
      </c>
      <c r="I14" s="76">
        <f>VLOOKUP($E14,Emission_Factors!$A$1:$G$20,5,FALSE)</f>
        <v>2.68</v>
      </c>
      <c r="J14" s="141">
        <f t="shared" ref="J14:J17" si="0">F14*I14</f>
        <v>0</v>
      </c>
    </row>
    <row r="15" spans="2:17" x14ac:dyDescent="0.2">
      <c r="E15" s="73" t="str">
        <f>'1. Data Info and Summary'!$C20</f>
        <v>Gasoline - Others</v>
      </c>
      <c r="F15" s="78">
        <f>'1. Data Info and Summary'!$E20</f>
        <v>0</v>
      </c>
      <c r="G15" s="73" t="str">
        <f>'1. Data Info and Summary'!$D20</f>
        <v>Liters</v>
      </c>
      <c r="I15" s="76">
        <f>VLOOKUP($E15,Emission_Factors!$A$1:$G$20,5,FALSE)</f>
        <v>2.3199999999999998</v>
      </c>
      <c r="J15" s="141">
        <f t="shared" si="0"/>
        <v>0</v>
      </c>
    </row>
    <row r="16" spans="2:17" x14ac:dyDescent="0.2">
      <c r="E16" s="73" t="str">
        <f>'1. Data Info and Summary'!$C21</f>
        <v>LPG - Heating and cooking</v>
      </c>
      <c r="F16" s="78">
        <f>'1. Data Info and Summary'!$E21</f>
        <v>0</v>
      </c>
      <c r="G16" s="73" t="str">
        <f>'1. Data Info and Summary'!$D21</f>
        <v>Kilograms</v>
      </c>
      <c r="I16" s="76">
        <f>VLOOKUP($E16,Emission_Factors!$A$1:$G$20,5,FALSE)</f>
        <v>1.51</v>
      </c>
      <c r="J16" s="141">
        <f t="shared" si="0"/>
        <v>0</v>
      </c>
    </row>
    <row r="17" spans="5:10" x14ac:dyDescent="0.2">
      <c r="E17" s="73" t="str">
        <f>'1. Data Info and Summary'!$C22</f>
        <v>Compressed natural gas</v>
      </c>
      <c r="F17" s="78">
        <f>'1. Data Info and Summary'!$E22</f>
        <v>0</v>
      </c>
      <c r="G17" s="73" t="str">
        <f>'1. Data Info and Summary'!$D22</f>
        <v>Cubic meters</v>
      </c>
      <c r="I17" s="76">
        <f>VLOOKUP($E17,Emission_Factors!$A$1:$G$20,5,FALSE)</f>
        <v>1.9</v>
      </c>
      <c r="J17" s="141">
        <f t="shared" si="0"/>
        <v>0</v>
      </c>
    </row>
    <row r="18" spans="5:10" x14ac:dyDescent="0.2">
      <c r="E18" s="147" t="s">
        <v>292</v>
      </c>
      <c r="F18" s="78"/>
      <c r="G18" s="73"/>
      <c r="I18" s="76"/>
      <c r="J18" s="148">
        <f>SUM(J13:J17)</f>
        <v>545.91600000000005</v>
      </c>
    </row>
    <row r="20" spans="5:10" x14ac:dyDescent="0.2">
      <c r="E20" s="463" t="s">
        <v>293</v>
      </c>
      <c r="F20" s="463"/>
      <c r="G20" s="463"/>
      <c r="H20" s="463"/>
      <c r="I20" s="463"/>
      <c r="J20" s="463"/>
    </row>
    <row r="21" spans="5:10" x14ac:dyDescent="0.2">
      <c r="E21" s="72" t="str">
        <f>'1. Data Info and Summary'!$C25</f>
        <v>Fuel Type</v>
      </c>
      <c r="F21" s="72" t="s">
        <v>289</v>
      </c>
      <c r="G21" s="72" t="s">
        <v>51</v>
      </c>
      <c r="H21" s="77"/>
      <c r="I21" s="75" t="s">
        <v>290</v>
      </c>
      <c r="J21" s="75" t="s">
        <v>291</v>
      </c>
    </row>
    <row r="22" spans="5:10" x14ac:dyDescent="0.2">
      <c r="E22" s="73" t="str">
        <f>'1. Data Info and Summary'!$C26</f>
        <v>Diesel - Transport vehicles</v>
      </c>
      <c r="F22" s="78">
        <f>'1. Data Info and Summary'!$E26</f>
        <v>2738.5499999999997</v>
      </c>
      <c r="G22" s="73" t="str">
        <f>'1. Data Info and Summary'!$D26</f>
        <v>Liters</v>
      </c>
      <c r="I22" s="76">
        <f>VLOOKUP($E22,Emission_Factors!$A$1:$G$20,5,FALSE)</f>
        <v>2.68</v>
      </c>
      <c r="J22" s="141">
        <f>F22*I22</f>
        <v>7339.3139999999994</v>
      </c>
    </row>
    <row r="23" spans="5:10" x14ac:dyDescent="0.2">
      <c r="E23" s="73" t="str">
        <f>'1. Data Info and Summary'!$C27</f>
        <v>Gasoline - Transport vehicles</v>
      </c>
      <c r="F23" s="78">
        <f>'1. Data Info and Summary'!$E27</f>
        <v>0</v>
      </c>
      <c r="G23" s="73" t="str">
        <f>'1. Data Info and Summary'!$D27</f>
        <v>Liters</v>
      </c>
      <c r="I23" s="76">
        <f>VLOOKUP($E23,Emission_Factors!$A$1:$G$20,5,FALSE)</f>
        <v>2.3199999999999998</v>
      </c>
      <c r="J23" s="141">
        <f t="shared" ref="J23" si="1">F23*I23</f>
        <v>0</v>
      </c>
    </row>
    <row r="24" spans="5:10" x14ac:dyDescent="0.2">
      <c r="E24" s="147" t="s">
        <v>292</v>
      </c>
      <c r="F24" s="78"/>
      <c r="G24" s="73"/>
      <c r="I24" s="76"/>
      <c r="J24" s="148">
        <f>SUM(J22:J23)</f>
        <v>7339.3139999999994</v>
      </c>
    </row>
    <row r="26" spans="5:10" x14ac:dyDescent="0.2">
      <c r="F26" s="52"/>
      <c r="I26" s="52"/>
    </row>
    <row r="27" spans="5:10" x14ac:dyDescent="0.2">
      <c r="F27" s="52"/>
      <c r="I27" s="52"/>
    </row>
    <row r="28" spans="5:10" x14ac:dyDescent="0.2">
      <c r="F28" s="52"/>
      <c r="I28" s="52"/>
    </row>
    <row r="29" spans="5:10" x14ac:dyDescent="0.2">
      <c r="F29" s="52"/>
      <c r="I29" s="52"/>
    </row>
    <row r="30" spans="5:10" x14ac:dyDescent="0.2">
      <c r="F30" s="52"/>
      <c r="I30" s="52"/>
    </row>
  </sheetData>
  <mergeCells count="6">
    <mergeCell ref="E6:Q7"/>
    <mergeCell ref="E11:J11"/>
    <mergeCell ref="E9:J9"/>
    <mergeCell ref="E20:J20"/>
    <mergeCell ref="L11:Q11"/>
    <mergeCell ref="L9:Q9"/>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5C5B7-EC8A-8B45-9723-C0724A256D10}">
  <sheetPr codeName="Sheet3">
    <tabColor theme="3" tint="-0.249977111117893"/>
  </sheetPr>
  <dimension ref="A1:U166"/>
  <sheetViews>
    <sheetView showGridLines="0" topLeftCell="E1" workbookViewId="0">
      <selection activeCell="E10" sqref="E10"/>
    </sheetView>
  </sheetViews>
  <sheetFormatPr baseColWidth="10" defaultColWidth="11.5" defaultRowHeight="15" outlineLevelRow="1" x14ac:dyDescent="0.2"/>
  <cols>
    <col min="1" max="1" width="24" bestFit="1" customWidth="1"/>
    <col min="2" max="2" width="14.83203125" bestFit="1" customWidth="1"/>
    <col min="3" max="4" width="6.6640625" bestFit="1" customWidth="1"/>
    <col min="5" max="5" width="7.6640625" bestFit="1" customWidth="1"/>
    <col min="6" max="6" width="6.6640625" bestFit="1" customWidth="1"/>
    <col min="7" max="7" width="10" bestFit="1" customWidth="1"/>
    <col min="8" max="8" width="11.33203125" bestFit="1" customWidth="1"/>
  </cols>
  <sheetData>
    <row r="1" spans="1:17" ht="19" x14ac:dyDescent="0.25">
      <c r="A1" s="256" t="s">
        <v>152</v>
      </c>
      <c r="B1" s="202"/>
      <c r="C1" s="202"/>
      <c r="D1" s="202"/>
      <c r="E1" s="202"/>
      <c r="F1" s="202"/>
      <c r="G1" s="20"/>
      <c r="H1" s="12"/>
      <c r="I1" s="20"/>
      <c r="J1" s="20"/>
      <c r="K1" s="20"/>
      <c r="L1" s="20"/>
      <c r="M1" s="21"/>
      <c r="N1" s="21"/>
      <c r="O1" s="22"/>
      <c r="P1" s="11"/>
      <c r="Q1" s="20"/>
    </row>
    <row r="2" spans="1:17" outlineLevel="1" x14ac:dyDescent="0.2">
      <c r="A2" s="11"/>
      <c r="B2" s="11"/>
      <c r="C2" s="11"/>
      <c r="D2" s="11"/>
      <c r="E2" s="11"/>
      <c r="F2" s="11"/>
      <c r="G2" s="20"/>
      <c r="H2" s="12"/>
      <c r="I2" s="20"/>
      <c r="J2" s="20"/>
      <c r="K2" s="20"/>
      <c r="L2" s="20"/>
      <c r="M2" s="21"/>
      <c r="N2" s="21"/>
      <c r="O2" s="22"/>
      <c r="P2" s="11"/>
      <c r="Q2" s="20"/>
    </row>
    <row r="3" spans="1:17" outlineLevel="1" x14ac:dyDescent="0.2">
      <c r="C3" s="11"/>
      <c r="D3" s="11"/>
      <c r="E3" s="11"/>
      <c r="F3" s="11"/>
      <c r="G3" s="20"/>
      <c r="H3" s="12"/>
      <c r="I3" s="20"/>
      <c r="J3" s="20"/>
      <c r="K3" s="20"/>
      <c r="L3" s="20"/>
      <c r="M3" s="21"/>
      <c r="N3" s="21"/>
      <c r="O3" s="22"/>
      <c r="P3" s="11"/>
      <c r="Q3" s="20"/>
    </row>
    <row r="4" spans="1:17" outlineLevel="1" x14ac:dyDescent="0.2">
      <c r="A4" s="200" t="s">
        <v>39</v>
      </c>
      <c r="B4" t="s">
        <v>294</v>
      </c>
      <c r="C4" s="11"/>
      <c r="D4" s="11"/>
      <c r="E4" s="11"/>
      <c r="F4" s="11"/>
      <c r="G4" s="20"/>
      <c r="H4" s="12"/>
      <c r="I4" s="20"/>
      <c r="J4" s="20"/>
      <c r="K4" s="20"/>
      <c r="L4" s="20"/>
      <c r="M4" s="21"/>
      <c r="N4" s="21"/>
      <c r="O4" s="22"/>
      <c r="P4" s="11"/>
      <c r="Q4" s="20"/>
    </row>
    <row r="5" spans="1:17" outlineLevel="1" x14ac:dyDescent="0.2">
      <c r="A5" s="11"/>
      <c r="B5" s="11"/>
      <c r="C5" s="11"/>
      <c r="D5" s="11"/>
      <c r="E5" s="11"/>
      <c r="F5" s="11"/>
      <c r="G5" s="20"/>
      <c r="H5" s="12"/>
      <c r="I5" s="20"/>
      <c r="J5" s="20"/>
      <c r="K5" s="20"/>
      <c r="L5" s="20"/>
      <c r="M5" s="21"/>
      <c r="N5" s="21"/>
      <c r="O5" s="22"/>
      <c r="P5" s="11"/>
      <c r="Q5" s="20"/>
    </row>
    <row r="6" spans="1:17" outlineLevel="1" x14ac:dyDescent="0.2">
      <c r="A6" s="200" t="s">
        <v>295</v>
      </c>
      <c r="B6" s="200" t="s">
        <v>43</v>
      </c>
      <c r="G6" s="20"/>
      <c r="H6" s="12"/>
      <c r="I6" s="20"/>
      <c r="J6" s="20"/>
      <c r="K6" s="20"/>
      <c r="L6" s="20"/>
      <c r="M6" s="21"/>
      <c r="N6" s="21"/>
      <c r="O6" s="22"/>
      <c r="P6" s="11"/>
      <c r="Q6" s="20"/>
    </row>
    <row r="7" spans="1:17" outlineLevel="1" x14ac:dyDescent="0.2">
      <c r="A7" s="200" t="s">
        <v>296</v>
      </c>
      <c r="B7" t="s">
        <v>150</v>
      </c>
      <c r="C7" t="s">
        <v>151</v>
      </c>
      <c r="D7" t="s">
        <v>297</v>
      </c>
      <c r="G7" s="20"/>
      <c r="H7" s="12"/>
      <c r="I7" s="20"/>
      <c r="J7" s="20"/>
      <c r="K7" s="20"/>
      <c r="L7" s="20"/>
      <c r="M7" s="21"/>
      <c r="N7" s="21"/>
      <c r="O7" s="22"/>
      <c r="P7" s="11"/>
      <c r="Q7" s="20"/>
    </row>
    <row r="8" spans="1:17" outlineLevel="1" x14ac:dyDescent="0.2">
      <c r="A8" s="19" t="s">
        <v>298</v>
      </c>
      <c r="B8" s="337"/>
      <c r="C8" s="337"/>
      <c r="D8" s="337"/>
      <c r="G8" s="20"/>
      <c r="H8" s="12"/>
      <c r="I8" s="20"/>
      <c r="J8" s="20"/>
      <c r="K8" s="20"/>
      <c r="L8" s="20"/>
      <c r="M8" s="21"/>
      <c r="N8" s="21"/>
      <c r="O8" s="22"/>
      <c r="P8" s="11"/>
      <c r="Q8" s="20"/>
    </row>
    <row r="9" spans="1:17" outlineLevel="1" x14ac:dyDescent="0.2">
      <c r="A9" s="19" t="s">
        <v>37</v>
      </c>
      <c r="B9" s="337"/>
      <c r="C9" s="337">
        <v>100</v>
      </c>
      <c r="D9" s="337">
        <v>100</v>
      </c>
      <c r="G9" s="20"/>
      <c r="H9" s="12"/>
      <c r="I9" s="20"/>
      <c r="J9" s="20"/>
      <c r="K9" s="20"/>
      <c r="L9" s="20"/>
      <c r="M9" s="21"/>
      <c r="N9" s="21"/>
      <c r="O9" s="22"/>
      <c r="P9" s="11"/>
      <c r="Q9" s="20"/>
    </row>
    <row r="10" spans="1:17" outlineLevel="1" x14ac:dyDescent="0.2">
      <c r="A10" s="19" t="s">
        <v>297</v>
      </c>
      <c r="B10" s="337"/>
      <c r="C10" s="337">
        <v>100</v>
      </c>
      <c r="D10" s="337">
        <v>100</v>
      </c>
      <c r="G10" s="20"/>
      <c r="H10" s="12"/>
      <c r="I10" s="20"/>
      <c r="J10" s="20"/>
      <c r="K10" s="20"/>
      <c r="L10" s="20"/>
      <c r="M10" s="21"/>
      <c r="N10" s="21"/>
      <c r="O10" s="22"/>
      <c r="P10" s="11"/>
      <c r="Q10" s="20"/>
    </row>
    <row r="11" spans="1:17" outlineLevel="1" x14ac:dyDescent="0.2">
      <c r="G11" s="20"/>
      <c r="H11" s="12"/>
      <c r="I11" s="20"/>
      <c r="J11" s="20"/>
      <c r="K11" s="20"/>
      <c r="L11" s="20"/>
      <c r="M11" s="21"/>
      <c r="N11" s="21"/>
      <c r="O11" s="22"/>
      <c r="P11" s="11"/>
      <c r="Q11" s="20"/>
    </row>
    <row r="12" spans="1:17" outlineLevel="1" x14ac:dyDescent="0.2">
      <c r="G12" s="20"/>
      <c r="H12" s="12"/>
      <c r="I12" s="20"/>
      <c r="J12" s="20"/>
      <c r="K12" s="20"/>
      <c r="L12" s="20"/>
      <c r="M12" s="21"/>
      <c r="N12" s="21"/>
      <c r="O12" s="22"/>
      <c r="P12" s="11"/>
      <c r="Q12" s="20"/>
    </row>
    <row r="13" spans="1:17" outlineLevel="1" x14ac:dyDescent="0.2">
      <c r="G13" s="20"/>
      <c r="H13" s="12"/>
      <c r="I13" s="20"/>
      <c r="J13" s="20"/>
      <c r="K13" s="20"/>
      <c r="L13" s="20"/>
      <c r="M13" s="21"/>
      <c r="N13" s="21"/>
      <c r="O13" s="22"/>
      <c r="P13" s="11"/>
      <c r="Q13" s="20"/>
    </row>
    <row r="14" spans="1:17" outlineLevel="1" x14ac:dyDescent="0.2">
      <c r="G14" s="20"/>
      <c r="H14" s="12"/>
      <c r="I14" s="20"/>
      <c r="J14" s="20"/>
      <c r="K14" s="20"/>
      <c r="L14" s="20"/>
      <c r="M14" s="21"/>
      <c r="N14" s="21"/>
      <c r="O14" s="22"/>
      <c r="P14" s="11"/>
      <c r="Q14" s="20"/>
    </row>
    <row r="15" spans="1:17" outlineLevel="1" x14ac:dyDescent="0.2">
      <c r="D15" s="11"/>
      <c r="E15" s="11"/>
      <c r="F15" s="11"/>
      <c r="G15" s="20"/>
      <c r="H15" s="12"/>
      <c r="I15" s="20"/>
      <c r="J15" s="20"/>
      <c r="K15" s="20"/>
      <c r="L15" s="20"/>
      <c r="M15" s="21"/>
      <c r="N15" s="21"/>
      <c r="O15" s="22"/>
      <c r="P15" s="11"/>
      <c r="Q15" s="20"/>
    </row>
    <row r="16" spans="1:17" outlineLevel="1" x14ac:dyDescent="0.2">
      <c r="D16" s="11"/>
      <c r="E16" s="11"/>
      <c r="F16" s="11"/>
      <c r="G16" s="20"/>
      <c r="H16" s="12"/>
      <c r="I16" s="20"/>
      <c r="J16" s="20"/>
      <c r="K16" s="20"/>
      <c r="L16" s="20"/>
      <c r="M16" s="21"/>
      <c r="N16" s="21"/>
      <c r="O16" s="22"/>
      <c r="P16" s="11"/>
      <c r="Q16" s="20"/>
    </row>
    <row r="17" spans="1:19" outlineLevel="1" x14ac:dyDescent="0.2">
      <c r="D17" s="11"/>
      <c r="E17" s="11"/>
      <c r="F17" s="11"/>
      <c r="G17" s="20"/>
      <c r="H17" s="12"/>
      <c r="I17" s="20"/>
      <c r="J17" s="20"/>
      <c r="K17" s="20"/>
      <c r="L17" s="20"/>
      <c r="M17" s="21"/>
      <c r="N17" s="21"/>
      <c r="O17" s="22"/>
      <c r="P17" s="11"/>
      <c r="Q17" s="20"/>
    </row>
    <row r="18" spans="1:19" outlineLevel="1" x14ac:dyDescent="0.2">
      <c r="D18" s="11"/>
      <c r="E18" s="11"/>
      <c r="F18" s="11"/>
      <c r="G18" s="20"/>
      <c r="H18" s="12"/>
      <c r="I18" s="20"/>
      <c r="J18" s="20"/>
      <c r="K18" s="20"/>
      <c r="L18" s="20"/>
      <c r="M18" s="21"/>
      <c r="N18" s="21"/>
      <c r="O18" s="22"/>
      <c r="P18" s="11"/>
      <c r="Q18" s="20"/>
    </row>
    <row r="19" spans="1:19" outlineLevel="1" x14ac:dyDescent="0.2">
      <c r="D19" s="11"/>
      <c r="E19" s="11"/>
      <c r="F19" s="11"/>
      <c r="G19" s="20"/>
      <c r="H19" s="12"/>
      <c r="I19" s="20"/>
      <c r="J19" s="20"/>
      <c r="K19" s="20"/>
      <c r="L19" s="20"/>
      <c r="M19" s="21"/>
      <c r="N19" s="21"/>
      <c r="O19" s="22"/>
      <c r="P19" s="11"/>
      <c r="Q19" s="20"/>
    </row>
    <row r="20" spans="1:19" outlineLevel="1" x14ac:dyDescent="0.2">
      <c r="D20" s="11"/>
      <c r="E20" s="11"/>
      <c r="F20" s="11"/>
      <c r="G20" s="20"/>
      <c r="H20" s="12"/>
      <c r="I20" s="20"/>
      <c r="J20" s="20"/>
      <c r="K20" s="20"/>
      <c r="L20" s="20"/>
      <c r="M20" s="21"/>
      <c r="N20" s="21"/>
      <c r="O20" s="22"/>
      <c r="P20" s="11"/>
      <c r="Q20" s="20"/>
    </row>
    <row r="21" spans="1:19" outlineLevel="1" x14ac:dyDescent="0.2">
      <c r="D21" s="11"/>
      <c r="E21" s="11"/>
      <c r="F21" s="11"/>
      <c r="G21" s="20"/>
      <c r="H21" s="12"/>
      <c r="I21" s="20"/>
      <c r="J21" s="20"/>
      <c r="K21" s="20"/>
      <c r="L21" s="20"/>
      <c r="M21" s="21"/>
      <c r="N21" s="21"/>
      <c r="O21" s="22"/>
      <c r="P21" s="11"/>
      <c r="Q21" s="20"/>
    </row>
    <row r="25" spans="1:19" ht="19" x14ac:dyDescent="0.25">
      <c r="A25" s="256" t="s">
        <v>153</v>
      </c>
      <c r="B25" s="202"/>
      <c r="C25" s="202"/>
      <c r="D25" s="202"/>
      <c r="E25" s="202"/>
      <c r="F25" s="202"/>
    </row>
    <row r="26" spans="1:19" outlineLevel="1" x14ac:dyDescent="0.2"/>
    <row r="27" spans="1:19" outlineLevel="1" x14ac:dyDescent="0.2">
      <c r="A27" s="200" t="s">
        <v>39</v>
      </c>
      <c r="B27" t="s">
        <v>294</v>
      </c>
      <c r="C27" s="11"/>
      <c r="D27" s="11"/>
      <c r="E27" s="11"/>
      <c r="F27" s="11"/>
      <c r="G27" s="20"/>
      <c r="H27" s="12"/>
      <c r="I27" s="20"/>
      <c r="J27" s="20"/>
      <c r="K27" s="21"/>
      <c r="L27" s="21"/>
      <c r="M27" s="22"/>
      <c r="N27" s="22"/>
      <c r="O27" s="11"/>
      <c r="P27" s="22"/>
      <c r="Q27" s="20"/>
      <c r="R27" s="20"/>
      <c r="S27" s="44"/>
    </row>
    <row r="28" spans="1:19" outlineLevel="1" x14ac:dyDescent="0.2">
      <c r="A28" s="11"/>
      <c r="B28" s="11"/>
      <c r="C28" s="11"/>
      <c r="D28" s="11"/>
      <c r="E28" s="11"/>
      <c r="F28" s="11"/>
      <c r="G28" s="20"/>
      <c r="H28" s="12"/>
      <c r="I28" s="20"/>
      <c r="J28" s="20"/>
      <c r="K28" s="21"/>
      <c r="L28" s="21"/>
      <c r="M28" s="22"/>
      <c r="N28" s="22"/>
      <c r="O28" s="11"/>
      <c r="P28" s="22"/>
      <c r="Q28" s="20"/>
      <c r="R28" s="20"/>
      <c r="S28" s="44"/>
    </row>
    <row r="29" spans="1:19" outlineLevel="1" x14ac:dyDescent="0.2">
      <c r="A29" s="200" t="s">
        <v>295</v>
      </c>
      <c r="B29" s="200" t="s">
        <v>299</v>
      </c>
      <c r="I29" s="20"/>
      <c r="J29" s="20"/>
      <c r="K29" s="21"/>
      <c r="L29" s="21"/>
      <c r="M29" s="22"/>
      <c r="N29" s="22"/>
      <c r="O29" s="11"/>
      <c r="P29" s="22"/>
      <c r="Q29" s="20"/>
      <c r="R29" s="20"/>
      <c r="S29" s="44"/>
    </row>
    <row r="30" spans="1:19" outlineLevel="1" x14ac:dyDescent="0.2">
      <c r="A30" s="200" t="s">
        <v>296</v>
      </c>
      <c r="C30" t="s">
        <v>45</v>
      </c>
      <c r="D30" t="s">
        <v>151</v>
      </c>
      <c r="E30" t="s">
        <v>149</v>
      </c>
      <c r="F30" t="s">
        <v>150</v>
      </c>
      <c r="G30" t="s">
        <v>297</v>
      </c>
      <c r="I30" s="20"/>
      <c r="J30" s="20"/>
      <c r="K30" s="21"/>
      <c r="L30" s="21"/>
      <c r="M30" s="22"/>
      <c r="N30" s="22"/>
      <c r="O30" s="11"/>
      <c r="P30" s="22"/>
      <c r="Q30" s="20"/>
      <c r="R30" s="20"/>
      <c r="S30" s="44"/>
    </row>
    <row r="31" spans="1:19" outlineLevel="1" x14ac:dyDescent="0.2">
      <c r="A31" s="19" t="s">
        <v>300</v>
      </c>
      <c r="B31" s="337"/>
      <c r="C31" s="337">
        <v>114.92000000000002</v>
      </c>
      <c r="D31" s="337">
        <v>28.01</v>
      </c>
      <c r="E31" s="337">
        <v>349.46</v>
      </c>
      <c r="F31" s="337">
        <v>134.29999999999998</v>
      </c>
      <c r="G31" s="337">
        <v>626.68999999999994</v>
      </c>
      <c r="I31" s="20"/>
      <c r="J31" s="20"/>
      <c r="K31" s="21"/>
      <c r="L31" s="21"/>
      <c r="M31" s="22"/>
      <c r="N31" s="22"/>
      <c r="O31" s="11"/>
      <c r="P31" s="22"/>
      <c r="Q31" s="20"/>
      <c r="R31" s="20"/>
      <c r="S31" s="44"/>
    </row>
    <row r="32" spans="1:19" outlineLevel="1" x14ac:dyDescent="0.2">
      <c r="A32" s="203" t="s">
        <v>63</v>
      </c>
      <c r="B32" s="337"/>
      <c r="C32" s="337">
        <v>114.92000000000002</v>
      </c>
      <c r="D32" s="337">
        <v>28.01</v>
      </c>
      <c r="E32" s="337">
        <v>349.46</v>
      </c>
      <c r="F32" s="337">
        <v>134.29999999999998</v>
      </c>
      <c r="G32" s="337">
        <v>626.68999999999994</v>
      </c>
      <c r="I32" s="20"/>
      <c r="J32" s="20"/>
      <c r="K32" s="21"/>
      <c r="L32" s="21"/>
      <c r="M32" s="22"/>
      <c r="N32" s="22"/>
      <c r="O32" s="11"/>
      <c r="P32" s="22"/>
      <c r="Q32" s="20"/>
      <c r="R32" s="20"/>
      <c r="S32" s="44"/>
    </row>
    <row r="33" spans="1:19" outlineLevel="1" x14ac:dyDescent="0.2">
      <c r="A33" s="203" t="s">
        <v>300</v>
      </c>
      <c r="B33" s="337"/>
      <c r="C33" s="337"/>
      <c r="D33" s="337"/>
      <c r="E33" s="337"/>
      <c r="F33" s="337"/>
      <c r="G33" s="337"/>
      <c r="I33" s="20"/>
      <c r="J33" s="20"/>
      <c r="K33" s="21"/>
      <c r="L33" s="21"/>
      <c r="M33" s="22"/>
      <c r="N33" s="22"/>
      <c r="O33" s="11"/>
      <c r="P33" s="22"/>
      <c r="Q33" s="20"/>
      <c r="R33" s="20"/>
      <c r="S33" s="44"/>
    </row>
    <row r="34" spans="1:19" outlineLevel="1" x14ac:dyDescent="0.2">
      <c r="A34" s="19" t="s">
        <v>343</v>
      </c>
      <c r="B34" s="337"/>
      <c r="C34" s="337">
        <v>26.88</v>
      </c>
      <c r="D34" s="337"/>
      <c r="E34" s="337"/>
      <c r="F34" s="337"/>
      <c r="G34" s="337">
        <v>26.88</v>
      </c>
      <c r="I34" s="20"/>
      <c r="J34" s="20"/>
      <c r="K34" s="21"/>
      <c r="L34" s="21"/>
      <c r="M34" s="22"/>
      <c r="N34" s="22"/>
      <c r="O34" s="11"/>
      <c r="P34" s="22"/>
      <c r="Q34" s="20"/>
      <c r="R34" s="20"/>
      <c r="S34" s="44"/>
    </row>
    <row r="35" spans="1:19" outlineLevel="1" x14ac:dyDescent="0.2">
      <c r="A35" s="203" t="s">
        <v>63</v>
      </c>
      <c r="B35" s="337"/>
      <c r="C35" s="337">
        <v>26.88</v>
      </c>
      <c r="D35" s="337"/>
      <c r="E35" s="337"/>
      <c r="F35" s="337"/>
      <c r="G35" s="337">
        <v>26.88</v>
      </c>
      <c r="I35" s="20"/>
      <c r="J35" s="20"/>
      <c r="K35" s="21"/>
      <c r="L35" s="21"/>
      <c r="M35" s="22"/>
      <c r="N35" s="22"/>
      <c r="O35" s="11"/>
      <c r="P35" s="22"/>
      <c r="Q35" s="20"/>
      <c r="R35" s="20"/>
      <c r="S35" s="44"/>
    </row>
    <row r="36" spans="1:19" outlineLevel="1" x14ac:dyDescent="0.2">
      <c r="A36" s="19" t="s">
        <v>365</v>
      </c>
      <c r="B36" s="337"/>
      <c r="C36" s="337">
        <v>185.96</v>
      </c>
      <c r="D36" s="337">
        <v>160.93999999999997</v>
      </c>
      <c r="E36" s="337">
        <v>591.62999999999988</v>
      </c>
      <c r="F36" s="337">
        <v>175.69</v>
      </c>
      <c r="G36" s="337">
        <v>1114.2199999999998</v>
      </c>
      <c r="H36" s="12"/>
      <c r="I36" s="20"/>
      <c r="J36" s="20"/>
      <c r="K36" s="21"/>
      <c r="L36" s="21"/>
      <c r="M36" s="22"/>
      <c r="N36" s="22"/>
      <c r="O36" s="11"/>
      <c r="P36" s="22"/>
      <c r="Q36" s="20"/>
      <c r="R36" s="20"/>
      <c r="S36" s="44"/>
    </row>
    <row r="37" spans="1:19" outlineLevel="1" x14ac:dyDescent="0.2">
      <c r="A37" s="203" t="s">
        <v>63</v>
      </c>
      <c r="B37" s="337"/>
      <c r="C37" s="337">
        <v>185.96</v>
      </c>
      <c r="D37" s="337">
        <v>160.93999999999997</v>
      </c>
      <c r="E37" s="337">
        <v>591.62999999999988</v>
      </c>
      <c r="F37" s="337">
        <v>175.69</v>
      </c>
      <c r="G37" s="337">
        <v>1114.2199999999998</v>
      </c>
      <c r="H37" s="12"/>
      <c r="I37" s="20"/>
      <c r="J37" s="20"/>
      <c r="K37" s="21"/>
      <c r="L37" s="21"/>
      <c r="M37" s="22"/>
      <c r="N37" s="22"/>
      <c r="O37" s="11"/>
      <c r="P37" s="22"/>
      <c r="Q37" s="20"/>
      <c r="R37" s="20"/>
      <c r="S37" s="44"/>
    </row>
    <row r="38" spans="1:19" outlineLevel="1" x14ac:dyDescent="0.2">
      <c r="A38" s="19" t="s">
        <v>381</v>
      </c>
      <c r="B38" s="337"/>
      <c r="C38" s="337">
        <v>101.28</v>
      </c>
      <c r="D38" s="337">
        <v>326.7</v>
      </c>
      <c r="E38" s="337">
        <v>329.07</v>
      </c>
      <c r="F38" s="337">
        <v>213.71000000000004</v>
      </c>
      <c r="G38" s="337">
        <v>970.76</v>
      </c>
      <c r="H38" s="12"/>
      <c r="I38" s="20"/>
      <c r="J38" s="20"/>
      <c r="K38" s="21"/>
      <c r="L38" s="21"/>
      <c r="M38" s="22"/>
      <c r="N38" s="22"/>
      <c r="O38" s="11"/>
      <c r="P38" s="22"/>
      <c r="Q38" s="20"/>
      <c r="R38" s="20"/>
      <c r="S38" s="44"/>
    </row>
    <row r="39" spans="1:19" outlineLevel="1" x14ac:dyDescent="0.2">
      <c r="A39" s="203" t="s">
        <v>63</v>
      </c>
      <c r="B39" s="337"/>
      <c r="C39" s="337">
        <v>101.28</v>
      </c>
      <c r="D39" s="337">
        <v>326.7</v>
      </c>
      <c r="E39" s="337">
        <v>329.07</v>
      </c>
      <c r="F39" s="337">
        <v>213.71000000000004</v>
      </c>
      <c r="G39" s="337">
        <v>970.76</v>
      </c>
      <c r="H39" s="12"/>
      <c r="I39" s="20"/>
      <c r="J39" s="20"/>
      <c r="K39" s="21"/>
      <c r="L39" s="21"/>
      <c r="M39" s="22"/>
      <c r="N39" s="22"/>
      <c r="O39" s="11"/>
      <c r="P39" s="22"/>
      <c r="Q39" s="20"/>
      <c r="R39" s="20"/>
      <c r="S39" s="44"/>
    </row>
    <row r="40" spans="1:19" outlineLevel="1" x14ac:dyDescent="0.2">
      <c r="A40" s="19" t="s">
        <v>297</v>
      </c>
      <c r="B40" s="337"/>
      <c r="C40" s="337">
        <v>429.03999999999996</v>
      </c>
      <c r="D40" s="337">
        <v>515.65</v>
      </c>
      <c r="E40" s="337">
        <v>1270.1599999999999</v>
      </c>
      <c r="F40" s="337">
        <v>523.70000000000005</v>
      </c>
      <c r="G40" s="337">
        <v>2738.5499999999997</v>
      </c>
      <c r="H40" s="12"/>
      <c r="I40" s="20"/>
      <c r="J40" s="20"/>
      <c r="K40" s="21"/>
      <c r="L40" s="21"/>
      <c r="M40" s="22"/>
      <c r="N40" s="22"/>
      <c r="O40" s="11"/>
      <c r="P40" s="22"/>
      <c r="Q40" s="20"/>
      <c r="R40" s="20"/>
      <c r="S40" s="44"/>
    </row>
    <row r="41" spans="1:19" outlineLevel="1" x14ac:dyDescent="0.2">
      <c r="H41" s="12"/>
      <c r="I41" s="20"/>
      <c r="J41" s="20"/>
      <c r="K41" s="21"/>
      <c r="L41" s="21"/>
      <c r="M41" s="22"/>
      <c r="N41" s="22"/>
      <c r="O41" s="11"/>
      <c r="P41" s="22"/>
      <c r="Q41" s="20"/>
      <c r="R41" s="20"/>
      <c r="S41" s="44"/>
    </row>
    <row r="42" spans="1:19" outlineLevel="1" x14ac:dyDescent="0.2">
      <c r="H42" s="12"/>
      <c r="I42" s="20"/>
      <c r="J42" s="20"/>
      <c r="K42" s="21"/>
      <c r="L42" s="21"/>
      <c r="M42" s="22"/>
      <c r="N42" s="22"/>
      <c r="O42" s="11"/>
      <c r="P42" s="22"/>
      <c r="Q42" s="20"/>
      <c r="R42" s="20"/>
      <c r="S42" s="44"/>
    </row>
    <row r="43" spans="1:19" outlineLevel="1" x14ac:dyDescent="0.2">
      <c r="D43" s="11"/>
      <c r="E43" s="11"/>
      <c r="F43" s="11"/>
      <c r="G43" s="20"/>
      <c r="H43" s="12"/>
      <c r="I43" s="20"/>
      <c r="J43" s="20"/>
      <c r="K43" s="21"/>
      <c r="L43" s="21"/>
      <c r="M43" s="22"/>
      <c r="N43" s="22"/>
      <c r="O43" s="11"/>
      <c r="P43" s="22"/>
      <c r="Q43" s="20"/>
      <c r="R43" s="20"/>
      <c r="S43" s="44"/>
    </row>
    <row r="44" spans="1:19" outlineLevel="1" x14ac:dyDescent="0.2">
      <c r="D44" s="11"/>
      <c r="E44" s="11"/>
      <c r="F44" s="11"/>
      <c r="G44" s="20"/>
      <c r="H44" s="12"/>
      <c r="I44" s="20"/>
      <c r="J44" s="20"/>
      <c r="K44" s="21"/>
      <c r="L44" s="21"/>
      <c r="M44" s="22"/>
      <c r="N44" s="22"/>
      <c r="O44" s="11"/>
      <c r="P44" s="22"/>
      <c r="Q44" s="20"/>
      <c r="R44" s="20"/>
      <c r="S44" s="44"/>
    </row>
    <row r="45" spans="1:19" outlineLevel="1" x14ac:dyDescent="0.2">
      <c r="D45" s="11"/>
      <c r="E45" s="11"/>
      <c r="F45" s="11"/>
      <c r="G45" s="20"/>
      <c r="H45" s="12"/>
      <c r="I45" s="20"/>
      <c r="J45" s="20"/>
      <c r="K45" s="21"/>
      <c r="L45" s="21"/>
      <c r="M45" s="22"/>
      <c r="N45" s="22"/>
      <c r="O45" s="11"/>
      <c r="P45" s="22"/>
      <c r="Q45" s="20"/>
      <c r="R45" s="20"/>
      <c r="S45" s="44"/>
    </row>
    <row r="46" spans="1:19" outlineLevel="1" x14ac:dyDescent="0.2">
      <c r="D46" s="11"/>
      <c r="E46" s="11"/>
      <c r="F46" s="11"/>
      <c r="G46" s="20"/>
      <c r="H46" s="12"/>
      <c r="I46" s="20"/>
      <c r="J46" s="20"/>
      <c r="K46" s="21"/>
      <c r="L46" s="21"/>
      <c r="M46" s="22"/>
      <c r="N46" s="22"/>
      <c r="O46" s="11"/>
      <c r="P46" s="22"/>
      <c r="Q46" s="20"/>
      <c r="R46" s="20"/>
      <c r="S46" s="44"/>
    </row>
    <row r="47" spans="1:19" outlineLevel="1" x14ac:dyDescent="0.2"/>
    <row r="48" spans="1:19" outlineLevel="1" x14ac:dyDescent="0.2"/>
    <row r="49" spans="1:18" outlineLevel="1" x14ac:dyDescent="0.2"/>
    <row r="50" spans="1:18" outlineLevel="1" x14ac:dyDescent="0.2"/>
    <row r="54" spans="1:18" ht="19" x14ac:dyDescent="0.25">
      <c r="A54" s="256" t="s">
        <v>155</v>
      </c>
      <c r="B54" s="202"/>
      <c r="C54" s="202"/>
      <c r="D54" s="202"/>
      <c r="E54" s="202"/>
      <c r="F54" s="202"/>
    </row>
    <row r="55" spans="1:18" outlineLevel="1" x14ac:dyDescent="0.2"/>
    <row r="56" spans="1:18" s="20" customFormat="1" outlineLevel="1" x14ac:dyDescent="0.2">
      <c r="A56" s="200" t="s">
        <v>39</v>
      </c>
      <c r="B56" t="s">
        <v>294</v>
      </c>
      <c r="C56" s="212"/>
      <c r="D56" s="213"/>
      <c r="E56" s="213"/>
      <c r="F56" s="213"/>
      <c r="H56" s="12"/>
      <c r="J56" s="21"/>
      <c r="K56" s="21"/>
      <c r="L56" s="22"/>
      <c r="M56" s="46"/>
      <c r="N56" s="164"/>
      <c r="Q56" s="48"/>
      <c r="R56" s="48"/>
    </row>
    <row r="57" spans="1:18" s="20" customFormat="1" ht="14" outlineLevel="1" x14ac:dyDescent="0.2">
      <c r="A57" s="11"/>
      <c r="B57" s="11"/>
      <c r="C57" s="11"/>
      <c r="D57" s="11"/>
      <c r="E57" s="11"/>
      <c r="F57" s="11"/>
      <c r="H57" s="12"/>
      <c r="J57" s="21"/>
      <c r="K57" s="21"/>
      <c r="L57" s="22"/>
      <c r="M57" s="46"/>
      <c r="N57" s="164"/>
      <c r="Q57" s="48"/>
      <c r="R57" s="48"/>
    </row>
    <row r="58" spans="1:18" outlineLevel="1" x14ac:dyDescent="0.2">
      <c r="A58" s="200" t="s">
        <v>301</v>
      </c>
      <c r="B58" s="200" t="s">
        <v>299</v>
      </c>
      <c r="H58" s="12"/>
      <c r="I58" s="20"/>
      <c r="J58" s="21"/>
      <c r="K58" s="21"/>
      <c r="L58" s="22"/>
      <c r="M58" s="46"/>
      <c r="N58" s="164"/>
      <c r="O58" s="20"/>
      <c r="P58" s="20"/>
      <c r="Q58" s="48"/>
    </row>
    <row r="59" spans="1:18" outlineLevel="1" x14ac:dyDescent="0.2">
      <c r="A59" s="200" t="s">
        <v>296</v>
      </c>
      <c r="C59" t="s">
        <v>45</v>
      </c>
      <c r="D59" t="s">
        <v>150</v>
      </c>
      <c r="E59" t="s">
        <v>151</v>
      </c>
      <c r="F59" t="s">
        <v>149</v>
      </c>
      <c r="G59" t="s">
        <v>297</v>
      </c>
      <c r="H59" s="12"/>
      <c r="I59" s="20"/>
      <c r="J59" s="21"/>
      <c r="K59" s="21"/>
      <c r="L59" s="22"/>
      <c r="M59" s="46"/>
      <c r="N59" s="164"/>
      <c r="O59" s="20"/>
      <c r="P59" s="20"/>
      <c r="Q59" s="48"/>
    </row>
    <row r="60" spans="1:18" outlineLevel="1" x14ac:dyDescent="0.2">
      <c r="A60" s="19" t="s">
        <v>302</v>
      </c>
      <c r="B60" s="337"/>
      <c r="C60" s="337">
        <v>1000</v>
      </c>
      <c r="D60" s="337">
        <v>2000</v>
      </c>
      <c r="E60" s="337">
        <v>3000</v>
      </c>
      <c r="F60" s="337">
        <v>4000</v>
      </c>
      <c r="G60" s="337">
        <v>10000</v>
      </c>
      <c r="H60" s="12"/>
      <c r="I60" s="20"/>
      <c r="J60" s="21"/>
      <c r="K60" s="21"/>
      <c r="L60" s="22"/>
      <c r="M60" s="46"/>
      <c r="N60" s="164"/>
      <c r="O60" s="20"/>
      <c r="P60" s="20"/>
      <c r="Q60" s="48"/>
    </row>
    <row r="61" spans="1:18" outlineLevel="1" x14ac:dyDescent="0.2">
      <c r="A61" s="19" t="s">
        <v>303</v>
      </c>
      <c r="B61" s="337"/>
      <c r="C61" s="337"/>
      <c r="D61" s="337"/>
      <c r="E61" s="337">
        <v>1700</v>
      </c>
      <c r="F61" s="337"/>
      <c r="G61" s="337">
        <v>1700</v>
      </c>
      <c r="H61" s="12"/>
      <c r="I61" s="20"/>
      <c r="J61" s="21"/>
      <c r="K61" s="21"/>
      <c r="L61" s="22"/>
      <c r="M61" s="46"/>
      <c r="N61" s="164"/>
      <c r="O61" s="20"/>
      <c r="P61" s="20"/>
      <c r="Q61" s="48"/>
    </row>
    <row r="62" spans="1:18" outlineLevel="1" x14ac:dyDescent="0.2">
      <c r="A62" s="19" t="s">
        <v>300</v>
      </c>
      <c r="B62" s="337"/>
      <c r="C62" s="337"/>
      <c r="D62" s="337"/>
      <c r="E62" s="337"/>
      <c r="F62" s="337"/>
      <c r="G62" s="337"/>
      <c r="H62" s="12"/>
      <c r="I62" s="20"/>
      <c r="J62" s="21"/>
      <c r="K62" s="21"/>
      <c r="L62" s="22"/>
      <c r="M62" s="46"/>
      <c r="N62" s="164"/>
      <c r="O62" s="20"/>
      <c r="P62" s="20"/>
      <c r="Q62" s="48"/>
    </row>
    <row r="63" spans="1:18" outlineLevel="1" x14ac:dyDescent="0.2">
      <c r="A63" s="19" t="s">
        <v>304</v>
      </c>
      <c r="B63" s="337"/>
      <c r="C63" s="337">
        <v>2000</v>
      </c>
      <c r="D63" s="337"/>
      <c r="E63" s="337">
        <v>3000</v>
      </c>
      <c r="F63" s="337"/>
      <c r="G63" s="337">
        <v>5000</v>
      </c>
      <c r="H63" s="12"/>
      <c r="I63" s="20"/>
      <c r="J63" s="21"/>
      <c r="K63" s="21"/>
      <c r="L63" s="22"/>
      <c r="M63" s="46"/>
      <c r="N63" s="164"/>
      <c r="O63" s="20"/>
      <c r="P63" s="20"/>
      <c r="Q63" s="48"/>
    </row>
    <row r="64" spans="1:18" outlineLevel="1" x14ac:dyDescent="0.2">
      <c r="A64" s="19" t="s">
        <v>297</v>
      </c>
      <c r="B64" s="337"/>
      <c r="C64" s="337">
        <v>3000</v>
      </c>
      <c r="D64" s="337">
        <v>2000</v>
      </c>
      <c r="E64" s="337">
        <v>7700</v>
      </c>
      <c r="F64" s="337">
        <v>4000</v>
      </c>
      <c r="G64" s="337">
        <v>16700</v>
      </c>
      <c r="H64" s="12"/>
      <c r="I64" s="20"/>
      <c r="J64" s="21"/>
      <c r="K64" s="21"/>
      <c r="L64" s="22"/>
      <c r="M64" s="46"/>
      <c r="N64" s="164"/>
      <c r="O64" s="20"/>
      <c r="P64" s="20"/>
      <c r="Q64" s="48"/>
    </row>
    <row r="65" spans="1:17" outlineLevel="1" x14ac:dyDescent="0.2">
      <c r="D65" s="11"/>
      <c r="E65" s="11"/>
      <c r="F65" s="11"/>
      <c r="G65" s="20"/>
      <c r="H65" s="12"/>
      <c r="I65" s="20"/>
      <c r="J65" s="21"/>
      <c r="K65" s="21"/>
      <c r="L65" s="22"/>
      <c r="M65" s="46"/>
      <c r="N65" s="164"/>
      <c r="O65" s="20"/>
      <c r="P65" s="20"/>
      <c r="Q65" s="48"/>
    </row>
    <row r="66" spans="1:17" outlineLevel="1" x14ac:dyDescent="0.2">
      <c r="D66" s="11"/>
      <c r="E66" s="11"/>
      <c r="F66" s="11"/>
      <c r="G66" s="20"/>
      <c r="H66" s="12"/>
      <c r="I66" s="20"/>
      <c r="J66" s="21"/>
      <c r="K66" s="21"/>
      <c r="L66" s="22"/>
      <c r="M66" s="46"/>
      <c r="N66" s="164"/>
      <c r="O66" s="20"/>
      <c r="P66" s="20"/>
      <c r="Q66" s="48"/>
    </row>
    <row r="67" spans="1:17" outlineLevel="1" x14ac:dyDescent="0.2">
      <c r="D67" s="11"/>
      <c r="E67" s="11"/>
      <c r="F67" s="11"/>
      <c r="G67" s="20"/>
      <c r="H67" s="12"/>
      <c r="I67" s="20"/>
      <c r="J67" s="21"/>
      <c r="K67" s="21"/>
      <c r="L67" s="22"/>
      <c r="M67" s="46"/>
      <c r="N67" s="164"/>
      <c r="O67" s="20"/>
      <c r="P67" s="20"/>
      <c r="Q67" s="48"/>
    </row>
    <row r="68" spans="1:17" outlineLevel="1" x14ac:dyDescent="0.2">
      <c r="D68" s="11"/>
      <c r="E68" s="11"/>
      <c r="F68" s="11"/>
      <c r="G68" s="20"/>
      <c r="H68" s="12"/>
      <c r="I68" s="20"/>
      <c r="J68" s="21"/>
      <c r="K68" s="21"/>
      <c r="L68" s="22"/>
      <c r="M68" s="46"/>
      <c r="N68" s="164"/>
      <c r="O68" s="20"/>
      <c r="P68" s="20"/>
      <c r="Q68" s="48"/>
    </row>
    <row r="69" spans="1:17" outlineLevel="1" x14ac:dyDescent="0.2">
      <c r="D69" s="11"/>
      <c r="E69" s="11"/>
      <c r="F69" s="11"/>
      <c r="G69" s="20"/>
      <c r="H69" s="12"/>
      <c r="I69" s="20"/>
      <c r="J69" s="21"/>
      <c r="K69" s="21"/>
      <c r="L69" s="22"/>
      <c r="M69" s="46"/>
      <c r="N69" s="164"/>
      <c r="O69" s="20"/>
      <c r="P69" s="20"/>
      <c r="Q69" s="48"/>
    </row>
    <row r="70" spans="1:17" outlineLevel="1" x14ac:dyDescent="0.2">
      <c r="D70" s="11"/>
      <c r="E70" s="11"/>
      <c r="F70" s="11"/>
      <c r="G70" s="20"/>
      <c r="H70" s="12"/>
      <c r="I70" s="20"/>
      <c r="J70" s="21"/>
      <c r="K70" s="21"/>
      <c r="L70" s="22"/>
      <c r="M70" s="46"/>
      <c r="N70" s="164"/>
      <c r="O70" s="20"/>
      <c r="P70" s="20"/>
      <c r="Q70" s="48"/>
    </row>
    <row r="71" spans="1:17" outlineLevel="1" x14ac:dyDescent="0.2">
      <c r="D71" s="11"/>
      <c r="E71" s="11"/>
      <c r="F71" s="11"/>
      <c r="G71" s="20"/>
      <c r="H71" s="12"/>
      <c r="I71" s="20"/>
      <c r="J71" s="21"/>
      <c r="K71" s="21"/>
      <c r="L71" s="22"/>
      <c r="M71" s="46"/>
      <c r="N71" s="164"/>
      <c r="O71" s="20"/>
      <c r="P71" s="20"/>
      <c r="Q71" s="48"/>
    </row>
    <row r="72" spans="1:17" outlineLevel="1" x14ac:dyDescent="0.2">
      <c r="D72" s="11"/>
      <c r="E72" s="11"/>
      <c r="F72" s="11"/>
      <c r="G72" s="20"/>
      <c r="H72" s="12"/>
      <c r="I72" s="20"/>
      <c r="J72" s="21"/>
      <c r="K72" s="21"/>
      <c r="L72" s="22"/>
      <c r="M72" s="46"/>
      <c r="N72" s="164"/>
      <c r="O72" s="20"/>
      <c r="P72" s="20"/>
      <c r="Q72" s="48"/>
    </row>
    <row r="73" spans="1:17" outlineLevel="1" x14ac:dyDescent="0.2">
      <c r="D73" s="11"/>
      <c r="E73" s="11"/>
      <c r="F73" s="11"/>
      <c r="G73" s="20"/>
      <c r="H73" s="12"/>
      <c r="I73" s="20"/>
      <c r="J73" s="21"/>
      <c r="K73" s="21"/>
      <c r="L73" s="22"/>
      <c r="M73" s="46"/>
      <c r="N73" s="164"/>
      <c r="O73" s="20"/>
      <c r="P73" s="20"/>
      <c r="Q73" s="48"/>
    </row>
    <row r="74" spans="1:17" outlineLevel="1" x14ac:dyDescent="0.2"/>
    <row r="75" spans="1:17" outlineLevel="1" x14ac:dyDescent="0.2"/>
    <row r="79" spans="1:17" ht="19" x14ac:dyDescent="0.25">
      <c r="A79" s="256" t="s">
        <v>305</v>
      </c>
      <c r="B79" s="202"/>
      <c r="C79" s="202"/>
      <c r="D79" s="202"/>
      <c r="E79" s="202"/>
      <c r="F79" s="202"/>
    </row>
    <row r="81" spans="1:17" s="20" customFormat="1" outlineLevel="1" x14ac:dyDescent="0.2">
      <c r="A81" s="200" t="s">
        <v>39</v>
      </c>
      <c r="B81" t="s">
        <v>294</v>
      </c>
      <c r="C81" s="271"/>
      <c r="D81" s="11"/>
      <c r="E81" s="11"/>
      <c r="F81" s="11"/>
      <c r="H81" s="12"/>
      <c r="J81" s="21"/>
      <c r="K81" s="21"/>
      <c r="L81" s="22"/>
      <c r="M81" s="46"/>
      <c r="N81" s="164"/>
      <c r="Q81" s="48"/>
    </row>
    <row r="82" spans="1:17" s="20" customFormat="1" ht="14" outlineLevel="1" x14ac:dyDescent="0.2">
      <c r="A82" s="11"/>
      <c r="B82" s="11"/>
      <c r="C82" s="11"/>
      <c r="D82" s="11"/>
      <c r="E82" s="11"/>
      <c r="F82" s="11"/>
      <c r="H82" s="12"/>
      <c r="J82" s="21"/>
      <c r="K82" s="21"/>
      <c r="L82" s="22"/>
      <c r="M82" s="46"/>
      <c r="N82" s="164"/>
      <c r="Q82" s="48"/>
    </row>
    <row r="83" spans="1:17" s="20" customFormat="1" outlineLevel="1" x14ac:dyDescent="0.2">
      <c r="A83" s="200" t="s">
        <v>301</v>
      </c>
      <c r="B83" s="200" t="s">
        <v>299</v>
      </c>
      <c r="C83"/>
      <c r="D83"/>
      <c r="E83"/>
      <c r="F83"/>
      <c r="G83"/>
      <c r="H83" s="12"/>
      <c r="J83" s="21"/>
      <c r="K83" s="21"/>
      <c r="L83" s="22"/>
      <c r="M83" s="46"/>
      <c r="N83" s="164"/>
      <c r="Q83" s="48"/>
    </row>
    <row r="84" spans="1:17" s="20" customFormat="1" outlineLevel="1" x14ac:dyDescent="0.2">
      <c r="A84" s="200" t="s">
        <v>296</v>
      </c>
      <c r="B84"/>
      <c r="C84" t="s">
        <v>45</v>
      </c>
      <c r="D84" t="s">
        <v>150</v>
      </c>
      <c r="E84" t="s">
        <v>151</v>
      </c>
      <c r="F84" t="s">
        <v>149</v>
      </c>
      <c r="G84" t="s">
        <v>297</v>
      </c>
      <c r="H84" s="12"/>
      <c r="J84" s="21"/>
      <c r="K84" s="21"/>
      <c r="L84" s="22"/>
      <c r="M84" s="46"/>
      <c r="N84" s="164"/>
      <c r="Q84" s="48"/>
    </row>
    <row r="85" spans="1:17" s="20" customFormat="1" outlineLevel="1" x14ac:dyDescent="0.2">
      <c r="A85" s="19" t="s">
        <v>302</v>
      </c>
      <c r="B85"/>
      <c r="C85">
        <v>1000</v>
      </c>
      <c r="D85">
        <v>2000</v>
      </c>
      <c r="E85">
        <v>3000</v>
      </c>
      <c r="F85">
        <v>4000</v>
      </c>
      <c r="G85">
        <v>10000</v>
      </c>
      <c r="H85" s="12"/>
      <c r="J85" s="21"/>
      <c r="K85" s="21"/>
      <c r="L85" s="22"/>
      <c r="M85" s="46"/>
      <c r="N85" s="164"/>
      <c r="Q85" s="48"/>
    </row>
    <row r="86" spans="1:17" s="20" customFormat="1" outlineLevel="1" x14ac:dyDescent="0.2">
      <c r="A86" s="19" t="s">
        <v>303</v>
      </c>
      <c r="B86"/>
      <c r="C86"/>
      <c r="D86"/>
      <c r="E86">
        <v>1700</v>
      </c>
      <c r="F86"/>
      <c r="G86">
        <v>1700</v>
      </c>
      <c r="H86" s="12"/>
      <c r="J86" s="21"/>
      <c r="K86" s="21"/>
      <c r="L86" s="22"/>
      <c r="M86" s="46"/>
      <c r="N86" s="164"/>
      <c r="Q86" s="48"/>
    </row>
    <row r="87" spans="1:17" s="20" customFormat="1" outlineLevel="1" x14ac:dyDescent="0.2">
      <c r="A87" s="19" t="s">
        <v>300</v>
      </c>
      <c r="B87"/>
      <c r="C87"/>
      <c r="D87"/>
      <c r="E87"/>
      <c r="F87"/>
      <c r="G87"/>
      <c r="H87" s="12"/>
      <c r="J87" s="21"/>
      <c r="K87" s="21"/>
      <c r="L87" s="22"/>
      <c r="M87" s="46"/>
      <c r="N87" s="164"/>
      <c r="Q87" s="48"/>
    </row>
    <row r="88" spans="1:17" s="20" customFormat="1" outlineLevel="1" x14ac:dyDescent="0.2">
      <c r="A88" s="19" t="s">
        <v>304</v>
      </c>
      <c r="B88"/>
      <c r="C88">
        <v>2000</v>
      </c>
      <c r="D88"/>
      <c r="E88">
        <v>3000</v>
      </c>
      <c r="F88"/>
      <c r="G88">
        <v>5000</v>
      </c>
      <c r="H88" s="12"/>
      <c r="J88" s="21"/>
      <c r="K88" s="21"/>
      <c r="L88" s="22"/>
      <c r="M88" s="46"/>
      <c r="N88" s="164"/>
      <c r="Q88" s="48"/>
    </row>
    <row r="89" spans="1:17" s="20" customFormat="1" outlineLevel="1" x14ac:dyDescent="0.2">
      <c r="A89" s="19" t="s">
        <v>297</v>
      </c>
      <c r="B89"/>
      <c r="C89">
        <v>3000</v>
      </c>
      <c r="D89">
        <v>2000</v>
      </c>
      <c r="E89">
        <v>7700</v>
      </c>
      <c r="F89">
        <v>4000</v>
      </c>
      <c r="G89">
        <v>16700</v>
      </c>
      <c r="H89" s="12"/>
      <c r="J89" s="21"/>
      <c r="K89" s="21"/>
      <c r="L89" s="22"/>
      <c r="M89" s="46"/>
      <c r="N89" s="164"/>
      <c r="Q89" s="48"/>
    </row>
    <row r="90" spans="1:17" s="20" customFormat="1" outlineLevel="1" x14ac:dyDescent="0.2">
      <c r="A90"/>
      <c r="B90"/>
      <c r="C90"/>
      <c r="D90" s="11"/>
      <c r="E90" s="11"/>
      <c r="F90" s="11"/>
      <c r="H90" s="12"/>
      <c r="J90" s="21"/>
      <c r="K90" s="21"/>
      <c r="L90" s="22"/>
      <c r="M90" s="46"/>
      <c r="N90" s="164"/>
      <c r="Q90" s="48"/>
    </row>
    <row r="91" spans="1:17" s="20" customFormat="1" outlineLevel="1" x14ac:dyDescent="0.2">
      <c r="A91"/>
      <c r="B91"/>
      <c r="C91"/>
      <c r="D91" s="11"/>
      <c r="E91" s="11"/>
      <c r="F91" s="11"/>
      <c r="H91" s="12"/>
      <c r="J91" s="21"/>
      <c r="K91" s="21"/>
      <c r="L91" s="22"/>
      <c r="M91" s="46"/>
      <c r="N91" s="164"/>
      <c r="Q91" s="48"/>
    </row>
    <row r="92" spans="1:17" s="20" customFormat="1" outlineLevel="1" x14ac:dyDescent="0.2">
      <c r="A92"/>
      <c r="B92"/>
      <c r="C92"/>
      <c r="D92" s="11"/>
      <c r="E92" s="11"/>
      <c r="F92" s="11"/>
      <c r="H92" s="12"/>
      <c r="J92" s="21"/>
      <c r="K92" s="21"/>
      <c r="L92" s="22"/>
      <c r="M92" s="46"/>
      <c r="N92" s="164"/>
      <c r="Q92" s="48"/>
    </row>
    <row r="93" spans="1:17" s="20" customFormat="1" outlineLevel="1" x14ac:dyDescent="0.2">
      <c r="A93"/>
      <c r="B93"/>
      <c r="C93"/>
      <c r="D93" s="11"/>
      <c r="E93" s="11"/>
      <c r="F93" s="11"/>
      <c r="H93" s="12"/>
      <c r="J93" s="21"/>
      <c r="K93" s="21"/>
      <c r="L93" s="22"/>
      <c r="M93" s="46"/>
      <c r="N93" s="164"/>
      <c r="Q93" s="48"/>
    </row>
    <row r="94" spans="1:17" s="20" customFormat="1" outlineLevel="1" x14ac:dyDescent="0.2">
      <c r="A94"/>
      <c r="B94"/>
      <c r="C94"/>
      <c r="D94" s="11"/>
      <c r="E94" s="11"/>
      <c r="F94" s="11"/>
      <c r="H94" s="12"/>
      <c r="J94" s="21"/>
      <c r="K94" s="21"/>
      <c r="L94" s="22"/>
      <c r="M94" s="46"/>
      <c r="N94" s="164"/>
      <c r="Q94" s="48"/>
    </row>
    <row r="95" spans="1:17" s="20" customFormat="1" outlineLevel="1" x14ac:dyDescent="0.2">
      <c r="A95"/>
      <c r="B95"/>
      <c r="C95"/>
      <c r="D95" s="11"/>
      <c r="E95" s="11"/>
      <c r="F95" s="11"/>
      <c r="H95" s="12"/>
      <c r="J95" s="21"/>
      <c r="K95" s="21"/>
      <c r="L95" s="22"/>
      <c r="M95" s="46"/>
      <c r="N95" s="164"/>
      <c r="Q95" s="48"/>
    </row>
    <row r="96" spans="1:17" s="20" customFormat="1" outlineLevel="1" x14ac:dyDescent="0.2">
      <c r="A96"/>
      <c r="B96"/>
      <c r="C96"/>
      <c r="D96" s="11"/>
      <c r="E96" s="11"/>
      <c r="F96" s="11"/>
      <c r="H96" s="12"/>
      <c r="J96" s="21"/>
      <c r="K96" s="21"/>
      <c r="L96" s="22"/>
      <c r="M96" s="46"/>
      <c r="N96" s="164"/>
      <c r="Q96" s="48"/>
    </row>
    <row r="97" spans="1:21" s="20" customFormat="1" outlineLevel="1" x14ac:dyDescent="0.2">
      <c r="A97"/>
      <c r="B97"/>
      <c r="C97"/>
      <c r="D97" s="11"/>
      <c r="E97" s="11"/>
      <c r="F97" s="11"/>
      <c r="H97" s="12"/>
      <c r="J97" s="21"/>
      <c r="K97" s="21"/>
      <c r="L97" s="22"/>
      <c r="M97" s="46"/>
      <c r="N97" s="164"/>
      <c r="Q97" s="48"/>
    </row>
    <row r="98" spans="1:21" outlineLevel="1" x14ac:dyDescent="0.2"/>
    <row r="99" spans="1:21" outlineLevel="1" x14ac:dyDescent="0.2"/>
    <row r="100" spans="1:21" outlineLevel="1" x14ac:dyDescent="0.2"/>
    <row r="101" spans="1:21" outlineLevel="1" x14ac:dyDescent="0.2"/>
    <row r="104" spans="1:21" ht="19" x14ac:dyDescent="0.25">
      <c r="A104" s="256" t="s">
        <v>157</v>
      </c>
      <c r="B104" s="202"/>
      <c r="C104" s="202"/>
      <c r="D104" s="202"/>
      <c r="E104" s="202"/>
      <c r="F104" s="202"/>
    </row>
    <row r="105" spans="1:21" outlineLevel="1" x14ac:dyDescent="0.2"/>
    <row r="106" spans="1:21" outlineLevel="1" x14ac:dyDescent="0.2">
      <c r="A106" s="200" t="s">
        <v>39</v>
      </c>
      <c r="B106" t="s">
        <v>294</v>
      </c>
      <c r="C106" s="11"/>
      <c r="D106" s="11"/>
      <c r="E106" s="11"/>
      <c r="F106" s="11"/>
      <c r="G106" s="20"/>
      <c r="H106" s="12"/>
      <c r="I106" s="21"/>
      <c r="J106" s="21"/>
      <c r="K106" s="21"/>
      <c r="L106" s="21"/>
      <c r="M106" s="22"/>
      <c r="N106" s="20"/>
      <c r="O106" s="20"/>
      <c r="P106" s="44"/>
      <c r="Q106" s="20"/>
      <c r="R106" s="11"/>
      <c r="S106" s="20"/>
      <c r="T106" s="20"/>
      <c r="U106" s="20"/>
    </row>
    <row r="107" spans="1:21" outlineLevel="1" x14ac:dyDescent="0.2">
      <c r="A107" s="11"/>
      <c r="B107" s="11"/>
      <c r="C107" s="11"/>
      <c r="D107" s="11"/>
      <c r="E107" s="11"/>
      <c r="F107" s="11"/>
      <c r="G107" s="20"/>
      <c r="H107" s="12"/>
      <c r="I107" s="21"/>
      <c r="J107" s="21"/>
      <c r="K107" s="21"/>
      <c r="L107" s="21"/>
      <c r="M107" s="22"/>
      <c r="N107" s="20"/>
      <c r="O107" s="20"/>
      <c r="P107" s="44"/>
      <c r="Q107" s="20"/>
      <c r="R107" s="11"/>
      <c r="S107" s="20"/>
      <c r="T107" s="20"/>
      <c r="U107" s="20"/>
    </row>
    <row r="108" spans="1:21" outlineLevel="1" x14ac:dyDescent="0.2">
      <c r="A108" s="200" t="s">
        <v>306</v>
      </c>
      <c r="B108" s="200" t="s">
        <v>43</v>
      </c>
      <c r="G108" s="20"/>
      <c r="H108" s="12"/>
      <c r="I108" s="21"/>
      <c r="J108" s="21"/>
      <c r="K108" s="21"/>
      <c r="L108" s="21"/>
      <c r="M108" s="22"/>
      <c r="N108" s="20"/>
      <c r="O108" s="20"/>
      <c r="P108" s="44"/>
      <c r="Q108" s="20"/>
      <c r="R108" s="11"/>
      <c r="S108" s="20"/>
      <c r="T108" s="20"/>
      <c r="U108" s="20"/>
    </row>
    <row r="109" spans="1:21" outlineLevel="1" x14ac:dyDescent="0.2">
      <c r="A109" s="200" t="s">
        <v>296</v>
      </c>
      <c r="B109" t="s">
        <v>45</v>
      </c>
      <c r="C109" t="s">
        <v>149</v>
      </c>
      <c r="D109" t="s">
        <v>150</v>
      </c>
      <c r="E109" t="s">
        <v>297</v>
      </c>
      <c r="G109" s="20"/>
      <c r="H109" s="12"/>
      <c r="I109" s="21"/>
      <c r="J109" s="21"/>
      <c r="K109" s="21"/>
      <c r="L109" s="21"/>
      <c r="M109" s="22"/>
      <c r="N109" s="20"/>
      <c r="O109" s="20"/>
      <c r="P109" s="44"/>
      <c r="Q109" s="20"/>
      <c r="R109" s="11"/>
      <c r="S109" s="20"/>
      <c r="T109" s="20"/>
      <c r="U109" s="20"/>
    </row>
    <row r="110" spans="1:21" outlineLevel="1" x14ac:dyDescent="0.2">
      <c r="A110" s="19" t="s">
        <v>304</v>
      </c>
      <c r="B110" s="263"/>
      <c r="C110" s="263"/>
      <c r="D110" s="263">
        <v>200</v>
      </c>
      <c r="E110" s="263">
        <v>200</v>
      </c>
      <c r="G110" s="20"/>
      <c r="H110" s="12"/>
      <c r="I110" s="21"/>
      <c r="J110" s="21"/>
      <c r="K110" s="21"/>
      <c r="L110" s="21"/>
      <c r="M110" s="22"/>
      <c r="N110" s="20"/>
      <c r="O110" s="20"/>
      <c r="P110" s="44"/>
      <c r="Q110" s="20"/>
      <c r="R110" s="11"/>
      <c r="S110" s="20"/>
      <c r="T110" s="20"/>
      <c r="U110" s="20"/>
    </row>
    <row r="111" spans="1:21" outlineLevel="1" x14ac:dyDescent="0.2">
      <c r="A111" s="203" t="s">
        <v>124</v>
      </c>
      <c r="B111" s="263"/>
      <c r="C111" s="263"/>
      <c r="D111" s="263">
        <v>200</v>
      </c>
      <c r="E111" s="263">
        <v>200</v>
      </c>
      <c r="G111" s="20"/>
      <c r="H111" s="12"/>
      <c r="I111" s="21"/>
      <c r="J111" s="21"/>
      <c r="K111" s="21"/>
      <c r="L111" s="21"/>
      <c r="M111" s="22"/>
      <c r="N111" s="20"/>
      <c r="O111" s="20"/>
      <c r="P111" s="44"/>
      <c r="Q111" s="20"/>
      <c r="R111" s="11"/>
      <c r="S111" s="20"/>
      <c r="T111" s="20"/>
      <c r="U111" s="20"/>
    </row>
    <row r="112" spans="1:21" outlineLevel="1" x14ac:dyDescent="0.2">
      <c r="A112" s="19" t="s">
        <v>303</v>
      </c>
      <c r="B112" s="263">
        <v>800</v>
      </c>
      <c r="C112" s="263"/>
      <c r="D112" s="263"/>
      <c r="E112" s="263">
        <v>800</v>
      </c>
      <c r="G112" s="20"/>
      <c r="H112" s="12"/>
      <c r="I112" s="21"/>
      <c r="J112" s="21"/>
      <c r="K112" s="21"/>
      <c r="L112" s="21"/>
      <c r="M112" s="22"/>
      <c r="N112" s="20"/>
      <c r="O112" s="20"/>
      <c r="P112" s="44"/>
      <c r="Q112" s="20"/>
      <c r="R112" s="11"/>
      <c r="S112" s="20"/>
      <c r="T112" s="20"/>
      <c r="U112" s="20"/>
    </row>
    <row r="113" spans="1:21" outlineLevel="1" x14ac:dyDescent="0.2">
      <c r="A113" s="203" t="s">
        <v>307</v>
      </c>
      <c r="B113" s="263">
        <v>300</v>
      </c>
      <c r="C113" s="263"/>
      <c r="D113" s="263"/>
      <c r="E113" s="263">
        <v>300</v>
      </c>
      <c r="G113" s="20"/>
      <c r="H113" s="12"/>
      <c r="I113" s="21"/>
      <c r="J113" s="21"/>
      <c r="K113" s="21"/>
      <c r="L113" s="21"/>
      <c r="M113" s="22"/>
      <c r="N113" s="20"/>
      <c r="O113" s="20"/>
      <c r="P113" s="44"/>
      <c r="Q113" s="20"/>
      <c r="R113" s="11"/>
      <c r="S113" s="20"/>
      <c r="T113" s="20"/>
      <c r="U113" s="20"/>
    </row>
    <row r="114" spans="1:21" outlineLevel="1" x14ac:dyDescent="0.2">
      <c r="A114" s="203" t="s">
        <v>124</v>
      </c>
      <c r="B114" s="263">
        <v>500</v>
      </c>
      <c r="C114" s="263"/>
      <c r="D114" s="263"/>
      <c r="E114" s="263">
        <v>500</v>
      </c>
      <c r="G114" s="20"/>
      <c r="H114" s="12"/>
      <c r="I114" s="21"/>
      <c r="J114" s="21"/>
      <c r="K114" s="21"/>
      <c r="L114" s="21"/>
      <c r="M114" s="22"/>
      <c r="N114" s="20"/>
      <c r="O114" s="20"/>
      <c r="P114" s="44"/>
      <c r="Q114" s="20"/>
      <c r="R114" s="11"/>
      <c r="S114" s="20"/>
      <c r="T114" s="20"/>
      <c r="U114" s="20"/>
    </row>
    <row r="115" spans="1:21" outlineLevel="1" x14ac:dyDescent="0.2">
      <c r="A115" s="19" t="s">
        <v>308</v>
      </c>
      <c r="B115" s="263"/>
      <c r="C115" s="263">
        <v>200</v>
      </c>
      <c r="D115" s="263"/>
      <c r="E115" s="263">
        <v>200</v>
      </c>
      <c r="G115" s="20"/>
      <c r="H115" s="12"/>
      <c r="I115" s="21"/>
      <c r="J115" s="21"/>
      <c r="K115" s="21"/>
      <c r="L115" s="21"/>
      <c r="M115" s="22"/>
      <c r="N115" s="20"/>
      <c r="O115" s="20"/>
      <c r="P115" s="44"/>
      <c r="Q115" s="20"/>
      <c r="R115" s="11"/>
      <c r="S115" s="20"/>
      <c r="T115" s="20"/>
      <c r="U115" s="20"/>
    </row>
    <row r="116" spans="1:21" outlineLevel="1" x14ac:dyDescent="0.2">
      <c r="A116" s="203" t="s">
        <v>307</v>
      </c>
      <c r="B116" s="263"/>
      <c r="C116" s="263">
        <v>200</v>
      </c>
      <c r="D116" s="263"/>
      <c r="E116" s="263">
        <v>200</v>
      </c>
      <c r="G116" s="20"/>
      <c r="H116" s="12"/>
      <c r="I116" s="21"/>
      <c r="J116" s="21"/>
      <c r="K116" s="21"/>
      <c r="L116" s="21"/>
      <c r="M116" s="22"/>
      <c r="N116" s="20"/>
      <c r="O116" s="20"/>
      <c r="P116" s="44"/>
      <c r="Q116" s="20"/>
      <c r="R116" s="11"/>
      <c r="S116" s="20"/>
      <c r="T116" s="20"/>
      <c r="U116" s="20"/>
    </row>
    <row r="117" spans="1:21" outlineLevel="1" x14ac:dyDescent="0.2">
      <c r="A117" s="19" t="s">
        <v>300</v>
      </c>
      <c r="B117" s="263"/>
      <c r="C117" s="263">
        <v>150</v>
      </c>
      <c r="D117" s="263"/>
      <c r="E117" s="263">
        <v>150</v>
      </c>
      <c r="G117" s="20"/>
      <c r="H117" s="12"/>
      <c r="I117" s="21"/>
      <c r="J117" s="21"/>
      <c r="K117" s="21"/>
      <c r="L117" s="21"/>
      <c r="M117" s="22"/>
      <c r="N117" s="20"/>
      <c r="O117" s="20"/>
      <c r="P117" s="44"/>
      <c r="Q117" s="20"/>
      <c r="R117" s="11"/>
      <c r="S117" s="20"/>
      <c r="T117" s="20"/>
      <c r="U117" s="20"/>
    </row>
    <row r="118" spans="1:21" outlineLevel="1" x14ac:dyDescent="0.2">
      <c r="A118" s="203" t="s">
        <v>309</v>
      </c>
      <c r="B118" s="263"/>
      <c r="C118" s="263">
        <v>150</v>
      </c>
      <c r="D118" s="263"/>
      <c r="E118" s="263">
        <v>150</v>
      </c>
      <c r="G118" s="20"/>
      <c r="H118" s="12"/>
      <c r="I118" s="21"/>
      <c r="J118" s="21"/>
      <c r="K118" s="21"/>
      <c r="L118" s="21"/>
      <c r="M118" s="22"/>
      <c r="N118" s="20"/>
      <c r="O118" s="20"/>
      <c r="P118" s="44"/>
      <c r="Q118" s="20"/>
      <c r="R118" s="11"/>
      <c r="S118" s="20"/>
      <c r="T118" s="20"/>
      <c r="U118" s="20"/>
    </row>
    <row r="119" spans="1:21" outlineLevel="1" x14ac:dyDescent="0.2">
      <c r="A119" s="19" t="s">
        <v>297</v>
      </c>
      <c r="B119" s="263">
        <v>800</v>
      </c>
      <c r="C119" s="263">
        <v>350</v>
      </c>
      <c r="D119" s="263">
        <v>200</v>
      </c>
      <c r="E119" s="263">
        <v>1350</v>
      </c>
      <c r="G119" s="20"/>
      <c r="H119" s="12"/>
      <c r="I119" s="21"/>
      <c r="J119" s="21"/>
      <c r="K119" s="21"/>
      <c r="L119" s="21"/>
      <c r="M119" s="22"/>
      <c r="N119" s="20"/>
      <c r="O119" s="20"/>
      <c r="P119" s="44"/>
      <c r="Q119" s="20"/>
      <c r="R119" s="11"/>
      <c r="S119" s="20"/>
      <c r="T119" s="20"/>
      <c r="U119" s="20"/>
    </row>
    <row r="120" spans="1:21" outlineLevel="1" x14ac:dyDescent="0.2">
      <c r="G120" s="20"/>
      <c r="H120" s="12"/>
      <c r="I120" s="21"/>
      <c r="J120" s="21"/>
      <c r="K120" s="21"/>
      <c r="L120" s="21"/>
      <c r="M120" s="22"/>
      <c r="N120" s="20"/>
      <c r="O120" s="20"/>
      <c r="P120" s="44"/>
      <c r="Q120" s="20"/>
      <c r="R120" s="11"/>
      <c r="S120" s="20"/>
      <c r="T120" s="20"/>
      <c r="U120" s="20"/>
    </row>
    <row r="121" spans="1:21" outlineLevel="1" x14ac:dyDescent="0.2">
      <c r="D121" s="11"/>
      <c r="E121" s="11"/>
      <c r="F121" s="11"/>
      <c r="G121" s="20"/>
      <c r="H121" s="12"/>
      <c r="I121" s="21"/>
      <c r="J121" s="21"/>
      <c r="K121" s="21"/>
      <c r="L121" s="21"/>
      <c r="M121" s="22"/>
      <c r="N121" s="20"/>
      <c r="O121" s="20"/>
      <c r="P121" s="44"/>
      <c r="Q121" s="20"/>
      <c r="R121" s="11"/>
      <c r="S121" s="20"/>
      <c r="T121" s="20"/>
      <c r="U121" s="20"/>
    </row>
    <row r="122" spans="1:21" outlineLevel="1" x14ac:dyDescent="0.2">
      <c r="D122" s="11"/>
      <c r="E122" s="11"/>
      <c r="F122" s="11"/>
      <c r="G122" s="20"/>
      <c r="H122" s="12"/>
      <c r="I122" s="21"/>
      <c r="J122" s="21"/>
      <c r="K122" s="21"/>
      <c r="L122" s="21"/>
      <c r="M122" s="22"/>
      <c r="N122" s="20"/>
      <c r="O122" s="20"/>
      <c r="P122" s="44"/>
      <c r="Q122" s="20"/>
      <c r="R122" s="11"/>
      <c r="S122" s="20"/>
      <c r="T122" s="20"/>
      <c r="U122" s="20"/>
    </row>
    <row r="123" spans="1:21" outlineLevel="1" x14ac:dyDescent="0.2">
      <c r="A123" s="200" t="s">
        <v>39</v>
      </c>
      <c r="B123" t="s">
        <v>294</v>
      </c>
      <c r="D123" s="11"/>
      <c r="E123" s="11"/>
      <c r="F123" s="11"/>
      <c r="G123" s="20"/>
      <c r="H123" s="12"/>
      <c r="I123" s="21"/>
      <c r="J123" s="21"/>
      <c r="K123" s="21"/>
      <c r="L123" s="21"/>
      <c r="M123" s="22"/>
      <c r="N123" s="20"/>
      <c r="O123" s="20"/>
      <c r="P123" s="44"/>
      <c r="Q123" s="20"/>
      <c r="R123" s="11"/>
      <c r="S123" s="20"/>
      <c r="T123" s="20"/>
      <c r="U123" s="20"/>
    </row>
    <row r="124" spans="1:21" outlineLevel="1" x14ac:dyDescent="0.2">
      <c r="D124" s="11"/>
      <c r="E124" s="11"/>
      <c r="F124" s="11"/>
      <c r="G124" s="20"/>
      <c r="H124" s="12"/>
      <c r="I124" s="21"/>
      <c r="J124" s="21"/>
      <c r="K124" s="21"/>
      <c r="L124" s="21"/>
      <c r="M124" s="22"/>
      <c r="N124" s="20"/>
      <c r="O124" s="20"/>
      <c r="P124" s="44"/>
      <c r="Q124" s="20"/>
      <c r="R124" s="11"/>
      <c r="S124" s="20"/>
      <c r="T124" s="20"/>
      <c r="U124" s="20"/>
    </row>
    <row r="125" spans="1:21" outlineLevel="1" x14ac:dyDescent="0.2">
      <c r="A125" s="200" t="s">
        <v>310</v>
      </c>
      <c r="B125" s="200" t="s">
        <v>43</v>
      </c>
      <c r="G125" s="20"/>
      <c r="H125" s="12"/>
      <c r="I125" s="21"/>
      <c r="J125" s="21"/>
      <c r="K125" s="21"/>
      <c r="L125" s="21"/>
      <c r="M125" s="22"/>
      <c r="N125" s="20"/>
      <c r="O125" s="20"/>
      <c r="P125" s="44"/>
      <c r="Q125" s="20"/>
      <c r="R125" s="11"/>
      <c r="S125" s="20"/>
      <c r="T125" s="20"/>
      <c r="U125" s="20"/>
    </row>
    <row r="126" spans="1:21" outlineLevel="1" x14ac:dyDescent="0.2">
      <c r="A126" s="200" t="s">
        <v>296</v>
      </c>
      <c r="B126" t="s">
        <v>45</v>
      </c>
      <c r="C126" t="s">
        <v>149</v>
      </c>
      <c r="D126" t="s">
        <v>151</v>
      </c>
      <c r="E126" t="s">
        <v>297</v>
      </c>
      <c r="G126" s="20"/>
      <c r="H126" s="12"/>
      <c r="I126" s="21"/>
      <c r="J126" s="21"/>
      <c r="K126" s="21"/>
      <c r="L126" s="21"/>
      <c r="M126" s="22"/>
      <c r="N126" s="20"/>
      <c r="O126" s="20"/>
      <c r="P126" s="44"/>
      <c r="Q126" s="20"/>
      <c r="R126" s="11"/>
      <c r="S126" s="20"/>
      <c r="T126" s="20"/>
      <c r="U126" s="20"/>
    </row>
    <row r="127" spans="1:21" outlineLevel="1" x14ac:dyDescent="0.2">
      <c r="A127" s="19" t="s">
        <v>304</v>
      </c>
      <c r="C127">
        <v>140</v>
      </c>
      <c r="E127">
        <v>140</v>
      </c>
      <c r="G127" s="20"/>
      <c r="H127" s="12"/>
      <c r="I127" s="21"/>
      <c r="J127" s="21"/>
      <c r="K127" s="21"/>
      <c r="L127" s="21"/>
      <c r="M127" s="22"/>
      <c r="N127" s="20"/>
      <c r="O127" s="20"/>
      <c r="P127" s="44"/>
      <c r="Q127" s="20"/>
      <c r="R127" s="11"/>
      <c r="S127" s="20"/>
      <c r="T127" s="20"/>
      <c r="U127" s="20"/>
    </row>
    <row r="128" spans="1:21" outlineLevel="1" x14ac:dyDescent="0.2">
      <c r="A128" s="203" t="s">
        <v>133</v>
      </c>
      <c r="C128">
        <v>140</v>
      </c>
      <c r="E128">
        <v>140</v>
      </c>
      <c r="G128" s="20"/>
      <c r="H128" s="12"/>
      <c r="I128" s="21"/>
      <c r="J128" s="21"/>
      <c r="K128" s="21"/>
      <c r="L128" s="21"/>
      <c r="M128" s="22"/>
      <c r="N128" s="20"/>
      <c r="O128" s="20"/>
      <c r="P128" s="44"/>
      <c r="Q128" s="20"/>
      <c r="R128" s="11"/>
      <c r="S128" s="20"/>
      <c r="T128" s="20"/>
      <c r="U128" s="20"/>
    </row>
    <row r="129" spans="1:21" outlineLevel="1" x14ac:dyDescent="0.2">
      <c r="A129" s="19" t="s">
        <v>303</v>
      </c>
      <c r="C129">
        <v>400</v>
      </c>
      <c r="E129">
        <v>400</v>
      </c>
      <c r="G129" s="20"/>
      <c r="H129" s="12"/>
      <c r="I129" s="21"/>
      <c r="J129" s="21"/>
      <c r="K129" s="21"/>
      <c r="L129" s="21"/>
      <c r="M129" s="22"/>
      <c r="N129" s="20"/>
      <c r="O129" s="20"/>
      <c r="P129" s="44"/>
      <c r="Q129" s="20"/>
      <c r="R129" s="11"/>
      <c r="S129" s="20"/>
      <c r="T129" s="20"/>
      <c r="U129" s="20"/>
    </row>
    <row r="130" spans="1:21" outlineLevel="1" x14ac:dyDescent="0.2">
      <c r="A130" s="203" t="s">
        <v>133</v>
      </c>
      <c r="C130">
        <v>200</v>
      </c>
      <c r="E130">
        <v>200</v>
      </c>
      <c r="G130" s="20"/>
      <c r="H130" s="12"/>
      <c r="I130" s="21"/>
      <c r="J130" s="21"/>
      <c r="K130" s="21"/>
      <c r="L130" s="21"/>
      <c r="M130" s="22"/>
      <c r="N130" s="20"/>
      <c r="O130" s="20"/>
      <c r="P130" s="44"/>
      <c r="Q130" s="20"/>
      <c r="R130" s="11"/>
      <c r="S130" s="20"/>
      <c r="T130" s="20"/>
      <c r="U130" s="20"/>
    </row>
    <row r="131" spans="1:21" outlineLevel="1" x14ac:dyDescent="0.2">
      <c r="A131" s="203" t="s">
        <v>311</v>
      </c>
      <c r="C131">
        <v>200</v>
      </c>
      <c r="E131">
        <v>200</v>
      </c>
      <c r="G131" s="20"/>
      <c r="H131" s="12"/>
      <c r="I131" s="21"/>
      <c r="J131" s="21"/>
      <c r="K131" s="21"/>
      <c r="L131" s="21"/>
      <c r="M131" s="22"/>
      <c r="N131" s="20"/>
      <c r="O131" s="20"/>
      <c r="P131" s="44"/>
      <c r="Q131" s="20"/>
      <c r="R131" s="11"/>
      <c r="S131" s="20"/>
      <c r="T131" s="20"/>
      <c r="U131" s="20"/>
    </row>
    <row r="132" spans="1:21" outlineLevel="1" x14ac:dyDescent="0.2">
      <c r="A132" s="19" t="s">
        <v>308</v>
      </c>
      <c r="B132">
        <v>120</v>
      </c>
      <c r="D132">
        <v>130</v>
      </c>
      <c r="E132">
        <v>250</v>
      </c>
      <c r="G132" s="20"/>
      <c r="H132" s="12"/>
      <c r="I132" s="21"/>
      <c r="J132" s="21"/>
      <c r="K132" s="21"/>
      <c r="L132" s="21"/>
      <c r="M132" s="22"/>
      <c r="N132" s="20"/>
      <c r="O132" s="20"/>
      <c r="P132" s="44"/>
      <c r="Q132" s="20"/>
      <c r="R132" s="11"/>
      <c r="S132" s="20"/>
      <c r="T132" s="20"/>
      <c r="U132" s="20"/>
    </row>
    <row r="133" spans="1:21" outlineLevel="1" x14ac:dyDescent="0.2">
      <c r="A133" s="203" t="s">
        <v>133</v>
      </c>
      <c r="D133">
        <v>130</v>
      </c>
      <c r="E133">
        <v>130</v>
      </c>
      <c r="G133" s="20"/>
      <c r="H133" s="12"/>
      <c r="I133" s="21"/>
      <c r="J133" s="21"/>
      <c r="K133" s="21"/>
      <c r="L133" s="21"/>
      <c r="M133" s="22"/>
      <c r="N133" s="20"/>
      <c r="O133" s="20"/>
      <c r="P133" s="44"/>
      <c r="Q133" s="20"/>
      <c r="R133" s="11"/>
      <c r="S133" s="20"/>
      <c r="T133" s="20"/>
      <c r="U133" s="20"/>
    </row>
    <row r="134" spans="1:21" outlineLevel="1" x14ac:dyDescent="0.2">
      <c r="A134" s="203" t="s">
        <v>311</v>
      </c>
      <c r="B134">
        <v>120</v>
      </c>
      <c r="E134">
        <v>120</v>
      </c>
      <c r="G134" s="20"/>
      <c r="H134" s="12"/>
      <c r="I134" s="21"/>
      <c r="J134" s="21"/>
      <c r="K134" s="21"/>
      <c r="L134" s="21"/>
      <c r="M134" s="22"/>
      <c r="N134" s="20"/>
      <c r="O134" s="20"/>
      <c r="P134" s="44"/>
      <c r="Q134" s="20"/>
      <c r="R134" s="11"/>
      <c r="S134" s="20"/>
      <c r="T134" s="20"/>
      <c r="U134" s="20"/>
    </row>
    <row r="135" spans="1:21" outlineLevel="1" x14ac:dyDescent="0.2">
      <c r="A135" s="19" t="s">
        <v>297</v>
      </c>
      <c r="B135">
        <v>120</v>
      </c>
      <c r="C135">
        <v>540</v>
      </c>
      <c r="D135">
        <v>130</v>
      </c>
      <c r="E135">
        <v>790</v>
      </c>
      <c r="G135" s="20"/>
      <c r="H135" s="12"/>
      <c r="I135" s="21"/>
      <c r="J135" s="21"/>
      <c r="K135" s="21"/>
      <c r="L135" s="21"/>
      <c r="M135" s="22"/>
      <c r="N135" s="20"/>
      <c r="O135" s="20"/>
      <c r="P135" s="44"/>
      <c r="Q135" s="20"/>
      <c r="R135" s="11"/>
      <c r="S135" s="20"/>
      <c r="T135" s="20"/>
      <c r="U135" s="20"/>
    </row>
    <row r="136" spans="1:21" outlineLevel="1" x14ac:dyDescent="0.2">
      <c r="G136" s="20"/>
      <c r="H136" s="12"/>
      <c r="I136" s="21"/>
      <c r="J136" s="21"/>
      <c r="K136" s="21"/>
      <c r="L136" s="21"/>
      <c r="M136" s="22"/>
      <c r="N136" s="20"/>
      <c r="O136" s="20"/>
      <c r="P136" s="44"/>
      <c r="Q136" s="20"/>
      <c r="R136" s="11"/>
      <c r="S136" s="20"/>
      <c r="T136" s="20"/>
      <c r="U136" s="20"/>
    </row>
    <row r="137" spans="1:21" outlineLevel="1" x14ac:dyDescent="0.2">
      <c r="G137" s="20"/>
      <c r="H137" s="12"/>
      <c r="I137" s="21"/>
      <c r="J137" s="21"/>
      <c r="K137" s="21"/>
      <c r="L137" s="21"/>
      <c r="M137" s="22"/>
      <c r="N137" s="20"/>
      <c r="O137" s="20"/>
      <c r="P137" s="44"/>
      <c r="Q137" s="20"/>
      <c r="R137" s="11"/>
      <c r="S137" s="20"/>
      <c r="T137" s="20"/>
      <c r="U137" s="20"/>
    </row>
    <row r="141" spans="1:21" ht="19" x14ac:dyDescent="0.25">
      <c r="A141" s="256" t="s">
        <v>158</v>
      </c>
      <c r="B141" s="202"/>
      <c r="C141" s="202"/>
      <c r="D141" s="202"/>
      <c r="E141" s="202"/>
      <c r="F141" s="202"/>
    </row>
    <row r="142" spans="1:21" outlineLevel="1" x14ac:dyDescent="0.2"/>
    <row r="143" spans="1:21" outlineLevel="1" x14ac:dyDescent="0.2">
      <c r="A143" s="200" t="s">
        <v>39</v>
      </c>
      <c r="B143" t="s">
        <v>294</v>
      </c>
      <c r="C143" s="11"/>
      <c r="D143" s="11"/>
      <c r="E143" s="11"/>
      <c r="F143" s="11"/>
      <c r="G143" s="11"/>
      <c r="H143" s="12"/>
      <c r="I143" s="21"/>
      <c r="J143" s="21"/>
      <c r="K143" s="20"/>
      <c r="L143" s="20"/>
      <c r="M143" s="22"/>
      <c r="N143" s="20"/>
      <c r="O143" s="20"/>
      <c r="P143" s="20"/>
    </row>
    <row r="144" spans="1:21" outlineLevel="1" x14ac:dyDescent="0.2">
      <c r="A144" s="11"/>
      <c r="B144" s="11"/>
      <c r="C144" s="11"/>
      <c r="D144" s="11"/>
      <c r="E144" s="11"/>
      <c r="F144" s="11"/>
      <c r="G144" s="11"/>
      <c r="H144" s="12"/>
      <c r="I144" s="21"/>
      <c r="J144" s="21"/>
      <c r="K144" s="20"/>
      <c r="L144" s="20"/>
      <c r="M144" s="22"/>
      <c r="N144" s="20"/>
      <c r="O144" s="20"/>
      <c r="P144" s="20"/>
    </row>
    <row r="145" spans="1:16" outlineLevel="1" x14ac:dyDescent="0.2">
      <c r="A145" s="200" t="s">
        <v>312</v>
      </c>
      <c r="B145" s="200" t="s">
        <v>299</v>
      </c>
      <c r="M145" s="22"/>
      <c r="N145" s="20"/>
      <c r="O145" s="20"/>
      <c r="P145" s="20"/>
    </row>
    <row r="146" spans="1:16" outlineLevel="1" x14ac:dyDescent="0.2">
      <c r="A146" s="200" t="s">
        <v>296</v>
      </c>
      <c r="B146" t="s">
        <v>45</v>
      </c>
      <c r="C146" t="s">
        <v>149</v>
      </c>
      <c r="D146" t="s">
        <v>150</v>
      </c>
      <c r="E146" t="s">
        <v>151</v>
      </c>
      <c r="F146" t="s">
        <v>297</v>
      </c>
      <c r="M146" s="22"/>
      <c r="N146" s="20"/>
      <c r="O146" s="20"/>
      <c r="P146" s="20"/>
    </row>
    <row r="147" spans="1:16" outlineLevel="1" x14ac:dyDescent="0.2">
      <c r="A147" s="19" t="s">
        <v>313</v>
      </c>
      <c r="B147" s="263"/>
      <c r="C147" s="263">
        <v>700</v>
      </c>
      <c r="D147" s="263">
        <v>1000</v>
      </c>
      <c r="E147" s="263">
        <v>500</v>
      </c>
      <c r="F147" s="263">
        <v>2200</v>
      </c>
      <c r="M147" s="22"/>
      <c r="N147" s="20"/>
      <c r="O147" s="20"/>
      <c r="P147" s="20"/>
    </row>
    <row r="148" spans="1:16" outlineLevel="1" x14ac:dyDescent="0.2">
      <c r="A148" s="203" t="s">
        <v>314</v>
      </c>
      <c r="B148" s="263"/>
      <c r="C148" s="263">
        <v>700</v>
      </c>
      <c r="D148" s="263">
        <v>1000</v>
      </c>
      <c r="E148" s="263">
        <v>500</v>
      </c>
      <c r="F148" s="263">
        <v>2200</v>
      </c>
      <c r="M148" s="22"/>
      <c r="N148" s="20"/>
      <c r="O148" s="20"/>
      <c r="P148" s="20"/>
    </row>
    <row r="149" spans="1:16" outlineLevel="1" x14ac:dyDescent="0.2">
      <c r="A149" s="19" t="s">
        <v>315</v>
      </c>
      <c r="B149" s="263">
        <v>1000</v>
      </c>
      <c r="C149" s="263">
        <v>500</v>
      </c>
      <c r="D149" s="263"/>
      <c r="E149" s="263">
        <v>750</v>
      </c>
      <c r="F149" s="263">
        <v>2250</v>
      </c>
      <c r="H149" s="12"/>
      <c r="I149" s="21"/>
      <c r="J149" s="21"/>
      <c r="K149" s="20"/>
      <c r="L149" s="20"/>
      <c r="M149" s="22"/>
      <c r="N149" s="20"/>
      <c r="O149" s="20"/>
      <c r="P149" s="20"/>
    </row>
    <row r="150" spans="1:16" outlineLevel="1" x14ac:dyDescent="0.2">
      <c r="A150" s="203" t="s">
        <v>316</v>
      </c>
      <c r="B150" s="263">
        <v>500</v>
      </c>
      <c r="C150" s="263"/>
      <c r="D150" s="263"/>
      <c r="E150" s="263">
        <v>750</v>
      </c>
      <c r="F150" s="263">
        <v>1250</v>
      </c>
      <c r="H150" s="12"/>
      <c r="I150" s="21"/>
      <c r="J150" s="21"/>
      <c r="K150" s="20"/>
      <c r="L150" s="20"/>
      <c r="M150" s="22"/>
      <c r="N150" s="20"/>
      <c r="O150" s="20"/>
      <c r="P150" s="20"/>
    </row>
    <row r="151" spans="1:16" outlineLevel="1" x14ac:dyDescent="0.2">
      <c r="A151" s="203" t="s">
        <v>317</v>
      </c>
      <c r="B151" s="263">
        <v>500</v>
      </c>
      <c r="C151" s="263"/>
      <c r="D151" s="263"/>
      <c r="E151" s="263"/>
      <c r="F151" s="263">
        <v>500</v>
      </c>
      <c r="H151" s="12"/>
      <c r="I151" s="21"/>
      <c r="J151" s="21"/>
      <c r="K151" s="20"/>
      <c r="L151" s="20"/>
      <c r="M151" s="22"/>
      <c r="N151" s="20"/>
      <c r="O151" s="20"/>
      <c r="P151" s="20"/>
    </row>
    <row r="152" spans="1:16" outlineLevel="1" x14ac:dyDescent="0.2">
      <c r="A152" s="203" t="s">
        <v>318</v>
      </c>
      <c r="B152" s="263"/>
      <c r="C152" s="263">
        <v>500</v>
      </c>
      <c r="D152" s="263"/>
      <c r="E152" s="263"/>
      <c r="F152" s="263">
        <v>500</v>
      </c>
      <c r="H152" s="12"/>
      <c r="I152" s="21"/>
      <c r="J152" s="21"/>
      <c r="K152" s="20"/>
      <c r="L152" s="20"/>
      <c r="M152" s="22"/>
      <c r="N152" s="20"/>
      <c r="O152" s="20"/>
      <c r="P152" s="20"/>
    </row>
    <row r="153" spans="1:16" outlineLevel="1" x14ac:dyDescent="0.2">
      <c r="A153" s="19" t="s">
        <v>297</v>
      </c>
      <c r="B153" s="263">
        <v>1000</v>
      </c>
      <c r="C153" s="263">
        <v>1200</v>
      </c>
      <c r="D153" s="263">
        <v>1000</v>
      </c>
      <c r="E153" s="263">
        <v>1250</v>
      </c>
      <c r="F153" s="263">
        <v>4450</v>
      </c>
      <c r="H153" s="12"/>
      <c r="I153" s="21"/>
      <c r="J153" s="21"/>
      <c r="K153" s="20"/>
      <c r="L153" s="20"/>
      <c r="M153" s="22"/>
      <c r="N153" s="20"/>
      <c r="O153" s="20"/>
      <c r="P153" s="20"/>
    </row>
    <row r="154" spans="1:16" outlineLevel="1" x14ac:dyDescent="0.2">
      <c r="H154" s="12"/>
      <c r="I154" s="21"/>
      <c r="J154" s="21"/>
      <c r="K154" s="20"/>
      <c r="L154" s="20"/>
      <c r="M154" s="22"/>
      <c r="N154" s="20"/>
      <c r="O154" s="20"/>
      <c r="P154" s="20"/>
    </row>
    <row r="155" spans="1:16" outlineLevel="1" x14ac:dyDescent="0.2">
      <c r="H155" s="12"/>
      <c r="I155" s="21"/>
      <c r="J155" s="21"/>
      <c r="K155" s="20"/>
      <c r="L155" s="20"/>
      <c r="M155" s="22"/>
      <c r="N155" s="20"/>
      <c r="O155" s="20"/>
      <c r="P155" s="20"/>
    </row>
    <row r="156" spans="1:16" outlineLevel="1" x14ac:dyDescent="0.2">
      <c r="H156" s="12"/>
      <c r="I156" s="21"/>
      <c r="J156" s="21"/>
      <c r="K156" s="20"/>
      <c r="L156" s="20"/>
      <c r="M156" s="22"/>
      <c r="N156" s="20"/>
      <c r="O156" s="20"/>
      <c r="P156" s="20"/>
    </row>
    <row r="157" spans="1:16" outlineLevel="1" x14ac:dyDescent="0.2">
      <c r="H157" s="12"/>
      <c r="I157" s="21"/>
      <c r="J157" s="21"/>
      <c r="K157" s="20"/>
      <c r="L157" s="20"/>
      <c r="M157" s="22"/>
      <c r="N157" s="20"/>
      <c r="O157" s="20"/>
      <c r="P157" s="20"/>
    </row>
    <row r="158" spans="1:16" outlineLevel="1" x14ac:dyDescent="0.2">
      <c r="H158" s="12"/>
      <c r="I158" s="21"/>
      <c r="J158" s="21"/>
      <c r="K158" s="20"/>
      <c r="L158" s="20"/>
      <c r="M158" s="22"/>
      <c r="N158" s="20"/>
      <c r="O158" s="20"/>
      <c r="P158" s="20"/>
    </row>
    <row r="159" spans="1:16" outlineLevel="1" x14ac:dyDescent="0.2">
      <c r="H159" s="12"/>
      <c r="I159" s="21"/>
      <c r="J159" s="21"/>
      <c r="K159" s="20"/>
      <c r="L159" s="20"/>
      <c r="M159" s="22"/>
      <c r="N159" s="20"/>
      <c r="O159" s="20"/>
      <c r="P159" s="20"/>
    </row>
    <row r="160" spans="1:16" outlineLevel="1" x14ac:dyDescent="0.2">
      <c r="H160" s="12"/>
      <c r="I160" s="21"/>
      <c r="J160" s="21"/>
      <c r="K160" s="20"/>
      <c r="L160" s="20"/>
      <c r="M160" s="22"/>
      <c r="N160" s="20"/>
      <c r="O160" s="20"/>
      <c r="P160" s="20"/>
    </row>
    <row r="161" spans="8:16" outlineLevel="1" x14ac:dyDescent="0.2">
      <c r="H161" s="12"/>
      <c r="I161" s="21"/>
      <c r="J161" s="21"/>
      <c r="K161" s="20"/>
      <c r="L161" s="20"/>
      <c r="M161" s="22"/>
      <c r="N161" s="20"/>
      <c r="O161" s="20"/>
      <c r="P161" s="20"/>
    </row>
    <row r="162" spans="8:16" outlineLevel="1" x14ac:dyDescent="0.2">
      <c r="H162" s="12"/>
      <c r="I162" s="21"/>
      <c r="J162" s="21"/>
      <c r="K162" s="20"/>
      <c r="L162" s="20"/>
      <c r="M162" s="22"/>
      <c r="N162" s="20"/>
      <c r="O162" s="20"/>
      <c r="P162" s="20"/>
    </row>
    <row r="163" spans="8:16" outlineLevel="1" x14ac:dyDescent="0.2">
      <c r="H163" s="12"/>
      <c r="I163" s="21"/>
      <c r="J163" s="21"/>
      <c r="K163" s="20"/>
      <c r="L163" s="20"/>
      <c r="M163" s="22"/>
      <c r="N163" s="20"/>
      <c r="O163" s="20"/>
      <c r="P163" s="20"/>
    </row>
    <row r="164" spans="8:16" outlineLevel="1" x14ac:dyDescent="0.2"/>
    <row r="165" spans="8:16" outlineLevel="1" x14ac:dyDescent="0.2"/>
    <row r="166" spans="8:16" outlineLevel="1" x14ac:dyDescent="0.2"/>
  </sheetData>
  <pageMargins left="0.7" right="0.7" top="0.75" bottom="0.75" header="0.3" footer="0.3"/>
  <drawing r:id="rId8"/>
  <extLst>
    <ext xmlns:x14="http://schemas.microsoft.com/office/spreadsheetml/2009/9/main" uri="{A8765BA9-456A-4dab-B4F3-ACF838C121DE}">
      <x14:slicerList>
        <x14:slicer r:id="rId9"/>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E6799-777E-4193-84B1-1F194371ED87}">
  <sheetPr codeName="Sheet9"/>
  <dimension ref="B3:AQ157"/>
  <sheetViews>
    <sheetView showGridLines="0" zoomScale="118" zoomScaleNormal="115" workbookViewId="0">
      <selection activeCell="B9" sqref="B9"/>
    </sheetView>
  </sheetViews>
  <sheetFormatPr baseColWidth="10" defaultColWidth="8.83203125" defaultRowHeight="15" x14ac:dyDescent="0.2"/>
  <cols>
    <col min="1" max="1" width="2.83203125" customWidth="1"/>
    <col min="2" max="2" width="27" customWidth="1"/>
    <col min="3" max="3" width="2.5" customWidth="1"/>
    <col min="4" max="4" width="28.33203125" customWidth="1"/>
    <col min="5" max="5" width="5.33203125" bestFit="1" customWidth="1"/>
    <col min="6" max="6" width="2.5" customWidth="1"/>
    <col min="7" max="7" width="31.5" customWidth="1"/>
    <col min="8" max="8" width="2.5" customWidth="1"/>
    <col min="9" max="9" width="25.6640625" customWidth="1"/>
    <col min="10" max="10" width="2.5" customWidth="1"/>
    <col min="11" max="11" width="34" bestFit="1" customWidth="1"/>
    <col min="12" max="12" width="15.83203125" bestFit="1" customWidth="1"/>
    <col min="13" max="13" width="4.5" customWidth="1"/>
    <col min="14" max="14" width="27" customWidth="1"/>
    <col min="15" max="15" width="4.5" customWidth="1"/>
    <col min="16" max="16" width="29.6640625" customWidth="1"/>
    <col min="17" max="17" width="12.83203125" customWidth="1"/>
    <col min="18" max="18" width="5" customWidth="1"/>
    <col min="21" max="21" width="3.6640625" customWidth="1"/>
    <col min="23" max="23" width="5" customWidth="1"/>
    <col min="24" max="24" width="14.83203125" style="19" customWidth="1"/>
    <col min="25" max="25" width="4" customWidth="1"/>
    <col min="27" max="27" width="4" customWidth="1"/>
    <col min="28" max="28" width="24.33203125" customWidth="1"/>
    <col min="29" max="29" width="3.6640625" customWidth="1"/>
    <col min="30" max="30" width="4.1640625" customWidth="1"/>
    <col min="31" max="31" width="19.1640625" customWidth="1"/>
    <col min="32" max="32" width="3.5" customWidth="1"/>
    <col min="33" max="33" width="36.6640625" customWidth="1"/>
    <col min="34" max="34" width="3.6640625" customWidth="1"/>
    <col min="35" max="35" width="10" customWidth="1"/>
    <col min="36" max="36" width="3.1640625" customWidth="1"/>
    <col min="37" max="37" width="25" bestFit="1" customWidth="1"/>
    <col min="38" max="38" width="2.6640625" customWidth="1"/>
    <col min="39" max="39" width="49" customWidth="1"/>
    <col min="40" max="40" width="2.6640625" customWidth="1"/>
    <col min="41" max="41" width="18.6640625" customWidth="1"/>
  </cols>
  <sheetData>
    <row r="3" spans="2:43" x14ac:dyDescent="0.2">
      <c r="B3" s="15" t="s">
        <v>137</v>
      </c>
      <c r="D3" s="15" t="s">
        <v>319</v>
      </c>
      <c r="E3" s="15" t="s">
        <v>320</v>
      </c>
      <c r="G3" s="265" t="s">
        <v>321</v>
      </c>
      <c r="I3" s="5" t="s">
        <v>322</v>
      </c>
      <c r="K3" s="15" t="s">
        <v>8</v>
      </c>
      <c r="L3" s="15" t="s">
        <v>322</v>
      </c>
      <c r="N3" s="214" t="s">
        <v>323</v>
      </c>
      <c r="P3" s="15" t="s">
        <v>324</v>
      </c>
      <c r="Q3" s="15" t="s">
        <v>51</v>
      </c>
      <c r="S3" s="15" t="s">
        <v>39</v>
      </c>
      <c r="T3" s="15" t="s">
        <v>325</v>
      </c>
      <c r="V3" s="15" t="s">
        <v>168</v>
      </c>
      <c r="X3" s="15" t="s">
        <v>154</v>
      </c>
      <c r="Z3" s="15" t="s">
        <v>326</v>
      </c>
      <c r="AB3" s="15" t="s">
        <v>327</v>
      </c>
      <c r="AE3" s="15" t="s">
        <v>328</v>
      </c>
      <c r="AG3" s="15" t="s">
        <v>131</v>
      </c>
      <c r="AI3" s="15" t="s">
        <v>329</v>
      </c>
      <c r="AK3" s="15" t="s">
        <v>59</v>
      </c>
      <c r="AM3" s="15" t="s">
        <v>330</v>
      </c>
      <c r="AO3" s="15" t="s">
        <v>331</v>
      </c>
      <c r="AQ3" s="15" t="s">
        <v>43</v>
      </c>
    </row>
    <row r="4" spans="2:43" x14ac:dyDescent="0.2">
      <c r="B4" s="16" t="s">
        <v>139</v>
      </c>
      <c r="D4" s="16" t="s">
        <v>313</v>
      </c>
      <c r="E4" s="16" t="s">
        <v>332</v>
      </c>
      <c r="G4" s="16" t="s">
        <v>333</v>
      </c>
      <c r="I4" s="2" t="s">
        <v>334</v>
      </c>
      <c r="K4" s="16" t="s">
        <v>335</v>
      </c>
      <c r="L4" s="16" t="s">
        <v>336</v>
      </c>
      <c r="N4" s="16" t="s">
        <v>337</v>
      </c>
      <c r="P4" s="51" t="s">
        <v>37</v>
      </c>
      <c r="Q4" s="51" t="s">
        <v>53</v>
      </c>
      <c r="S4" s="16" t="s">
        <v>338</v>
      </c>
      <c r="T4" s="16" t="s">
        <v>45</v>
      </c>
      <c r="V4" s="50">
        <v>2019</v>
      </c>
      <c r="X4" s="49" t="s">
        <v>339</v>
      </c>
      <c r="Z4" s="16" t="s">
        <v>340</v>
      </c>
      <c r="AB4" s="16" t="s">
        <v>188</v>
      </c>
      <c r="AE4" s="16" t="s">
        <v>124</v>
      </c>
      <c r="AG4" s="16" t="s">
        <v>341</v>
      </c>
      <c r="AI4" s="16" t="s">
        <v>342</v>
      </c>
      <c r="AK4" s="16" t="s">
        <v>343</v>
      </c>
      <c r="AM4" s="16" t="s">
        <v>194</v>
      </c>
      <c r="AO4" s="16" t="s">
        <v>344</v>
      </c>
      <c r="AQ4" s="16" t="s">
        <v>45</v>
      </c>
    </row>
    <row r="5" spans="2:43" x14ac:dyDescent="0.2">
      <c r="B5" s="16" t="s">
        <v>318</v>
      </c>
      <c r="D5" s="16" t="s">
        <v>345</v>
      </c>
      <c r="E5" s="16" t="s">
        <v>346</v>
      </c>
      <c r="G5" s="16" t="s">
        <v>347</v>
      </c>
      <c r="I5" s="2" t="s">
        <v>348</v>
      </c>
      <c r="K5" s="16" t="s">
        <v>349</v>
      </c>
      <c r="L5" s="16" t="s">
        <v>350</v>
      </c>
      <c r="N5" s="16"/>
      <c r="P5" s="51" t="s">
        <v>298</v>
      </c>
      <c r="Q5" s="51" t="s">
        <v>53</v>
      </c>
      <c r="S5" s="16" t="s">
        <v>89</v>
      </c>
      <c r="T5" s="16" t="s">
        <v>45</v>
      </c>
      <c r="V5" s="50">
        <v>2020</v>
      </c>
      <c r="X5" s="49" t="s">
        <v>351</v>
      </c>
      <c r="Z5" s="16" t="s">
        <v>3</v>
      </c>
      <c r="AB5" s="16" t="s">
        <v>352</v>
      </c>
      <c r="AE5" s="16" t="s">
        <v>309</v>
      </c>
      <c r="AG5" s="16" t="s">
        <v>133</v>
      </c>
      <c r="AI5" s="16" t="s">
        <v>353</v>
      </c>
      <c r="AK5" s="16" t="s">
        <v>354</v>
      </c>
      <c r="AM5" s="16" t="s">
        <v>197</v>
      </c>
      <c r="AO5" s="16" t="s">
        <v>355</v>
      </c>
      <c r="AQ5" s="16" t="s">
        <v>149</v>
      </c>
    </row>
    <row r="6" spans="2:43" x14ac:dyDescent="0.2">
      <c r="B6" s="16" t="s">
        <v>356</v>
      </c>
      <c r="D6" s="16" t="s">
        <v>357</v>
      </c>
      <c r="E6" s="16" t="s">
        <v>346</v>
      </c>
      <c r="G6" s="16" t="s">
        <v>358</v>
      </c>
      <c r="K6" s="16" t="s">
        <v>359</v>
      </c>
      <c r="L6" s="16" t="s">
        <v>360</v>
      </c>
      <c r="P6" s="51" t="s">
        <v>361</v>
      </c>
      <c r="Q6" s="51" t="s">
        <v>53</v>
      </c>
      <c r="S6" s="16" t="s">
        <v>362</v>
      </c>
      <c r="T6" s="16" t="s">
        <v>45</v>
      </c>
      <c r="V6" s="50">
        <v>2021</v>
      </c>
      <c r="X6" s="49" t="s">
        <v>363</v>
      </c>
      <c r="AB6" s="16" t="s">
        <v>86</v>
      </c>
      <c r="AE6" s="16" t="s">
        <v>307</v>
      </c>
      <c r="AG6" s="16" t="s">
        <v>364</v>
      </c>
      <c r="AK6" s="16" t="s">
        <v>365</v>
      </c>
      <c r="AM6" s="16" t="s">
        <v>200</v>
      </c>
      <c r="AO6" s="16" t="s">
        <v>366</v>
      </c>
      <c r="AQ6" s="16" t="s">
        <v>150</v>
      </c>
    </row>
    <row r="7" spans="2:43" x14ac:dyDescent="0.2">
      <c r="B7" s="16" t="s">
        <v>367</v>
      </c>
      <c r="D7" s="16" t="s">
        <v>347</v>
      </c>
      <c r="G7" s="16" t="s">
        <v>368</v>
      </c>
      <c r="K7" s="16" t="s">
        <v>369</v>
      </c>
      <c r="L7" s="16" t="s">
        <v>350</v>
      </c>
      <c r="P7" s="51" t="s">
        <v>370</v>
      </c>
      <c r="Q7" s="51" t="s">
        <v>283</v>
      </c>
      <c r="S7" s="16" t="s">
        <v>371</v>
      </c>
      <c r="T7" s="16" t="s">
        <v>149</v>
      </c>
      <c r="V7" s="50">
        <v>2022</v>
      </c>
      <c r="X7" s="49" t="s">
        <v>372</v>
      </c>
      <c r="AE7" s="16" t="s">
        <v>373</v>
      </c>
      <c r="AG7" s="16"/>
      <c r="AK7" s="16" t="s">
        <v>374</v>
      </c>
      <c r="AM7" s="16" t="s">
        <v>203</v>
      </c>
      <c r="AO7" s="16" t="s">
        <v>375</v>
      </c>
      <c r="AQ7" s="16" t="s">
        <v>151</v>
      </c>
    </row>
    <row r="8" spans="2:43" x14ac:dyDescent="0.2">
      <c r="B8" s="16" t="s">
        <v>317</v>
      </c>
      <c r="D8" s="16" t="s">
        <v>376</v>
      </c>
      <c r="G8" s="16" t="s">
        <v>364</v>
      </c>
      <c r="K8" s="16" t="s">
        <v>377</v>
      </c>
      <c r="L8" s="16" t="s">
        <v>360</v>
      </c>
      <c r="P8" s="51" t="s">
        <v>378</v>
      </c>
      <c r="Q8" s="51" t="s">
        <v>220</v>
      </c>
      <c r="S8" s="16" t="s">
        <v>379</v>
      </c>
      <c r="T8" s="16" t="s">
        <v>149</v>
      </c>
      <c r="V8" s="50">
        <v>2023</v>
      </c>
      <c r="X8" s="49" t="s">
        <v>380</v>
      </c>
      <c r="AE8" s="16" t="s">
        <v>364</v>
      </c>
      <c r="AK8" s="16" t="s">
        <v>381</v>
      </c>
      <c r="AM8" s="16" t="s">
        <v>364</v>
      </c>
      <c r="AO8" s="16" t="s">
        <v>382</v>
      </c>
    </row>
    <row r="9" spans="2:43" ht="16" x14ac:dyDescent="0.2">
      <c r="B9" s="16" t="s">
        <v>383</v>
      </c>
      <c r="D9" s="16" t="s">
        <v>384</v>
      </c>
      <c r="K9" s="16" t="s">
        <v>385</v>
      </c>
      <c r="L9" s="16" t="s">
        <v>360</v>
      </c>
      <c r="S9" s="16" t="s">
        <v>386</v>
      </c>
      <c r="T9" s="16" t="s">
        <v>149</v>
      </c>
      <c r="V9" s="50">
        <v>2024</v>
      </c>
      <c r="X9" s="49" t="s">
        <v>364</v>
      </c>
      <c r="AK9" s="376" t="s">
        <v>387</v>
      </c>
      <c r="AO9" s="16" t="s">
        <v>388</v>
      </c>
    </row>
    <row r="10" spans="2:43" ht="16" x14ac:dyDescent="0.2">
      <c r="D10" s="16" t="s">
        <v>364</v>
      </c>
      <c r="K10" s="16" t="s">
        <v>389</v>
      </c>
      <c r="L10" s="16" t="s">
        <v>350</v>
      </c>
      <c r="S10" s="16" t="s">
        <v>390</v>
      </c>
      <c r="T10" s="16" t="s">
        <v>150</v>
      </c>
      <c r="V10" s="50">
        <v>2025</v>
      </c>
      <c r="X10"/>
      <c r="AK10" s="376" t="s">
        <v>391</v>
      </c>
      <c r="AO10" s="16" t="s">
        <v>392</v>
      </c>
    </row>
    <row r="11" spans="2:43" ht="16" x14ac:dyDescent="0.2">
      <c r="K11" s="16" t="s">
        <v>393</v>
      </c>
      <c r="L11" s="16" t="s">
        <v>336</v>
      </c>
      <c r="S11" s="16" t="s">
        <v>41</v>
      </c>
      <c r="T11" s="16" t="s">
        <v>150</v>
      </c>
      <c r="V11" s="50">
        <v>2026</v>
      </c>
      <c r="X11"/>
      <c r="AK11" s="376" t="s">
        <v>394</v>
      </c>
      <c r="AO11" s="16" t="s">
        <v>395</v>
      </c>
    </row>
    <row r="12" spans="2:43" ht="16" x14ac:dyDescent="0.2">
      <c r="K12" s="16" t="s">
        <v>396</v>
      </c>
      <c r="L12" s="16" t="s">
        <v>360</v>
      </c>
      <c r="S12" s="16" t="s">
        <v>397</v>
      </c>
      <c r="T12" s="16" t="s">
        <v>150</v>
      </c>
      <c r="V12" s="50">
        <v>2027</v>
      </c>
      <c r="X12"/>
      <c r="AK12" s="376" t="s">
        <v>364</v>
      </c>
      <c r="AO12" s="16" t="s">
        <v>398</v>
      </c>
    </row>
    <row r="13" spans="2:43" x14ac:dyDescent="0.2">
      <c r="K13" s="16" t="s">
        <v>11</v>
      </c>
      <c r="L13" s="16" t="s">
        <v>399</v>
      </c>
      <c r="S13" s="16" t="s">
        <v>400</v>
      </c>
      <c r="T13" s="16" t="s">
        <v>151</v>
      </c>
      <c r="V13" s="50">
        <v>2028</v>
      </c>
      <c r="X13"/>
      <c r="AO13" s="16" t="s">
        <v>401</v>
      </c>
    </row>
    <row r="14" spans="2:43" x14ac:dyDescent="0.2">
      <c r="K14" s="16" t="s">
        <v>402</v>
      </c>
      <c r="L14" s="16" t="s">
        <v>336</v>
      </c>
      <c r="P14" s="15" t="s">
        <v>403</v>
      </c>
      <c r="Q14" s="15" t="s">
        <v>51</v>
      </c>
      <c r="S14" s="16" t="s">
        <v>404</v>
      </c>
      <c r="T14" s="16" t="s">
        <v>151</v>
      </c>
      <c r="V14" s="50">
        <v>2029</v>
      </c>
      <c r="X14"/>
      <c r="AO14" s="16" t="s">
        <v>405</v>
      </c>
    </row>
    <row r="15" spans="2:43" x14ac:dyDescent="0.2">
      <c r="K15" s="16" t="s">
        <v>406</v>
      </c>
      <c r="L15" s="16" t="s">
        <v>350</v>
      </c>
      <c r="P15" s="51" t="s">
        <v>63</v>
      </c>
      <c r="Q15" s="51" t="s">
        <v>53</v>
      </c>
      <c r="S15" s="16" t="s">
        <v>407</v>
      </c>
      <c r="T15" s="16" t="s">
        <v>151</v>
      </c>
      <c r="V15" s="50">
        <v>2030</v>
      </c>
      <c r="X15"/>
      <c r="AO15" s="16" t="s">
        <v>408</v>
      </c>
    </row>
    <row r="16" spans="2:43" x14ac:dyDescent="0.2">
      <c r="K16" s="16" t="s">
        <v>409</v>
      </c>
      <c r="L16" s="16" t="s">
        <v>410</v>
      </c>
      <c r="P16" s="51" t="s">
        <v>411</v>
      </c>
      <c r="Q16" s="51" t="s">
        <v>53</v>
      </c>
      <c r="V16" s="19"/>
      <c r="X16"/>
      <c r="AO16" s="16" t="s">
        <v>412</v>
      </c>
    </row>
    <row r="17" spans="11:41" x14ac:dyDescent="0.2">
      <c r="K17" s="16" t="s">
        <v>413</v>
      </c>
      <c r="L17" s="16" t="s">
        <v>410</v>
      </c>
      <c r="P17" s="51"/>
      <c r="Q17" s="51"/>
      <c r="X17"/>
      <c r="AO17" s="16" t="s">
        <v>414</v>
      </c>
    </row>
    <row r="18" spans="11:41" x14ac:dyDescent="0.2">
      <c r="K18" s="16" t="s">
        <v>415</v>
      </c>
      <c r="L18" s="16" t="s">
        <v>360</v>
      </c>
      <c r="P18" s="163"/>
      <c r="Q18" s="163"/>
      <c r="X18"/>
      <c r="AO18" s="16" t="s">
        <v>416</v>
      </c>
    </row>
    <row r="19" spans="11:41" x14ac:dyDescent="0.2">
      <c r="K19" s="16" t="s">
        <v>417</v>
      </c>
      <c r="L19" s="16" t="s">
        <v>350</v>
      </c>
      <c r="X19"/>
      <c r="AO19" s="16" t="s">
        <v>418</v>
      </c>
    </row>
    <row r="20" spans="11:41" x14ac:dyDescent="0.2">
      <c r="K20" s="16" t="s">
        <v>419</v>
      </c>
      <c r="L20" s="16" t="s">
        <v>360</v>
      </c>
      <c r="X20"/>
      <c r="AO20" s="16" t="s">
        <v>420</v>
      </c>
    </row>
    <row r="21" spans="11:41" x14ac:dyDescent="0.2">
      <c r="K21" s="16" t="s">
        <v>421</v>
      </c>
      <c r="L21" s="16" t="s">
        <v>410</v>
      </c>
      <c r="X21"/>
      <c r="AO21" s="16" t="s">
        <v>422</v>
      </c>
    </row>
    <row r="22" spans="11:41" x14ac:dyDescent="0.2">
      <c r="K22" s="16" t="s">
        <v>423</v>
      </c>
      <c r="L22" s="16" t="s">
        <v>336</v>
      </c>
      <c r="X22"/>
      <c r="AO22" s="16" t="s">
        <v>424</v>
      </c>
    </row>
    <row r="23" spans="11:41" x14ac:dyDescent="0.2">
      <c r="K23" s="16" t="s">
        <v>425</v>
      </c>
      <c r="L23" s="16" t="s">
        <v>350</v>
      </c>
      <c r="X23"/>
      <c r="AO23" s="16" t="s">
        <v>426</v>
      </c>
    </row>
    <row r="24" spans="11:41" x14ac:dyDescent="0.2">
      <c r="K24" s="16" t="s">
        <v>427</v>
      </c>
      <c r="L24" s="16" t="s">
        <v>399</v>
      </c>
      <c r="X24"/>
      <c r="AO24" s="16" t="s">
        <v>428</v>
      </c>
    </row>
    <row r="25" spans="11:41" x14ac:dyDescent="0.2">
      <c r="K25" s="16" t="s">
        <v>429</v>
      </c>
      <c r="L25" s="16" t="s">
        <v>410</v>
      </c>
      <c r="X25"/>
      <c r="AO25" s="16" t="s">
        <v>430</v>
      </c>
    </row>
    <row r="26" spans="11:41" x14ac:dyDescent="0.2">
      <c r="K26" s="16" t="s">
        <v>431</v>
      </c>
      <c r="L26" s="16" t="s">
        <v>336</v>
      </c>
      <c r="X26"/>
      <c r="AO26" s="16" t="s">
        <v>432</v>
      </c>
    </row>
    <row r="27" spans="11:41" x14ac:dyDescent="0.2">
      <c r="K27" s="16" t="s">
        <v>433</v>
      </c>
      <c r="L27" s="16" t="s">
        <v>350</v>
      </c>
      <c r="X27"/>
      <c r="AO27" s="16" t="s">
        <v>434</v>
      </c>
    </row>
    <row r="28" spans="11:41" x14ac:dyDescent="0.2">
      <c r="K28" s="16" t="s">
        <v>435</v>
      </c>
      <c r="L28" s="16" t="s">
        <v>336</v>
      </c>
      <c r="X28"/>
      <c r="AO28" s="16" t="s">
        <v>436</v>
      </c>
    </row>
    <row r="29" spans="11:41" x14ac:dyDescent="0.2">
      <c r="K29" s="16" t="s">
        <v>437</v>
      </c>
      <c r="L29" s="16" t="s">
        <v>360</v>
      </c>
      <c r="X29"/>
      <c r="AO29" s="16" t="s">
        <v>438</v>
      </c>
    </row>
    <row r="30" spans="11:41" x14ac:dyDescent="0.2">
      <c r="X30"/>
      <c r="AO30" s="16" t="s">
        <v>439</v>
      </c>
    </row>
    <row r="31" spans="11:41" x14ac:dyDescent="0.2">
      <c r="X31"/>
      <c r="AO31" s="16" t="s">
        <v>440</v>
      </c>
    </row>
    <row r="32" spans="11:41" x14ac:dyDescent="0.2">
      <c r="X32"/>
      <c r="AO32" s="16" t="s">
        <v>441</v>
      </c>
    </row>
    <row r="33" spans="24:41" x14ac:dyDescent="0.2">
      <c r="X33"/>
      <c r="AO33" s="16" t="s">
        <v>442</v>
      </c>
    </row>
    <row r="34" spans="24:41" x14ac:dyDescent="0.2">
      <c r="X34"/>
      <c r="AO34" s="16" t="s">
        <v>443</v>
      </c>
    </row>
    <row r="35" spans="24:41" x14ac:dyDescent="0.2">
      <c r="X35"/>
      <c r="AO35" s="16" t="s">
        <v>444</v>
      </c>
    </row>
    <row r="36" spans="24:41" x14ac:dyDescent="0.2">
      <c r="X36"/>
      <c r="AO36" s="16" t="s">
        <v>445</v>
      </c>
    </row>
    <row r="37" spans="24:41" x14ac:dyDescent="0.2">
      <c r="X37"/>
      <c r="AO37" s="16" t="s">
        <v>446</v>
      </c>
    </row>
    <row r="38" spans="24:41" x14ac:dyDescent="0.2">
      <c r="X38"/>
      <c r="AO38" s="16" t="s">
        <v>447</v>
      </c>
    </row>
    <row r="39" spans="24:41" x14ac:dyDescent="0.2">
      <c r="X39"/>
      <c r="AO39" s="16" t="s">
        <v>448</v>
      </c>
    </row>
    <row r="40" spans="24:41" x14ac:dyDescent="0.2">
      <c r="X40"/>
      <c r="AO40" s="16" t="s">
        <v>449</v>
      </c>
    </row>
    <row r="41" spans="24:41" x14ac:dyDescent="0.2">
      <c r="X41"/>
      <c r="AO41" s="16" t="s">
        <v>450</v>
      </c>
    </row>
    <row r="42" spans="24:41" x14ac:dyDescent="0.2">
      <c r="X42"/>
      <c r="AO42" t="s">
        <v>451</v>
      </c>
    </row>
    <row r="43" spans="24:41" x14ac:dyDescent="0.2">
      <c r="X43"/>
      <c r="AO43" s="16" t="s">
        <v>452</v>
      </c>
    </row>
    <row r="44" spans="24:41" x14ac:dyDescent="0.2">
      <c r="X44"/>
      <c r="AO44" s="16" t="s">
        <v>453</v>
      </c>
    </row>
    <row r="45" spans="24:41" x14ac:dyDescent="0.2">
      <c r="X45"/>
      <c r="AO45" s="16" t="s">
        <v>454</v>
      </c>
    </row>
    <row r="46" spans="24:41" x14ac:dyDescent="0.2">
      <c r="X46"/>
      <c r="AO46" s="16" t="s">
        <v>455</v>
      </c>
    </row>
    <row r="47" spans="24:41" x14ac:dyDescent="0.2">
      <c r="X47"/>
      <c r="AO47" s="16" t="s">
        <v>456</v>
      </c>
    </row>
    <row r="48" spans="24:41" x14ac:dyDescent="0.2">
      <c r="X48"/>
      <c r="AO48" s="16" t="s">
        <v>457</v>
      </c>
    </row>
    <row r="49" spans="24:41" x14ac:dyDescent="0.2">
      <c r="X49"/>
      <c r="AO49" s="16" t="s">
        <v>458</v>
      </c>
    </row>
    <row r="50" spans="24:41" x14ac:dyDescent="0.2">
      <c r="X50"/>
      <c r="AO50" t="s">
        <v>459</v>
      </c>
    </row>
    <row r="51" spans="24:41" x14ac:dyDescent="0.2">
      <c r="X51"/>
      <c r="AO51" s="16" t="s">
        <v>460</v>
      </c>
    </row>
    <row r="52" spans="24:41" x14ac:dyDescent="0.2">
      <c r="X52"/>
      <c r="AO52" s="16" t="s">
        <v>461</v>
      </c>
    </row>
    <row r="53" spans="24:41" x14ac:dyDescent="0.2">
      <c r="X53"/>
      <c r="AO53" s="16" t="s">
        <v>462</v>
      </c>
    </row>
    <row r="54" spans="24:41" x14ac:dyDescent="0.2">
      <c r="X54"/>
      <c r="AO54" s="16" t="s">
        <v>463</v>
      </c>
    </row>
    <row r="55" spans="24:41" x14ac:dyDescent="0.2">
      <c r="X55"/>
      <c r="AO55" s="16" t="s">
        <v>464</v>
      </c>
    </row>
    <row r="56" spans="24:41" x14ac:dyDescent="0.2">
      <c r="X56"/>
      <c r="AO56" s="16" t="s">
        <v>465</v>
      </c>
    </row>
    <row r="57" spans="24:41" x14ac:dyDescent="0.2">
      <c r="X57"/>
      <c r="AO57" s="16" t="s">
        <v>466</v>
      </c>
    </row>
    <row r="58" spans="24:41" x14ac:dyDescent="0.2">
      <c r="AO58" s="16" t="s">
        <v>467</v>
      </c>
    </row>
    <row r="59" spans="24:41" x14ac:dyDescent="0.2">
      <c r="AO59" s="16" t="s">
        <v>468</v>
      </c>
    </row>
    <row r="60" spans="24:41" x14ac:dyDescent="0.2">
      <c r="AO60" s="16" t="s">
        <v>469</v>
      </c>
    </row>
    <row r="61" spans="24:41" x14ac:dyDescent="0.2">
      <c r="AO61" s="16" t="s">
        <v>470</v>
      </c>
    </row>
    <row r="62" spans="24:41" x14ac:dyDescent="0.2">
      <c r="AO62" s="16" t="s">
        <v>471</v>
      </c>
    </row>
    <row r="63" spans="24:41" x14ac:dyDescent="0.2">
      <c r="AO63" s="16" t="s">
        <v>472</v>
      </c>
    </row>
    <row r="64" spans="24:41" x14ac:dyDescent="0.2">
      <c r="AO64" s="16" t="s">
        <v>473</v>
      </c>
    </row>
    <row r="65" spans="41:41" x14ac:dyDescent="0.2">
      <c r="AO65" s="16" t="s">
        <v>474</v>
      </c>
    </row>
    <row r="66" spans="41:41" x14ac:dyDescent="0.2">
      <c r="AO66" s="16" t="s">
        <v>475</v>
      </c>
    </row>
    <row r="67" spans="41:41" x14ac:dyDescent="0.2">
      <c r="AO67" s="16" t="s">
        <v>476</v>
      </c>
    </row>
    <row r="68" spans="41:41" x14ac:dyDescent="0.2">
      <c r="AO68" s="16" t="s">
        <v>477</v>
      </c>
    </row>
    <row r="69" spans="41:41" x14ac:dyDescent="0.2">
      <c r="AO69" s="16" t="s">
        <v>478</v>
      </c>
    </row>
    <row r="70" spans="41:41" x14ac:dyDescent="0.2">
      <c r="AO70" s="16" t="s">
        <v>479</v>
      </c>
    </row>
    <row r="71" spans="41:41" x14ac:dyDescent="0.2">
      <c r="AO71" s="16" t="s">
        <v>480</v>
      </c>
    </row>
    <row r="72" spans="41:41" x14ac:dyDescent="0.2">
      <c r="AO72" s="16" t="s">
        <v>481</v>
      </c>
    </row>
    <row r="73" spans="41:41" x14ac:dyDescent="0.2">
      <c r="AO73" s="16" t="s">
        <v>482</v>
      </c>
    </row>
    <row r="74" spans="41:41" x14ac:dyDescent="0.2">
      <c r="AO74" s="16" t="s">
        <v>483</v>
      </c>
    </row>
    <row r="75" spans="41:41" x14ac:dyDescent="0.2">
      <c r="AO75" s="16" t="s">
        <v>484</v>
      </c>
    </row>
    <row r="76" spans="41:41" x14ac:dyDescent="0.2">
      <c r="AO76" s="16" t="s">
        <v>485</v>
      </c>
    </row>
    <row r="77" spans="41:41" x14ac:dyDescent="0.2">
      <c r="AO77" s="16" t="s">
        <v>486</v>
      </c>
    </row>
    <row r="78" spans="41:41" x14ac:dyDescent="0.2">
      <c r="AO78" s="16" t="s">
        <v>487</v>
      </c>
    </row>
    <row r="79" spans="41:41" x14ac:dyDescent="0.2">
      <c r="AO79" s="16" t="s">
        <v>488</v>
      </c>
    </row>
    <row r="80" spans="41:41" x14ac:dyDescent="0.2">
      <c r="AO80" s="16" t="s">
        <v>489</v>
      </c>
    </row>
    <row r="81" spans="41:41" x14ac:dyDescent="0.2">
      <c r="AO81" s="16" t="s">
        <v>490</v>
      </c>
    </row>
    <row r="82" spans="41:41" x14ac:dyDescent="0.2">
      <c r="AO82" s="16" t="s">
        <v>491</v>
      </c>
    </row>
    <row r="83" spans="41:41" x14ac:dyDescent="0.2">
      <c r="AO83" s="16" t="s">
        <v>492</v>
      </c>
    </row>
    <row r="84" spans="41:41" x14ac:dyDescent="0.2">
      <c r="AO84" s="16" t="s">
        <v>493</v>
      </c>
    </row>
    <row r="85" spans="41:41" x14ac:dyDescent="0.2">
      <c r="AO85" s="16" t="s">
        <v>494</v>
      </c>
    </row>
    <row r="86" spans="41:41" x14ac:dyDescent="0.2">
      <c r="AO86" s="16" t="s">
        <v>495</v>
      </c>
    </row>
    <row r="87" spans="41:41" x14ac:dyDescent="0.2">
      <c r="AO87" s="16" t="s">
        <v>496</v>
      </c>
    </row>
    <row r="88" spans="41:41" x14ac:dyDescent="0.2">
      <c r="AO88" s="16" t="s">
        <v>497</v>
      </c>
    </row>
    <row r="89" spans="41:41" x14ac:dyDescent="0.2">
      <c r="AO89" s="16" t="s">
        <v>498</v>
      </c>
    </row>
    <row r="90" spans="41:41" x14ac:dyDescent="0.2">
      <c r="AO90" s="16" t="s">
        <v>499</v>
      </c>
    </row>
    <row r="91" spans="41:41" x14ac:dyDescent="0.2">
      <c r="AO91" s="16" t="s">
        <v>112</v>
      </c>
    </row>
    <row r="92" spans="41:41" x14ac:dyDescent="0.2">
      <c r="AO92" s="16" t="s">
        <v>500</v>
      </c>
    </row>
    <row r="93" spans="41:41" x14ac:dyDescent="0.2">
      <c r="AO93" s="16" t="s">
        <v>501</v>
      </c>
    </row>
    <row r="94" spans="41:41" x14ac:dyDescent="0.2">
      <c r="AO94" s="16" t="s">
        <v>502</v>
      </c>
    </row>
    <row r="95" spans="41:41" x14ac:dyDescent="0.2">
      <c r="AO95" s="16" t="s">
        <v>503</v>
      </c>
    </row>
    <row r="96" spans="41:41" x14ac:dyDescent="0.2">
      <c r="AO96" s="16" t="s">
        <v>504</v>
      </c>
    </row>
    <row r="97" spans="41:41" x14ac:dyDescent="0.2">
      <c r="AO97" s="16" t="s">
        <v>505</v>
      </c>
    </row>
    <row r="98" spans="41:41" x14ac:dyDescent="0.2">
      <c r="AO98" s="16" t="s">
        <v>506</v>
      </c>
    </row>
    <row r="99" spans="41:41" x14ac:dyDescent="0.2">
      <c r="AO99" s="16" t="s">
        <v>507</v>
      </c>
    </row>
    <row r="100" spans="41:41" x14ac:dyDescent="0.2">
      <c r="AO100" s="16" t="s">
        <v>508</v>
      </c>
    </row>
    <row r="101" spans="41:41" x14ac:dyDescent="0.2">
      <c r="AO101" s="16" t="s">
        <v>509</v>
      </c>
    </row>
    <row r="102" spans="41:41" x14ac:dyDescent="0.2">
      <c r="AO102" s="16" t="s">
        <v>510</v>
      </c>
    </row>
    <row r="103" spans="41:41" x14ac:dyDescent="0.2">
      <c r="AO103" s="16" t="s">
        <v>511</v>
      </c>
    </row>
    <row r="104" spans="41:41" x14ac:dyDescent="0.2">
      <c r="AO104" s="16" t="s">
        <v>512</v>
      </c>
    </row>
    <row r="105" spans="41:41" x14ac:dyDescent="0.2">
      <c r="AO105" s="16" t="s">
        <v>513</v>
      </c>
    </row>
    <row r="106" spans="41:41" x14ac:dyDescent="0.2">
      <c r="AO106" s="16" t="s">
        <v>514</v>
      </c>
    </row>
    <row r="107" spans="41:41" x14ac:dyDescent="0.2">
      <c r="AO107" s="16" t="s">
        <v>515</v>
      </c>
    </row>
    <row r="108" spans="41:41" x14ac:dyDescent="0.2">
      <c r="AO108" s="16" t="s">
        <v>516</v>
      </c>
    </row>
    <row r="109" spans="41:41" x14ac:dyDescent="0.2">
      <c r="AO109" s="16" t="s">
        <v>517</v>
      </c>
    </row>
    <row r="110" spans="41:41" x14ac:dyDescent="0.2">
      <c r="AO110" s="16" t="s">
        <v>518</v>
      </c>
    </row>
    <row r="111" spans="41:41" x14ac:dyDescent="0.2">
      <c r="AO111" s="16" t="s">
        <v>519</v>
      </c>
    </row>
    <row r="112" spans="41:41" x14ac:dyDescent="0.2">
      <c r="AO112" s="16" t="s">
        <v>520</v>
      </c>
    </row>
    <row r="113" spans="41:41" x14ac:dyDescent="0.2">
      <c r="AO113" s="16" t="s">
        <v>521</v>
      </c>
    </row>
    <row r="114" spans="41:41" x14ac:dyDescent="0.2">
      <c r="AO114" s="16" t="s">
        <v>522</v>
      </c>
    </row>
    <row r="115" spans="41:41" x14ac:dyDescent="0.2">
      <c r="AO115" s="16" t="s">
        <v>523</v>
      </c>
    </row>
    <row r="116" spans="41:41" x14ac:dyDescent="0.2">
      <c r="AO116" s="16" t="s">
        <v>524</v>
      </c>
    </row>
    <row r="117" spans="41:41" x14ac:dyDescent="0.2">
      <c r="AO117" s="16" t="s">
        <v>525</v>
      </c>
    </row>
    <row r="118" spans="41:41" x14ac:dyDescent="0.2">
      <c r="AO118" s="16" t="s">
        <v>526</v>
      </c>
    </row>
    <row r="119" spans="41:41" x14ac:dyDescent="0.2">
      <c r="AO119" s="16" t="s">
        <v>527</v>
      </c>
    </row>
    <row r="120" spans="41:41" x14ac:dyDescent="0.2">
      <c r="AO120" s="16" t="s">
        <v>528</v>
      </c>
    </row>
    <row r="121" spans="41:41" x14ac:dyDescent="0.2">
      <c r="AO121" s="16" t="s">
        <v>529</v>
      </c>
    </row>
    <row r="122" spans="41:41" x14ac:dyDescent="0.2">
      <c r="AO122" s="16" t="s">
        <v>530</v>
      </c>
    </row>
    <row r="123" spans="41:41" x14ac:dyDescent="0.2">
      <c r="AO123" s="16" t="s">
        <v>531</v>
      </c>
    </row>
    <row r="124" spans="41:41" x14ac:dyDescent="0.2">
      <c r="AO124" s="16" t="s">
        <v>532</v>
      </c>
    </row>
    <row r="125" spans="41:41" x14ac:dyDescent="0.2">
      <c r="AO125" s="16" t="s">
        <v>533</v>
      </c>
    </row>
    <row r="126" spans="41:41" x14ac:dyDescent="0.2">
      <c r="AO126" s="16" t="s">
        <v>534</v>
      </c>
    </row>
    <row r="127" spans="41:41" x14ac:dyDescent="0.2">
      <c r="AO127" s="16" t="s">
        <v>535</v>
      </c>
    </row>
    <row r="128" spans="41:41" x14ac:dyDescent="0.2">
      <c r="AO128" s="16" t="s">
        <v>536</v>
      </c>
    </row>
    <row r="129" spans="41:41" x14ac:dyDescent="0.2">
      <c r="AO129" s="16" t="s">
        <v>537</v>
      </c>
    </row>
    <row r="130" spans="41:41" x14ac:dyDescent="0.2">
      <c r="AO130" s="16" t="s">
        <v>538</v>
      </c>
    </row>
    <row r="131" spans="41:41" x14ac:dyDescent="0.2">
      <c r="AO131" s="16" t="s">
        <v>539</v>
      </c>
    </row>
    <row r="132" spans="41:41" x14ac:dyDescent="0.2">
      <c r="AO132" s="16" t="s">
        <v>540</v>
      </c>
    </row>
    <row r="133" spans="41:41" x14ac:dyDescent="0.2">
      <c r="AO133" s="16" t="s">
        <v>541</v>
      </c>
    </row>
    <row r="134" spans="41:41" x14ac:dyDescent="0.2">
      <c r="AO134" s="16" t="s">
        <v>542</v>
      </c>
    </row>
    <row r="135" spans="41:41" x14ac:dyDescent="0.2">
      <c r="AO135" s="16" t="s">
        <v>543</v>
      </c>
    </row>
    <row r="136" spans="41:41" x14ac:dyDescent="0.2">
      <c r="AO136" s="16" t="s">
        <v>544</v>
      </c>
    </row>
    <row r="137" spans="41:41" x14ac:dyDescent="0.2">
      <c r="AO137" s="16" t="s">
        <v>545</v>
      </c>
    </row>
    <row r="138" spans="41:41" x14ac:dyDescent="0.2">
      <c r="AO138" s="16" t="s">
        <v>546</v>
      </c>
    </row>
    <row r="139" spans="41:41" x14ac:dyDescent="0.2">
      <c r="AO139" s="16" t="s">
        <v>547</v>
      </c>
    </row>
    <row r="140" spans="41:41" x14ac:dyDescent="0.2">
      <c r="AO140" s="16" t="s">
        <v>548</v>
      </c>
    </row>
    <row r="141" spans="41:41" x14ac:dyDescent="0.2">
      <c r="AO141" s="16" t="s">
        <v>549</v>
      </c>
    </row>
    <row r="142" spans="41:41" x14ac:dyDescent="0.2">
      <c r="AO142" s="16" t="s">
        <v>550</v>
      </c>
    </row>
    <row r="143" spans="41:41" x14ac:dyDescent="0.2">
      <c r="AO143" s="16" t="s">
        <v>551</v>
      </c>
    </row>
    <row r="144" spans="41:41" x14ac:dyDescent="0.2">
      <c r="AO144" s="16" t="s">
        <v>552</v>
      </c>
    </row>
    <row r="145" spans="41:41" x14ac:dyDescent="0.2">
      <c r="AO145" s="16" t="s">
        <v>553</v>
      </c>
    </row>
    <row r="146" spans="41:41" x14ac:dyDescent="0.2">
      <c r="AO146" s="16" t="s">
        <v>554</v>
      </c>
    </row>
    <row r="147" spans="41:41" x14ac:dyDescent="0.2">
      <c r="AO147" s="16" t="s">
        <v>555</v>
      </c>
    </row>
    <row r="148" spans="41:41" x14ac:dyDescent="0.2">
      <c r="AO148" s="16" t="s">
        <v>556</v>
      </c>
    </row>
    <row r="149" spans="41:41" x14ac:dyDescent="0.2">
      <c r="AO149" s="16" t="s">
        <v>557</v>
      </c>
    </row>
    <row r="150" spans="41:41" x14ac:dyDescent="0.2">
      <c r="AO150" s="16" t="s">
        <v>558</v>
      </c>
    </row>
    <row r="151" spans="41:41" x14ac:dyDescent="0.2">
      <c r="AO151" s="16" t="s">
        <v>559</v>
      </c>
    </row>
    <row r="152" spans="41:41" x14ac:dyDescent="0.2">
      <c r="AO152" s="16" t="s">
        <v>560</v>
      </c>
    </row>
    <row r="153" spans="41:41" x14ac:dyDescent="0.2">
      <c r="AO153" s="16" t="s">
        <v>561</v>
      </c>
    </row>
    <row r="154" spans="41:41" x14ac:dyDescent="0.2">
      <c r="AO154" s="16" t="s">
        <v>562</v>
      </c>
    </row>
    <row r="155" spans="41:41" x14ac:dyDescent="0.2">
      <c r="AO155" s="16" t="s">
        <v>563</v>
      </c>
    </row>
    <row r="156" spans="41:41" x14ac:dyDescent="0.2">
      <c r="AO156" s="16" t="s">
        <v>564</v>
      </c>
    </row>
    <row r="157" spans="41:41" x14ac:dyDescent="0.2">
      <c r="AO157" s="16" t="s">
        <v>364</v>
      </c>
    </row>
  </sheetData>
  <sortState xmlns:xlrd2="http://schemas.microsoft.com/office/spreadsheetml/2017/richdata2" ref="X4:X8">
    <sortCondition ref="X4:X8"/>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D5C41-02F3-40A1-A565-6E28166251D9}">
  <sheetPr codeName="Sheet14"/>
  <dimension ref="A1:L17"/>
  <sheetViews>
    <sheetView zoomScale="115" zoomScaleNormal="115" workbookViewId="0">
      <selection activeCell="E7" sqref="E7"/>
    </sheetView>
  </sheetViews>
  <sheetFormatPr baseColWidth="10" defaultColWidth="8.83203125" defaultRowHeight="15" x14ac:dyDescent="0.2"/>
  <cols>
    <col min="1" max="1" width="23.83203125" customWidth="1"/>
    <col min="2" max="2" width="37.1640625" customWidth="1"/>
    <col min="3" max="3" width="26.5" customWidth="1"/>
    <col min="5" max="5" width="24.83203125" customWidth="1"/>
  </cols>
  <sheetData>
    <row r="1" spans="1:12" x14ac:dyDescent="0.2">
      <c r="A1" s="1" t="s">
        <v>565</v>
      </c>
      <c r="B1" s="1" t="s">
        <v>192</v>
      </c>
      <c r="C1" s="1" t="s">
        <v>566</v>
      </c>
      <c r="D1" s="1" t="s">
        <v>51</v>
      </c>
      <c r="E1" s="1" t="s">
        <v>567</v>
      </c>
      <c r="F1" s="1" t="s">
        <v>568</v>
      </c>
    </row>
    <row r="2" spans="1:12" x14ac:dyDescent="0.2">
      <c r="A2" t="s">
        <v>37</v>
      </c>
      <c r="B2" t="s">
        <v>569</v>
      </c>
      <c r="C2" t="s">
        <v>570</v>
      </c>
      <c r="D2" t="s">
        <v>571</v>
      </c>
      <c r="E2">
        <v>2.68</v>
      </c>
      <c r="F2" t="s">
        <v>572</v>
      </c>
    </row>
    <row r="3" spans="1:12" x14ac:dyDescent="0.2">
      <c r="A3" t="s">
        <v>361</v>
      </c>
      <c r="B3" t="s">
        <v>569</v>
      </c>
      <c r="C3" t="s">
        <v>573</v>
      </c>
      <c r="D3" t="s">
        <v>571</v>
      </c>
      <c r="E3">
        <v>2.3199999999999998</v>
      </c>
      <c r="F3" t="s">
        <v>572</v>
      </c>
    </row>
    <row r="4" spans="1:12" x14ac:dyDescent="0.2">
      <c r="A4" t="s">
        <v>370</v>
      </c>
      <c r="B4" t="s">
        <v>569</v>
      </c>
      <c r="C4" t="s">
        <v>574</v>
      </c>
      <c r="D4" t="s">
        <v>575</v>
      </c>
      <c r="E4">
        <v>1.51</v>
      </c>
      <c r="F4" t="s">
        <v>572</v>
      </c>
    </row>
    <row r="5" spans="1:12" x14ac:dyDescent="0.2">
      <c r="A5" t="s">
        <v>378</v>
      </c>
      <c r="B5" t="s">
        <v>569</v>
      </c>
      <c r="C5" t="s">
        <v>576</v>
      </c>
      <c r="D5" t="s">
        <v>577</v>
      </c>
      <c r="E5">
        <v>1.9</v>
      </c>
      <c r="F5" t="s">
        <v>572</v>
      </c>
    </row>
    <row r="6" spans="1:12" x14ac:dyDescent="0.2">
      <c r="A6" t="s">
        <v>63</v>
      </c>
      <c r="B6" t="s">
        <v>578</v>
      </c>
      <c r="C6" t="s">
        <v>570</v>
      </c>
      <c r="D6" t="s">
        <v>571</v>
      </c>
      <c r="E6">
        <v>2.68</v>
      </c>
      <c r="F6" t="s">
        <v>572</v>
      </c>
      <c r="L6" s="51"/>
    </row>
    <row r="7" spans="1:12" x14ac:dyDescent="0.2">
      <c r="A7" t="s">
        <v>411</v>
      </c>
      <c r="B7" t="s">
        <v>578</v>
      </c>
      <c r="C7" t="s">
        <v>573</v>
      </c>
      <c r="D7" t="s">
        <v>571</v>
      </c>
      <c r="E7">
        <v>2.3199999999999998</v>
      </c>
      <c r="F7" t="s">
        <v>572</v>
      </c>
      <c r="L7" s="51"/>
    </row>
    <row r="8" spans="1:12" x14ac:dyDescent="0.2">
      <c r="A8" t="s">
        <v>155</v>
      </c>
      <c r="B8" t="s">
        <v>155</v>
      </c>
      <c r="C8" t="s">
        <v>579</v>
      </c>
      <c r="D8" t="s">
        <v>580</v>
      </c>
      <c r="E8">
        <v>0.56000000000000005</v>
      </c>
      <c r="F8" t="s">
        <v>581</v>
      </c>
      <c r="L8" s="51"/>
    </row>
    <row r="9" spans="1:12" x14ac:dyDescent="0.2">
      <c r="B9" t="s">
        <v>582</v>
      </c>
      <c r="C9" t="s">
        <v>583</v>
      </c>
      <c r="D9" t="s">
        <v>575</v>
      </c>
      <c r="E9">
        <v>1430</v>
      </c>
      <c r="F9" t="s">
        <v>584</v>
      </c>
      <c r="L9" s="51"/>
    </row>
    <row r="10" spans="1:12" x14ac:dyDescent="0.2">
      <c r="B10" t="s">
        <v>582</v>
      </c>
      <c r="C10" t="s">
        <v>585</v>
      </c>
      <c r="D10" t="s">
        <v>575</v>
      </c>
      <c r="E10">
        <v>2088</v>
      </c>
      <c r="F10" t="s">
        <v>584</v>
      </c>
      <c r="L10" s="51"/>
    </row>
    <row r="11" spans="1:12" x14ac:dyDescent="0.2">
      <c r="A11" s="51" t="s">
        <v>298</v>
      </c>
      <c r="B11" t="s">
        <v>364</v>
      </c>
      <c r="C11" t="s">
        <v>570</v>
      </c>
      <c r="D11" t="s">
        <v>571</v>
      </c>
      <c r="E11">
        <v>2.68</v>
      </c>
      <c r="F11" t="s">
        <v>572</v>
      </c>
      <c r="L11" s="51"/>
    </row>
    <row r="12" spans="1:12" x14ac:dyDescent="0.2">
      <c r="A12" t="s">
        <v>586</v>
      </c>
      <c r="B12" t="s">
        <v>578</v>
      </c>
      <c r="L12" s="51"/>
    </row>
    <row r="13" spans="1:12" x14ac:dyDescent="0.2">
      <c r="L13" s="51"/>
    </row>
    <row r="15" spans="1:12" ht="16" thickBot="1" x14ac:dyDescent="0.25">
      <c r="A15" s="224" t="s">
        <v>587</v>
      </c>
      <c r="B15" s="225"/>
    </row>
    <row r="16" spans="1:12" ht="16" thickBot="1" x14ac:dyDescent="0.25">
      <c r="A16" s="226" t="s">
        <v>588</v>
      </c>
      <c r="B16" s="227" t="s">
        <v>589</v>
      </c>
    </row>
    <row r="17" spans="1:2" ht="16" thickBot="1" x14ac:dyDescent="0.25">
      <c r="A17" s="228" t="s">
        <v>590</v>
      </c>
      <c r="B17" s="229">
        <v>12.010999999999999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80FD0-6BBF-144B-AA25-1C2DE85AB995}">
  <sheetPr codeName="Sheet17"/>
  <dimension ref="A1:E1247"/>
  <sheetViews>
    <sheetView showGridLines="0" zoomScale="88" workbookViewId="0">
      <selection activeCell="G12" sqref="G12"/>
    </sheetView>
  </sheetViews>
  <sheetFormatPr baseColWidth="10" defaultColWidth="11.5" defaultRowHeight="15" x14ac:dyDescent="0.2"/>
  <cols>
    <col min="1" max="1" width="17.6640625" customWidth="1"/>
    <col min="2" max="2" width="26.83203125" customWidth="1"/>
    <col min="5" max="5" width="47.33203125" customWidth="1"/>
  </cols>
  <sheetData>
    <row r="1" spans="1:5" x14ac:dyDescent="0.2">
      <c r="A1" s="270" t="s">
        <v>591</v>
      </c>
      <c r="B1" s="270" t="s">
        <v>592</v>
      </c>
      <c r="C1" s="270" t="s">
        <v>593</v>
      </c>
      <c r="D1" s="270" t="s">
        <v>594</v>
      </c>
      <c r="E1" s="270" t="s">
        <v>595</v>
      </c>
    </row>
    <row r="2" spans="1:5" x14ac:dyDescent="0.2">
      <c r="A2" s="269">
        <v>45870.383900462963</v>
      </c>
      <c r="B2" t="s">
        <v>596</v>
      </c>
      <c r="C2" t="s">
        <v>597</v>
      </c>
      <c r="D2" t="s">
        <v>598</v>
      </c>
    </row>
    <row r="3" spans="1:5" x14ac:dyDescent="0.2">
      <c r="A3" s="269">
        <v>45870.383958333332</v>
      </c>
      <c r="B3" t="s">
        <v>596</v>
      </c>
      <c r="C3" t="s">
        <v>597</v>
      </c>
      <c r="D3" t="s">
        <v>598</v>
      </c>
    </row>
    <row r="4" spans="1:5" x14ac:dyDescent="0.2">
      <c r="A4" s="269">
        <v>45870.38422453704</v>
      </c>
      <c r="B4" t="s">
        <v>596</v>
      </c>
      <c r="C4" t="s">
        <v>597</v>
      </c>
      <c r="D4" t="s">
        <v>599</v>
      </c>
    </row>
    <row r="5" spans="1:5" x14ac:dyDescent="0.2">
      <c r="A5" s="269">
        <v>45870.384328703702</v>
      </c>
      <c r="B5" t="s">
        <v>596</v>
      </c>
      <c r="C5" t="s">
        <v>597</v>
      </c>
      <c r="D5" t="s">
        <v>600</v>
      </c>
      <c r="E5" t="s">
        <v>294</v>
      </c>
    </row>
    <row r="6" spans="1:5" x14ac:dyDescent="0.2">
      <c r="A6" s="269">
        <v>45870.384328703702</v>
      </c>
      <c r="B6" t="s">
        <v>596</v>
      </c>
      <c r="C6" t="s">
        <v>597</v>
      </c>
      <c r="D6" t="s">
        <v>601</v>
      </c>
      <c r="E6" t="s">
        <v>39</v>
      </c>
    </row>
    <row r="7" spans="1:5" x14ac:dyDescent="0.2">
      <c r="A7" s="269">
        <v>45870.385231481479</v>
      </c>
      <c r="B7" t="s">
        <v>596</v>
      </c>
      <c r="C7" t="s">
        <v>597</v>
      </c>
      <c r="D7" t="s">
        <v>602</v>
      </c>
      <c r="E7" t="s">
        <v>305</v>
      </c>
    </row>
    <row r="8" spans="1:5" x14ac:dyDescent="0.2">
      <c r="A8" s="269">
        <v>45870.386203703703</v>
      </c>
      <c r="B8" t="s">
        <v>596</v>
      </c>
      <c r="C8" t="s">
        <v>597</v>
      </c>
      <c r="D8" t="s">
        <v>603</v>
      </c>
      <c r="E8" t="s">
        <v>157</v>
      </c>
    </row>
    <row r="9" spans="1:5" x14ac:dyDescent="0.2">
      <c r="A9" s="269">
        <v>45870.386597222219</v>
      </c>
      <c r="B9" t="s">
        <v>596</v>
      </c>
      <c r="C9" t="s">
        <v>597</v>
      </c>
      <c r="D9" t="s">
        <v>604</v>
      </c>
      <c r="E9" t="s">
        <v>39</v>
      </c>
    </row>
    <row r="10" spans="1:5" x14ac:dyDescent="0.2">
      <c r="A10" s="269">
        <v>45870.387233796297</v>
      </c>
      <c r="B10" t="s">
        <v>596</v>
      </c>
      <c r="C10" t="s">
        <v>597</v>
      </c>
      <c r="D10" t="s">
        <v>605</v>
      </c>
      <c r="E10" t="s">
        <v>157</v>
      </c>
    </row>
    <row r="11" spans="1:5" x14ac:dyDescent="0.2">
      <c r="A11" s="269">
        <v>45870.387638888889</v>
      </c>
      <c r="B11" t="s">
        <v>596</v>
      </c>
      <c r="C11" t="s">
        <v>597</v>
      </c>
      <c r="D11" t="s">
        <v>606</v>
      </c>
      <c r="E11" t="s">
        <v>157</v>
      </c>
    </row>
    <row r="12" spans="1:5" x14ac:dyDescent="0.2">
      <c r="A12" s="269">
        <v>45870.387673611112</v>
      </c>
      <c r="B12" t="s">
        <v>596</v>
      </c>
      <c r="C12" t="s">
        <v>597</v>
      </c>
      <c r="D12" t="s">
        <v>607</v>
      </c>
      <c r="E12" t="s">
        <v>158</v>
      </c>
    </row>
    <row r="13" spans="1:5" x14ac:dyDescent="0.2">
      <c r="A13" s="269">
        <v>45870.388043981482</v>
      </c>
      <c r="B13" t="s">
        <v>596</v>
      </c>
      <c r="C13" t="s">
        <v>597</v>
      </c>
      <c r="D13" t="s">
        <v>608</v>
      </c>
      <c r="E13" t="s">
        <v>39</v>
      </c>
    </row>
    <row r="14" spans="1:5" x14ac:dyDescent="0.2">
      <c r="A14" s="269">
        <v>45870.388379629629</v>
      </c>
      <c r="B14" t="s">
        <v>596</v>
      </c>
      <c r="C14" t="s">
        <v>597</v>
      </c>
      <c r="D14" t="s">
        <v>609</v>
      </c>
    </row>
    <row r="15" spans="1:5" x14ac:dyDescent="0.2">
      <c r="A15" s="269">
        <v>45870.38858796296</v>
      </c>
      <c r="B15" t="s">
        <v>596</v>
      </c>
      <c r="C15" t="s">
        <v>597</v>
      </c>
      <c r="D15" t="s">
        <v>610</v>
      </c>
      <c r="E15" t="s">
        <v>39</v>
      </c>
    </row>
    <row r="16" spans="1:5" x14ac:dyDescent="0.2">
      <c r="A16" s="269">
        <v>45870.392395833333</v>
      </c>
      <c r="B16" t="s">
        <v>596</v>
      </c>
      <c r="C16" t="s">
        <v>611</v>
      </c>
      <c r="D16" t="s">
        <v>612</v>
      </c>
    </row>
    <row r="17" spans="1:5" x14ac:dyDescent="0.2">
      <c r="A17" s="269">
        <v>45870.392430555556</v>
      </c>
      <c r="B17" t="s">
        <v>596</v>
      </c>
      <c r="C17" t="s">
        <v>611</v>
      </c>
      <c r="D17" t="s">
        <v>612</v>
      </c>
    </row>
    <row r="18" spans="1:5" x14ac:dyDescent="0.2">
      <c r="A18" s="269">
        <v>45870.392500000002</v>
      </c>
      <c r="B18" t="s">
        <v>596</v>
      </c>
      <c r="C18" t="s">
        <v>611</v>
      </c>
      <c r="D18" t="s">
        <v>613</v>
      </c>
    </row>
    <row r="19" spans="1:5" x14ac:dyDescent="0.2">
      <c r="A19" s="269">
        <v>45870.392534722225</v>
      </c>
      <c r="B19" t="s">
        <v>596</v>
      </c>
      <c r="C19" t="s">
        <v>611</v>
      </c>
      <c r="D19" t="s">
        <v>612</v>
      </c>
    </row>
    <row r="20" spans="1:5" x14ac:dyDescent="0.2">
      <c r="A20" s="269">
        <v>45870.392604166664</v>
      </c>
      <c r="B20" t="s">
        <v>596</v>
      </c>
      <c r="C20" t="s">
        <v>611</v>
      </c>
      <c r="D20" t="s">
        <v>614</v>
      </c>
    </row>
    <row r="21" spans="1:5" x14ac:dyDescent="0.2">
      <c r="A21" s="269">
        <v>45870.392685185187</v>
      </c>
      <c r="B21" t="s">
        <v>596</v>
      </c>
      <c r="C21" t="s">
        <v>611</v>
      </c>
      <c r="D21" t="s">
        <v>615</v>
      </c>
    </row>
    <row r="22" spans="1:5" x14ac:dyDescent="0.2">
      <c r="A22" s="269">
        <v>45870.39298611111</v>
      </c>
      <c r="B22" t="s">
        <v>596</v>
      </c>
      <c r="C22" t="s">
        <v>611</v>
      </c>
      <c r="D22" t="s">
        <v>616</v>
      </c>
      <c r="E22" t="s">
        <v>27</v>
      </c>
    </row>
    <row r="23" spans="1:5" x14ac:dyDescent="0.2">
      <c r="A23" s="269">
        <v>45870.393136574072</v>
      </c>
      <c r="B23" t="s">
        <v>596</v>
      </c>
      <c r="C23" t="s">
        <v>611</v>
      </c>
      <c r="D23" t="s">
        <v>617</v>
      </c>
    </row>
    <row r="24" spans="1:5" x14ac:dyDescent="0.2">
      <c r="A24" s="269">
        <v>45870.393784722219</v>
      </c>
      <c r="B24" t="s">
        <v>596</v>
      </c>
      <c r="C24" t="s">
        <v>611</v>
      </c>
      <c r="D24" t="s">
        <v>618</v>
      </c>
    </row>
    <row r="25" spans="1:5" x14ac:dyDescent="0.2">
      <c r="A25" s="269">
        <v>45870.393865740742</v>
      </c>
      <c r="B25" t="s">
        <v>596</v>
      </c>
      <c r="C25" t="s">
        <v>611</v>
      </c>
      <c r="D25" t="s">
        <v>619</v>
      </c>
      <c r="E25">
        <v>7</v>
      </c>
    </row>
    <row r="26" spans="1:5" x14ac:dyDescent="0.2">
      <c r="A26" s="269">
        <v>45870.394247685188</v>
      </c>
      <c r="B26" t="s">
        <v>596</v>
      </c>
      <c r="C26" t="s">
        <v>611</v>
      </c>
      <c r="D26" t="s">
        <v>620</v>
      </c>
      <c r="E26" t="s">
        <v>621</v>
      </c>
    </row>
    <row r="27" spans="1:5" x14ac:dyDescent="0.2">
      <c r="A27" s="269">
        <v>45870.39435185185</v>
      </c>
      <c r="B27" t="s">
        <v>596</v>
      </c>
      <c r="C27" t="s">
        <v>611</v>
      </c>
      <c r="D27" t="s">
        <v>622</v>
      </c>
      <c r="E27" t="s">
        <v>623</v>
      </c>
    </row>
    <row r="28" spans="1:5" x14ac:dyDescent="0.2">
      <c r="A28" s="269">
        <v>45870.394814814812</v>
      </c>
      <c r="B28" t="s">
        <v>596</v>
      </c>
      <c r="C28" t="s">
        <v>611</v>
      </c>
      <c r="D28" t="s">
        <v>624</v>
      </c>
    </row>
    <row r="29" spans="1:5" x14ac:dyDescent="0.2">
      <c r="A29" s="269">
        <v>45870.394988425927</v>
      </c>
      <c r="B29" t="s">
        <v>596</v>
      </c>
      <c r="C29" t="s">
        <v>611</v>
      </c>
      <c r="D29" t="s">
        <v>625</v>
      </c>
      <c r="E29" t="s">
        <v>626</v>
      </c>
    </row>
    <row r="30" spans="1:5" x14ac:dyDescent="0.2">
      <c r="A30" s="269">
        <v>45870.39508101852</v>
      </c>
      <c r="B30" t="s">
        <v>596</v>
      </c>
      <c r="C30" t="s">
        <v>611</v>
      </c>
      <c r="D30" t="s">
        <v>627</v>
      </c>
      <c r="E30">
        <v>4</v>
      </c>
    </row>
    <row r="31" spans="1:5" ht="64" x14ac:dyDescent="0.2">
      <c r="A31" s="269">
        <v>45870.395613425928</v>
      </c>
      <c r="B31" t="s">
        <v>596</v>
      </c>
      <c r="C31" t="s">
        <v>611</v>
      </c>
      <c r="D31" t="s">
        <v>628</v>
      </c>
      <c r="E31" s="6" t="s">
        <v>629</v>
      </c>
    </row>
    <row r="32" spans="1:5" ht="64" x14ac:dyDescent="0.2">
      <c r="A32" s="269">
        <v>45870.39565972222</v>
      </c>
      <c r="B32" t="s">
        <v>596</v>
      </c>
      <c r="C32" t="s">
        <v>611</v>
      </c>
      <c r="D32" t="s">
        <v>628</v>
      </c>
      <c r="E32" s="6" t="s">
        <v>629</v>
      </c>
    </row>
    <row r="33" spans="1:5" ht="64" x14ac:dyDescent="0.2">
      <c r="A33" s="269">
        <v>45870.395729166667</v>
      </c>
      <c r="B33" t="s">
        <v>596</v>
      </c>
      <c r="C33" t="s">
        <v>611</v>
      </c>
      <c r="D33" t="s">
        <v>628</v>
      </c>
      <c r="E33" s="6" t="s">
        <v>629</v>
      </c>
    </row>
    <row r="34" spans="1:5" x14ac:dyDescent="0.2">
      <c r="A34" s="269">
        <v>45870.395810185182</v>
      </c>
      <c r="B34" t="s">
        <v>596</v>
      </c>
      <c r="C34" t="s">
        <v>611</v>
      </c>
      <c r="D34" t="s">
        <v>630</v>
      </c>
      <c r="E34" t="s">
        <v>10</v>
      </c>
    </row>
    <row r="35" spans="1:5" x14ac:dyDescent="0.2">
      <c r="A35" s="269">
        <v>45870.395844907405</v>
      </c>
      <c r="B35" t="s">
        <v>596</v>
      </c>
      <c r="C35" t="s">
        <v>611</v>
      </c>
      <c r="D35" t="s">
        <v>631</v>
      </c>
      <c r="E35" t="s">
        <v>37</v>
      </c>
    </row>
    <row r="36" spans="1:5" x14ac:dyDescent="0.2">
      <c r="A36" s="269">
        <v>45870.395914351851</v>
      </c>
      <c r="B36" t="s">
        <v>596</v>
      </c>
      <c r="C36" t="s">
        <v>611</v>
      </c>
      <c r="D36" t="s">
        <v>631</v>
      </c>
      <c r="E36" t="s">
        <v>632</v>
      </c>
    </row>
    <row r="37" spans="1:5" x14ac:dyDescent="0.2">
      <c r="A37" s="269">
        <v>45870.39638888889</v>
      </c>
      <c r="B37" t="s">
        <v>596</v>
      </c>
      <c r="C37" t="s">
        <v>27</v>
      </c>
      <c r="D37" t="s">
        <v>633</v>
      </c>
      <c r="E37" t="s">
        <v>35</v>
      </c>
    </row>
    <row r="38" spans="1:5" x14ac:dyDescent="0.2">
      <c r="A38" s="269">
        <v>45870.429965277777</v>
      </c>
      <c r="B38" t="s">
        <v>596</v>
      </c>
      <c r="C38" t="s">
        <v>634</v>
      </c>
      <c r="D38" t="s">
        <v>635</v>
      </c>
      <c r="E38" t="s">
        <v>380</v>
      </c>
    </row>
    <row r="39" spans="1:5" x14ac:dyDescent="0.2">
      <c r="A39" s="269">
        <v>45870.429988425924</v>
      </c>
      <c r="B39" t="s">
        <v>596</v>
      </c>
      <c r="C39" t="s">
        <v>634</v>
      </c>
      <c r="D39" t="s">
        <v>636</v>
      </c>
    </row>
    <row r="40" spans="1:5" x14ac:dyDescent="0.2">
      <c r="A40" s="269">
        <v>45870.430138888885</v>
      </c>
      <c r="B40" t="s">
        <v>596</v>
      </c>
      <c r="C40" t="s">
        <v>634</v>
      </c>
      <c r="D40" t="s">
        <v>636</v>
      </c>
    </row>
    <row r="41" spans="1:5" x14ac:dyDescent="0.2">
      <c r="A41" s="269">
        <v>45870.430208333331</v>
      </c>
      <c r="B41" t="s">
        <v>596</v>
      </c>
      <c r="C41" t="s">
        <v>634</v>
      </c>
      <c r="D41" t="s">
        <v>636</v>
      </c>
    </row>
    <row r="42" spans="1:5" x14ac:dyDescent="0.2">
      <c r="A42" s="269">
        <v>45870.431111111109</v>
      </c>
      <c r="B42" t="s">
        <v>596</v>
      </c>
      <c r="C42" t="s">
        <v>634</v>
      </c>
      <c r="D42" t="s">
        <v>637</v>
      </c>
    </row>
    <row r="43" spans="1:5" ht="48" x14ac:dyDescent="0.2">
      <c r="A43" s="269">
        <v>45870.431666666664</v>
      </c>
      <c r="B43" t="s">
        <v>596</v>
      </c>
      <c r="C43" t="s">
        <v>611</v>
      </c>
      <c r="D43" t="s">
        <v>628</v>
      </c>
      <c r="E43" s="6" t="s">
        <v>638</v>
      </c>
    </row>
    <row r="44" spans="1:5" x14ac:dyDescent="0.2">
      <c r="A44" s="269">
        <v>45870.432337962964</v>
      </c>
      <c r="B44" t="s">
        <v>596</v>
      </c>
      <c r="C44" t="s">
        <v>27</v>
      </c>
      <c r="D44" t="s">
        <v>639</v>
      </c>
      <c r="E44" t="s">
        <v>337</v>
      </c>
    </row>
    <row r="45" spans="1:5" x14ac:dyDescent="0.2">
      <c r="A45" s="269">
        <v>45870.43240740741</v>
      </c>
      <c r="B45" t="s">
        <v>596</v>
      </c>
      <c r="C45" t="s">
        <v>27</v>
      </c>
      <c r="D45" t="s">
        <v>640</v>
      </c>
      <c r="E45" t="s">
        <v>337</v>
      </c>
    </row>
    <row r="46" spans="1:5" x14ac:dyDescent="0.2">
      <c r="A46" s="269">
        <v>45870.432615740741</v>
      </c>
      <c r="B46" t="s">
        <v>596</v>
      </c>
      <c r="C46" t="s">
        <v>27</v>
      </c>
      <c r="D46" t="s">
        <v>640</v>
      </c>
      <c r="E46" t="s">
        <v>337</v>
      </c>
    </row>
    <row r="47" spans="1:5" x14ac:dyDescent="0.2">
      <c r="A47" s="269">
        <v>45870.432696759257</v>
      </c>
      <c r="B47" t="s">
        <v>596</v>
      </c>
      <c r="C47" t="s">
        <v>611</v>
      </c>
      <c r="D47" t="s">
        <v>628</v>
      </c>
      <c r="E47" t="s">
        <v>22</v>
      </c>
    </row>
    <row r="48" spans="1:5" x14ac:dyDescent="0.2">
      <c r="A48" s="269">
        <v>45870.43277777778</v>
      </c>
      <c r="B48" t="s">
        <v>596</v>
      </c>
      <c r="C48" t="s">
        <v>611</v>
      </c>
      <c r="D48" t="s">
        <v>630</v>
      </c>
      <c r="E48" t="s">
        <v>10</v>
      </c>
    </row>
    <row r="49" spans="1:5" x14ac:dyDescent="0.2">
      <c r="A49" s="269">
        <v>45870.432870370372</v>
      </c>
      <c r="B49" t="s">
        <v>596</v>
      </c>
      <c r="C49" t="s">
        <v>611</v>
      </c>
      <c r="D49" t="s">
        <v>630</v>
      </c>
      <c r="E49" t="s">
        <v>18</v>
      </c>
    </row>
    <row r="50" spans="1:5" x14ac:dyDescent="0.2">
      <c r="A50" s="269">
        <v>45870.432951388888</v>
      </c>
      <c r="B50" t="s">
        <v>596</v>
      </c>
      <c r="C50" t="s">
        <v>611</v>
      </c>
      <c r="D50" t="s">
        <v>631</v>
      </c>
      <c r="E50" t="s">
        <v>24</v>
      </c>
    </row>
    <row r="51" spans="1:5" x14ac:dyDescent="0.2">
      <c r="A51" s="269">
        <v>45870.432974537034</v>
      </c>
      <c r="B51" t="s">
        <v>596</v>
      </c>
      <c r="C51" t="s">
        <v>611</v>
      </c>
      <c r="D51" t="s">
        <v>631</v>
      </c>
      <c r="E51" t="s">
        <v>337</v>
      </c>
    </row>
    <row r="52" spans="1:5" x14ac:dyDescent="0.2">
      <c r="A52" s="269">
        <v>45870.433275462965</v>
      </c>
      <c r="B52" t="s">
        <v>596</v>
      </c>
      <c r="C52" t="s">
        <v>58</v>
      </c>
      <c r="D52" t="s">
        <v>641</v>
      </c>
      <c r="E52" t="s">
        <v>39</v>
      </c>
    </row>
    <row r="53" spans="1:5" x14ac:dyDescent="0.2">
      <c r="A53" s="269">
        <v>45870.433275462965</v>
      </c>
      <c r="B53" t="s">
        <v>596</v>
      </c>
      <c r="C53" t="s">
        <v>597</v>
      </c>
      <c r="D53" t="s">
        <v>642</v>
      </c>
      <c r="E53" t="s">
        <v>39</v>
      </c>
    </row>
    <row r="54" spans="1:5" x14ac:dyDescent="0.2">
      <c r="A54" s="269">
        <v>45870.433275462965</v>
      </c>
      <c r="B54" t="s">
        <v>596</v>
      </c>
      <c r="C54" t="s">
        <v>103</v>
      </c>
      <c r="D54" t="s">
        <v>643</v>
      </c>
      <c r="E54" t="s">
        <v>39</v>
      </c>
    </row>
    <row r="55" spans="1:5" x14ac:dyDescent="0.2">
      <c r="A55" s="269">
        <v>45870.433275462965</v>
      </c>
      <c r="B55" t="s">
        <v>596</v>
      </c>
      <c r="C55" t="s">
        <v>644</v>
      </c>
      <c r="D55" t="s">
        <v>645</v>
      </c>
      <c r="E55" t="s">
        <v>39</v>
      </c>
    </row>
    <row r="56" spans="1:5" x14ac:dyDescent="0.2">
      <c r="A56" s="269">
        <v>45870.433275462965</v>
      </c>
      <c r="B56" t="s">
        <v>596</v>
      </c>
      <c r="C56" t="s">
        <v>597</v>
      </c>
      <c r="D56" t="s">
        <v>646</v>
      </c>
      <c r="E56" t="s">
        <v>39</v>
      </c>
    </row>
    <row r="57" spans="1:5" x14ac:dyDescent="0.2">
      <c r="A57" s="269">
        <v>45870.433275462965</v>
      </c>
      <c r="B57" t="s">
        <v>596</v>
      </c>
      <c r="C57" t="s">
        <v>597</v>
      </c>
      <c r="D57" t="s">
        <v>647</v>
      </c>
      <c r="E57" t="s">
        <v>39</v>
      </c>
    </row>
    <row r="58" spans="1:5" x14ac:dyDescent="0.2">
      <c r="A58" s="269">
        <v>45870.433275462965</v>
      </c>
      <c r="B58" t="s">
        <v>596</v>
      </c>
      <c r="C58" t="s">
        <v>648</v>
      </c>
      <c r="D58" t="s">
        <v>649</v>
      </c>
      <c r="E58" t="s">
        <v>39</v>
      </c>
    </row>
    <row r="59" spans="1:5" x14ac:dyDescent="0.2">
      <c r="A59" s="269">
        <v>45870.433275462965</v>
      </c>
      <c r="B59" t="s">
        <v>596</v>
      </c>
      <c r="C59" t="s">
        <v>597</v>
      </c>
      <c r="D59" t="s">
        <v>650</v>
      </c>
      <c r="E59" t="s">
        <v>39</v>
      </c>
    </row>
    <row r="60" spans="1:5" x14ac:dyDescent="0.2">
      <c r="A60" s="269">
        <v>45870.433275462965</v>
      </c>
      <c r="B60" t="s">
        <v>596</v>
      </c>
      <c r="C60" t="s">
        <v>27</v>
      </c>
      <c r="D60" t="s">
        <v>651</v>
      </c>
      <c r="E60" t="s">
        <v>39</v>
      </c>
    </row>
    <row r="61" spans="1:5" x14ac:dyDescent="0.2">
      <c r="A61" s="269">
        <v>45870.433275462965</v>
      </c>
      <c r="B61" t="s">
        <v>596</v>
      </c>
      <c r="C61" t="s">
        <v>597</v>
      </c>
      <c r="D61" t="s">
        <v>652</v>
      </c>
      <c r="E61" t="s">
        <v>39</v>
      </c>
    </row>
    <row r="62" spans="1:5" x14ac:dyDescent="0.2">
      <c r="A62" s="269">
        <v>45870.433275462965</v>
      </c>
      <c r="B62" t="s">
        <v>596</v>
      </c>
      <c r="C62" t="s">
        <v>653</v>
      </c>
      <c r="D62" t="s">
        <v>654</v>
      </c>
      <c r="E62" t="s">
        <v>39</v>
      </c>
    </row>
    <row r="63" spans="1:5" x14ac:dyDescent="0.2">
      <c r="A63" s="269">
        <v>45870.433275462965</v>
      </c>
      <c r="B63" t="s">
        <v>596</v>
      </c>
      <c r="C63" t="s">
        <v>597</v>
      </c>
      <c r="D63" t="s">
        <v>655</v>
      </c>
      <c r="E63" t="s">
        <v>39</v>
      </c>
    </row>
    <row r="64" spans="1:5" x14ac:dyDescent="0.2">
      <c r="A64" s="269">
        <v>45870.433275462965</v>
      </c>
      <c r="B64" t="s">
        <v>596</v>
      </c>
      <c r="C64" t="s">
        <v>653</v>
      </c>
      <c r="D64" t="s">
        <v>656</v>
      </c>
      <c r="E64" t="s">
        <v>39</v>
      </c>
    </row>
    <row r="65" spans="1:5" x14ac:dyDescent="0.2">
      <c r="A65" s="269">
        <v>45870.433275462965</v>
      </c>
      <c r="B65" t="s">
        <v>596</v>
      </c>
      <c r="C65" t="s">
        <v>597</v>
      </c>
      <c r="D65" t="s">
        <v>657</v>
      </c>
      <c r="E65" t="s">
        <v>39</v>
      </c>
    </row>
    <row r="66" spans="1:5" x14ac:dyDescent="0.2">
      <c r="A66" s="269">
        <v>45870.442314814813</v>
      </c>
      <c r="B66" t="s">
        <v>596</v>
      </c>
      <c r="C66" t="s">
        <v>28</v>
      </c>
      <c r="D66" t="s">
        <v>658</v>
      </c>
    </row>
    <row r="67" spans="1:5" x14ac:dyDescent="0.2">
      <c r="A67" s="269">
        <v>45873.710810185185</v>
      </c>
      <c r="B67" t="s">
        <v>592</v>
      </c>
      <c r="C67" t="s">
        <v>27</v>
      </c>
      <c r="D67" t="s">
        <v>659</v>
      </c>
      <c r="E67" t="s">
        <v>53</v>
      </c>
    </row>
    <row r="68" spans="1:5" x14ac:dyDescent="0.2">
      <c r="A68" s="269">
        <v>45873.7109837963</v>
      </c>
      <c r="B68" t="s">
        <v>592</v>
      </c>
      <c r="C68" t="s">
        <v>27</v>
      </c>
      <c r="D68" t="s">
        <v>660</v>
      </c>
      <c r="E68">
        <v>9</v>
      </c>
    </row>
    <row r="69" spans="1:5" x14ac:dyDescent="0.2">
      <c r="A69" s="269">
        <v>45873.711331018516</v>
      </c>
      <c r="B69" t="s">
        <v>592</v>
      </c>
      <c r="C69" t="s">
        <v>27</v>
      </c>
      <c r="D69" t="s">
        <v>661</v>
      </c>
      <c r="E69">
        <v>1</v>
      </c>
    </row>
    <row r="70" spans="1:5" x14ac:dyDescent="0.2">
      <c r="A70" s="269">
        <v>45873.711342592593</v>
      </c>
      <c r="B70" t="s">
        <v>592</v>
      </c>
      <c r="C70" t="s">
        <v>27</v>
      </c>
      <c r="D70" t="s">
        <v>661</v>
      </c>
      <c r="E70">
        <v>3</v>
      </c>
    </row>
    <row r="71" spans="1:5" x14ac:dyDescent="0.2">
      <c r="A71" s="269">
        <v>45873.711412037039</v>
      </c>
      <c r="B71" t="s">
        <v>592</v>
      </c>
      <c r="C71" t="s">
        <v>27</v>
      </c>
      <c r="D71" t="s">
        <v>662</v>
      </c>
      <c r="E71">
        <v>1</v>
      </c>
    </row>
    <row r="72" spans="1:5" x14ac:dyDescent="0.2">
      <c r="A72" s="269">
        <v>45873.711527777778</v>
      </c>
      <c r="B72" t="s">
        <v>592</v>
      </c>
      <c r="C72" t="s">
        <v>27</v>
      </c>
      <c r="D72" t="s">
        <v>662</v>
      </c>
      <c r="E72">
        <v>2</v>
      </c>
    </row>
    <row r="73" spans="1:5" x14ac:dyDescent="0.2">
      <c r="A73" s="269">
        <v>45873.711608796293</v>
      </c>
      <c r="B73" t="s">
        <v>592</v>
      </c>
      <c r="C73" t="s">
        <v>27</v>
      </c>
      <c r="D73" t="s">
        <v>661</v>
      </c>
      <c r="E73">
        <v>3</v>
      </c>
    </row>
    <row r="74" spans="1:5" x14ac:dyDescent="0.2">
      <c r="A74" s="269">
        <v>45873.711851851855</v>
      </c>
      <c r="B74" t="s">
        <v>592</v>
      </c>
      <c r="C74" t="s">
        <v>27</v>
      </c>
      <c r="D74" t="s">
        <v>663</v>
      </c>
    </row>
    <row r="75" spans="1:5" x14ac:dyDescent="0.2">
      <c r="A75" s="269">
        <v>45873.711944444447</v>
      </c>
      <c r="B75" t="s">
        <v>592</v>
      </c>
      <c r="C75" t="s">
        <v>27</v>
      </c>
      <c r="D75" t="s">
        <v>664</v>
      </c>
      <c r="E75" t="s">
        <v>178</v>
      </c>
    </row>
    <row r="76" spans="1:5" x14ac:dyDescent="0.2">
      <c r="A76" s="269">
        <v>45873.712094907409</v>
      </c>
      <c r="B76" t="s">
        <v>592</v>
      </c>
      <c r="C76" t="s">
        <v>27</v>
      </c>
      <c r="D76" t="s">
        <v>665</v>
      </c>
    </row>
    <row r="77" spans="1:5" x14ac:dyDescent="0.2">
      <c r="A77" s="269">
        <v>45873.712164351855</v>
      </c>
      <c r="B77" t="s">
        <v>592</v>
      </c>
      <c r="C77" t="s">
        <v>27</v>
      </c>
      <c r="D77" t="s">
        <v>666</v>
      </c>
    </row>
    <row r="78" spans="1:5" x14ac:dyDescent="0.2">
      <c r="A78" s="269">
        <v>45873.712268518517</v>
      </c>
      <c r="B78" t="s">
        <v>592</v>
      </c>
      <c r="C78" t="s">
        <v>27</v>
      </c>
      <c r="D78" t="s">
        <v>667</v>
      </c>
      <c r="E78" t="s">
        <v>151</v>
      </c>
    </row>
    <row r="79" spans="1:5" x14ac:dyDescent="0.2">
      <c r="A79" s="269">
        <v>45873.712465277778</v>
      </c>
      <c r="B79" t="s">
        <v>592</v>
      </c>
      <c r="C79" t="s">
        <v>27</v>
      </c>
      <c r="D79" t="s">
        <v>668</v>
      </c>
      <c r="E79" t="s">
        <v>51</v>
      </c>
    </row>
    <row r="80" spans="1:5" x14ac:dyDescent="0.2">
      <c r="A80" s="269">
        <v>45873.712754629632</v>
      </c>
      <c r="B80" t="s">
        <v>592</v>
      </c>
      <c r="C80" t="s">
        <v>27</v>
      </c>
      <c r="D80" t="s">
        <v>669</v>
      </c>
    </row>
    <row r="81" spans="1:5" x14ac:dyDescent="0.2">
      <c r="A81" s="269">
        <v>45873.71366898148</v>
      </c>
      <c r="B81" t="s">
        <v>592</v>
      </c>
      <c r="C81" t="s">
        <v>27</v>
      </c>
      <c r="D81" t="s">
        <v>670</v>
      </c>
    </row>
    <row r="82" spans="1:5" x14ac:dyDescent="0.2">
      <c r="A82" s="269">
        <v>45873.71371527778</v>
      </c>
      <c r="B82" t="s">
        <v>592</v>
      </c>
      <c r="C82" t="s">
        <v>27</v>
      </c>
      <c r="D82" t="s">
        <v>671</v>
      </c>
    </row>
    <row r="83" spans="1:5" x14ac:dyDescent="0.2">
      <c r="A83" s="269">
        <v>45873.713784722226</v>
      </c>
      <c r="B83" t="s">
        <v>592</v>
      </c>
      <c r="C83" t="s">
        <v>27</v>
      </c>
      <c r="D83" t="s">
        <v>672</v>
      </c>
      <c r="E83" t="s">
        <v>673</v>
      </c>
    </row>
    <row r="84" spans="1:5" x14ac:dyDescent="0.2">
      <c r="A84" s="269">
        <v>45873.713784722226</v>
      </c>
      <c r="B84" t="s">
        <v>592</v>
      </c>
      <c r="C84" t="s">
        <v>27</v>
      </c>
      <c r="D84" t="s">
        <v>674</v>
      </c>
      <c r="E84" t="s">
        <v>673</v>
      </c>
    </row>
    <row r="85" spans="1:5" x14ac:dyDescent="0.2">
      <c r="A85" s="269">
        <v>45873.713796296295</v>
      </c>
      <c r="B85" t="s">
        <v>592</v>
      </c>
      <c r="C85" t="s">
        <v>27</v>
      </c>
      <c r="D85" t="s">
        <v>675</v>
      </c>
      <c r="E85" t="s">
        <v>673</v>
      </c>
    </row>
    <row r="86" spans="1:5" x14ac:dyDescent="0.2">
      <c r="A86" s="269">
        <v>45873.713796296295</v>
      </c>
      <c r="B86" t="s">
        <v>592</v>
      </c>
      <c r="C86" t="s">
        <v>27</v>
      </c>
      <c r="D86" t="s">
        <v>676</v>
      </c>
      <c r="E86" t="s">
        <v>673</v>
      </c>
    </row>
    <row r="87" spans="1:5" x14ac:dyDescent="0.2">
      <c r="A87" s="269">
        <v>45873.713796296295</v>
      </c>
      <c r="B87" t="s">
        <v>592</v>
      </c>
      <c r="C87" t="s">
        <v>27</v>
      </c>
      <c r="D87" t="s">
        <v>677</v>
      </c>
      <c r="E87" t="s">
        <v>673</v>
      </c>
    </row>
    <row r="88" spans="1:5" x14ac:dyDescent="0.2">
      <c r="A88" s="269">
        <v>45873.713796296295</v>
      </c>
      <c r="B88" t="s">
        <v>592</v>
      </c>
      <c r="C88" t="s">
        <v>27</v>
      </c>
      <c r="D88" t="s">
        <v>678</v>
      </c>
      <c r="E88" t="s">
        <v>673</v>
      </c>
    </row>
    <row r="89" spans="1:5" x14ac:dyDescent="0.2">
      <c r="A89" s="269">
        <v>45873.713831018518</v>
      </c>
      <c r="B89" t="s">
        <v>592</v>
      </c>
      <c r="C89" t="s">
        <v>27</v>
      </c>
      <c r="D89" t="s">
        <v>679</v>
      </c>
    </row>
    <row r="90" spans="1:5" x14ac:dyDescent="0.2">
      <c r="A90" s="269">
        <v>45873.713900462964</v>
      </c>
      <c r="B90" t="s">
        <v>592</v>
      </c>
      <c r="C90" t="s">
        <v>27</v>
      </c>
      <c r="D90" t="s">
        <v>680</v>
      </c>
    </row>
    <row r="91" spans="1:5" x14ac:dyDescent="0.2">
      <c r="A91" s="269">
        <v>45873.714780092596</v>
      </c>
      <c r="B91" t="s">
        <v>592</v>
      </c>
      <c r="C91" t="s">
        <v>27</v>
      </c>
      <c r="D91" t="s">
        <v>681</v>
      </c>
    </row>
    <row r="92" spans="1:5" x14ac:dyDescent="0.2">
      <c r="A92" s="269">
        <v>45873.714780092596</v>
      </c>
      <c r="B92" t="s">
        <v>592</v>
      </c>
      <c r="C92" t="s">
        <v>27</v>
      </c>
      <c r="D92" t="s">
        <v>682</v>
      </c>
      <c r="E92" t="s">
        <v>33</v>
      </c>
    </row>
    <row r="93" spans="1:5" x14ac:dyDescent="0.2">
      <c r="A93" s="269">
        <v>45873.714837962965</v>
      </c>
      <c r="B93" t="s">
        <v>592</v>
      </c>
      <c r="C93" t="s">
        <v>27</v>
      </c>
      <c r="D93" t="s">
        <v>681</v>
      </c>
      <c r="E93" t="s">
        <v>33</v>
      </c>
    </row>
    <row r="94" spans="1:5" x14ac:dyDescent="0.2">
      <c r="A94" s="269">
        <v>45873.714837962965</v>
      </c>
      <c r="B94" t="s">
        <v>592</v>
      </c>
      <c r="C94" t="s">
        <v>27</v>
      </c>
      <c r="D94" t="s">
        <v>682</v>
      </c>
    </row>
    <row r="95" spans="1:5" x14ac:dyDescent="0.2">
      <c r="A95" s="269">
        <v>45873.714837962965</v>
      </c>
      <c r="B95" t="s">
        <v>592</v>
      </c>
      <c r="C95" t="s">
        <v>27</v>
      </c>
      <c r="D95" t="s">
        <v>682</v>
      </c>
    </row>
    <row r="96" spans="1:5" x14ac:dyDescent="0.2">
      <c r="A96" s="269">
        <v>45873.714872685188</v>
      </c>
      <c r="B96" t="s">
        <v>592</v>
      </c>
      <c r="C96" t="s">
        <v>27</v>
      </c>
      <c r="D96" t="s">
        <v>681</v>
      </c>
    </row>
    <row r="97" spans="1:5" x14ac:dyDescent="0.2">
      <c r="A97" s="269">
        <v>45873.714872685188</v>
      </c>
      <c r="B97" t="s">
        <v>592</v>
      </c>
      <c r="C97" t="s">
        <v>27</v>
      </c>
      <c r="D97" t="s">
        <v>683</v>
      </c>
      <c r="E97" t="s">
        <v>33</v>
      </c>
    </row>
    <row r="98" spans="1:5" x14ac:dyDescent="0.2">
      <c r="A98" s="269">
        <v>45873.715173611112</v>
      </c>
      <c r="B98" t="s">
        <v>592</v>
      </c>
      <c r="C98" t="s">
        <v>27</v>
      </c>
      <c r="D98" t="s">
        <v>684</v>
      </c>
    </row>
    <row r="99" spans="1:5" x14ac:dyDescent="0.2">
      <c r="A99" s="269">
        <v>45873.715173611112</v>
      </c>
      <c r="B99" t="s">
        <v>592</v>
      </c>
      <c r="C99" t="s">
        <v>27</v>
      </c>
      <c r="D99" t="s">
        <v>685</v>
      </c>
      <c r="E99" t="s">
        <v>38</v>
      </c>
    </row>
    <row r="100" spans="1:5" x14ac:dyDescent="0.2">
      <c r="A100" s="269">
        <v>45873.716585648152</v>
      </c>
      <c r="B100" t="s">
        <v>592</v>
      </c>
      <c r="C100" t="s">
        <v>686</v>
      </c>
      <c r="D100" t="s">
        <v>687</v>
      </c>
    </row>
    <row r="101" spans="1:5" x14ac:dyDescent="0.2">
      <c r="A101" s="269">
        <v>45873.716585648152</v>
      </c>
      <c r="B101" t="s">
        <v>592</v>
      </c>
      <c r="C101" t="s">
        <v>686</v>
      </c>
      <c r="D101" t="s">
        <v>687</v>
      </c>
    </row>
    <row r="102" spans="1:5" x14ac:dyDescent="0.2">
      <c r="A102" s="269">
        <v>45873.716736111113</v>
      </c>
      <c r="B102" t="s">
        <v>592</v>
      </c>
      <c r="C102" t="s">
        <v>686</v>
      </c>
      <c r="D102" t="s">
        <v>688</v>
      </c>
    </row>
    <row r="103" spans="1:5" x14ac:dyDescent="0.2">
      <c r="A103" s="269">
        <v>45873.716736111113</v>
      </c>
      <c r="B103" t="s">
        <v>592</v>
      </c>
      <c r="C103" t="s">
        <v>686</v>
      </c>
      <c r="D103" t="s">
        <v>689</v>
      </c>
      <c r="E103" t="s">
        <v>173</v>
      </c>
    </row>
    <row r="104" spans="1:5" x14ac:dyDescent="0.2">
      <c r="A104" s="269">
        <v>45873.716817129629</v>
      </c>
      <c r="B104" t="s">
        <v>592</v>
      </c>
      <c r="C104" t="s">
        <v>686</v>
      </c>
      <c r="D104" t="s">
        <v>689</v>
      </c>
    </row>
    <row r="105" spans="1:5" x14ac:dyDescent="0.2">
      <c r="A105" s="269">
        <v>45873.716817129629</v>
      </c>
      <c r="B105" t="s">
        <v>592</v>
      </c>
      <c r="C105" t="s">
        <v>686</v>
      </c>
      <c r="D105" t="s">
        <v>690</v>
      </c>
      <c r="E105" t="s">
        <v>173</v>
      </c>
    </row>
    <row r="106" spans="1:5" x14ac:dyDescent="0.2">
      <c r="A106" s="269">
        <v>45873.716886574075</v>
      </c>
      <c r="B106" t="s">
        <v>592</v>
      </c>
      <c r="C106" t="s">
        <v>686</v>
      </c>
      <c r="D106" t="s">
        <v>691</v>
      </c>
    </row>
    <row r="107" spans="1:5" x14ac:dyDescent="0.2">
      <c r="A107" s="269">
        <v>45873.717048611114</v>
      </c>
      <c r="B107" t="s">
        <v>592</v>
      </c>
      <c r="C107" t="s">
        <v>686</v>
      </c>
      <c r="D107" t="s">
        <v>692</v>
      </c>
    </row>
    <row r="108" spans="1:5" x14ac:dyDescent="0.2">
      <c r="A108" s="269">
        <v>45873.717048611114</v>
      </c>
      <c r="B108" t="s">
        <v>592</v>
      </c>
      <c r="C108" t="s">
        <v>686</v>
      </c>
      <c r="D108" t="s">
        <v>693</v>
      </c>
      <c r="E108" t="s">
        <v>29</v>
      </c>
    </row>
    <row r="109" spans="1:5" x14ac:dyDescent="0.2">
      <c r="A109" s="269">
        <v>45873.717164351852</v>
      </c>
      <c r="B109" t="s">
        <v>592</v>
      </c>
      <c r="C109" t="s">
        <v>686</v>
      </c>
      <c r="D109" t="s">
        <v>694</v>
      </c>
      <c r="E109" t="s">
        <v>229</v>
      </c>
    </row>
    <row r="110" spans="1:5" x14ac:dyDescent="0.2">
      <c r="A110" s="269">
        <v>45873.717175925929</v>
      </c>
      <c r="B110" t="s">
        <v>592</v>
      </c>
      <c r="C110" t="s">
        <v>686</v>
      </c>
      <c r="D110" t="s">
        <v>694</v>
      </c>
      <c r="E110" t="s">
        <v>229</v>
      </c>
    </row>
    <row r="111" spans="1:5" x14ac:dyDescent="0.2">
      <c r="A111" s="269">
        <v>45873.717210648145</v>
      </c>
      <c r="B111" t="s">
        <v>592</v>
      </c>
      <c r="C111" t="s">
        <v>686</v>
      </c>
      <c r="D111" t="s">
        <v>695</v>
      </c>
    </row>
    <row r="112" spans="1:5" x14ac:dyDescent="0.2">
      <c r="A112" s="269">
        <v>45873.717534722222</v>
      </c>
      <c r="B112" t="s">
        <v>592</v>
      </c>
      <c r="C112" t="s">
        <v>686</v>
      </c>
      <c r="D112" t="s">
        <v>695</v>
      </c>
    </row>
    <row r="113" spans="1:5" x14ac:dyDescent="0.2">
      <c r="A113" s="269">
        <v>45873.717557870368</v>
      </c>
      <c r="B113" t="s">
        <v>592</v>
      </c>
      <c r="C113" t="s">
        <v>686</v>
      </c>
      <c r="D113" t="s">
        <v>695</v>
      </c>
    </row>
    <row r="114" spans="1:5" x14ac:dyDescent="0.2">
      <c r="A114" s="269">
        <v>45873.71775462963</v>
      </c>
      <c r="B114" t="s">
        <v>592</v>
      </c>
      <c r="C114" t="s">
        <v>686</v>
      </c>
      <c r="D114" t="s">
        <v>695</v>
      </c>
      <c r="E114" t="s">
        <v>229</v>
      </c>
    </row>
    <row r="115" spans="1:5" x14ac:dyDescent="0.2">
      <c r="A115" s="269">
        <v>45873.717777777776</v>
      </c>
      <c r="B115" t="s">
        <v>592</v>
      </c>
      <c r="C115" t="s">
        <v>686</v>
      </c>
      <c r="D115" t="s">
        <v>696</v>
      </c>
      <c r="E115" t="s">
        <v>230</v>
      </c>
    </row>
    <row r="116" spans="1:5" x14ac:dyDescent="0.2">
      <c r="A116" s="269">
        <v>45873.717800925922</v>
      </c>
      <c r="B116" t="s">
        <v>592</v>
      </c>
      <c r="C116" t="s">
        <v>686</v>
      </c>
      <c r="D116" t="s">
        <v>697</v>
      </c>
      <c r="E116" t="s">
        <v>227</v>
      </c>
    </row>
    <row r="117" spans="1:5" x14ac:dyDescent="0.2">
      <c r="A117" s="269">
        <v>45873.717812499999</v>
      </c>
      <c r="B117" t="s">
        <v>592</v>
      </c>
      <c r="C117" t="s">
        <v>686</v>
      </c>
      <c r="D117" t="s">
        <v>698</v>
      </c>
      <c r="E117" t="s">
        <v>229</v>
      </c>
    </row>
    <row r="118" spans="1:5" x14ac:dyDescent="0.2">
      <c r="A118" s="269">
        <v>45873.717835648145</v>
      </c>
      <c r="B118" t="s">
        <v>592</v>
      </c>
      <c r="C118" t="s">
        <v>686</v>
      </c>
      <c r="D118" t="s">
        <v>699</v>
      </c>
      <c r="E118" t="s">
        <v>230</v>
      </c>
    </row>
    <row r="119" spans="1:5" x14ac:dyDescent="0.2">
      <c r="A119" s="269">
        <v>45873.718958333331</v>
      </c>
      <c r="B119" t="s">
        <v>592</v>
      </c>
      <c r="C119" t="s">
        <v>686</v>
      </c>
      <c r="D119" t="s">
        <v>700</v>
      </c>
    </row>
    <row r="120" spans="1:5" x14ac:dyDescent="0.2">
      <c r="A120" s="269">
        <v>45873.718958333331</v>
      </c>
      <c r="B120" t="s">
        <v>592</v>
      </c>
      <c r="C120" t="s">
        <v>686</v>
      </c>
      <c r="D120" t="s">
        <v>701</v>
      </c>
      <c r="E120" t="s">
        <v>33</v>
      </c>
    </row>
    <row r="121" spans="1:5" x14ac:dyDescent="0.2">
      <c r="A121" s="269">
        <v>45873.718993055554</v>
      </c>
      <c r="B121" t="s">
        <v>592</v>
      </c>
      <c r="C121" t="s">
        <v>686</v>
      </c>
      <c r="D121" t="s">
        <v>701</v>
      </c>
    </row>
    <row r="122" spans="1:5" x14ac:dyDescent="0.2">
      <c r="A122" s="269">
        <v>45873.718993055554</v>
      </c>
      <c r="B122" t="s">
        <v>592</v>
      </c>
      <c r="C122" t="s">
        <v>686</v>
      </c>
      <c r="D122" t="s">
        <v>683</v>
      </c>
      <c r="E122" t="s">
        <v>33</v>
      </c>
    </row>
    <row r="123" spans="1:5" x14ac:dyDescent="0.2">
      <c r="A123" s="269">
        <v>45873.719942129632</v>
      </c>
      <c r="B123" t="s">
        <v>592</v>
      </c>
      <c r="C123" t="s">
        <v>686</v>
      </c>
      <c r="D123" t="s">
        <v>702</v>
      </c>
    </row>
    <row r="124" spans="1:5" x14ac:dyDescent="0.2">
      <c r="A124" s="269">
        <v>45873.719942129632</v>
      </c>
      <c r="B124" t="s">
        <v>592</v>
      </c>
      <c r="C124" t="s">
        <v>686</v>
      </c>
      <c r="D124" t="s">
        <v>703</v>
      </c>
      <c r="E124" t="s">
        <v>169</v>
      </c>
    </row>
    <row r="125" spans="1:5" x14ac:dyDescent="0.2">
      <c r="A125" s="269">
        <v>45873.720520833333</v>
      </c>
      <c r="B125" t="s">
        <v>592</v>
      </c>
      <c r="C125" t="s">
        <v>686</v>
      </c>
      <c r="D125" t="s">
        <v>704</v>
      </c>
    </row>
    <row r="126" spans="1:5" x14ac:dyDescent="0.2">
      <c r="A126" s="269">
        <v>45873.720520833333</v>
      </c>
      <c r="B126" t="s">
        <v>592</v>
      </c>
      <c r="C126" t="s">
        <v>686</v>
      </c>
      <c r="D126" t="s">
        <v>705</v>
      </c>
      <c r="E126" t="s">
        <v>706</v>
      </c>
    </row>
    <row r="127" spans="1:5" x14ac:dyDescent="0.2">
      <c r="A127" s="269">
        <v>45873.722569444442</v>
      </c>
      <c r="B127" t="s">
        <v>592</v>
      </c>
      <c r="C127" t="s">
        <v>27</v>
      </c>
      <c r="D127" t="s">
        <v>707</v>
      </c>
    </row>
    <row r="128" spans="1:5" x14ac:dyDescent="0.2">
      <c r="A128" s="269">
        <v>45873.722569444442</v>
      </c>
      <c r="B128" t="s">
        <v>592</v>
      </c>
      <c r="C128" t="s">
        <v>27</v>
      </c>
      <c r="D128" t="s">
        <v>708</v>
      </c>
      <c r="E128" t="s">
        <v>226</v>
      </c>
    </row>
    <row r="129" spans="1:5" x14ac:dyDescent="0.2">
      <c r="A129" s="269">
        <v>45873.722650462965</v>
      </c>
      <c r="B129" t="s">
        <v>592</v>
      </c>
      <c r="C129" t="s">
        <v>27</v>
      </c>
      <c r="D129" t="s">
        <v>683</v>
      </c>
    </row>
    <row r="130" spans="1:5" x14ac:dyDescent="0.2">
      <c r="A130" s="269">
        <v>45873.722650462965</v>
      </c>
      <c r="B130" t="s">
        <v>592</v>
      </c>
      <c r="C130" t="s">
        <v>27</v>
      </c>
      <c r="D130" t="s">
        <v>709</v>
      </c>
      <c r="E130" t="s">
        <v>33</v>
      </c>
    </row>
    <row r="131" spans="1:5" x14ac:dyDescent="0.2">
      <c r="A131" s="269">
        <v>45873.722893518519</v>
      </c>
      <c r="B131" t="s">
        <v>592</v>
      </c>
      <c r="C131" t="s">
        <v>27</v>
      </c>
      <c r="D131" t="s">
        <v>685</v>
      </c>
    </row>
    <row r="132" spans="1:5" x14ac:dyDescent="0.2">
      <c r="A132" s="269">
        <v>45873.722893518519</v>
      </c>
      <c r="B132" t="s">
        <v>592</v>
      </c>
      <c r="C132" t="s">
        <v>27</v>
      </c>
      <c r="D132" t="s">
        <v>684</v>
      </c>
      <c r="E132" t="s">
        <v>38</v>
      </c>
    </row>
    <row r="133" spans="1:5" x14ac:dyDescent="0.2">
      <c r="A133" s="269">
        <v>45873.722939814812</v>
      </c>
      <c r="B133" t="s">
        <v>592</v>
      </c>
      <c r="C133" t="s">
        <v>27</v>
      </c>
      <c r="D133" t="s">
        <v>710</v>
      </c>
      <c r="E133" t="s">
        <v>230</v>
      </c>
    </row>
    <row r="134" spans="1:5" x14ac:dyDescent="0.2">
      <c r="A134" s="269">
        <v>45873.722939814812</v>
      </c>
      <c r="B134" t="s">
        <v>592</v>
      </c>
      <c r="C134" t="s">
        <v>27</v>
      </c>
      <c r="D134" t="s">
        <v>711</v>
      </c>
      <c r="E134" t="s">
        <v>226</v>
      </c>
    </row>
    <row r="135" spans="1:5" x14ac:dyDescent="0.2">
      <c r="A135" s="269">
        <v>45873.723113425927</v>
      </c>
      <c r="B135" t="s">
        <v>592</v>
      </c>
      <c r="C135" t="s">
        <v>27</v>
      </c>
      <c r="D135" t="s">
        <v>712</v>
      </c>
    </row>
    <row r="136" spans="1:5" x14ac:dyDescent="0.2">
      <c r="A136" s="269">
        <v>45873.723333333335</v>
      </c>
      <c r="B136" t="s">
        <v>592</v>
      </c>
      <c r="C136" t="s">
        <v>27</v>
      </c>
      <c r="D136" t="s">
        <v>688</v>
      </c>
    </row>
    <row r="137" spans="1:5" x14ac:dyDescent="0.2">
      <c r="A137" s="269">
        <v>45873.723333333335</v>
      </c>
      <c r="B137" t="s">
        <v>592</v>
      </c>
      <c r="C137" t="s">
        <v>27</v>
      </c>
      <c r="D137" t="s">
        <v>713</v>
      </c>
      <c r="E137" t="s">
        <v>173</v>
      </c>
    </row>
    <row r="138" spans="1:5" x14ac:dyDescent="0.2">
      <c r="A138" s="269">
        <v>45873.723483796297</v>
      </c>
      <c r="B138" t="s">
        <v>592</v>
      </c>
      <c r="C138" t="s">
        <v>27</v>
      </c>
      <c r="D138" t="s">
        <v>714</v>
      </c>
    </row>
    <row r="139" spans="1:5" x14ac:dyDescent="0.2">
      <c r="A139" s="269">
        <v>45873.723506944443</v>
      </c>
      <c r="B139" t="s">
        <v>592</v>
      </c>
      <c r="C139" t="s">
        <v>27</v>
      </c>
      <c r="D139" t="s">
        <v>715</v>
      </c>
    </row>
    <row r="140" spans="1:5" x14ac:dyDescent="0.2">
      <c r="A140" s="269">
        <v>45873.723530092589</v>
      </c>
      <c r="B140" t="s">
        <v>592</v>
      </c>
      <c r="C140" t="s">
        <v>27</v>
      </c>
      <c r="D140" t="s">
        <v>716</v>
      </c>
    </row>
    <row r="141" spans="1:5" x14ac:dyDescent="0.2">
      <c r="A141" s="269">
        <v>45873.723541666666</v>
      </c>
      <c r="B141" t="s">
        <v>592</v>
      </c>
      <c r="C141" t="s">
        <v>27</v>
      </c>
      <c r="D141" t="s">
        <v>717</v>
      </c>
    </row>
    <row r="142" spans="1:5" x14ac:dyDescent="0.2">
      <c r="A142" s="269">
        <v>45873.723564814813</v>
      </c>
      <c r="B142" t="s">
        <v>592</v>
      </c>
      <c r="C142" t="s">
        <v>27</v>
      </c>
      <c r="D142" t="s">
        <v>718</v>
      </c>
    </row>
    <row r="143" spans="1:5" x14ac:dyDescent="0.2">
      <c r="A143" s="269">
        <v>45873.727430555555</v>
      </c>
      <c r="B143" t="s">
        <v>592</v>
      </c>
      <c r="C143" t="s">
        <v>27</v>
      </c>
      <c r="D143" t="s">
        <v>709</v>
      </c>
    </row>
    <row r="144" spans="1:5" x14ac:dyDescent="0.2">
      <c r="A144" s="269">
        <v>45873.727430555555</v>
      </c>
      <c r="B144" t="s">
        <v>592</v>
      </c>
      <c r="C144" t="s">
        <v>27</v>
      </c>
      <c r="D144" t="s">
        <v>719</v>
      </c>
      <c r="E144" t="s">
        <v>33</v>
      </c>
    </row>
    <row r="145" spans="1:5" x14ac:dyDescent="0.2">
      <c r="A145" s="269">
        <v>45873.727465277778</v>
      </c>
      <c r="B145" t="s">
        <v>592</v>
      </c>
      <c r="C145" t="s">
        <v>27</v>
      </c>
      <c r="D145" t="s">
        <v>720</v>
      </c>
    </row>
    <row r="146" spans="1:5" x14ac:dyDescent="0.2">
      <c r="A146" s="269">
        <v>45873.727465277778</v>
      </c>
      <c r="B146" t="s">
        <v>592</v>
      </c>
      <c r="C146" t="s">
        <v>27</v>
      </c>
      <c r="D146" t="s">
        <v>721</v>
      </c>
      <c r="E146" t="s">
        <v>38</v>
      </c>
    </row>
    <row r="147" spans="1:5" x14ac:dyDescent="0.2">
      <c r="A147" s="269">
        <v>45873.727546296293</v>
      </c>
      <c r="B147" t="s">
        <v>592</v>
      </c>
      <c r="C147" t="s">
        <v>27</v>
      </c>
      <c r="D147" t="s">
        <v>722</v>
      </c>
    </row>
    <row r="148" spans="1:5" x14ac:dyDescent="0.2">
      <c r="A148" s="269">
        <v>45873.727546296293</v>
      </c>
      <c r="B148" t="s">
        <v>592</v>
      </c>
      <c r="C148" t="s">
        <v>27</v>
      </c>
      <c r="D148" t="s">
        <v>723</v>
      </c>
      <c r="E148" t="s">
        <v>226</v>
      </c>
    </row>
    <row r="149" spans="1:5" x14ac:dyDescent="0.2">
      <c r="A149" s="269">
        <v>45873.72761574074</v>
      </c>
      <c r="B149" t="s">
        <v>592</v>
      </c>
      <c r="C149" t="s">
        <v>27</v>
      </c>
      <c r="D149" t="s">
        <v>724</v>
      </c>
    </row>
    <row r="150" spans="1:5" x14ac:dyDescent="0.2">
      <c r="A150" s="269">
        <v>45873.72761574074</v>
      </c>
      <c r="B150" t="s">
        <v>592</v>
      </c>
      <c r="C150" t="s">
        <v>27</v>
      </c>
      <c r="D150" t="s">
        <v>725</v>
      </c>
      <c r="E150" t="s">
        <v>33</v>
      </c>
    </row>
    <row r="151" spans="1:5" x14ac:dyDescent="0.2">
      <c r="A151" s="269">
        <v>45873.732777777775</v>
      </c>
      <c r="B151" t="s">
        <v>592</v>
      </c>
      <c r="C151" t="s">
        <v>27</v>
      </c>
      <c r="D151" t="s">
        <v>726</v>
      </c>
    </row>
    <row r="152" spans="1:5" x14ac:dyDescent="0.2">
      <c r="A152" s="269">
        <v>45873.733171296299</v>
      </c>
      <c r="B152" t="s">
        <v>592</v>
      </c>
      <c r="C152" t="s">
        <v>27</v>
      </c>
      <c r="D152" t="s">
        <v>727</v>
      </c>
      <c r="E152" t="s">
        <v>728</v>
      </c>
    </row>
    <row r="153" spans="1:5" x14ac:dyDescent="0.2">
      <c r="A153" s="269">
        <v>45873.733518518522</v>
      </c>
      <c r="B153" t="s">
        <v>592</v>
      </c>
      <c r="C153" t="s">
        <v>611</v>
      </c>
      <c r="D153" t="s">
        <v>624</v>
      </c>
    </row>
    <row r="154" spans="1:5" x14ac:dyDescent="0.2">
      <c r="A154" s="269">
        <v>45873.733587962961</v>
      </c>
      <c r="B154" t="s">
        <v>592</v>
      </c>
      <c r="C154" t="s">
        <v>611</v>
      </c>
      <c r="D154" t="s">
        <v>729</v>
      </c>
      <c r="E154">
        <v>5</v>
      </c>
    </row>
    <row r="155" spans="1:5" x14ac:dyDescent="0.2">
      <c r="A155" s="269">
        <v>45873.733634259261</v>
      </c>
      <c r="B155" t="s">
        <v>592</v>
      </c>
      <c r="C155" t="s">
        <v>611</v>
      </c>
      <c r="D155" t="s">
        <v>620</v>
      </c>
      <c r="E155" t="s">
        <v>728</v>
      </c>
    </row>
    <row r="156" spans="1:5" x14ac:dyDescent="0.2">
      <c r="A156" s="269">
        <v>45873.733668981484</v>
      </c>
      <c r="B156" t="s">
        <v>592</v>
      </c>
      <c r="C156" t="s">
        <v>611</v>
      </c>
      <c r="D156" t="s">
        <v>622</v>
      </c>
      <c r="E156" t="s">
        <v>730</v>
      </c>
    </row>
    <row r="157" spans="1:5" x14ac:dyDescent="0.2">
      <c r="A157" s="269">
        <v>45873.735729166663</v>
      </c>
      <c r="B157" t="s">
        <v>592</v>
      </c>
      <c r="C157" t="s">
        <v>58</v>
      </c>
      <c r="D157" t="s">
        <v>731</v>
      </c>
    </row>
    <row r="158" spans="1:5" x14ac:dyDescent="0.2">
      <c r="A158" s="269">
        <v>45873.735775462963</v>
      </c>
      <c r="B158" t="s">
        <v>592</v>
      </c>
      <c r="C158" t="s">
        <v>58</v>
      </c>
      <c r="D158" t="s">
        <v>732</v>
      </c>
    </row>
    <row r="159" spans="1:5" x14ac:dyDescent="0.2">
      <c r="A159" s="269">
        <v>45873.736261574071</v>
      </c>
      <c r="B159" t="s">
        <v>592</v>
      </c>
      <c r="C159" t="s">
        <v>58</v>
      </c>
      <c r="D159" t="s">
        <v>733</v>
      </c>
    </row>
    <row r="160" spans="1:5" x14ac:dyDescent="0.2">
      <c r="A160" s="269">
        <v>45873.736284722225</v>
      </c>
      <c r="B160" t="s">
        <v>592</v>
      </c>
      <c r="C160" t="s">
        <v>58</v>
      </c>
      <c r="D160" t="s">
        <v>734</v>
      </c>
    </row>
    <row r="161" spans="1:5" x14ac:dyDescent="0.2">
      <c r="A161" s="269">
        <v>45873.736307870371</v>
      </c>
      <c r="B161" t="s">
        <v>592</v>
      </c>
      <c r="C161" t="s">
        <v>58</v>
      </c>
      <c r="D161" t="s">
        <v>735</v>
      </c>
    </row>
    <row r="162" spans="1:5" x14ac:dyDescent="0.2">
      <c r="A162" s="269">
        <v>45873.736331018517</v>
      </c>
      <c r="B162" t="s">
        <v>592</v>
      </c>
      <c r="C162" t="s">
        <v>58</v>
      </c>
      <c r="D162" t="s">
        <v>736</v>
      </c>
    </row>
    <row r="163" spans="1:5" x14ac:dyDescent="0.2">
      <c r="A163" s="269">
        <v>45873.736354166664</v>
      </c>
      <c r="B163" t="s">
        <v>592</v>
      </c>
      <c r="C163" t="s">
        <v>58</v>
      </c>
      <c r="D163" t="s">
        <v>737</v>
      </c>
    </row>
    <row r="164" spans="1:5" x14ac:dyDescent="0.2">
      <c r="A164" s="269">
        <v>45873.736493055556</v>
      </c>
      <c r="B164" t="s">
        <v>592</v>
      </c>
      <c r="C164" t="s">
        <v>58</v>
      </c>
      <c r="D164" t="s">
        <v>738</v>
      </c>
    </row>
    <row r="165" spans="1:5" x14ac:dyDescent="0.2">
      <c r="A165" s="269">
        <v>45873.736493055556</v>
      </c>
      <c r="B165" t="s">
        <v>592</v>
      </c>
      <c r="C165" t="s">
        <v>58</v>
      </c>
      <c r="D165" t="s">
        <v>739</v>
      </c>
      <c r="E165" t="s">
        <v>173</v>
      </c>
    </row>
    <row r="166" spans="1:5" x14ac:dyDescent="0.2">
      <c r="A166" s="269">
        <v>45873.736550925925</v>
      </c>
      <c r="B166" t="s">
        <v>592</v>
      </c>
      <c r="C166" t="s">
        <v>58</v>
      </c>
      <c r="D166" t="s">
        <v>740</v>
      </c>
      <c r="E166" t="s">
        <v>35</v>
      </c>
    </row>
    <row r="167" spans="1:5" x14ac:dyDescent="0.2">
      <c r="A167" s="269">
        <v>45873.736550925925</v>
      </c>
      <c r="B167" t="s">
        <v>592</v>
      </c>
      <c r="C167" t="s">
        <v>58</v>
      </c>
      <c r="D167" t="s">
        <v>741</v>
      </c>
      <c r="E167" t="s">
        <v>33</v>
      </c>
    </row>
    <row r="168" spans="1:5" x14ac:dyDescent="0.2">
      <c r="A168" s="269">
        <v>45873.736643518518</v>
      </c>
      <c r="B168" t="s">
        <v>592</v>
      </c>
      <c r="C168" t="s">
        <v>58</v>
      </c>
      <c r="D168" t="s">
        <v>742</v>
      </c>
      <c r="E168" t="s">
        <v>173</v>
      </c>
    </row>
    <row r="169" spans="1:5" x14ac:dyDescent="0.2">
      <c r="A169" s="269">
        <v>45873.736770833333</v>
      </c>
      <c r="B169" t="s">
        <v>592</v>
      </c>
      <c r="C169" t="s">
        <v>58</v>
      </c>
      <c r="D169" t="s">
        <v>743</v>
      </c>
    </row>
    <row r="170" spans="1:5" x14ac:dyDescent="0.2">
      <c r="A170" s="269">
        <v>45873.736793981479</v>
      </c>
      <c r="B170" t="s">
        <v>592</v>
      </c>
      <c r="C170" t="s">
        <v>58</v>
      </c>
      <c r="D170" t="s">
        <v>744</v>
      </c>
    </row>
    <row r="171" spans="1:5" x14ac:dyDescent="0.2">
      <c r="A171" s="269">
        <v>45873.736851851849</v>
      </c>
      <c r="B171" t="s">
        <v>592</v>
      </c>
      <c r="C171" t="s">
        <v>58</v>
      </c>
      <c r="D171" t="s">
        <v>745</v>
      </c>
    </row>
    <row r="172" spans="1:5" x14ac:dyDescent="0.2">
      <c r="A172" s="269">
        <v>45873.736886574072</v>
      </c>
      <c r="B172" t="s">
        <v>592</v>
      </c>
      <c r="C172" t="s">
        <v>58</v>
      </c>
      <c r="D172" t="s">
        <v>746</v>
      </c>
    </row>
    <row r="173" spans="1:5" x14ac:dyDescent="0.2">
      <c r="A173" s="269">
        <v>45873.736967592595</v>
      </c>
      <c r="B173" t="s">
        <v>592</v>
      </c>
      <c r="C173" t="s">
        <v>58</v>
      </c>
      <c r="D173" t="s">
        <v>747</v>
      </c>
    </row>
    <row r="174" spans="1:5" x14ac:dyDescent="0.2">
      <c r="A174" s="269">
        <v>45873.736967592595</v>
      </c>
      <c r="B174" t="s">
        <v>592</v>
      </c>
      <c r="C174" t="s">
        <v>58</v>
      </c>
      <c r="D174" t="s">
        <v>747</v>
      </c>
    </row>
    <row r="175" spans="1:5" x14ac:dyDescent="0.2">
      <c r="A175" s="269">
        <v>45873.737025462964</v>
      </c>
      <c r="B175" t="s">
        <v>592</v>
      </c>
      <c r="C175" t="s">
        <v>58</v>
      </c>
      <c r="D175" t="s">
        <v>748</v>
      </c>
      <c r="E175" t="s">
        <v>343</v>
      </c>
    </row>
    <row r="176" spans="1:5" x14ac:dyDescent="0.2">
      <c r="A176" s="269">
        <v>45873.737071759257</v>
      </c>
      <c r="B176" t="s">
        <v>592</v>
      </c>
      <c r="C176" t="s">
        <v>58</v>
      </c>
      <c r="D176" t="s">
        <v>749</v>
      </c>
      <c r="E176">
        <v>5</v>
      </c>
    </row>
    <row r="177" spans="1:5" x14ac:dyDescent="0.2">
      <c r="A177" s="269">
        <v>45873.737129629626</v>
      </c>
      <c r="B177" t="s">
        <v>592</v>
      </c>
      <c r="C177" t="s">
        <v>58</v>
      </c>
      <c r="D177" t="s">
        <v>750</v>
      </c>
    </row>
    <row r="178" spans="1:5" x14ac:dyDescent="0.2">
      <c r="A178" s="269">
        <v>45873.737164351849</v>
      </c>
      <c r="B178" t="s">
        <v>592</v>
      </c>
      <c r="C178" t="s">
        <v>58</v>
      </c>
      <c r="D178" t="s">
        <v>751</v>
      </c>
    </row>
    <row r="179" spans="1:5" x14ac:dyDescent="0.2">
      <c r="A179" s="269">
        <v>45873.737303240741</v>
      </c>
      <c r="B179" t="s">
        <v>592</v>
      </c>
      <c r="C179" t="s">
        <v>58</v>
      </c>
      <c r="D179" t="s">
        <v>752</v>
      </c>
      <c r="E179" t="s">
        <v>343</v>
      </c>
    </row>
    <row r="180" spans="1:5" x14ac:dyDescent="0.2">
      <c r="A180" s="269">
        <v>45873.737349537034</v>
      </c>
      <c r="B180" t="s">
        <v>592</v>
      </c>
      <c r="C180" t="s">
        <v>58</v>
      </c>
      <c r="D180" t="s">
        <v>753</v>
      </c>
    </row>
    <row r="181" spans="1:5" x14ac:dyDescent="0.2">
      <c r="A181" s="269">
        <v>45873.73741898148</v>
      </c>
      <c r="B181" t="s">
        <v>592</v>
      </c>
      <c r="C181" t="s">
        <v>58</v>
      </c>
      <c r="D181" t="s">
        <v>754</v>
      </c>
      <c r="E181" t="s">
        <v>178</v>
      </c>
    </row>
    <row r="182" spans="1:5" x14ac:dyDescent="0.2">
      <c r="A182" s="269">
        <v>45873.737476851849</v>
      </c>
      <c r="B182" t="s">
        <v>592</v>
      </c>
      <c r="C182" t="s">
        <v>58</v>
      </c>
      <c r="D182" t="s">
        <v>755</v>
      </c>
    </row>
    <row r="183" spans="1:5" x14ac:dyDescent="0.2">
      <c r="A183" s="269">
        <v>45873.737581018519</v>
      </c>
      <c r="B183" t="s">
        <v>592</v>
      </c>
      <c r="C183" t="s">
        <v>58</v>
      </c>
      <c r="D183" t="s">
        <v>756</v>
      </c>
      <c r="E183" t="s">
        <v>45</v>
      </c>
    </row>
    <row r="184" spans="1:5" x14ac:dyDescent="0.2">
      <c r="A184" s="269">
        <v>45874.37263888889</v>
      </c>
      <c r="B184" t="s">
        <v>757</v>
      </c>
      <c r="C184" t="s">
        <v>597</v>
      </c>
      <c r="D184" t="s">
        <v>758</v>
      </c>
      <c r="E184" t="s">
        <v>39</v>
      </c>
    </row>
    <row r="185" spans="1:5" x14ac:dyDescent="0.2">
      <c r="A185" s="269">
        <v>45874.37263888889</v>
      </c>
      <c r="B185" t="s">
        <v>757</v>
      </c>
      <c r="C185" t="s">
        <v>597</v>
      </c>
      <c r="D185" t="s">
        <v>657</v>
      </c>
      <c r="E185" t="s">
        <v>39</v>
      </c>
    </row>
    <row r="186" spans="1:5" x14ac:dyDescent="0.2">
      <c r="A186" s="269">
        <v>45874.37263888889</v>
      </c>
      <c r="B186" t="s">
        <v>757</v>
      </c>
      <c r="C186" t="s">
        <v>597</v>
      </c>
      <c r="D186" t="s">
        <v>655</v>
      </c>
      <c r="E186" t="s">
        <v>39</v>
      </c>
    </row>
    <row r="187" spans="1:5" x14ac:dyDescent="0.2">
      <c r="A187" s="269">
        <v>45874.37263888889</v>
      </c>
      <c r="B187" t="s">
        <v>757</v>
      </c>
      <c r="C187" t="s">
        <v>597</v>
      </c>
      <c r="D187" t="s">
        <v>759</v>
      </c>
      <c r="E187" t="s">
        <v>39</v>
      </c>
    </row>
    <row r="188" spans="1:5" x14ac:dyDescent="0.2">
      <c r="A188" s="269">
        <v>45874.37263888889</v>
      </c>
      <c r="B188" t="s">
        <v>757</v>
      </c>
      <c r="C188" t="s">
        <v>597</v>
      </c>
      <c r="D188" t="s">
        <v>650</v>
      </c>
      <c r="E188" t="s">
        <v>39</v>
      </c>
    </row>
    <row r="189" spans="1:5" x14ac:dyDescent="0.2">
      <c r="A189" s="269">
        <v>45874.372650462959</v>
      </c>
      <c r="B189" t="s">
        <v>757</v>
      </c>
      <c r="C189" t="s">
        <v>597</v>
      </c>
      <c r="D189" t="s">
        <v>647</v>
      </c>
      <c r="E189" t="s">
        <v>39</v>
      </c>
    </row>
    <row r="190" spans="1:5" x14ac:dyDescent="0.2">
      <c r="A190" s="269">
        <v>45874.372650462959</v>
      </c>
      <c r="B190" t="s">
        <v>757</v>
      </c>
      <c r="C190" t="s">
        <v>597</v>
      </c>
      <c r="D190" t="s">
        <v>646</v>
      </c>
      <c r="E190" t="s">
        <v>39</v>
      </c>
    </row>
    <row r="191" spans="1:5" x14ac:dyDescent="0.2">
      <c r="A191" s="269">
        <v>45874.385277777779</v>
      </c>
      <c r="B191" t="s">
        <v>757</v>
      </c>
      <c r="C191" t="s">
        <v>611</v>
      </c>
      <c r="D191" t="s">
        <v>760</v>
      </c>
      <c r="E191" t="s">
        <v>761</v>
      </c>
    </row>
    <row r="192" spans="1:5" x14ac:dyDescent="0.2">
      <c r="A192" s="269">
        <v>45874.432812500003</v>
      </c>
      <c r="B192" t="s">
        <v>757</v>
      </c>
      <c r="C192" t="s">
        <v>611</v>
      </c>
      <c r="D192" t="s">
        <v>762</v>
      </c>
    </row>
    <row r="193" spans="1:5" x14ac:dyDescent="0.2">
      <c r="A193" s="269">
        <v>45874.432812500003</v>
      </c>
      <c r="B193" t="s">
        <v>757</v>
      </c>
      <c r="C193" t="s">
        <v>611</v>
      </c>
      <c r="D193" t="s">
        <v>763</v>
      </c>
      <c r="E193" t="s">
        <v>38</v>
      </c>
    </row>
    <row r="194" spans="1:5" x14ac:dyDescent="0.2">
      <c r="A194" s="269">
        <v>45874.460486111115</v>
      </c>
      <c r="B194" t="s">
        <v>757</v>
      </c>
      <c r="C194" t="s">
        <v>611</v>
      </c>
      <c r="D194" t="s">
        <v>760</v>
      </c>
      <c r="E194" t="s">
        <v>764</v>
      </c>
    </row>
    <row r="195" spans="1:5" x14ac:dyDescent="0.2">
      <c r="A195" s="269">
        <v>45874.461006944446</v>
      </c>
      <c r="B195" t="s">
        <v>757</v>
      </c>
      <c r="C195" t="s">
        <v>611</v>
      </c>
      <c r="D195" t="s">
        <v>765</v>
      </c>
      <c r="E195" t="s">
        <v>766</v>
      </c>
    </row>
    <row r="196" spans="1:5" x14ac:dyDescent="0.2">
      <c r="A196" s="269">
        <v>45874.463275462964</v>
      </c>
      <c r="B196" t="s">
        <v>757</v>
      </c>
      <c r="C196" t="s">
        <v>611</v>
      </c>
      <c r="D196" t="s">
        <v>765</v>
      </c>
      <c r="E196" t="s">
        <v>767</v>
      </c>
    </row>
    <row r="197" spans="1:5" x14ac:dyDescent="0.2">
      <c r="A197" s="269">
        <v>45874.463483796295</v>
      </c>
      <c r="B197" t="s">
        <v>757</v>
      </c>
      <c r="C197" t="s">
        <v>611</v>
      </c>
      <c r="D197" t="s">
        <v>768</v>
      </c>
      <c r="E197" t="s">
        <v>769</v>
      </c>
    </row>
    <row r="198" spans="1:5" x14ac:dyDescent="0.2">
      <c r="A198" s="269">
        <v>45874.463854166665</v>
      </c>
      <c r="B198" t="s">
        <v>757</v>
      </c>
      <c r="C198" t="s">
        <v>611</v>
      </c>
      <c r="D198" t="s">
        <v>768</v>
      </c>
      <c r="E198" t="s">
        <v>57</v>
      </c>
    </row>
    <row r="199" spans="1:5" x14ac:dyDescent="0.2">
      <c r="A199" s="269">
        <v>45874.464513888888</v>
      </c>
      <c r="B199" t="s">
        <v>757</v>
      </c>
      <c r="C199" t="s">
        <v>611</v>
      </c>
      <c r="D199" t="s">
        <v>622</v>
      </c>
      <c r="E199" t="s">
        <v>770</v>
      </c>
    </row>
    <row r="200" spans="1:5" x14ac:dyDescent="0.2">
      <c r="A200" s="269">
        <v>45874.46502314815</v>
      </c>
      <c r="B200" t="s">
        <v>757</v>
      </c>
      <c r="C200" t="s">
        <v>611</v>
      </c>
      <c r="D200" t="s">
        <v>765</v>
      </c>
      <c r="E200" t="s">
        <v>771</v>
      </c>
    </row>
    <row r="201" spans="1:5" x14ac:dyDescent="0.2">
      <c r="A201" s="269">
        <v>45874.465856481482</v>
      </c>
      <c r="B201" t="s">
        <v>757</v>
      </c>
      <c r="C201" t="s">
        <v>611</v>
      </c>
      <c r="D201" t="s">
        <v>765</v>
      </c>
      <c r="E201" t="s">
        <v>55</v>
      </c>
    </row>
    <row r="202" spans="1:5" x14ac:dyDescent="0.2">
      <c r="A202" s="269">
        <v>45874.473310185182</v>
      </c>
      <c r="B202" t="s">
        <v>757</v>
      </c>
      <c r="C202" t="s">
        <v>15</v>
      </c>
      <c r="D202" t="s">
        <v>733</v>
      </c>
    </row>
    <row r="203" spans="1:5" x14ac:dyDescent="0.2">
      <c r="A203" s="269">
        <v>45874.473333333335</v>
      </c>
      <c r="B203" t="s">
        <v>757</v>
      </c>
      <c r="C203" t="s">
        <v>15</v>
      </c>
      <c r="D203" t="s">
        <v>734</v>
      </c>
    </row>
    <row r="204" spans="1:5" x14ac:dyDescent="0.2">
      <c r="A204" s="269">
        <v>45874.473356481481</v>
      </c>
      <c r="B204" t="s">
        <v>757</v>
      </c>
      <c r="C204" t="s">
        <v>15</v>
      </c>
      <c r="D204" t="s">
        <v>735</v>
      </c>
    </row>
    <row r="205" spans="1:5" x14ac:dyDescent="0.2">
      <c r="A205" s="269">
        <v>45874.473379629628</v>
      </c>
      <c r="B205" t="s">
        <v>757</v>
      </c>
      <c r="C205" t="s">
        <v>15</v>
      </c>
      <c r="D205" t="s">
        <v>736</v>
      </c>
    </row>
    <row r="206" spans="1:5" x14ac:dyDescent="0.2">
      <c r="A206" s="269">
        <v>45874.473391203705</v>
      </c>
      <c r="B206" t="s">
        <v>757</v>
      </c>
      <c r="C206" t="s">
        <v>15</v>
      </c>
      <c r="D206" t="s">
        <v>737</v>
      </c>
    </row>
    <row r="207" spans="1:5" x14ac:dyDescent="0.2">
      <c r="A207" s="269">
        <v>45874.473530092589</v>
      </c>
      <c r="B207" t="s">
        <v>757</v>
      </c>
      <c r="C207" t="s">
        <v>15</v>
      </c>
      <c r="D207" t="s">
        <v>772</v>
      </c>
      <c r="E207" t="s">
        <v>175</v>
      </c>
    </row>
    <row r="208" spans="1:5" x14ac:dyDescent="0.2">
      <c r="A208" s="269">
        <v>45874.473530092589</v>
      </c>
      <c r="B208" t="s">
        <v>757</v>
      </c>
      <c r="C208" t="s">
        <v>15</v>
      </c>
      <c r="D208" t="s">
        <v>773</v>
      </c>
      <c r="E208" t="s">
        <v>38</v>
      </c>
    </row>
    <row r="209" spans="1:5" x14ac:dyDescent="0.2">
      <c r="A209" s="269">
        <v>45874.473749999997</v>
      </c>
      <c r="B209" t="s">
        <v>757</v>
      </c>
      <c r="C209" t="s">
        <v>15</v>
      </c>
      <c r="D209" t="s">
        <v>774</v>
      </c>
    </row>
    <row r="210" spans="1:5" x14ac:dyDescent="0.2">
      <c r="A210" s="269">
        <v>45874.473749999997</v>
      </c>
      <c r="B210" t="s">
        <v>757</v>
      </c>
      <c r="C210" t="s">
        <v>15</v>
      </c>
      <c r="D210" t="s">
        <v>775</v>
      </c>
      <c r="E210" t="s">
        <v>173</v>
      </c>
    </row>
    <row r="211" spans="1:5" x14ac:dyDescent="0.2">
      <c r="A211" s="269">
        <v>45874.474108796298</v>
      </c>
      <c r="B211" t="s">
        <v>757</v>
      </c>
      <c r="C211" t="s">
        <v>2</v>
      </c>
      <c r="D211" t="s">
        <v>776</v>
      </c>
      <c r="E211">
        <v>2024</v>
      </c>
    </row>
    <row r="212" spans="1:5" x14ac:dyDescent="0.2">
      <c r="A212" s="269">
        <v>45874.474259259259</v>
      </c>
      <c r="B212" t="s">
        <v>757</v>
      </c>
      <c r="C212" t="s">
        <v>2</v>
      </c>
      <c r="D212" t="s">
        <v>776</v>
      </c>
    </row>
    <row r="213" spans="1:5" x14ac:dyDescent="0.2">
      <c r="A213" s="269">
        <v>45874.474386574075</v>
      </c>
      <c r="B213" t="s">
        <v>757</v>
      </c>
      <c r="C213" t="s">
        <v>15</v>
      </c>
      <c r="D213" t="s">
        <v>777</v>
      </c>
      <c r="E213" t="s">
        <v>778</v>
      </c>
    </row>
    <row r="214" spans="1:5" x14ac:dyDescent="0.2">
      <c r="A214" s="269">
        <v>45874.474814814814</v>
      </c>
      <c r="B214" t="s">
        <v>757</v>
      </c>
      <c r="C214" t="s">
        <v>15</v>
      </c>
      <c r="D214" t="s">
        <v>777</v>
      </c>
      <c r="E214" t="s">
        <v>779</v>
      </c>
    </row>
    <row r="215" spans="1:5" x14ac:dyDescent="0.2">
      <c r="A215" s="269">
        <v>45874.476215277777</v>
      </c>
      <c r="B215" t="s">
        <v>757</v>
      </c>
      <c r="C215" t="s">
        <v>15</v>
      </c>
      <c r="D215" t="s">
        <v>780</v>
      </c>
    </row>
    <row r="216" spans="1:5" x14ac:dyDescent="0.2">
      <c r="A216" s="269">
        <v>45874.476284722223</v>
      </c>
      <c r="B216" t="s">
        <v>757</v>
      </c>
      <c r="C216" t="s">
        <v>15</v>
      </c>
      <c r="D216" t="s">
        <v>780</v>
      </c>
      <c r="E216" t="s">
        <v>24</v>
      </c>
    </row>
    <row r="217" spans="1:5" x14ac:dyDescent="0.2">
      <c r="A217" s="269">
        <v>45874.476377314815</v>
      </c>
      <c r="B217" t="s">
        <v>757</v>
      </c>
      <c r="C217" t="s">
        <v>58</v>
      </c>
      <c r="D217" t="s">
        <v>780</v>
      </c>
      <c r="E217" t="s">
        <v>24</v>
      </c>
    </row>
    <row r="218" spans="1:5" x14ac:dyDescent="0.2">
      <c r="A218" s="269">
        <v>45874.476412037038</v>
      </c>
      <c r="B218" t="s">
        <v>757</v>
      </c>
      <c r="C218" t="s">
        <v>27</v>
      </c>
      <c r="D218" t="s">
        <v>780</v>
      </c>
      <c r="E218" t="s">
        <v>24</v>
      </c>
    </row>
    <row r="219" spans="1:5" x14ac:dyDescent="0.2">
      <c r="A219" s="269">
        <v>45874.476435185185</v>
      </c>
      <c r="B219" t="s">
        <v>757</v>
      </c>
      <c r="C219" t="s">
        <v>103</v>
      </c>
      <c r="D219" t="s">
        <v>780</v>
      </c>
      <c r="E219" t="s">
        <v>24</v>
      </c>
    </row>
    <row r="220" spans="1:5" x14ac:dyDescent="0.2">
      <c r="A220" s="269">
        <v>45874.476469907408</v>
      </c>
      <c r="B220" t="s">
        <v>757</v>
      </c>
      <c r="C220" t="s">
        <v>644</v>
      </c>
      <c r="D220" t="s">
        <v>780</v>
      </c>
      <c r="E220" t="s">
        <v>24</v>
      </c>
    </row>
    <row r="221" spans="1:5" x14ac:dyDescent="0.2">
      <c r="A221" s="269">
        <v>45874.476504629631</v>
      </c>
      <c r="B221" t="s">
        <v>757</v>
      </c>
      <c r="C221" t="s">
        <v>26</v>
      </c>
      <c r="D221" t="s">
        <v>780</v>
      </c>
      <c r="E221" t="s">
        <v>24</v>
      </c>
    </row>
    <row r="222" spans="1:5" x14ac:dyDescent="0.2">
      <c r="A222" s="269">
        <v>45874.476539351854</v>
      </c>
      <c r="B222" t="s">
        <v>757</v>
      </c>
      <c r="C222" t="s">
        <v>28</v>
      </c>
      <c r="D222" t="s">
        <v>780</v>
      </c>
      <c r="E222" t="s">
        <v>24</v>
      </c>
    </row>
    <row r="223" spans="1:5" x14ac:dyDescent="0.2">
      <c r="A223" s="269">
        <v>45874.477106481485</v>
      </c>
      <c r="B223" t="s">
        <v>757</v>
      </c>
      <c r="C223" t="s">
        <v>15</v>
      </c>
      <c r="D223" t="s">
        <v>781</v>
      </c>
    </row>
    <row r="224" spans="1:5" x14ac:dyDescent="0.2">
      <c r="A224" s="269">
        <v>45874.477106481485</v>
      </c>
      <c r="B224" t="s">
        <v>757</v>
      </c>
      <c r="C224" t="s">
        <v>15</v>
      </c>
      <c r="D224" t="s">
        <v>782</v>
      </c>
      <c r="E224" t="s">
        <v>191</v>
      </c>
    </row>
    <row r="225" spans="1:5" x14ac:dyDescent="0.2">
      <c r="A225" s="269">
        <v>45874.477303240739</v>
      </c>
      <c r="B225" t="s">
        <v>757</v>
      </c>
      <c r="C225" t="s">
        <v>15</v>
      </c>
      <c r="D225" t="s">
        <v>783</v>
      </c>
    </row>
    <row r="226" spans="1:5" x14ac:dyDescent="0.2">
      <c r="A226" s="269">
        <v>45874.477303240739</v>
      </c>
      <c r="B226" t="s">
        <v>757</v>
      </c>
      <c r="C226" t="s">
        <v>15</v>
      </c>
      <c r="D226" t="s">
        <v>784</v>
      </c>
      <c r="E226" t="s">
        <v>193</v>
      </c>
    </row>
    <row r="227" spans="1:5" x14ac:dyDescent="0.2">
      <c r="A227" s="269">
        <v>45874.47761574074</v>
      </c>
      <c r="B227" t="s">
        <v>757</v>
      </c>
      <c r="C227" t="s">
        <v>15</v>
      </c>
      <c r="D227" t="s">
        <v>785</v>
      </c>
    </row>
    <row r="228" spans="1:5" x14ac:dyDescent="0.2">
      <c r="A228" s="269">
        <v>45874.478136574071</v>
      </c>
      <c r="B228" t="s">
        <v>757</v>
      </c>
      <c r="C228" t="s">
        <v>15</v>
      </c>
      <c r="D228" t="s">
        <v>786</v>
      </c>
    </row>
    <row r="229" spans="1:5" x14ac:dyDescent="0.2">
      <c r="A229" s="269">
        <v>45874.478136574071</v>
      </c>
      <c r="B229" t="s">
        <v>757</v>
      </c>
      <c r="C229" t="s">
        <v>15</v>
      </c>
      <c r="D229" t="s">
        <v>787</v>
      </c>
      <c r="E229" t="s">
        <v>197</v>
      </c>
    </row>
    <row r="230" spans="1:5" x14ac:dyDescent="0.2">
      <c r="A230" s="269">
        <v>45874.478148148148</v>
      </c>
      <c r="B230" t="s">
        <v>757</v>
      </c>
      <c r="C230" t="s">
        <v>15</v>
      </c>
      <c r="D230" t="s">
        <v>788</v>
      </c>
      <c r="E230" t="s">
        <v>673</v>
      </c>
    </row>
    <row r="231" spans="1:5" x14ac:dyDescent="0.2">
      <c r="A231" s="269">
        <v>45874.478171296294</v>
      </c>
      <c r="B231" t="s">
        <v>757</v>
      </c>
      <c r="C231" t="s">
        <v>15</v>
      </c>
      <c r="D231" t="s">
        <v>788</v>
      </c>
      <c r="E231" t="s">
        <v>197</v>
      </c>
    </row>
    <row r="232" spans="1:5" x14ac:dyDescent="0.2">
      <c r="A232" s="269">
        <v>45874.478217592594</v>
      </c>
      <c r="B232" t="s">
        <v>757</v>
      </c>
      <c r="C232" t="s">
        <v>15</v>
      </c>
      <c r="D232" t="s">
        <v>789</v>
      </c>
    </row>
    <row r="233" spans="1:5" x14ac:dyDescent="0.2">
      <c r="A233" s="269">
        <v>45874.478217592594</v>
      </c>
      <c r="B233" t="s">
        <v>757</v>
      </c>
      <c r="C233" t="s">
        <v>15</v>
      </c>
      <c r="D233" t="s">
        <v>790</v>
      </c>
      <c r="E233" t="s">
        <v>200</v>
      </c>
    </row>
    <row r="234" spans="1:5" x14ac:dyDescent="0.2">
      <c r="A234" s="269">
        <v>45874.478252314817</v>
      </c>
      <c r="B234" t="s">
        <v>757</v>
      </c>
      <c r="C234" t="s">
        <v>15</v>
      </c>
      <c r="D234" t="s">
        <v>791</v>
      </c>
    </row>
    <row r="235" spans="1:5" x14ac:dyDescent="0.2">
      <c r="A235" s="269">
        <v>45874.478252314817</v>
      </c>
      <c r="B235" t="s">
        <v>757</v>
      </c>
      <c r="C235" t="s">
        <v>15</v>
      </c>
      <c r="D235" t="s">
        <v>792</v>
      </c>
      <c r="E235" t="s">
        <v>203</v>
      </c>
    </row>
    <row r="236" spans="1:5" x14ac:dyDescent="0.2">
      <c r="A236" s="269">
        <v>45874.479872685188</v>
      </c>
      <c r="B236" t="s">
        <v>757</v>
      </c>
      <c r="C236" t="s">
        <v>15</v>
      </c>
      <c r="D236" t="s">
        <v>793</v>
      </c>
    </row>
    <row r="237" spans="1:5" x14ac:dyDescent="0.2">
      <c r="A237" s="269">
        <v>45874.479942129627</v>
      </c>
      <c r="B237" t="s">
        <v>757</v>
      </c>
      <c r="C237" t="s">
        <v>15</v>
      </c>
      <c r="D237" t="s">
        <v>794</v>
      </c>
      <c r="E237">
        <v>1</v>
      </c>
    </row>
    <row r="238" spans="1:5" x14ac:dyDescent="0.2">
      <c r="A238" s="269">
        <v>45874.47996527778</v>
      </c>
      <c r="B238" t="s">
        <v>757</v>
      </c>
      <c r="C238" t="s">
        <v>15</v>
      </c>
      <c r="D238" t="s">
        <v>794</v>
      </c>
    </row>
    <row r="239" spans="1:5" x14ac:dyDescent="0.2">
      <c r="A239" s="269">
        <v>45874.479988425926</v>
      </c>
      <c r="B239" t="s">
        <v>757</v>
      </c>
      <c r="C239" t="s">
        <v>15</v>
      </c>
      <c r="D239" t="s">
        <v>795</v>
      </c>
    </row>
    <row r="240" spans="1:5" x14ac:dyDescent="0.2">
      <c r="A240" s="269">
        <v>45874.48</v>
      </c>
      <c r="B240" t="s">
        <v>757</v>
      </c>
      <c r="C240" t="s">
        <v>15</v>
      </c>
      <c r="D240" t="s">
        <v>795</v>
      </c>
    </row>
    <row r="241" spans="1:5" x14ac:dyDescent="0.2">
      <c r="A241" s="269">
        <v>45874.480023148149</v>
      </c>
      <c r="B241" t="s">
        <v>757</v>
      </c>
      <c r="C241" t="s">
        <v>15</v>
      </c>
      <c r="D241" t="s">
        <v>795</v>
      </c>
      <c r="E241" t="s">
        <v>197</v>
      </c>
    </row>
    <row r="242" spans="1:5" x14ac:dyDescent="0.2">
      <c r="A242" s="269">
        <v>45874.480081018519</v>
      </c>
      <c r="B242" t="s">
        <v>757</v>
      </c>
      <c r="C242" t="s">
        <v>15</v>
      </c>
      <c r="D242" t="s">
        <v>796</v>
      </c>
      <c r="E242" t="s">
        <v>197</v>
      </c>
    </row>
    <row r="243" spans="1:5" x14ac:dyDescent="0.2">
      <c r="A243" s="269">
        <v>45874.480162037034</v>
      </c>
      <c r="B243" t="s">
        <v>757</v>
      </c>
      <c r="C243" t="s">
        <v>15</v>
      </c>
      <c r="D243" t="s">
        <v>797</v>
      </c>
    </row>
    <row r="244" spans="1:5" x14ac:dyDescent="0.2">
      <c r="A244" s="269">
        <v>45874.480208333334</v>
      </c>
      <c r="B244" t="s">
        <v>757</v>
      </c>
      <c r="C244" t="s">
        <v>15</v>
      </c>
      <c r="D244" t="s">
        <v>798</v>
      </c>
    </row>
    <row r="245" spans="1:5" x14ac:dyDescent="0.2">
      <c r="A245" s="269">
        <v>45874.480312500003</v>
      </c>
      <c r="B245" t="s">
        <v>757</v>
      </c>
      <c r="C245" t="s">
        <v>15</v>
      </c>
      <c r="D245" t="s">
        <v>799</v>
      </c>
      <c r="E245" t="s">
        <v>178</v>
      </c>
    </row>
    <row r="246" spans="1:5" x14ac:dyDescent="0.2">
      <c r="A246" s="269">
        <v>45874.613298611112</v>
      </c>
      <c r="B246" t="s">
        <v>757</v>
      </c>
      <c r="C246" t="s">
        <v>103</v>
      </c>
      <c r="D246" t="s">
        <v>733</v>
      </c>
    </row>
    <row r="247" spans="1:5" x14ac:dyDescent="0.2">
      <c r="A247" s="269">
        <v>45874.613321759258</v>
      </c>
      <c r="B247" t="s">
        <v>757</v>
      </c>
      <c r="C247" t="s">
        <v>103</v>
      </c>
      <c r="D247" t="s">
        <v>734</v>
      </c>
    </row>
    <row r="248" spans="1:5" x14ac:dyDescent="0.2">
      <c r="A248" s="269">
        <v>45874.613344907404</v>
      </c>
      <c r="B248" t="s">
        <v>757</v>
      </c>
      <c r="C248" t="s">
        <v>103</v>
      </c>
      <c r="D248" t="s">
        <v>735</v>
      </c>
    </row>
    <row r="249" spans="1:5" x14ac:dyDescent="0.2">
      <c r="A249" s="269">
        <v>45874.613368055558</v>
      </c>
      <c r="B249" t="s">
        <v>757</v>
      </c>
      <c r="C249" t="s">
        <v>103</v>
      </c>
      <c r="D249" t="s">
        <v>736</v>
      </c>
    </row>
    <row r="250" spans="1:5" x14ac:dyDescent="0.2">
      <c r="A250" s="269">
        <v>45874.613391203704</v>
      </c>
      <c r="B250" t="s">
        <v>757</v>
      </c>
      <c r="C250" t="s">
        <v>103</v>
      </c>
      <c r="D250" t="s">
        <v>737</v>
      </c>
    </row>
    <row r="251" spans="1:5" x14ac:dyDescent="0.2">
      <c r="A251" s="269">
        <v>45874.613530092596</v>
      </c>
      <c r="B251" t="s">
        <v>757</v>
      </c>
      <c r="C251" t="s">
        <v>103</v>
      </c>
      <c r="D251" t="s">
        <v>800</v>
      </c>
      <c r="E251" t="s">
        <v>175</v>
      </c>
    </row>
    <row r="252" spans="1:5" x14ac:dyDescent="0.2">
      <c r="A252" s="269">
        <v>45874.613530092596</v>
      </c>
      <c r="B252" t="s">
        <v>757</v>
      </c>
      <c r="C252" t="s">
        <v>103</v>
      </c>
      <c r="D252" t="s">
        <v>801</v>
      </c>
      <c r="E252" t="s">
        <v>38</v>
      </c>
    </row>
    <row r="253" spans="1:5" x14ac:dyDescent="0.2">
      <c r="A253" s="269">
        <v>45874.614178240743</v>
      </c>
      <c r="B253" t="s">
        <v>757</v>
      </c>
      <c r="C253" t="s">
        <v>103</v>
      </c>
      <c r="D253" t="s">
        <v>802</v>
      </c>
    </row>
    <row r="254" spans="1:5" x14ac:dyDescent="0.2">
      <c r="A254" s="269">
        <v>45874.614247685182</v>
      </c>
      <c r="B254" t="s">
        <v>757</v>
      </c>
      <c r="C254" t="s">
        <v>103</v>
      </c>
      <c r="D254" t="s">
        <v>803</v>
      </c>
      <c r="E254" t="s">
        <v>302</v>
      </c>
    </row>
    <row r="255" spans="1:5" x14ac:dyDescent="0.2">
      <c r="A255" s="269">
        <v>45874.614317129628</v>
      </c>
      <c r="B255" t="s">
        <v>757</v>
      </c>
      <c r="C255" t="s">
        <v>103</v>
      </c>
      <c r="D255" t="s">
        <v>804</v>
      </c>
    </row>
    <row r="256" spans="1:5" x14ac:dyDescent="0.2">
      <c r="A256" s="269">
        <v>45874.614374999997</v>
      </c>
      <c r="B256" t="s">
        <v>757</v>
      </c>
      <c r="C256" t="s">
        <v>103</v>
      </c>
      <c r="D256" t="s">
        <v>805</v>
      </c>
    </row>
    <row r="257" spans="1:5" x14ac:dyDescent="0.2">
      <c r="A257" s="269">
        <v>45874.6169212963</v>
      </c>
      <c r="B257" t="s">
        <v>757</v>
      </c>
      <c r="C257" t="s">
        <v>103</v>
      </c>
      <c r="D257" t="s">
        <v>806</v>
      </c>
      <c r="E257" t="s">
        <v>178</v>
      </c>
    </row>
    <row r="258" spans="1:5" x14ac:dyDescent="0.2">
      <c r="A258" s="269">
        <v>45874.62327546296</v>
      </c>
      <c r="B258" t="s">
        <v>757</v>
      </c>
      <c r="C258" t="s">
        <v>644</v>
      </c>
      <c r="D258" t="s">
        <v>807</v>
      </c>
    </row>
    <row r="259" spans="1:5" x14ac:dyDescent="0.2">
      <c r="A259" s="269">
        <v>45874.623425925929</v>
      </c>
      <c r="B259" t="s">
        <v>757</v>
      </c>
      <c r="C259" t="s">
        <v>644</v>
      </c>
      <c r="D259" t="s">
        <v>733</v>
      </c>
    </row>
    <row r="260" spans="1:5" x14ac:dyDescent="0.2">
      <c r="A260" s="269">
        <v>45874.623449074075</v>
      </c>
      <c r="B260" t="s">
        <v>757</v>
      </c>
      <c r="C260" t="s">
        <v>644</v>
      </c>
      <c r="D260" t="s">
        <v>734</v>
      </c>
    </row>
    <row r="261" spans="1:5" x14ac:dyDescent="0.2">
      <c r="A261" s="269">
        <v>45874.623472222222</v>
      </c>
      <c r="B261" t="s">
        <v>757</v>
      </c>
      <c r="C261" t="s">
        <v>644</v>
      </c>
      <c r="D261" t="s">
        <v>735</v>
      </c>
    </row>
    <row r="262" spans="1:5" x14ac:dyDescent="0.2">
      <c r="A262" s="269">
        <v>45874.623495370368</v>
      </c>
      <c r="B262" t="s">
        <v>757</v>
      </c>
      <c r="C262" t="s">
        <v>644</v>
      </c>
      <c r="D262" t="s">
        <v>736</v>
      </c>
    </row>
    <row r="263" spans="1:5" x14ac:dyDescent="0.2">
      <c r="A263" s="269">
        <v>45874.623518518521</v>
      </c>
      <c r="B263" t="s">
        <v>757</v>
      </c>
      <c r="C263" t="s">
        <v>644</v>
      </c>
      <c r="D263" t="s">
        <v>737</v>
      </c>
    </row>
    <row r="264" spans="1:5" x14ac:dyDescent="0.2">
      <c r="A264" s="269">
        <v>45874.623668981483</v>
      </c>
      <c r="B264" t="s">
        <v>757</v>
      </c>
      <c r="C264" t="s">
        <v>644</v>
      </c>
      <c r="D264" t="s">
        <v>808</v>
      </c>
    </row>
    <row r="265" spans="1:5" x14ac:dyDescent="0.2">
      <c r="A265" s="269">
        <v>45874.623668981483</v>
      </c>
      <c r="B265" t="s">
        <v>757</v>
      </c>
      <c r="C265" t="s">
        <v>644</v>
      </c>
      <c r="D265" t="s">
        <v>809</v>
      </c>
      <c r="E265" t="s">
        <v>173</v>
      </c>
    </row>
    <row r="266" spans="1:5" x14ac:dyDescent="0.2">
      <c r="A266" s="269">
        <v>45874.62641203704</v>
      </c>
      <c r="B266" t="s">
        <v>757</v>
      </c>
      <c r="C266" t="s">
        <v>58</v>
      </c>
      <c r="D266" t="s">
        <v>712</v>
      </c>
    </row>
    <row r="267" spans="1:5" x14ac:dyDescent="0.2">
      <c r="A267" s="269">
        <v>45874.636817129627</v>
      </c>
      <c r="B267" t="s">
        <v>757</v>
      </c>
      <c r="C267" t="s">
        <v>27</v>
      </c>
      <c r="D267" t="s">
        <v>810</v>
      </c>
      <c r="E267" t="s">
        <v>167</v>
      </c>
    </row>
    <row r="268" spans="1:5" x14ac:dyDescent="0.2">
      <c r="A268" s="269">
        <v>45874.636863425927</v>
      </c>
      <c r="B268" t="s">
        <v>757</v>
      </c>
      <c r="C268" t="s">
        <v>27</v>
      </c>
      <c r="D268" t="s">
        <v>810</v>
      </c>
      <c r="E268" t="s">
        <v>167</v>
      </c>
    </row>
    <row r="269" spans="1:5" x14ac:dyDescent="0.2">
      <c r="A269" s="269">
        <v>45874.636956018519</v>
      </c>
      <c r="B269" t="s">
        <v>757</v>
      </c>
      <c r="C269" t="s">
        <v>58</v>
      </c>
      <c r="D269" t="s">
        <v>810</v>
      </c>
      <c r="E269" t="s">
        <v>179</v>
      </c>
    </row>
    <row r="270" spans="1:5" x14ac:dyDescent="0.2">
      <c r="A270" s="269">
        <v>45874.637013888889</v>
      </c>
      <c r="B270" t="s">
        <v>757</v>
      </c>
      <c r="C270" t="s">
        <v>15</v>
      </c>
      <c r="D270" t="s">
        <v>810</v>
      </c>
      <c r="E270" t="s">
        <v>181</v>
      </c>
    </row>
    <row r="271" spans="1:5" x14ac:dyDescent="0.2">
      <c r="A271" s="269">
        <v>45874.637071759258</v>
      </c>
      <c r="B271" t="s">
        <v>757</v>
      </c>
      <c r="C271" t="s">
        <v>103</v>
      </c>
      <c r="D271" t="s">
        <v>810</v>
      </c>
      <c r="E271" t="s">
        <v>811</v>
      </c>
    </row>
    <row r="272" spans="1:5" x14ac:dyDescent="0.2">
      <c r="A272" s="269">
        <v>45874.637141203704</v>
      </c>
      <c r="B272" t="s">
        <v>757</v>
      </c>
      <c r="C272" t="s">
        <v>103</v>
      </c>
      <c r="D272" t="s">
        <v>810</v>
      </c>
      <c r="E272" t="s">
        <v>206</v>
      </c>
    </row>
    <row r="273" spans="1:5" x14ac:dyDescent="0.2">
      <c r="A273" s="269">
        <v>45874.63721064815</v>
      </c>
      <c r="B273" t="s">
        <v>757</v>
      </c>
      <c r="C273" t="s">
        <v>644</v>
      </c>
      <c r="D273" t="s">
        <v>810</v>
      </c>
      <c r="E273" t="s">
        <v>206</v>
      </c>
    </row>
    <row r="274" spans="1:5" x14ac:dyDescent="0.2">
      <c r="A274" s="269">
        <v>45874.637280092589</v>
      </c>
      <c r="B274" t="s">
        <v>757</v>
      </c>
      <c r="C274" t="s">
        <v>26</v>
      </c>
      <c r="D274" t="s">
        <v>810</v>
      </c>
      <c r="E274" t="s">
        <v>215</v>
      </c>
    </row>
    <row r="275" spans="1:5" x14ac:dyDescent="0.2">
      <c r="A275" s="269">
        <v>45874.637349537035</v>
      </c>
      <c r="B275" t="s">
        <v>757</v>
      </c>
      <c r="C275" t="s">
        <v>28</v>
      </c>
      <c r="D275" t="s">
        <v>810</v>
      </c>
      <c r="E275" t="s">
        <v>812</v>
      </c>
    </row>
    <row r="276" spans="1:5" x14ac:dyDescent="0.2">
      <c r="A276" s="269">
        <v>45874.637557870374</v>
      </c>
      <c r="B276" t="s">
        <v>757</v>
      </c>
      <c r="C276" t="s">
        <v>28</v>
      </c>
      <c r="D276" t="s">
        <v>813</v>
      </c>
    </row>
    <row r="277" spans="1:5" x14ac:dyDescent="0.2">
      <c r="A277" s="269">
        <v>45874.637557870374</v>
      </c>
      <c r="B277" t="s">
        <v>757</v>
      </c>
      <c r="C277" t="s">
        <v>28</v>
      </c>
      <c r="D277" t="s">
        <v>814</v>
      </c>
      <c r="E277" t="s">
        <v>173</v>
      </c>
    </row>
    <row r="278" spans="1:5" x14ac:dyDescent="0.2">
      <c r="A278" s="269">
        <v>45874.637627314813</v>
      </c>
      <c r="B278" t="s">
        <v>757</v>
      </c>
      <c r="C278" t="s">
        <v>28</v>
      </c>
      <c r="D278" t="s">
        <v>813</v>
      </c>
      <c r="E278" t="s">
        <v>173</v>
      </c>
    </row>
    <row r="279" spans="1:5" x14ac:dyDescent="0.2">
      <c r="A279" s="269">
        <v>45874.637627314813</v>
      </c>
      <c r="B279" t="s">
        <v>757</v>
      </c>
      <c r="C279" t="s">
        <v>28</v>
      </c>
      <c r="D279" t="s">
        <v>814</v>
      </c>
    </row>
    <row r="280" spans="1:5" x14ac:dyDescent="0.2">
      <c r="A280" s="269">
        <v>45874.637638888889</v>
      </c>
      <c r="B280" t="s">
        <v>757</v>
      </c>
      <c r="C280" t="s">
        <v>28</v>
      </c>
      <c r="D280" t="s">
        <v>814</v>
      </c>
    </row>
    <row r="281" spans="1:5" x14ac:dyDescent="0.2">
      <c r="A281" s="269">
        <v>45874.637673611112</v>
      </c>
      <c r="B281" t="s">
        <v>757</v>
      </c>
      <c r="C281" t="s">
        <v>28</v>
      </c>
      <c r="D281" t="s">
        <v>815</v>
      </c>
    </row>
    <row r="282" spans="1:5" x14ac:dyDescent="0.2">
      <c r="A282" s="269">
        <v>45874.638148148151</v>
      </c>
      <c r="B282" t="s">
        <v>757</v>
      </c>
      <c r="C282" t="s">
        <v>28</v>
      </c>
      <c r="D282" t="s">
        <v>816</v>
      </c>
      <c r="E282">
        <v>8</v>
      </c>
    </row>
    <row r="283" spans="1:5" x14ac:dyDescent="0.2">
      <c r="A283" s="269">
        <v>45874.638148148151</v>
      </c>
      <c r="B283" t="s">
        <v>757</v>
      </c>
      <c r="C283" t="s">
        <v>28</v>
      </c>
      <c r="D283" t="s">
        <v>814</v>
      </c>
      <c r="E283" t="s">
        <v>173</v>
      </c>
    </row>
    <row r="284" spans="1:5" x14ac:dyDescent="0.2">
      <c r="A284" s="269">
        <v>45874.638402777775</v>
      </c>
      <c r="B284" t="s">
        <v>757</v>
      </c>
      <c r="C284" t="s">
        <v>28</v>
      </c>
      <c r="D284" t="s">
        <v>733</v>
      </c>
    </row>
    <row r="285" spans="1:5" x14ac:dyDescent="0.2">
      <c r="A285" s="269">
        <v>45874.638437499998</v>
      </c>
      <c r="B285" t="s">
        <v>757</v>
      </c>
      <c r="C285" t="s">
        <v>28</v>
      </c>
      <c r="D285" t="s">
        <v>734</v>
      </c>
    </row>
    <row r="286" spans="1:5" x14ac:dyDescent="0.2">
      <c r="A286" s="269">
        <v>45874.638483796298</v>
      </c>
      <c r="B286" t="s">
        <v>757</v>
      </c>
      <c r="C286" t="s">
        <v>28</v>
      </c>
      <c r="D286" t="s">
        <v>735</v>
      </c>
    </row>
    <row r="287" spans="1:5" x14ac:dyDescent="0.2">
      <c r="A287" s="269">
        <v>45874.638518518521</v>
      </c>
      <c r="B287" t="s">
        <v>757</v>
      </c>
      <c r="C287" t="s">
        <v>28</v>
      </c>
      <c r="D287" t="s">
        <v>736</v>
      </c>
    </row>
    <row r="288" spans="1:5" x14ac:dyDescent="0.2">
      <c r="A288" s="269">
        <v>45874.638564814813</v>
      </c>
      <c r="B288" t="s">
        <v>757</v>
      </c>
      <c r="C288" t="s">
        <v>28</v>
      </c>
      <c r="D288" t="s">
        <v>737</v>
      </c>
    </row>
    <row r="289" spans="1:5" x14ac:dyDescent="0.2">
      <c r="A289" s="269">
        <v>45874.638692129629</v>
      </c>
      <c r="B289" t="s">
        <v>757</v>
      </c>
      <c r="C289" t="s">
        <v>28</v>
      </c>
      <c r="D289" t="s">
        <v>817</v>
      </c>
      <c r="E289" t="s">
        <v>137</v>
      </c>
    </row>
    <row r="290" spans="1:5" x14ac:dyDescent="0.2">
      <c r="A290" s="269">
        <v>45874.638692129629</v>
      </c>
      <c r="B290" t="s">
        <v>757</v>
      </c>
      <c r="C290" t="s">
        <v>28</v>
      </c>
      <c r="D290" t="s">
        <v>818</v>
      </c>
      <c r="E290" t="s">
        <v>819</v>
      </c>
    </row>
    <row r="291" spans="1:5" x14ac:dyDescent="0.2">
      <c r="A291" s="269">
        <v>45874.647719907407</v>
      </c>
      <c r="B291" t="s">
        <v>757</v>
      </c>
      <c r="C291" t="s">
        <v>26</v>
      </c>
      <c r="D291" t="s">
        <v>733</v>
      </c>
    </row>
    <row r="292" spans="1:5" x14ac:dyDescent="0.2">
      <c r="A292" s="269">
        <v>45874.647766203707</v>
      </c>
      <c r="B292" t="s">
        <v>757</v>
      </c>
      <c r="C292" t="s">
        <v>26</v>
      </c>
      <c r="D292" t="s">
        <v>734</v>
      </c>
    </row>
    <row r="293" spans="1:5" x14ac:dyDescent="0.2">
      <c r="A293" s="269">
        <v>45874.647800925923</v>
      </c>
      <c r="B293" t="s">
        <v>757</v>
      </c>
      <c r="C293" t="s">
        <v>26</v>
      </c>
      <c r="D293" t="s">
        <v>735</v>
      </c>
    </row>
    <row r="294" spans="1:5" x14ac:dyDescent="0.2">
      <c r="A294" s="269">
        <v>45874.647847222222</v>
      </c>
      <c r="B294" t="s">
        <v>757</v>
      </c>
      <c r="C294" t="s">
        <v>26</v>
      </c>
      <c r="D294" t="s">
        <v>735</v>
      </c>
    </row>
    <row r="295" spans="1:5" x14ac:dyDescent="0.2">
      <c r="A295" s="269">
        <v>45874.647893518515</v>
      </c>
      <c r="B295" t="s">
        <v>757</v>
      </c>
      <c r="C295" t="s">
        <v>26</v>
      </c>
      <c r="D295" t="s">
        <v>736</v>
      </c>
    </row>
    <row r="296" spans="1:5" x14ac:dyDescent="0.2">
      <c r="A296" s="269">
        <v>45874.647939814815</v>
      </c>
      <c r="B296" t="s">
        <v>757</v>
      </c>
      <c r="C296" t="s">
        <v>26</v>
      </c>
      <c r="D296" t="s">
        <v>737</v>
      </c>
    </row>
    <row r="297" spans="1:5" x14ac:dyDescent="0.2">
      <c r="A297" s="269">
        <v>45874.64806712963</v>
      </c>
      <c r="B297" t="s">
        <v>757</v>
      </c>
      <c r="C297" t="s">
        <v>26</v>
      </c>
      <c r="D297" t="s">
        <v>820</v>
      </c>
    </row>
    <row r="298" spans="1:5" x14ac:dyDescent="0.2">
      <c r="A298" s="269">
        <v>45874.64806712963</v>
      </c>
      <c r="B298" t="s">
        <v>757</v>
      </c>
      <c r="C298" t="s">
        <v>26</v>
      </c>
      <c r="D298" t="s">
        <v>821</v>
      </c>
      <c r="E298" t="s">
        <v>120</v>
      </c>
    </row>
    <row r="299" spans="1:5" x14ac:dyDescent="0.2">
      <c r="A299" s="269">
        <v>45874.648125</v>
      </c>
      <c r="B299" t="s">
        <v>757</v>
      </c>
      <c r="C299" t="s">
        <v>26</v>
      </c>
      <c r="D299" t="s">
        <v>822</v>
      </c>
    </row>
    <row r="300" spans="1:5" x14ac:dyDescent="0.2">
      <c r="A300" s="269">
        <v>45874.658784722225</v>
      </c>
      <c r="B300" t="s">
        <v>757</v>
      </c>
      <c r="C300" t="s">
        <v>611</v>
      </c>
      <c r="D300" t="s">
        <v>823</v>
      </c>
      <c r="E300" t="s">
        <v>824</v>
      </c>
    </row>
    <row r="301" spans="1:5" x14ac:dyDescent="0.2">
      <c r="A301" s="269">
        <v>45874.658819444441</v>
      </c>
      <c r="B301" t="s">
        <v>757</v>
      </c>
      <c r="C301" t="s">
        <v>611</v>
      </c>
      <c r="D301" t="s">
        <v>823</v>
      </c>
      <c r="E301" t="s">
        <v>824</v>
      </c>
    </row>
    <row r="302" spans="1:5" x14ac:dyDescent="0.2">
      <c r="A302" s="269">
        <v>45874.708935185183</v>
      </c>
      <c r="B302" t="s">
        <v>757</v>
      </c>
      <c r="C302" t="s">
        <v>644</v>
      </c>
      <c r="D302" t="s">
        <v>825</v>
      </c>
    </row>
    <row r="303" spans="1:5" x14ac:dyDescent="0.2">
      <c r="A303" s="269">
        <v>45874.710127314815</v>
      </c>
      <c r="B303" t="s">
        <v>757</v>
      </c>
      <c r="C303" t="s">
        <v>644</v>
      </c>
      <c r="D303" t="s">
        <v>826</v>
      </c>
    </row>
    <row r="304" spans="1:5" x14ac:dyDescent="0.2">
      <c r="A304" s="269">
        <v>45874.710393518515</v>
      </c>
      <c r="B304" t="s">
        <v>757</v>
      </c>
      <c r="C304" t="s">
        <v>644</v>
      </c>
      <c r="D304" t="s">
        <v>740</v>
      </c>
    </row>
    <row r="305" spans="1:5" x14ac:dyDescent="0.2">
      <c r="A305" s="269">
        <v>45874.710393518515</v>
      </c>
      <c r="B305" t="s">
        <v>757</v>
      </c>
      <c r="C305" t="s">
        <v>644</v>
      </c>
      <c r="D305" t="s">
        <v>827</v>
      </c>
      <c r="E305" t="s">
        <v>231</v>
      </c>
    </row>
    <row r="306" spans="1:5" x14ac:dyDescent="0.2">
      <c r="A306" s="269">
        <v>45874.710428240738</v>
      </c>
      <c r="B306" t="s">
        <v>757</v>
      </c>
      <c r="C306" t="s">
        <v>644</v>
      </c>
      <c r="D306" t="s">
        <v>828</v>
      </c>
    </row>
    <row r="307" spans="1:5" x14ac:dyDescent="0.2">
      <c r="A307" s="269">
        <v>45874.710555555554</v>
      </c>
      <c r="B307" t="s">
        <v>757</v>
      </c>
      <c r="C307" t="s">
        <v>644</v>
      </c>
      <c r="D307" t="s">
        <v>723</v>
      </c>
    </row>
    <row r="308" spans="1:5" x14ac:dyDescent="0.2">
      <c r="A308" s="269">
        <v>45874.710555555554</v>
      </c>
      <c r="B308" t="s">
        <v>757</v>
      </c>
      <c r="C308" t="s">
        <v>644</v>
      </c>
      <c r="D308" t="s">
        <v>829</v>
      </c>
      <c r="E308" t="s">
        <v>226</v>
      </c>
    </row>
    <row r="309" spans="1:5" x14ac:dyDescent="0.2">
      <c r="A309" s="269">
        <v>45874.710729166669</v>
      </c>
      <c r="B309" t="s">
        <v>757</v>
      </c>
      <c r="C309" t="s">
        <v>644</v>
      </c>
      <c r="D309" t="s">
        <v>829</v>
      </c>
      <c r="E309" t="s">
        <v>229</v>
      </c>
    </row>
    <row r="310" spans="1:5" x14ac:dyDescent="0.2">
      <c r="A310" s="269">
        <v>45874.710729166669</v>
      </c>
      <c r="B310" t="s">
        <v>757</v>
      </c>
      <c r="C310" t="s">
        <v>644</v>
      </c>
      <c r="D310" t="s">
        <v>723</v>
      </c>
      <c r="E310" t="s">
        <v>226</v>
      </c>
    </row>
    <row r="311" spans="1:5" x14ac:dyDescent="0.2">
      <c r="A311" s="269">
        <v>45874.710821759261</v>
      </c>
      <c r="B311" t="s">
        <v>757</v>
      </c>
      <c r="C311" t="s">
        <v>644</v>
      </c>
      <c r="D311" t="s">
        <v>830</v>
      </c>
      <c r="E311">
        <v>1</v>
      </c>
    </row>
    <row r="312" spans="1:5" x14ac:dyDescent="0.2">
      <c r="A312" s="269">
        <v>45874.710821759261</v>
      </c>
      <c r="B312" t="s">
        <v>757</v>
      </c>
      <c r="C312" t="s">
        <v>644</v>
      </c>
      <c r="D312" t="s">
        <v>831</v>
      </c>
      <c r="E312" t="s">
        <v>173</v>
      </c>
    </row>
    <row r="313" spans="1:5" x14ac:dyDescent="0.2">
      <c r="A313" s="269">
        <v>45874.711481481485</v>
      </c>
      <c r="B313" t="s">
        <v>757</v>
      </c>
      <c r="C313" t="s">
        <v>644</v>
      </c>
      <c r="D313" t="s">
        <v>831</v>
      </c>
    </row>
    <row r="314" spans="1:5" x14ac:dyDescent="0.2">
      <c r="A314" s="269">
        <v>45874.711481481485</v>
      </c>
      <c r="B314" t="s">
        <v>757</v>
      </c>
      <c r="C314" t="s">
        <v>644</v>
      </c>
      <c r="D314" t="s">
        <v>830</v>
      </c>
      <c r="E314" t="s">
        <v>173</v>
      </c>
    </row>
    <row r="315" spans="1:5" x14ac:dyDescent="0.2">
      <c r="A315" s="269">
        <v>45874.712430555555</v>
      </c>
      <c r="B315" t="s">
        <v>757</v>
      </c>
      <c r="C315" t="s">
        <v>644</v>
      </c>
      <c r="D315" t="s">
        <v>832</v>
      </c>
      <c r="E315" t="s">
        <v>212</v>
      </c>
    </row>
    <row r="316" spans="1:5" x14ac:dyDescent="0.2">
      <c r="A316" s="269">
        <v>45874.712569444448</v>
      </c>
      <c r="B316" t="s">
        <v>757</v>
      </c>
      <c r="C316" t="s">
        <v>644</v>
      </c>
      <c r="D316" t="s">
        <v>833</v>
      </c>
      <c r="E316" t="s">
        <v>115</v>
      </c>
    </row>
    <row r="317" spans="1:5" x14ac:dyDescent="0.2">
      <c r="A317" s="269">
        <v>45874.71303240741</v>
      </c>
      <c r="B317" t="s">
        <v>757</v>
      </c>
      <c r="C317" t="s">
        <v>644</v>
      </c>
      <c r="D317" t="s">
        <v>834</v>
      </c>
    </row>
    <row r="318" spans="1:5" x14ac:dyDescent="0.2">
      <c r="A318" s="269">
        <v>45874.71303240741</v>
      </c>
      <c r="B318" t="s">
        <v>757</v>
      </c>
      <c r="C318" t="s">
        <v>644</v>
      </c>
      <c r="D318" t="s">
        <v>835</v>
      </c>
      <c r="E318" t="s">
        <v>104</v>
      </c>
    </row>
    <row r="319" spans="1:5" x14ac:dyDescent="0.2">
      <c r="A319" s="269">
        <v>45874.713101851848</v>
      </c>
      <c r="B319" t="s">
        <v>757</v>
      </c>
      <c r="C319" t="s">
        <v>644</v>
      </c>
      <c r="D319" t="s">
        <v>762</v>
      </c>
      <c r="E319" t="s">
        <v>175</v>
      </c>
    </row>
    <row r="320" spans="1:5" x14ac:dyDescent="0.2">
      <c r="A320" s="269">
        <v>45874.713101851848</v>
      </c>
      <c r="B320" t="s">
        <v>757</v>
      </c>
      <c r="C320" t="s">
        <v>644</v>
      </c>
      <c r="D320" t="s">
        <v>836</v>
      </c>
      <c r="E320" t="s">
        <v>38</v>
      </c>
    </row>
    <row r="321" spans="1:5" x14ac:dyDescent="0.2">
      <c r="A321" s="269">
        <v>45874.713356481479</v>
      </c>
      <c r="B321" t="s">
        <v>757</v>
      </c>
      <c r="C321" t="s">
        <v>644</v>
      </c>
      <c r="D321" t="s">
        <v>837</v>
      </c>
      <c r="E321" t="s">
        <v>173</v>
      </c>
    </row>
    <row r="322" spans="1:5" x14ac:dyDescent="0.2">
      <c r="A322" s="269">
        <v>45874.713460648149</v>
      </c>
      <c r="B322" t="s">
        <v>757</v>
      </c>
      <c r="C322" t="s">
        <v>644</v>
      </c>
      <c r="D322" t="s">
        <v>838</v>
      </c>
      <c r="E322" t="s">
        <v>304</v>
      </c>
    </row>
    <row r="323" spans="1:5" x14ac:dyDescent="0.2">
      <c r="A323" s="269">
        <v>45874.713541666664</v>
      </c>
      <c r="B323" t="s">
        <v>757</v>
      </c>
      <c r="C323" t="s">
        <v>644</v>
      </c>
      <c r="D323" t="s">
        <v>839</v>
      </c>
      <c r="E323">
        <v>15</v>
      </c>
    </row>
    <row r="324" spans="1:5" x14ac:dyDescent="0.2">
      <c r="A324" s="269">
        <v>45874.713587962964</v>
      </c>
      <c r="B324" t="s">
        <v>757</v>
      </c>
      <c r="C324" t="s">
        <v>644</v>
      </c>
      <c r="D324" t="s">
        <v>840</v>
      </c>
    </row>
    <row r="325" spans="1:5" x14ac:dyDescent="0.2">
      <c r="A325" s="269">
        <v>45874.71365740741</v>
      </c>
      <c r="B325" t="s">
        <v>757</v>
      </c>
      <c r="C325" t="s">
        <v>644</v>
      </c>
      <c r="D325" t="s">
        <v>841</v>
      </c>
    </row>
    <row r="326" spans="1:5" x14ac:dyDescent="0.2">
      <c r="A326" s="269">
        <v>45874.713900462964</v>
      </c>
      <c r="B326" t="s">
        <v>757</v>
      </c>
      <c r="C326" t="s">
        <v>644</v>
      </c>
      <c r="D326" t="s">
        <v>754</v>
      </c>
      <c r="E326" t="s">
        <v>178</v>
      </c>
    </row>
    <row r="327" spans="1:5" x14ac:dyDescent="0.2">
      <c r="A327" s="269">
        <v>45874.714988425927</v>
      </c>
      <c r="B327" t="s">
        <v>757</v>
      </c>
      <c r="C327" t="s">
        <v>26</v>
      </c>
      <c r="D327" t="s">
        <v>842</v>
      </c>
    </row>
    <row r="328" spans="1:5" x14ac:dyDescent="0.2">
      <c r="A328" s="269">
        <v>45874.715069444443</v>
      </c>
      <c r="B328" t="s">
        <v>757</v>
      </c>
      <c r="C328" t="s">
        <v>26</v>
      </c>
      <c r="D328" t="s">
        <v>843</v>
      </c>
      <c r="E328" t="s">
        <v>120</v>
      </c>
    </row>
    <row r="329" spans="1:5" x14ac:dyDescent="0.2">
      <c r="A329" s="269">
        <v>45874.715069444443</v>
      </c>
      <c r="B329" t="s">
        <v>757</v>
      </c>
      <c r="C329" t="s">
        <v>26</v>
      </c>
      <c r="D329" t="s">
        <v>741</v>
      </c>
      <c r="E329" t="s">
        <v>219</v>
      </c>
    </row>
    <row r="330" spans="1:5" x14ac:dyDescent="0.2">
      <c r="A330" s="269">
        <v>45874.715162037035</v>
      </c>
      <c r="B330" t="s">
        <v>757</v>
      </c>
      <c r="C330" t="s">
        <v>26</v>
      </c>
      <c r="D330" t="s">
        <v>801</v>
      </c>
      <c r="E330" t="s">
        <v>175</v>
      </c>
    </row>
    <row r="331" spans="1:5" x14ac:dyDescent="0.2">
      <c r="A331" s="269">
        <v>45874.715162037035</v>
      </c>
      <c r="B331" t="s">
        <v>757</v>
      </c>
      <c r="C331" t="s">
        <v>26</v>
      </c>
      <c r="D331" t="s">
        <v>762</v>
      </c>
      <c r="E331" t="s">
        <v>38</v>
      </c>
    </row>
    <row r="332" spans="1:5" x14ac:dyDescent="0.2">
      <c r="A332" s="269">
        <v>45874.716643518521</v>
      </c>
      <c r="B332" t="s">
        <v>757</v>
      </c>
      <c r="C332" t="s">
        <v>26</v>
      </c>
      <c r="D332" t="s">
        <v>844</v>
      </c>
      <c r="E332" t="s">
        <v>173</v>
      </c>
    </row>
    <row r="333" spans="1:5" x14ac:dyDescent="0.2">
      <c r="A333" s="269">
        <v>45874.71671296296</v>
      </c>
      <c r="B333" t="s">
        <v>757</v>
      </c>
      <c r="C333" t="s">
        <v>26</v>
      </c>
      <c r="D333" t="s">
        <v>845</v>
      </c>
      <c r="E333" t="s">
        <v>173</v>
      </c>
    </row>
    <row r="334" spans="1:5" x14ac:dyDescent="0.2">
      <c r="A334" s="269">
        <v>45874.718321759261</v>
      </c>
      <c r="B334" t="s">
        <v>757</v>
      </c>
      <c r="C334" t="s">
        <v>26</v>
      </c>
      <c r="D334" t="s">
        <v>846</v>
      </c>
      <c r="E334" t="s">
        <v>308</v>
      </c>
    </row>
    <row r="335" spans="1:5" x14ac:dyDescent="0.2">
      <c r="A335" s="269">
        <v>45874.718356481484</v>
      </c>
      <c r="B335" t="s">
        <v>757</v>
      </c>
      <c r="C335" t="s">
        <v>26</v>
      </c>
      <c r="D335" t="s">
        <v>846</v>
      </c>
    </row>
    <row r="336" spans="1:5" x14ac:dyDescent="0.2">
      <c r="A336" s="269">
        <v>45874.718622685185</v>
      </c>
      <c r="B336" t="s">
        <v>757</v>
      </c>
      <c r="C336" t="s">
        <v>26</v>
      </c>
      <c r="D336" t="s">
        <v>806</v>
      </c>
      <c r="E336" t="s">
        <v>178</v>
      </c>
    </row>
    <row r="337" spans="1:5" x14ac:dyDescent="0.2">
      <c r="A337" s="269">
        <v>45874.718888888892</v>
      </c>
      <c r="B337" t="s">
        <v>757</v>
      </c>
      <c r="C337" t="s">
        <v>28</v>
      </c>
      <c r="D337" t="s">
        <v>847</v>
      </c>
      <c r="E337" t="s">
        <v>173</v>
      </c>
    </row>
    <row r="338" spans="1:5" x14ac:dyDescent="0.2">
      <c r="A338" s="269">
        <v>45874.718981481485</v>
      </c>
      <c r="B338" t="s">
        <v>757</v>
      </c>
      <c r="C338" t="s">
        <v>28</v>
      </c>
      <c r="D338" t="s">
        <v>806</v>
      </c>
      <c r="E338" t="s">
        <v>178</v>
      </c>
    </row>
    <row r="339" spans="1:5" x14ac:dyDescent="0.2">
      <c r="A339" s="269">
        <v>45874.733564814815</v>
      </c>
      <c r="B339" t="s">
        <v>757</v>
      </c>
      <c r="C339" t="s">
        <v>28</v>
      </c>
      <c r="D339" t="s">
        <v>848</v>
      </c>
    </row>
    <row r="340" spans="1:5" x14ac:dyDescent="0.2">
      <c r="A340" s="269">
        <v>45874.7344212963</v>
      </c>
      <c r="B340" t="s">
        <v>757</v>
      </c>
      <c r="C340" t="s">
        <v>28</v>
      </c>
      <c r="D340" t="s">
        <v>849</v>
      </c>
    </row>
    <row r="341" spans="1:5" x14ac:dyDescent="0.2">
      <c r="A341" s="269">
        <v>45874.734594907408</v>
      </c>
      <c r="B341" t="s">
        <v>757</v>
      </c>
      <c r="C341" t="s">
        <v>28</v>
      </c>
      <c r="D341" t="s">
        <v>849</v>
      </c>
    </row>
    <row r="342" spans="1:5" x14ac:dyDescent="0.2">
      <c r="A342" s="269">
        <v>45874.736273148148</v>
      </c>
      <c r="B342" t="s">
        <v>757</v>
      </c>
      <c r="C342" t="s">
        <v>28</v>
      </c>
      <c r="D342" t="s">
        <v>850</v>
      </c>
    </row>
    <row r="343" spans="1:5" x14ac:dyDescent="0.2">
      <c r="A343" s="269">
        <v>45874.737025462964</v>
      </c>
      <c r="B343" t="s">
        <v>757</v>
      </c>
      <c r="C343" t="s">
        <v>28</v>
      </c>
      <c r="D343" t="s">
        <v>851</v>
      </c>
    </row>
    <row r="344" spans="1:5" x14ac:dyDescent="0.2">
      <c r="A344" s="269">
        <v>45874.737199074072</v>
      </c>
      <c r="B344" t="s">
        <v>757</v>
      </c>
      <c r="C344" t="s">
        <v>28</v>
      </c>
      <c r="D344" t="s">
        <v>852</v>
      </c>
    </row>
    <row r="345" spans="1:5" x14ac:dyDescent="0.2">
      <c r="A345" s="269">
        <v>45874.75509259259</v>
      </c>
      <c r="B345" t="s">
        <v>757</v>
      </c>
      <c r="C345" t="s">
        <v>28</v>
      </c>
      <c r="D345" t="s">
        <v>853</v>
      </c>
      <c r="E345" t="s">
        <v>45</v>
      </c>
    </row>
    <row r="346" spans="1:5" x14ac:dyDescent="0.2">
      <c r="A346" s="269">
        <v>45874.755231481482</v>
      </c>
      <c r="B346" t="s">
        <v>757</v>
      </c>
      <c r="C346" t="s">
        <v>28</v>
      </c>
      <c r="D346" t="s">
        <v>854</v>
      </c>
    </row>
    <row r="347" spans="1:5" x14ac:dyDescent="0.2">
      <c r="A347" s="269">
        <v>45874.755243055559</v>
      </c>
      <c r="B347" t="s">
        <v>757</v>
      </c>
      <c r="C347" t="s">
        <v>28</v>
      </c>
      <c r="D347" t="s">
        <v>854</v>
      </c>
    </row>
    <row r="348" spans="1:5" x14ac:dyDescent="0.2">
      <c r="A348" s="269">
        <v>45874.755266203705</v>
      </c>
      <c r="B348" t="s">
        <v>757</v>
      </c>
      <c r="C348" t="s">
        <v>28</v>
      </c>
      <c r="D348" t="s">
        <v>825</v>
      </c>
    </row>
    <row r="349" spans="1:5" x14ac:dyDescent="0.2">
      <c r="A349" s="269">
        <v>45874.755300925928</v>
      </c>
      <c r="B349" t="s">
        <v>757</v>
      </c>
      <c r="C349" t="s">
        <v>28</v>
      </c>
      <c r="D349" t="s">
        <v>855</v>
      </c>
    </row>
    <row r="350" spans="1:5" x14ac:dyDescent="0.2">
      <c r="A350" s="269">
        <v>45874.757013888891</v>
      </c>
      <c r="B350" t="s">
        <v>757</v>
      </c>
      <c r="C350" t="s">
        <v>634</v>
      </c>
      <c r="D350" t="s">
        <v>856</v>
      </c>
      <c r="E350" t="s">
        <v>365</v>
      </c>
    </row>
    <row r="351" spans="1:5" x14ac:dyDescent="0.2">
      <c r="A351" s="269">
        <v>45874.757037037038</v>
      </c>
      <c r="B351" t="s">
        <v>757</v>
      </c>
      <c r="C351" t="s">
        <v>634</v>
      </c>
      <c r="D351" t="s">
        <v>857</v>
      </c>
      <c r="E351" t="s">
        <v>365</v>
      </c>
    </row>
    <row r="352" spans="1:5" x14ac:dyDescent="0.2">
      <c r="A352" s="269">
        <v>45874.757118055553</v>
      </c>
      <c r="B352" t="s">
        <v>757</v>
      </c>
      <c r="C352" t="s">
        <v>634</v>
      </c>
      <c r="D352" t="s">
        <v>858</v>
      </c>
      <c r="E352" t="s">
        <v>859</v>
      </c>
    </row>
    <row r="353" spans="1:5" x14ac:dyDescent="0.2">
      <c r="A353" s="269">
        <v>45874.757175925923</v>
      </c>
      <c r="B353" t="s">
        <v>757</v>
      </c>
      <c r="C353" t="s">
        <v>634</v>
      </c>
      <c r="D353" t="s">
        <v>860</v>
      </c>
      <c r="E353" t="s">
        <v>381</v>
      </c>
    </row>
    <row r="354" spans="1:5" ht="32" x14ac:dyDescent="0.2">
      <c r="A354" s="269">
        <v>45874.757233796299</v>
      </c>
      <c r="B354" t="s">
        <v>757</v>
      </c>
      <c r="C354" t="s">
        <v>634</v>
      </c>
      <c r="D354" t="s">
        <v>861</v>
      </c>
      <c r="E354" s="6" t="s">
        <v>862</v>
      </c>
    </row>
    <row r="355" spans="1:5" x14ac:dyDescent="0.2">
      <c r="A355" s="269">
        <v>45874.757303240738</v>
      </c>
      <c r="B355" t="s">
        <v>757</v>
      </c>
      <c r="C355" t="s">
        <v>634</v>
      </c>
      <c r="D355" t="s">
        <v>861</v>
      </c>
      <c r="E355" t="s">
        <v>863</v>
      </c>
    </row>
    <row r="356" spans="1:5" x14ac:dyDescent="0.2">
      <c r="A356" s="269">
        <v>45874.757349537038</v>
      </c>
      <c r="B356" t="s">
        <v>757</v>
      </c>
      <c r="C356" t="s">
        <v>634</v>
      </c>
      <c r="D356" t="s">
        <v>861</v>
      </c>
      <c r="E356" t="s">
        <v>864</v>
      </c>
    </row>
    <row r="357" spans="1:5" x14ac:dyDescent="0.2">
      <c r="A357" s="269">
        <v>45874.7575</v>
      </c>
      <c r="B357" t="s">
        <v>757</v>
      </c>
      <c r="C357" t="s">
        <v>634</v>
      </c>
      <c r="D357" t="s">
        <v>865</v>
      </c>
      <c r="E357" t="s">
        <v>864</v>
      </c>
    </row>
    <row r="358" spans="1:5" x14ac:dyDescent="0.2">
      <c r="A358" s="269">
        <v>45874.757511574076</v>
      </c>
      <c r="B358" t="s">
        <v>757</v>
      </c>
      <c r="C358" t="s">
        <v>634</v>
      </c>
      <c r="D358" t="s">
        <v>865</v>
      </c>
      <c r="E358" t="s">
        <v>364</v>
      </c>
    </row>
    <row r="359" spans="1:5" x14ac:dyDescent="0.2">
      <c r="A359" s="269">
        <v>45874.758831018517</v>
      </c>
      <c r="B359" t="s">
        <v>757</v>
      </c>
      <c r="C359" t="s">
        <v>27</v>
      </c>
      <c r="D359" t="s">
        <v>727</v>
      </c>
      <c r="E359" t="s">
        <v>72</v>
      </c>
    </row>
    <row r="360" spans="1:5" x14ac:dyDescent="0.2">
      <c r="A360" s="269">
        <v>45874.758923611109</v>
      </c>
      <c r="B360" t="s">
        <v>757</v>
      </c>
      <c r="C360" t="s">
        <v>611</v>
      </c>
      <c r="D360" t="s">
        <v>620</v>
      </c>
      <c r="E360" t="s">
        <v>72</v>
      </c>
    </row>
    <row r="361" spans="1:5" ht="224" x14ac:dyDescent="0.2">
      <c r="A361" s="269">
        <v>45874.767754629633</v>
      </c>
      <c r="B361" t="s">
        <v>757</v>
      </c>
      <c r="C361" t="s">
        <v>611</v>
      </c>
      <c r="D361" t="s">
        <v>866</v>
      </c>
      <c r="E361" s="6" t="s">
        <v>867</v>
      </c>
    </row>
    <row r="362" spans="1:5" ht="224" x14ac:dyDescent="0.2">
      <c r="A362" s="269">
        <v>45874.767789351848</v>
      </c>
      <c r="B362" t="s">
        <v>757</v>
      </c>
      <c r="C362" t="s">
        <v>611</v>
      </c>
      <c r="D362" t="s">
        <v>866</v>
      </c>
      <c r="E362" s="6" t="s">
        <v>867</v>
      </c>
    </row>
    <row r="363" spans="1:5" ht="224" x14ac:dyDescent="0.2">
      <c r="A363" s="269">
        <v>45874.768043981479</v>
      </c>
      <c r="B363" t="s">
        <v>757</v>
      </c>
      <c r="C363" t="s">
        <v>611</v>
      </c>
      <c r="D363" t="s">
        <v>866</v>
      </c>
      <c r="E363" s="6" t="s">
        <v>867</v>
      </c>
    </row>
    <row r="364" spans="1:5" x14ac:dyDescent="0.2">
      <c r="A364" s="269">
        <v>45874.768611111111</v>
      </c>
      <c r="B364" t="s">
        <v>757</v>
      </c>
      <c r="C364" t="s">
        <v>611</v>
      </c>
      <c r="D364" t="s">
        <v>866</v>
      </c>
      <c r="E364" t="s">
        <v>868</v>
      </c>
    </row>
    <row r="365" spans="1:5" ht="224" x14ac:dyDescent="0.2">
      <c r="A365" s="269">
        <v>45874.768680555557</v>
      </c>
      <c r="B365" t="s">
        <v>757</v>
      </c>
      <c r="C365" t="s">
        <v>611</v>
      </c>
      <c r="D365" t="s">
        <v>869</v>
      </c>
      <c r="E365" s="6" t="s">
        <v>868</v>
      </c>
    </row>
    <row r="366" spans="1:5" x14ac:dyDescent="0.2">
      <c r="A366" s="269">
        <v>45874.772719907407</v>
      </c>
      <c r="B366" t="s">
        <v>757</v>
      </c>
      <c r="C366" t="s">
        <v>634</v>
      </c>
      <c r="D366" t="s">
        <v>870</v>
      </c>
      <c r="E366" t="s">
        <v>139</v>
      </c>
    </row>
    <row r="367" spans="1:5" x14ac:dyDescent="0.2">
      <c r="A367" s="269">
        <v>45874.772743055553</v>
      </c>
      <c r="B367" t="s">
        <v>757</v>
      </c>
      <c r="C367" t="s">
        <v>634</v>
      </c>
      <c r="D367" t="s">
        <v>870</v>
      </c>
      <c r="E367" t="s">
        <v>316</v>
      </c>
    </row>
    <row r="368" spans="1:5" x14ac:dyDescent="0.2">
      <c r="A368" s="269">
        <v>45874.772847222222</v>
      </c>
      <c r="B368" t="s">
        <v>757</v>
      </c>
      <c r="C368" t="s">
        <v>634</v>
      </c>
      <c r="D368" t="s">
        <v>870</v>
      </c>
      <c r="E368" t="s">
        <v>139</v>
      </c>
    </row>
    <row r="369" spans="1:5" x14ac:dyDescent="0.2">
      <c r="A369" s="269">
        <v>45874.772881944446</v>
      </c>
      <c r="B369" t="s">
        <v>757</v>
      </c>
      <c r="C369" t="s">
        <v>634</v>
      </c>
      <c r="D369" t="s">
        <v>870</v>
      </c>
      <c r="E369" t="s">
        <v>316</v>
      </c>
    </row>
    <row r="370" spans="1:5" x14ac:dyDescent="0.2">
      <c r="A370" s="269">
        <v>45874.772951388892</v>
      </c>
      <c r="B370" t="s">
        <v>757</v>
      </c>
      <c r="C370" t="s">
        <v>634</v>
      </c>
      <c r="D370" t="s">
        <v>870</v>
      </c>
      <c r="E370" t="s">
        <v>139</v>
      </c>
    </row>
    <row r="371" spans="1:5" x14ac:dyDescent="0.2">
      <c r="A371" s="269">
        <v>45874.773287037038</v>
      </c>
      <c r="B371" t="s">
        <v>757</v>
      </c>
      <c r="C371" t="s">
        <v>634</v>
      </c>
      <c r="D371" t="s">
        <v>871</v>
      </c>
      <c r="E371" t="s">
        <v>139</v>
      </c>
    </row>
    <row r="372" spans="1:5" x14ac:dyDescent="0.2">
      <c r="A372" s="269">
        <v>45874.774699074071</v>
      </c>
      <c r="B372" t="s">
        <v>757</v>
      </c>
      <c r="C372" t="s">
        <v>634</v>
      </c>
      <c r="D372" t="s">
        <v>872</v>
      </c>
      <c r="E372" t="s">
        <v>364</v>
      </c>
    </row>
    <row r="373" spans="1:5" x14ac:dyDescent="0.2">
      <c r="A373" s="269">
        <v>45874.77480324074</v>
      </c>
      <c r="B373" t="s">
        <v>757</v>
      </c>
      <c r="C373" t="s">
        <v>634</v>
      </c>
      <c r="D373" t="s">
        <v>873</v>
      </c>
      <c r="E373" t="s">
        <v>364</v>
      </c>
    </row>
    <row r="374" spans="1:5" x14ac:dyDescent="0.2">
      <c r="A374" s="269">
        <v>45874.775972222225</v>
      </c>
      <c r="B374" t="s">
        <v>757</v>
      </c>
      <c r="C374" t="s">
        <v>28</v>
      </c>
      <c r="D374" t="s">
        <v>874</v>
      </c>
      <c r="E374" t="s">
        <v>364</v>
      </c>
    </row>
    <row r="375" spans="1:5" ht="96" x14ac:dyDescent="0.2">
      <c r="A375" s="269">
        <v>45874.778043981481</v>
      </c>
      <c r="B375" t="s">
        <v>757</v>
      </c>
      <c r="C375" t="s">
        <v>611</v>
      </c>
      <c r="D375" t="s">
        <v>875</v>
      </c>
      <c r="E375" s="6" t="s">
        <v>876</v>
      </c>
    </row>
    <row r="376" spans="1:5" ht="96" x14ac:dyDescent="0.2">
      <c r="A376" s="269">
        <v>45874.77847222222</v>
      </c>
      <c r="B376" t="s">
        <v>757</v>
      </c>
      <c r="C376" t="s">
        <v>611</v>
      </c>
      <c r="D376" t="s">
        <v>875</v>
      </c>
      <c r="E376" s="6" t="s">
        <v>877</v>
      </c>
    </row>
    <row r="377" spans="1:5" ht="80" x14ac:dyDescent="0.2">
      <c r="A377" s="269">
        <v>45874.778634259259</v>
      </c>
      <c r="B377" t="s">
        <v>757</v>
      </c>
      <c r="C377" t="s">
        <v>611</v>
      </c>
      <c r="D377" t="s">
        <v>875</v>
      </c>
      <c r="E377" s="6" t="s">
        <v>878</v>
      </c>
    </row>
    <row r="378" spans="1:5" x14ac:dyDescent="0.2">
      <c r="A378" s="269">
        <v>45874.778993055559</v>
      </c>
      <c r="B378" t="s">
        <v>757</v>
      </c>
      <c r="C378" t="s">
        <v>634</v>
      </c>
      <c r="D378" t="s">
        <v>879</v>
      </c>
      <c r="E378" t="s">
        <v>880</v>
      </c>
    </row>
    <row r="379" spans="1:5" x14ac:dyDescent="0.2">
      <c r="A379" s="269">
        <v>45874.779004629629</v>
      </c>
      <c r="B379" t="s">
        <v>757</v>
      </c>
      <c r="C379" t="s">
        <v>634</v>
      </c>
      <c r="D379" t="s">
        <v>881</v>
      </c>
    </row>
    <row r="380" spans="1:5" x14ac:dyDescent="0.2">
      <c r="A380" s="269">
        <v>45874.779328703706</v>
      </c>
      <c r="B380" t="s">
        <v>757</v>
      </c>
      <c r="C380" t="s">
        <v>634</v>
      </c>
      <c r="D380" t="s">
        <v>879</v>
      </c>
      <c r="E380" t="s">
        <v>364</v>
      </c>
    </row>
    <row r="381" spans="1:5" x14ac:dyDescent="0.2">
      <c r="A381" s="269">
        <v>45874.779340277775</v>
      </c>
      <c r="B381" t="s">
        <v>757</v>
      </c>
      <c r="C381" t="s">
        <v>634</v>
      </c>
      <c r="D381" t="s">
        <v>882</v>
      </c>
      <c r="E381" t="s">
        <v>364</v>
      </c>
    </row>
    <row r="382" spans="1:5" x14ac:dyDescent="0.2">
      <c r="A382" s="269">
        <v>45874.782418981478</v>
      </c>
      <c r="B382" t="s">
        <v>757</v>
      </c>
      <c r="C382" t="s">
        <v>28</v>
      </c>
      <c r="D382" t="s">
        <v>883</v>
      </c>
    </row>
    <row r="383" spans="1:5" x14ac:dyDescent="0.2">
      <c r="A383" s="269">
        <v>45874.782418981478</v>
      </c>
      <c r="B383" t="s">
        <v>757</v>
      </c>
      <c r="C383" t="s">
        <v>28</v>
      </c>
      <c r="D383" t="s">
        <v>884</v>
      </c>
      <c r="E383" t="s">
        <v>177</v>
      </c>
    </row>
    <row r="384" spans="1:5" x14ac:dyDescent="0.2">
      <c r="A384" s="269">
        <v>45874.782881944448</v>
      </c>
      <c r="B384" t="s">
        <v>757</v>
      </c>
      <c r="C384" t="s">
        <v>15</v>
      </c>
      <c r="D384" t="s">
        <v>885</v>
      </c>
    </row>
    <row r="385" spans="1:5" x14ac:dyDescent="0.2">
      <c r="A385" s="269">
        <v>45874.782939814817</v>
      </c>
      <c r="B385" t="s">
        <v>757</v>
      </c>
      <c r="C385" t="s">
        <v>15</v>
      </c>
      <c r="D385" t="s">
        <v>885</v>
      </c>
      <c r="E385" t="s">
        <v>886</v>
      </c>
    </row>
    <row r="386" spans="1:5" x14ac:dyDescent="0.2">
      <c r="A386" s="269">
        <v>45874.783101851855</v>
      </c>
      <c r="B386" t="s">
        <v>757</v>
      </c>
      <c r="C386" t="s">
        <v>15</v>
      </c>
      <c r="D386" t="s">
        <v>885</v>
      </c>
      <c r="E386" t="s">
        <v>190</v>
      </c>
    </row>
    <row r="387" spans="1:5" x14ac:dyDescent="0.2">
      <c r="A387" s="269">
        <v>45874.783576388887</v>
      </c>
      <c r="B387" t="s">
        <v>757</v>
      </c>
      <c r="C387" t="s">
        <v>644</v>
      </c>
      <c r="D387" t="s">
        <v>810</v>
      </c>
      <c r="E387" t="s">
        <v>209</v>
      </c>
    </row>
    <row r="388" spans="1:5" x14ac:dyDescent="0.2">
      <c r="A388" s="269">
        <v>45874.786458333336</v>
      </c>
      <c r="B388" t="s">
        <v>757</v>
      </c>
      <c r="C388" t="s">
        <v>611</v>
      </c>
      <c r="D388" t="s">
        <v>887</v>
      </c>
      <c r="E388" t="s">
        <v>888</v>
      </c>
    </row>
    <row r="389" spans="1:5" x14ac:dyDescent="0.2">
      <c r="A389" s="269">
        <v>45874.787662037037</v>
      </c>
      <c r="B389" t="s">
        <v>757</v>
      </c>
      <c r="C389" t="s">
        <v>611</v>
      </c>
      <c r="D389" t="s">
        <v>887</v>
      </c>
      <c r="E389" t="s">
        <v>889</v>
      </c>
    </row>
    <row r="390" spans="1:5" x14ac:dyDescent="0.2">
      <c r="A390" s="269">
        <v>45874.788854166669</v>
      </c>
      <c r="B390" t="s">
        <v>757</v>
      </c>
      <c r="C390" t="s">
        <v>611</v>
      </c>
      <c r="D390" t="s">
        <v>887</v>
      </c>
      <c r="E390" t="s">
        <v>890</v>
      </c>
    </row>
    <row r="391" spans="1:5" x14ac:dyDescent="0.2">
      <c r="A391" s="269">
        <v>45874.789224537039</v>
      </c>
      <c r="B391" t="s">
        <v>757</v>
      </c>
      <c r="C391" t="s">
        <v>611</v>
      </c>
      <c r="D391" t="s">
        <v>887</v>
      </c>
      <c r="E391" t="s">
        <v>891</v>
      </c>
    </row>
    <row r="392" spans="1:5" x14ac:dyDescent="0.2">
      <c r="A392" s="269">
        <v>45874.789571759262</v>
      </c>
      <c r="B392" t="s">
        <v>757</v>
      </c>
      <c r="C392" t="s">
        <v>611</v>
      </c>
      <c r="D392" t="s">
        <v>887</v>
      </c>
      <c r="E392" t="s">
        <v>892</v>
      </c>
    </row>
    <row r="393" spans="1:5" x14ac:dyDescent="0.2">
      <c r="A393" s="269">
        <v>45874.790034722224</v>
      </c>
      <c r="B393" t="s">
        <v>757</v>
      </c>
      <c r="C393" t="s">
        <v>611</v>
      </c>
      <c r="D393" t="s">
        <v>893</v>
      </c>
      <c r="E393" t="s">
        <v>25</v>
      </c>
    </row>
    <row r="394" spans="1:5" x14ac:dyDescent="0.2">
      <c r="A394" s="269">
        <v>45874.790532407409</v>
      </c>
      <c r="B394" t="s">
        <v>757</v>
      </c>
      <c r="C394" t="s">
        <v>2</v>
      </c>
      <c r="D394" t="s">
        <v>894</v>
      </c>
    </row>
    <row r="395" spans="1:5" x14ac:dyDescent="0.2">
      <c r="A395" s="269">
        <v>45874.790706018517</v>
      </c>
      <c r="B395" t="s">
        <v>757</v>
      </c>
      <c r="C395" t="s">
        <v>2</v>
      </c>
      <c r="D395" t="s">
        <v>776</v>
      </c>
    </row>
    <row r="396" spans="1:5" x14ac:dyDescent="0.2">
      <c r="A396" s="269">
        <v>45874.790775462963</v>
      </c>
      <c r="B396" t="s">
        <v>757</v>
      </c>
      <c r="C396" t="s">
        <v>2</v>
      </c>
      <c r="D396" t="s">
        <v>895</v>
      </c>
    </row>
    <row r="397" spans="1:5" x14ac:dyDescent="0.2">
      <c r="A397" s="269">
        <v>45874.790914351855</v>
      </c>
      <c r="B397" t="s">
        <v>757</v>
      </c>
      <c r="C397" t="s">
        <v>2</v>
      </c>
      <c r="D397" t="s">
        <v>896</v>
      </c>
    </row>
    <row r="398" spans="1:5" x14ac:dyDescent="0.2">
      <c r="A398" s="269">
        <v>45874.790914351855</v>
      </c>
      <c r="B398" t="s">
        <v>757</v>
      </c>
      <c r="C398" t="s">
        <v>2</v>
      </c>
      <c r="D398" t="s">
        <v>897</v>
      </c>
      <c r="E398" t="s">
        <v>16</v>
      </c>
    </row>
    <row r="399" spans="1:5" x14ac:dyDescent="0.2">
      <c r="A399" s="269">
        <v>45874.790937500002</v>
      </c>
      <c r="B399" t="s">
        <v>757</v>
      </c>
      <c r="C399" t="s">
        <v>2</v>
      </c>
      <c r="D399" t="s">
        <v>896</v>
      </c>
      <c r="E399" t="s">
        <v>16</v>
      </c>
    </row>
    <row r="400" spans="1:5" x14ac:dyDescent="0.2">
      <c r="A400" s="269">
        <v>45874.790937500002</v>
      </c>
      <c r="B400" t="s">
        <v>757</v>
      </c>
      <c r="C400" t="s">
        <v>2</v>
      </c>
      <c r="D400" t="s">
        <v>897</v>
      </c>
    </row>
    <row r="401" spans="1:5" x14ac:dyDescent="0.2">
      <c r="A401" s="269">
        <v>45874.790937500002</v>
      </c>
      <c r="B401" t="s">
        <v>757</v>
      </c>
      <c r="C401" t="s">
        <v>2</v>
      </c>
      <c r="D401" t="s">
        <v>897</v>
      </c>
    </row>
    <row r="402" spans="1:5" x14ac:dyDescent="0.2">
      <c r="A402" s="269">
        <v>45874.791087962964</v>
      </c>
      <c r="B402" t="s">
        <v>757</v>
      </c>
      <c r="C402" t="s">
        <v>2</v>
      </c>
      <c r="D402" t="s">
        <v>898</v>
      </c>
    </row>
    <row r="403" spans="1:5" x14ac:dyDescent="0.2">
      <c r="A403" s="269">
        <v>45874.791087962964</v>
      </c>
      <c r="B403" t="s">
        <v>757</v>
      </c>
      <c r="C403" t="s">
        <v>2</v>
      </c>
      <c r="D403" t="s">
        <v>899</v>
      </c>
      <c r="E403" t="s">
        <v>159</v>
      </c>
    </row>
    <row r="404" spans="1:5" x14ac:dyDescent="0.2">
      <c r="A404" s="269">
        <v>45874.791134259256</v>
      </c>
      <c r="B404" t="s">
        <v>757</v>
      </c>
      <c r="C404" t="s">
        <v>2</v>
      </c>
      <c r="D404" t="s">
        <v>896</v>
      </c>
    </row>
    <row r="405" spans="1:5" x14ac:dyDescent="0.2">
      <c r="A405" s="269">
        <v>45874.791134259256</v>
      </c>
      <c r="B405" t="s">
        <v>757</v>
      </c>
      <c r="C405" t="s">
        <v>2</v>
      </c>
      <c r="D405" t="s">
        <v>900</v>
      </c>
      <c r="E405" t="s">
        <v>16</v>
      </c>
    </row>
    <row r="406" spans="1:5" x14ac:dyDescent="0.2">
      <c r="A406" s="269">
        <v>45874.791226851848</v>
      </c>
      <c r="B406" t="s">
        <v>757</v>
      </c>
      <c r="C406" t="s">
        <v>2</v>
      </c>
      <c r="D406" t="s">
        <v>899</v>
      </c>
      <c r="E406" t="s">
        <v>35</v>
      </c>
    </row>
    <row r="407" spans="1:5" x14ac:dyDescent="0.2">
      <c r="A407" s="269">
        <v>45874.791226851848</v>
      </c>
      <c r="B407" t="s">
        <v>757</v>
      </c>
      <c r="C407" t="s">
        <v>2</v>
      </c>
      <c r="D407" t="s">
        <v>901</v>
      </c>
      <c r="E407" t="s">
        <v>159</v>
      </c>
    </row>
    <row r="408" spans="1:5" x14ac:dyDescent="0.2">
      <c r="A408" s="269">
        <v>45874.791273148148</v>
      </c>
      <c r="B408" t="s">
        <v>757</v>
      </c>
      <c r="C408" t="s">
        <v>2</v>
      </c>
      <c r="D408" t="s">
        <v>902</v>
      </c>
    </row>
    <row r="409" spans="1:5" x14ac:dyDescent="0.2">
      <c r="A409" s="269">
        <v>45874.791608796295</v>
      </c>
      <c r="B409" t="s">
        <v>757</v>
      </c>
      <c r="C409" t="s">
        <v>2</v>
      </c>
      <c r="D409" t="s">
        <v>903</v>
      </c>
    </row>
    <row r="410" spans="1:5" x14ac:dyDescent="0.2">
      <c r="A410" s="269">
        <v>45874.791608796295</v>
      </c>
      <c r="B410" t="s">
        <v>757</v>
      </c>
      <c r="C410" t="s">
        <v>2</v>
      </c>
      <c r="D410" t="s">
        <v>904</v>
      </c>
      <c r="E410" t="s">
        <v>165</v>
      </c>
    </row>
    <row r="411" spans="1:5" x14ac:dyDescent="0.2">
      <c r="A411" s="269">
        <v>45874.791759259257</v>
      </c>
      <c r="B411" t="s">
        <v>757</v>
      </c>
      <c r="C411" t="s">
        <v>2</v>
      </c>
      <c r="D411" t="s">
        <v>905</v>
      </c>
    </row>
    <row r="412" spans="1:5" x14ac:dyDescent="0.2">
      <c r="A412" s="269">
        <v>45874.791886574072</v>
      </c>
      <c r="B412" t="s">
        <v>757</v>
      </c>
      <c r="C412" t="s">
        <v>2</v>
      </c>
      <c r="D412" t="s">
        <v>906</v>
      </c>
    </row>
    <row r="413" spans="1:5" x14ac:dyDescent="0.2">
      <c r="A413" s="269">
        <v>45874.791886574072</v>
      </c>
      <c r="B413" t="s">
        <v>757</v>
      </c>
      <c r="C413" t="s">
        <v>2</v>
      </c>
      <c r="D413" t="s">
        <v>907</v>
      </c>
      <c r="E413" t="s">
        <v>8</v>
      </c>
    </row>
    <row r="414" spans="1:5" x14ac:dyDescent="0.2">
      <c r="A414" s="269">
        <v>45874.791909722226</v>
      </c>
      <c r="B414" t="s">
        <v>757</v>
      </c>
      <c r="C414" t="s">
        <v>2</v>
      </c>
      <c r="D414" t="s">
        <v>908</v>
      </c>
    </row>
    <row r="415" spans="1:5" x14ac:dyDescent="0.2">
      <c r="A415" s="269">
        <v>45874.79215277778</v>
      </c>
      <c r="B415" t="s">
        <v>757</v>
      </c>
      <c r="C415" t="s">
        <v>611</v>
      </c>
      <c r="D415" t="s">
        <v>909</v>
      </c>
    </row>
    <row r="416" spans="1:5" x14ac:dyDescent="0.2">
      <c r="A416" s="269">
        <v>45874.792210648149</v>
      </c>
      <c r="B416" t="s">
        <v>757</v>
      </c>
      <c r="C416" t="s">
        <v>611</v>
      </c>
      <c r="D416" t="s">
        <v>910</v>
      </c>
      <c r="E416">
        <v>3</v>
      </c>
    </row>
    <row r="417" spans="1:5" x14ac:dyDescent="0.2">
      <c r="A417" s="269">
        <v>45874.792280092595</v>
      </c>
      <c r="B417" t="s">
        <v>757</v>
      </c>
      <c r="C417" t="s">
        <v>611</v>
      </c>
      <c r="D417" t="s">
        <v>911</v>
      </c>
    </row>
    <row r="418" spans="1:5" x14ac:dyDescent="0.2">
      <c r="A418" s="269">
        <v>45874.792303240742</v>
      </c>
      <c r="B418" t="s">
        <v>757</v>
      </c>
      <c r="C418" t="s">
        <v>611</v>
      </c>
      <c r="D418" t="s">
        <v>912</v>
      </c>
    </row>
    <row r="419" spans="1:5" x14ac:dyDescent="0.2">
      <c r="A419" s="269">
        <v>45874.792581018519</v>
      </c>
      <c r="B419" t="s">
        <v>757</v>
      </c>
      <c r="C419" t="s">
        <v>611</v>
      </c>
      <c r="D419" t="s">
        <v>913</v>
      </c>
      <c r="E419">
        <v>4</v>
      </c>
    </row>
    <row r="420" spans="1:5" x14ac:dyDescent="0.2">
      <c r="A420" s="269">
        <v>45874.792581018519</v>
      </c>
      <c r="B420" t="s">
        <v>757</v>
      </c>
      <c r="C420" t="s">
        <v>611</v>
      </c>
      <c r="D420" t="s">
        <v>914</v>
      </c>
      <c r="E420" t="s">
        <v>27</v>
      </c>
    </row>
    <row r="421" spans="1:5" x14ac:dyDescent="0.2">
      <c r="A421" s="269">
        <v>45874.794085648151</v>
      </c>
      <c r="B421" t="s">
        <v>757</v>
      </c>
      <c r="C421" t="s">
        <v>2</v>
      </c>
      <c r="D421" t="s">
        <v>915</v>
      </c>
    </row>
    <row r="422" spans="1:5" x14ac:dyDescent="0.2">
      <c r="A422" s="269">
        <v>45874.794131944444</v>
      </c>
      <c r="B422" t="s">
        <v>757</v>
      </c>
      <c r="C422" t="s">
        <v>2</v>
      </c>
      <c r="D422" t="s">
        <v>916</v>
      </c>
    </row>
    <row r="423" spans="1:5" x14ac:dyDescent="0.2">
      <c r="A423" s="269">
        <v>45874.794340277775</v>
      </c>
      <c r="B423" t="s">
        <v>757</v>
      </c>
      <c r="C423" t="s">
        <v>2</v>
      </c>
      <c r="D423" t="s">
        <v>917</v>
      </c>
    </row>
    <row r="424" spans="1:5" x14ac:dyDescent="0.2">
      <c r="A424" s="269">
        <v>45874.7971875</v>
      </c>
      <c r="B424" t="s">
        <v>757</v>
      </c>
      <c r="C424" t="s">
        <v>15</v>
      </c>
      <c r="D424" t="s">
        <v>918</v>
      </c>
      <c r="E424" t="s">
        <v>352</v>
      </c>
    </row>
    <row r="425" spans="1:5" ht="48" x14ac:dyDescent="0.2">
      <c r="A425" s="269">
        <v>45874.797361111108</v>
      </c>
      <c r="B425" t="s">
        <v>757</v>
      </c>
      <c r="C425" t="s">
        <v>611</v>
      </c>
      <c r="D425" t="s">
        <v>919</v>
      </c>
      <c r="E425" s="6" t="s">
        <v>920</v>
      </c>
    </row>
    <row r="426" spans="1:5" ht="48" x14ac:dyDescent="0.2">
      <c r="A426" s="269">
        <v>45874.797488425924</v>
      </c>
      <c r="B426" t="s">
        <v>757</v>
      </c>
      <c r="C426" t="s">
        <v>611</v>
      </c>
      <c r="D426" t="s">
        <v>919</v>
      </c>
      <c r="E426" s="6" t="s">
        <v>921</v>
      </c>
    </row>
    <row r="427" spans="1:5" ht="48" x14ac:dyDescent="0.2">
      <c r="A427" s="269">
        <v>45874.79755787037</v>
      </c>
      <c r="B427" t="s">
        <v>757</v>
      </c>
      <c r="C427" t="s">
        <v>611</v>
      </c>
      <c r="D427" t="s">
        <v>919</v>
      </c>
      <c r="E427" s="6" t="s">
        <v>922</v>
      </c>
    </row>
    <row r="428" spans="1:5" ht="48" x14ac:dyDescent="0.2">
      <c r="A428" s="269">
        <v>45874.797997685186</v>
      </c>
      <c r="B428" t="s">
        <v>757</v>
      </c>
      <c r="C428" t="s">
        <v>611</v>
      </c>
      <c r="D428" t="s">
        <v>919</v>
      </c>
      <c r="E428" s="6" t="s">
        <v>91</v>
      </c>
    </row>
    <row r="429" spans="1:5" x14ac:dyDescent="0.2">
      <c r="A429" s="269">
        <v>45874.798611111109</v>
      </c>
      <c r="B429" t="s">
        <v>757</v>
      </c>
      <c r="C429" t="s">
        <v>15</v>
      </c>
      <c r="D429" t="s">
        <v>825</v>
      </c>
    </row>
    <row r="430" spans="1:5" x14ac:dyDescent="0.2">
      <c r="A430" s="269">
        <v>45874.798634259256</v>
      </c>
      <c r="B430" t="s">
        <v>757</v>
      </c>
      <c r="C430" t="s">
        <v>15</v>
      </c>
      <c r="D430" t="s">
        <v>825</v>
      </c>
    </row>
    <row r="431" spans="1:5" x14ac:dyDescent="0.2">
      <c r="A431" s="269">
        <v>45874.798888888887</v>
      </c>
      <c r="B431" t="s">
        <v>757</v>
      </c>
      <c r="C431" t="s">
        <v>15</v>
      </c>
      <c r="D431" t="s">
        <v>918</v>
      </c>
      <c r="E431" t="s">
        <v>352</v>
      </c>
    </row>
    <row r="432" spans="1:5" x14ac:dyDescent="0.2">
      <c r="A432" s="269">
        <v>45874.79896990741</v>
      </c>
      <c r="B432" t="s">
        <v>757</v>
      </c>
      <c r="C432" t="s">
        <v>15</v>
      </c>
      <c r="D432" t="s">
        <v>923</v>
      </c>
      <c r="E432" t="s">
        <v>188</v>
      </c>
    </row>
    <row r="433" spans="1:5" x14ac:dyDescent="0.2">
      <c r="A433" s="269">
        <v>45874.799004629633</v>
      </c>
      <c r="B433" t="s">
        <v>757</v>
      </c>
      <c r="C433" t="s">
        <v>15</v>
      </c>
      <c r="D433" t="s">
        <v>924</v>
      </c>
      <c r="E433" t="s">
        <v>86</v>
      </c>
    </row>
    <row r="434" spans="1:5" x14ac:dyDescent="0.2">
      <c r="A434" s="269">
        <v>45874.799293981479</v>
      </c>
      <c r="B434" t="s">
        <v>757</v>
      </c>
      <c r="C434" t="s">
        <v>15</v>
      </c>
      <c r="D434" t="s">
        <v>925</v>
      </c>
      <c r="E434">
        <v>2021</v>
      </c>
    </row>
    <row r="435" spans="1:5" x14ac:dyDescent="0.2">
      <c r="A435" s="269">
        <v>45874.800752314812</v>
      </c>
      <c r="B435" t="s">
        <v>757</v>
      </c>
      <c r="C435" t="s">
        <v>15</v>
      </c>
      <c r="D435" t="s">
        <v>926</v>
      </c>
      <c r="E435">
        <v>100</v>
      </c>
    </row>
    <row r="436" spans="1:5" x14ac:dyDescent="0.2">
      <c r="A436" s="269">
        <v>45874.803854166668</v>
      </c>
      <c r="B436" t="s">
        <v>757</v>
      </c>
      <c r="C436" t="s">
        <v>611</v>
      </c>
      <c r="D436" t="s">
        <v>927</v>
      </c>
      <c r="E436" t="s">
        <v>928</v>
      </c>
    </row>
    <row r="437" spans="1:5" x14ac:dyDescent="0.2">
      <c r="A437" s="269">
        <v>45874.803993055553</v>
      </c>
      <c r="B437" t="s">
        <v>757</v>
      </c>
      <c r="C437" t="s">
        <v>611</v>
      </c>
      <c r="D437" t="s">
        <v>927</v>
      </c>
      <c r="E437" t="s">
        <v>929</v>
      </c>
    </row>
    <row r="438" spans="1:5" x14ac:dyDescent="0.2">
      <c r="A438" s="269">
        <v>45874.807453703703</v>
      </c>
      <c r="B438" t="s">
        <v>757</v>
      </c>
      <c r="C438" t="s">
        <v>611</v>
      </c>
      <c r="D438" t="s">
        <v>930</v>
      </c>
      <c r="E438" t="s">
        <v>929</v>
      </c>
    </row>
    <row r="439" spans="1:5" x14ac:dyDescent="0.2">
      <c r="A439" s="269">
        <v>45874.807523148149</v>
      </c>
      <c r="B439" t="s">
        <v>757</v>
      </c>
      <c r="C439" t="s">
        <v>611</v>
      </c>
      <c r="D439" t="s">
        <v>931</v>
      </c>
      <c r="E439" t="s">
        <v>929</v>
      </c>
    </row>
    <row r="440" spans="1:5" x14ac:dyDescent="0.2">
      <c r="A440" s="269">
        <v>45874.807986111111</v>
      </c>
      <c r="B440" t="s">
        <v>757</v>
      </c>
      <c r="C440" t="s">
        <v>611</v>
      </c>
      <c r="D440" t="s">
        <v>932</v>
      </c>
      <c r="E440" t="s">
        <v>8</v>
      </c>
    </row>
    <row r="441" spans="1:5" x14ac:dyDescent="0.2">
      <c r="A441" s="269">
        <v>45874.808275462965</v>
      </c>
      <c r="B441" t="s">
        <v>757</v>
      </c>
      <c r="C441" t="s">
        <v>25</v>
      </c>
      <c r="D441" t="s">
        <v>933</v>
      </c>
    </row>
    <row r="442" spans="1:5" x14ac:dyDescent="0.2">
      <c r="A442" s="269">
        <v>45874.808761574073</v>
      </c>
      <c r="B442" t="s">
        <v>757</v>
      </c>
      <c r="C442" t="s">
        <v>25</v>
      </c>
      <c r="D442" t="s">
        <v>934</v>
      </c>
      <c r="E442">
        <v>1</v>
      </c>
    </row>
    <row r="443" spans="1:5" x14ac:dyDescent="0.2">
      <c r="A443" s="269">
        <v>45874.808831018519</v>
      </c>
      <c r="B443" t="s">
        <v>757</v>
      </c>
      <c r="C443" t="s">
        <v>25</v>
      </c>
      <c r="D443" t="s">
        <v>935</v>
      </c>
      <c r="E443">
        <v>1</v>
      </c>
    </row>
    <row r="444" spans="1:5" x14ac:dyDescent="0.2">
      <c r="A444" s="269">
        <v>45874.808958333335</v>
      </c>
      <c r="B444" t="s">
        <v>757</v>
      </c>
      <c r="C444" t="s">
        <v>25</v>
      </c>
      <c r="D444" t="s">
        <v>936</v>
      </c>
      <c r="E444" t="e">
        <v>#VALUE!</v>
      </c>
    </row>
    <row r="445" spans="1:5" x14ac:dyDescent="0.2">
      <c r="A445" s="269">
        <v>45874.80909722222</v>
      </c>
      <c r="B445" t="s">
        <v>757</v>
      </c>
      <c r="C445" t="s">
        <v>25</v>
      </c>
      <c r="D445" t="s">
        <v>934</v>
      </c>
      <c r="E445" t="s">
        <v>173</v>
      </c>
    </row>
    <row r="446" spans="1:5" x14ac:dyDescent="0.2">
      <c r="A446" s="269">
        <v>45874.80914351852</v>
      </c>
      <c r="B446" t="s">
        <v>757</v>
      </c>
      <c r="C446" t="s">
        <v>25</v>
      </c>
      <c r="D446" t="s">
        <v>934</v>
      </c>
      <c r="E446">
        <v>1</v>
      </c>
    </row>
    <row r="447" spans="1:5" x14ac:dyDescent="0.2">
      <c r="A447" s="269">
        <v>45874.809189814812</v>
      </c>
      <c r="B447" t="s">
        <v>757</v>
      </c>
      <c r="C447" t="s">
        <v>25</v>
      </c>
      <c r="D447" t="s">
        <v>936</v>
      </c>
      <c r="E447" t="e">
        <v>#VALUE!</v>
      </c>
    </row>
    <row r="448" spans="1:5" x14ac:dyDescent="0.2">
      <c r="A448" s="269">
        <v>45874.815891203703</v>
      </c>
      <c r="B448" t="s">
        <v>757</v>
      </c>
      <c r="C448" t="s">
        <v>15</v>
      </c>
      <c r="D448" t="s">
        <v>937</v>
      </c>
      <c r="E448" t="s">
        <v>92</v>
      </c>
    </row>
    <row r="449" spans="1:5" x14ac:dyDescent="0.2">
      <c r="A449" s="269">
        <v>45874.817499999997</v>
      </c>
      <c r="B449" t="s">
        <v>757</v>
      </c>
      <c r="C449" t="s">
        <v>611</v>
      </c>
      <c r="D449" t="s">
        <v>938</v>
      </c>
      <c r="E449" t="s">
        <v>939</v>
      </c>
    </row>
    <row r="450" spans="1:5" x14ac:dyDescent="0.2">
      <c r="A450" s="269">
        <v>45874.817546296297</v>
      </c>
      <c r="B450" t="s">
        <v>757</v>
      </c>
      <c r="C450" t="s">
        <v>611</v>
      </c>
      <c r="D450" t="s">
        <v>940</v>
      </c>
      <c r="E450" t="s">
        <v>939</v>
      </c>
    </row>
    <row r="451" spans="1:5" x14ac:dyDescent="0.2">
      <c r="A451" s="269">
        <v>45874.817627314813</v>
      </c>
      <c r="B451" t="s">
        <v>757</v>
      </c>
      <c r="C451" t="s">
        <v>611</v>
      </c>
      <c r="D451" t="s">
        <v>941</v>
      </c>
      <c r="E451" t="s">
        <v>939</v>
      </c>
    </row>
    <row r="452" spans="1:5" x14ac:dyDescent="0.2">
      <c r="A452" s="269">
        <v>45874.818206018521</v>
      </c>
      <c r="B452" t="s">
        <v>757</v>
      </c>
      <c r="C452" t="s">
        <v>25</v>
      </c>
      <c r="D452" t="s">
        <v>934</v>
      </c>
      <c r="E452">
        <v>1</v>
      </c>
    </row>
    <row r="453" spans="1:5" x14ac:dyDescent="0.2">
      <c r="A453" s="269">
        <v>45874.818252314813</v>
      </c>
      <c r="B453" t="s">
        <v>757</v>
      </c>
      <c r="C453" t="s">
        <v>25</v>
      </c>
      <c r="D453" t="s">
        <v>935</v>
      </c>
    </row>
    <row r="454" spans="1:5" x14ac:dyDescent="0.2">
      <c r="A454" s="269">
        <v>45874.818298611113</v>
      </c>
      <c r="B454" t="s">
        <v>757</v>
      </c>
      <c r="C454" t="s">
        <v>25</v>
      </c>
      <c r="D454" t="s">
        <v>936</v>
      </c>
      <c r="E454">
        <v>1</v>
      </c>
    </row>
    <row r="455" spans="1:5" x14ac:dyDescent="0.2">
      <c r="A455" s="269">
        <v>45874.818356481483</v>
      </c>
      <c r="B455" t="s">
        <v>757</v>
      </c>
      <c r="C455" t="s">
        <v>25</v>
      </c>
      <c r="D455" t="s">
        <v>936</v>
      </c>
      <c r="E455">
        <v>2</v>
      </c>
    </row>
    <row r="456" spans="1:5" x14ac:dyDescent="0.2">
      <c r="A456" s="269">
        <v>45874.818425925929</v>
      </c>
      <c r="B456" t="s">
        <v>757</v>
      </c>
      <c r="C456" t="s">
        <v>25</v>
      </c>
      <c r="D456" t="s">
        <v>942</v>
      </c>
      <c r="E456">
        <v>3</v>
      </c>
    </row>
    <row r="457" spans="1:5" x14ac:dyDescent="0.2">
      <c r="A457" s="269">
        <v>45874.818738425929</v>
      </c>
      <c r="B457" t="s">
        <v>757</v>
      </c>
      <c r="C457" t="s">
        <v>611</v>
      </c>
      <c r="D457" t="s">
        <v>943</v>
      </c>
    </row>
    <row r="458" spans="1:5" ht="128" x14ac:dyDescent="0.2">
      <c r="A458" s="269">
        <v>45874.8200462963</v>
      </c>
      <c r="B458" t="s">
        <v>757</v>
      </c>
      <c r="C458" t="s">
        <v>611</v>
      </c>
      <c r="D458" t="s">
        <v>944</v>
      </c>
      <c r="E458" s="6" t="s">
        <v>945</v>
      </c>
    </row>
    <row r="459" spans="1:5" ht="128" x14ac:dyDescent="0.2">
      <c r="A459" s="269">
        <v>45874.820081018515</v>
      </c>
      <c r="B459" t="s">
        <v>757</v>
      </c>
      <c r="C459" t="s">
        <v>611</v>
      </c>
      <c r="D459" t="s">
        <v>944</v>
      </c>
      <c r="E459" s="6" t="s">
        <v>945</v>
      </c>
    </row>
    <row r="460" spans="1:5" x14ac:dyDescent="0.2">
      <c r="A460" s="269">
        <v>45874.821504629632</v>
      </c>
      <c r="B460" t="s">
        <v>757</v>
      </c>
      <c r="C460" t="s">
        <v>103</v>
      </c>
      <c r="D460" t="s">
        <v>946</v>
      </c>
      <c r="E460" t="s">
        <v>939</v>
      </c>
    </row>
    <row r="461" spans="1:5" x14ac:dyDescent="0.2">
      <c r="A461" s="269">
        <v>45874.821608796294</v>
      </c>
      <c r="B461" t="s">
        <v>757</v>
      </c>
      <c r="C461" t="s">
        <v>26</v>
      </c>
      <c r="D461" t="s">
        <v>946</v>
      </c>
      <c r="E461" t="s">
        <v>939</v>
      </c>
    </row>
    <row r="462" spans="1:5" x14ac:dyDescent="0.2">
      <c r="A462" s="269">
        <v>45874.821851851855</v>
      </c>
      <c r="B462" t="s">
        <v>757</v>
      </c>
      <c r="C462" t="s">
        <v>28</v>
      </c>
      <c r="D462" t="s">
        <v>947</v>
      </c>
    </row>
    <row r="463" spans="1:5" x14ac:dyDescent="0.2">
      <c r="A463" s="269">
        <v>45874.821909722225</v>
      </c>
      <c r="B463" t="s">
        <v>757</v>
      </c>
      <c r="C463" t="s">
        <v>28</v>
      </c>
      <c r="D463" t="s">
        <v>948</v>
      </c>
    </row>
    <row r="464" spans="1:5" x14ac:dyDescent="0.2">
      <c r="A464" s="269">
        <v>45875.17046296296</v>
      </c>
      <c r="B464" t="s">
        <v>596</v>
      </c>
      <c r="C464" t="s">
        <v>597</v>
      </c>
      <c r="D464" t="s">
        <v>949</v>
      </c>
      <c r="E464" t="s">
        <v>39</v>
      </c>
    </row>
    <row r="465" spans="1:5" x14ac:dyDescent="0.2">
      <c r="A465" s="269">
        <v>45875.172152777777</v>
      </c>
      <c r="B465" t="s">
        <v>596</v>
      </c>
      <c r="C465" t="s">
        <v>15</v>
      </c>
      <c r="D465" t="s">
        <v>726</v>
      </c>
    </row>
    <row r="466" spans="1:5" x14ac:dyDescent="0.2">
      <c r="A466" s="269">
        <v>45875.172268518516</v>
      </c>
      <c r="B466" t="s">
        <v>596</v>
      </c>
      <c r="C466" t="s">
        <v>15</v>
      </c>
      <c r="D466" t="s">
        <v>950</v>
      </c>
      <c r="E466" t="s">
        <v>78</v>
      </c>
    </row>
    <row r="467" spans="1:5" x14ac:dyDescent="0.2">
      <c r="A467" s="269">
        <v>45875.172303240739</v>
      </c>
      <c r="B467" t="s">
        <v>596</v>
      </c>
      <c r="C467" t="s">
        <v>15</v>
      </c>
      <c r="D467" t="s">
        <v>951</v>
      </c>
      <c r="E467" t="s">
        <v>81</v>
      </c>
    </row>
    <row r="468" spans="1:5" x14ac:dyDescent="0.2">
      <c r="A468" s="269">
        <v>45875.172395833331</v>
      </c>
      <c r="B468" t="s">
        <v>596</v>
      </c>
      <c r="C468" t="s">
        <v>15</v>
      </c>
      <c r="D468" t="s">
        <v>848</v>
      </c>
    </row>
    <row r="469" spans="1:5" x14ac:dyDescent="0.2">
      <c r="A469" s="269">
        <v>45875.173125000001</v>
      </c>
      <c r="B469" t="s">
        <v>596</v>
      </c>
      <c r="C469" t="s">
        <v>15</v>
      </c>
      <c r="D469" t="s">
        <v>777</v>
      </c>
      <c r="E469" t="s">
        <v>952</v>
      </c>
    </row>
    <row r="470" spans="1:5" x14ac:dyDescent="0.2">
      <c r="A470" s="269">
        <v>45875.173993055556</v>
      </c>
      <c r="B470" t="s">
        <v>596</v>
      </c>
      <c r="C470" t="s">
        <v>15</v>
      </c>
      <c r="D470" t="s">
        <v>754</v>
      </c>
      <c r="E470">
        <v>0</v>
      </c>
    </row>
    <row r="471" spans="1:5" x14ac:dyDescent="0.2">
      <c r="A471" s="269">
        <v>45875.174317129633</v>
      </c>
      <c r="B471" t="s">
        <v>596</v>
      </c>
      <c r="C471" t="s">
        <v>15</v>
      </c>
      <c r="D471" t="s">
        <v>953</v>
      </c>
      <c r="E471">
        <v>1</v>
      </c>
    </row>
    <row r="472" spans="1:5" x14ac:dyDescent="0.2">
      <c r="A472" s="269">
        <v>45875.174317129633</v>
      </c>
      <c r="B472" t="s">
        <v>596</v>
      </c>
      <c r="C472" t="s">
        <v>15</v>
      </c>
      <c r="D472" t="s">
        <v>953</v>
      </c>
      <c r="E472">
        <v>1</v>
      </c>
    </row>
    <row r="473" spans="1:5" x14ac:dyDescent="0.2">
      <c r="A473" s="269">
        <v>45875.174317129633</v>
      </c>
      <c r="B473" t="s">
        <v>596</v>
      </c>
      <c r="C473" t="s">
        <v>15</v>
      </c>
      <c r="D473" t="s">
        <v>954</v>
      </c>
      <c r="E473">
        <v>1</v>
      </c>
    </row>
    <row r="474" spans="1:5" x14ac:dyDescent="0.2">
      <c r="A474" s="269">
        <v>45875.174317129633</v>
      </c>
      <c r="B474" t="s">
        <v>596</v>
      </c>
      <c r="C474" t="s">
        <v>15</v>
      </c>
      <c r="D474" t="s">
        <v>955</v>
      </c>
      <c r="E474">
        <v>2</v>
      </c>
    </row>
    <row r="475" spans="1:5" x14ac:dyDescent="0.2">
      <c r="A475" s="269">
        <v>45875.174317129633</v>
      </c>
      <c r="B475" t="s">
        <v>596</v>
      </c>
      <c r="C475" t="s">
        <v>15</v>
      </c>
      <c r="D475" t="s">
        <v>955</v>
      </c>
      <c r="E475">
        <v>2</v>
      </c>
    </row>
    <row r="476" spans="1:5" x14ac:dyDescent="0.2">
      <c r="A476" s="269">
        <v>45875.174675925926</v>
      </c>
      <c r="B476" t="s">
        <v>596</v>
      </c>
      <c r="C476" t="s">
        <v>15</v>
      </c>
      <c r="D476" t="s">
        <v>956</v>
      </c>
      <c r="E476" t="s">
        <v>957</v>
      </c>
    </row>
    <row r="477" spans="1:5" x14ac:dyDescent="0.2">
      <c r="A477" s="269">
        <v>45875.174687500003</v>
      </c>
      <c r="B477" t="s">
        <v>596</v>
      </c>
      <c r="C477" t="s">
        <v>15</v>
      </c>
      <c r="D477" t="s">
        <v>958</v>
      </c>
      <c r="E477" t="s">
        <v>959</v>
      </c>
    </row>
    <row r="478" spans="1:5" x14ac:dyDescent="0.2">
      <c r="A478" s="269">
        <v>45875.174687500003</v>
      </c>
      <c r="B478" t="s">
        <v>596</v>
      </c>
      <c r="C478" t="s">
        <v>15</v>
      </c>
      <c r="D478" t="s">
        <v>960</v>
      </c>
      <c r="E478" t="s">
        <v>961</v>
      </c>
    </row>
    <row r="479" spans="1:5" x14ac:dyDescent="0.2">
      <c r="A479" s="269">
        <v>45875.174687500003</v>
      </c>
      <c r="B479" t="s">
        <v>596</v>
      </c>
      <c r="C479" t="s">
        <v>15</v>
      </c>
      <c r="D479" t="s">
        <v>962</v>
      </c>
      <c r="E479" t="s">
        <v>963</v>
      </c>
    </row>
    <row r="480" spans="1:5" x14ac:dyDescent="0.2">
      <c r="A480" s="269">
        <v>45875.174687500003</v>
      </c>
      <c r="B480" t="s">
        <v>596</v>
      </c>
      <c r="C480" t="s">
        <v>15</v>
      </c>
      <c r="D480" t="s">
        <v>964</v>
      </c>
      <c r="E480" t="s">
        <v>965</v>
      </c>
    </row>
    <row r="481" spans="1:5" x14ac:dyDescent="0.2">
      <c r="A481" s="269">
        <v>45875.174745370372</v>
      </c>
      <c r="B481" t="s">
        <v>596</v>
      </c>
      <c r="C481" t="s">
        <v>15</v>
      </c>
      <c r="D481" t="s">
        <v>964</v>
      </c>
    </row>
    <row r="482" spans="1:5" x14ac:dyDescent="0.2">
      <c r="A482" s="269">
        <v>45875.174745370372</v>
      </c>
      <c r="B482" t="s">
        <v>596</v>
      </c>
      <c r="C482" t="s">
        <v>15</v>
      </c>
      <c r="D482" t="s">
        <v>962</v>
      </c>
    </row>
    <row r="483" spans="1:5" x14ac:dyDescent="0.2">
      <c r="A483" s="269">
        <v>45875.174745370372</v>
      </c>
      <c r="B483" t="s">
        <v>596</v>
      </c>
      <c r="C483" t="s">
        <v>15</v>
      </c>
      <c r="D483" t="s">
        <v>960</v>
      </c>
    </row>
    <row r="484" spans="1:5" x14ac:dyDescent="0.2">
      <c r="A484" s="269">
        <v>45875.174745370372</v>
      </c>
      <c r="B484" t="s">
        <v>596</v>
      </c>
      <c r="C484" t="s">
        <v>15</v>
      </c>
      <c r="D484" t="s">
        <v>958</v>
      </c>
    </row>
    <row r="485" spans="1:5" x14ac:dyDescent="0.2">
      <c r="A485" s="269">
        <v>45875.174745370372</v>
      </c>
      <c r="B485" t="s">
        <v>596</v>
      </c>
      <c r="C485" t="s">
        <v>15</v>
      </c>
      <c r="D485" t="s">
        <v>956</v>
      </c>
    </row>
    <row r="486" spans="1:5" x14ac:dyDescent="0.2">
      <c r="A486" s="269">
        <v>45875.174849537034</v>
      </c>
      <c r="B486" t="s">
        <v>596</v>
      </c>
      <c r="C486" t="s">
        <v>15</v>
      </c>
      <c r="D486" t="s">
        <v>956</v>
      </c>
      <c r="E486" t="s">
        <v>957</v>
      </c>
    </row>
    <row r="487" spans="1:5" x14ac:dyDescent="0.2">
      <c r="A487" s="269">
        <v>45875.174849537034</v>
      </c>
      <c r="B487" t="s">
        <v>596</v>
      </c>
      <c r="C487" t="s">
        <v>15</v>
      </c>
      <c r="D487" t="s">
        <v>958</v>
      </c>
      <c r="E487" t="s">
        <v>959</v>
      </c>
    </row>
    <row r="488" spans="1:5" x14ac:dyDescent="0.2">
      <c r="A488" s="269">
        <v>45875.174849537034</v>
      </c>
      <c r="B488" t="s">
        <v>596</v>
      </c>
      <c r="C488" t="s">
        <v>15</v>
      </c>
      <c r="D488" t="s">
        <v>960</v>
      </c>
      <c r="E488" t="s">
        <v>961</v>
      </c>
    </row>
    <row r="489" spans="1:5" x14ac:dyDescent="0.2">
      <c r="A489" s="269">
        <v>45875.174849537034</v>
      </c>
      <c r="B489" t="s">
        <v>596</v>
      </c>
      <c r="C489" t="s">
        <v>15</v>
      </c>
      <c r="D489" t="s">
        <v>962</v>
      </c>
      <c r="E489" t="s">
        <v>963</v>
      </c>
    </row>
    <row r="490" spans="1:5" x14ac:dyDescent="0.2">
      <c r="A490" s="269">
        <v>45875.174849537034</v>
      </c>
      <c r="B490" t="s">
        <v>596</v>
      </c>
      <c r="C490" t="s">
        <v>15</v>
      </c>
      <c r="D490" t="s">
        <v>964</v>
      </c>
      <c r="E490" t="s">
        <v>965</v>
      </c>
    </row>
    <row r="491" spans="1:5" x14ac:dyDescent="0.2">
      <c r="A491" s="269">
        <v>45875.175694444442</v>
      </c>
      <c r="B491" t="s">
        <v>596</v>
      </c>
      <c r="C491" t="s">
        <v>15</v>
      </c>
      <c r="D491" t="s">
        <v>964</v>
      </c>
    </row>
    <row r="492" spans="1:5" x14ac:dyDescent="0.2">
      <c r="A492" s="269">
        <v>45875.175694444442</v>
      </c>
      <c r="B492" t="s">
        <v>596</v>
      </c>
      <c r="C492" t="s">
        <v>15</v>
      </c>
      <c r="D492" t="s">
        <v>962</v>
      </c>
    </row>
    <row r="493" spans="1:5" x14ac:dyDescent="0.2">
      <c r="A493" s="269">
        <v>45875.175694444442</v>
      </c>
      <c r="B493" t="s">
        <v>596</v>
      </c>
      <c r="C493" t="s">
        <v>15</v>
      </c>
      <c r="D493" t="s">
        <v>960</v>
      </c>
    </row>
    <row r="494" spans="1:5" x14ac:dyDescent="0.2">
      <c r="A494" s="269">
        <v>45875.175694444442</v>
      </c>
      <c r="B494" t="s">
        <v>596</v>
      </c>
      <c r="C494" t="s">
        <v>15</v>
      </c>
      <c r="D494" t="s">
        <v>958</v>
      </c>
    </row>
    <row r="495" spans="1:5" x14ac:dyDescent="0.2">
      <c r="A495" s="269">
        <v>45875.175694444442</v>
      </c>
      <c r="B495" t="s">
        <v>596</v>
      </c>
      <c r="C495" t="s">
        <v>15</v>
      </c>
      <c r="D495" t="s">
        <v>956</v>
      </c>
    </row>
    <row r="496" spans="1:5" x14ac:dyDescent="0.2">
      <c r="A496" s="269">
        <v>45875.176111111112</v>
      </c>
      <c r="B496" t="s">
        <v>596</v>
      </c>
      <c r="C496" t="s">
        <v>15</v>
      </c>
      <c r="D496" t="s">
        <v>966</v>
      </c>
    </row>
    <row r="497" spans="1:5" x14ac:dyDescent="0.2">
      <c r="A497" s="269">
        <v>45875.176319444443</v>
      </c>
      <c r="B497" t="s">
        <v>596</v>
      </c>
      <c r="C497" t="s">
        <v>15</v>
      </c>
      <c r="D497" t="s">
        <v>966</v>
      </c>
    </row>
    <row r="498" spans="1:5" x14ac:dyDescent="0.2">
      <c r="A498" s="269">
        <v>45875.176550925928</v>
      </c>
      <c r="B498" t="s">
        <v>596</v>
      </c>
      <c r="C498" t="s">
        <v>15</v>
      </c>
      <c r="D498" t="s">
        <v>967</v>
      </c>
      <c r="E498">
        <v>0</v>
      </c>
    </row>
    <row r="499" spans="1:5" x14ac:dyDescent="0.2">
      <c r="A499" s="269">
        <v>45875.179756944446</v>
      </c>
      <c r="B499" t="s">
        <v>596</v>
      </c>
      <c r="C499" t="s">
        <v>15</v>
      </c>
      <c r="D499" t="s">
        <v>966</v>
      </c>
    </row>
    <row r="500" spans="1:5" x14ac:dyDescent="0.2">
      <c r="A500" s="269">
        <v>45875.184328703705</v>
      </c>
      <c r="B500" t="s">
        <v>596</v>
      </c>
      <c r="C500" t="s">
        <v>15</v>
      </c>
      <c r="D500" t="s">
        <v>968</v>
      </c>
    </row>
    <row r="501" spans="1:5" x14ac:dyDescent="0.2">
      <c r="A501" s="269">
        <v>45875.184374999997</v>
      </c>
      <c r="B501" t="s">
        <v>596</v>
      </c>
      <c r="C501" t="s">
        <v>15</v>
      </c>
      <c r="D501" t="s">
        <v>969</v>
      </c>
      <c r="E501" t="s">
        <v>43</v>
      </c>
    </row>
    <row r="502" spans="1:5" x14ac:dyDescent="0.2">
      <c r="A502" s="269">
        <v>45875.184942129628</v>
      </c>
      <c r="B502" t="s">
        <v>596</v>
      </c>
      <c r="C502" t="s">
        <v>15</v>
      </c>
      <c r="D502" t="s">
        <v>970</v>
      </c>
    </row>
    <row r="503" spans="1:5" x14ac:dyDescent="0.2">
      <c r="A503" s="269">
        <v>45875.185127314813</v>
      </c>
      <c r="B503" t="s">
        <v>596</v>
      </c>
      <c r="C503" t="s">
        <v>15</v>
      </c>
      <c r="D503" t="s">
        <v>971</v>
      </c>
    </row>
    <row r="504" spans="1:5" x14ac:dyDescent="0.2">
      <c r="A504" s="269">
        <v>45875.185185185182</v>
      </c>
      <c r="B504" t="s">
        <v>596</v>
      </c>
      <c r="C504" t="s">
        <v>15</v>
      </c>
      <c r="D504" t="s">
        <v>972</v>
      </c>
    </row>
    <row r="505" spans="1:5" x14ac:dyDescent="0.2">
      <c r="A505" s="269">
        <v>45875.190069444441</v>
      </c>
      <c r="B505" t="s">
        <v>596</v>
      </c>
      <c r="C505" t="s">
        <v>15</v>
      </c>
      <c r="D505" t="s">
        <v>960</v>
      </c>
      <c r="E505" t="s">
        <v>184</v>
      </c>
    </row>
    <row r="506" spans="1:5" x14ac:dyDescent="0.2">
      <c r="A506" s="269">
        <v>45875.190104166664</v>
      </c>
      <c r="B506" t="s">
        <v>596</v>
      </c>
      <c r="C506" t="s">
        <v>15</v>
      </c>
      <c r="D506" t="s">
        <v>962</v>
      </c>
      <c r="E506" t="s">
        <v>86</v>
      </c>
    </row>
    <row r="507" spans="1:5" x14ac:dyDescent="0.2">
      <c r="A507" s="269">
        <v>45875.190138888887</v>
      </c>
      <c r="B507" t="s">
        <v>596</v>
      </c>
      <c r="C507" t="s">
        <v>15</v>
      </c>
      <c r="D507" t="s">
        <v>956</v>
      </c>
      <c r="E507" t="s">
        <v>183</v>
      </c>
    </row>
    <row r="508" spans="1:5" x14ac:dyDescent="0.2">
      <c r="A508" s="269">
        <v>45875.190925925926</v>
      </c>
      <c r="B508" t="s">
        <v>596</v>
      </c>
      <c r="C508" t="s">
        <v>15</v>
      </c>
      <c r="D508" t="s">
        <v>973</v>
      </c>
      <c r="E508" t="s">
        <v>188</v>
      </c>
    </row>
    <row r="509" spans="1:5" x14ac:dyDescent="0.2">
      <c r="A509" s="269">
        <v>45875.191666666666</v>
      </c>
      <c r="B509" t="s">
        <v>596</v>
      </c>
      <c r="C509" t="s">
        <v>15</v>
      </c>
      <c r="D509" t="s">
        <v>973</v>
      </c>
      <c r="E509" t="s">
        <v>352</v>
      </c>
    </row>
    <row r="510" spans="1:5" x14ac:dyDescent="0.2">
      <c r="A510" s="269">
        <v>45875.191701388889</v>
      </c>
      <c r="B510" t="s">
        <v>596</v>
      </c>
      <c r="C510" t="s">
        <v>15</v>
      </c>
      <c r="D510" t="s">
        <v>973</v>
      </c>
      <c r="E510" t="s">
        <v>188</v>
      </c>
    </row>
    <row r="511" spans="1:5" x14ac:dyDescent="0.2">
      <c r="A511" s="269">
        <v>45875.192187499997</v>
      </c>
      <c r="B511" t="s">
        <v>596</v>
      </c>
      <c r="C511" t="s">
        <v>15</v>
      </c>
      <c r="D511" t="s">
        <v>973</v>
      </c>
      <c r="E511" t="s">
        <v>352</v>
      </c>
    </row>
    <row r="512" spans="1:5" x14ac:dyDescent="0.2">
      <c r="A512" s="269">
        <v>45875.196435185186</v>
      </c>
      <c r="B512" t="s">
        <v>596</v>
      </c>
      <c r="C512" t="s">
        <v>15</v>
      </c>
      <c r="D512" t="s">
        <v>974</v>
      </c>
    </row>
    <row r="513" spans="1:5" x14ac:dyDescent="0.2">
      <c r="A513" s="269">
        <v>45875.196585648147</v>
      </c>
      <c r="B513" t="s">
        <v>596</v>
      </c>
      <c r="C513" t="s">
        <v>15</v>
      </c>
      <c r="D513" t="s">
        <v>975</v>
      </c>
    </row>
    <row r="514" spans="1:5" x14ac:dyDescent="0.2">
      <c r="A514" s="269">
        <v>45875.197812500002</v>
      </c>
      <c r="B514" t="s">
        <v>596</v>
      </c>
      <c r="C514" t="s">
        <v>15</v>
      </c>
      <c r="D514" t="s">
        <v>973</v>
      </c>
      <c r="E514" t="s">
        <v>188</v>
      </c>
    </row>
    <row r="515" spans="1:5" x14ac:dyDescent="0.2">
      <c r="A515" s="269">
        <v>45875.19809027778</v>
      </c>
      <c r="B515" t="s">
        <v>596</v>
      </c>
      <c r="C515" t="s">
        <v>15</v>
      </c>
      <c r="D515" t="s">
        <v>973</v>
      </c>
      <c r="E515" t="s">
        <v>352</v>
      </c>
    </row>
    <row r="516" spans="1:5" x14ac:dyDescent="0.2">
      <c r="A516" s="269">
        <v>45875.198113425926</v>
      </c>
      <c r="B516" t="s">
        <v>596</v>
      </c>
      <c r="C516" t="s">
        <v>15</v>
      </c>
      <c r="D516" t="s">
        <v>973</v>
      </c>
      <c r="E516" t="s">
        <v>188</v>
      </c>
    </row>
    <row r="517" spans="1:5" x14ac:dyDescent="0.2">
      <c r="A517" s="269">
        <v>45875.199050925927</v>
      </c>
      <c r="B517" t="s">
        <v>596</v>
      </c>
      <c r="C517" t="s">
        <v>15</v>
      </c>
      <c r="D517" t="s">
        <v>973</v>
      </c>
      <c r="E517" t="s">
        <v>352</v>
      </c>
    </row>
    <row r="518" spans="1:5" x14ac:dyDescent="0.2">
      <c r="A518" s="269">
        <v>45875.199074074073</v>
      </c>
      <c r="B518" t="s">
        <v>596</v>
      </c>
      <c r="C518" t="s">
        <v>15</v>
      </c>
      <c r="D518" t="s">
        <v>973</v>
      </c>
      <c r="E518" t="s">
        <v>188</v>
      </c>
    </row>
    <row r="519" spans="1:5" x14ac:dyDescent="0.2">
      <c r="A519" s="269">
        <v>45875.199525462966</v>
      </c>
      <c r="B519" t="s">
        <v>596</v>
      </c>
      <c r="C519" t="s">
        <v>15</v>
      </c>
      <c r="D519" t="s">
        <v>976</v>
      </c>
      <c r="E519" t="s">
        <v>352</v>
      </c>
    </row>
    <row r="520" spans="1:5" x14ac:dyDescent="0.2">
      <c r="A520" s="269">
        <v>45875.199548611112</v>
      </c>
      <c r="B520" t="s">
        <v>596</v>
      </c>
      <c r="C520" t="s">
        <v>15</v>
      </c>
      <c r="D520" t="s">
        <v>976</v>
      </c>
      <c r="E520" t="s">
        <v>188</v>
      </c>
    </row>
    <row r="521" spans="1:5" x14ac:dyDescent="0.2">
      <c r="A521" s="269">
        <v>45875.199594907404</v>
      </c>
      <c r="B521" t="s">
        <v>596</v>
      </c>
      <c r="C521" t="s">
        <v>15</v>
      </c>
      <c r="D521" t="s">
        <v>973</v>
      </c>
    </row>
    <row r="522" spans="1:5" x14ac:dyDescent="0.2">
      <c r="A522" s="269">
        <v>45875.199618055558</v>
      </c>
      <c r="B522" t="s">
        <v>596</v>
      </c>
      <c r="C522" t="s">
        <v>15</v>
      </c>
      <c r="D522" t="s">
        <v>976</v>
      </c>
    </row>
    <row r="523" spans="1:5" x14ac:dyDescent="0.2">
      <c r="A523" s="269">
        <v>45875.201064814813</v>
      </c>
      <c r="B523" t="s">
        <v>596</v>
      </c>
      <c r="C523" t="s">
        <v>15</v>
      </c>
      <c r="D523" t="s">
        <v>973</v>
      </c>
      <c r="E523" t="s">
        <v>188</v>
      </c>
    </row>
    <row r="524" spans="1:5" x14ac:dyDescent="0.2">
      <c r="A524" s="269">
        <v>45875.201909722222</v>
      </c>
      <c r="B524" t="s">
        <v>596</v>
      </c>
      <c r="C524" t="s">
        <v>15</v>
      </c>
      <c r="D524" t="s">
        <v>973</v>
      </c>
      <c r="E524" t="s">
        <v>352</v>
      </c>
    </row>
    <row r="525" spans="1:5" x14ac:dyDescent="0.2">
      <c r="A525" s="269">
        <v>45875.202499999999</v>
      </c>
      <c r="B525" t="s">
        <v>596</v>
      </c>
      <c r="C525" t="s">
        <v>15</v>
      </c>
      <c r="D525" t="s">
        <v>977</v>
      </c>
      <c r="E525" t="s">
        <v>352</v>
      </c>
    </row>
    <row r="526" spans="1:5" x14ac:dyDescent="0.2">
      <c r="A526" s="269">
        <v>45875.202557870369</v>
      </c>
      <c r="B526" t="s">
        <v>596</v>
      </c>
      <c r="C526" t="s">
        <v>15</v>
      </c>
      <c r="D526" t="s">
        <v>977</v>
      </c>
    </row>
    <row r="527" spans="1:5" x14ac:dyDescent="0.2">
      <c r="A527" s="269">
        <v>45875.20275462963</v>
      </c>
      <c r="B527" t="s">
        <v>596</v>
      </c>
      <c r="C527" t="s">
        <v>15</v>
      </c>
      <c r="D527" t="s">
        <v>978</v>
      </c>
    </row>
    <row r="528" spans="1:5" x14ac:dyDescent="0.2">
      <c r="A528" s="269">
        <v>45875.202777777777</v>
      </c>
      <c r="B528" t="s">
        <v>596</v>
      </c>
      <c r="C528" t="s">
        <v>15</v>
      </c>
      <c r="D528" t="s">
        <v>979</v>
      </c>
    </row>
    <row r="529" spans="1:5" x14ac:dyDescent="0.2">
      <c r="A529" s="269">
        <v>45875.202777777777</v>
      </c>
      <c r="B529" t="s">
        <v>596</v>
      </c>
      <c r="C529" t="s">
        <v>15</v>
      </c>
      <c r="D529" t="s">
        <v>980</v>
      </c>
    </row>
    <row r="530" spans="1:5" x14ac:dyDescent="0.2">
      <c r="A530" s="269">
        <v>45875.203414351854</v>
      </c>
      <c r="B530" t="s">
        <v>596</v>
      </c>
      <c r="C530" t="s">
        <v>15</v>
      </c>
      <c r="D530" t="s">
        <v>973</v>
      </c>
      <c r="E530" t="s">
        <v>86</v>
      </c>
    </row>
    <row r="531" spans="1:5" x14ac:dyDescent="0.2">
      <c r="A531" s="269">
        <v>45875.203449074077</v>
      </c>
      <c r="B531" t="s">
        <v>596</v>
      </c>
      <c r="C531" t="s">
        <v>15</v>
      </c>
      <c r="D531" t="s">
        <v>981</v>
      </c>
      <c r="E531" t="s">
        <v>86</v>
      </c>
    </row>
    <row r="532" spans="1:5" x14ac:dyDescent="0.2">
      <c r="A532" s="269">
        <v>45875.20722222222</v>
      </c>
      <c r="B532" t="s">
        <v>596</v>
      </c>
      <c r="C532" t="s">
        <v>15</v>
      </c>
      <c r="D532" t="s">
        <v>982</v>
      </c>
    </row>
    <row r="533" spans="1:5" x14ac:dyDescent="0.2">
      <c r="A533" s="269">
        <v>45875.207731481481</v>
      </c>
      <c r="B533" t="s">
        <v>596</v>
      </c>
      <c r="C533" t="s">
        <v>103</v>
      </c>
      <c r="D533" t="s">
        <v>983</v>
      </c>
      <c r="E533" t="s">
        <v>45</v>
      </c>
    </row>
    <row r="534" spans="1:5" x14ac:dyDescent="0.2">
      <c r="A534" s="269">
        <v>45875.20826388889</v>
      </c>
      <c r="B534" t="s">
        <v>596</v>
      </c>
      <c r="C534" t="s">
        <v>15</v>
      </c>
      <c r="D534" t="s">
        <v>982</v>
      </c>
    </row>
    <row r="535" spans="1:5" x14ac:dyDescent="0.2">
      <c r="A535" s="269">
        <v>45875.208333333336</v>
      </c>
      <c r="B535" t="s">
        <v>596</v>
      </c>
      <c r="C535" t="s">
        <v>15</v>
      </c>
      <c r="D535" t="s">
        <v>978</v>
      </c>
      <c r="E535" t="s">
        <v>89</v>
      </c>
    </row>
    <row r="536" spans="1:5" x14ac:dyDescent="0.2">
      <c r="A536" s="269">
        <v>45875.208657407406</v>
      </c>
      <c r="B536" t="s">
        <v>596</v>
      </c>
      <c r="C536" t="s">
        <v>15</v>
      </c>
      <c r="D536" t="s">
        <v>984</v>
      </c>
      <c r="E536">
        <v>0</v>
      </c>
    </row>
    <row r="537" spans="1:5" x14ac:dyDescent="0.2">
      <c r="A537" s="269">
        <v>45875.208715277775</v>
      </c>
      <c r="B537" t="s">
        <v>596</v>
      </c>
      <c r="C537" t="s">
        <v>15</v>
      </c>
      <c r="D537" t="s">
        <v>985</v>
      </c>
      <c r="E537" t="s">
        <v>45</v>
      </c>
    </row>
    <row r="538" spans="1:5" x14ac:dyDescent="0.2">
      <c r="A538" s="269">
        <v>45875.208784722221</v>
      </c>
      <c r="B538" t="s">
        <v>596</v>
      </c>
      <c r="C538" t="s">
        <v>15</v>
      </c>
      <c r="D538" t="s">
        <v>986</v>
      </c>
      <c r="E538" t="s">
        <v>362</v>
      </c>
    </row>
    <row r="539" spans="1:5" x14ac:dyDescent="0.2">
      <c r="A539" s="269">
        <v>45875.208819444444</v>
      </c>
      <c r="B539" t="s">
        <v>596</v>
      </c>
      <c r="C539" t="s">
        <v>15</v>
      </c>
      <c r="D539" t="s">
        <v>986</v>
      </c>
      <c r="E539" t="s">
        <v>41</v>
      </c>
    </row>
    <row r="540" spans="1:5" x14ac:dyDescent="0.2">
      <c r="A540" s="269">
        <v>45875.209849537037</v>
      </c>
      <c r="B540" t="s">
        <v>596</v>
      </c>
      <c r="C540" t="s">
        <v>15</v>
      </c>
      <c r="D540" t="s">
        <v>987</v>
      </c>
    </row>
    <row r="541" spans="1:5" x14ac:dyDescent="0.2">
      <c r="A541" s="269">
        <v>45875.209849537037</v>
      </c>
      <c r="B541" t="s">
        <v>596</v>
      </c>
      <c r="C541" t="s">
        <v>15</v>
      </c>
      <c r="D541" t="s">
        <v>987</v>
      </c>
      <c r="E541">
        <v>0</v>
      </c>
    </row>
    <row r="542" spans="1:5" x14ac:dyDescent="0.2">
      <c r="A542" s="269">
        <v>45875.210034722222</v>
      </c>
      <c r="B542" t="s">
        <v>596</v>
      </c>
      <c r="C542" t="s">
        <v>103</v>
      </c>
      <c r="D542" t="s">
        <v>988</v>
      </c>
      <c r="E542">
        <v>3000</v>
      </c>
    </row>
    <row r="543" spans="1:5" x14ac:dyDescent="0.2">
      <c r="A543" s="269">
        <v>45875.210798611108</v>
      </c>
      <c r="B543" t="s">
        <v>596</v>
      </c>
      <c r="C543" t="s">
        <v>15</v>
      </c>
      <c r="D543" t="s">
        <v>987</v>
      </c>
      <c r="E543" t="e">
        <v>#VALUE!</v>
      </c>
    </row>
    <row r="544" spans="1:5" x14ac:dyDescent="0.2">
      <c r="A544" s="269">
        <v>45875.2108912037</v>
      </c>
      <c r="B544" t="s">
        <v>596</v>
      </c>
      <c r="C544" t="s">
        <v>15</v>
      </c>
      <c r="D544" t="s">
        <v>987</v>
      </c>
      <c r="E544" t="e">
        <v>#VALUE!</v>
      </c>
    </row>
    <row r="545" spans="1:5" x14ac:dyDescent="0.2">
      <c r="A545" s="269">
        <v>45875.210914351854</v>
      </c>
      <c r="B545" t="s">
        <v>596</v>
      </c>
      <c r="C545" t="s">
        <v>15</v>
      </c>
      <c r="D545" t="s">
        <v>987</v>
      </c>
    </row>
    <row r="546" spans="1:5" x14ac:dyDescent="0.2">
      <c r="A546" s="269">
        <v>45875.211793981478</v>
      </c>
      <c r="B546" t="s">
        <v>596</v>
      </c>
      <c r="C546" t="s">
        <v>28</v>
      </c>
      <c r="D546" t="s">
        <v>987</v>
      </c>
      <c r="E546">
        <v>0</v>
      </c>
    </row>
    <row r="547" spans="1:5" x14ac:dyDescent="0.2">
      <c r="A547" s="269">
        <v>45875.212766203702</v>
      </c>
      <c r="B547" t="s">
        <v>596</v>
      </c>
      <c r="C547" t="s">
        <v>15</v>
      </c>
      <c r="D547" t="s">
        <v>987</v>
      </c>
      <c r="E547">
        <v>0</v>
      </c>
    </row>
    <row r="548" spans="1:5" x14ac:dyDescent="0.2">
      <c r="A548" s="269">
        <v>45875.212835648148</v>
      </c>
      <c r="B548" t="s">
        <v>596</v>
      </c>
      <c r="C548" t="s">
        <v>15</v>
      </c>
      <c r="D548" t="s">
        <v>989</v>
      </c>
      <c r="E548" t="s">
        <v>183</v>
      </c>
    </row>
    <row r="549" spans="1:5" x14ac:dyDescent="0.2">
      <c r="A549" s="269">
        <v>45875.212858796294</v>
      </c>
      <c r="B549" t="s">
        <v>596</v>
      </c>
      <c r="C549" t="s">
        <v>15</v>
      </c>
      <c r="D549" t="s">
        <v>990</v>
      </c>
      <c r="E549" t="s">
        <v>991</v>
      </c>
    </row>
    <row r="550" spans="1:5" x14ac:dyDescent="0.2">
      <c r="A550" s="269">
        <v>45875.212951388887</v>
      </c>
      <c r="B550" t="s">
        <v>596</v>
      </c>
      <c r="C550" t="s">
        <v>15</v>
      </c>
      <c r="D550" t="s">
        <v>990</v>
      </c>
      <c r="E550" t="s">
        <v>184</v>
      </c>
    </row>
    <row r="551" spans="1:5" x14ac:dyDescent="0.2">
      <c r="A551" s="269">
        <v>45875.21297453704</v>
      </c>
      <c r="B551" t="s">
        <v>596</v>
      </c>
      <c r="C551" t="s">
        <v>15</v>
      </c>
      <c r="D551" t="s">
        <v>992</v>
      </c>
      <c r="E551" t="s">
        <v>86</v>
      </c>
    </row>
    <row r="552" spans="1:5" x14ac:dyDescent="0.2">
      <c r="A552" s="269">
        <v>45875.213043981479</v>
      </c>
      <c r="B552" t="s">
        <v>596</v>
      </c>
      <c r="C552" t="s">
        <v>15</v>
      </c>
      <c r="D552" t="s">
        <v>976</v>
      </c>
      <c r="E552" t="s">
        <v>188</v>
      </c>
    </row>
    <row r="553" spans="1:5" x14ac:dyDescent="0.2">
      <c r="A553" s="269">
        <v>45875.213159722225</v>
      </c>
      <c r="B553" t="s">
        <v>596</v>
      </c>
      <c r="C553" t="s">
        <v>15</v>
      </c>
      <c r="D553" t="s">
        <v>989</v>
      </c>
      <c r="E553" t="s">
        <v>993</v>
      </c>
    </row>
    <row r="554" spans="1:5" x14ac:dyDescent="0.2">
      <c r="A554" s="269">
        <v>45875.213217592594</v>
      </c>
      <c r="B554" t="s">
        <v>596</v>
      </c>
      <c r="C554" t="s">
        <v>15</v>
      </c>
      <c r="D554" t="s">
        <v>989</v>
      </c>
      <c r="E554" t="s">
        <v>188</v>
      </c>
    </row>
    <row r="555" spans="1:5" x14ac:dyDescent="0.2">
      <c r="A555" s="269">
        <v>45875.213287037041</v>
      </c>
      <c r="B555" t="s">
        <v>596</v>
      </c>
      <c r="C555" t="s">
        <v>15</v>
      </c>
      <c r="D555" t="s">
        <v>994</v>
      </c>
      <c r="E555" t="s">
        <v>380</v>
      </c>
    </row>
    <row r="556" spans="1:5" x14ac:dyDescent="0.2">
      <c r="A556" s="269">
        <v>45875.213310185187</v>
      </c>
      <c r="B556" t="s">
        <v>596</v>
      </c>
      <c r="C556" t="s">
        <v>15</v>
      </c>
      <c r="D556" t="s">
        <v>995</v>
      </c>
      <c r="E556">
        <v>5</v>
      </c>
    </row>
    <row r="557" spans="1:5" x14ac:dyDescent="0.2">
      <c r="A557" s="269">
        <v>45875.213472222225</v>
      </c>
      <c r="B557" t="s">
        <v>596</v>
      </c>
      <c r="C557" t="s">
        <v>15</v>
      </c>
      <c r="D557" t="s">
        <v>996</v>
      </c>
      <c r="E557" t="s">
        <v>89</v>
      </c>
    </row>
    <row r="558" spans="1:5" x14ac:dyDescent="0.2">
      <c r="A558" s="269">
        <v>45875.213680555556</v>
      </c>
      <c r="B558" t="s">
        <v>596</v>
      </c>
      <c r="C558" t="s">
        <v>15</v>
      </c>
      <c r="D558" t="s">
        <v>997</v>
      </c>
      <c r="E558">
        <v>0</v>
      </c>
    </row>
    <row r="559" spans="1:5" x14ac:dyDescent="0.2">
      <c r="A559" s="269">
        <v>45875.213819444441</v>
      </c>
      <c r="B559" t="s">
        <v>596</v>
      </c>
      <c r="C559" t="s">
        <v>15</v>
      </c>
      <c r="D559" t="s">
        <v>998</v>
      </c>
      <c r="E559">
        <v>0</v>
      </c>
    </row>
    <row r="560" spans="1:5" x14ac:dyDescent="0.2">
      <c r="A560" s="269">
        <v>45875.213865740741</v>
      </c>
      <c r="B560" t="s">
        <v>596</v>
      </c>
      <c r="C560" t="s">
        <v>15</v>
      </c>
      <c r="D560" t="s">
        <v>999</v>
      </c>
      <c r="E560">
        <v>5</v>
      </c>
    </row>
    <row r="561" spans="1:5" x14ac:dyDescent="0.2">
      <c r="A561" s="269">
        <v>45875.213958333334</v>
      </c>
      <c r="B561" t="s">
        <v>596</v>
      </c>
      <c r="C561" t="s">
        <v>15</v>
      </c>
      <c r="D561" t="s">
        <v>988</v>
      </c>
      <c r="E561">
        <v>0</v>
      </c>
    </row>
    <row r="562" spans="1:5" x14ac:dyDescent="0.2">
      <c r="A562" s="269">
        <v>45875.214560185188</v>
      </c>
      <c r="B562" t="s">
        <v>596</v>
      </c>
      <c r="C562" t="s">
        <v>15</v>
      </c>
      <c r="D562" t="s">
        <v>987</v>
      </c>
      <c r="E562">
        <v>5</v>
      </c>
    </row>
    <row r="563" spans="1:5" x14ac:dyDescent="0.2">
      <c r="A563" s="269">
        <v>45875.214583333334</v>
      </c>
      <c r="B563" t="s">
        <v>596</v>
      </c>
      <c r="C563" t="s">
        <v>15</v>
      </c>
      <c r="D563" t="s">
        <v>999</v>
      </c>
      <c r="E563">
        <v>5</v>
      </c>
    </row>
    <row r="564" spans="1:5" x14ac:dyDescent="0.2">
      <c r="A564" s="269">
        <v>45875.21465277778</v>
      </c>
      <c r="B564" t="s">
        <v>596</v>
      </c>
      <c r="C564" t="s">
        <v>15</v>
      </c>
      <c r="D564" t="s">
        <v>988</v>
      </c>
      <c r="E564">
        <v>0</v>
      </c>
    </row>
    <row r="565" spans="1:5" x14ac:dyDescent="0.2">
      <c r="A565" s="269">
        <v>45875.214814814812</v>
      </c>
      <c r="B565" t="s">
        <v>596</v>
      </c>
      <c r="C565" t="s">
        <v>15</v>
      </c>
      <c r="D565" t="s">
        <v>998</v>
      </c>
      <c r="E565">
        <v>0</v>
      </c>
    </row>
    <row r="566" spans="1:5" x14ac:dyDescent="0.2">
      <c r="A566" s="269">
        <v>45875.215127314812</v>
      </c>
      <c r="B566" t="s">
        <v>596</v>
      </c>
      <c r="C566" t="s">
        <v>15</v>
      </c>
      <c r="D566" t="s">
        <v>998</v>
      </c>
      <c r="E566">
        <v>0</v>
      </c>
    </row>
    <row r="567" spans="1:5" x14ac:dyDescent="0.2">
      <c r="A567" s="269">
        <v>45875.215243055558</v>
      </c>
      <c r="B567" t="s">
        <v>596</v>
      </c>
      <c r="C567" t="s">
        <v>15</v>
      </c>
      <c r="D567" t="s">
        <v>998</v>
      </c>
      <c r="E567">
        <v>0</v>
      </c>
    </row>
    <row r="568" spans="1:5" x14ac:dyDescent="0.2">
      <c r="A568" s="269">
        <v>45875.215312499997</v>
      </c>
      <c r="B568" t="s">
        <v>596</v>
      </c>
      <c r="C568" t="s">
        <v>15</v>
      </c>
      <c r="D568" t="s">
        <v>1000</v>
      </c>
      <c r="E568">
        <v>5</v>
      </c>
    </row>
    <row r="569" spans="1:5" x14ac:dyDescent="0.2">
      <c r="A569" s="269">
        <v>45875.215439814812</v>
      </c>
      <c r="B569" t="s">
        <v>596</v>
      </c>
      <c r="C569" t="s">
        <v>15</v>
      </c>
      <c r="D569" t="s">
        <v>998</v>
      </c>
      <c r="E569">
        <v>0</v>
      </c>
    </row>
    <row r="570" spans="1:5" x14ac:dyDescent="0.2">
      <c r="A570" s="269">
        <v>45875.215462962966</v>
      </c>
      <c r="B570" t="s">
        <v>596</v>
      </c>
      <c r="C570" t="s">
        <v>15</v>
      </c>
      <c r="D570" t="s">
        <v>1001</v>
      </c>
      <c r="E570">
        <v>0</v>
      </c>
    </row>
    <row r="571" spans="1:5" x14ac:dyDescent="0.2">
      <c r="A571" s="269">
        <v>45875.215509259258</v>
      </c>
      <c r="B571" t="s">
        <v>596</v>
      </c>
      <c r="C571" t="s">
        <v>15</v>
      </c>
      <c r="D571" t="s">
        <v>997</v>
      </c>
      <c r="E571">
        <v>0</v>
      </c>
    </row>
    <row r="572" spans="1:5" x14ac:dyDescent="0.2">
      <c r="A572" s="269">
        <v>45875.215578703705</v>
      </c>
      <c r="B572" t="s">
        <v>596</v>
      </c>
      <c r="C572" t="s">
        <v>15</v>
      </c>
      <c r="D572" t="s">
        <v>1002</v>
      </c>
      <c r="E572">
        <v>0</v>
      </c>
    </row>
    <row r="573" spans="1:5" x14ac:dyDescent="0.2">
      <c r="A573" s="269">
        <v>45875.215648148151</v>
      </c>
      <c r="B573" t="s">
        <v>596</v>
      </c>
      <c r="C573" t="s">
        <v>15</v>
      </c>
      <c r="D573" t="s">
        <v>1003</v>
      </c>
      <c r="E573" t="e">
        <v>#REF!</v>
      </c>
    </row>
    <row r="574" spans="1:5" x14ac:dyDescent="0.2">
      <c r="A574" s="269">
        <v>45875.215694444443</v>
      </c>
      <c r="B574" t="s">
        <v>596</v>
      </c>
      <c r="C574" t="s">
        <v>15</v>
      </c>
      <c r="D574" t="s">
        <v>1004</v>
      </c>
      <c r="E574">
        <v>0</v>
      </c>
    </row>
    <row r="575" spans="1:5" x14ac:dyDescent="0.2">
      <c r="A575" s="269">
        <v>45875.21570601852</v>
      </c>
      <c r="B575" t="s">
        <v>596</v>
      </c>
      <c r="C575" t="s">
        <v>15</v>
      </c>
      <c r="D575" t="s">
        <v>1005</v>
      </c>
      <c r="E575">
        <v>0</v>
      </c>
    </row>
    <row r="576" spans="1:5" x14ac:dyDescent="0.2">
      <c r="A576" s="269">
        <v>45875.215752314813</v>
      </c>
      <c r="B576" t="s">
        <v>596</v>
      </c>
      <c r="C576" t="s">
        <v>15</v>
      </c>
      <c r="D576" t="s">
        <v>1002</v>
      </c>
      <c r="E576">
        <v>0</v>
      </c>
    </row>
    <row r="577" spans="1:5" x14ac:dyDescent="0.2">
      <c r="A577" s="269">
        <v>45875.215775462966</v>
      </c>
      <c r="B577" t="s">
        <v>596</v>
      </c>
      <c r="C577" t="s">
        <v>15</v>
      </c>
      <c r="D577" t="s">
        <v>1006</v>
      </c>
      <c r="E577">
        <v>0</v>
      </c>
    </row>
    <row r="578" spans="1:5" x14ac:dyDescent="0.2">
      <c r="A578" s="269">
        <v>45875.215798611112</v>
      </c>
      <c r="B578" t="s">
        <v>596</v>
      </c>
      <c r="C578" t="s">
        <v>15</v>
      </c>
      <c r="D578" t="s">
        <v>1007</v>
      </c>
      <c r="E578">
        <v>0</v>
      </c>
    </row>
    <row r="579" spans="1:5" x14ac:dyDescent="0.2">
      <c r="A579" s="269">
        <v>45875.215844907405</v>
      </c>
      <c r="B579" t="s">
        <v>596</v>
      </c>
      <c r="C579" t="s">
        <v>15</v>
      </c>
      <c r="D579" t="s">
        <v>1002</v>
      </c>
      <c r="E579">
        <v>0</v>
      </c>
    </row>
    <row r="580" spans="1:5" x14ac:dyDescent="0.2">
      <c r="A580" s="269">
        <v>45875.215879629628</v>
      </c>
      <c r="B580" t="s">
        <v>596</v>
      </c>
      <c r="C580" t="s">
        <v>15</v>
      </c>
      <c r="D580" t="s">
        <v>1003</v>
      </c>
      <c r="E580">
        <v>0</v>
      </c>
    </row>
    <row r="581" spans="1:5" x14ac:dyDescent="0.2">
      <c r="A581" s="269">
        <v>45875.215937499997</v>
      </c>
      <c r="B581" t="s">
        <v>596</v>
      </c>
      <c r="C581" t="s">
        <v>15</v>
      </c>
      <c r="D581" t="s">
        <v>1008</v>
      </c>
      <c r="E581">
        <v>0</v>
      </c>
    </row>
    <row r="582" spans="1:5" x14ac:dyDescent="0.2">
      <c r="A582" s="269">
        <v>45875.215960648151</v>
      </c>
      <c r="B582" t="s">
        <v>596</v>
      </c>
      <c r="C582" t="s">
        <v>15</v>
      </c>
      <c r="D582" t="s">
        <v>1007</v>
      </c>
      <c r="E582">
        <v>0</v>
      </c>
    </row>
    <row r="583" spans="1:5" x14ac:dyDescent="0.2">
      <c r="A583" s="269">
        <v>45875.215983796297</v>
      </c>
      <c r="B583" t="s">
        <v>596</v>
      </c>
      <c r="C583" t="s">
        <v>15</v>
      </c>
      <c r="D583" t="s">
        <v>1009</v>
      </c>
      <c r="E583">
        <v>0</v>
      </c>
    </row>
    <row r="584" spans="1:5" x14ac:dyDescent="0.2">
      <c r="A584" s="269">
        <v>45875.21603009259</v>
      </c>
      <c r="B584" t="s">
        <v>596</v>
      </c>
      <c r="C584" t="s">
        <v>15</v>
      </c>
      <c r="D584" t="s">
        <v>1010</v>
      </c>
      <c r="E584">
        <v>2</v>
      </c>
    </row>
    <row r="585" spans="1:5" x14ac:dyDescent="0.2">
      <c r="A585" s="269">
        <v>45875.21607638889</v>
      </c>
      <c r="B585" t="s">
        <v>596</v>
      </c>
      <c r="C585" t="s">
        <v>15</v>
      </c>
      <c r="D585" t="s">
        <v>978</v>
      </c>
      <c r="E585" t="s">
        <v>386</v>
      </c>
    </row>
    <row r="586" spans="1:5" x14ac:dyDescent="0.2">
      <c r="A586" s="269">
        <v>45875.216446759259</v>
      </c>
      <c r="B586" t="s">
        <v>596</v>
      </c>
      <c r="C586" t="s">
        <v>15</v>
      </c>
      <c r="D586" t="s">
        <v>998</v>
      </c>
      <c r="E586">
        <v>0</v>
      </c>
    </row>
    <row r="587" spans="1:5" x14ac:dyDescent="0.2">
      <c r="A587" s="269">
        <v>45875.216550925928</v>
      </c>
      <c r="B587" t="s">
        <v>596</v>
      </c>
      <c r="C587" t="s">
        <v>15</v>
      </c>
      <c r="D587" t="s">
        <v>1005</v>
      </c>
      <c r="E587">
        <v>0</v>
      </c>
    </row>
    <row r="588" spans="1:5" x14ac:dyDescent="0.2">
      <c r="A588" s="269">
        <v>45875.216597222221</v>
      </c>
      <c r="B588" t="s">
        <v>596</v>
      </c>
      <c r="C588" t="s">
        <v>15</v>
      </c>
      <c r="D588" t="s">
        <v>998</v>
      </c>
      <c r="E588">
        <v>0</v>
      </c>
    </row>
    <row r="589" spans="1:5" x14ac:dyDescent="0.2">
      <c r="A589" s="269">
        <v>45875.216666666667</v>
      </c>
      <c r="B589" t="s">
        <v>596</v>
      </c>
      <c r="C589" t="s">
        <v>15</v>
      </c>
      <c r="D589" t="s">
        <v>1005</v>
      </c>
      <c r="E589">
        <v>0</v>
      </c>
    </row>
    <row r="590" spans="1:5" x14ac:dyDescent="0.2">
      <c r="A590" s="269">
        <v>45875.216770833336</v>
      </c>
      <c r="B590" t="s">
        <v>596</v>
      </c>
      <c r="C590" t="s">
        <v>15</v>
      </c>
      <c r="D590" t="s">
        <v>1005</v>
      </c>
      <c r="E590">
        <v>0</v>
      </c>
    </row>
    <row r="591" spans="1:5" x14ac:dyDescent="0.2">
      <c r="A591" s="269">
        <v>45875.216805555552</v>
      </c>
      <c r="B591" t="s">
        <v>596</v>
      </c>
      <c r="C591" t="s">
        <v>15</v>
      </c>
      <c r="D591" t="s">
        <v>998</v>
      </c>
      <c r="E591">
        <v>0</v>
      </c>
    </row>
    <row r="592" spans="1:5" x14ac:dyDescent="0.2">
      <c r="A592" s="269">
        <v>45875.217013888891</v>
      </c>
      <c r="B592" t="s">
        <v>596</v>
      </c>
      <c r="C592" t="s">
        <v>15</v>
      </c>
      <c r="D592" t="s">
        <v>1004</v>
      </c>
      <c r="E592">
        <v>0</v>
      </c>
    </row>
    <row r="593" spans="1:5" x14ac:dyDescent="0.2">
      <c r="A593" s="269">
        <v>45875.217083333337</v>
      </c>
      <c r="B593" t="s">
        <v>596</v>
      </c>
      <c r="C593" t="s">
        <v>15</v>
      </c>
      <c r="D593" t="s">
        <v>1005</v>
      </c>
      <c r="E593">
        <v>0</v>
      </c>
    </row>
    <row r="594" spans="1:5" x14ac:dyDescent="0.2">
      <c r="A594" s="269">
        <v>45875.217280092591</v>
      </c>
      <c r="B594" t="s">
        <v>596</v>
      </c>
      <c r="C594" t="s">
        <v>15</v>
      </c>
      <c r="D594" t="s">
        <v>988</v>
      </c>
      <c r="E594">
        <v>0</v>
      </c>
    </row>
    <row r="595" spans="1:5" x14ac:dyDescent="0.2">
      <c r="A595" s="269">
        <v>45875.217361111114</v>
      </c>
      <c r="B595" t="s">
        <v>596</v>
      </c>
      <c r="C595" t="s">
        <v>15</v>
      </c>
      <c r="D595" t="s">
        <v>987</v>
      </c>
      <c r="E595">
        <v>5</v>
      </c>
    </row>
    <row r="596" spans="1:5" x14ac:dyDescent="0.2">
      <c r="A596" s="269">
        <v>45875.217395833337</v>
      </c>
      <c r="B596" t="s">
        <v>596</v>
      </c>
      <c r="C596" t="s">
        <v>15</v>
      </c>
      <c r="D596" t="s">
        <v>999</v>
      </c>
      <c r="E596">
        <v>5</v>
      </c>
    </row>
    <row r="597" spans="1:5" x14ac:dyDescent="0.2">
      <c r="A597" s="269">
        <v>45875.217418981483</v>
      </c>
      <c r="B597" t="s">
        <v>596</v>
      </c>
      <c r="C597" t="s">
        <v>15</v>
      </c>
      <c r="D597" t="s">
        <v>987</v>
      </c>
      <c r="E597">
        <v>5</v>
      </c>
    </row>
    <row r="598" spans="1:5" x14ac:dyDescent="0.2">
      <c r="A598" s="269">
        <v>45875.217453703706</v>
      </c>
      <c r="B598" t="s">
        <v>596</v>
      </c>
      <c r="C598" t="s">
        <v>15</v>
      </c>
      <c r="D598" t="s">
        <v>988</v>
      </c>
      <c r="E598">
        <v>0</v>
      </c>
    </row>
    <row r="599" spans="1:5" x14ac:dyDescent="0.2">
      <c r="A599" s="269">
        <v>45875.217488425929</v>
      </c>
      <c r="B599" t="s">
        <v>596</v>
      </c>
      <c r="C599" t="s">
        <v>15</v>
      </c>
      <c r="D599" t="s">
        <v>1011</v>
      </c>
      <c r="E599">
        <v>0</v>
      </c>
    </row>
    <row r="600" spans="1:5" x14ac:dyDescent="0.2">
      <c r="A600" s="269">
        <v>45875.217569444445</v>
      </c>
      <c r="B600" t="s">
        <v>596</v>
      </c>
      <c r="C600" t="s">
        <v>15</v>
      </c>
      <c r="D600" t="s">
        <v>998</v>
      </c>
      <c r="E600">
        <v>0</v>
      </c>
    </row>
    <row r="601" spans="1:5" x14ac:dyDescent="0.2">
      <c r="A601" s="269">
        <v>45875.217604166668</v>
      </c>
      <c r="B601" t="s">
        <v>596</v>
      </c>
      <c r="C601" t="s">
        <v>15</v>
      </c>
      <c r="D601" t="s">
        <v>1004</v>
      </c>
      <c r="E601">
        <v>0</v>
      </c>
    </row>
    <row r="602" spans="1:5" x14ac:dyDescent="0.2">
      <c r="A602" s="269">
        <v>45875.217650462961</v>
      </c>
      <c r="B602" t="s">
        <v>596</v>
      </c>
      <c r="C602" t="s">
        <v>15</v>
      </c>
      <c r="D602" t="s">
        <v>1005</v>
      </c>
      <c r="E602">
        <v>0</v>
      </c>
    </row>
    <row r="603" spans="1:5" x14ac:dyDescent="0.2">
      <c r="A603" s="269">
        <v>45875.217766203707</v>
      </c>
      <c r="B603" t="s">
        <v>596</v>
      </c>
      <c r="C603" t="s">
        <v>15</v>
      </c>
      <c r="D603" t="s">
        <v>1005</v>
      </c>
      <c r="E603">
        <v>0</v>
      </c>
    </row>
    <row r="604" spans="1:5" x14ac:dyDescent="0.2">
      <c r="A604" s="269">
        <v>45875.217939814815</v>
      </c>
      <c r="B604" t="s">
        <v>596</v>
      </c>
      <c r="C604" t="s">
        <v>15</v>
      </c>
      <c r="D604" t="s">
        <v>987</v>
      </c>
      <c r="E604">
        <v>5</v>
      </c>
    </row>
    <row r="605" spans="1:5" x14ac:dyDescent="0.2">
      <c r="A605" s="269">
        <v>45875.217974537038</v>
      </c>
      <c r="B605" t="s">
        <v>596</v>
      </c>
      <c r="C605" t="s">
        <v>15</v>
      </c>
      <c r="D605" t="s">
        <v>999</v>
      </c>
      <c r="E605">
        <v>5</v>
      </c>
    </row>
    <row r="606" spans="1:5" x14ac:dyDescent="0.2">
      <c r="A606" s="269">
        <v>45875.21802083333</v>
      </c>
      <c r="B606" t="s">
        <v>596</v>
      </c>
      <c r="C606" t="s">
        <v>15</v>
      </c>
      <c r="D606" t="s">
        <v>987</v>
      </c>
      <c r="E606">
        <v>5</v>
      </c>
    </row>
    <row r="607" spans="1:5" x14ac:dyDescent="0.2">
      <c r="A607" s="269">
        <v>45875.218136574076</v>
      </c>
      <c r="B607" t="s">
        <v>596</v>
      </c>
      <c r="C607" t="s">
        <v>15</v>
      </c>
      <c r="D607" t="s">
        <v>988</v>
      </c>
      <c r="E607">
        <v>0</v>
      </c>
    </row>
    <row r="608" spans="1:5" x14ac:dyDescent="0.2">
      <c r="A608" s="269">
        <v>45875.218182870369</v>
      </c>
      <c r="B608" t="s">
        <v>596</v>
      </c>
      <c r="C608" t="s">
        <v>15</v>
      </c>
      <c r="D608" t="s">
        <v>1011</v>
      </c>
      <c r="E608">
        <v>0</v>
      </c>
    </row>
    <row r="609" spans="1:5" x14ac:dyDescent="0.2">
      <c r="A609" s="269">
        <v>45875.218217592592</v>
      </c>
      <c r="B609" t="s">
        <v>596</v>
      </c>
      <c r="C609" t="s">
        <v>15</v>
      </c>
      <c r="D609" t="s">
        <v>998</v>
      </c>
      <c r="E609">
        <v>0</v>
      </c>
    </row>
    <row r="610" spans="1:5" x14ac:dyDescent="0.2">
      <c r="A610" s="269">
        <v>45875.218240740738</v>
      </c>
      <c r="B610" t="s">
        <v>596</v>
      </c>
      <c r="C610" t="s">
        <v>15</v>
      </c>
      <c r="D610" t="s">
        <v>1012</v>
      </c>
      <c r="E610">
        <v>5</v>
      </c>
    </row>
    <row r="611" spans="1:5" x14ac:dyDescent="0.2">
      <c r="A611" s="269">
        <v>45875.218391203707</v>
      </c>
      <c r="B611" t="s">
        <v>596</v>
      </c>
      <c r="C611" t="s">
        <v>15</v>
      </c>
      <c r="D611" t="s">
        <v>998</v>
      </c>
      <c r="E611">
        <v>0</v>
      </c>
    </row>
    <row r="612" spans="1:5" x14ac:dyDescent="0.2">
      <c r="A612" s="269">
        <v>45875.2184375</v>
      </c>
      <c r="B612" t="s">
        <v>596</v>
      </c>
      <c r="C612" t="s">
        <v>15</v>
      </c>
      <c r="D612" t="s">
        <v>1002</v>
      </c>
      <c r="E612">
        <v>0</v>
      </c>
    </row>
    <row r="613" spans="1:5" x14ac:dyDescent="0.2">
      <c r="A613" s="269">
        <v>45875.218460648146</v>
      </c>
      <c r="B613" t="s">
        <v>596</v>
      </c>
      <c r="C613" t="s">
        <v>15</v>
      </c>
      <c r="D613" t="s">
        <v>1008</v>
      </c>
      <c r="E613">
        <v>0</v>
      </c>
    </row>
    <row r="614" spans="1:5" x14ac:dyDescent="0.2">
      <c r="A614" s="269">
        <v>45875.218495370369</v>
      </c>
      <c r="B614" t="s">
        <v>596</v>
      </c>
      <c r="C614" t="s">
        <v>15</v>
      </c>
      <c r="D614" t="s">
        <v>998</v>
      </c>
      <c r="E614">
        <v>0</v>
      </c>
    </row>
    <row r="615" spans="1:5" x14ac:dyDescent="0.2">
      <c r="A615" s="269">
        <v>45875.218518518515</v>
      </c>
      <c r="B615" t="s">
        <v>596</v>
      </c>
      <c r="C615" t="s">
        <v>15</v>
      </c>
      <c r="D615" t="s">
        <v>1001</v>
      </c>
      <c r="E615">
        <v>0</v>
      </c>
    </row>
    <row r="616" spans="1:5" x14ac:dyDescent="0.2">
      <c r="A616" s="269">
        <v>45875.218553240738</v>
      </c>
      <c r="B616" t="s">
        <v>596</v>
      </c>
      <c r="C616" t="s">
        <v>15</v>
      </c>
      <c r="D616" t="s">
        <v>1006</v>
      </c>
      <c r="E616">
        <v>0</v>
      </c>
    </row>
    <row r="617" spans="1:5" x14ac:dyDescent="0.2">
      <c r="A617" s="269">
        <v>45875.218576388892</v>
      </c>
      <c r="B617" t="s">
        <v>596</v>
      </c>
      <c r="C617" t="s">
        <v>15</v>
      </c>
      <c r="D617" t="s">
        <v>1007</v>
      </c>
      <c r="E617">
        <v>0</v>
      </c>
    </row>
    <row r="618" spans="1:5" x14ac:dyDescent="0.2">
      <c r="A618" s="269">
        <v>45875.218611111108</v>
      </c>
      <c r="B618" t="s">
        <v>596</v>
      </c>
      <c r="C618" t="s">
        <v>15</v>
      </c>
      <c r="D618" t="s">
        <v>1013</v>
      </c>
      <c r="E618" t="s">
        <v>194</v>
      </c>
    </row>
    <row r="619" spans="1:5" x14ac:dyDescent="0.2">
      <c r="A619" s="269">
        <v>45875.218634259261</v>
      </c>
      <c r="B619" t="s">
        <v>596</v>
      </c>
      <c r="C619" t="s">
        <v>15</v>
      </c>
      <c r="D619" t="s">
        <v>1014</v>
      </c>
      <c r="E619">
        <v>5</v>
      </c>
    </row>
    <row r="620" spans="1:5" x14ac:dyDescent="0.2">
      <c r="A620" s="269">
        <v>45875.218668981484</v>
      </c>
      <c r="B620" t="s">
        <v>596</v>
      </c>
      <c r="C620" t="s">
        <v>15</v>
      </c>
      <c r="D620" t="s">
        <v>1015</v>
      </c>
      <c r="E620" t="s">
        <v>372</v>
      </c>
    </row>
    <row r="621" spans="1:5" x14ac:dyDescent="0.2">
      <c r="A621" s="269">
        <v>45875.218715277777</v>
      </c>
      <c r="B621" t="s">
        <v>596</v>
      </c>
      <c r="C621" t="s">
        <v>15</v>
      </c>
      <c r="D621" t="s">
        <v>977</v>
      </c>
      <c r="E621" t="s">
        <v>352</v>
      </c>
    </row>
    <row r="622" spans="1:5" x14ac:dyDescent="0.2">
      <c r="A622" s="269">
        <v>45875.218784722223</v>
      </c>
      <c r="B622" t="s">
        <v>596</v>
      </c>
      <c r="C622" t="s">
        <v>15</v>
      </c>
      <c r="D622" t="s">
        <v>1016</v>
      </c>
      <c r="E622" t="s">
        <v>371</v>
      </c>
    </row>
    <row r="623" spans="1:5" x14ac:dyDescent="0.2">
      <c r="A623" s="269">
        <v>45875.218842592592</v>
      </c>
      <c r="B623" t="s">
        <v>596</v>
      </c>
      <c r="C623" t="s">
        <v>15</v>
      </c>
      <c r="D623" t="s">
        <v>1016</v>
      </c>
      <c r="E623" t="s">
        <v>404</v>
      </c>
    </row>
    <row r="624" spans="1:5" x14ac:dyDescent="0.2">
      <c r="A624" s="269">
        <v>45875.218969907408</v>
      </c>
      <c r="B624" t="s">
        <v>596</v>
      </c>
      <c r="C624" t="s">
        <v>15</v>
      </c>
      <c r="D624" t="s">
        <v>747</v>
      </c>
      <c r="E624" t="s">
        <v>200</v>
      </c>
    </row>
    <row r="625" spans="1:5" x14ac:dyDescent="0.2">
      <c r="A625" s="269">
        <v>45875.218993055554</v>
      </c>
      <c r="B625" t="s">
        <v>596</v>
      </c>
      <c r="C625" t="s">
        <v>15</v>
      </c>
      <c r="D625" t="s">
        <v>1017</v>
      </c>
      <c r="E625">
        <v>1</v>
      </c>
    </row>
    <row r="626" spans="1:5" x14ac:dyDescent="0.2">
      <c r="A626" s="269">
        <v>45875.219027777777</v>
      </c>
      <c r="B626" t="s">
        <v>596</v>
      </c>
      <c r="C626" t="s">
        <v>15</v>
      </c>
      <c r="D626" t="s">
        <v>1018</v>
      </c>
      <c r="E626" t="s">
        <v>363</v>
      </c>
    </row>
    <row r="627" spans="1:5" x14ac:dyDescent="0.2">
      <c r="A627" s="269">
        <v>45875.2190625</v>
      </c>
      <c r="B627" t="s">
        <v>596</v>
      </c>
      <c r="C627" t="s">
        <v>15</v>
      </c>
      <c r="D627" t="s">
        <v>923</v>
      </c>
      <c r="E627" t="s">
        <v>188</v>
      </c>
    </row>
    <row r="628" spans="1:5" x14ac:dyDescent="0.2">
      <c r="A628" s="269">
        <v>45875.219108796293</v>
      </c>
      <c r="B628" t="s">
        <v>596</v>
      </c>
      <c r="C628" t="s">
        <v>15</v>
      </c>
      <c r="D628" t="s">
        <v>1019</v>
      </c>
      <c r="E628" t="s">
        <v>397</v>
      </c>
    </row>
    <row r="629" spans="1:5" x14ac:dyDescent="0.2">
      <c r="A629" s="269">
        <v>45875.219513888886</v>
      </c>
      <c r="B629" t="s">
        <v>596</v>
      </c>
      <c r="C629" t="s">
        <v>15</v>
      </c>
      <c r="D629" t="s">
        <v>1020</v>
      </c>
    </row>
    <row r="630" spans="1:5" x14ac:dyDescent="0.2">
      <c r="A630" s="269">
        <v>45875.219652777778</v>
      </c>
      <c r="B630" t="s">
        <v>596</v>
      </c>
      <c r="C630" t="s">
        <v>15</v>
      </c>
      <c r="D630" t="s">
        <v>1021</v>
      </c>
    </row>
    <row r="631" spans="1:5" x14ac:dyDescent="0.2">
      <c r="A631" s="269">
        <v>45875.220046296294</v>
      </c>
      <c r="B631" t="s">
        <v>596</v>
      </c>
      <c r="C631" t="s">
        <v>15</v>
      </c>
      <c r="D631" t="s">
        <v>1022</v>
      </c>
    </row>
    <row r="632" spans="1:5" x14ac:dyDescent="0.2">
      <c r="A632" s="269">
        <v>45875.220196759263</v>
      </c>
      <c r="B632" t="s">
        <v>596</v>
      </c>
      <c r="C632" t="s">
        <v>15</v>
      </c>
      <c r="D632" t="s">
        <v>1023</v>
      </c>
    </row>
    <row r="633" spans="1:5" x14ac:dyDescent="0.2">
      <c r="A633" s="269">
        <v>45875.22079861111</v>
      </c>
      <c r="B633" t="s">
        <v>596</v>
      </c>
      <c r="C633" t="s">
        <v>15</v>
      </c>
      <c r="D633" t="s">
        <v>658</v>
      </c>
      <c r="E633" t="s">
        <v>39</v>
      </c>
    </row>
    <row r="634" spans="1:5" x14ac:dyDescent="0.2">
      <c r="A634" s="269">
        <v>45875.220833333333</v>
      </c>
      <c r="B634" t="s">
        <v>596</v>
      </c>
      <c r="C634" t="s">
        <v>15</v>
      </c>
      <c r="D634" t="s">
        <v>1024</v>
      </c>
      <c r="E634" t="s">
        <v>39</v>
      </c>
    </row>
    <row r="635" spans="1:5" x14ac:dyDescent="0.2">
      <c r="A635" s="269">
        <v>45875.220879629633</v>
      </c>
      <c r="B635" t="s">
        <v>596</v>
      </c>
      <c r="C635" t="s">
        <v>15</v>
      </c>
      <c r="D635" t="s">
        <v>1025</v>
      </c>
      <c r="E635" t="s">
        <v>39</v>
      </c>
    </row>
    <row r="636" spans="1:5" x14ac:dyDescent="0.2">
      <c r="A636" s="269">
        <v>45875.221307870372</v>
      </c>
      <c r="B636" t="s">
        <v>596</v>
      </c>
      <c r="C636" t="s">
        <v>611</v>
      </c>
      <c r="D636" t="s">
        <v>1026</v>
      </c>
      <c r="E636" t="s">
        <v>952</v>
      </c>
    </row>
    <row r="637" spans="1:5" ht="112" x14ac:dyDescent="0.2">
      <c r="A637" s="269">
        <v>45875.22142361111</v>
      </c>
      <c r="B637" t="s">
        <v>596</v>
      </c>
      <c r="C637" t="s">
        <v>611</v>
      </c>
      <c r="D637" t="s">
        <v>1027</v>
      </c>
      <c r="E637" s="6" t="s">
        <v>1028</v>
      </c>
    </row>
    <row r="638" spans="1:5" x14ac:dyDescent="0.2">
      <c r="A638" s="269">
        <v>45875.221828703703</v>
      </c>
      <c r="B638" t="s">
        <v>596</v>
      </c>
      <c r="C638" t="s">
        <v>611</v>
      </c>
      <c r="D638" t="s">
        <v>1029</v>
      </c>
      <c r="E638" t="s">
        <v>87</v>
      </c>
    </row>
    <row r="639" spans="1:5" x14ac:dyDescent="0.2">
      <c r="A639" s="269">
        <v>45875.221944444442</v>
      </c>
      <c r="B639" t="s">
        <v>596</v>
      </c>
      <c r="C639" t="s">
        <v>611</v>
      </c>
      <c r="D639" t="s">
        <v>1030</v>
      </c>
      <c r="E639" t="s">
        <v>1031</v>
      </c>
    </row>
    <row r="640" spans="1:5" x14ac:dyDescent="0.2">
      <c r="A640" s="269">
        <v>45875.222280092596</v>
      </c>
      <c r="B640" t="s">
        <v>596</v>
      </c>
      <c r="C640" t="s">
        <v>611</v>
      </c>
      <c r="D640" t="s">
        <v>1032</v>
      </c>
    </row>
    <row r="641" spans="1:5" x14ac:dyDescent="0.2">
      <c r="A641" s="269">
        <v>45875.222349537034</v>
      </c>
      <c r="B641" t="s">
        <v>596</v>
      </c>
      <c r="C641" t="s">
        <v>611</v>
      </c>
      <c r="D641" t="s">
        <v>1033</v>
      </c>
      <c r="E641">
        <v>8</v>
      </c>
    </row>
    <row r="642" spans="1:5" x14ac:dyDescent="0.2">
      <c r="A642" s="269">
        <v>45875.222615740742</v>
      </c>
      <c r="B642" t="s">
        <v>596</v>
      </c>
      <c r="C642" t="s">
        <v>611</v>
      </c>
      <c r="D642" t="s">
        <v>1034</v>
      </c>
      <c r="E642">
        <v>10</v>
      </c>
    </row>
    <row r="643" spans="1:5" x14ac:dyDescent="0.2">
      <c r="A643" s="269">
        <v>45875.222650462965</v>
      </c>
      <c r="B643" t="s">
        <v>596</v>
      </c>
      <c r="C643" t="s">
        <v>611</v>
      </c>
      <c r="D643" t="s">
        <v>1035</v>
      </c>
      <c r="E643" t="s">
        <v>98</v>
      </c>
    </row>
    <row r="644" spans="1:5" x14ac:dyDescent="0.2">
      <c r="A644" s="269">
        <v>45875.224050925928</v>
      </c>
      <c r="B644" t="s">
        <v>596</v>
      </c>
      <c r="C644" t="s">
        <v>611</v>
      </c>
      <c r="D644" t="s">
        <v>1036</v>
      </c>
      <c r="E644" t="s">
        <v>1037</v>
      </c>
    </row>
    <row r="645" spans="1:5" x14ac:dyDescent="0.2">
      <c r="A645" s="269">
        <v>45875.224699074075</v>
      </c>
      <c r="B645" t="s">
        <v>596</v>
      </c>
      <c r="C645" t="s">
        <v>15</v>
      </c>
      <c r="D645" t="s">
        <v>1038</v>
      </c>
    </row>
    <row r="646" spans="1:5" x14ac:dyDescent="0.2">
      <c r="A646" s="269">
        <v>45875.22488425926</v>
      </c>
      <c r="B646" t="s">
        <v>596</v>
      </c>
      <c r="C646" t="s">
        <v>611</v>
      </c>
      <c r="D646" t="s">
        <v>1039</v>
      </c>
    </row>
    <row r="647" spans="1:5" x14ac:dyDescent="0.2">
      <c r="A647" s="269">
        <v>45875.224953703706</v>
      </c>
      <c r="B647" t="s">
        <v>596</v>
      </c>
      <c r="C647" t="s">
        <v>611</v>
      </c>
      <c r="D647" t="s">
        <v>1040</v>
      </c>
      <c r="E647">
        <v>9</v>
      </c>
    </row>
    <row r="648" spans="1:5" x14ac:dyDescent="0.2">
      <c r="A648" s="269">
        <v>45875.224988425929</v>
      </c>
      <c r="B648" t="s">
        <v>596</v>
      </c>
      <c r="C648" t="s">
        <v>611</v>
      </c>
      <c r="D648" t="s">
        <v>1041</v>
      </c>
      <c r="E648">
        <v>9</v>
      </c>
    </row>
    <row r="649" spans="1:5" x14ac:dyDescent="0.2">
      <c r="A649" s="269">
        <v>45875.225208333337</v>
      </c>
      <c r="B649" t="s">
        <v>596</v>
      </c>
      <c r="C649" t="s">
        <v>611</v>
      </c>
      <c r="D649" t="s">
        <v>1039</v>
      </c>
    </row>
    <row r="650" spans="1:5" x14ac:dyDescent="0.2">
      <c r="A650" s="269">
        <v>45875.225266203706</v>
      </c>
      <c r="B650" t="s">
        <v>596</v>
      </c>
      <c r="C650" t="s">
        <v>611</v>
      </c>
      <c r="D650" t="s">
        <v>1042</v>
      </c>
      <c r="E650">
        <v>9</v>
      </c>
    </row>
    <row r="651" spans="1:5" x14ac:dyDescent="0.2">
      <c r="A651" s="269">
        <v>45875.22550925926</v>
      </c>
      <c r="B651" t="s">
        <v>596</v>
      </c>
      <c r="C651" t="s">
        <v>611</v>
      </c>
      <c r="D651" t="s">
        <v>1043</v>
      </c>
    </row>
    <row r="652" spans="1:5" x14ac:dyDescent="0.2">
      <c r="A652" s="269">
        <v>45875.225613425922</v>
      </c>
      <c r="B652" t="s">
        <v>596</v>
      </c>
      <c r="C652" t="s">
        <v>611</v>
      </c>
      <c r="D652" t="s">
        <v>1044</v>
      </c>
      <c r="E652" t="s">
        <v>94</v>
      </c>
    </row>
    <row r="653" spans="1:5" x14ac:dyDescent="0.2">
      <c r="A653" s="269">
        <v>45875.226006944446</v>
      </c>
      <c r="B653" t="s">
        <v>596</v>
      </c>
      <c r="C653" t="s">
        <v>611</v>
      </c>
      <c r="D653" t="s">
        <v>1045</v>
      </c>
      <c r="E653" t="s">
        <v>1046</v>
      </c>
    </row>
    <row r="654" spans="1:5" x14ac:dyDescent="0.2">
      <c r="A654" s="269">
        <v>45875.226111111115</v>
      </c>
      <c r="B654" t="s">
        <v>596</v>
      </c>
      <c r="C654" t="s">
        <v>611</v>
      </c>
      <c r="D654" t="s">
        <v>1047</v>
      </c>
      <c r="E654" t="s">
        <v>80</v>
      </c>
    </row>
    <row r="655" spans="1:5" x14ac:dyDescent="0.2">
      <c r="A655" s="269">
        <v>45875.226226851853</v>
      </c>
      <c r="B655" t="s">
        <v>596</v>
      </c>
      <c r="C655" t="s">
        <v>611</v>
      </c>
      <c r="D655" t="s">
        <v>1048</v>
      </c>
      <c r="E655" t="s">
        <v>10</v>
      </c>
    </row>
    <row r="656" spans="1:5" x14ac:dyDescent="0.2">
      <c r="A656" s="269">
        <v>45875.226400462961</v>
      </c>
      <c r="B656" t="s">
        <v>596</v>
      </c>
      <c r="C656" t="s">
        <v>611</v>
      </c>
      <c r="D656" t="s">
        <v>1049</v>
      </c>
    </row>
    <row r="657" spans="1:5" x14ac:dyDescent="0.2">
      <c r="A657" s="269">
        <v>45875.226458333331</v>
      </c>
      <c r="B657" t="s">
        <v>596</v>
      </c>
      <c r="C657" t="s">
        <v>611</v>
      </c>
      <c r="D657" t="s">
        <v>1050</v>
      </c>
      <c r="E657">
        <v>10</v>
      </c>
    </row>
    <row r="658" spans="1:5" x14ac:dyDescent="0.2">
      <c r="A658" s="269">
        <v>45875.226712962962</v>
      </c>
      <c r="B658" t="s">
        <v>596</v>
      </c>
      <c r="C658" t="s">
        <v>611</v>
      </c>
      <c r="D658" t="s">
        <v>1051</v>
      </c>
    </row>
    <row r="659" spans="1:5" x14ac:dyDescent="0.2">
      <c r="A659" s="269">
        <v>45875.226759259262</v>
      </c>
      <c r="B659" t="s">
        <v>596</v>
      </c>
      <c r="C659" t="s">
        <v>611</v>
      </c>
      <c r="D659" t="s">
        <v>1052</v>
      </c>
      <c r="E659" t="s">
        <v>98</v>
      </c>
    </row>
    <row r="660" spans="1:5" x14ac:dyDescent="0.2">
      <c r="A660" s="269">
        <v>45875.226909722223</v>
      </c>
      <c r="B660" t="s">
        <v>596</v>
      </c>
      <c r="C660" t="s">
        <v>611</v>
      </c>
      <c r="D660" t="s">
        <v>1053</v>
      </c>
      <c r="E660" t="s">
        <v>1037</v>
      </c>
    </row>
    <row r="661" spans="1:5" x14ac:dyDescent="0.2">
      <c r="A661" s="269">
        <v>45875.226944444446</v>
      </c>
      <c r="B661" t="s">
        <v>596</v>
      </c>
      <c r="C661" t="s">
        <v>611</v>
      </c>
      <c r="D661" t="s">
        <v>1054</v>
      </c>
      <c r="E661">
        <v>12</v>
      </c>
    </row>
    <row r="662" spans="1:5" x14ac:dyDescent="0.2">
      <c r="A662" s="269">
        <v>45875.227002314816</v>
      </c>
      <c r="B662" t="s">
        <v>596</v>
      </c>
      <c r="C662" t="s">
        <v>611</v>
      </c>
      <c r="D662" t="s">
        <v>1055</v>
      </c>
      <c r="E662" t="s">
        <v>80</v>
      </c>
    </row>
    <row r="663" spans="1:5" x14ac:dyDescent="0.2">
      <c r="A663" s="269">
        <v>45875.227083333331</v>
      </c>
      <c r="B663" t="s">
        <v>596</v>
      </c>
      <c r="C663" t="s">
        <v>611</v>
      </c>
      <c r="D663" t="s">
        <v>1047</v>
      </c>
      <c r="E663" t="s">
        <v>66</v>
      </c>
    </row>
    <row r="664" spans="1:5" x14ac:dyDescent="0.2">
      <c r="A664" s="269">
        <v>45875.227094907408</v>
      </c>
      <c r="B664" t="s">
        <v>596</v>
      </c>
      <c r="C664" t="s">
        <v>611</v>
      </c>
      <c r="D664" t="s">
        <v>1047</v>
      </c>
      <c r="E664" t="s">
        <v>80</v>
      </c>
    </row>
    <row r="665" spans="1:5" x14ac:dyDescent="0.2">
      <c r="A665" s="269">
        <v>45875.227129629631</v>
      </c>
      <c r="B665" t="s">
        <v>596</v>
      </c>
      <c r="C665" t="s">
        <v>611</v>
      </c>
      <c r="D665" t="s">
        <v>1047</v>
      </c>
      <c r="E665" t="s">
        <v>66</v>
      </c>
    </row>
    <row r="666" spans="1:5" x14ac:dyDescent="0.2">
      <c r="A666" s="269">
        <v>45875.227152777778</v>
      </c>
      <c r="B666" t="s">
        <v>596</v>
      </c>
      <c r="C666" t="s">
        <v>611</v>
      </c>
      <c r="D666" t="s">
        <v>1055</v>
      </c>
      <c r="E666" t="s">
        <v>66</v>
      </c>
    </row>
    <row r="667" spans="1:5" x14ac:dyDescent="0.2">
      <c r="A667" s="269">
        <v>45875.22760416667</v>
      </c>
      <c r="B667" t="s">
        <v>596</v>
      </c>
      <c r="C667" t="s">
        <v>611</v>
      </c>
      <c r="D667" t="s">
        <v>1056</v>
      </c>
      <c r="E667">
        <v>2</v>
      </c>
    </row>
    <row r="668" spans="1:5" x14ac:dyDescent="0.2">
      <c r="A668" s="269">
        <v>45875.228472222225</v>
      </c>
      <c r="B668" t="s">
        <v>596</v>
      </c>
      <c r="C668" t="s">
        <v>28</v>
      </c>
      <c r="D668" t="s">
        <v>1057</v>
      </c>
    </row>
    <row r="669" spans="1:5" x14ac:dyDescent="0.2">
      <c r="A669" s="269">
        <v>45875.228472222225</v>
      </c>
      <c r="B669" t="s">
        <v>596</v>
      </c>
      <c r="C669" t="s">
        <v>28</v>
      </c>
      <c r="D669" t="s">
        <v>1058</v>
      </c>
      <c r="E669" t="s">
        <v>1059</v>
      </c>
    </row>
    <row r="670" spans="1:5" x14ac:dyDescent="0.2">
      <c r="A670" s="269">
        <v>45875.228518518517</v>
      </c>
      <c r="B670" t="s">
        <v>596</v>
      </c>
      <c r="C670" t="s">
        <v>28</v>
      </c>
      <c r="D670" t="s">
        <v>1060</v>
      </c>
      <c r="E670" t="s">
        <v>367</v>
      </c>
    </row>
    <row r="671" spans="1:5" x14ac:dyDescent="0.2">
      <c r="A671" s="269">
        <v>45875.228541666664</v>
      </c>
      <c r="B671" t="s">
        <v>596</v>
      </c>
      <c r="C671" t="s">
        <v>28</v>
      </c>
      <c r="D671" t="s">
        <v>1061</v>
      </c>
      <c r="E671" t="s">
        <v>317</v>
      </c>
    </row>
    <row r="672" spans="1:5" x14ac:dyDescent="0.2">
      <c r="A672" s="269">
        <v>45875.228634259256</v>
      </c>
      <c r="B672" t="s">
        <v>596</v>
      </c>
      <c r="C672" t="s">
        <v>28</v>
      </c>
      <c r="D672" t="s">
        <v>1062</v>
      </c>
      <c r="E672" t="s">
        <v>283</v>
      </c>
    </row>
    <row r="673" spans="1:5" x14ac:dyDescent="0.2">
      <c r="A673" s="269">
        <v>45875.229027777779</v>
      </c>
      <c r="B673" t="s">
        <v>596</v>
      </c>
      <c r="C673" t="s">
        <v>28</v>
      </c>
      <c r="D673" t="s">
        <v>988</v>
      </c>
      <c r="E673">
        <v>0</v>
      </c>
    </row>
    <row r="674" spans="1:5" x14ac:dyDescent="0.2">
      <c r="A674" s="269">
        <v>45875.229201388887</v>
      </c>
      <c r="B674" t="s">
        <v>596</v>
      </c>
      <c r="C674" t="s">
        <v>28</v>
      </c>
      <c r="D674" t="s">
        <v>987</v>
      </c>
      <c r="E674">
        <v>0</v>
      </c>
    </row>
    <row r="675" spans="1:5" x14ac:dyDescent="0.2">
      <c r="A675" s="269">
        <v>45875.229259259257</v>
      </c>
      <c r="B675" t="s">
        <v>596</v>
      </c>
      <c r="C675" t="s">
        <v>28</v>
      </c>
      <c r="D675" t="s">
        <v>988</v>
      </c>
      <c r="E675">
        <v>0</v>
      </c>
    </row>
    <row r="676" spans="1:5" x14ac:dyDescent="0.2">
      <c r="A676" s="269">
        <v>45875.229305555556</v>
      </c>
      <c r="B676" t="s">
        <v>596</v>
      </c>
      <c r="C676" t="s">
        <v>28</v>
      </c>
      <c r="D676" t="s">
        <v>987</v>
      </c>
      <c r="E676">
        <v>0</v>
      </c>
    </row>
    <row r="677" spans="1:5" x14ac:dyDescent="0.2">
      <c r="A677" s="269">
        <v>45875.229351851849</v>
      </c>
      <c r="B677" t="s">
        <v>596</v>
      </c>
      <c r="C677" t="s">
        <v>28</v>
      </c>
      <c r="D677" t="s">
        <v>1063</v>
      </c>
      <c r="E677">
        <v>0</v>
      </c>
    </row>
    <row r="678" spans="1:5" x14ac:dyDescent="0.2">
      <c r="A678" s="269">
        <v>45875.229421296295</v>
      </c>
      <c r="B678" t="s">
        <v>596</v>
      </c>
      <c r="C678" t="s">
        <v>28</v>
      </c>
      <c r="D678" t="s">
        <v>987</v>
      </c>
      <c r="E678">
        <v>0</v>
      </c>
    </row>
    <row r="679" spans="1:5" x14ac:dyDescent="0.2">
      <c r="A679" s="269">
        <v>45875.229525462964</v>
      </c>
      <c r="B679" t="s">
        <v>596</v>
      </c>
      <c r="C679" t="s">
        <v>28</v>
      </c>
      <c r="D679" t="s">
        <v>1064</v>
      </c>
      <c r="E679">
        <v>0</v>
      </c>
    </row>
    <row r="680" spans="1:5" x14ac:dyDescent="0.2">
      <c r="A680" s="269">
        <v>45875.229629629626</v>
      </c>
      <c r="B680" t="s">
        <v>596</v>
      </c>
      <c r="C680" t="s">
        <v>28</v>
      </c>
      <c r="D680" t="s">
        <v>987</v>
      </c>
      <c r="E680">
        <v>0</v>
      </c>
    </row>
    <row r="681" spans="1:5" x14ac:dyDescent="0.2">
      <c r="A681" s="269">
        <v>45875.229664351849</v>
      </c>
      <c r="B681" t="s">
        <v>596</v>
      </c>
      <c r="C681" t="s">
        <v>28</v>
      </c>
      <c r="D681" t="s">
        <v>1063</v>
      </c>
      <c r="E681">
        <v>0</v>
      </c>
    </row>
    <row r="682" spans="1:5" x14ac:dyDescent="0.2">
      <c r="A682" s="269">
        <v>45875.229768518519</v>
      </c>
      <c r="B682" t="s">
        <v>596</v>
      </c>
      <c r="C682" t="s">
        <v>28</v>
      </c>
      <c r="D682" t="s">
        <v>987</v>
      </c>
      <c r="E682">
        <v>0</v>
      </c>
    </row>
    <row r="683" spans="1:5" x14ac:dyDescent="0.2">
      <c r="A683" s="269">
        <v>45875.229791666665</v>
      </c>
      <c r="B683" t="s">
        <v>596</v>
      </c>
      <c r="C683" t="s">
        <v>28</v>
      </c>
      <c r="D683" t="s">
        <v>1012</v>
      </c>
      <c r="E683">
        <v>0</v>
      </c>
    </row>
    <row r="684" spans="1:5" x14ac:dyDescent="0.2">
      <c r="A684" s="269">
        <v>45875.229837962965</v>
      </c>
      <c r="B684" t="s">
        <v>596</v>
      </c>
      <c r="C684" t="s">
        <v>28</v>
      </c>
      <c r="D684" t="s">
        <v>998</v>
      </c>
      <c r="E684">
        <v>0</v>
      </c>
    </row>
    <row r="685" spans="1:5" x14ac:dyDescent="0.2">
      <c r="A685" s="269">
        <v>45875.229907407411</v>
      </c>
      <c r="B685" t="s">
        <v>596</v>
      </c>
      <c r="C685" t="s">
        <v>28</v>
      </c>
      <c r="D685" t="s">
        <v>998</v>
      </c>
      <c r="E685">
        <v>0</v>
      </c>
    </row>
    <row r="686" spans="1:5" x14ac:dyDescent="0.2">
      <c r="A686" s="269">
        <v>45875.229942129627</v>
      </c>
      <c r="B686" t="s">
        <v>596</v>
      </c>
      <c r="C686" t="s">
        <v>28</v>
      </c>
      <c r="D686" t="s">
        <v>1065</v>
      </c>
      <c r="E686">
        <v>0</v>
      </c>
    </row>
    <row r="687" spans="1:5" x14ac:dyDescent="0.2">
      <c r="A687" s="269">
        <v>45875.230081018519</v>
      </c>
      <c r="B687" t="s">
        <v>596</v>
      </c>
      <c r="C687" t="s">
        <v>28</v>
      </c>
      <c r="D687" t="s">
        <v>1066</v>
      </c>
      <c r="E687" t="s">
        <v>318</v>
      </c>
    </row>
    <row r="688" spans="1:5" x14ac:dyDescent="0.2">
      <c r="A688" s="269">
        <v>45875.230115740742</v>
      </c>
      <c r="B688" t="s">
        <v>596</v>
      </c>
      <c r="C688" t="s">
        <v>28</v>
      </c>
      <c r="D688" t="s">
        <v>1015</v>
      </c>
      <c r="E688" t="s">
        <v>367</v>
      </c>
    </row>
    <row r="689" spans="1:5" x14ac:dyDescent="0.2">
      <c r="A689" s="269">
        <v>45875.230138888888</v>
      </c>
      <c r="B689" t="s">
        <v>596</v>
      </c>
      <c r="C689" t="s">
        <v>28</v>
      </c>
      <c r="D689" t="s">
        <v>1018</v>
      </c>
      <c r="E689" t="s">
        <v>1067</v>
      </c>
    </row>
    <row r="690" spans="1:5" x14ac:dyDescent="0.2">
      <c r="A690" s="269">
        <v>45875.230173611111</v>
      </c>
      <c r="B690" t="s">
        <v>596</v>
      </c>
      <c r="C690" t="s">
        <v>28</v>
      </c>
      <c r="D690" t="s">
        <v>1068</v>
      </c>
      <c r="E690" t="s">
        <v>318</v>
      </c>
    </row>
    <row r="691" spans="1:5" x14ac:dyDescent="0.2">
      <c r="A691" s="269">
        <v>45875.230196759258</v>
      </c>
      <c r="B691" t="s">
        <v>596</v>
      </c>
      <c r="C691" t="s">
        <v>28</v>
      </c>
      <c r="D691" t="s">
        <v>1069</v>
      </c>
      <c r="E691" t="s">
        <v>356</v>
      </c>
    </row>
    <row r="692" spans="1:5" x14ac:dyDescent="0.2">
      <c r="A692" s="269">
        <v>45875.230254629627</v>
      </c>
      <c r="B692" t="s">
        <v>596</v>
      </c>
      <c r="C692" t="s">
        <v>28</v>
      </c>
      <c r="D692" t="s">
        <v>1002</v>
      </c>
      <c r="E692">
        <v>0</v>
      </c>
    </row>
    <row r="693" spans="1:5" x14ac:dyDescent="0.2">
      <c r="A693" s="269">
        <v>45875.23027777778</v>
      </c>
      <c r="B693" t="s">
        <v>596</v>
      </c>
      <c r="C693" t="s">
        <v>28</v>
      </c>
      <c r="D693" t="s">
        <v>1003</v>
      </c>
      <c r="E693">
        <v>0</v>
      </c>
    </row>
    <row r="694" spans="1:5" x14ac:dyDescent="0.2">
      <c r="A694" s="269">
        <v>45875.230347222219</v>
      </c>
      <c r="B694" t="s">
        <v>596</v>
      </c>
      <c r="C694" t="s">
        <v>28</v>
      </c>
      <c r="D694" t="s">
        <v>1070</v>
      </c>
      <c r="E694">
        <v>0</v>
      </c>
    </row>
    <row r="695" spans="1:5" x14ac:dyDescent="0.2">
      <c r="A695" s="269">
        <v>45875.230428240742</v>
      </c>
      <c r="B695" t="s">
        <v>596</v>
      </c>
      <c r="C695" t="s">
        <v>28</v>
      </c>
      <c r="D695" t="s">
        <v>1003</v>
      </c>
      <c r="E695">
        <v>0</v>
      </c>
    </row>
    <row r="696" spans="1:5" x14ac:dyDescent="0.2">
      <c r="A696" s="269">
        <v>45875.230462962965</v>
      </c>
      <c r="B696" t="s">
        <v>596</v>
      </c>
      <c r="C696" t="s">
        <v>28</v>
      </c>
      <c r="D696" t="s">
        <v>1070</v>
      </c>
      <c r="E696">
        <v>0</v>
      </c>
    </row>
    <row r="697" spans="1:5" x14ac:dyDescent="0.2">
      <c r="A697" s="269">
        <v>45875.230497685188</v>
      </c>
      <c r="B697" t="s">
        <v>596</v>
      </c>
      <c r="C697" t="s">
        <v>28</v>
      </c>
      <c r="D697" t="s">
        <v>1002</v>
      </c>
      <c r="E697">
        <v>0</v>
      </c>
    </row>
    <row r="698" spans="1:5" x14ac:dyDescent="0.2">
      <c r="A698" s="269">
        <v>45875.230509259258</v>
      </c>
      <c r="B698" t="s">
        <v>596</v>
      </c>
      <c r="C698" t="s">
        <v>28</v>
      </c>
      <c r="D698" t="s">
        <v>1003</v>
      </c>
      <c r="E698">
        <v>0</v>
      </c>
    </row>
    <row r="699" spans="1:5" x14ac:dyDescent="0.2">
      <c r="A699" s="269">
        <v>45875.230590277781</v>
      </c>
      <c r="B699" t="s">
        <v>596</v>
      </c>
      <c r="C699" t="s">
        <v>28</v>
      </c>
      <c r="D699" t="s">
        <v>1071</v>
      </c>
      <c r="E699">
        <v>0</v>
      </c>
    </row>
    <row r="700" spans="1:5" x14ac:dyDescent="0.2">
      <c r="A700" s="269">
        <v>45875.23065972222</v>
      </c>
      <c r="B700" t="s">
        <v>596</v>
      </c>
      <c r="C700" t="s">
        <v>28</v>
      </c>
      <c r="D700" t="s">
        <v>1002</v>
      </c>
      <c r="E700">
        <v>0</v>
      </c>
    </row>
    <row r="701" spans="1:5" x14ac:dyDescent="0.2">
      <c r="A701" s="269">
        <v>45875.230682870373</v>
      </c>
      <c r="B701" t="s">
        <v>596</v>
      </c>
      <c r="C701" t="s">
        <v>28</v>
      </c>
      <c r="D701" t="s">
        <v>1070</v>
      </c>
      <c r="E701">
        <v>0</v>
      </c>
    </row>
    <row r="702" spans="1:5" x14ac:dyDescent="0.2">
      <c r="A702" s="269">
        <v>45875.230752314812</v>
      </c>
      <c r="B702" t="s">
        <v>596</v>
      </c>
      <c r="C702" t="s">
        <v>28</v>
      </c>
      <c r="D702" t="s">
        <v>1072</v>
      </c>
      <c r="E702">
        <v>1000</v>
      </c>
    </row>
    <row r="703" spans="1:5" x14ac:dyDescent="0.2">
      <c r="A703" s="269">
        <v>45875.230833333335</v>
      </c>
      <c r="B703" t="s">
        <v>596</v>
      </c>
      <c r="C703" t="s">
        <v>28</v>
      </c>
      <c r="D703" t="s">
        <v>1008</v>
      </c>
      <c r="E703">
        <v>0</v>
      </c>
    </row>
    <row r="704" spans="1:5" x14ac:dyDescent="0.2">
      <c r="A704" s="269">
        <v>45875.230868055558</v>
      </c>
      <c r="B704" t="s">
        <v>596</v>
      </c>
      <c r="C704" t="s">
        <v>28</v>
      </c>
      <c r="D704" t="s">
        <v>1073</v>
      </c>
      <c r="E704">
        <v>0</v>
      </c>
    </row>
    <row r="705" spans="1:5" x14ac:dyDescent="0.2">
      <c r="A705" s="269">
        <v>45875.230891203704</v>
      </c>
      <c r="B705" t="s">
        <v>596</v>
      </c>
      <c r="C705" t="s">
        <v>28</v>
      </c>
      <c r="D705" t="s">
        <v>1008</v>
      </c>
      <c r="E705">
        <v>0</v>
      </c>
    </row>
    <row r="706" spans="1:5" x14ac:dyDescent="0.2">
      <c r="A706" s="269">
        <v>45875.230914351851</v>
      </c>
      <c r="B706" t="s">
        <v>596</v>
      </c>
      <c r="C706" t="s">
        <v>28</v>
      </c>
      <c r="D706" t="s">
        <v>1074</v>
      </c>
      <c r="E706">
        <v>0</v>
      </c>
    </row>
    <row r="707" spans="1:5" x14ac:dyDescent="0.2">
      <c r="A707" s="269">
        <v>45875.380208333336</v>
      </c>
      <c r="B707" t="s">
        <v>757</v>
      </c>
      <c r="C707" t="s">
        <v>597</v>
      </c>
      <c r="D707" t="s">
        <v>949</v>
      </c>
      <c r="E707" t="s">
        <v>39</v>
      </c>
    </row>
    <row r="708" spans="1:5" x14ac:dyDescent="0.2">
      <c r="A708" s="269">
        <v>45875.381342592591</v>
      </c>
      <c r="B708" t="s">
        <v>757</v>
      </c>
      <c r="C708" t="s">
        <v>611</v>
      </c>
      <c r="D708" t="s">
        <v>1004</v>
      </c>
      <c r="E708" t="s">
        <v>939</v>
      </c>
    </row>
    <row r="709" spans="1:5" ht="128" x14ac:dyDescent="0.2">
      <c r="A709" s="269">
        <v>45875.381666666668</v>
      </c>
      <c r="B709" t="s">
        <v>757</v>
      </c>
      <c r="C709" t="s">
        <v>611</v>
      </c>
      <c r="D709" t="s">
        <v>944</v>
      </c>
      <c r="E709" s="6" t="s">
        <v>1075</v>
      </c>
    </row>
    <row r="710" spans="1:5" x14ac:dyDescent="0.2">
      <c r="A710" s="269">
        <v>45875.381886574076</v>
      </c>
      <c r="B710" t="s">
        <v>757</v>
      </c>
      <c r="C710" t="s">
        <v>611</v>
      </c>
      <c r="D710" t="s">
        <v>1076</v>
      </c>
    </row>
    <row r="711" spans="1:5" x14ac:dyDescent="0.2">
      <c r="A711" s="269">
        <v>45875.381956018522</v>
      </c>
      <c r="B711" t="s">
        <v>757</v>
      </c>
      <c r="C711" t="s">
        <v>611</v>
      </c>
      <c r="D711" t="s">
        <v>1077</v>
      </c>
      <c r="E711">
        <v>9</v>
      </c>
    </row>
    <row r="712" spans="1:5" x14ac:dyDescent="0.2">
      <c r="A712" s="269">
        <v>45875.383819444447</v>
      </c>
      <c r="B712" t="s">
        <v>757</v>
      </c>
      <c r="C712" t="s">
        <v>15</v>
      </c>
      <c r="D712" t="s">
        <v>1078</v>
      </c>
    </row>
    <row r="713" spans="1:5" x14ac:dyDescent="0.2">
      <c r="A713" s="269">
        <v>45875.387025462966</v>
      </c>
      <c r="B713" t="s">
        <v>757</v>
      </c>
      <c r="C713" t="s">
        <v>15</v>
      </c>
      <c r="D713" t="s">
        <v>1079</v>
      </c>
    </row>
    <row r="714" spans="1:5" x14ac:dyDescent="0.2">
      <c r="A714" s="269">
        <v>45875.387083333335</v>
      </c>
      <c r="B714" t="s">
        <v>757</v>
      </c>
      <c r="C714" t="s">
        <v>15</v>
      </c>
      <c r="D714" t="s">
        <v>924</v>
      </c>
      <c r="E714" t="s">
        <v>352</v>
      </c>
    </row>
    <row r="715" spans="1:5" x14ac:dyDescent="0.2">
      <c r="A715" s="269">
        <v>45875.387106481481</v>
      </c>
      <c r="B715" t="s">
        <v>757</v>
      </c>
      <c r="C715" t="s">
        <v>15</v>
      </c>
      <c r="D715" t="s">
        <v>924</v>
      </c>
      <c r="E715" t="s">
        <v>188</v>
      </c>
    </row>
    <row r="716" spans="1:5" x14ac:dyDescent="0.2">
      <c r="A716" s="269">
        <v>45875.387118055558</v>
      </c>
      <c r="B716" t="s">
        <v>757</v>
      </c>
      <c r="C716" t="s">
        <v>15</v>
      </c>
      <c r="D716" t="s">
        <v>924</v>
      </c>
    </row>
    <row r="717" spans="1:5" x14ac:dyDescent="0.2">
      <c r="A717" s="269">
        <v>45875.38758101852</v>
      </c>
      <c r="B717" t="s">
        <v>757</v>
      </c>
      <c r="C717" t="s">
        <v>28</v>
      </c>
      <c r="D717" t="s">
        <v>810</v>
      </c>
      <c r="E717" t="s">
        <v>281</v>
      </c>
    </row>
    <row r="718" spans="1:5" x14ac:dyDescent="0.2">
      <c r="A718" s="269">
        <v>45875.387708333335</v>
      </c>
      <c r="B718" t="s">
        <v>757</v>
      </c>
      <c r="C718" t="s">
        <v>28</v>
      </c>
      <c r="D718" t="s">
        <v>1080</v>
      </c>
      <c r="E718" t="s">
        <v>1081</v>
      </c>
    </row>
    <row r="719" spans="1:5" x14ac:dyDescent="0.2">
      <c r="A719" s="269">
        <v>45875.388090277775</v>
      </c>
      <c r="B719" t="s">
        <v>757</v>
      </c>
      <c r="C719" t="s">
        <v>611</v>
      </c>
      <c r="D719" t="s">
        <v>840</v>
      </c>
    </row>
    <row r="720" spans="1:5" x14ac:dyDescent="0.2">
      <c r="A720" s="269">
        <v>45875.388657407406</v>
      </c>
      <c r="B720" t="s">
        <v>757</v>
      </c>
      <c r="C720" t="s">
        <v>611</v>
      </c>
      <c r="D720" t="s">
        <v>1082</v>
      </c>
      <c r="E720">
        <v>4</v>
      </c>
    </row>
    <row r="721" spans="1:5" x14ac:dyDescent="0.2">
      <c r="A721" s="269">
        <v>45875.389027777775</v>
      </c>
      <c r="B721" t="s">
        <v>757</v>
      </c>
      <c r="C721" t="s">
        <v>611</v>
      </c>
      <c r="D721" t="s">
        <v>1083</v>
      </c>
      <c r="E721" t="s">
        <v>819</v>
      </c>
    </row>
    <row r="722" spans="1:5" x14ac:dyDescent="0.2">
      <c r="A722" s="269">
        <v>45875.389097222222</v>
      </c>
      <c r="B722" t="s">
        <v>757</v>
      </c>
      <c r="C722" t="s">
        <v>611</v>
      </c>
      <c r="D722" t="s">
        <v>1084</v>
      </c>
      <c r="E722" t="s">
        <v>1059</v>
      </c>
    </row>
    <row r="723" spans="1:5" x14ac:dyDescent="0.2">
      <c r="A723" s="269">
        <v>45875.389351851853</v>
      </c>
      <c r="B723" t="s">
        <v>757</v>
      </c>
      <c r="C723" t="s">
        <v>28</v>
      </c>
      <c r="D723" t="s">
        <v>1085</v>
      </c>
    </row>
    <row r="724" spans="1:5" x14ac:dyDescent="0.2">
      <c r="A724" s="269">
        <v>45875.389351851853</v>
      </c>
      <c r="B724" t="s">
        <v>757</v>
      </c>
      <c r="C724" t="s">
        <v>28</v>
      </c>
      <c r="D724" t="s">
        <v>1086</v>
      </c>
      <c r="E724" t="s">
        <v>173</v>
      </c>
    </row>
    <row r="725" spans="1:5" x14ac:dyDescent="0.2">
      <c r="A725" s="269">
        <v>45875.389560185184</v>
      </c>
      <c r="B725" t="s">
        <v>757</v>
      </c>
      <c r="C725" t="s">
        <v>28</v>
      </c>
      <c r="D725" t="s">
        <v>1087</v>
      </c>
      <c r="E725" t="s">
        <v>282</v>
      </c>
    </row>
    <row r="726" spans="1:5" x14ac:dyDescent="0.2">
      <c r="A726" s="269">
        <v>45875.389722222222</v>
      </c>
      <c r="B726" t="s">
        <v>757</v>
      </c>
      <c r="C726" t="s">
        <v>28</v>
      </c>
      <c r="D726" t="s">
        <v>1088</v>
      </c>
      <c r="E726" t="s">
        <v>282</v>
      </c>
    </row>
    <row r="727" spans="1:5" x14ac:dyDescent="0.2">
      <c r="A727" s="269">
        <v>45875.389791666668</v>
      </c>
      <c r="B727" t="s">
        <v>757</v>
      </c>
      <c r="C727" t="s">
        <v>28</v>
      </c>
      <c r="D727" t="s">
        <v>1089</v>
      </c>
      <c r="E727" t="s">
        <v>1090</v>
      </c>
    </row>
    <row r="728" spans="1:5" x14ac:dyDescent="0.2">
      <c r="A728" s="269">
        <v>45875.38989583333</v>
      </c>
      <c r="B728" t="s">
        <v>757</v>
      </c>
      <c r="C728" t="s">
        <v>611</v>
      </c>
      <c r="D728" t="s">
        <v>1091</v>
      </c>
      <c r="E728" t="s">
        <v>282</v>
      </c>
    </row>
    <row r="729" spans="1:5" x14ac:dyDescent="0.2">
      <c r="A729" s="269">
        <v>45875.390266203707</v>
      </c>
      <c r="B729" t="s">
        <v>757</v>
      </c>
      <c r="C729" t="s">
        <v>611</v>
      </c>
      <c r="D729" t="s">
        <v>1092</v>
      </c>
      <c r="E729" t="s">
        <v>1093</v>
      </c>
    </row>
    <row r="730" spans="1:5" x14ac:dyDescent="0.2">
      <c r="A730" s="269">
        <v>45875.390381944446</v>
      </c>
      <c r="B730" t="s">
        <v>757</v>
      </c>
      <c r="C730" t="s">
        <v>611</v>
      </c>
      <c r="D730" t="s">
        <v>1094</v>
      </c>
      <c r="E730" t="s">
        <v>140</v>
      </c>
    </row>
    <row r="731" spans="1:5" x14ac:dyDescent="0.2">
      <c r="A731" s="269">
        <v>45875.390717592592</v>
      </c>
      <c r="B731" t="s">
        <v>757</v>
      </c>
      <c r="C731" t="s">
        <v>611</v>
      </c>
      <c r="D731" t="s">
        <v>1095</v>
      </c>
    </row>
    <row r="732" spans="1:5" x14ac:dyDescent="0.2">
      <c r="A732" s="269">
        <v>45875.390717592592</v>
      </c>
      <c r="B732" t="s">
        <v>757</v>
      </c>
      <c r="C732" t="s">
        <v>611</v>
      </c>
      <c r="D732" t="s">
        <v>1095</v>
      </c>
    </row>
    <row r="733" spans="1:5" x14ac:dyDescent="0.2">
      <c r="A733" s="269">
        <v>45875.390810185185</v>
      </c>
      <c r="B733" t="s">
        <v>757</v>
      </c>
      <c r="C733" t="s">
        <v>611</v>
      </c>
      <c r="D733" t="s">
        <v>1096</v>
      </c>
    </row>
    <row r="734" spans="1:5" x14ac:dyDescent="0.2">
      <c r="A734" s="269">
        <v>45875.390844907408</v>
      </c>
      <c r="B734" t="s">
        <v>757</v>
      </c>
      <c r="C734" t="s">
        <v>611</v>
      </c>
      <c r="D734" t="s">
        <v>1097</v>
      </c>
      <c r="E734">
        <v>5</v>
      </c>
    </row>
    <row r="735" spans="1:5" x14ac:dyDescent="0.2">
      <c r="A735" s="269">
        <v>45875.3908912037</v>
      </c>
      <c r="B735" t="s">
        <v>757</v>
      </c>
      <c r="C735" t="s">
        <v>611</v>
      </c>
      <c r="D735" t="s">
        <v>1098</v>
      </c>
    </row>
    <row r="736" spans="1:5" x14ac:dyDescent="0.2">
      <c r="A736" s="269">
        <v>45875.391006944446</v>
      </c>
      <c r="B736" t="s">
        <v>757</v>
      </c>
      <c r="C736" t="s">
        <v>611</v>
      </c>
      <c r="D736" t="s">
        <v>1099</v>
      </c>
      <c r="E736" t="s">
        <v>34</v>
      </c>
    </row>
    <row r="737" spans="1:5" x14ac:dyDescent="0.2">
      <c r="A737" s="269">
        <v>45875.391087962962</v>
      </c>
      <c r="B737" t="s">
        <v>757</v>
      </c>
      <c r="C737" t="s">
        <v>611</v>
      </c>
      <c r="D737" t="s">
        <v>1100</v>
      </c>
      <c r="E737" t="s">
        <v>54</v>
      </c>
    </row>
    <row r="738" spans="1:5" x14ac:dyDescent="0.2">
      <c r="A738" s="269">
        <v>45875.391134259262</v>
      </c>
      <c r="B738" t="s">
        <v>757</v>
      </c>
      <c r="C738" t="s">
        <v>611</v>
      </c>
      <c r="D738" t="s">
        <v>1101</v>
      </c>
      <c r="E738" t="s">
        <v>34</v>
      </c>
    </row>
    <row r="739" spans="1:5" x14ac:dyDescent="0.2">
      <c r="A739" s="269">
        <v>45875.391319444447</v>
      </c>
      <c r="B739" t="s">
        <v>757</v>
      </c>
      <c r="C739" t="s">
        <v>611</v>
      </c>
      <c r="D739" t="s">
        <v>1102</v>
      </c>
      <c r="E739" t="s">
        <v>1103</v>
      </c>
    </row>
    <row r="740" spans="1:5" x14ac:dyDescent="0.2">
      <c r="A740" s="269">
        <v>45875.391365740739</v>
      </c>
      <c r="B740" t="s">
        <v>757</v>
      </c>
      <c r="C740" t="s">
        <v>611</v>
      </c>
      <c r="D740" t="s">
        <v>1102</v>
      </c>
      <c r="E740" t="s">
        <v>1104</v>
      </c>
    </row>
    <row r="741" spans="1:5" ht="144" x14ac:dyDescent="0.2">
      <c r="A741" s="269">
        <v>45875.391886574071</v>
      </c>
      <c r="B741" t="s">
        <v>757</v>
      </c>
      <c r="C741" t="s">
        <v>611</v>
      </c>
      <c r="D741" t="s">
        <v>1105</v>
      </c>
      <c r="E741" s="6" t="s">
        <v>1106</v>
      </c>
    </row>
    <row r="742" spans="1:5" ht="48" x14ac:dyDescent="0.2">
      <c r="A742" s="269">
        <v>45875.391921296294</v>
      </c>
      <c r="B742" t="s">
        <v>757</v>
      </c>
      <c r="C742" t="s">
        <v>611</v>
      </c>
      <c r="D742" t="s">
        <v>1105</v>
      </c>
      <c r="E742" s="6" t="s">
        <v>1107</v>
      </c>
    </row>
    <row r="743" spans="1:5" ht="48" x14ac:dyDescent="0.2">
      <c r="A743" s="269">
        <v>45875.391967592594</v>
      </c>
      <c r="B743" t="s">
        <v>757</v>
      </c>
      <c r="C743" t="s">
        <v>611</v>
      </c>
      <c r="D743" t="s">
        <v>1105</v>
      </c>
      <c r="E743" s="6" t="s">
        <v>1108</v>
      </c>
    </row>
    <row r="744" spans="1:5" ht="80" x14ac:dyDescent="0.2">
      <c r="A744" s="269">
        <v>45875.39203703704</v>
      </c>
      <c r="B744" t="s">
        <v>757</v>
      </c>
      <c r="C744" t="s">
        <v>611</v>
      </c>
      <c r="D744" t="s">
        <v>1109</v>
      </c>
      <c r="E744" s="6" t="s">
        <v>1110</v>
      </c>
    </row>
    <row r="745" spans="1:5" ht="80" x14ac:dyDescent="0.2">
      <c r="A745" s="269">
        <v>45875.392129629632</v>
      </c>
      <c r="B745" t="s">
        <v>757</v>
      </c>
      <c r="C745" t="s">
        <v>611</v>
      </c>
      <c r="D745" t="s">
        <v>1109</v>
      </c>
      <c r="E745" s="6" t="s">
        <v>1111</v>
      </c>
    </row>
    <row r="746" spans="1:5" x14ac:dyDescent="0.2">
      <c r="A746" s="269">
        <v>45875.392789351848</v>
      </c>
      <c r="B746" t="s">
        <v>757</v>
      </c>
      <c r="C746" t="s">
        <v>611</v>
      </c>
      <c r="D746" t="s">
        <v>1112</v>
      </c>
      <c r="E746" t="s">
        <v>313</v>
      </c>
    </row>
    <row r="747" spans="1:5" ht="64" x14ac:dyDescent="0.2">
      <c r="A747" s="269">
        <v>45875.392962962964</v>
      </c>
      <c r="B747" t="s">
        <v>757</v>
      </c>
      <c r="C747" t="s">
        <v>611</v>
      </c>
      <c r="D747" t="s">
        <v>1105</v>
      </c>
      <c r="E747" s="6" t="s">
        <v>1113</v>
      </c>
    </row>
    <row r="748" spans="1:5" x14ac:dyDescent="0.2">
      <c r="A748" s="269">
        <v>45875.392997685187</v>
      </c>
      <c r="B748" t="s">
        <v>757</v>
      </c>
      <c r="C748" t="s">
        <v>611</v>
      </c>
      <c r="D748" t="s">
        <v>1114</v>
      </c>
      <c r="E748" t="s">
        <v>1115</v>
      </c>
    </row>
    <row r="749" spans="1:5" ht="64" x14ac:dyDescent="0.2">
      <c r="A749" s="269">
        <v>45875.393009259256</v>
      </c>
      <c r="B749" t="s">
        <v>757</v>
      </c>
      <c r="C749" t="s">
        <v>611</v>
      </c>
      <c r="D749" t="s">
        <v>1105</v>
      </c>
      <c r="E749" s="6" t="s">
        <v>1116</v>
      </c>
    </row>
    <row r="750" spans="1:5" ht="80" x14ac:dyDescent="0.2">
      <c r="A750" s="269">
        <v>45875.393043981479</v>
      </c>
      <c r="B750" t="s">
        <v>757</v>
      </c>
      <c r="C750" t="s">
        <v>611</v>
      </c>
      <c r="D750" t="s">
        <v>1105</v>
      </c>
      <c r="E750" s="6" t="s">
        <v>1117</v>
      </c>
    </row>
    <row r="751" spans="1:5" x14ac:dyDescent="0.2">
      <c r="A751" s="269">
        <v>45875.393078703702</v>
      </c>
      <c r="B751" t="s">
        <v>757</v>
      </c>
      <c r="C751" t="s">
        <v>611</v>
      </c>
      <c r="D751" t="s">
        <v>1118</v>
      </c>
    </row>
    <row r="752" spans="1:5" ht="96" x14ac:dyDescent="0.2">
      <c r="A752" s="269">
        <v>45875.393136574072</v>
      </c>
      <c r="B752" t="s">
        <v>757</v>
      </c>
      <c r="C752" t="s">
        <v>611</v>
      </c>
      <c r="D752" t="s">
        <v>1105</v>
      </c>
      <c r="E752" s="6" t="s">
        <v>1119</v>
      </c>
    </row>
    <row r="753" spans="1:5" x14ac:dyDescent="0.2">
      <c r="A753" s="269">
        <v>45875.393159722225</v>
      </c>
      <c r="B753" t="s">
        <v>757</v>
      </c>
      <c r="C753" t="s">
        <v>611</v>
      </c>
      <c r="D753" t="s">
        <v>1120</v>
      </c>
    </row>
    <row r="754" spans="1:5" ht="96" x14ac:dyDescent="0.2">
      <c r="A754" s="269">
        <v>45875.393333333333</v>
      </c>
      <c r="B754" t="s">
        <v>757</v>
      </c>
      <c r="C754" t="s">
        <v>611</v>
      </c>
      <c r="D754" t="s">
        <v>1105</v>
      </c>
      <c r="E754" s="6" t="s">
        <v>1119</v>
      </c>
    </row>
    <row r="755" spans="1:5" ht="112" x14ac:dyDescent="0.2">
      <c r="A755" s="269">
        <v>45875.393368055556</v>
      </c>
      <c r="B755" t="s">
        <v>757</v>
      </c>
      <c r="C755" t="s">
        <v>611</v>
      </c>
      <c r="D755" t="s">
        <v>1105</v>
      </c>
      <c r="E755" s="6" t="s">
        <v>1121</v>
      </c>
    </row>
    <row r="756" spans="1:5" ht="96" x14ac:dyDescent="0.2">
      <c r="A756" s="269">
        <v>45875.393460648149</v>
      </c>
      <c r="B756" t="s">
        <v>757</v>
      </c>
      <c r="C756" t="s">
        <v>611</v>
      </c>
      <c r="D756" t="s">
        <v>1109</v>
      </c>
      <c r="E756" s="6" t="s">
        <v>1122</v>
      </c>
    </row>
    <row r="757" spans="1:5" x14ac:dyDescent="0.2">
      <c r="A757" s="269">
        <v>45875.393587962964</v>
      </c>
      <c r="B757" t="s">
        <v>757</v>
      </c>
      <c r="C757" t="s">
        <v>611</v>
      </c>
      <c r="D757" t="s">
        <v>1123</v>
      </c>
      <c r="E757" t="s">
        <v>333</v>
      </c>
    </row>
    <row r="758" spans="1:5" ht="112" x14ac:dyDescent="0.2">
      <c r="A758" s="269">
        <v>45875.393726851849</v>
      </c>
      <c r="B758" t="s">
        <v>757</v>
      </c>
      <c r="C758" t="s">
        <v>611</v>
      </c>
      <c r="D758" t="s">
        <v>1109</v>
      </c>
      <c r="E758" s="6" t="s">
        <v>1124</v>
      </c>
    </row>
    <row r="759" spans="1:5" ht="112" x14ac:dyDescent="0.2">
      <c r="A759" s="269">
        <v>45875.393819444442</v>
      </c>
      <c r="B759" t="s">
        <v>757</v>
      </c>
      <c r="C759" t="s">
        <v>611</v>
      </c>
      <c r="D759" t="s">
        <v>1109</v>
      </c>
      <c r="E759" s="6" t="s">
        <v>1125</v>
      </c>
    </row>
    <row r="760" spans="1:5" ht="112" x14ac:dyDescent="0.2">
      <c r="A760" s="269">
        <v>45875.393865740742</v>
      </c>
      <c r="B760" t="s">
        <v>757</v>
      </c>
      <c r="C760" t="s">
        <v>611</v>
      </c>
      <c r="D760" t="s">
        <v>1109</v>
      </c>
      <c r="E760" s="6" t="s">
        <v>1125</v>
      </c>
    </row>
    <row r="761" spans="1:5" x14ac:dyDescent="0.2">
      <c r="A761" s="269">
        <v>45875.393877314818</v>
      </c>
      <c r="B761" t="s">
        <v>757</v>
      </c>
      <c r="C761" t="s">
        <v>611</v>
      </c>
      <c r="D761" t="s">
        <v>1126</v>
      </c>
    </row>
    <row r="762" spans="1:5" x14ac:dyDescent="0.2">
      <c r="A762" s="269">
        <v>45875.394108796296</v>
      </c>
      <c r="B762" t="s">
        <v>757</v>
      </c>
      <c r="C762" t="s">
        <v>611</v>
      </c>
      <c r="D762" t="s">
        <v>1127</v>
      </c>
      <c r="E762" t="s">
        <v>103</v>
      </c>
    </row>
    <row r="763" spans="1:5" x14ac:dyDescent="0.2">
      <c r="A763" s="269">
        <v>45875.394479166665</v>
      </c>
      <c r="B763" t="s">
        <v>757</v>
      </c>
      <c r="C763" t="s">
        <v>27</v>
      </c>
      <c r="D763" t="s">
        <v>727</v>
      </c>
      <c r="E763" t="s">
        <v>939</v>
      </c>
    </row>
    <row r="764" spans="1:5" x14ac:dyDescent="0.2">
      <c r="A764" s="269">
        <v>45875.394791666666</v>
      </c>
      <c r="B764" t="s">
        <v>757</v>
      </c>
      <c r="C764" t="s">
        <v>15</v>
      </c>
      <c r="D764" t="s">
        <v>1079</v>
      </c>
      <c r="E764" t="s">
        <v>362</v>
      </c>
    </row>
    <row r="765" spans="1:5" x14ac:dyDescent="0.2">
      <c r="A765" s="269">
        <v>45875.397152777776</v>
      </c>
      <c r="B765" t="s">
        <v>757</v>
      </c>
      <c r="C765" t="s">
        <v>15</v>
      </c>
      <c r="D765" t="s">
        <v>1128</v>
      </c>
    </row>
    <row r="766" spans="1:5" x14ac:dyDescent="0.2">
      <c r="A766" s="269">
        <v>45875.397268518522</v>
      </c>
      <c r="B766" t="s">
        <v>757</v>
      </c>
      <c r="C766" t="s">
        <v>15</v>
      </c>
      <c r="D766" t="s">
        <v>981</v>
      </c>
    </row>
    <row r="767" spans="1:5" x14ac:dyDescent="0.2">
      <c r="A767" s="269">
        <v>45875.402025462965</v>
      </c>
      <c r="B767" t="s">
        <v>757</v>
      </c>
      <c r="C767" t="s">
        <v>611</v>
      </c>
      <c r="D767" t="s">
        <v>1129</v>
      </c>
      <c r="E767" t="s">
        <v>84</v>
      </c>
    </row>
    <row r="768" spans="1:5" ht="112" x14ac:dyDescent="0.2">
      <c r="A768" s="269">
        <v>45875.402268518519</v>
      </c>
      <c r="B768" t="s">
        <v>757</v>
      </c>
      <c r="C768" t="s">
        <v>611</v>
      </c>
      <c r="D768" t="s">
        <v>1130</v>
      </c>
      <c r="E768" s="6" t="s">
        <v>1131</v>
      </c>
    </row>
    <row r="769" spans="1:5" ht="112" x14ac:dyDescent="0.2">
      <c r="A769" s="269">
        <v>45875.402407407404</v>
      </c>
      <c r="B769" t="s">
        <v>757</v>
      </c>
      <c r="C769" t="s">
        <v>611</v>
      </c>
      <c r="D769" t="s">
        <v>1130</v>
      </c>
      <c r="E769" s="6" t="s">
        <v>1132</v>
      </c>
    </row>
    <row r="770" spans="1:5" x14ac:dyDescent="0.2">
      <c r="A770" s="269">
        <v>45875.402592592596</v>
      </c>
      <c r="B770" t="s">
        <v>757</v>
      </c>
      <c r="C770" t="s">
        <v>15</v>
      </c>
      <c r="D770" t="s">
        <v>777</v>
      </c>
      <c r="E770" t="s">
        <v>84</v>
      </c>
    </row>
    <row r="771" spans="1:5" x14ac:dyDescent="0.2">
      <c r="A771" s="269">
        <v>45875.403402777774</v>
      </c>
      <c r="B771" t="s">
        <v>757</v>
      </c>
      <c r="C771" t="s">
        <v>15</v>
      </c>
      <c r="D771" t="s">
        <v>658</v>
      </c>
      <c r="E771" t="s">
        <v>87</v>
      </c>
    </row>
    <row r="772" spans="1:5" x14ac:dyDescent="0.2">
      <c r="A772" s="269">
        <v>45875.403599537036</v>
      </c>
      <c r="B772" t="s">
        <v>757</v>
      </c>
      <c r="C772" t="s">
        <v>15</v>
      </c>
      <c r="D772" t="s">
        <v>1133</v>
      </c>
      <c r="E772" t="s">
        <v>92</v>
      </c>
    </row>
    <row r="773" spans="1:5" x14ac:dyDescent="0.2">
      <c r="A773" s="269">
        <v>45875.403657407405</v>
      </c>
      <c r="B773" t="s">
        <v>757</v>
      </c>
      <c r="C773" t="s">
        <v>15</v>
      </c>
      <c r="D773" t="s">
        <v>658</v>
      </c>
      <c r="E773" t="s">
        <v>185</v>
      </c>
    </row>
    <row r="774" spans="1:5" x14ac:dyDescent="0.2">
      <c r="A774" s="269">
        <v>45875.403749999998</v>
      </c>
      <c r="B774" t="s">
        <v>757</v>
      </c>
      <c r="C774" t="s">
        <v>15</v>
      </c>
      <c r="D774" t="s">
        <v>1134</v>
      </c>
      <c r="E774" t="s">
        <v>96</v>
      </c>
    </row>
    <row r="775" spans="1:5" x14ac:dyDescent="0.2">
      <c r="A775" s="269">
        <v>45875.403865740744</v>
      </c>
      <c r="B775" t="s">
        <v>757</v>
      </c>
      <c r="C775" t="s">
        <v>611</v>
      </c>
      <c r="D775" t="s">
        <v>1029</v>
      </c>
      <c r="E775" t="s">
        <v>92</v>
      </c>
    </row>
    <row r="776" spans="1:5" x14ac:dyDescent="0.2">
      <c r="A776" s="269">
        <v>45875.458935185183</v>
      </c>
      <c r="B776" t="s">
        <v>596</v>
      </c>
      <c r="C776" t="s">
        <v>597</v>
      </c>
      <c r="D776" t="s">
        <v>949</v>
      </c>
      <c r="E776" t="s">
        <v>39</v>
      </c>
    </row>
    <row r="777" spans="1:5" x14ac:dyDescent="0.2">
      <c r="A777" s="269">
        <v>45875.459247685183</v>
      </c>
      <c r="B777" t="s">
        <v>596</v>
      </c>
      <c r="C777" t="s">
        <v>2</v>
      </c>
      <c r="D777" t="s">
        <v>1135</v>
      </c>
      <c r="E777" t="s">
        <v>1136</v>
      </c>
    </row>
    <row r="778" spans="1:5" x14ac:dyDescent="0.2">
      <c r="A778" s="269">
        <v>45875.459444444445</v>
      </c>
      <c r="B778" t="s">
        <v>596</v>
      </c>
      <c r="C778" t="s">
        <v>2</v>
      </c>
      <c r="D778" t="s">
        <v>1137</v>
      </c>
      <c r="E778" t="e">
        <v>#REF!</v>
      </c>
    </row>
    <row r="779" spans="1:5" x14ac:dyDescent="0.2">
      <c r="A779" s="269">
        <v>45875.45988425926</v>
      </c>
      <c r="B779" t="s">
        <v>596</v>
      </c>
      <c r="C779" t="s">
        <v>2</v>
      </c>
      <c r="D779" t="s">
        <v>1137</v>
      </c>
      <c r="E779" t="s">
        <v>1136</v>
      </c>
    </row>
    <row r="780" spans="1:5" x14ac:dyDescent="0.2">
      <c r="A780" s="269">
        <v>45875.45994212963</v>
      </c>
      <c r="B780" t="s">
        <v>596</v>
      </c>
      <c r="C780" t="s">
        <v>2</v>
      </c>
      <c r="D780" t="s">
        <v>1138</v>
      </c>
      <c r="E780" t="s">
        <v>1136</v>
      </c>
    </row>
    <row r="781" spans="1:5" x14ac:dyDescent="0.2">
      <c r="A781" s="269">
        <v>45875.460046296299</v>
      </c>
      <c r="B781" t="s">
        <v>596</v>
      </c>
      <c r="C781" t="s">
        <v>28</v>
      </c>
      <c r="D781" t="s">
        <v>1139</v>
      </c>
      <c r="E781" t="s">
        <v>317</v>
      </c>
    </row>
    <row r="782" spans="1:5" x14ac:dyDescent="0.2">
      <c r="A782" s="269">
        <v>45875.460115740738</v>
      </c>
      <c r="B782" t="s">
        <v>596</v>
      </c>
      <c r="C782" t="s">
        <v>28</v>
      </c>
      <c r="D782" t="s">
        <v>1140</v>
      </c>
    </row>
    <row r="783" spans="1:5" x14ac:dyDescent="0.2">
      <c r="A783" s="269">
        <v>45875.460115740738</v>
      </c>
      <c r="B783" t="s">
        <v>596</v>
      </c>
      <c r="C783" t="s">
        <v>28</v>
      </c>
      <c r="D783" t="s">
        <v>1141</v>
      </c>
      <c r="E783" t="s">
        <v>38</v>
      </c>
    </row>
    <row r="784" spans="1:5" x14ac:dyDescent="0.2">
      <c r="A784" s="269">
        <v>45875.460127314815</v>
      </c>
      <c r="B784" t="s">
        <v>596</v>
      </c>
      <c r="C784" t="s">
        <v>28</v>
      </c>
      <c r="D784" t="s">
        <v>1142</v>
      </c>
      <c r="E784" t="s">
        <v>317</v>
      </c>
    </row>
    <row r="785" spans="1:5" x14ac:dyDescent="0.2">
      <c r="A785" s="269">
        <v>45875.460138888891</v>
      </c>
      <c r="B785" t="s">
        <v>596</v>
      </c>
      <c r="C785" t="s">
        <v>28</v>
      </c>
      <c r="D785" t="s">
        <v>1143</v>
      </c>
      <c r="E785" t="s">
        <v>283</v>
      </c>
    </row>
    <row r="786" spans="1:5" x14ac:dyDescent="0.2">
      <c r="A786" s="269">
        <v>45875.460428240738</v>
      </c>
      <c r="B786" t="s">
        <v>596</v>
      </c>
      <c r="C786" t="s">
        <v>28</v>
      </c>
      <c r="D786" t="s">
        <v>1144</v>
      </c>
      <c r="E786">
        <v>0</v>
      </c>
    </row>
    <row r="787" spans="1:5" x14ac:dyDescent="0.2">
      <c r="A787" s="269">
        <v>45875.460474537038</v>
      </c>
      <c r="B787" t="s">
        <v>596</v>
      </c>
      <c r="C787" t="s">
        <v>28</v>
      </c>
      <c r="D787" t="s">
        <v>1145</v>
      </c>
      <c r="E787">
        <v>0</v>
      </c>
    </row>
    <row r="788" spans="1:5" x14ac:dyDescent="0.2">
      <c r="A788" s="269">
        <v>45875.460543981484</v>
      </c>
      <c r="B788" t="s">
        <v>596</v>
      </c>
      <c r="C788" t="s">
        <v>28</v>
      </c>
      <c r="D788" t="s">
        <v>1146</v>
      </c>
      <c r="E788">
        <v>0</v>
      </c>
    </row>
    <row r="789" spans="1:5" x14ac:dyDescent="0.2">
      <c r="A789" s="269">
        <v>45875.460578703707</v>
      </c>
      <c r="B789" t="s">
        <v>596</v>
      </c>
      <c r="C789" t="s">
        <v>28</v>
      </c>
      <c r="D789" t="s">
        <v>1147</v>
      </c>
      <c r="E789">
        <v>0</v>
      </c>
    </row>
    <row r="790" spans="1:5" x14ac:dyDescent="0.2">
      <c r="A790" s="269">
        <v>45875.460601851853</v>
      </c>
      <c r="B790" t="s">
        <v>596</v>
      </c>
      <c r="C790" t="s">
        <v>28</v>
      </c>
      <c r="D790" t="s">
        <v>1148</v>
      </c>
      <c r="E790">
        <v>0</v>
      </c>
    </row>
    <row r="791" spans="1:5" x14ac:dyDescent="0.2">
      <c r="A791" s="269">
        <v>45875.460752314815</v>
      </c>
      <c r="B791" t="s">
        <v>596</v>
      </c>
      <c r="C791" t="s">
        <v>28</v>
      </c>
      <c r="D791" t="s">
        <v>1149</v>
      </c>
      <c r="E791">
        <v>0</v>
      </c>
    </row>
    <row r="792" spans="1:5" x14ac:dyDescent="0.2">
      <c r="A792" s="269">
        <v>45875.460810185185</v>
      </c>
      <c r="B792" t="s">
        <v>596</v>
      </c>
      <c r="C792" t="s">
        <v>28</v>
      </c>
      <c r="D792" t="s">
        <v>1144</v>
      </c>
      <c r="E792">
        <v>0</v>
      </c>
    </row>
    <row r="793" spans="1:5" x14ac:dyDescent="0.2">
      <c r="A793" s="269">
        <v>45875.460844907408</v>
      </c>
      <c r="B793" t="s">
        <v>596</v>
      </c>
      <c r="C793" t="s">
        <v>28</v>
      </c>
      <c r="D793" t="s">
        <v>1147</v>
      </c>
      <c r="E793">
        <v>0</v>
      </c>
    </row>
    <row r="794" spans="1:5" x14ac:dyDescent="0.2">
      <c r="A794" s="269">
        <v>45875.461006944446</v>
      </c>
      <c r="B794" t="s">
        <v>596</v>
      </c>
      <c r="C794" t="s">
        <v>28</v>
      </c>
      <c r="D794" t="s">
        <v>1146</v>
      </c>
      <c r="E794">
        <v>0</v>
      </c>
    </row>
    <row r="795" spans="1:5" x14ac:dyDescent="0.2">
      <c r="A795" s="269">
        <v>45875.461030092592</v>
      </c>
      <c r="B795" t="s">
        <v>596</v>
      </c>
      <c r="C795" t="s">
        <v>28</v>
      </c>
      <c r="D795" t="s">
        <v>1150</v>
      </c>
      <c r="E795">
        <v>0</v>
      </c>
    </row>
    <row r="796" spans="1:5" x14ac:dyDescent="0.2">
      <c r="A796" s="269">
        <v>45875.461076388892</v>
      </c>
      <c r="B796" t="s">
        <v>596</v>
      </c>
      <c r="C796" t="s">
        <v>28</v>
      </c>
      <c r="D796" t="s">
        <v>1151</v>
      </c>
      <c r="E796">
        <v>0</v>
      </c>
    </row>
    <row r="797" spans="1:5" x14ac:dyDescent="0.2">
      <c r="A797" s="269">
        <v>45875.461122685185</v>
      </c>
      <c r="B797" t="s">
        <v>596</v>
      </c>
      <c r="C797" t="s">
        <v>28</v>
      </c>
      <c r="D797" t="s">
        <v>1146</v>
      </c>
      <c r="E797">
        <v>0</v>
      </c>
    </row>
    <row r="798" spans="1:5" x14ac:dyDescent="0.2">
      <c r="A798" s="269">
        <v>45875.461157407408</v>
      </c>
      <c r="B798" t="s">
        <v>596</v>
      </c>
      <c r="C798" t="s">
        <v>28</v>
      </c>
      <c r="D798" t="s">
        <v>1152</v>
      </c>
      <c r="E798">
        <v>0</v>
      </c>
    </row>
    <row r="799" spans="1:5" x14ac:dyDescent="0.2">
      <c r="A799" s="269">
        <v>45875.461180555554</v>
      </c>
      <c r="B799" t="s">
        <v>596</v>
      </c>
      <c r="C799" t="s">
        <v>28</v>
      </c>
      <c r="D799" t="s">
        <v>1153</v>
      </c>
      <c r="E799">
        <v>0</v>
      </c>
    </row>
    <row r="800" spans="1:5" x14ac:dyDescent="0.2">
      <c r="A800" s="269">
        <v>45875.4612037037</v>
      </c>
      <c r="B800" t="s">
        <v>596</v>
      </c>
      <c r="C800" t="s">
        <v>28</v>
      </c>
      <c r="D800" t="s">
        <v>1154</v>
      </c>
      <c r="E800">
        <v>0</v>
      </c>
    </row>
    <row r="801" spans="1:5" x14ac:dyDescent="0.2">
      <c r="A801" s="269">
        <v>45875.461273148147</v>
      </c>
      <c r="B801" t="s">
        <v>596</v>
      </c>
      <c r="C801" t="s">
        <v>28</v>
      </c>
      <c r="D801" t="s">
        <v>1155</v>
      </c>
      <c r="E801">
        <v>0</v>
      </c>
    </row>
    <row r="802" spans="1:5" x14ac:dyDescent="0.2">
      <c r="A802" s="269">
        <v>45875.461342592593</v>
      </c>
      <c r="B802" t="s">
        <v>596</v>
      </c>
      <c r="C802" t="s">
        <v>28</v>
      </c>
      <c r="D802" t="s">
        <v>1156</v>
      </c>
      <c r="E802">
        <v>500</v>
      </c>
    </row>
    <row r="803" spans="1:5" x14ac:dyDescent="0.2">
      <c r="A803" s="269">
        <v>45875.461377314816</v>
      </c>
      <c r="B803" t="s">
        <v>596</v>
      </c>
      <c r="C803" t="s">
        <v>28</v>
      </c>
      <c r="D803" t="s">
        <v>1157</v>
      </c>
      <c r="E803">
        <v>0</v>
      </c>
    </row>
    <row r="804" spans="1:5" x14ac:dyDescent="0.2">
      <c r="A804" s="269">
        <v>45875.461400462962</v>
      </c>
      <c r="B804" t="s">
        <v>596</v>
      </c>
      <c r="C804" t="s">
        <v>28</v>
      </c>
      <c r="D804" t="s">
        <v>1158</v>
      </c>
      <c r="E804">
        <v>500</v>
      </c>
    </row>
    <row r="805" spans="1:5" x14ac:dyDescent="0.2">
      <c r="A805" s="269">
        <v>45875.461446759262</v>
      </c>
      <c r="B805" t="s">
        <v>596</v>
      </c>
      <c r="C805" t="s">
        <v>28</v>
      </c>
      <c r="D805" t="s">
        <v>1159</v>
      </c>
      <c r="E805">
        <v>0</v>
      </c>
    </row>
    <row r="806" spans="1:5" x14ac:dyDescent="0.2">
      <c r="A806" s="269">
        <v>45875.461469907408</v>
      </c>
      <c r="B806" t="s">
        <v>596</v>
      </c>
      <c r="C806" t="s">
        <v>28</v>
      </c>
      <c r="D806" t="s">
        <v>1160</v>
      </c>
      <c r="E806">
        <v>0</v>
      </c>
    </row>
    <row r="807" spans="1:5" x14ac:dyDescent="0.2">
      <c r="A807" s="269">
        <v>45875.461493055554</v>
      </c>
      <c r="B807" t="s">
        <v>596</v>
      </c>
      <c r="C807" t="s">
        <v>28</v>
      </c>
      <c r="D807" t="s">
        <v>1161</v>
      </c>
      <c r="E807">
        <v>0</v>
      </c>
    </row>
    <row r="808" spans="1:5" x14ac:dyDescent="0.2">
      <c r="A808" s="269">
        <v>45875.461539351854</v>
      </c>
      <c r="B808" t="s">
        <v>596</v>
      </c>
      <c r="C808" t="s">
        <v>28</v>
      </c>
      <c r="D808" t="s">
        <v>1162</v>
      </c>
      <c r="E808">
        <v>0</v>
      </c>
    </row>
    <row r="809" spans="1:5" x14ac:dyDescent="0.2">
      <c r="A809" s="269">
        <v>45875.461574074077</v>
      </c>
      <c r="B809" t="s">
        <v>596</v>
      </c>
      <c r="C809" t="s">
        <v>28</v>
      </c>
      <c r="D809" t="s">
        <v>1163</v>
      </c>
      <c r="E809">
        <v>0</v>
      </c>
    </row>
    <row r="810" spans="1:5" x14ac:dyDescent="0.2">
      <c r="A810" s="269">
        <v>45875.461585648147</v>
      </c>
      <c r="B810" t="s">
        <v>596</v>
      </c>
      <c r="C810" t="s">
        <v>28</v>
      </c>
      <c r="D810" t="s">
        <v>1164</v>
      </c>
      <c r="E810">
        <v>0</v>
      </c>
    </row>
    <row r="811" spans="1:5" x14ac:dyDescent="0.2">
      <c r="A811" s="269">
        <v>45875.46162037037</v>
      </c>
      <c r="B811" t="s">
        <v>596</v>
      </c>
      <c r="C811" t="s">
        <v>28</v>
      </c>
      <c r="D811" t="s">
        <v>944</v>
      </c>
      <c r="E811">
        <v>0</v>
      </c>
    </row>
    <row r="812" spans="1:5" x14ac:dyDescent="0.2">
      <c r="A812" s="269">
        <v>45875.461655092593</v>
      </c>
      <c r="B812" t="s">
        <v>596</v>
      </c>
      <c r="C812" t="s">
        <v>28</v>
      </c>
      <c r="D812" t="s">
        <v>1165</v>
      </c>
      <c r="E812">
        <v>0</v>
      </c>
    </row>
    <row r="813" spans="1:5" x14ac:dyDescent="0.2">
      <c r="A813" s="269">
        <v>45875.461724537039</v>
      </c>
      <c r="B813" t="s">
        <v>596</v>
      </c>
      <c r="C813" t="s">
        <v>28</v>
      </c>
      <c r="D813" t="s">
        <v>1166</v>
      </c>
    </row>
    <row r="814" spans="1:5" x14ac:dyDescent="0.2">
      <c r="A814" s="269">
        <v>45875.461770833332</v>
      </c>
      <c r="B814" t="s">
        <v>596</v>
      </c>
      <c r="C814" t="s">
        <v>28</v>
      </c>
      <c r="D814" t="s">
        <v>1167</v>
      </c>
    </row>
    <row r="815" spans="1:5" x14ac:dyDescent="0.2">
      <c r="A815" s="269">
        <v>45876.40185185185</v>
      </c>
      <c r="B815" t="s">
        <v>596</v>
      </c>
      <c r="C815" t="s">
        <v>597</v>
      </c>
      <c r="D815" t="s">
        <v>949</v>
      </c>
      <c r="E815" t="s">
        <v>39</v>
      </c>
    </row>
    <row r="816" spans="1:5" x14ac:dyDescent="0.2">
      <c r="A816" s="269">
        <v>45876.414918981478</v>
      </c>
      <c r="B816" t="s">
        <v>596</v>
      </c>
      <c r="C816" t="s">
        <v>145</v>
      </c>
      <c r="D816" t="s">
        <v>1168</v>
      </c>
    </row>
    <row r="817" spans="1:5" x14ac:dyDescent="0.2">
      <c r="A817" s="269">
        <v>45876.414976851855</v>
      </c>
      <c r="B817" t="s">
        <v>596</v>
      </c>
      <c r="C817" t="s">
        <v>145</v>
      </c>
      <c r="D817" t="s">
        <v>1169</v>
      </c>
    </row>
    <row r="818" spans="1:5" x14ac:dyDescent="0.2">
      <c r="A818" s="269">
        <v>45882.470520833333</v>
      </c>
      <c r="B818" t="s">
        <v>757</v>
      </c>
      <c r="C818" t="s">
        <v>634</v>
      </c>
      <c r="D818" t="s">
        <v>865</v>
      </c>
      <c r="E818" t="s">
        <v>387</v>
      </c>
    </row>
    <row r="819" spans="1:5" x14ac:dyDescent="0.2">
      <c r="A819" s="269">
        <v>45882.470659722225</v>
      </c>
      <c r="B819" t="s">
        <v>757</v>
      </c>
      <c r="C819" t="s">
        <v>634</v>
      </c>
      <c r="D819" t="s">
        <v>1170</v>
      </c>
      <c r="E819" t="s">
        <v>1171</v>
      </c>
    </row>
    <row r="820" spans="1:5" x14ac:dyDescent="0.2">
      <c r="A820" s="269">
        <v>45882.470694444448</v>
      </c>
      <c r="B820" t="s">
        <v>757</v>
      </c>
      <c r="C820" t="s">
        <v>634</v>
      </c>
      <c r="D820" t="s">
        <v>1172</v>
      </c>
      <c r="E820" t="s">
        <v>1173</v>
      </c>
    </row>
    <row r="821" spans="1:5" x14ac:dyDescent="0.2">
      <c r="A821" s="269">
        <v>45882.47074074074</v>
      </c>
      <c r="B821" t="s">
        <v>757</v>
      </c>
      <c r="C821" t="s">
        <v>634</v>
      </c>
      <c r="D821" t="s">
        <v>860</v>
      </c>
      <c r="E821" t="s">
        <v>374</v>
      </c>
    </row>
    <row r="822" spans="1:5" x14ac:dyDescent="0.2">
      <c r="A822" s="269">
        <v>45882.470775462964</v>
      </c>
      <c r="B822" t="s">
        <v>757</v>
      </c>
      <c r="C822" t="s">
        <v>634</v>
      </c>
      <c r="D822" t="s">
        <v>856</v>
      </c>
      <c r="E822" t="s">
        <v>354</v>
      </c>
    </row>
    <row r="823" spans="1:5" x14ac:dyDescent="0.2">
      <c r="A823" s="269">
        <v>45882.652337962965</v>
      </c>
      <c r="B823" t="s">
        <v>757</v>
      </c>
      <c r="C823" t="s">
        <v>611</v>
      </c>
      <c r="D823" t="s">
        <v>763</v>
      </c>
    </row>
    <row r="824" spans="1:5" x14ac:dyDescent="0.2">
      <c r="A824" s="269">
        <v>45882.652337962965</v>
      </c>
      <c r="B824" t="s">
        <v>757</v>
      </c>
      <c r="C824" t="s">
        <v>611</v>
      </c>
      <c r="D824" t="s">
        <v>836</v>
      </c>
      <c r="E824" t="s">
        <v>38</v>
      </c>
    </row>
    <row r="825" spans="1:5" x14ac:dyDescent="0.2">
      <c r="A825" s="269">
        <v>45882.654074074075</v>
      </c>
      <c r="B825" t="s">
        <v>757</v>
      </c>
      <c r="C825" t="s">
        <v>611</v>
      </c>
      <c r="D825" t="s">
        <v>836</v>
      </c>
      <c r="E825" t="s">
        <v>42</v>
      </c>
    </row>
    <row r="826" spans="1:5" x14ac:dyDescent="0.2">
      <c r="A826" s="269">
        <v>45882.654074074075</v>
      </c>
      <c r="B826" t="s">
        <v>757</v>
      </c>
      <c r="C826" t="s">
        <v>611</v>
      </c>
      <c r="D826" t="s">
        <v>1174</v>
      </c>
      <c r="E826" t="s">
        <v>38</v>
      </c>
    </row>
    <row r="827" spans="1:5" x14ac:dyDescent="0.2">
      <c r="A827" s="269">
        <v>45882.654108796298</v>
      </c>
      <c r="B827" t="s">
        <v>757</v>
      </c>
      <c r="C827" t="s">
        <v>611</v>
      </c>
      <c r="D827" t="s">
        <v>1174</v>
      </c>
      <c r="E827" t="s">
        <v>46</v>
      </c>
    </row>
    <row r="828" spans="1:5" x14ac:dyDescent="0.2">
      <c r="A828" s="269">
        <v>45882.654108796298</v>
      </c>
      <c r="B828" t="s">
        <v>757</v>
      </c>
      <c r="C828" t="s">
        <v>611</v>
      </c>
      <c r="D828" t="s">
        <v>763</v>
      </c>
      <c r="E828" t="s">
        <v>38</v>
      </c>
    </row>
    <row r="829" spans="1:5" x14ac:dyDescent="0.2">
      <c r="A829" s="269">
        <v>45882.654293981483</v>
      </c>
      <c r="B829" t="s">
        <v>757</v>
      </c>
      <c r="C829" t="s">
        <v>611</v>
      </c>
      <c r="D829" t="s">
        <v>1175</v>
      </c>
    </row>
    <row r="830" spans="1:5" x14ac:dyDescent="0.2">
      <c r="A830" s="269">
        <v>45882.654293981483</v>
      </c>
      <c r="B830" t="s">
        <v>757</v>
      </c>
      <c r="C830" t="s">
        <v>611</v>
      </c>
      <c r="D830" t="s">
        <v>1176</v>
      </c>
      <c r="E830" t="s">
        <v>26</v>
      </c>
    </row>
    <row r="831" spans="1:5" x14ac:dyDescent="0.2">
      <c r="A831" s="269">
        <v>45882.654351851852</v>
      </c>
      <c r="B831" t="s">
        <v>757</v>
      </c>
      <c r="C831" t="s">
        <v>611</v>
      </c>
      <c r="D831" t="s">
        <v>1177</v>
      </c>
    </row>
    <row r="832" spans="1:5" x14ac:dyDescent="0.2">
      <c r="A832" s="269">
        <v>45882.654351851852</v>
      </c>
      <c r="B832" t="s">
        <v>757</v>
      </c>
      <c r="C832" t="s">
        <v>611</v>
      </c>
      <c r="D832" t="s">
        <v>836</v>
      </c>
      <c r="E832" t="s">
        <v>38</v>
      </c>
    </row>
    <row r="833" spans="1:5" x14ac:dyDescent="0.2">
      <c r="A833" s="269">
        <v>45882.654467592591</v>
      </c>
      <c r="B833" t="s">
        <v>757</v>
      </c>
      <c r="C833" t="s">
        <v>611</v>
      </c>
      <c r="D833" t="s">
        <v>1178</v>
      </c>
      <c r="E833" t="s">
        <v>25</v>
      </c>
    </row>
    <row r="834" spans="1:5" x14ac:dyDescent="0.2">
      <c r="A834" s="269">
        <v>45882.654502314814</v>
      </c>
      <c r="B834" t="s">
        <v>757</v>
      </c>
      <c r="C834" t="s">
        <v>611</v>
      </c>
      <c r="D834" t="s">
        <v>1178</v>
      </c>
      <c r="E834" t="s">
        <v>25</v>
      </c>
    </row>
    <row r="835" spans="1:5" x14ac:dyDescent="0.2">
      <c r="A835" s="269">
        <v>45882.658842592595</v>
      </c>
      <c r="B835" t="s">
        <v>757</v>
      </c>
      <c r="C835" t="s">
        <v>611</v>
      </c>
      <c r="D835" t="s">
        <v>1179</v>
      </c>
      <c r="E835" t="s">
        <v>1180</v>
      </c>
    </row>
    <row r="836" spans="1:5" x14ac:dyDescent="0.2">
      <c r="A836" s="269">
        <v>45882.660798611112</v>
      </c>
      <c r="B836" t="s">
        <v>757</v>
      </c>
      <c r="C836" t="s">
        <v>634</v>
      </c>
      <c r="D836" t="s">
        <v>1170</v>
      </c>
      <c r="E836" t="s">
        <v>1181</v>
      </c>
    </row>
    <row r="837" spans="1:5" x14ac:dyDescent="0.2">
      <c r="A837" s="269">
        <v>45882.660844907405</v>
      </c>
      <c r="B837" t="s">
        <v>757</v>
      </c>
      <c r="C837" t="s">
        <v>634</v>
      </c>
      <c r="D837" t="s">
        <v>1172</v>
      </c>
      <c r="E837" t="s">
        <v>1182</v>
      </c>
    </row>
    <row r="838" spans="1:5" ht="160" x14ac:dyDescent="0.2">
      <c r="A838" s="269">
        <v>45882.662280092591</v>
      </c>
      <c r="B838" t="s">
        <v>757</v>
      </c>
      <c r="C838" t="s">
        <v>611</v>
      </c>
      <c r="D838" t="s">
        <v>1183</v>
      </c>
      <c r="E838" s="6" t="s">
        <v>1184</v>
      </c>
    </row>
    <row r="839" spans="1:5" ht="160" x14ac:dyDescent="0.2">
      <c r="A839" s="269">
        <v>45882.663437499999</v>
      </c>
      <c r="B839" t="s">
        <v>757</v>
      </c>
      <c r="C839" t="s">
        <v>611</v>
      </c>
      <c r="D839" t="s">
        <v>1183</v>
      </c>
      <c r="E839" s="6" t="s">
        <v>1185</v>
      </c>
    </row>
    <row r="840" spans="1:5" ht="176" x14ac:dyDescent="0.2">
      <c r="A840" s="269">
        <v>45882.663634259261</v>
      </c>
      <c r="B840" t="s">
        <v>757</v>
      </c>
      <c r="C840" t="s">
        <v>611</v>
      </c>
      <c r="D840" t="s">
        <v>1183</v>
      </c>
      <c r="E840" s="6" t="s">
        <v>1186</v>
      </c>
    </row>
    <row r="841" spans="1:5" ht="176" x14ac:dyDescent="0.2">
      <c r="A841" s="269">
        <v>45882.663738425923</v>
      </c>
      <c r="B841" t="s">
        <v>757</v>
      </c>
      <c r="C841" t="s">
        <v>611</v>
      </c>
      <c r="D841" t="s">
        <v>1183</v>
      </c>
      <c r="E841" s="6" t="s">
        <v>1187</v>
      </c>
    </row>
    <row r="842" spans="1:5" x14ac:dyDescent="0.2">
      <c r="A842" s="269">
        <v>45882.665416666663</v>
      </c>
      <c r="B842" t="s">
        <v>757</v>
      </c>
      <c r="C842" t="s">
        <v>611</v>
      </c>
      <c r="D842" t="s">
        <v>1179</v>
      </c>
      <c r="E842" t="s">
        <v>1188</v>
      </c>
    </row>
    <row r="843" spans="1:5" x14ac:dyDescent="0.2">
      <c r="A843" s="269">
        <v>45882.665509259263</v>
      </c>
      <c r="B843" t="s">
        <v>757</v>
      </c>
      <c r="C843" t="s">
        <v>611</v>
      </c>
      <c r="D843" t="s">
        <v>1179</v>
      </c>
      <c r="E843" t="s">
        <v>48</v>
      </c>
    </row>
    <row r="844" spans="1:5" x14ac:dyDescent="0.2">
      <c r="A844" s="269">
        <v>45883.497835648152</v>
      </c>
      <c r="B844" t="s">
        <v>757</v>
      </c>
      <c r="C844" t="s">
        <v>611</v>
      </c>
      <c r="D844" t="s">
        <v>1100</v>
      </c>
      <c r="E844" t="s">
        <v>142</v>
      </c>
    </row>
    <row r="845" spans="1:5" ht="176" x14ac:dyDescent="0.2">
      <c r="A845" s="269">
        <v>45883.558935185189</v>
      </c>
      <c r="B845" t="s">
        <v>757</v>
      </c>
      <c r="C845" t="s">
        <v>611</v>
      </c>
      <c r="D845" t="s">
        <v>1183</v>
      </c>
      <c r="E845" s="6" t="s">
        <v>1189</v>
      </c>
    </row>
    <row r="846" spans="1:5" x14ac:dyDescent="0.2">
      <c r="A846" s="269">
        <v>45883.595173611109</v>
      </c>
      <c r="B846" t="s">
        <v>757</v>
      </c>
      <c r="C846" t="s">
        <v>597</v>
      </c>
      <c r="D846" t="s">
        <v>1190</v>
      </c>
      <c r="E846" t="s">
        <v>39</v>
      </c>
    </row>
    <row r="847" spans="1:5" x14ac:dyDescent="0.2">
      <c r="A847" s="269">
        <v>45883.604722222219</v>
      </c>
      <c r="B847" t="s">
        <v>757</v>
      </c>
      <c r="C847" t="s">
        <v>26</v>
      </c>
      <c r="D847" t="s">
        <v>1191</v>
      </c>
      <c r="E847" t="s">
        <v>89</v>
      </c>
    </row>
    <row r="848" spans="1:5" x14ac:dyDescent="0.2">
      <c r="A848" s="269">
        <v>45883.604756944442</v>
      </c>
      <c r="B848" t="s">
        <v>757</v>
      </c>
      <c r="C848" t="s">
        <v>26</v>
      </c>
      <c r="D848" t="s">
        <v>1191</v>
      </c>
      <c r="E848" t="s">
        <v>338</v>
      </c>
    </row>
    <row r="849" spans="1:5" x14ac:dyDescent="0.2">
      <c r="A849" s="269">
        <v>45883.604861111111</v>
      </c>
      <c r="B849" t="s">
        <v>757</v>
      </c>
      <c r="C849" t="s">
        <v>26</v>
      </c>
      <c r="D849" t="s">
        <v>973</v>
      </c>
      <c r="E849">
        <v>1</v>
      </c>
    </row>
    <row r="850" spans="1:5" x14ac:dyDescent="0.2">
      <c r="A850" s="269">
        <v>45883.604895833334</v>
      </c>
      <c r="B850" t="s">
        <v>757</v>
      </c>
      <c r="C850" t="s">
        <v>26</v>
      </c>
      <c r="D850" t="s">
        <v>1191</v>
      </c>
    </row>
    <row r="851" spans="1:5" x14ac:dyDescent="0.2">
      <c r="A851" s="269">
        <v>45883.605902777781</v>
      </c>
      <c r="B851" t="s">
        <v>757</v>
      </c>
      <c r="C851" t="s">
        <v>611</v>
      </c>
      <c r="D851" t="s">
        <v>1192</v>
      </c>
      <c r="E851" t="s">
        <v>107</v>
      </c>
    </row>
    <row r="852" spans="1:5" x14ac:dyDescent="0.2">
      <c r="A852" s="269">
        <v>45883.606249999997</v>
      </c>
      <c r="B852" t="s">
        <v>757</v>
      </c>
      <c r="C852" t="s">
        <v>611</v>
      </c>
      <c r="D852" t="s">
        <v>1192</v>
      </c>
      <c r="E852" t="s">
        <v>107</v>
      </c>
    </row>
    <row r="853" spans="1:5" x14ac:dyDescent="0.2">
      <c r="A853" s="269">
        <v>45883.606296296297</v>
      </c>
      <c r="B853" t="s">
        <v>757</v>
      </c>
      <c r="C853" t="s">
        <v>611</v>
      </c>
      <c r="D853" t="s">
        <v>1193</v>
      </c>
      <c r="E853" t="s">
        <v>126</v>
      </c>
    </row>
    <row r="854" spans="1:5" x14ac:dyDescent="0.2">
      <c r="A854" s="269">
        <v>45883.60633101852</v>
      </c>
      <c r="B854" t="s">
        <v>757</v>
      </c>
      <c r="C854" t="s">
        <v>611</v>
      </c>
      <c r="D854" t="s">
        <v>931</v>
      </c>
      <c r="E854" t="s">
        <v>130</v>
      </c>
    </row>
    <row r="855" spans="1:5" x14ac:dyDescent="0.2">
      <c r="A855" s="269">
        <v>45883.61273148148</v>
      </c>
      <c r="B855" t="s">
        <v>757</v>
      </c>
      <c r="C855" t="s">
        <v>634</v>
      </c>
      <c r="D855" t="s">
        <v>1194</v>
      </c>
      <c r="E855" t="s">
        <v>383</v>
      </c>
    </row>
    <row r="856" spans="1:5" ht="224" x14ac:dyDescent="0.2">
      <c r="A856" s="269">
        <v>45883.612870370373</v>
      </c>
      <c r="B856" t="s">
        <v>757</v>
      </c>
      <c r="C856" t="s">
        <v>611</v>
      </c>
      <c r="D856" t="s">
        <v>1195</v>
      </c>
      <c r="E856" s="6" t="s">
        <v>1196</v>
      </c>
    </row>
    <row r="857" spans="1:5" ht="224" x14ac:dyDescent="0.2">
      <c r="A857" s="269">
        <v>45883.612939814811</v>
      </c>
      <c r="B857" t="s">
        <v>757</v>
      </c>
      <c r="C857" t="s">
        <v>611</v>
      </c>
      <c r="D857" t="s">
        <v>1195</v>
      </c>
      <c r="E857" s="6" t="s">
        <v>1196</v>
      </c>
    </row>
    <row r="858" spans="1:5" x14ac:dyDescent="0.2">
      <c r="A858" s="269">
        <v>45883.62159722222</v>
      </c>
      <c r="B858" t="s">
        <v>757</v>
      </c>
      <c r="C858" t="s">
        <v>2</v>
      </c>
      <c r="D858" t="s">
        <v>1197</v>
      </c>
    </row>
    <row r="859" spans="1:5" x14ac:dyDescent="0.2">
      <c r="A859" s="269">
        <v>45883.62159722222</v>
      </c>
      <c r="B859" t="s">
        <v>757</v>
      </c>
      <c r="C859" t="s">
        <v>2</v>
      </c>
      <c r="D859" t="s">
        <v>1197</v>
      </c>
    </row>
    <row r="860" spans="1:5" x14ac:dyDescent="0.2">
      <c r="A860" s="269">
        <v>45883.621631944443</v>
      </c>
      <c r="B860" t="s">
        <v>757</v>
      </c>
      <c r="C860" t="s">
        <v>2</v>
      </c>
      <c r="D860" t="s">
        <v>618</v>
      </c>
    </row>
    <row r="861" spans="1:5" x14ac:dyDescent="0.2">
      <c r="A861" s="269">
        <v>45883.621655092589</v>
      </c>
      <c r="B861" t="s">
        <v>757</v>
      </c>
      <c r="C861" t="s">
        <v>2</v>
      </c>
      <c r="D861" t="s">
        <v>618</v>
      </c>
    </row>
    <row r="862" spans="1:5" x14ac:dyDescent="0.2">
      <c r="A862" s="269">
        <v>45883.621655092589</v>
      </c>
      <c r="B862" t="s">
        <v>757</v>
      </c>
      <c r="C862" t="s">
        <v>2</v>
      </c>
      <c r="D862" t="s">
        <v>1197</v>
      </c>
    </row>
    <row r="863" spans="1:5" x14ac:dyDescent="0.2">
      <c r="A863" s="269">
        <v>45883.621689814812</v>
      </c>
      <c r="B863" t="s">
        <v>757</v>
      </c>
      <c r="C863" t="s">
        <v>2</v>
      </c>
      <c r="D863" t="s">
        <v>1198</v>
      </c>
    </row>
    <row r="864" spans="1:5" x14ac:dyDescent="0.2">
      <c r="A864" s="269">
        <v>45883.621736111112</v>
      </c>
      <c r="B864" t="s">
        <v>757</v>
      </c>
      <c r="C864" t="s">
        <v>2</v>
      </c>
      <c r="D864" t="s">
        <v>1198</v>
      </c>
    </row>
    <row r="865" spans="1:5" x14ac:dyDescent="0.2">
      <c r="A865" s="269">
        <v>45883.621805555558</v>
      </c>
      <c r="B865" t="s">
        <v>757</v>
      </c>
      <c r="C865" t="s">
        <v>2</v>
      </c>
      <c r="D865" t="s">
        <v>1199</v>
      </c>
    </row>
    <row r="866" spans="1:5" x14ac:dyDescent="0.2">
      <c r="A866" s="269">
        <v>45883.621805555558</v>
      </c>
      <c r="B866" t="s">
        <v>757</v>
      </c>
      <c r="C866" t="s">
        <v>2</v>
      </c>
      <c r="D866" t="s">
        <v>1199</v>
      </c>
    </row>
    <row r="867" spans="1:5" x14ac:dyDescent="0.2">
      <c r="A867" s="269">
        <v>45883.621851851851</v>
      </c>
      <c r="B867" t="s">
        <v>757</v>
      </c>
      <c r="C867" t="s">
        <v>2</v>
      </c>
      <c r="D867" t="s">
        <v>785</v>
      </c>
    </row>
    <row r="868" spans="1:5" x14ac:dyDescent="0.2">
      <c r="A868" s="269">
        <v>45883.622025462966</v>
      </c>
      <c r="B868" t="s">
        <v>757</v>
      </c>
      <c r="C868" t="s">
        <v>2</v>
      </c>
      <c r="D868" t="s">
        <v>1200</v>
      </c>
      <c r="E868" t="s">
        <v>163</v>
      </c>
    </row>
    <row r="869" spans="1:5" x14ac:dyDescent="0.2">
      <c r="A869" s="269">
        <v>45883.622824074075</v>
      </c>
      <c r="B869" t="s">
        <v>757</v>
      </c>
      <c r="C869" t="s">
        <v>2</v>
      </c>
      <c r="D869" t="s">
        <v>1201</v>
      </c>
      <c r="E869" t="s">
        <v>115</v>
      </c>
    </row>
    <row r="870" spans="1:5" x14ac:dyDescent="0.2">
      <c r="A870" s="269">
        <v>45883.623171296298</v>
      </c>
      <c r="B870" t="s">
        <v>757</v>
      </c>
      <c r="C870" t="s">
        <v>2</v>
      </c>
      <c r="D870" t="s">
        <v>1202</v>
      </c>
      <c r="E870" t="s">
        <v>208</v>
      </c>
    </row>
    <row r="871" spans="1:5" x14ac:dyDescent="0.2">
      <c r="A871" s="269">
        <v>45883.623263888891</v>
      </c>
      <c r="B871" t="s">
        <v>757</v>
      </c>
      <c r="C871" t="s">
        <v>2</v>
      </c>
      <c r="D871" t="s">
        <v>1203</v>
      </c>
      <c r="E871" t="s">
        <v>207</v>
      </c>
    </row>
    <row r="872" spans="1:5" x14ac:dyDescent="0.2">
      <c r="A872" s="269">
        <v>45883.623437499999</v>
      </c>
      <c r="B872" t="s">
        <v>757</v>
      </c>
      <c r="C872" t="s">
        <v>25</v>
      </c>
      <c r="D872" t="s">
        <v>1194</v>
      </c>
      <c r="E872" t="s">
        <v>213</v>
      </c>
    </row>
    <row r="873" spans="1:5" x14ac:dyDescent="0.2">
      <c r="A873" s="269">
        <v>45883.623645833337</v>
      </c>
      <c r="B873" t="s">
        <v>757</v>
      </c>
      <c r="C873" t="s">
        <v>25</v>
      </c>
      <c r="D873" t="s">
        <v>1178</v>
      </c>
      <c r="E873" t="s">
        <v>214</v>
      </c>
    </row>
    <row r="874" spans="1:5" x14ac:dyDescent="0.2">
      <c r="A874" s="269">
        <v>45883.624016203707</v>
      </c>
      <c r="B874" t="s">
        <v>757</v>
      </c>
      <c r="C874" t="s">
        <v>2</v>
      </c>
      <c r="D874" t="s">
        <v>1204</v>
      </c>
      <c r="E874" t="s">
        <v>51</v>
      </c>
    </row>
    <row r="875" spans="1:5" x14ac:dyDescent="0.2">
      <c r="A875" s="269">
        <v>45883.624305555553</v>
      </c>
      <c r="B875" t="s">
        <v>757</v>
      </c>
      <c r="C875" t="s">
        <v>2</v>
      </c>
      <c r="D875" t="s">
        <v>1205</v>
      </c>
      <c r="E875">
        <v>1000</v>
      </c>
    </row>
    <row r="876" spans="1:5" x14ac:dyDescent="0.2">
      <c r="A876" s="269">
        <v>45883.624652777777</v>
      </c>
      <c r="B876" t="s">
        <v>757</v>
      </c>
      <c r="C876" t="s">
        <v>2</v>
      </c>
      <c r="D876" t="s">
        <v>1201</v>
      </c>
      <c r="E876" t="s">
        <v>213</v>
      </c>
    </row>
    <row r="877" spans="1:5" x14ac:dyDescent="0.2">
      <c r="A877" s="269">
        <v>45883.624918981484</v>
      </c>
      <c r="B877" t="s">
        <v>757</v>
      </c>
      <c r="C877" t="s">
        <v>2</v>
      </c>
      <c r="D877" t="s">
        <v>1206</v>
      </c>
    </row>
    <row r="878" spans="1:5" x14ac:dyDescent="0.2">
      <c r="A878" s="269">
        <v>45883.625081018516</v>
      </c>
      <c r="B878" t="s">
        <v>757</v>
      </c>
      <c r="C878" t="s">
        <v>2</v>
      </c>
      <c r="D878" t="s">
        <v>1207</v>
      </c>
      <c r="E878" t="s">
        <v>156</v>
      </c>
    </row>
    <row r="879" spans="1:5" x14ac:dyDescent="0.2">
      <c r="A879" s="269">
        <v>45883.625787037039</v>
      </c>
      <c r="B879" t="s">
        <v>757</v>
      </c>
      <c r="C879" t="s">
        <v>2</v>
      </c>
      <c r="D879" t="s">
        <v>1208</v>
      </c>
      <c r="E879" t="s">
        <v>1136</v>
      </c>
    </row>
    <row r="880" spans="1:5" x14ac:dyDescent="0.2">
      <c r="A880" s="269">
        <v>45883.625856481478</v>
      </c>
      <c r="B880" t="s">
        <v>757</v>
      </c>
      <c r="C880" t="s">
        <v>2</v>
      </c>
      <c r="D880" t="s">
        <v>1209</v>
      </c>
      <c r="E880" t="s">
        <v>1136</v>
      </c>
    </row>
    <row r="881" spans="1:5" x14ac:dyDescent="0.2">
      <c r="A881" s="269">
        <v>45883.626145833332</v>
      </c>
      <c r="B881" t="s">
        <v>757</v>
      </c>
      <c r="C881" t="s">
        <v>2</v>
      </c>
      <c r="D881" t="s">
        <v>1210</v>
      </c>
      <c r="E881" t="s">
        <v>317</v>
      </c>
    </row>
    <row r="882" spans="1:5" x14ac:dyDescent="0.2">
      <c r="A882" s="269">
        <v>45883.626168981478</v>
      </c>
      <c r="B882" t="s">
        <v>757</v>
      </c>
      <c r="C882" t="s">
        <v>2</v>
      </c>
      <c r="D882" t="s">
        <v>1211</v>
      </c>
      <c r="E882" t="s">
        <v>383</v>
      </c>
    </row>
    <row r="883" spans="1:5" x14ac:dyDescent="0.2">
      <c r="A883" s="269">
        <v>45883.626608796294</v>
      </c>
      <c r="B883" t="s">
        <v>757</v>
      </c>
      <c r="C883" t="s">
        <v>611</v>
      </c>
      <c r="D883" t="s">
        <v>1212</v>
      </c>
      <c r="E883" t="s">
        <v>1213</v>
      </c>
    </row>
    <row r="884" spans="1:5" x14ac:dyDescent="0.2">
      <c r="A884" s="269">
        <v>45883.626655092594</v>
      </c>
      <c r="B884" t="s">
        <v>757</v>
      </c>
      <c r="C884" t="s">
        <v>611</v>
      </c>
      <c r="D884" t="s">
        <v>1212</v>
      </c>
      <c r="E884" t="s">
        <v>114</v>
      </c>
    </row>
    <row r="885" spans="1:5" x14ac:dyDescent="0.2">
      <c r="A885" s="269">
        <v>45883.674768518518</v>
      </c>
      <c r="B885" t="s">
        <v>596</v>
      </c>
      <c r="C885" t="s">
        <v>103</v>
      </c>
      <c r="D885" t="s">
        <v>1214</v>
      </c>
    </row>
    <row r="886" spans="1:5" x14ac:dyDescent="0.2">
      <c r="A886" s="269">
        <v>45883.674803240741</v>
      </c>
      <c r="B886" t="s">
        <v>596</v>
      </c>
      <c r="C886" t="s">
        <v>103</v>
      </c>
      <c r="D886" t="s">
        <v>1214</v>
      </c>
    </row>
    <row r="887" spans="1:5" x14ac:dyDescent="0.2">
      <c r="A887" s="269">
        <v>45883.674803240741</v>
      </c>
      <c r="B887" t="s">
        <v>596</v>
      </c>
      <c r="C887" t="s">
        <v>103</v>
      </c>
      <c r="D887" t="s">
        <v>1215</v>
      </c>
    </row>
    <row r="888" spans="1:5" x14ac:dyDescent="0.2">
      <c r="A888" s="269">
        <v>45883.675081018519</v>
      </c>
      <c r="B888" t="s">
        <v>596</v>
      </c>
      <c r="C888" t="s">
        <v>103</v>
      </c>
      <c r="D888" t="s">
        <v>1216</v>
      </c>
    </row>
    <row r="889" spans="1:5" x14ac:dyDescent="0.2">
      <c r="A889" s="269">
        <v>45883.675185185188</v>
      </c>
      <c r="B889" t="s">
        <v>596</v>
      </c>
      <c r="C889" t="s">
        <v>103</v>
      </c>
      <c r="D889" t="s">
        <v>1217</v>
      </c>
    </row>
    <row r="890" spans="1:5" x14ac:dyDescent="0.2">
      <c r="A890" s="269">
        <v>45883.675254629627</v>
      </c>
      <c r="B890" t="s">
        <v>596</v>
      </c>
      <c r="C890" t="s">
        <v>103</v>
      </c>
      <c r="D890" t="s">
        <v>1214</v>
      </c>
    </row>
    <row r="891" spans="1:5" x14ac:dyDescent="0.2">
      <c r="A891" s="269">
        <v>45883.676053240742</v>
      </c>
      <c r="B891" t="s">
        <v>596</v>
      </c>
      <c r="C891" t="s">
        <v>58</v>
      </c>
      <c r="D891" t="s">
        <v>936</v>
      </c>
    </row>
    <row r="892" spans="1:5" x14ac:dyDescent="0.2">
      <c r="A892" s="269">
        <v>45883.679444444446</v>
      </c>
      <c r="B892" t="s">
        <v>596</v>
      </c>
      <c r="C892" t="s">
        <v>25</v>
      </c>
      <c r="D892" t="s">
        <v>1218</v>
      </c>
    </row>
    <row r="893" spans="1:5" x14ac:dyDescent="0.2">
      <c r="A893" s="269">
        <v>45883.679537037038</v>
      </c>
      <c r="B893" t="s">
        <v>596</v>
      </c>
      <c r="C893" t="s">
        <v>25</v>
      </c>
      <c r="D893" t="s">
        <v>1219</v>
      </c>
    </row>
    <row r="894" spans="1:5" x14ac:dyDescent="0.2">
      <c r="A894" s="269">
        <v>45883.682129629633</v>
      </c>
      <c r="B894" t="s">
        <v>596</v>
      </c>
      <c r="C894" t="s">
        <v>28</v>
      </c>
      <c r="D894" t="s">
        <v>936</v>
      </c>
    </row>
    <row r="895" spans="1:5" x14ac:dyDescent="0.2">
      <c r="A895" s="269">
        <v>45883.682500000003</v>
      </c>
      <c r="B895" t="s">
        <v>596</v>
      </c>
      <c r="C895" t="s">
        <v>28</v>
      </c>
      <c r="D895" t="s">
        <v>936</v>
      </c>
    </row>
    <row r="896" spans="1:5" x14ac:dyDescent="0.2">
      <c r="A896" s="269">
        <v>45883.682557870372</v>
      </c>
      <c r="B896" t="s">
        <v>596</v>
      </c>
      <c r="C896" t="s">
        <v>28</v>
      </c>
      <c r="D896" t="s">
        <v>1220</v>
      </c>
    </row>
    <row r="897" spans="1:5" x14ac:dyDescent="0.2">
      <c r="A897" s="269">
        <v>45883.682638888888</v>
      </c>
      <c r="B897" t="s">
        <v>596</v>
      </c>
      <c r="C897" t="s">
        <v>28</v>
      </c>
      <c r="D897" t="s">
        <v>1221</v>
      </c>
    </row>
    <row r="898" spans="1:5" x14ac:dyDescent="0.2">
      <c r="A898" s="269">
        <v>45887.74</v>
      </c>
      <c r="B898" t="s">
        <v>592</v>
      </c>
      <c r="C898" t="s">
        <v>28</v>
      </c>
      <c r="D898" t="s">
        <v>777</v>
      </c>
      <c r="E898" t="s">
        <v>140</v>
      </c>
    </row>
    <row r="899" spans="1:5" x14ac:dyDescent="0.2">
      <c r="A899" s="269">
        <v>45887.740023148152</v>
      </c>
      <c r="B899" t="s">
        <v>592</v>
      </c>
      <c r="C899" t="s">
        <v>28</v>
      </c>
      <c r="D899" t="s">
        <v>777</v>
      </c>
      <c r="E899" t="s">
        <v>140</v>
      </c>
    </row>
    <row r="900" spans="1:5" x14ac:dyDescent="0.2">
      <c r="A900" s="269">
        <v>45887.740034722221</v>
      </c>
      <c r="B900" t="s">
        <v>592</v>
      </c>
      <c r="C900" t="s">
        <v>28</v>
      </c>
      <c r="D900" t="s">
        <v>777</v>
      </c>
      <c r="E900" t="s">
        <v>140</v>
      </c>
    </row>
    <row r="901" spans="1:5" x14ac:dyDescent="0.2">
      <c r="A901" s="269">
        <v>45887.740046296298</v>
      </c>
      <c r="B901" t="s">
        <v>592</v>
      </c>
      <c r="C901" t="s">
        <v>28</v>
      </c>
      <c r="D901" t="s">
        <v>777</v>
      </c>
      <c r="E901" t="s">
        <v>140</v>
      </c>
    </row>
    <row r="902" spans="1:5" x14ac:dyDescent="0.2">
      <c r="A902" s="269">
        <v>45887.740069444444</v>
      </c>
      <c r="B902" t="s">
        <v>592</v>
      </c>
      <c r="C902" t="s">
        <v>28</v>
      </c>
      <c r="D902" t="s">
        <v>777</v>
      </c>
      <c r="E902" t="s">
        <v>140</v>
      </c>
    </row>
    <row r="903" spans="1:5" x14ac:dyDescent="0.2">
      <c r="A903" s="269">
        <v>45887.740185185183</v>
      </c>
      <c r="B903" t="s">
        <v>592</v>
      </c>
      <c r="C903" t="s">
        <v>28</v>
      </c>
      <c r="D903" t="s">
        <v>1194</v>
      </c>
      <c r="E903" t="s">
        <v>134</v>
      </c>
    </row>
    <row r="904" spans="1:5" x14ac:dyDescent="0.2">
      <c r="A904" s="269">
        <v>45887.740763888891</v>
      </c>
      <c r="B904" t="s">
        <v>592</v>
      </c>
      <c r="C904" t="s">
        <v>28</v>
      </c>
      <c r="D904" t="s">
        <v>800</v>
      </c>
      <c r="E904" t="s">
        <v>176</v>
      </c>
    </row>
    <row r="905" spans="1:5" x14ac:dyDescent="0.2">
      <c r="A905" s="269">
        <v>45887.740763888891</v>
      </c>
      <c r="B905" t="s">
        <v>592</v>
      </c>
      <c r="C905" t="s">
        <v>28</v>
      </c>
      <c r="D905" t="s">
        <v>762</v>
      </c>
      <c r="E905" t="s">
        <v>38</v>
      </c>
    </row>
    <row r="906" spans="1:5" x14ac:dyDescent="0.2">
      <c r="A906" s="269">
        <v>45887.740856481483</v>
      </c>
      <c r="B906" t="s">
        <v>592</v>
      </c>
      <c r="C906" t="s">
        <v>28</v>
      </c>
      <c r="D906" t="s">
        <v>1222</v>
      </c>
      <c r="E906" t="s">
        <v>172</v>
      </c>
    </row>
    <row r="907" spans="1:5" x14ac:dyDescent="0.2">
      <c r="A907" s="269">
        <v>45887.74114583333</v>
      </c>
      <c r="B907" t="s">
        <v>592</v>
      </c>
      <c r="C907" t="s">
        <v>2</v>
      </c>
      <c r="D907" t="s">
        <v>1223</v>
      </c>
    </row>
    <row r="908" spans="1:5" x14ac:dyDescent="0.2">
      <c r="A908" s="269">
        <v>45887.742974537039</v>
      </c>
      <c r="B908" t="s">
        <v>592</v>
      </c>
      <c r="C908" t="s">
        <v>2</v>
      </c>
      <c r="D908" t="s">
        <v>1137</v>
      </c>
    </row>
    <row r="909" spans="1:5" x14ac:dyDescent="0.2">
      <c r="A909" s="269">
        <v>45887.743032407408</v>
      </c>
      <c r="B909" t="s">
        <v>592</v>
      </c>
      <c r="C909" t="s">
        <v>2</v>
      </c>
      <c r="D909" t="s">
        <v>1138</v>
      </c>
    </row>
    <row r="910" spans="1:5" ht="144" x14ac:dyDescent="0.2">
      <c r="A910" s="269">
        <v>45887.743611111109</v>
      </c>
      <c r="B910" t="s">
        <v>592</v>
      </c>
      <c r="C910" t="s">
        <v>611</v>
      </c>
      <c r="D910" t="s">
        <v>1224</v>
      </c>
      <c r="E910" s="6" t="s">
        <v>1225</v>
      </c>
    </row>
    <row r="911" spans="1:5" x14ac:dyDescent="0.2">
      <c r="A911" s="269">
        <v>45887.753923611112</v>
      </c>
      <c r="B911" t="s">
        <v>592</v>
      </c>
      <c r="C911" t="s">
        <v>26</v>
      </c>
      <c r="D911" t="s">
        <v>1226</v>
      </c>
      <c r="E911" t="s">
        <v>216</v>
      </c>
    </row>
    <row r="912" spans="1:5" x14ac:dyDescent="0.2">
      <c r="A912" s="269">
        <v>45887.754027777781</v>
      </c>
      <c r="B912" t="s">
        <v>592</v>
      </c>
      <c r="C912" t="s">
        <v>26</v>
      </c>
      <c r="D912" t="s">
        <v>1227</v>
      </c>
      <c r="E912" t="s">
        <v>217</v>
      </c>
    </row>
    <row r="913" spans="1:5" x14ac:dyDescent="0.2">
      <c r="A913" s="269">
        <v>45887.754548611112</v>
      </c>
      <c r="B913" t="s">
        <v>592</v>
      </c>
      <c r="C913" t="s">
        <v>25</v>
      </c>
      <c r="D913" t="s">
        <v>1226</v>
      </c>
      <c r="E913" t="s">
        <v>1228</v>
      </c>
    </row>
    <row r="914" spans="1:5" x14ac:dyDescent="0.2">
      <c r="A914" s="269">
        <v>45887.754571759258</v>
      </c>
      <c r="B914" t="s">
        <v>592</v>
      </c>
      <c r="C914" t="s">
        <v>25</v>
      </c>
      <c r="D914" t="s">
        <v>1226</v>
      </c>
      <c r="E914" t="s">
        <v>210</v>
      </c>
    </row>
    <row r="915" spans="1:5" ht="32" x14ac:dyDescent="0.2">
      <c r="A915" s="269">
        <v>45887.755104166667</v>
      </c>
      <c r="B915" t="s">
        <v>592</v>
      </c>
      <c r="C915" t="s">
        <v>2</v>
      </c>
      <c r="D915" t="s">
        <v>1229</v>
      </c>
      <c r="E915" s="6" t="s">
        <v>166</v>
      </c>
    </row>
    <row r="916" spans="1:5" x14ac:dyDescent="0.2">
      <c r="A916" s="269">
        <v>45901.39402777778</v>
      </c>
      <c r="B916" t="s">
        <v>592</v>
      </c>
      <c r="C916" t="s">
        <v>597</v>
      </c>
      <c r="D916" t="s">
        <v>1230</v>
      </c>
      <c r="E916" t="s">
        <v>39</v>
      </c>
    </row>
    <row r="917" spans="1:5" x14ac:dyDescent="0.2">
      <c r="A917" s="269">
        <v>45901.394560185188</v>
      </c>
      <c r="B917" t="s">
        <v>592</v>
      </c>
      <c r="C917" t="s">
        <v>597</v>
      </c>
      <c r="D917" t="s">
        <v>1230</v>
      </c>
      <c r="E917" t="s">
        <v>39</v>
      </c>
    </row>
    <row r="918" spans="1:5" x14ac:dyDescent="0.2">
      <c r="A918" s="269">
        <v>45901.396724537037</v>
      </c>
      <c r="B918" t="s">
        <v>592</v>
      </c>
      <c r="C918" t="s">
        <v>597</v>
      </c>
      <c r="D918" t="s">
        <v>1230</v>
      </c>
      <c r="E918" t="s">
        <v>39</v>
      </c>
    </row>
    <row r="919" spans="1:5" x14ac:dyDescent="0.2">
      <c r="A919" s="269">
        <v>45901.596331018518</v>
      </c>
      <c r="B919" t="s">
        <v>596</v>
      </c>
      <c r="C919" t="s">
        <v>597</v>
      </c>
      <c r="D919" t="s">
        <v>1230</v>
      </c>
      <c r="E919" t="s">
        <v>39</v>
      </c>
    </row>
    <row r="920" spans="1:5" x14ac:dyDescent="0.2">
      <c r="A920" s="269">
        <v>45901.666747685187</v>
      </c>
      <c r="B920" t="s">
        <v>596</v>
      </c>
      <c r="C920" t="s">
        <v>597</v>
      </c>
      <c r="D920" t="s">
        <v>1230</v>
      </c>
      <c r="E920" t="s">
        <v>39</v>
      </c>
    </row>
    <row r="921" spans="1:5" x14ac:dyDescent="0.2">
      <c r="A921" s="269">
        <v>45901.666967592595</v>
      </c>
      <c r="B921" t="s">
        <v>596</v>
      </c>
      <c r="C921" t="s">
        <v>611</v>
      </c>
      <c r="D921" t="s">
        <v>1429</v>
      </c>
      <c r="E921" t="s">
        <v>2</v>
      </c>
    </row>
    <row r="922" spans="1:5" x14ac:dyDescent="0.2">
      <c r="A922" s="269">
        <v>45901.666990740741</v>
      </c>
      <c r="B922" t="s">
        <v>596</v>
      </c>
      <c r="C922" t="s">
        <v>611</v>
      </c>
      <c r="D922" t="s">
        <v>1429</v>
      </c>
      <c r="E922" t="s">
        <v>2</v>
      </c>
    </row>
    <row r="923" spans="1:5" x14ac:dyDescent="0.2">
      <c r="A923" s="269">
        <v>45901.667071759257</v>
      </c>
      <c r="B923" t="s">
        <v>596</v>
      </c>
      <c r="C923" t="s">
        <v>611</v>
      </c>
      <c r="D923" t="s">
        <v>1429</v>
      </c>
      <c r="E923" t="s">
        <v>2</v>
      </c>
    </row>
    <row r="924" spans="1:5" x14ac:dyDescent="0.2">
      <c r="A924" s="269">
        <v>45901.667118055557</v>
      </c>
      <c r="B924" t="s">
        <v>596</v>
      </c>
      <c r="C924" t="s">
        <v>611</v>
      </c>
      <c r="D924" t="s">
        <v>1429</v>
      </c>
      <c r="E924" t="s">
        <v>2</v>
      </c>
    </row>
    <row r="925" spans="1:5" x14ac:dyDescent="0.2">
      <c r="A925" s="269">
        <v>45901.667210648149</v>
      </c>
      <c r="B925" t="s">
        <v>596</v>
      </c>
      <c r="C925" t="s">
        <v>611</v>
      </c>
      <c r="D925" t="s">
        <v>1222</v>
      </c>
      <c r="E925" t="s">
        <v>27</v>
      </c>
    </row>
    <row r="926" spans="1:5" x14ac:dyDescent="0.2">
      <c r="A926" s="269">
        <v>45901.667256944442</v>
      </c>
      <c r="B926" t="s">
        <v>596</v>
      </c>
      <c r="C926" t="s">
        <v>611</v>
      </c>
      <c r="D926" t="s">
        <v>1430</v>
      </c>
      <c r="E926" t="s">
        <v>58</v>
      </c>
    </row>
    <row r="927" spans="1:5" x14ac:dyDescent="0.2">
      <c r="A927" s="269">
        <v>45909.653171296297</v>
      </c>
      <c r="B927" t="s">
        <v>1444</v>
      </c>
      <c r="C927" t="s">
        <v>26</v>
      </c>
      <c r="D927" t="s">
        <v>1133</v>
      </c>
      <c r="E927" t="s">
        <v>338</v>
      </c>
    </row>
    <row r="928" spans="1:5" x14ac:dyDescent="0.2">
      <c r="A928" s="269">
        <v>45909.653194444443</v>
      </c>
      <c r="B928" t="s">
        <v>1444</v>
      </c>
      <c r="C928" t="s">
        <v>26</v>
      </c>
      <c r="D928" t="s">
        <v>1445</v>
      </c>
      <c r="E928" t="s">
        <v>89</v>
      </c>
    </row>
    <row r="929" spans="1:5" x14ac:dyDescent="0.2">
      <c r="A929" s="269">
        <v>45909.65320601852</v>
      </c>
      <c r="B929" t="s">
        <v>1444</v>
      </c>
      <c r="C929" t="s">
        <v>26</v>
      </c>
      <c r="D929" t="s">
        <v>1446</v>
      </c>
      <c r="E929" t="s">
        <v>362</v>
      </c>
    </row>
    <row r="930" spans="1:5" x14ac:dyDescent="0.2">
      <c r="A930" s="269">
        <v>45909.653229166666</v>
      </c>
      <c r="B930" t="s">
        <v>1444</v>
      </c>
      <c r="C930" t="s">
        <v>26</v>
      </c>
      <c r="D930" t="s">
        <v>1447</v>
      </c>
      <c r="E930" t="s">
        <v>371</v>
      </c>
    </row>
    <row r="931" spans="1:5" x14ac:dyDescent="0.2">
      <c r="A931" s="269">
        <v>45909.653240740743</v>
      </c>
      <c r="B931" t="s">
        <v>1444</v>
      </c>
      <c r="C931" t="s">
        <v>26</v>
      </c>
      <c r="D931" t="s">
        <v>1448</v>
      </c>
      <c r="E931" t="s">
        <v>379</v>
      </c>
    </row>
    <row r="932" spans="1:5" x14ac:dyDescent="0.2">
      <c r="A932" s="269">
        <v>45909.653263888889</v>
      </c>
      <c r="B932" t="s">
        <v>1444</v>
      </c>
      <c r="C932" t="s">
        <v>26</v>
      </c>
      <c r="D932" t="s">
        <v>1449</v>
      </c>
      <c r="E932" t="s">
        <v>386</v>
      </c>
    </row>
    <row r="933" spans="1:5" x14ac:dyDescent="0.2">
      <c r="A933" s="269">
        <v>45909.653287037036</v>
      </c>
      <c r="B933" t="s">
        <v>1444</v>
      </c>
      <c r="C933" t="s">
        <v>26</v>
      </c>
      <c r="D933" t="s">
        <v>1450</v>
      </c>
      <c r="E933" t="s">
        <v>390</v>
      </c>
    </row>
    <row r="934" spans="1:5" x14ac:dyDescent="0.2">
      <c r="A934" s="269">
        <v>45909.653321759259</v>
      </c>
      <c r="B934" t="s">
        <v>1444</v>
      </c>
      <c r="C934" t="s">
        <v>26</v>
      </c>
      <c r="D934" t="s">
        <v>1451</v>
      </c>
      <c r="E934" t="s">
        <v>41</v>
      </c>
    </row>
    <row r="935" spans="1:5" x14ac:dyDescent="0.2">
      <c r="A935" s="269">
        <v>45909.653356481482</v>
      </c>
      <c r="B935" t="s">
        <v>1444</v>
      </c>
      <c r="C935" t="s">
        <v>26</v>
      </c>
      <c r="D935" t="s">
        <v>1452</v>
      </c>
      <c r="E935" t="s">
        <v>397</v>
      </c>
    </row>
    <row r="936" spans="1:5" x14ac:dyDescent="0.2">
      <c r="A936" s="269">
        <v>45909.653379629628</v>
      </c>
      <c r="B936" t="s">
        <v>1444</v>
      </c>
      <c r="C936" t="s">
        <v>26</v>
      </c>
      <c r="D936" t="s">
        <v>1453</v>
      </c>
      <c r="E936" t="s">
        <v>400</v>
      </c>
    </row>
    <row r="937" spans="1:5" x14ac:dyDescent="0.2">
      <c r="A937" s="269">
        <v>45909.653402777774</v>
      </c>
      <c r="B937" t="s">
        <v>1444</v>
      </c>
      <c r="C937" t="s">
        <v>26</v>
      </c>
      <c r="D937" t="s">
        <v>1454</v>
      </c>
      <c r="E937" t="s">
        <v>404</v>
      </c>
    </row>
    <row r="938" spans="1:5" x14ac:dyDescent="0.2">
      <c r="A938" s="269">
        <v>45909.653414351851</v>
      </c>
      <c r="B938" t="s">
        <v>1444</v>
      </c>
      <c r="C938" t="s">
        <v>26</v>
      </c>
      <c r="D938" t="s">
        <v>1455</v>
      </c>
      <c r="E938" t="s">
        <v>407</v>
      </c>
    </row>
    <row r="939" spans="1:5" x14ac:dyDescent="0.2">
      <c r="A939" s="269">
        <v>45909.653657407405</v>
      </c>
      <c r="B939" t="s">
        <v>1444</v>
      </c>
      <c r="C939" t="s">
        <v>26</v>
      </c>
      <c r="D939" t="s">
        <v>1134</v>
      </c>
      <c r="E939" t="s">
        <v>364</v>
      </c>
    </row>
    <row r="940" spans="1:5" x14ac:dyDescent="0.2">
      <c r="A940" s="269">
        <v>45909.653680555559</v>
      </c>
      <c r="B940" t="s">
        <v>1444</v>
      </c>
      <c r="C940" t="s">
        <v>26</v>
      </c>
      <c r="D940" t="s">
        <v>1456</v>
      </c>
      <c r="E940" t="s">
        <v>364</v>
      </c>
    </row>
    <row r="941" spans="1:5" x14ac:dyDescent="0.2">
      <c r="A941" s="269">
        <v>45909.653703703705</v>
      </c>
      <c r="B941" t="s">
        <v>1444</v>
      </c>
      <c r="C941" t="s">
        <v>26</v>
      </c>
      <c r="D941" t="s">
        <v>1457</v>
      </c>
      <c r="E941" t="s">
        <v>364</v>
      </c>
    </row>
    <row r="942" spans="1:5" x14ac:dyDescent="0.2">
      <c r="A942" s="269">
        <v>45909.653715277775</v>
      </c>
      <c r="B942" t="s">
        <v>1444</v>
      </c>
      <c r="C942" t="s">
        <v>26</v>
      </c>
      <c r="D942" t="s">
        <v>1458</v>
      </c>
      <c r="E942" t="s">
        <v>364</v>
      </c>
    </row>
    <row r="943" spans="1:5" x14ac:dyDescent="0.2">
      <c r="A943" s="269">
        <v>45909.653726851851</v>
      </c>
      <c r="B943" t="s">
        <v>1444</v>
      </c>
      <c r="C943" t="s">
        <v>26</v>
      </c>
      <c r="D943" t="s">
        <v>1458</v>
      </c>
      <c r="E943" t="s">
        <v>341</v>
      </c>
    </row>
    <row r="944" spans="1:5" x14ac:dyDescent="0.2">
      <c r="A944" s="269">
        <v>45909.653749999998</v>
      </c>
      <c r="B944" t="s">
        <v>1444</v>
      </c>
      <c r="C944" t="s">
        <v>26</v>
      </c>
      <c r="D944" t="s">
        <v>1458</v>
      </c>
      <c r="E944" t="s">
        <v>364</v>
      </c>
    </row>
    <row r="945" spans="1:5" x14ac:dyDescent="0.2">
      <c r="A945" s="269">
        <v>45909.653761574074</v>
      </c>
      <c r="B945" t="s">
        <v>1444</v>
      </c>
      <c r="C945" t="s">
        <v>26</v>
      </c>
      <c r="D945" t="s">
        <v>1459</v>
      </c>
      <c r="E945" t="s">
        <v>364</v>
      </c>
    </row>
    <row r="946" spans="1:5" x14ac:dyDescent="0.2">
      <c r="A946" s="269">
        <v>45909.653784722221</v>
      </c>
      <c r="B946" t="s">
        <v>1444</v>
      </c>
      <c r="C946" t="s">
        <v>26</v>
      </c>
      <c r="D946" t="s">
        <v>1460</v>
      </c>
      <c r="E946" t="s">
        <v>364</v>
      </c>
    </row>
    <row r="947" spans="1:5" x14ac:dyDescent="0.2">
      <c r="A947" s="269">
        <v>45909.653796296298</v>
      </c>
      <c r="B947" t="s">
        <v>1444</v>
      </c>
      <c r="C947" t="s">
        <v>26</v>
      </c>
      <c r="D947" t="s">
        <v>1461</v>
      </c>
      <c r="E947" t="s">
        <v>364</v>
      </c>
    </row>
    <row r="948" spans="1:5" x14ac:dyDescent="0.2">
      <c r="A948" s="269">
        <v>45909.65388888889</v>
      </c>
      <c r="B948" t="s">
        <v>1444</v>
      </c>
      <c r="C948" t="s">
        <v>26</v>
      </c>
      <c r="D948" t="s">
        <v>1461</v>
      </c>
      <c r="E948" t="s">
        <v>364</v>
      </c>
    </row>
    <row r="949" spans="1:5" x14ac:dyDescent="0.2">
      <c r="A949" s="269">
        <v>45909.653900462959</v>
      </c>
      <c r="B949" t="s">
        <v>1444</v>
      </c>
      <c r="C949" t="s">
        <v>26</v>
      </c>
      <c r="D949" t="s">
        <v>1462</v>
      </c>
      <c r="E949" t="s">
        <v>364</v>
      </c>
    </row>
    <row r="950" spans="1:5" x14ac:dyDescent="0.2">
      <c r="A950" s="269">
        <v>45909.653923611113</v>
      </c>
      <c r="B950" t="s">
        <v>1444</v>
      </c>
      <c r="C950" t="s">
        <v>26</v>
      </c>
      <c r="D950" t="s">
        <v>1079</v>
      </c>
      <c r="E950" t="s">
        <v>364</v>
      </c>
    </row>
    <row r="951" spans="1:5" x14ac:dyDescent="0.2">
      <c r="A951" s="269">
        <v>45909.653935185182</v>
      </c>
      <c r="B951" t="s">
        <v>1444</v>
      </c>
      <c r="C951" t="s">
        <v>26</v>
      </c>
      <c r="D951" t="s">
        <v>1463</v>
      </c>
      <c r="E951" t="s">
        <v>364</v>
      </c>
    </row>
    <row r="952" spans="1:5" x14ac:dyDescent="0.2">
      <c r="A952" s="269">
        <v>45909.653958333336</v>
      </c>
      <c r="B952" t="s">
        <v>1444</v>
      </c>
      <c r="C952" t="s">
        <v>26</v>
      </c>
      <c r="D952" t="s">
        <v>1463</v>
      </c>
      <c r="E952" t="s">
        <v>364</v>
      </c>
    </row>
    <row r="953" spans="1:5" x14ac:dyDescent="0.2">
      <c r="A953" s="269">
        <v>45909.653969907406</v>
      </c>
      <c r="B953" t="s">
        <v>1444</v>
      </c>
      <c r="C953" t="s">
        <v>26</v>
      </c>
      <c r="D953" t="s">
        <v>1464</v>
      </c>
      <c r="E953" t="s">
        <v>133</v>
      </c>
    </row>
    <row r="954" spans="1:5" x14ac:dyDescent="0.2">
      <c r="A954" s="269">
        <v>45909.653993055559</v>
      </c>
      <c r="B954" t="s">
        <v>1444</v>
      </c>
      <c r="C954" t="s">
        <v>26</v>
      </c>
      <c r="D954" t="s">
        <v>1464</v>
      </c>
      <c r="E954" t="s">
        <v>364</v>
      </c>
    </row>
    <row r="955" spans="1:5" x14ac:dyDescent="0.2">
      <c r="A955" s="269">
        <v>45909.654016203705</v>
      </c>
      <c r="B955" t="s">
        <v>1444</v>
      </c>
      <c r="C955" t="s">
        <v>26</v>
      </c>
      <c r="D955" t="s">
        <v>1465</v>
      </c>
      <c r="E955" t="s">
        <v>364</v>
      </c>
    </row>
    <row r="956" spans="1:5" x14ac:dyDescent="0.2">
      <c r="A956" s="269">
        <v>45909.654085648152</v>
      </c>
      <c r="B956" t="s">
        <v>1444</v>
      </c>
      <c r="C956" t="s">
        <v>26</v>
      </c>
      <c r="D956" t="s">
        <v>1025</v>
      </c>
      <c r="E956">
        <v>530</v>
      </c>
    </row>
    <row r="957" spans="1:5" x14ac:dyDescent="0.2">
      <c r="A957" s="269">
        <v>45909.654097222221</v>
      </c>
      <c r="B957" t="s">
        <v>1444</v>
      </c>
      <c r="C957" t="s">
        <v>26</v>
      </c>
      <c r="D957" t="s">
        <v>978</v>
      </c>
      <c r="E957">
        <v>530</v>
      </c>
    </row>
    <row r="958" spans="1:5" x14ac:dyDescent="0.2">
      <c r="A958" s="269">
        <v>45909.654120370367</v>
      </c>
      <c r="B958" t="s">
        <v>1444</v>
      </c>
      <c r="C958" t="s">
        <v>26</v>
      </c>
      <c r="D958" t="s">
        <v>1466</v>
      </c>
      <c r="E958">
        <v>198</v>
      </c>
    </row>
    <row r="959" spans="1:5" x14ac:dyDescent="0.2">
      <c r="A959" s="269">
        <v>45909.654143518521</v>
      </c>
      <c r="B959" t="s">
        <v>1444</v>
      </c>
      <c r="C959" t="s">
        <v>26</v>
      </c>
      <c r="D959" t="s">
        <v>1467</v>
      </c>
      <c r="E959">
        <v>52</v>
      </c>
    </row>
    <row r="960" spans="1:5" x14ac:dyDescent="0.2">
      <c r="A960" s="269">
        <v>45909.65415509259</v>
      </c>
      <c r="B960" t="s">
        <v>1444</v>
      </c>
      <c r="C960" t="s">
        <v>26</v>
      </c>
      <c r="D960" t="s">
        <v>1468</v>
      </c>
      <c r="E960">
        <v>167</v>
      </c>
    </row>
    <row r="961" spans="1:5" x14ac:dyDescent="0.2">
      <c r="A961" s="269">
        <v>45909.654166666667</v>
      </c>
      <c r="B961" t="s">
        <v>1444</v>
      </c>
      <c r="C961" t="s">
        <v>26</v>
      </c>
      <c r="D961" t="s">
        <v>1469</v>
      </c>
      <c r="E961">
        <v>117</v>
      </c>
    </row>
    <row r="962" spans="1:5" x14ac:dyDescent="0.2">
      <c r="A962" s="269">
        <v>45909.65420138889</v>
      </c>
      <c r="B962" t="s">
        <v>1444</v>
      </c>
      <c r="C962" t="s">
        <v>26</v>
      </c>
      <c r="D962" t="s">
        <v>1470</v>
      </c>
      <c r="E962">
        <v>143</v>
      </c>
    </row>
    <row r="963" spans="1:5" x14ac:dyDescent="0.2">
      <c r="A963" s="269">
        <v>45909.65420138889</v>
      </c>
      <c r="B963" t="s">
        <v>1444</v>
      </c>
      <c r="C963" t="s">
        <v>26</v>
      </c>
      <c r="D963" t="s">
        <v>1471</v>
      </c>
      <c r="E963">
        <v>226</v>
      </c>
    </row>
    <row r="964" spans="1:5" x14ac:dyDescent="0.2">
      <c r="A964" s="269">
        <v>45909.654224537036</v>
      </c>
      <c r="B964" t="s">
        <v>1444</v>
      </c>
      <c r="C964" t="s">
        <v>26</v>
      </c>
      <c r="D964" t="s">
        <v>986</v>
      </c>
      <c r="E964">
        <v>216</v>
      </c>
    </row>
    <row r="965" spans="1:5" x14ac:dyDescent="0.2">
      <c r="A965" s="269">
        <v>45909.654247685183</v>
      </c>
      <c r="B965" t="s">
        <v>1444</v>
      </c>
      <c r="C965" t="s">
        <v>26</v>
      </c>
      <c r="D965" t="s">
        <v>1472</v>
      </c>
      <c r="E965">
        <v>271</v>
      </c>
    </row>
    <row r="966" spans="1:5" x14ac:dyDescent="0.2">
      <c r="A966" s="269">
        <v>45909.65425925926</v>
      </c>
      <c r="B966" t="s">
        <v>1444</v>
      </c>
      <c r="C966" t="s">
        <v>26</v>
      </c>
      <c r="D966" t="s">
        <v>1473</v>
      </c>
      <c r="E966">
        <v>140</v>
      </c>
    </row>
    <row r="967" spans="1:5" x14ac:dyDescent="0.2">
      <c r="A967" s="269">
        <v>45909.654270833336</v>
      </c>
      <c r="B967" t="s">
        <v>1444</v>
      </c>
      <c r="C967" t="s">
        <v>26</v>
      </c>
      <c r="D967" t="s">
        <v>1474</v>
      </c>
      <c r="E967">
        <v>209</v>
      </c>
    </row>
    <row r="968" spans="1:5" x14ac:dyDescent="0.2">
      <c r="A968" s="269">
        <v>45909.6562037037</v>
      </c>
      <c r="B968" t="s">
        <v>1444</v>
      </c>
      <c r="C968" t="s">
        <v>26</v>
      </c>
      <c r="D968" t="s">
        <v>1476</v>
      </c>
      <c r="E968" t="s">
        <v>1475</v>
      </c>
    </row>
    <row r="969" spans="1:5" x14ac:dyDescent="0.2">
      <c r="A969" s="269">
        <v>45909.656238425923</v>
      </c>
      <c r="B969" t="s">
        <v>1444</v>
      </c>
      <c r="C969" t="s">
        <v>26</v>
      </c>
      <c r="D969" t="s">
        <v>979</v>
      </c>
      <c r="E969" t="s">
        <v>1475</v>
      </c>
    </row>
    <row r="970" spans="1:5" x14ac:dyDescent="0.2">
      <c r="A970" s="269">
        <v>45909.656273148146</v>
      </c>
      <c r="B970" t="s">
        <v>1444</v>
      </c>
      <c r="C970" t="s">
        <v>26</v>
      </c>
      <c r="D970" t="s">
        <v>1476</v>
      </c>
    </row>
    <row r="971" spans="1:5" x14ac:dyDescent="0.2">
      <c r="A971" s="269">
        <v>45909.656273148146</v>
      </c>
      <c r="B971" t="s">
        <v>1444</v>
      </c>
      <c r="C971" t="s">
        <v>26</v>
      </c>
      <c r="D971" t="s">
        <v>1477</v>
      </c>
      <c r="E971" t="s">
        <v>1475</v>
      </c>
    </row>
    <row r="972" spans="1:5" x14ac:dyDescent="0.2">
      <c r="A972" s="269">
        <v>45909.656284722223</v>
      </c>
      <c r="B972" t="s">
        <v>1444</v>
      </c>
      <c r="C972" t="s">
        <v>26</v>
      </c>
      <c r="D972" t="s">
        <v>1476</v>
      </c>
      <c r="E972" t="s">
        <v>1475</v>
      </c>
    </row>
    <row r="973" spans="1:5" x14ac:dyDescent="0.2">
      <c r="A973" s="269">
        <v>45909.656284722223</v>
      </c>
      <c r="B973" t="s">
        <v>1444</v>
      </c>
      <c r="C973" t="s">
        <v>26</v>
      </c>
      <c r="D973" t="s">
        <v>1477</v>
      </c>
    </row>
    <row r="974" spans="1:5" x14ac:dyDescent="0.2">
      <c r="A974" s="269">
        <v>45909.656284722223</v>
      </c>
      <c r="B974" t="s">
        <v>1444</v>
      </c>
      <c r="C974" t="s">
        <v>26</v>
      </c>
      <c r="D974" t="s">
        <v>1477</v>
      </c>
    </row>
    <row r="975" spans="1:5" x14ac:dyDescent="0.2">
      <c r="A975" s="269">
        <v>45909.656493055554</v>
      </c>
      <c r="B975" t="s">
        <v>1444</v>
      </c>
      <c r="C975" t="s">
        <v>26</v>
      </c>
      <c r="D975" t="s">
        <v>1478</v>
      </c>
      <c r="E975" t="s">
        <v>1475</v>
      </c>
    </row>
    <row r="976" spans="1:5" x14ac:dyDescent="0.2">
      <c r="A976" s="269">
        <v>45909.656504629631</v>
      </c>
      <c r="B976" t="s">
        <v>1444</v>
      </c>
      <c r="C976" t="s">
        <v>26</v>
      </c>
      <c r="D976" t="s">
        <v>1479</v>
      </c>
      <c r="E976" t="s">
        <v>1475</v>
      </c>
    </row>
    <row r="977" spans="1:5" x14ac:dyDescent="0.2">
      <c r="A977" s="269">
        <v>45909.656504629631</v>
      </c>
      <c r="B977" t="s">
        <v>1444</v>
      </c>
      <c r="C977" t="s">
        <v>26</v>
      </c>
      <c r="D977" t="s">
        <v>1480</v>
      </c>
      <c r="E977" t="s">
        <v>1475</v>
      </c>
    </row>
    <row r="978" spans="1:5" x14ac:dyDescent="0.2">
      <c r="A978" s="269">
        <v>45909.6565162037</v>
      </c>
      <c r="B978" t="s">
        <v>1444</v>
      </c>
      <c r="C978" t="s">
        <v>26</v>
      </c>
      <c r="D978" t="s">
        <v>1481</v>
      </c>
      <c r="E978" t="s">
        <v>1475</v>
      </c>
    </row>
    <row r="979" spans="1:5" x14ac:dyDescent="0.2">
      <c r="A979" s="269">
        <v>45909.6565162037</v>
      </c>
      <c r="B979" t="s">
        <v>1444</v>
      </c>
      <c r="C979" t="s">
        <v>26</v>
      </c>
      <c r="D979" t="s">
        <v>1482</v>
      </c>
      <c r="E979" t="s">
        <v>1475</v>
      </c>
    </row>
    <row r="980" spans="1:5" x14ac:dyDescent="0.2">
      <c r="A980" s="269">
        <v>45909.6565162037</v>
      </c>
      <c r="B980" t="s">
        <v>1444</v>
      </c>
      <c r="C980" t="s">
        <v>26</v>
      </c>
      <c r="D980" t="s">
        <v>1483</v>
      </c>
      <c r="E980" t="s">
        <v>1475</v>
      </c>
    </row>
    <row r="981" spans="1:5" x14ac:dyDescent="0.2">
      <c r="A981" s="269">
        <v>45909.656527777777</v>
      </c>
      <c r="B981" t="s">
        <v>1444</v>
      </c>
      <c r="C981" t="s">
        <v>26</v>
      </c>
      <c r="D981" t="s">
        <v>1484</v>
      </c>
      <c r="E981" t="s">
        <v>1475</v>
      </c>
    </row>
    <row r="982" spans="1:5" x14ac:dyDescent="0.2">
      <c r="A982" s="269">
        <v>45909.656527777777</v>
      </c>
      <c r="B982" t="s">
        <v>1444</v>
      </c>
      <c r="C982" t="s">
        <v>26</v>
      </c>
      <c r="D982" t="s">
        <v>1485</v>
      </c>
      <c r="E982" t="s">
        <v>1475</v>
      </c>
    </row>
    <row r="983" spans="1:5" x14ac:dyDescent="0.2">
      <c r="A983" s="269">
        <v>45909.656527777777</v>
      </c>
      <c r="B983" t="s">
        <v>1444</v>
      </c>
      <c r="C983" t="s">
        <v>26</v>
      </c>
      <c r="D983" t="s">
        <v>1486</v>
      </c>
      <c r="E983" t="s">
        <v>1475</v>
      </c>
    </row>
    <row r="984" spans="1:5" x14ac:dyDescent="0.2">
      <c r="A984" s="269">
        <v>45909.656539351854</v>
      </c>
      <c r="B984" t="s">
        <v>1444</v>
      </c>
      <c r="C984" t="s">
        <v>26</v>
      </c>
      <c r="D984" t="s">
        <v>1487</v>
      </c>
      <c r="E984" t="s">
        <v>1475</v>
      </c>
    </row>
    <row r="985" spans="1:5" x14ac:dyDescent="0.2">
      <c r="A985" s="269">
        <v>45909.656689814816</v>
      </c>
      <c r="B985" t="s">
        <v>1444</v>
      </c>
      <c r="C985" t="s">
        <v>26</v>
      </c>
      <c r="D985" t="s">
        <v>1478</v>
      </c>
      <c r="E985" t="s">
        <v>1475</v>
      </c>
    </row>
    <row r="986" spans="1:5" x14ac:dyDescent="0.2">
      <c r="A986" s="269">
        <v>45909.677210648151</v>
      </c>
      <c r="B986" t="s">
        <v>1444</v>
      </c>
      <c r="C986" t="s">
        <v>597</v>
      </c>
      <c r="D986" t="s">
        <v>1488</v>
      </c>
      <c r="E986" t="s">
        <v>39</v>
      </c>
    </row>
    <row r="987" spans="1:5" x14ac:dyDescent="0.2">
      <c r="A987" s="269">
        <v>45909.67732638889</v>
      </c>
      <c r="B987" t="s">
        <v>1444</v>
      </c>
      <c r="C987" t="s">
        <v>15</v>
      </c>
      <c r="D987" t="s">
        <v>1191</v>
      </c>
      <c r="E987" t="s">
        <v>1489</v>
      </c>
    </row>
    <row r="988" spans="1:5" x14ac:dyDescent="0.2">
      <c r="A988" s="269">
        <v>45909.67765046296</v>
      </c>
      <c r="B988" t="s">
        <v>1444</v>
      </c>
      <c r="C988" t="s">
        <v>15</v>
      </c>
      <c r="D988" t="s">
        <v>795</v>
      </c>
      <c r="E988" t="s">
        <v>1490</v>
      </c>
    </row>
    <row r="989" spans="1:5" x14ac:dyDescent="0.2">
      <c r="A989" s="269">
        <v>45909.677777777775</v>
      </c>
      <c r="B989" t="s">
        <v>1444</v>
      </c>
      <c r="C989" t="s">
        <v>15</v>
      </c>
      <c r="D989" t="s">
        <v>1013</v>
      </c>
      <c r="E989" t="s">
        <v>1491</v>
      </c>
    </row>
    <row r="990" spans="1:5" x14ac:dyDescent="0.2">
      <c r="A990" s="269">
        <v>45909.677812499998</v>
      </c>
      <c r="B990" t="s">
        <v>1444</v>
      </c>
      <c r="C990" t="s">
        <v>15</v>
      </c>
      <c r="D990" t="s">
        <v>747</v>
      </c>
      <c r="E990" t="s">
        <v>1491</v>
      </c>
    </row>
    <row r="991" spans="1:5" x14ac:dyDescent="0.2">
      <c r="A991" s="269">
        <v>45909.677986111114</v>
      </c>
      <c r="B991" t="s">
        <v>1444</v>
      </c>
      <c r="C991" t="s">
        <v>15</v>
      </c>
      <c r="D991" t="s">
        <v>1493</v>
      </c>
      <c r="E991" t="s">
        <v>1492</v>
      </c>
    </row>
    <row r="992" spans="1:5" x14ac:dyDescent="0.2">
      <c r="A992" s="269">
        <v>45909.678124999999</v>
      </c>
      <c r="B992" t="s">
        <v>1444</v>
      </c>
      <c r="C992" t="s">
        <v>15</v>
      </c>
      <c r="D992" t="s">
        <v>1495</v>
      </c>
      <c r="E992" t="s">
        <v>1494</v>
      </c>
    </row>
    <row r="993" spans="1:5" x14ac:dyDescent="0.2">
      <c r="A993" s="269">
        <v>45909.678356481483</v>
      </c>
      <c r="B993" t="s">
        <v>1444</v>
      </c>
      <c r="C993" t="s">
        <v>15</v>
      </c>
      <c r="D993" t="s">
        <v>995</v>
      </c>
      <c r="E993" t="s">
        <v>200</v>
      </c>
    </row>
    <row r="994" spans="1:5" x14ac:dyDescent="0.2">
      <c r="A994" s="269">
        <v>45909.678368055553</v>
      </c>
      <c r="B994" t="s">
        <v>1444</v>
      </c>
      <c r="C994" t="s">
        <v>15</v>
      </c>
      <c r="D994" t="s">
        <v>1014</v>
      </c>
      <c r="E994" t="s">
        <v>200</v>
      </c>
    </row>
    <row r="995" spans="1:5" x14ac:dyDescent="0.2">
      <c r="A995" s="269">
        <v>45909.678391203706</v>
      </c>
      <c r="B995" t="s">
        <v>1444</v>
      </c>
      <c r="C995" t="s">
        <v>15</v>
      </c>
      <c r="D995" t="s">
        <v>1017</v>
      </c>
      <c r="E995" t="s">
        <v>200</v>
      </c>
    </row>
    <row r="996" spans="1:5" x14ac:dyDescent="0.2">
      <c r="A996" s="269">
        <v>45909.678402777776</v>
      </c>
      <c r="B996" t="s">
        <v>1444</v>
      </c>
      <c r="C996" t="s">
        <v>15</v>
      </c>
      <c r="D996" t="s">
        <v>1496</v>
      </c>
      <c r="E996" t="s">
        <v>200</v>
      </c>
    </row>
    <row r="997" spans="1:5" x14ac:dyDescent="0.2">
      <c r="A997" s="269">
        <v>45909.678425925929</v>
      </c>
      <c r="B997" t="s">
        <v>1444</v>
      </c>
      <c r="C997" t="s">
        <v>15</v>
      </c>
      <c r="D997" t="s">
        <v>1497</v>
      </c>
      <c r="E997" t="s">
        <v>200</v>
      </c>
    </row>
    <row r="998" spans="1:5" x14ac:dyDescent="0.2">
      <c r="A998" s="269">
        <v>45909.678506944445</v>
      </c>
      <c r="B998" t="s">
        <v>1444</v>
      </c>
      <c r="C998" t="s">
        <v>15</v>
      </c>
      <c r="D998" t="s">
        <v>994</v>
      </c>
      <c r="E998">
        <v>5</v>
      </c>
    </row>
    <row r="999" spans="1:5" x14ac:dyDescent="0.2">
      <c r="A999" s="269">
        <v>45909.678518518522</v>
      </c>
      <c r="B999" t="s">
        <v>1444</v>
      </c>
      <c r="C999" t="s">
        <v>15</v>
      </c>
      <c r="D999" t="s">
        <v>1015</v>
      </c>
      <c r="E999">
        <v>3</v>
      </c>
    </row>
    <row r="1000" spans="1:5" x14ac:dyDescent="0.2">
      <c r="A1000" s="269">
        <v>45909.678518518522</v>
      </c>
      <c r="B1000" t="s">
        <v>1444</v>
      </c>
      <c r="C1000" t="s">
        <v>15</v>
      </c>
      <c r="D1000" t="s">
        <v>1018</v>
      </c>
      <c r="E1000">
        <v>2</v>
      </c>
    </row>
    <row r="1001" spans="1:5" x14ac:dyDescent="0.2">
      <c r="A1001" s="269">
        <v>45909.678530092591</v>
      </c>
      <c r="B1001" t="s">
        <v>1444</v>
      </c>
      <c r="C1001" t="s">
        <v>15</v>
      </c>
      <c r="D1001" t="s">
        <v>1068</v>
      </c>
      <c r="E1001">
        <v>2</v>
      </c>
    </row>
    <row r="1002" spans="1:5" x14ac:dyDescent="0.2">
      <c r="A1002" s="269">
        <v>45909.678541666668</v>
      </c>
      <c r="B1002" t="s">
        <v>1444</v>
      </c>
      <c r="C1002" t="s">
        <v>15</v>
      </c>
      <c r="D1002" t="s">
        <v>1069</v>
      </c>
      <c r="E1002">
        <v>1</v>
      </c>
    </row>
    <row r="1003" spans="1:5" x14ac:dyDescent="0.2">
      <c r="A1003" s="269">
        <v>45909.67864583333</v>
      </c>
      <c r="B1003" t="s">
        <v>1444</v>
      </c>
      <c r="C1003" t="s">
        <v>15</v>
      </c>
      <c r="D1003" t="s">
        <v>973</v>
      </c>
      <c r="E1003" t="s">
        <v>380</v>
      </c>
    </row>
    <row r="1004" spans="1:5" x14ac:dyDescent="0.2">
      <c r="A1004" s="269">
        <v>45909.678668981483</v>
      </c>
      <c r="B1004" t="s">
        <v>1444</v>
      </c>
      <c r="C1004" t="s">
        <v>15</v>
      </c>
      <c r="D1004" t="s">
        <v>976</v>
      </c>
      <c r="E1004" t="s">
        <v>380</v>
      </c>
    </row>
    <row r="1005" spans="1:5" x14ac:dyDescent="0.2">
      <c r="A1005" s="269">
        <v>45909.67869212963</v>
      </c>
      <c r="B1005" t="s">
        <v>1444</v>
      </c>
      <c r="C1005" t="s">
        <v>15</v>
      </c>
      <c r="D1005" t="s">
        <v>977</v>
      </c>
      <c r="E1005" t="s">
        <v>380</v>
      </c>
    </row>
    <row r="1006" spans="1:5" x14ac:dyDescent="0.2">
      <c r="A1006" s="269">
        <v>45909.678726851853</v>
      </c>
      <c r="B1006" t="s">
        <v>1444</v>
      </c>
      <c r="C1006" t="s">
        <v>15</v>
      </c>
      <c r="D1006" t="s">
        <v>923</v>
      </c>
      <c r="E1006" t="s">
        <v>372</v>
      </c>
    </row>
    <row r="1007" spans="1:5" x14ac:dyDescent="0.2">
      <c r="A1007" s="269">
        <v>45909.678738425922</v>
      </c>
      <c r="B1007" t="s">
        <v>1444</v>
      </c>
      <c r="C1007" t="s">
        <v>15</v>
      </c>
      <c r="D1007" t="s">
        <v>918</v>
      </c>
      <c r="E1007" t="s">
        <v>372</v>
      </c>
    </row>
    <row r="1008" spans="1:5" x14ac:dyDescent="0.2">
      <c r="A1008" s="269">
        <v>45909.678773148145</v>
      </c>
      <c r="B1008" t="s">
        <v>1444</v>
      </c>
      <c r="C1008" t="s">
        <v>15</v>
      </c>
      <c r="D1008" t="s">
        <v>924</v>
      </c>
      <c r="E1008" t="s">
        <v>372</v>
      </c>
    </row>
    <row r="1009" spans="1:5" x14ac:dyDescent="0.2">
      <c r="A1009" s="269">
        <v>45909.678842592592</v>
      </c>
      <c r="B1009" t="s">
        <v>1444</v>
      </c>
      <c r="C1009" t="s">
        <v>15</v>
      </c>
      <c r="D1009" t="s">
        <v>926</v>
      </c>
      <c r="E1009" t="s">
        <v>352</v>
      </c>
    </row>
    <row r="1010" spans="1:5" x14ac:dyDescent="0.2">
      <c r="A1010" s="269">
        <v>45909.678865740738</v>
      </c>
      <c r="B1010" t="s">
        <v>1444</v>
      </c>
      <c r="C1010" t="s">
        <v>15</v>
      </c>
      <c r="D1010" t="s">
        <v>874</v>
      </c>
      <c r="E1010" t="s">
        <v>352</v>
      </c>
    </row>
    <row r="1011" spans="1:5" x14ac:dyDescent="0.2">
      <c r="A1011" s="269">
        <v>45909.678888888891</v>
      </c>
      <c r="B1011" t="s">
        <v>1444</v>
      </c>
      <c r="C1011" t="s">
        <v>15</v>
      </c>
      <c r="D1011" t="s">
        <v>1498</v>
      </c>
      <c r="E1011" t="s">
        <v>352</v>
      </c>
    </row>
    <row r="1012" spans="1:5" x14ac:dyDescent="0.2">
      <c r="A1012" s="269">
        <v>45909.678993055553</v>
      </c>
      <c r="B1012" t="s">
        <v>1444</v>
      </c>
      <c r="C1012" t="s">
        <v>15</v>
      </c>
      <c r="D1012" t="s">
        <v>1499</v>
      </c>
      <c r="E1012" t="s">
        <v>352</v>
      </c>
    </row>
    <row r="1013" spans="1:5" x14ac:dyDescent="0.2">
      <c r="A1013" s="269">
        <v>45909.679027777776</v>
      </c>
      <c r="B1013" t="s">
        <v>1444</v>
      </c>
      <c r="C1013" t="s">
        <v>15</v>
      </c>
      <c r="D1013" t="s">
        <v>1500</v>
      </c>
      <c r="E1013" t="s">
        <v>188</v>
      </c>
    </row>
    <row r="1014" spans="1:5" x14ac:dyDescent="0.2">
      <c r="A1014" s="269">
        <v>45909.679247685184</v>
      </c>
      <c r="B1014" t="s">
        <v>1444</v>
      </c>
      <c r="C1014" t="s">
        <v>15</v>
      </c>
      <c r="D1014" t="s">
        <v>1501</v>
      </c>
      <c r="E1014" t="s">
        <v>352</v>
      </c>
    </row>
    <row r="1015" spans="1:5" x14ac:dyDescent="0.2">
      <c r="A1015" s="269">
        <v>45909.682384259257</v>
      </c>
      <c r="B1015" t="s">
        <v>1444</v>
      </c>
      <c r="C1015" t="s">
        <v>15</v>
      </c>
      <c r="D1015" t="s">
        <v>1502</v>
      </c>
      <c r="E1015" t="s">
        <v>390</v>
      </c>
    </row>
    <row r="1016" spans="1:5" x14ac:dyDescent="0.2">
      <c r="A1016" s="269">
        <v>45909.68240740741</v>
      </c>
      <c r="B1016" t="s">
        <v>1444</v>
      </c>
      <c r="C1016" t="s">
        <v>15</v>
      </c>
      <c r="D1016" t="s">
        <v>925</v>
      </c>
      <c r="E1016">
        <v>0.6</v>
      </c>
    </row>
    <row r="1017" spans="1:5" x14ac:dyDescent="0.2">
      <c r="A1017" s="269">
        <v>45909.682928240742</v>
      </c>
      <c r="B1017" t="s">
        <v>1444</v>
      </c>
      <c r="C1017" t="s">
        <v>15</v>
      </c>
      <c r="D1017" t="s">
        <v>1493</v>
      </c>
      <c r="E1017" t="s">
        <v>1494</v>
      </c>
    </row>
    <row r="1018" spans="1:5" x14ac:dyDescent="0.2">
      <c r="A1018" s="269">
        <v>45909.682939814818</v>
      </c>
      <c r="B1018" t="s">
        <v>1444</v>
      </c>
      <c r="C1018" t="s">
        <v>15</v>
      </c>
      <c r="D1018" t="s">
        <v>1495</v>
      </c>
    </row>
    <row r="1019" spans="1:5" x14ac:dyDescent="0.2">
      <c r="A1019" s="269">
        <v>45909.682962962965</v>
      </c>
      <c r="B1019" t="s">
        <v>1444</v>
      </c>
      <c r="C1019" t="s">
        <v>15</v>
      </c>
      <c r="D1019" t="s">
        <v>1496</v>
      </c>
    </row>
    <row r="1020" spans="1:5" x14ac:dyDescent="0.2">
      <c r="A1020" s="269">
        <v>45909.682986111111</v>
      </c>
      <c r="B1020" t="s">
        <v>1444</v>
      </c>
      <c r="C1020" t="s">
        <v>15</v>
      </c>
      <c r="D1020" t="s">
        <v>1069</v>
      </c>
    </row>
    <row r="1021" spans="1:5" x14ac:dyDescent="0.2">
      <c r="A1021" s="269">
        <v>45909.682997685188</v>
      </c>
      <c r="B1021" t="s">
        <v>1444</v>
      </c>
      <c r="C1021" t="s">
        <v>15</v>
      </c>
      <c r="D1021" t="s">
        <v>924</v>
      </c>
    </row>
    <row r="1022" spans="1:5" x14ac:dyDescent="0.2">
      <c r="A1022" s="269">
        <v>45909.683020833334</v>
      </c>
      <c r="B1022" t="s">
        <v>1444</v>
      </c>
      <c r="C1022" t="s">
        <v>15</v>
      </c>
      <c r="D1022" t="s">
        <v>1501</v>
      </c>
    </row>
    <row r="1023" spans="1:5" x14ac:dyDescent="0.2">
      <c r="A1023" s="269">
        <v>45909.683078703703</v>
      </c>
      <c r="B1023" t="s">
        <v>1444</v>
      </c>
      <c r="C1023" t="s">
        <v>15</v>
      </c>
      <c r="D1023" t="s">
        <v>1500</v>
      </c>
      <c r="E1023" t="s">
        <v>352</v>
      </c>
    </row>
    <row r="1024" spans="1:5" x14ac:dyDescent="0.2">
      <c r="A1024" s="269">
        <v>45909.683194444442</v>
      </c>
      <c r="B1024" t="s">
        <v>1444</v>
      </c>
      <c r="C1024" t="s">
        <v>15</v>
      </c>
      <c r="D1024" t="s">
        <v>925</v>
      </c>
    </row>
    <row r="1025" spans="1:5" x14ac:dyDescent="0.2">
      <c r="A1025" s="269">
        <v>45909.683206018519</v>
      </c>
      <c r="B1025" t="s">
        <v>1444</v>
      </c>
      <c r="C1025" t="s">
        <v>15</v>
      </c>
      <c r="D1025" t="s">
        <v>1502</v>
      </c>
    </row>
    <row r="1026" spans="1:5" x14ac:dyDescent="0.2">
      <c r="A1026" s="269">
        <v>45909.683611111112</v>
      </c>
      <c r="B1026" t="s">
        <v>1444</v>
      </c>
      <c r="C1026" t="s">
        <v>15</v>
      </c>
      <c r="D1026" t="s">
        <v>1447</v>
      </c>
      <c r="E1026" t="s">
        <v>379</v>
      </c>
    </row>
    <row r="1027" spans="1:5" x14ac:dyDescent="0.2">
      <c r="A1027" s="269">
        <v>45909.684178240743</v>
      </c>
      <c r="B1027" t="s">
        <v>1444</v>
      </c>
      <c r="C1027" t="s">
        <v>15</v>
      </c>
      <c r="D1027" t="s">
        <v>1016</v>
      </c>
      <c r="E1027">
        <v>1.9</v>
      </c>
    </row>
    <row r="1028" spans="1:5" x14ac:dyDescent="0.2">
      <c r="A1028" s="269">
        <v>45909.701157407406</v>
      </c>
      <c r="B1028" t="s">
        <v>1444</v>
      </c>
      <c r="C1028" t="s">
        <v>15</v>
      </c>
      <c r="D1028" t="s">
        <v>1448</v>
      </c>
      <c r="E1028" t="s">
        <v>41</v>
      </c>
    </row>
    <row r="1029" spans="1:5" x14ac:dyDescent="0.2">
      <c r="A1029" s="269">
        <v>45909.701481481483</v>
      </c>
      <c r="B1029" t="s">
        <v>1444</v>
      </c>
      <c r="C1029" t="s">
        <v>15</v>
      </c>
      <c r="D1029" t="s">
        <v>1503</v>
      </c>
    </row>
    <row r="1030" spans="1:5" x14ac:dyDescent="0.2">
      <c r="A1030" s="269">
        <v>45909.701481481483</v>
      </c>
      <c r="B1030" t="s">
        <v>1444</v>
      </c>
      <c r="C1030" t="s">
        <v>15</v>
      </c>
      <c r="D1030" t="s">
        <v>1504</v>
      </c>
    </row>
    <row r="1031" spans="1:5" x14ac:dyDescent="0.2">
      <c r="A1031" s="269">
        <v>45909.701504629629</v>
      </c>
      <c r="B1031" t="s">
        <v>1444</v>
      </c>
      <c r="C1031" t="s">
        <v>15</v>
      </c>
      <c r="D1031" t="s">
        <v>1503</v>
      </c>
    </row>
    <row r="1032" spans="1:5" x14ac:dyDescent="0.2">
      <c r="A1032" s="269">
        <v>45909.701504629629</v>
      </c>
      <c r="B1032" t="s">
        <v>1444</v>
      </c>
      <c r="C1032" t="s">
        <v>15</v>
      </c>
      <c r="D1032" t="s">
        <v>1504</v>
      </c>
    </row>
    <row r="1033" spans="1:5" x14ac:dyDescent="0.2">
      <c r="A1033" s="269">
        <v>45909.701504629629</v>
      </c>
      <c r="B1033" t="s">
        <v>1444</v>
      </c>
      <c r="C1033" t="s">
        <v>15</v>
      </c>
      <c r="D1033" t="s">
        <v>1504</v>
      </c>
    </row>
    <row r="1034" spans="1:5" x14ac:dyDescent="0.2">
      <c r="A1034" s="269">
        <v>45909.701701388891</v>
      </c>
      <c r="B1034" t="s">
        <v>1444</v>
      </c>
      <c r="C1034" t="s">
        <v>15</v>
      </c>
      <c r="D1034" t="s">
        <v>1504</v>
      </c>
      <c r="E1034">
        <v>1.64</v>
      </c>
    </row>
    <row r="1035" spans="1:5" x14ac:dyDescent="0.2">
      <c r="A1035" s="269">
        <v>45909.702199074076</v>
      </c>
      <c r="B1035" t="s">
        <v>1444</v>
      </c>
      <c r="C1035" t="s">
        <v>15</v>
      </c>
      <c r="D1035" t="s">
        <v>982</v>
      </c>
      <c r="E1035" t="s">
        <v>1505</v>
      </c>
    </row>
    <row r="1036" spans="1:5" x14ac:dyDescent="0.2">
      <c r="A1036" s="269">
        <v>45909.702233796299</v>
      </c>
      <c r="B1036" t="s">
        <v>1444</v>
      </c>
      <c r="C1036" t="s">
        <v>15</v>
      </c>
      <c r="D1036" t="s">
        <v>1506</v>
      </c>
      <c r="E1036" t="s">
        <v>1505</v>
      </c>
    </row>
    <row r="1037" spans="1:5" x14ac:dyDescent="0.2">
      <c r="A1037" s="269">
        <v>45909.702268518522</v>
      </c>
      <c r="B1037" t="s">
        <v>1444</v>
      </c>
      <c r="C1037" t="s">
        <v>15</v>
      </c>
      <c r="D1037" t="s">
        <v>1507</v>
      </c>
      <c r="E1037" t="s">
        <v>1505</v>
      </c>
    </row>
    <row r="1038" spans="1:5" x14ac:dyDescent="0.2">
      <c r="A1038" s="269">
        <v>45909.704733796294</v>
      </c>
      <c r="B1038" t="s">
        <v>1444</v>
      </c>
      <c r="C1038" t="s">
        <v>27</v>
      </c>
      <c r="D1038" t="s">
        <v>1508</v>
      </c>
      <c r="E1038" s="442">
        <v>45910</v>
      </c>
    </row>
    <row r="1039" spans="1:5" x14ac:dyDescent="0.2">
      <c r="A1039" s="269">
        <v>45909.704907407409</v>
      </c>
      <c r="B1039" t="s">
        <v>1444</v>
      </c>
      <c r="C1039" t="s">
        <v>58</v>
      </c>
      <c r="D1039" t="s">
        <v>1509</v>
      </c>
      <c r="E1039" t="s">
        <v>1432</v>
      </c>
    </row>
    <row r="1040" spans="1:5" x14ac:dyDescent="0.2">
      <c r="A1040" s="269">
        <v>45909.704976851855</v>
      </c>
      <c r="B1040" t="s">
        <v>1444</v>
      </c>
      <c r="C1040" t="s">
        <v>58</v>
      </c>
      <c r="D1040" t="s">
        <v>1508</v>
      </c>
      <c r="E1040" t="s">
        <v>1510</v>
      </c>
    </row>
    <row r="1041" spans="1:5" x14ac:dyDescent="0.2">
      <c r="A1041" s="269">
        <v>45909.70511574074</v>
      </c>
      <c r="B1041" t="s">
        <v>1444</v>
      </c>
      <c r="C1041" t="s">
        <v>58</v>
      </c>
      <c r="D1041" t="s">
        <v>1508</v>
      </c>
      <c r="E1041" s="442">
        <v>45910</v>
      </c>
    </row>
    <row r="1042" spans="1:5" x14ac:dyDescent="0.2">
      <c r="A1042" s="269">
        <v>45909.705370370371</v>
      </c>
      <c r="B1042" t="s">
        <v>1444</v>
      </c>
      <c r="C1042" t="s">
        <v>15</v>
      </c>
      <c r="D1042" t="s">
        <v>1509</v>
      </c>
      <c r="E1042" t="s">
        <v>1432</v>
      </c>
    </row>
    <row r="1043" spans="1:5" x14ac:dyDescent="0.2">
      <c r="A1043" s="269">
        <v>45909.705439814818</v>
      </c>
      <c r="B1043" t="s">
        <v>1444</v>
      </c>
      <c r="C1043" t="s">
        <v>15</v>
      </c>
      <c r="D1043" t="s">
        <v>1508</v>
      </c>
      <c r="E1043" s="442">
        <v>45910</v>
      </c>
    </row>
    <row r="1044" spans="1:5" x14ac:dyDescent="0.2">
      <c r="A1044" s="269">
        <v>45909.705613425926</v>
      </c>
      <c r="B1044" t="s">
        <v>1444</v>
      </c>
      <c r="C1044" t="s">
        <v>103</v>
      </c>
      <c r="D1044" t="s">
        <v>1508</v>
      </c>
      <c r="E1044" s="442">
        <v>45910</v>
      </c>
    </row>
    <row r="1045" spans="1:5" x14ac:dyDescent="0.2">
      <c r="A1045" s="269">
        <v>45909.706018518518</v>
      </c>
      <c r="B1045" t="s">
        <v>1444</v>
      </c>
      <c r="C1045" t="s">
        <v>25</v>
      </c>
      <c r="D1045" t="s">
        <v>1511</v>
      </c>
      <c r="E1045" t="s">
        <v>89</v>
      </c>
    </row>
    <row r="1046" spans="1:5" x14ac:dyDescent="0.2">
      <c r="A1046" s="269">
        <v>45909.706053240741</v>
      </c>
      <c r="B1046" t="s">
        <v>1444</v>
      </c>
      <c r="C1046" t="s">
        <v>25</v>
      </c>
      <c r="D1046" t="s">
        <v>1191</v>
      </c>
      <c r="E1046" t="s">
        <v>362</v>
      </c>
    </row>
    <row r="1047" spans="1:5" x14ac:dyDescent="0.2">
      <c r="A1047" s="269">
        <v>45909.706076388888</v>
      </c>
      <c r="B1047" t="s">
        <v>1444</v>
      </c>
      <c r="C1047" t="s">
        <v>25</v>
      </c>
      <c r="D1047" t="s">
        <v>795</v>
      </c>
      <c r="E1047" t="s">
        <v>371</v>
      </c>
    </row>
    <row r="1048" spans="1:5" x14ac:dyDescent="0.2">
      <c r="A1048" s="269">
        <v>45909.707430555558</v>
      </c>
      <c r="B1048" t="s">
        <v>1444</v>
      </c>
      <c r="C1048" t="s">
        <v>25</v>
      </c>
      <c r="D1048" t="s">
        <v>1013</v>
      </c>
      <c r="E1048" t="s">
        <v>379</v>
      </c>
    </row>
    <row r="1049" spans="1:5" x14ac:dyDescent="0.2">
      <c r="A1049" s="269">
        <v>45909.707465277781</v>
      </c>
      <c r="B1049" t="s">
        <v>1444</v>
      </c>
      <c r="C1049" t="s">
        <v>25</v>
      </c>
      <c r="D1049" t="s">
        <v>747</v>
      </c>
      <c r="E1049" t="s">
        <v>386</v>
      </c>
    </row>
    <row r="1050" spans="1:5" x14ac:dyDescent="0.2">
      <c r="A1050" s="269">
        <v>45909.707488425927</v>
      </c>
      <c r="B1050" t="s">
        <v>1444</v>
      </c>
      <c r="C1050" t="s">
        <v>25</v>
      </c>
      <c r="D1050" t="s">
        <v>1493</v>
      </c>
      <c r="E1050" t="s">
        <v>390</v>
      </c>
    </row>
    <row r="1051" spans="1:5" x14ac:dyDescent="0.2">
      <c r="A1051" s="269">
        <v>45909.707511574074</v>
      </c>
      <c r="B1051" t="s">
        <v>1444</v>
      </c>
      <c r="C1051" t="s">
        <v>25</v>
      </c>
      <c r="D1051" t="s">
        <v>1495</v>
      </c>
      <c r="E1051" t="s">
        <v>41</v>
      </c>
    </row>
    <row r="1052" spans="1:5" x14ac:dyDescent="0.2">
      <c r="A1052" s="269">
        <v>45909.707546296297</v>
      </c>
      <c r="B1052" t="s">
        <v>1444</v>
      </c>
      <c r="C1052" t="s">
        <v>25</v>
      </c>
      <c r="D1052" t="s">
        <v>1512</v>
      </c>
      <c r="E1052" t="s">
        <v>397</v>
      </c>
    </row>
    <row r="1053" spans="1:5" x14ac:dyDescent="0.2">
      <c r="A1053" s="269">
        <v>45909.707569444443</v>
      </c>
      <c r="B1053" t="s">
        <v>1444</v>
      </c>
      <c r="C1053" t="s">
        <v>25</v>
      </c>
      <c r="D1053" t="s">
        <v>672</v>
      </c>
      <c r="E1053" t="s">
        <v>400</v>
      </c>
    </row>
    <row r="1054" spans="1:5" x14ac:dyDescent="0.2">
      <c r="A1054" s="269">
        <v>45909.707604166666</v>
      </c>
      <c r="B1054" t="s">
        <v>1444</v>
      </c>
      <c r="C1054" t="s">
        <v>25</v>
      </c>
      <c r="D1054" t="s">
        <v>674</v>
      </c>
      <c r="E1054" t="s">
        <v>404</v>
      </c>
    </row>
    <row r="1055" spans="1:5" x14ac:dyDescent="0.2">
      <c r="A1055" s="269">
        <v>45909.707615740743</v>
      </c>
      <c r="B1055" t="s">
        <v>1444</v>
      </c>
      <c r="C1055" t="s">
        <v>25</v>
      </c>
      <c r="D1055" t="s">
        <v>675</v>
      </c>
      <c r="E1055" t="s">
        <v>407</v>
      </c>
    </row>
    <row r="1056" spans="1:5" x14ac:dyDescent="0.2">
      <c r="A1056" s="269">
        <v>45909.707673611112</v>
      </c>
      <c r="B1056" t="s">
        <v>1444</v>
      </c>
      <c r="C1056" t="s">
        <v>25</v>
      </c>
      <c r="D1056" t="s">
        <v>1513</v>
      </c>
      <c r="E1056">
        <v>9.9999999999999995E-8</v>
      </c>
    </row>
    <row r="1057" spans="1:5" x14ac:dyDescent="0.2">
      <c r="A1057" s="269">
        <v>45909.707731481481</v>
      </c>
      <c r="B1057" t="s">
        <v>1444</v>
      </c>
      <c r="C1057" t="s">
        <v>25</v>
      </c>
      <c r="D1057" t="s">
        <v>1514</v>
      </c>
      <c r="E1057">
        <v>-2.6000000000000001E-6</v>
      </c>
    </row>
    <row r="1058" spans="1:5" x14ac:dyDescent="0.2">
      <c r="A1058" s="269">
        <v>45909.707777777781</v>
      </c>
      <c r="B1058" t="s">
        <v>1444</v>
      </c>
      <c r="C1058" t="s">
        <v>25</v>
      </c>
      <c r="D1058" t="s">
        <v>1515</v>
      </c>
      <c r="E1058" t="s">
        <v>1436</v>
      </c>
    </row>
    <row r="1059" spans="1:5" x14ac:dyDescent="0.2">
      <c r="A1059" s="269">
        <v>45910.433483796296</v>
      </c>
      <c r="B1059" t="s">
        <v>1444</v>
      </c>
      <c r="C1059" t="s">
        <v>597</v>
      </c>
      <c r="D1059" t="s">
        <v>1488</v>
      </c>
      <c r="E1059" t="s">
        <v>39</v>
      </c>
    </row>
    <row r="1060" spans="1:5" x14ac:dyDescent="0.2">
      <c r="A1060" s="269">
        <v>45910.434710648151</v>
      </c>
      <c r="B1060" t="s">
        <v>1444</v>
      </c>
      <c r="C1060" t="s">
        <v>58</v>
      </c>
      <c r="D1060" t="s">
        <v>1516</v>
      </c>
      <c r="E1060" t="s">
        <v>343</v>
      </c>
    </row>
    <row r="1061" spans="1:5" x14ac:dyDescent="0.2">
      <c r="A1061" s="269">
        <v>45910.43476851852</v>
      </c>
      <c r="B1061" t="s">
        <v>1444</v>
      </c>
      <c r="C1061" t="s">
        <v>58</v>
      </c>
      <c r="D1061" t="s">
        <v>1517</v>
      </c>
      <c r="E1061" t="s">
        <v>63</v>
      </c>
    </row>
    <row r="1062" spans="1:5" x14ac:dyDescent="0.2">
      <c r="A1062" s="269">
        <v>45910.434803240743</v>
      </c>
      <c r="B1062" t="s">
        <v>1444</v>
      </c>
      <c r="C1062" t="s">
        <v>58</v>
      </c>
      <c r="D1062" t="s">
        <v>1518</v>
      </c>
      <c r="E1062" t="s">
        <v>338</v>
      </c>
    </row>
    <row r="1063" spans="1:5" x14ac:dyDescent="0.2">
      <c r="A1063" s="269">
        <v>45910.43482638889</v>
      </c>
      <c r="B1063" t="s">
        <v>1444</v>
      </c>
      <c r="C1063" t="s">
        <v>58</v>
      </c>
      <c r="D1063" t="s">
        <v>1519</v>
      </c>
      <c r="E1063" t="s">
        <v>89</v>
      </c>
    </row>
    <row r="1064" spans="1:5" x14ac:dyDescent="0.2">
      <c r="A1064" s="269">
        <v>45910.434837962966</v>
      </c>
      <c r="B1064" t="s">
        <v>1444</v>
      </c>
      <c r="C1064" t="s">
        <v>58</v>
      </c>
      <c r="D1064" t="s">
        <v>1520</v>
      </c>
      <c r="E1064" t="s">
        <v>362</v>
      </c>
    </row>
    <row r="1065" spans="1:5" x14ac:dyDescent="0.2">
      <c r="A1065" s="269">
        <v>45910.434861111113</v>
      </c>
      <c r="B1065" t="s">
        <v>1444</v>
      </c>
      <c r="C1065" t="s">
        <v>58</v>
      </c>
      <c r="D1065" t="s">
        <v>1521</v>
      </c>
      <c r="E1065" t="s">
        <v>371</v>
      </c>
    </row>
    <row r="1066" spans="1:5" x14ac:dyDescent="0.2">
      <c r="A1066" s="269">
        <v>45910.434895833336</v>
      </c>
      <c r="B1066" t="s">
        <v>1444</v>
      </c>
      <c r="C1066" t="s">
        <v>58</v>
      </c>
      <c r="D1066" t="s">
        <v>1522</v>
      </c>
      <c r="E1066" t="s">
        <v>379</v>
      </c>
    </row>
    <row r="1067" spans="1:5" x14ac:dyDescent="0.2">
      <c r="A1067" s="269">
        <v>45910.434930555559</v>
      </c>
      <c r="B1067" t="s">
        <v>1444</v>
      </c>
      <c r="C1067" t="s">
        <v>58</v>
      </c>
      <c r="D1067" t="s">
        <v>1523</v>
      </c>
      <c r="E1067" t="s">
        <v>386</v>
      </c>
    </row>
    <row r="1068" spans="1:5" x14ac:dyDescent="0.2">
      <c r="A1068" s="269">
        <v>45910.434942129628</v>
      </c>
      <c r="B1068" t="s">
        <v>1444</v>
      </c>
      <c r="C1068" t="s">
        <v>58</v>
      </c>
      <c r="D1068" t="s">
        <v>1524</v>
      </c>
      <c r="E1068" t="s">
        <v>390</v>
      </c>
    </row>
    <row r="1069" spans="1:5" x14ac:dyDescent="0.2">
      <c r="A1069" s="269">
        <v>45910.434965277775</v>
      </c>
      <c r="B1069" t="s">
        <v>1444</v>
      </c>
      <c r="C1069" t="s">
        <v>58</v>
      </c>
      <c r="D1069" t="s">
        <v>1525</v>
      </c>
      <c r="E1069" t="s">
        <v>41</v>
      </c>
    </row>
    <row r="1070" spans="1:5" x14ac:dyDescent="0.2">
      <c r="A1070" s="269">
        <v>45910.434988425928</v>
      </c>
      <c r="B1070" t="s">
        <v>1444</v>
      </c>
      <c r="C1070" t="s">
        <v>58</v>
      </c>
      <c r="D1070" t="s">
        <v>1526</v>
      </c>
      <c r="E1070" t="s">
        <v>397</v>
      </c>
    </row>
    <row r="1071" spans="1:5" x14ac:dyDescent="0.2">
      <c r="A1071" s="269">
        <v>45910.435011574074</v>
      </c>
      <c r="B1071" t="s">
        <v>1444</v>
      </c>
      <c r="C1071" t="s">
        <v>58</v>
      </c>
      <c r="D1071" t="s">
        <v>1527</v>
      </c>
      <c r="E1071" t="s">
        <v>400</v>
      </c>
    </row>
    <row r="1072" spans="1:5" x14ac:dyDescent="0.2">
      <c r="A1072" s="269">
        <v>45910.435046296298</v>
      </c>
      <c r="B1072" t="s">
        <v>1444</v>
      </c>
      <c r="C1072" t="s">
        <v>58</v>
      </c>
      <c r="D1072" t="s">
        <v>1528</v>
      </c>
      <c r="E1072" t="s">
        <v>404</v>
      </c>
    </row>
    <row r="1073" spans="1:5" x14ac:dyDescent="0.2">
      <c r="A1073" s="269">
        <v>45910.435081018521</v>
      </c>
      <c r="B1073" t="s">
        <v>1444</v>
      </c>
      <c r="C1073" t="s">
        <v>58</v>
      </c>
      <c r="D1073" t="s">
        <v>1529</v>
      </c>
      <c r="E1073" t="s">
        <v>407</v>
      </c>
    </row>
    <row r="1074" spans="1:5" x14ac:dyDescent="0.2">
      <c r="A1074" s="269">
        <v>45910.435185185182</v>
      </c>
      <c r="B1074" t="s">
        <v>1444</v>
      </c>
      <c r="C1074" t="s">
        <v>58</v>
      </c>
      <c r="D1074" t="s">
        <v>1530</v>
      </c>
      <c r="E1074" t="s">
        <v>63</v>
      </c>
    </row>
    <row r="1075" spans="1:5" x14ac:dyDescent="0.2">
      <c r="A1075" s="269">
        <v>45910.435219907406</v>
      </c>
      <c r="B1075" t="s">
        <v>1444</v>
      </c>
      <c r="C1075" t="s">
        <v>58</v>
      </c>
      <c r="D1075" t="s">
        <v>1531</v>
      </c>
      <c r="E1075" t="s">
        <v>338</v>
      </c>
    </row>
    <row r="1076" spans="1:5" x14ac:dyDescent="0.2">
      <c r="A1076" s="269">
        <v>45910.435335648152</v>
      </c>
      <c r="B1076" t="s">
        <v>1444</v>
      </c>
      <c r="C1076" t="s">
        <v>58</v>
      </c>
      <c r="D1076" t="s">
        <v>1532</v>
      </c>
      <c r="E1076" t="s">
        <v>338</v>
      </c>
    </row>
    <row r="1077" spans="1:5" x14ac:dyDescent="0.2">
      <c r="A1077" s="269">
        <v>45910.435370370367</v>
      </c>
      <c r="B1077" t="s">
        <v>1444</v>
      </c>
      <c r="C1077" t="s">
        <v>58</v>
      </c>
      <c r="D1077" t="s">
        <v>1533</v>
      </c>
      <c r="E1077" t="s">
        <v>63</v>
      </c>
    </row>
    <row r="1078" spans="1:5" x14ac:dyDescent="0.2">
      <c r="A1078" s="269">
        <v>45910.435393518521</v>
      </c>
      <c r="B1078" t="s">
        <v>1444</v>
      </c>
      <c r="C1078" t="s">
        <v>58</v>
      </c>
      <c r="D1078" t="s">
        <v>1534</v>
      </c>
      <c r="E1078" t="s">
        <v>338</v>
      </c>
    </row>
    <row r="1079" spans="1:5" x14ac:dyDescent="0.2">
      <c r="A1079" s="269">
        <v>45910.435682870368</v>
      </c>
      <c r="B1079" t="s">
        <v>1444</v>
      </c>
      <c r="C1079" t="s">
        <v>58</v>
      </c>
      <c r="D1079" t="s">
        <v>1536</v>
      </c>
      <c r="E1079" t="s">
        <v>1535</v>
      </c>
    </row>
    <row r="1080" spans="1:5" x14ac:dyDescent="0.2">
      <c r="A1080" s="269">
        <v>45910.43613425926</v>
      </c>
      <c r="B1080" t="s">
        <v>1444</v>
      </c>
      <c r="C1080" t="s">
        <v>58</v>
      </c>
      <c r="D1080" t="s">
        <v>1536</v>
      </c>
      <c r="E1080" t="s">
        <v>1537</v>
      </c>
    </row>
    <row r="1081" spans="1:5" x14ac:dyDescent="0.2">
      <c r="A1081" s="269">
        <v>45910.436203703706</v>
      </c>
      <c r="B1081" t="s">
        <v>1444</v>
      </c>
      <c r="C1081" t="s">
        <v>58</v>
      </c>
      <c r="D1081" t="s">
        <v>1538</v>
      </c>
      <c r="E1081" t="s">
        <v>1537</v>
      </c>
    </row>
    <row r="1082" spans="1:5" x14ac:dyDescent="0.2">
      <c r="A1082" s="269">
        <v>45910.436307870368</v>
      </c>
      <c r="B1082" t="s">
        <v>1444</v>
      </c>
      <c r="C1082" t="s">
        <v>58</v>
      </c>
      <c r="D1082" t="s">
        <v>1538</v>
      </c>
      <c r="E1082" t="s">
        <v>1539</v>
      </c>
    </row>
    <row r="1083" spans="1:5" x14ac:dyDescent="0.2">
      <c r="A1083" s="269">
        <v>45910.436377314814</v>
      </c>
      <c r="B1083" t="s">
        <v>1444</v>
      </c>
      <c r="C1083" t="s">
        <v>58</v>
      </c>
      <c r="D1083" t="s">
        <v>1540</v>
      </c>
      <c r="E1083" t="s">
        <v>1539</v>
      </c>
    </row>
    <row r="1084" spans="1:5" x14ac:dyDescent="0.2">
      <c r="A1084" s="269">
        <v>45910.43645833333</v>
      </c>
      <c r="B1084" t="s">
        <v>1444</v>
      </c>
      <c r="C1084" t="s">
        <v>58</v>
      </c>
      <c r="D1084" t="s">
        <v>1540</v>
      </c>
      <c r="E1084" t="s">
        <v>1541</v>
      </c>
    </row>
    <row r="1085" spans="1:5" x14ac:dyDescent="0.2">
      <c r="A1085" s="269">
        <v>45910.436782407407</v>
      </c>
      <c r="B1085" t="s">
        <v>1444</v>
      </c>
      <c r="C1085" t="s">
        <v>58</v>
      </c>
      <c r="D1085" t="s">
        <v>1542</v>
      </c>
      <c r="E1085">
        <v>12.32</v>
      </c>
    </row>
    <row r="1086" spans="1:5" x14ac:dyDescent="0.2">
      <c r="A1086" s="269">
        <v>45910.43681712963</v>
      </c>
      <c r="B1086" t="s">
        <v>1444</v>
      </c>
      <c r="C1086" t="s">
        <v>58</v>
      </c>
      <c r="D1086" t="s">
        <v>1543</v>
      </c>
      <c r="E1086">
        <v>7.4</v>
      </c>
    </row>
    <row r="1087" spans="1:5" x14ac:dyDescent="0.2">
      <c r="A1087" s="269">
        <v>45910.436828703707</v>
      </c>
      <c r="B1087" t="s">
        <v>1444</v>
      </c>
      <c r="C1087" t="s">
        <v>58</v>
      </c>
      <c r="D1087" t="s">
        <v>1544</v>
      </c>
      <c r="E1087">
        <v>7.16</v>
      </c>
    </row>
    <row r="1088" spans="1:5" x14ac:dyDescent="0.2">
      <c r="A1088" s="269">
        <v>45910.436932870369</v>
      </c>
      <c r="B1088" t="s">
        <v>1444</v>
      </c>
      <c r="C1088" t="s">
        <v>58</v>
      </c>
      <c r="D1088" t="s">
        <v>1543</v>
      </c>
    </row>
    <row r="1089" spans="1:5" x14ac:dyDescent="0.2">
      <c r="A1089" s="269">
        <v>45910.436979166669</v>
      </c>
      <c r="B1089" t="s">
        <v>1444</v>
      </c>
      <c r="C1089" t="s">
        <v>58</v>
      </c>
      <c r="D1089" t="s">
        <v>1544</v>
      </c>
    </row>
    <row r="1090" spans="1:5" x14ac:dyDescent="0.2">
      <c r="A1090" s="269">
        <v>45910.437118055554</v>
      </c>
      <c r="B1090" t="s">
        <v>1444</v>
      </c>
      <c r="C1090" t="s">
        <v>58</v>
      </c>
      <c r="D1090" t="s">
        <v>1543</v>
      </c>
      <c r="E1090">
        <v>10.51</v>
      </c>
    </row>
    <row r="1091" spans="1:5" x14ac:dyDescent="0.2">
      <c r="A1091" s="269">
        <v>45910.437164351853</v>
      </c>
      <c r="B1091" t="s">
        <v>1444</v>
      </c>
      <c r="C1091" t="s">
        <v>58</v>
      </c>
      <c r="D1091" t="s">
        <v>1544</v>
      </c>
      <c r="E1091">
        <v>17.25</v>
      </c>
    </row>
    <row r="1092" spans="1:5" x14ac:dyDescent="0.2">
      <c r="A1092" s="269">
        <v>45910.4371875</v>
      </c>
      <c r="B1092" t="s">
        <v>1444</v>
      </c>
      <c r="C1092" t="s">
        <v>58</v>
      </c>
      <c r="D1092" t="s">
        <v>1545</v>
      </c>
      <c r="E1092">
        <v>5.51</v>
      </c>
    </row>
    <row r="1093" spans="1:5" x14ac:dyDescent="0.2">
      <c r="A1093" s="269">
        <v>45910.437210648146</v>
      </c>
      <c r="B1093" t="s">
        <v>1444</v>
      </c>
      <c r="C1093" t="s">
        <v>58</v>
      </c>
      <c r="D1093" t="s">
        <v>1546</v>
      </c>
      <c r="E1093">
        <v>23.9</v>
      </c>
    </row>
    <row r="1094" spans="1:5" x14ac:dyDescent="0.2">
      <c r="A1094" s="269">
        <v>45910.437245370369</v>
      </c>
      <c r="B1094" t="s">
        <v>1444</v>
      </c>
      <c r="C1094" t="s">
        <v>58</v>
      </c>
      <c r="D1094" t="s">
        <v>1547</v>
      </c>
      <c r="E1094">
        <v>5.88</v>
      </c>
    </row>
    <row r="1095" spans="1:5" x14ac:dyDescent="0.2">
      <c r="A1095" s="269">
        <v>45910.437268518515</v>
      </c>
      <c r="B1095" t="s">
        <v>1444</v>
      </c>
      <c r="C1095" t="s">
        <v>58</v>
      </c>
      <c r="D1095" t="s">
        <v>1548</v>
      </c>
      <c r="E1095">
        <v>2.38</v>
      </c>
    </row>
    <row r="1096" spans="1:5" x14ac:dyDescent="0.2">
      <c r="A1096" s="269">
        <v>45910.437291666669</v>
      </c>
      <c r="B1096" t="s">
        <v>1444</v>
      </c>
      <c r="C1096" t="s">
        <v>58</v>
      </c>
      <c r="D1096" t="s">
        <v>1549</v>
      </c>
      <c r="E1096">
        <v>0</v>
      </c>
    </row>
    <row r="1097" spans="1:5" x14ac:dyDescent="0.2">
      <c r="A1097" s="269">
        <v>45910.437349537038</v>
      </c>
      <c r="B1097" t="s">
        <v>1444</v>
      </c>
      <c r="C1097" t="s">
        <v>58</v>
      </c>
      <c r="D1097" t="s">
        <v>1550</v>
      </c>
      <c r="E1097">
        <v>5.05</v>
      </c>
    </row>
    <row r="1098" spans="1:5" x14ac:dyDescent="0.2">
      <c r="A1098" s="269">
        <v>45910.437384259261</v>
      </c>
      <c r="B1098" t="s">
        <v>1444</v>
      </c>
      <c r="C1098" t="s">
        <v>58</v>
      </c>
      <c r="D1098" t="s">
        <v>1551</v>
      </c>
      <c r="E1098">
        <v>3.48</v>
      </c>
    </row>
    <row r="1099" spans="1:5" x14ac:dyDescent="0.2">
      <c r="A1099" s="269">
        <v>45910.437407407408</v>
      </c>
      <c r="B1099" t="s">
        <v>1444</v>
      </c>
      <c r="C1099" t="s">
        <v>58</v>
      </c>
      <c r="D1099" t="s">
        <v>1552</v>
      </c>
      <c r="E1099">
        <v>0</v>
      </c>
    </row>
    <row r="1100" spans="1:5" x14ac:dyDescent="0.2">
      <c r="A1100" s="269">
        <v>45910.4374537037</v>
      </c>
      <c r="B1100" t="s">
        <v>1444</v>
      </c>
      <c r="C1100" t="s">
        <v>58</v>
      </c>
      <c r="D1100" t="s">
        <v>1553</v>
      </c>
      <c r="E1100">
        <v>2.71</v>
      </c>
    </row>
    <row r="1101" spans="1:5" x14ac:dyDescent="0.2">
      <c r="A1101" s="269">
        <v>45910.4377662037</v>
      </c>
      <c r="B1101" t="s">
        <v>1444</v>
      </c>
      <c r="C1101" t="s">
        <v>58</v>
      </c>
      <c r="D1101" t="s">
        <v>1554</v>
      </c>
      <c r="E1101">
        <v>39.75</v>
      </c>
    </row>
    <row r="1102" spans="1:5" x14ac:dyDescent="0.2">
      <c r="A1102" s="269">
        <v>45910.4378125</v>
      </c>
      <c r="B1102" t="s">
        <v>1444</v>
      </c>
      <c r="C1102" t="s">
        <v>58</v>
      </c>
      <c r="D1102" t="s">
        <v>1555</v>
      </c>
      <c r="E1102">
        <v>36.85</v>
      </c>
    </row>
    <row r="1103" spans="1:5" x14ac:dyDescent="0.2">
      <c r="A1103" s="269">
        <v>45910.437835648147</v>
      </c>
      <c r="B1103" t="s">
        <v>1444</v>
      </c>
      <c r="C1103" t="s">
        <v>58</v>
      </c>
      <c r="D1103" t="s">
        <v>1556</v>
      </c>
      <c r="E1103">
        <v>60.51</v>
      </c>
    </row>
    <row r="1104" spans="1:5" x14ac:dyDescent="0.2">
      <c r="A1104" s="269">
        <v>45910.437893518516</v>
      </c>
      <c r="B1104" t="s">
        <v>1444</v>
      </c>
      <c r="C1104" t="s">
        <v>58</v>
      </c>
      <c r="D1104" t="s">
        <v>1557</v>
      </c>
      <c r="E1104">
        <v>19.96</v>
      </c>
    </row>
    <row r="1105" spans="1:5" x14ac:dyDescent="0.2">
      <c r="A1105" s="269">
        <v>45910.437893518516</v>
      </c>
      <c r="B1105" t="s">
        <v>1444</v>
      </c>
      <c r="C1105" t="s">
        <v>58</v>
      </c>
      <c r="D1105" t="s">
        <v>1558</v>
      </c>
      <c r="E1105">
        <v>0</v>
      </c>
    </row>
    <row r="1106" spans="1:5" x14ac:dyDescent="0.2">
      <c r="A1106" s="269">
        <v>45910.43818287037</v>
      </c>
      <c r="B1106" t="s">
        <v>1444</v>
      </c>
      <c r="C1106" t="s">
        <v>58</v>
      </c>
      <c r="D1106" t="s">
        <v>1546</v>
      </c>
      <c r="E1106">
        <v>0</v>
      </c>
    </row>
    <row r="1107" spans="1:5" x14ac:dyDescent="0.2">
      <c r="A1107" s="269">
        <v>45910.438321759262</v>
      </c>
      <c r="B1107" t="s">
        <v>1444</v>
      </c>
      <c r="C1107" t="s">
        <v>58</v>
      </c>
      <c r="D1107" t="s">
        <v>1559</v>
      </c>
      <c r="E1107">
        <v>20.6</v>
      </c>
    </row>
    <row r="1108" spans="1:5" x14ac:dyDescent="0.2">
      <c r="A1108" s="269">
        <v>45910.438356481478</v>
      </c>
      <c r="B1108" t="s">
        <v>1444</v>
      </c>
      <c r="C1108" t="s">
        <v>58</v>
      </c>
      <c r="D1108" t="s">
        <v>1560</v>
      </c>
      <c r="E1108">
        <v>8.3699999999999992</v>
      </c>
    </row>
    <row r="1109" spans="1:5" x14ac:dyDescent="0.2">
      <c r="A1109" s="269">
        <v>45910.438368055555</v>
      </c>
      <c r="B1109" t="s">
        <v>1444</v>
      </c>
      <c r="C1109" t="s">
        <v>58</v>
      </c>
      <c r="D1109" t="s">
        <v>1561</v>
      </c>
      <c r="E1109">
        <v>0</v>
      </c>
    </row>
    <row r="1110" spans="1:5" x14ac:dyDescent="0.2">
      <c r="A1110" s="269">
        <v>45910.438402777778</v>
      </c>
      <c r="B1110" t="s">
        <v>1444</v>
      </c>
      <c r="C1110" t="s">
        <v>58</v>
      </c>
      <c r="D1110" t="s">
        <v>1562</v>
      </c>
      <c r="E1110">
        <v>17.7</v>
      </c>
    </row>
    <row r="1111" spans="1:5" x14ac:dyDescent="0.2">
      <c r="A1111" s="269">
        <v>45910.438437500001</v>
      </c>
      <c r="B1111" t="s">
        <v>1444</v>
      </c>
      <c r="C1111" t="s">
        <v>58</v>
      </c>
      <c r="D1111" t="s">
        <v>1563</v>
      </c>
      <c r="E1111">
        <v>12.23</v>
      </c>
    </row>
    <row r="1112" spans="1:5" x14ac:dyDescent="0.2">
      <c r="A1112" s="269">
        <v>45910.438460648147</v>
      </c>
      <c r="B1112" t="s">
        <v>1444</v>
      </c>
      <c r="C1112" t="s">
        <v>58</v>
      </c>
      <c r="D1112" t="s">
        <v>1564</v>
      </c>
      <c r="E1112">
        <v>0</v>
      </c>
    </row>
    <row r="1113" spans="1:5" x14ac:dyDescent="0.2">
      <c r="A1113" s="269">
        <v>45910.438483796293</v>
      </c>
      <c r="B1113" t="s">
        <v>1444</v>
      </c>
      <c r="C1113" t="s">
        <v>58</v>
      </c>
      <c r="D1113" t="s">
        <v>1565</v>
      </c>
      <c r="E1113">
        <v>9.5</v>
      </c>
    </row>
    <row r="1114" spans="1:5" x14ac:dyDescent="0.2">
      <c r="A1114" s="269">
        <v>45910.438634259262</v>
      </c>
      <c r="B1114" t="s">
        <v>1444</v>
      </c>
      <c r="C1114" t="s">
        <v>58</v>
      </c>
      <c r="D1114" t="s">
        <v>1566</v>
      </c>
      <c r="E1114">
        <v>7.4</v>
      </c>
    </row>
    <row r="1115" spans="1:5" x14ac:dyDescent="0.2">
      <c r="A1115" s="269">
        <v>45910.438645833332</v>
      </c>
      <c r="B1115" t="s">
        <v>1444</v>
      </c>
      <c r="C1115" t="s">
        <v>58</v>
      </c>
      <c r="D1115" t="s">
        <v>1567</v>
      </c>
      <c r="E1115">
        <v>8.27</v>
      </c>
    </row>
    <row r="1116" spans="1:5" x14ac:dyDescent="0.2">
      <c r="A1116" s="269">
        <v>45910.438692129632</v>
      </c>
      <c r="B1116" t="s">
        <v>1444</v>
      </c>
      <c r="C1116" t="s">
        <v>58</v>
      </c>
      <c r="D1116" t="s">
        <v>1568</v>
      </c>
      <c r="E1116">
        <v>48.77</v>
      </c>
    </row>
    <row r="1117" spans="1:5" x14ac:dyDescent="0.2">
      <c r="A1117" s="269">
        <v>45910.438750000001</v>
      </c>
      <c r="B1117" t="s">
        <v>1444</v>
      </c>
      <c r="C1117" t="s">
        <v>58</v>
      </c>
      <c r="D1117" t="s">
        <v>1569</v>
      </c>
      <c r="E1117">
        <v>142.86000000000001</v>
      </c>
    </row>
    <row r="1118" spans="1:5" x14ac:dyDescent="0.2">
      <c r="A1118" s="269">
        <v>45910.438784722224</v>
      </c>
      <c r="B1118" t="s">
        <v>1444</v>
      </c>
      <c r="C1118" t="s">
        <v>58</v>
      </c>
      <c r="D1118" t="s">
        <v>1570</v>
      </c>
      <c r="E1118">
        <v>23.9</v>
      </c>
    </row>
    <row r="1119" spans="1:5" x14ac:dyDescent="0.2">
      <c r="A1119" s="269">
        <v>45910.438877314817</v>
      </c>
      <c r="B1119" t="s">
        <v>1444</v>
      </c>
      <c r="C1119" t="s">
        <v>58</v>
      </c>
      <c r="D1119" t="s">
        <v>1571</v>
      </c>
      <c r="E1119">
        <v>3.95</v>
      </c>
    </row>
    <row r="1120" spans="1:5" x14ac:dyDescent="0.2">
      <c r="A1120" s="269">
        <v>45910.438946759263</v>
      </c>
      <c r="B1120" t="s">
        <v>1444</v>
      </c>
      <c r="C1120" t="s">
        <v>58</v>
      </c>
      <c r="D1120" t="s">
        <v>1572</v>
      </c>
      <c r="E1120">
        <v>14.59</v>
      </c>
    </row>
    <row r="1121" spans="1:5" x14ac:dyDescent="0.2">
      <c r="A1121" s="269">
        <v>45910.438981481479</v>
      </c>
      <c r="B1121" t="s">
        <v>1444</v>
      </c>
      <c r="C1121" t="s">
        <v>58</v>
      </c>
      <c r="D1121" t="s">
        <v>1573</v>
      </c>
      <c r="E1121">
        <v>4.2699999999999996</v>
      </c>
    </row>
    <row r="1122" spans="1:5" x14ac:dyDescent="0.2">
      <c r="A1122" s="269">
        <v>45910.439062500001</v>
      </c>
      <c r="B1122" t="s">
        <v>1444</v>
      </c>
      <c r="C1122" t="s">
        <v>58</v>
      </c>
      <c r="D1122" t="s">
        <v>1574</v>
      </c>
      <c r="E1122">
        <v>43.76</v>
      </c>
    </row>
    <row r="1123" spans="1:5" x14ac:dyDescent="0.2">
      <c r="A1123" s="269">
        <v>45910.439085648148</v>
      </c>
      <c r="B1123" t="s">
        <v>1444</v>
      </c>
      <c r="C1123" t="s">
        <v>58</v>
      </c>
      <c r="D1123" t="s">
        <v>1575</v>
      </c>
      <c r="E1123">
        <v>2.34</v>
      </c>
    </row>
    <row r="1124" spans="1:5" x14ac:dyDescent="0.2">
      <c r="A1124" s="269">
        <v>45910.439108796294</v>
      </c>
      <c r="B1124" t="s">
        <v>1444</v>
      </c>
      <c r="C1124" t="s">
        <v>58</v>
      </c>
      <c r="D1124" t="s">
        <v>1576</v>
      </c>
      <c r="E1124">
        <v>5.4</v>
      </c>
    </row>
    <row r="1125" spans="1:5" x14ac:dyDescent="0.2">
      <c r="A1125" s="269">
        <v>45910.439120370371</v>
      </c>
      <c r="B1125" t="s">
        <v>1444</v>
      </c>
      <c r="C1125" t="s">
        <v>58</v>
      </c>
      <c r="D1125" t="s">
        <v>1577</v>
      </c>
      <c r="E1125">
        <v>2.74</v>
      </c>
    </row>
    <row r="1126" spans="1:5" x14ac:dyDescent="0.2">
      <c r="A1126" s="269">
        <v>45910.439212962963</v>
      </c>
      <c r="B1126" t="s">
        <v>1444</v>
      </c>
      <c r="C1126" t="s">
        <v>58</v>
      </c>
      <c r="D1126" t="s">
        <v>1578</v>
      </c>
      <c r="E1126">
        <v>29.77</v>
      </c>
    </row>
    <row r="1127" spans="1:5" x14ac:dyDescent="0.2">
      <c r="A1127" s="269">
        <v>45910.439236111109</v>
      </c>
      <c r="B1127" t="s">
        <v>1444</v>
      </c>
      <c r="C1127" t="s">
        <v>58</v>
      </c>
      <c r="D1127" t="s">
        <v>1579</v>
      </c>
      <c r="E1127">
        <v>28.97</v>
      </c>
    </row>
    <row r="1128" spans="1:5" x14ac:dyDescent="0.2">
      <c r="A1128" s="269">
        <v>45910.439293981479</v>
      </c>
      <c r="B1128" t="s">
        <v>1444</v>
      </c>
      <c r="C1128" t="s">
        <v>58</v>
      </c>
      <c r="D1128" t="s">
        <v>1580</v>
      </c>
      <c r="E1128">
        <v>170.91</v>
      </c>
    </row>
    <row r="1129" spans="1:5" x14ac:dyDescent="0.2">
      <c r="A1129" s="269">
        <v>45910.439340277779</v>
      </c>
      <c r="B1129" t="s">
        <v>1444</v>
      </c>
      <c r="C1129" t="s">
        <v>58</v>
      </c>
      <c r="D1129" t="s">
        <v>1581</v>
      </c>
      <c r="E1129">
        <v>500.18</v>
      </c>
    </row>
    <row r="1130" spans="1:5" x14ac:dyDescent="0.2">
      <c r="A1130" s="269">
        <v>45910.439363425925</v>
      </c>
      <c r="B1130" t="s">
        <v>1444</v>
      </c>
      <c r="C1130" t="s">
        <v>58</v>
      </c>
      <c r="D1130" t="s">
        <v>1582</v>
      </c>
      <c r="E1130">
        <v>83.85</v>
      </c>
    </row>
    <row r="1131" spans="1:5" x14ac:dyDescent="0.2">
      <c r="A1131" s="269">
        <v>45910.439479166664</v>
      </c>
      <c r="B1131" t="s">
        <v>1444</v>
      </c>
      <c r="C1131" t="s">
        <v>58</v>
      </c>
      <c r="D1131" t="s">
        <v>1583</v>
      </c>
      <c r="E1131">
        <v>13.84</v>
      </c>
    </row>
    <row r="1132" spans="1:5" x14ac:dyDescent="0.2">
      <c r="A1132" s="269">
        <v>45910.439502314817</v>
      </c>
      <c r="B1132" t="s">
        <v>1444</v>
      </c>
      <c r="C1132" t="s">
        <v>58</v>
      </c>
      <c r="D1132" t="s">
        <v>1584</v>
      </c>
      <c r="E1132">
        <v>51.17</v>
      </c>
    </row>
    <row r="1133" spans="1:5" x14ac:dyDescent="0.2">
      <c r="A1133" s="269">
        <v>45910.43953703704</v>
      </c>
      <c r="B1133" t="s">
        <v>1444</v>
      </c>
      <c r="C1133" t="s">
        <v>58</v>
      </c>
      <c r="D1133" t="s">
        <v>1585</v>
      </c>
      <c r="E1133">
        <v>14.96</v>
      </c>
    </row>
    <row r="1134" spans="1:5" x14ac:dyDescent="0.2">
      <c r="A1134" s="269">
        <v>45910.439618055556</v>
      </c>
      <c r="B1134" t="s">
        <v>1444</v>
      </c>
      <c r="C1134" t="s">
        <v>58</v>
      </c>
      <c r="D1134" t="s">
        <v>1586</v>
      </c>
      <c r="E1134">
        <v>153.34</v>
      </c>
    </row>
    <row r="1135" spans="1:5" x14ac:dyDescent="0.2">
      <c r="A1135" s="269">
        <v>45910.439652777779</v>
      </c>
      <c r="B1135" t="s">
        <v>1444</v>
      </c>
      <c r="C1135" t="s">
        <v>58</v>
      </c>
      <c r="D1135" t="s">
        <v>1587</v>
      </c>
      <c r="E1135">
        <v>8.2100000000000009</v>
      </c>
    </row>
    <row r="1136" spans="1:5" x14ac:dyDescent="0.2">
      <c r="A1136" s="269">
        <v>45910.439699074072</v>
      </c>
      <c r="B1136" t="s">
        <v>1444</v>
      </c>
      <c r="C1136" t="s">
        <v>58</v>
      </c>
      <c r="D1136" t="s">
        <v>1588</v>
      </c>
      <c r="E1136">
        <v>18.899999999999999</v>
      </c>
    </row>
    <row r="1137" spans="1:5" x14ac:dyDescent="0.2">
      <c r="A1137" s="269">
        <v>45910.439745370371</v>
      </c>
      <c r="B1137" t="s">
        <v>1444</v>
      </c>
      <c r="C1137" t="s">
        <v>58</v>
      </c>
      <c r="D1137" t="s">
        <v>1589</v>
      </c>
      <c r="E1137">
        <v>9.6</v>
      </c>
    </row>
    <row r="1138" spans="1:5" x14ac:dyDescent="0.2">
      <c r="A1138" s="269">
        <v>45910.439918981479</v>
      </c>
      <c r="B1138" t="s">
        <v>1444</v>
      </c>
      <c r="C1138" t="s">
        <v>58</v>
      </c>
      <c r="D1138" t="s">
        <v>1590</v>
      </c>
      <c r="E1138">
        <v>7.16</v>
      </c>
    </row>
    <row r="1139" spans="1:5" x14ac:dyDescent="0.2">
      <c r="A1139" s="269">
        <v>45910.439930555556</v>
      </c>
      <c r="B1139" t="s">
        <v>1444</v>
      </c>
      <c r="C1139" t="s">
        <v>58</v>
      </c>
      <c r="D1139" t="s">
        <v>1591</v>
      </c>
      <c r="E1139">
        <v>8.2200000000000006</v>
      </c>
    </row>
    <row r="1140" spans="1:5" x14ac:dyDescent="0.2">
      <c r="A1140" s="269">
        <v>45910.439953703702</v>
      </c>
      <c r="B1140" t="s">
        <v>1444</v>
      </c>
      <c r="C1140" t="s">
        <v>58</v>
      </c>
      <c r="D1140" t="s">
        <v>1592</v>
      </c>
      <c r="E1140">
        <v>21.9</v>
      </c>
    </row>
    <row r="1141" spans="1:5" x14ac:dyDescent="0.2">
      <c r="A1141" s="269">
        <v>45910.439976851849</v>
      </c>
      <c r="B1141" t="s">
        <v>1444</v>
      </c>
      <c r="C1141" t="s">
        <v>58</v>
      </c>
      <c r="D1141" t="s">
        <v>1593</v>
      </c>
      <c r="E1141">
        <v>142.94999999999999</v>
      </c>
    </row>
    <row r="1142" spans="1:5" x14ac:dyDescent="0.2">
      <c r="A1142" s="269">
        <v>45910.440023148149</v>
      </c>
      <c r="B1142" t="s">
        <v>1444</v>
      </c>
      <c r="C1142" t="s">
        <v>58</v>
      </c>
      <c r="D1142" t="s">
        <v>1594</v>
      </c>
      <c r="E1142">
        <v>20.6</v>
      </c>
    </row>
    <row r="1143" spans="1:5" x14ac:dyDescent="0.2">
      <c r="A1143" s="269">
        <v>45910.440057870372</v>
      </c>
      <c r="B1143" t="s">
        <v>1444</v>
      </c>
      <c r="C1143" t="s">
        <v>58</v>
      </c>
      <c r="D1143" t="s">
        <v>1595</v>
      </c>
      <c r="E1143">
        <v>3.81</v>
      </c>
    </row>
    <row r="1144" spans="1:5" x14ac:dyDescent="0.2">
      <c r="A1144" s="269">
        <v>45910.440081018518</v>
      </c>
      <c r="B1144" t="s">
        <v>1444</v>
      </c>
      <c r="C1144" t="s">
        <v>58</v>
      </c>
      <c r="D1144" t="s">
        <v>1596</v>
      </c>
      <c r="E1144">
        <v>14.05</v>
      </c>
    </row>
    <row r="1145" spans="1:5" x14ac:dyDescent="0.2">
      <c r="A1145" s="269">
        <v>45910.440115740741</v>
      </c>
      <c r="B1145" t="s">
        <v>1444</v>
      </c>
      <c r="C1145" t="s">
        <v>58</v>
      </c>
      <c r="D1145" t="s">
        <v>1597</v>
      </c>
      <c r="E1145">
        <v>4.2699999999999996</v>
      </c>
    </row>
    <row r="1146" spans="1:5" x14ac:dyDescent="0.2">
      <c r="A1146" s="269">
        <v>45910.440162037034</v>
      </c>
      <c r="B1146" t="s">
        <v>1444</v>
      </c>
      <c r="C1146" t="s">
        <v>58</v>
      </c>
      <c r="D1146" t="s">
        <v>1598</v>
      </c>
      <c r="E1146">
        <v>45.93</v>
      </c>
    </row>
    <row r="1147" spans="1:5" x14ac:dyDescent="0.2">
      <c r="A1147" s="269">
        <v>45910.440196759257</v>
      </c>
      <c r="B1147" t="s">
        <v>1444</v>
      </c>
      <c r="C1147" t="s">
        <v>58</v>
      </c>
      <c r="D1147" t="s">
        <v>1599</v>
      </c>
      <c r="E1147">
        <v>2.48</v>
      </c>
    </row>
    <row r="1148" spans="1:5" x14ac:dyDescent="0.2">
      <c r="A1148" s="269">
        <v>45910.440266203703</v>
      </c>
      <c r="B1148" t="s">
        <v>1444</v>
      </c>
      <c r="C1148" t="s">
        <v>58</v>
      </c>
      <c r="D1148" t="s">
        <v>1600</v>
      </c>
      <c r="E1148">
        <v>5.23</v>
      </c>
    </row>
    <row r="1149" spans="1:5" x14ac:dyDescent="0.2">
      <c r="A1149" s="269">
        <v>45910.440289351849</v>
      </c>
      <c r="B1149" t="s">
        <v>1444</v>
      </c>
      <c r="C1149" t="s">
        <v>58</v>
      </c>
      <c r="D1149" t="s">
        <v>1601</v>
      </c>
      <c r="E1149">
        <v>3.63</v>
      </c>
    </row>
    <row r="1150" spans="1:5" x14ac:dyDescent="0.2">
      <c r="A1150" s="269">
        <v>45910.440428240741</v>
      </c>
      <c r="B1150" t="s">
        <v>1444</v>
      </c>
      <c r="C1150" t="s">
        <v>58</v>
      </c>
      <c r="D1150" t="s">
        <v>1602</v>
      </c>
      <c r="E1150">
        <v>28.81</v>
      </c>
    </row>
    <row r="1151" spans="1:5" x14ac:dyDescent="0.2">
      <c r="A1151" s="269">
        <v>45910.440486111111</v>
      </c>
      <c r="B1151" t="s">
        <v>1444</v>
      </c>
      <c r="C1151" t="s">
        <v>58</v>
      </c>
      <c r="D1151" t="s">
        <v>1603</v>
      </c>
      <c r="E1151">
        <v>28.81</v>
      </c>
    </row>
    <row r="1152" spans="1:5" x14ac:dyDescent="0.2">
      <c r="A1152" s="269">
        <v>45910.443171296298</v>
      </c>
      <c r="B1152" t="s">
        <v>1444</v>
      </c>
      <c r="C1152" t="s">
        <v>58</v>
      </c>
      <c r="D1152" t="s">
        <v>1604</v>
      </c>
      <c r="E1152">
        <v>76.77</v>
      </c>
    </row>
    <row r="1153" spans="1:5" x14ac:dyDescent="0.2">
      <c r="A1153" s="269">
        <v>45910.44321759259</v>
      </c>
      <c r="B1153" t="s">
        <v>1444</v>
      </c>
      <c r="C1153" t="s">
        <v>58</v>
      </c>
      <c r="D1153" t="s">
        <v>1605</v>
      </c>
      <c r="E1153">
        <v>500.67</v>
      </c>
    </row>
    <row r="1154" spans="1:5" x14ac:dyDescent="0.2">
      <c r="A1154" s="269">
        <v>45910.443240740744</v>
      </c>
      <c r="B1154" t="s">
        <v>1444</v>
      </c>
      <c r="C1154" t="s">
        <v>58</v>
      </c>
      <c r="D1154" t="s">
        <v>1606</v>
      </c>
      <c r="E1154">
        <v>72.260000000000005</v>
      </c>
    </row>
    <row r="1155" spans="1:5" x14ac:dyDescent="0.2">
      <c r="A1155" s="269">
        <v>45910.44327546296</v>
      </c>
      <c r="B1155" t="s">
        <v>1444</v>
      </c>
      <c r="C1155" t="s">
        <v>58</v>
      </c>
      <c r="D1155" t="s">
        <v>1607</v>
      </c>
      <c r="E1155">
        <v>13.35</v>
      </c>
    </row>
    <row r="1156" spans="1:5" x14ac:dyDescent="0.2">
      <c r="A1156" s="269">
        <v>45910.443356481483</v>
      </c>
      <c r="B1156" t="s">
        <v>1444</v>
      </c>
      <c r="C1156" t="s">
        <v>58</v>
      </c>
      <c r="D1156" t="s">
        <v>1608</v>
      </c>
      <c r="E1156">
        <v>49.24</v>
      </c>
    </row>
    <row r="1157" spans="1:5" x14ac:dyDescent="0.2">
      <c r="A1157" s="269">
        <v>45910.443449074075</v>
      </c>
      <c r="B1157" t="s">
        <v>1444</v>
      </c>
      <c r="C1157" t="s">
        <v>58</v>
      </c>
      <c r="D1157" t="s">
        <v>1609</v>
      </c>
      <c r="E1157">
        <v>14.96</v>
      </c>
    </row>
    <row r="1158" spans="1:5" x14ac:dyDescent="0.2">
      <c r="A1158" s="269">
        <v>45910.443483796298</v>
      </c>
      <c r="B1158" t="s">
        <v>1444</v>
      </c>
      <c r="C1158" t="s">
        <v>58</v>
      </c>
      <c r="D1158" t="s">
        <v>1610</v>
      </c>
      <c r="E1158">
        <v>160.9</v>
      </c>
    </row>
    <row r="1159" spans="1:5" x14ac:dyDescent="0.2">
      <c r="A1159" s="269">
        <v>45910.443541666667</v>
      </c>
      <c r="B1159" t="s">
        <v>1444</v>
      </c>
      <c r="C1159" t="s">
        <v>58</v>
      </c>
      <c r="D1159" t="s">
        <v>1611</v>
      </c>
      <c r="E1159">
        <v>8.69</v>
      </c>
    </row>
    <row r="1160" spans="1:5" x14ac:dyDescent="0.2">
      <c r="A1160" s="269">
        <v>45910.443576388891</v>
      </c>
      <c r="B1160" t="s">
        <v>1444</v>
      </c>
      <c r="C1160" t="s">
        <v>58</v>
      </c>
      <c r="D1160" t="s">
        <v>1612</v>
      </c>
      <c r="E1160">
        <v>18.3</v>
      </c>
    </row>
    <row r="1161" spans="1:5" x14ac:dyDescent="0.2">
      <c r="A1161" s="269">
        <v>45910.44358796296</v>
      </c>
      <c r="B1161" t="s">
        <v>1444</v>
      </c>
      <c r="C1161" t="s">
        <v>58</v>
      </c>
      <c r="D1161" t="s">
        <v>1613</v>
      </c>
      <c r="E1161">
        <v>13</v>
      </c>
    </row>
    <row r="1162" spans="1:5" x14ac:dyDescent="0.2">
      <c r="A1162" s="269">
        <v>45910.446481481478</v>
      </c>
      <c r="B1162" t="s">
        <v>1444</v>
      </c>
      <c r="C1162" t="s">
        <v>58</v>
      </c>
      <c r="D1162" t="s">
        <v>1614</v>
      </c>
      <c r="E1162">
        <v>63.41</v>
      </c>
    </row>
    <row r="1163" spans="1:5" x14ac:dyDescent="0.2">
      <c r="A1163" s="269">
        <v>45910.446550925924</v>
      </c>
      <c r="B1163" t="s">
        <v>1444</v>
      </c>
      <c r="C1163" t="s">
        <v>58</v>
      </c>
      <c r="D1163" t="s">
        <v>1615</v>
      </c>
      <c r="E1163">
        <v>24.1</v>
      </c>
    </row>
    <row r="1164" spans="1:5" x14ac:dyDescent="0.2">
      <c r="A1164" s="269">
        <v>45910.446597222224</v>
      </c>
      <c r="B1164" t="s">
        <v>1444</v>
      </c>
      <c r="C1164" t="s">
        <v>58</v>
      </c>
      <c r="D1164" t="s">
        <v>1616</v>
      </c>
      <c r="E1164">
        <v>42.63</v>
      </c>
    </row>
    <row r="1165" spans="1:5" x14ac:dyDescent="0.2">
      <c r="A1165" s="269">
        <v>45910.44667824074</v>
      </c>
      <c r="B1165" t="s">
        <v>1444</v>
      </c>
      <c r="C1165" t="s">
        <v>58</v>
      </c>
      <c r="D1165" t="s">
        <v>668</v>
      </c>
      <c r="E1165">
        <v>386.45</v>
      </c>
    </row>
    <row r="1166" spans="1:5" x14ac:dyDescent="0.2">
      <c r="A1166" s="269">
        <v>45910.446689814817</v>
      </c>
      <c r="B1166" t="s">
        <v>1444</v>
      </c>
      <c r="C1166" t="s">
        <v>58</v>
      </c>
      <c r="D1166" t="s">
        <v>1617</v>
      </c>
      <c r="E1166">
        <v>144.55000000000001</v>
      </c>
    </row>
    <row r="1167" spans="1:5" x14ac:dyDescent="0.2">
      <c r="A1167" s="269">
        <v>45910.44672453704</v>
      </c>
      <c r="B1167" t="s">
        <v>1444</v>
      </c>
      <c r="C1167" t="s">
        <v>58</v>
      </c>
      <c r="D1167" t="s">
        <v>1618</v>
      </c>
      <c r="E1167">
        <v>256</v>
      </c>
    </row>
    <row r="1168" spans="1:5" x14ac:dyDescent="0.2">
      <c r="A1168" s="269">
        <v>45910.446875000001</v>
      </c>
      <c r="B1168" t="s">
        <v>1444</v>
      </c>
      <c r="C1168" t="s">
        <v>58</v>
      </c>
      <c r="D1168" t="s">
        <v>1619</v>
      </c>
      <c r="E1168">
        <v>72.010000000000005</v>
      </c>
    </row>
    <row r="1169" spans="1:5" x14ac:dyDescent="0.2">
      <c r="A1169" s="269">
        <v>45910.446932870371</v>
      </c>
      <c r="B1169" t="s">
        <v>1444</v>
      </c>
      <c r="C1169" t="s">
        <v>58</v>
      </c>
      <c r="D1169" t="s">
        <v>1620</v>
      </c>
      <c r="E1169">
        <v>220.18</v>
      </c>
    </row>
    <row r="1170" spans="1:5" x14ac:dyDescent="0.2">
      <c r="A1170" s="269">
        <v>45910.44699074074</v>
      </c>
      <c r="B1170" t="s">
        <v>1444</v>
      </c>
      <c r="C1170" t="s">
        <v>58</v>
      </c>
      <c r="D1170" t="s">
        <v>1621</v>
      </c>
      <c r="E1170">
        <v>34.51</v>
      </c>
    </row>
    <row r="1171" spans="1:5" x14ac:dyDescent="0.2">
      <c r="A1171" s="269">
        <v>45910.44703703704</v>
      </c>
      <c r="B1171" t="s">
        <v>1444</v>
      </c>
      <c r="C1171" t="s">
        <v>58</v>
      </c>
      <c r="D1171" t="s">
        <v>1622</v>
      </c>
      <c r="E1171">
        <v>432</v>
      </c>
    </row>
    <row r="1172" spans="1:5" x14ac:dyDescent="0.2">
      <c r="A1172" s="269">
        <v>45910.447083333333</v>
      </c>
      <c r="B1172" t="s">
        <v>1444</v>
      </c>
      <c r="C1172" t="s">
        <v>58</v>
      </c>
      <c r="D1172" t="s">
        <v>1623</v>
      </c>
      <c r="E1172">
        <v>1321</v>
      </c>
    </row>
    <row r="1173" spans="1:5" x14ac:dyDescent="0.2">
      <c r="A1173" s="269">
        <v>45910.447094907409</v>
      </c>
      <c r="B1173" t="s">
        <v>1444</v>
      </c>
      <c r="C1173" t="s">
        <v>58</v>
      </c>
      <c r="D1173" t="s">
        <v>1624</v>
      </c>
      <c r="E1173">
        <v>207</v>
      </c>
    </row>
    <row r="1174" spans="1:5" x14ac:dyDescent="0.2">
      <c r="A1174" s="269">
        <v>45910.447175925925</v>
      </c>
      <c r="B1174" t="s">
        <v>1444</v>
      </c>
      <c r="C1174" t="s">
        <v>58</v>
      </c>
      <c r="D1174" t="s">
        <v>1625</v>
      </c>
      <c r="E1174">
        <v>25.2</v>
      </c>
    </row>
    <row r="1175" spans="1:5" x14ac:dyDescent="0.2">
      <c r="A1175" s="269">
        <v>45910.447199074071</v>
      </c>
      <c r="B1175" t="s">
        <v>1444</v>
      </c>
      <c r="C1175" t="s">
        <v>58</v>
      </c>
      <c r="D1175" t="s">
        <v>1626</v>
      </c>
      <c r="E1175">
        <v>2</v>
      </c>
    </row>
    <row r="1176" spans="1:5" x14ac:dyDescent="0.2">
      <c r="A1176" s="269">
        <v>45910.447210648148</v>
      </c>
      <c r="B1176" t="s">
        <v>1444</v>
      </c>
      <c r="C1176" t="s">
        <v>58</v>
      </c>
      <c r="D1176" t="s">
        <v>1627</v>
      </c>
      <c r="E1176">
        <v>3.6</v>
      </c>
    </row>
    <row r="1177" spans="1:5" x14ac:dyDescent="0.2">
      <c r="A1177" s="269">
        <v>45910.447256944448</v>
      </c>
      <c r="B1177" t="s">
        <v>1444</v>
      </c>
      <c r="C1177" t="s">
        <v>58</v>
      </c>
      <c r="D1177" t="s">
        <v>1628</v>
      </c>
      <c r="E1177">
        <v>126</v>
      </c>
    </row>
    <row r="1178" spans="1:5" x14ac:dyDescent="0.2">
      <c r="A1178" s="269">
        <v>45910.447268518517</v>
      </c>
      <c r="B1178" t="s">
        <v>1444</v>
      </c>
      <c r="C1178" t="s">
        <v>58</v>
      </c>
      <c r="D1178" t="s">
        <v>1629</v>
      </c>
      <c r="E1178">
        <v>10</v>
      </c>
    </row>
    <row r="1179" spans="1:5" x14ac:dyDescent="0.2">
      <c r="A1179" s="269">
        <v>45910.447280092594</v>
      </c>
      <c r="B1179" t="s">
        <v>1444</v>
      </c>
      <c r="C1179" t="s">
        <v>58</v>
      </c>
      <c r="D1179" t="s">
        <v>1630</v>
      </c>
      <c r="E1179">
        <v>18</v>
      </c>
    </row>
    <row r="1180" spans="1:5" x14ac:dyDescent="0.2">
      <c r="A1180" s="269">
        <v>45910.447777777779</v>
      </c>
      <c r="B1180" t="s">
        <v>1444</v>
      </c>
      <c r="C1180" t="s">
        <v>58</v>
      </c>
      <c r="D1180" t="s">
        <v>1630</v>
      </c>
    </row>
    <row r="1181" spans="1:5" x14ac:dyDescent="0.2">
      <c r="A1181" s="269">
        <v>45910.447800925926</v>
      </c>
      <c r="B1181" t="s">
        <v>1444</v>
      </c>
      <c r="C1181" t="s">
        <v>58</v>
      </c>
      <c r="D1181" t="s">
        <v>1630</v>
      </c>
      <c r="E1181">
        <v>18</v>
      </c>
    </row>
    <row r="1182" spans="1:5" x14ac:dyDescent="0.2">
      <c r="A1182" s="269">
        <v>45910.447916666664</v>
      </c>
      <c r="B1182" t="s">
        <v>1444</v>
      </c>
      <c r="C1182" t="s">
        <v>58</v>
      </c>
      <c r="D1182" t="s">
        <v>1631</v>
      </c>
      <c r="E1182" t="s">
        <v>343</v>
      </c>
    </row>
    <row r="1183" spans="1:5" x14ac:dyDescent="0.2">
      <c r="A1183" s="269">
        <v>45910.447951388887</v>
      </c>
      <c r="B1183" t="s">
        <v>1444</v>
      </c>
      <c r="C1183" t="s">
        <v>58</v>
      </c>
      <c r="D1183" t="s">
        <v>1632</v>
      </c>
      <c r="E1183" t="s">
        <v>343</v>
      </c>
    </row>
    <row r="1184" spans="1:5" x14ac:dyDescent="0.2">
      <c r="A1184" s="269">
        <v>45910.447997685187</v>
      </c>
      <c r="B1184" t="s">
        <v>1444</v>
      </c>
      <c r="C1184" t="s">
        <v>58</v>
      </c>
      <c r="D1184" t="s">
        <v>1633</v>
      </c>
      <c r="E1184" t="s">
        <v>63</v>
      </c>
    </row>
    <row r="1185" spans="1:5" x14ac:dyDescent="0.2">
      <c r="A1185" s="269">
        <v>45910.448009259257</v>
      </c>
      <c r="B1185" t="s">
        <v>1444</v>
      </c>
      <c r="C1185" t="s">
        <v>58</v>
      </c>
      <c r="D1185" t="s">
        <v>1634</v>
      </c>
      <c r="E1185" t="s">
        <v>63</v>
      </c>
    </row>
    <row r="1186" spans="1:5" x14ac:dyDescent="0.2">
      <c r="A1186" s="269">
        <v>45910.448020833333</v>
      </c>
      <c r="B1186" t="s">
        <v>1444</v>
      </c>
      <c r="C1186" t="s">
        <v>58</v>
      </c>
      <c r="D1186" t="s">
        <v>1634</v>
      </c>
      <c r="E1186" t="s">
        <v>63</v>
      </c>
    </row>
    <row r="1187" spans="1:5" x14ac:dyDescent="0.2">
      <c r="A1187" s="269">
        <v>45910.44804398148</v>
      </c>
      <c r="B1187" t="s">
        <v>1444</v>
      </c>
      <c r="C1187" t="s">
        <v>58</v>
      </c>
      <c r="D1187" t="s">
        <v>1635</v>
      </c>
      <c r="E1187" t="s">
        <v>63</v>
      </c>
    </row>
    <row r="1188" spans="1:5" x14ac:dyDescent="0.2">
      <c r="A1188" s="269">
        <v>45910.448055555556</v>
      </c>
      <c r="B1188" t="s">
        <v>1444</v>
      </c>
      <c r="C1188" t="s">
        <v>58</v>
      </c>
      <c r="D1188" t="s">
        <v>1636</v>
      </c>
      <c r="E1188" t="s">
        <v>63</v>
      </c>
    </row>
    <row r="1189" spans="1:5" x14ac:dyDescent="0.2">
      <c r="A1189" s="269">
        <v>45910.448067129626</v>
      </c>
      <c r="B1189" t="s">
        <v>1444</v>
      </c>
      <c r="C1189" t="s">
        <v>58</v>
      </c>
      <c r="D1189" t="s">
        <v>1637</v>
      </c>
      <c r="E1189" t="s">
        <v>63</v>
      </c>
    </row>
    <row r="1190" spans="1:5" x14ac:dyDescent="0.2">
      <c r="A1190" s="269">
        <v>45910.44809027778</v>
      </c>
      <c r="B1190" t="s">
        <v>1444</v>
      </c>
      <c r="C1190" t="s">
        <v>58</v>
      </c>
      <c r="D1190" t="s">
        <v>1638</v>
      </c>
      <c r="E1190" t="s">
        <v>63</v>
      </c>
    </row>
    <row r="1191" spans="1:5" x14ac:dyDescent="0.2">
      <c r="A1191" s="269">
        <v>45910.448101851849</v>
      </c>
      <c r="B1191" t="s">
        <v>1444</v>
      </c>
      <c r="C1191" t="s">
        <v>58</v>
      </c>
      <c r="D1191" t="s">
        <v>1639</v>
      </c>
      <c r="E1191" t="s">
        <v>63</v>
      </c>
    </row>
    <row r="1192" spans="1:5" x14ac:dyDescent="0.2">
      <c r="A1192" s="269">
        <v>45910.448125000003</v>
      </c>
      <c r="B1192" t="s">
        <v>1444</v>
      </c>
      <c r="C1192" t="s">
        <v>58</v>
      </c>
      <c r="D1192" t="s">
        <v>1640</v>
      </c>
      <c r="E1192" t="s">
        <v>63</v>
      </c>
    </row>
    <row r="1193" spans="1:5" x14ac:dyDescent="0.2">
      <c r="A1193" s="269">
        <v>45910.448148148149</v>
      </c>
      <c r="B1193" t="s">
        <v>1444</v>
      </c>
      <c r="C1193" t="s">
        <v>58</v>
      </c>
      <c r="D1193" t="s">
        <v>1641</v>
      </c>
      <c r="E1193" t="s">
        <v>63</v>
      </c>
    </row>
    <row r="1194" spans="1:5" x14ac:dyDescent="0.2">
      <c r="A1194" s="269">
        <v>45910.448171296295</v>
      </c>
      <c r="B1194" t="s">
        <v>1444</v>
      </c>
      <c r="C1194" t="s">
        <v>58</v>
      </c>
      <c r="D1194" t="s">
        <v>1642</v>
      </c>
      <c r="E1194" t="s">
        <v>63</v>
      </c>
    </row>
    <row r="1195" spans="1:5" x14ac:dyDescent="0.2">
      <c r="A1195" s="269">
        <v>45910.448194444441</v>
      </c>
      <c r="B1195" t="s">
        <v>1444</v>
      </c>
      <c r="C1195" t="s">
        <v>58</v>
      </c>
      <c r="D1195" t="s">
        <v>1643</v>
      </c>
      <c r="E1195" t="s">
        <v>63</v>
      </c>
    </row>
    <row r="1196" spans="1:5" x14ac:dyDescent="0.2">
      <c r="A1196" s="269">
        <v>45910.448217592595</v>
      </c>
      <c r="B1196" t="s">
        <v>1444</v>
      </c>
      <c r="C1196" t="s">
        <v>58</v>
      </c>
      <c r="D1196" t="s">
        <v>1644</v>
      </c>
      <c r="E1196" t="s">
        <v>63</v>
      </c>
    </row>
    <row r="1197" spans="1:5" x14ac:dyDescent="0.2">
      <c r="A1197" s="269">
        <v>45910.448229166665</v>
      </c>
      <c r="B1197" t="s">
        <v>1444</v>
      </c>
      <c r="C1197" t="s">
        <v>58</v>
      </c>
      <c r="D1197" t="s">
        <v>1645</v>
      </c>
      <c r="E1197" t="s">
        <v>63</v>
      </c>
    </row>
    <row r="1198" spans="1:5" x14ac:dyDescent="0.2">
      <c r="A1198" s="269">
        <v>45910.448252314818</v>
      </c>
      <c r="B1198" t="s">
        <v>1444</v>
      </c>
      <c r="C1198" t="s">
        <v>58</v>
      </c>
      <c r="D1198" t="s">
        <v>1646</v>
      </c>
      <c r="E1198" t="s">
        <v>63</v>
      </c>
    </row>
    <row r="1199" spans="1:5" x14ac:dyDescent="0.2">
      <c r="A1199" s="269">
        <v>45910.448263888888</v>
      </c>
      <c r="B1199" t="s">
        <v>1444</v>
      </c>
      <c r="C1199" t="s">
        <v>58</v>
      </c>
      <c r="D1199" t="s">
        <v>1647</v>
      </c>
      <c r="E1199" t="s">
        <v>63</v>
      </c>
    </row>
    <row r="1200" spans="1:5" x14ac:dyDescent="0.2">
      <c r="A1200" s="269">
        <v>45910.448275462964</v>
      </c>
      <c r="B1200" t="s">
        <v>1444</v>
      </c>
      <c r="C1200" t="s">
        <v>58</v>
      </c>
      <c r="D1200" t="s">
        <v>1648</v>
      </c>
      <c r="E1200" t="s">
        <v>63</v>
      </c>
    </row>
    <row r="1201" spans="1:5" x14ac:dyDescent="0.2">
      <c r="A1201" s="269">
        <v>45910.448287037034</v>
      </c>
      <c r="B1201" t="s">
        <v>1444</v>
      </c>
      <c r="C1201" t="s">
        <v>58</v>
      </c>
      <c r="D1201" t="s">
        <v>1649</v>
      </c>
      <c r="E1201" t="s">
        <v>63</v>
      </c>
    </row>
    <row r="1202" spans="1:5" x14ac:dyDescent="0.2">
      <c r="A1202" s="269">
        <v>45910.448321759257</v>
      </c>
      <c r="B1202" t="s">
        <v>1444</v>
      </c>
      <c r="C1202" t="s">
        <v>58</v>
      </c>
      <c r="D1202" t="s">
        <v>1650</v>
      </c>
      <c r="E1202" t="s">
        <v>63</v>
      </c>
    </row>
    <row r="1203" spans="1:5" x14ac:dyDescent="0.2">
      <c r="A1203" s="269">
        <v>45910.448333333334</v>
      </c>
      <c r="B1203" t="s">
        <v>1444</v>
      </c>
      <c r="C1203" t="s">
        <v>58</v>
      </c>
      <c r="D1203" t="s">
        <v>1651</v>
      </c>
      <c r="E1203" t="s">
        <v>63</v>
      </c>
    </row>
    <row r="1204" spans="1:5" x14ac:dyDescent="0.2">
      <c r="A1204" s="269">
        <v>45910.448344907411</v>
      </c>
      <c r="B1204" t="s">
        <v>1444</v>
      </c>
      <c r="C1204" t="s">
        <v>58</v>
      </c>
      <c r="D1204" t="s">
        <v>1651</v>
      </c>
      <c r="E1204" t="s">
        <v>63</v>
      </c>
    </row>
    <row r="1205" spans="1:5" x14ac:dyDescent="0.2">
      <c r="A1205" s="269">
        <v>45910.448368055557</v>
      </c>
      <c r="B1205" t="s">
        <v>1444</v>
      </c>
      <c r="C1205" t="s">
        <v>58</v>
      </c>
      <c r="D1205" t="s">
        <v>1652</v>
      </c>
      <c r="E1205" t="s">
        <v>63</v>
      </c>
    </row>
    <row r="1206" spans="1:5" x14ac:dyDescent="0.2">
      <c r="A1206" s="269">
        <v>45910.448379629626</v>
      </c>
      <c r="B1206" t="s">
        <v>1444</v>
      </c>
      <c r="C1206" t="s">
        <v>58</v>
      </c>
      <c r="D1206" t="s">
        <v>1653</v>
      </c>
      <c r="E1206" t="s">
        <v>63</v>
      </c>
    </row>
    <row r="1207" spans="1:5" x14ac:dyDescent="0.2">
      <c r="A1207" s="269">
        <v>45910.44840277778</v>
      </c>
      <c r="B1207" t="s">
        <v>1444</v>
      </c>
      <c r="C1207" t="s">
        <v>58</v>
      </c>
      <c r="D1207" t="s">
        <v>1654</v>
      </c>
      <c r="E1207" t="s">
        <v>63</v>
      </c>
    </row>
    <row r="1208" spans="1:5" x14ac:dyDescent="0.2">
      <c r="A1208" s="269">
        <v>45910.448449074072</v>
      </c>
      <c r="B1208" t="s">
        <v>1444</v>
      </c>
      <c r="C1208" t="s">
        <v>58</v>
      </c>
      <c r="D1208" t="s">
        <v>1655</v>
      </c>
      <c r="E1208" t="s">
        <v>63</v>
      </c>
    </row>
    <row r="1209" spans="1:5" x14ac:dyDescent="0.2">
      <c r="A1209" s="269">
        <v>45910.448460648149</v>
      </c>
      <c r="B1209" t="s">
        <v>1444</v>
      </c>
      <c r="C1209" t="s">
        <v>58</v>
      </c>
      <c r="D1209" t="s">
        <v>1656</v>
      </c>
      <c r="E1209" t="s">
        <v>63</v>
      </c>
    </row>
    <row r="1210" spans="1:5" x14ac:dyDescent="0.2">
      <c r="A1210" s="269">
        <v>45910.448472222219</v>
      </c>
      <c r="B1210" t="s">
        <v>1444</v>
      </c>
      <c r="C1210" t="s">
        <v>58</v>
      </c>
      <c r="D1210" t="s">
        <v>1657</v>
      </c>
      <c r="E1210" t="s">
        <v>63</v>
      </c>
    </row>
    <row r="1211" spans="1:5" x14ac:dyDescent="0.2">
      <c r="A1211" s="269">
        <v>45910.448483796295</v>
      </c>
      <c r="B1211" t="s">
        <v>1444</v>
      </c>
      <c r="C1211" t="s">
        <v>58</v>
      </c>
      <c r="D1211" t="s">
        <v>1657</v>
      </c>
      <c r="E1211" t="s">
        <v>63</v>
      </c>
    </row>
    <row r="1212" spans="1:5" x14ac:dyDescent="0.2">
      <c r="A1212" s="269">
        <v>45910.448495370372</v>
      </c>
      <c r="B1212" t="s">
        <v>1444</v>
      </c>
      <c r="C1212" t="s">
        <v>58</v>
      </c>
      <c r="D1212" t="s">
        <v>1658</v>
      </c>
      <c r="E1212" t="s">
        <v>63</v>
      </c>
    </row>
    <row r="1213" spans="1:5" x14ac:dyDescent="0.2">
      <c r="A1213" s="269">
        <v>45910.448506944442</v>
      </c>
      <c r="B1213" t="s">
        <v>1444</v>
      </c>
      <c r="C1213" t="s">
        <v>58</v>
      </c>
      <c r="D1213" t="s">
        <v>1658</v>
      </c>
      <c r="E1213" t="s">
        <v>63</v>
      </c>
    </row>
    <row r="1214" spans="1:5" x14ac:dyDescent="0.2">
      <c r="A1214" s="269">
        <v>45910.448518518519</v>
      </c>
      <c r="B1214" t="s">
        <v>1444</v>
      </c>
      <c r="C1214" t="s">
        <v>58</v>
      </c>
      <c r="D1214" t="s">
        <v>1659</v>
      </c>
      <c r="E1214" t="s">
        <v>63</v>
      </c>
    </row>
    <row r="1215" spans="1:5" x14ac:dyDescent="0.2">
      <c r="A1215" s="269">
        <v>45910.448530092595</v>
      </c>
      <c r="B1215" t="s">
        <v>1444</v>
      </c>
      <c r="C1215" t="s">
        <v>58</v>
      </c>
      <c r="D1215" t="s">
        <v>1659</v>
      </c>
      <c r="E1215" t="s">
        <v>63</v>
      </c>
    </row>
    <row r="1216" spans="1:5" x14ac:dyDescent="0.2">
      <c r="A1216" s="269">
        <v>45910.448553240742</v>
      </c>
      <c r="B1216" t="s">
        <v>1444</v>
      </c>
      <c r="C1216" t="s">
        <v>58</v>
      </c>
      <c r="D1216" t="s">
        <v>1660</v>
      </c>
      <c r="E1216" t="s">
        <v>63</v>
      </c>
    </row>
    <row r="1217" spans="1:5" x14ac:dyDescent="0.2">
      <c r="A1217" s="269">
        <v>45910.448564814818</v>
      </c>
      <c r="B1217" t="s">
        <v>1444</v>
      </c>
      <c r="C1217" t="s">
        <v>58</v>
      </c>
      <c r="D1217" t="s">
        <v>1660</v>
      </c>
      <c r="E1217" t="s">
        <v>63</v>
      </c>
    </row>
    <row r="1218" spans="1:5" x14ac:dyDescent="0.2">
      <c r="A1218" s="269">
        <v>45910.448576388888</v>
      </c>
      <c r="B1218" t="s">
        <v>1444</v>
      </c>
      <c r="C1218" t="s">
        <v>58</v>
      </c>
      <c r="D1218" t="s">
        <v>1661</v>
      </c>
      <c r="E1218" t="s">
        <v>63</v>
      </c>
    </row>
    <row r="1219" spans="1:5" x14ac:dyDescent="0.2">
      <c r="A1219" s="269">
        <v>45910.448587962965</v>
      </c>
      <c r="B1219" t="s">
        <v>1444</v>
      </c>
      <c r="C1219" t="s">
        <v>58</v>
      </c>
      <c r="D1219" t="s">
        <v>1662</v>
      </c>
      <c r="E1219" t="s">
        <v>63</v>
      </c>
    </row>
    <row r="1220" spans="1:5" x14ac:dyDescent="0.2">
      <c r="A1220" s="269">
        <v>45910.448599537034</v>
      </c>
      <c r="B1220" t="s">
        <v>1444</v>
      </c>
      <c r="C1220" t="s">
        <v>58</v>
      </c>
      <c r="D1220" t="s">
        <v>1663</v>
      </c>
      <c r="E1220" t="s">
        <v>63</v>
      </c>
    </row>
    <row r="1221" spans="1:5" x14ac:dyDescent="0.2">
      <c r="A1221" s="269">
        <v>45910.448622685188</v>
      </c>
      <c r="B1221" t="s">
        <v>1444</v>
      </c>
      <c r="C1221" t="s">
        <v>58</v>
      </c>
      <c r="D1221" t="s">
        <v>1664</v>
      </c>
      <c r="E1221" t="s">
        <v>63</v>
      </c>
    </row>
    <row r="1222" spans="1:5" x14ac:dyDescent="0.2">
      <c r="A1222" s="269">
        <v>45910.448634259257</v>
      </c>
      <c r="B1222" t="s">
        <v>1444</v>
      </c>
      <c r="C1222" t="s">
        <v>58</v>
      </c>
      <c r="D1222" t="s">
        <v>1665</v>
      </c>
      <c r="E1222" t="s">
        <v>63</v>
      </c>
    </row>
    <row r="1223" spans="1:5" x14ac:dyDescent="0.2">
      <c r="A1223" s="269">
        <v>45911.516180555554</v>
      </c>
      <c r="B1223" t="s">
        <v>1444</v>
      </c>
      <c r="C1223" t="s">
        <v>597</v>
      </c>
      <c r="D1223" t="s">
        <v>1668</v>
      </c>
      <c r="E1223" t="s">
        <v>39</v>
      </c>
    </row>
    <row r="1224" spans="1:5" x14ac:dyDescent="0.2">
      <c r="A1224" s="269">
        <v>45911.518194444441</v>
      </c>
      <c r="B1224" t="s">
        <v>1444</v>
      </c>
      <c r="C1224" t="s">
        <v>58</v>
      </c>
      <c r="D1224" t="s">
        <v>1511</v>
      </c>
      <c r="E1224" t="s">
        <v>343</v>
      </c>
    </row>
    <row r="1225" spans="1:5" x14ac:dyDescent="0.2">
      <c r="A1225" s="269">
        <v>45911.518217592595</v>
      </c>
      <c r="B1225" t="s">
        <v>1444</v>
      </c>
      <c r="C1225" t="s">
        <v>58</v>
      </c>
      <c r="D1225" t="s">
        <v>1511</v>
      </c>
      <c r="E1225" t="s">
        <v>365</v>
      </c>
    </row>
    <row r="1226" spans="1:5" x14ac:dyDescent="0.2">
      <c r="A1226" s="269">
        <v>45911.518252314818</v>
      </c>
      <c r="B1226" t="s">
        <v>1444</v>
      </c>
      <c r="C1226" t="s">
        <v>58</v>
      </c>
      <c r="D1226" t="s">
        <v>1669</v>
      </c>
      <c r="E1226" t="s">
        <v>63</v>
      </c>
    </row>
    <row r="1227" spans="1:5" x14ac:dyDescent="0.2">
      <c r="A1227" s="269">
        <v>45911.533460648148</v>
      </c>
      <c r="B1227" t="s">
        <v>1444</v>
      </c>
      <c r="C1227" t="s">
        <v>58</v>
      </c>
      <c r="D1227" t="s">
        <v>1670</v>
      </c>
      <c r="E1227" t="s">
        <v>365</v>
      </c>
    </row>
    <row r="1228" spans="1:5" x14ac:dyDescent="0.2">
      <c r="A1228" s="269">
        <v>45911.533483796295</v>
      </c>
      <c r="B1228" t="s">
        <v>1444</v>
      </c>
      <c r="C1228" t="s">
        <v>58</v>
      </c>
      <c r="D1228" t="s">
        <v>1670</v>
      </c>
      <c r="E1228" t="s">
        <v>365</v>
      </c>
    </row>
    <row r="1229" spans="1:5" x14ac:dyDescent="0.2">
      <c r="A1229" s="269">
        <v>45911.533506944441</v>
      </c>
      <c r="B1229" t="s">
        <v>1444</v>
      </c>
      <c r="C1229" t="s">
        <v>58</v>
      </c>
      <c r="D1229" t="s">
        <v>1671</v>
      </c>
      <c r="E1229" t="s">
        <v>365</v>
      </c>
    </row>
    <row r="1230" spans="1:5" x14ac:dyDescent="0.2">
      <c r="A1230" s="269">
        <v>45911.533541666664</v>
      </c>
      <c r="B1230" t="s">
        <v>1444</v>
      </c>
      <c r="C1230" t="s">
        <v>58</v>
      </c>
      <c r="D1230" t="s">
        <v>1672</v>
      </c>
      <c r="E1230" t="s">
        <v>365</v>
      </c>
    </row>
    <row r="1231" spans="1:5" x14ac:dyDescent="0.2">
      <c r="A1231" s="269">
        <v>45911.533599537041</v>
      </c>
      <c r="B1231" t="s">
        <v>1444</v>
      </c>
      <c r="C1231" t="s">
        <v>58</v>
      </c>
      <c r="D1231" t="s">
        <v>1673</v>
      </c>
      <c r="E1231" t="s">
        <v>365</v>
      </c>
    </row>
    <row r="1232" spans="1:5" x14ac:dyDescent="0.2">
      <c r="A1232" s="269">
        <v>45911.53396990741</v>
      </c>
      <c r="B1232" t="s">
        <v>1444</v>
      </c>
      <c r="C1232" t="s">
        <v>58</v>
      </c>
      <c r="D1232" t="s">
        <v>1674</v>
      </c>
      <c r="E1232" t="s">
        <v>365</v>
      </c>
    </row>
    <row r="1233" spans="1:5" x14ac:dyDescent="0.2">
      <c r="A1233" s="269">
        <v>45911.53398148148</v>
      </c>
      <c r="B1233" t="s">
        <v>1444</v>
      </c>
      <c r="C1233" t="s">
        <v>58</v>
      </c>
      <c r="D1233" t="s">
        <v>1675</v>
      </c>
      <c r="E1233" t="s">
        <v>365</v>
      </c>
    </row>
    <row r="1234" spans="1:5" x14ac:dyDescent="0.2">
      <c r="A1234" s="269">
        <v>45911.53402777778</v>
      </c>
      <c r="B1234" t="s">
        <v>1444</v>
      </c>
      <c r="C1234" t="s">
        <v>58</v>
      </c>
      <c r="D1234" t="s">
        <v>1676</v>
      </c>
      <c r="E1234" t="s">
        <v>365</v>
      </c>
    </row>
    <row r="1235" spans="1:5" x14ac:dyDescent="0.2">
      <c r="A1235" s="269">
        <v>45911.534050925926</v>
      </c>
      <c r="B1235" t="s">
        <v>1444</v>
      </c>
      <c r="C1235" t="s">
        <v>58</v>
      </c>
      <c r="D1235" t="s">
        <v>1677</v>
      </c>
      <c r="E1235" t="s">
        <v>365</v>
      </c>
    </row>
    <row r="1236" spans="1:5" x14ac:dyDescent="0.2">
      <c r="A1236" s="269">
        <v>45911.534074074072</v>
      </c>
      <c r="B1236" t="s">
        <v>1444</v>
      </c>
      <c r="C1236" t="s">
        <v>58</v>
      </c>
      <c r="D1236" t="s">
        <v>1678</v>
      </c>
      <c r="E1236" t="s">
        <v>365</v>
      </c>
    </row>
    <row r="1237" spans="1:5" x14ac:dyDescent="0.2">
      <c r="A1237" s="269">
        <v>45911.534108796295</v>
      </c>
      <c r="B1237" t="s">
        <v>1444</v>
      </c>
      <c r="C1237" t="s">
        <v>58</v>
      </c>
      <c r="D1237" t="s">
        <v>1679</v>
      </c>
      <c r="E1237" t="s">
        <v>365</v>
      </c>
    </row>
    <row r="1238" spans="1:5" x14ac:dyDescent="0.2">
      <c r="A1238" s="269">
        <v>45911.534641203703</v>
      </c>
      <c r="B1238" t="s">
        <v>1444</v>
      </c>
      <c r="C1238" t="s">
        <v>58</v>
      </c>
      <c r="D1238" t="s">
        <v>1536</v>
      </c>
      <c r="E1238" t="s">
        <v>1680</v>
      </c>
    </row>
    <row r="1239" spans="1:5" x14ac:dyDescent="0.2">
      <c r="A1239" s="269">
        <v>45911.534722222219</v>
      </c>
      <c r="B1239" t="s">
        <v>1444</v>
      </c>
      <c r="C1239" t="s">
        <v>58</v>
      </c>
      <c r="D1239" t="s">
        <v>1538</v>
      </c>
      <c r="E1239" t="s">
        <v>1681</v>
      </c>
    </row>
    <row r="1240" spans="1:5" x14ac:dyDescent="0.2">
      <c r="A1240" s="269">
        <v>45911.534803240742</v>
      </c>
      <c r="B1240" t="s">
        <v>1444</v>
      </c>
      <c r="C1240" t="s">
        <v>58</v>
      </c>
      <c r="D1240" t="s">
        <v>1540</v>
      </c>
      <c r="E1240" t="s">
        <v>1682</v>
      </c>
    </row>
    <row r="1241" spans="1:5" x14ac:dyDescent="0.2">
      <c r="A1241" s="269">
        <v>45917.583067129628</v>
      </c>
      <c r="B1241" t="s">
        <v>596</v>
      </c>
      <c r="C1241" t="s">
        <v>597</v>
      </c>
      <c r="D1241" t="s">
        <v>1668</v>
      </c>
      <c r="E1241" t="s">
        <v>39</v>
      </c>
    </row>
    <row r="1242" spans="1:5" x14ac:dyDescent="0.2">
      <c r="A1242" s="269">
        <v>45917.583298611113</v>
      </c>
      <c r="B1242" t="s">
        <v>596</v>
      </c>
      <c r="C1242" t="s">
        <v>27</v>
      </c>
      <c r="D1242" t="s">
        <v>1683</v>
      </c>
      <c r="E1242" t="s">
        <v>53</v>
      </c>
    </row>
    <row r="1243" spans="1:5" x14ac:dyDescent="0.2">
      <c r="A1243" s="269">
        <v>45917.583425925928</v>
      </c>
      <c r="B1243" t="s">
        <v>596</v>
      </c>
      <c r="C1243" t="s">
        <v>27</v>
      </c>
      <c r="D1243" t="s">
        <v>1684</v>
      </c>
    </row>
    <row r="1244" spans="1:5" x14ac:dyDescent="0.2">
      <c r="A1244" s="269">
        <v>45922.616608796299</v>
      </c>
      <c r="B1244" t="s">
        <v>596</v>
      </c>
      <c r="C1244" t="s">
        <v>597</v>
      </c>
      <c r="D1244" t="s">
        <v>1668</v>
      </c>
      <c r="E1244" t="s">
        <v>39</v>
      </c>
    </row>
    <row r="1245" spans="1:5" x14ac:dyDescent="0.2">
      <c r="A1245" s="269">
        <v>45922.616875</v>
      </c>
      <c r="B1245" t="s">
        <v>596</v>
      </c>
      <c r="C1245" t="s">
        <v>58</v>
      </c>
      <c r="D1245" t="s">
        <v>1685</v>
      </c>
      <c r="E1245" t="s">
        <v>343</v>
      </c>
    </row>
    <row r="1246" spans="1:5" x14ac:dyDescent="0.2">
      <c r="A1246" s="269">
        <v>45922.6169212963</v>
      </c>
      <c r="B1246" t="s">
        <v>596</v>
      </c>
      <c r="C1246" t="s">
        <v>58</v>
      </c>
      <c r="D1246" t="s">
        <v>1686</v>
      </c>
      <c r="E1246" t="s">
        <v>343</v>
      </c>
    </row>
    <row r="1247" spans="1:5" x14ac:dyDescent="0.2">
      <c r="A1247" s="269">
        <v>45922.617002314815</v>
      </c>
      <c r="B1247" t="s">
        <v>596</v>
      </c>
      <c r="C1247" t="s">
        <v>58</v>
      </c>
      <c r="D1247" t="s">
        <v>1687</v>
      </c>
      <c r="E1247" t="s">
        <v>343</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64F6F-B9EE-DD4A-8D67-ACD8E02D1B62}">
  <sheetPr codeName="Sheet15"/>
  <dimension ref="A1:O156"/>
  <sheetViews>
    <sheetView workbookViewId="0">
      <selection activeCell="I150" sqref="I150"/>
    </sheetView>
  </sheetViews>
  <sheetFormatPr baseColWidth="10" defaultColWidth="8.83203125" defaultRowHeight="15" x14ac:dyDescent="0.2"/>
  <cols>
    <col min="3" max="3" width="56.6640625" customWidth="1"/>
    <col min="9" max="9" width="17.33203125" customWidth="1"/>
    <col min="10" max="10" width="10.83203125" bestFit="1" customWidth="1"/>
    <col min="12" max="12" width="18.6640625" customWidth="1"/>
  </cols>
  <sheetData>
    <row r="1" spans="1:14" ht="20" x14ac:dyDescent="0.2">
      <c r="A1" s="169" t="s">
        <v>1231</v>
      </c>
      <c r="B1" s="170"/>
      <c r="C1" s="169" t="s">
        <v>320</v>
      </c>
      <c r="D1" s="169" t="s">
        <v>1232</v>
      </c>
      <c r="E1" s="169" t="s">
        <v>1233</v>
      </c>
      <c r="I1" t="s">
        <v>331</v>
      </c>
      <c r="J1" t="s">
        <v>1232</v>
      </c>
      <c r="L1" s="15" t="s">
        <v>331</v>
      </c>
    </row>
    <row r="2" spans="1:14" ht="20" x14ac:dyDescent="0.2">
      <c r="A2" s="171">
        <v>6</v>
      </c>
      <c r="B2" s="172" t="s">
        <v>344</v>
      </c>
      <c r="C2" s="171" t="s">
        <v>1234</v>
      </c>
      <c r="D2" s="171" t="s">
        <v>1235</v>
      </c>
      <c r="E2" s="171" t="s">
        <v>1236</v>
      </c>
      <c r="F2" s="171" t="s">
        <v>1237</v>
      </c>
      <c r="I2" t="s">
        <v>344</v>
      </c>
      <c r="J2" t="s">
        <v>1235</v>
      </c>
      <c r="L2" s="16" t="s">
        <v>344</v>
      </c>
      <c r="N2" t="str">
        <f t="shared" ref="N2:N65" si="0">IF(I2=L2,"","X")</f>
        <v/>
      </c>
    </row>
    <row r="3" spans="1:14" ht="20" x14ac:dyDescent="0.2">
      <c r="A3" s="171">
        <v>22</v>
      </c>
      <c r="B3" s="169" t="s">
        <v>355</v>
      </c>
      <c r="C3" s="171" t="s">
        <v>1238</v>
      </c>
      <c r="D3" s="171" t="s">
        <v>1239</v>
      </c>
      <c r="E3" s="171" t="s">
        <v>1236</v>
      </c>
      <c r="F3" s="171" t="s">
        <v>1240</v>
      </c>
      <c r="I3" t="s">
        <v>355</v>
      </c>
      <c r="J3" t="s">
        <v>1239</v>
      </c>
      <c r="L3" s="16" t="s">
        <v>355</v>
      </c>
      <c r="N3" t="str">
        <f t="shared" si="0"/>
        <v/>
      </c>
    </row>
    <row r="4" spans="1:14" ht="20" x14ac:dyDescent="0.2">
      <c r="A4" s="171">
        <v>74</v>
      </c>
      <c r="B4" s="169" t="s">
        <v>366</v>
      </c>
      <c r="C4" s="171" t="s">
        <v>1241</v>
      </c>
      <c r="D4" s="171" t="s">
        <v>1242</v>
      </c>
      <c r="E4" s="171" t="s">
        <v>336</v>
      </c>
      <c r="F4" s="171" t="s">
        <v>1243</v>
      </c>
      <c r="I4" t="s">
        <v>366</v>
      </c>
      <c r="J4" t="s">
        <v>1242</v>
      </c>
      <c r="L4" s="16" t="s">
        <v>366</v>
      </c>
      <c r="N4" t="str">
        <f t="shared" si="0"/>
        <v/>
      </c>
    </row>
    <row r="5" spans="1:14" ht="20" x14ac:dyDescent="0.2">
      <c r="A5" s="171">
        <v>62</v>
      </c>
      <c r="B5" s="169" t="s">
        <v>375</v>
      </c>
      <c r="C5" s="171" t="s">
        <v>1244</v>
      </c>
      <c r="D5" s="171" t="s">
        <v>1242</v>
      </c>
      <c r="E5" s="171" t="s">
        <v>1236</v>
      </c>
      <c r="F5" s="171" t="s">
        <v>1245</v>
      </c>
      <c r="I5" t="s">
        <v>375</v>
      </c>
      <c r="J5" t="s">
        <v>1242</v>
      </c>
      <c r="L5" s="16" t="s">
        <v>375</v>
      </c>
      <c r="N5" t="str">
        <f t="shared" si="0"/>
        <v/>
      </c>
    </row>
    <row r="6" spans="1:14" ht="20" x14ac:dyDescent="0.2">
      <c r="A6" s="171">
        <v>136</v>
      </c>
      <c r="B6" s="169" t="s">
        <v>382</v>
      </c>
      <c r="C6" s="171" t="s">
        <v>1246</v>
      </c>
      <c r="D6" s="171" t="s">
        <v>1242</v>
      </c>
      <c r="E6" s="171" t="s">
        <v>360</v>
      </c>
      <c r="F6" s="171" t="s">
        <v>1247</v>
      </c>
      <c r="I6" t="s">
        <v>382</v>
      </c>
      <c r="J6" t="s">
        <v>1242</v>
      </c>
      <c r="L6" s="16" t="s">
        <v>382</v>
      </c>
      <c r="N6" t="str">
        <f t="shared" si="0"/>
        <v/>
      </c>
    </row>
    <row r="7" spans="1:14" ht="20" x14ac:dyDescent="0.2">
      <c r="A7" s="171">
        <v>75</v>
      </c>
      <c r="B7" s="169" t="s">
        <v>388</v>
      </c>
      <c r="C7" s="171" t="s">
        <v>1248</v>
      </c>
      <c r="D7" s="171" t="s">
        <v>1242</v>
      </c>
      <c r="E7" s="171" t="s">
        <v>336</v>
      </c>
      <c r="F7" s="171" t="s">
        <v>1243</v>
      </c>
      <c r="I7" t="s">
        <v>388</v>
      </c>
      <c r="J7" t="s">
        <v>1242</v>
      </c>
      <c r="L7" s="16" t="s">
        <v>388</v>
      </c>
      <c r="N7" t="str">
        <f t="shared" si="0"/>
        <v/>
      </c>
    </row>
    <row r="8" spans="1:14" ht="20" x14ac:dyDescent="0.2">
      <c r="A8" s="171">
        <v>137</v>
      </c>
      <c r="B8" s="169" t="s">
        <v>392</v>
      </c>
      <c r="C8" s="171" t="s">
        <v>1249</v>
      </c>
      <c r="D8" s="171" t="s">
        <v>1242</v>
      </c>
      <c r="E8" s="171" t="s">
        <v>360</v>
      </c>
      <c r="F8" s="171" t="s">
        <v>1247</v>
      </c>
      <c r="I8" t="s">
        <v>392</v>
      </c>
      <c r="J8" t="s">
        <v>1242</v>
      </c>
      <c r="L8" s="16" t="s">
        <v>392</v>
      </c>
      <c r="N8" t="str">
        <f t="shared" si="0"/>
        <v/>
      </c>
    </row>
    <row r="9" spans="1:14" ht="20" x14ac:dyDescent="0.2">
      <c r="A9" s="171">
        <v>29</v>
      </c>
      <c r="B9" s="169" t="s">
        <v>395</v>
      </c>
      <c r="C9" s="171" t="s">
        <v>1250</v>
      </c>
      <c r="D9" s="171" t="s">
        <v>1242</v>
      </c>
      <c r="E9" s="171" t="s">
        <v>1236</v>
      </c>
      <c r="F9" s="171" t="s">
        <v>1240</v>
      </c>
      <c r="I9" t="s">
        <v>395</v>
      </c>
      <c r="J9" t="s">
        <v>1242</v>
      </c>
      <c r="L9" s="16" t="s">
        <v>395</v>
      </c>
      <c r="N9" t="str">
        <f t="shared" si="0"/>
        <v/>
      </c>
    </row>
    <row r="10" spans="1:14" ht="20" x14ac:dyDescent="0.2">
      <c r="A10" s="171">
        <v>96</v>
      </c>
      <c r="B10" s="169" t="s">
        <v>398</v>
      </c>
      <c r="C10" s="171" t="s">
        <v>1251</v>
      </c>
      <c r="D10" s="171" t="s">
        <v>1252</v>
      </c>
      <c r="E10" s="171" t="s">
        <v>336</v>
      </c>
      <c r="F10" s="171" t="s">
        <v>1253</v>
      </c>
      <c r="I10" t="s">
        <v>398</v>
      </c>
      <c r="J10" t="s">
        <v>1252</v>
      </c>
      <c r="L10" s="16" t="s">
        <v>398</v>
      </c>
      <c r="N10" t="str">
        <f t="shared" si="0"/>
        <v/>
      </c>
    </row>
    <row r="11" spans="1:14" ht="20" x14ac:dyDescent="0.2">
      <c r="A11" s="171">
        <v>59</v>
      </c>
      <c r="B11" s="169" t="s">
        <v>1254</v>
      </c>
      <c r="C11" s="171" t="s">
        <v>1255</v>
      </c>
      <c r="D11" s="171" t="s">
        <v>1256</v>
      </c>
      <c r="E11" s="171" t="s">
        <v>1236</v>
      </c>
      <c r="F11" s="171" t="s">
        <v>1257</v>
      </c>
      <c r="I11" t="s">
        <v>1254</v>
      </c>
      <c r="J11" t="s">
        <v>1256</v>
      </c>
      <c r="L11" t="s">
        <v>1254</v>
      </c>
      <c r="N11" t="str">
        <f t="shared" si="0"/>
        <v/>
      </c>
    </row>
    <row r="12" spans="1:14" ht="20" x14ac:dyDescent="0.2">
      <c r="A12" s="171">
        <v>145</v>
      </c>
      <c r="B12" s="169" t="s">
        <v>401</v>
      </c>
      <c r="C12" s="171" t="s">
        <v>1258</v>
      </c>
      <c r="D12" s="171" t="s">
        <v>1252</v>
      </c>
      <c r="E12" s="171" t="s">
        <v>360</v>
      </c>
      <c r="F12" s="171" t="s">
        <v>1259</v>
      </c>
      <c r="I12" t="s">
        <v>401</v>
      </c>
      <c r="J12" t="s">
        <v>1252</v>
      </c>
      <c r="L12" s="16" t="s">
        <v>401</v>
      </c>
      <c r="N12" t="str">
        <f t="shared" si="0"/>
        <v/>
      </c>
    </row>
    <row r="13" spans="1:14" ht="20" x14ac:dyDescent="0.2">
      <c r="A13" s="171">
        <v>21</v>
      </c>
      <c r="B13" s="169" t="s">
        <v>405</v>
      </c>
      <c r="C13" s="171" t="s">
        <v>1260</v>
      </c>
      <c r="D13" s="171" t="s">
        <v>1252</v>
      </c>
      <c r="E13" s="171" t="s">
        <v>1236</v>
      </c>
      <c r="F13" s="171" t="s">
        <v>1261</v>
      </c>
      <c r="I13" t="s">
        <v>405</v>
      </c>
      <c r="J13" t="s">
        <v>1252</v>
      </c>
      <c r="L13" s="16" t="s">
        <v>405</v>
      </c>
      <c r="N13" t="str">
        <f t="shared" si="0"/>
        <v/>
      </c>
    </row>
    <row r="14" spans="1:14" ht="20" x14ac:dyDescent="0.2">
      <c r="A14" s="171">
        <v>45</v>
      </c>
      <c r="B14" s="169" t="s">
        <v>408</v>
      </c>
      <c r="C14" s="171" t="s">
        <v>1262</v>
      </c>
      <c r="D14" s="171" t="s">
        <v>1242</v>
      </c>
      <c r="E14" s="171" t="s">
        <v>1236</v>
      </c>
      <c r="F14" s="171" t="s">
        <v>1263</v>
      </c>
      <c r="I14" t="s">
        <v>408</v>
      </c>
      <c r="J14" t="s">
        <v>1242</v>
      </c>
      <c r="L14" s="16" t="s">
        <v>408</v>
      </c>
      <c r="N14" t="str">
        <f t="shared" si="0"/>
        <v/>
      </c>
    </row>
    <row r="15" spans="1:14" ht="20" x14ac:dyDescent="0.2">
      <c r="A15" s="171">
        <v>46</v>
      </c>
      <c r="B15" s="169" t="s">
        <v>412</v>
      </c>
      <c r="C15" s="171" t="s">
        <v>1264</v>
      </c>
      <c r="D15" s="171" t="s">
        <v>1242</v>
      </c>
      <c r="E15" s="171" t="s">
        <v>1236</v>
      </c>
      <c r="F15" s="171" t="s">
        <v>1263</v>
      </c>
      <c r="I15" t="s">
        <v>412</v>
      </c>
      <c r="J15" t="s">
        <v>1242</v>
      </c>
      <c r="L15" s="16" t="s">
        <v>412</v>
      </c>
      <c r="N15" t="str">
        <f t="shared" si="0"/>
        <v/>
      </c>
    </row>
    <row r="16" spans="1:14" ht="20" x14ac:dyDescent="0.2">
      <c r="A16" s="171">
        <v>2</v>
      </c>
      <c r="B16" s="172" t="s">
        <v>414</v>
      </c>
      <c r="C16" s="171" t="s">
        <v>1265</v>
      </c>
      <c r="D16" s="171" t="s">
        <v>1242</v>
      </c>
      <c r="E16" s="171" t="s">
        <v>1236</v>
      </c>
      <c r="F16" s="171" t="s">
        <v>1237</v>
      </c>
      <c r="I16" t="s">
        <v>414</v>
      </c>
      <c r="J16" t="s">
        <v>1242</v>
      </c>
      <c r="L16" s="16" t="s">
        <v>414</v>
      </c>
      <c r="N16" t="str">
        <f t="shared" si="0"/>
        <v/>
      </c>
    </row>
    <row r="17" spans="1:14" ht="20" x14ac:dyDescent="0.2">
      <c r="A17" s="171">
        <v>84</v>
      </c>
      <c r="B17" s="169" t="s">
        <v>416</v>
      </c>
      <c r="C17" s="171" t="s">
        <v>1266</v>
      </c>
      <c r="D17" s="171" t="s">
        <v>1239</v>
      </c>
      <c r="E17" s="171" t="s">
        <v>336</v>
      </c>
      <c r="F17" s="171" t="s">
        <v>1253</v>
      </c>
      <c r="I17" t="s">
        <v>416</v>
      </c>
      <c r="J17" t="s">
        <v>1239</v>
      </c>
      <c r="L17" s="16" t="s">
        <v>416</v>
      </c>
      <c r="N17" t="str">
        <f t="shared" si="0"/>
        <v/>
      </c>
    </row>
    <row r="18" spans="1:14" ht="20" x14ac:dyDescent="0.2">
      <c r="A18" s="171">
        <v>99</v>
      </c>
      <c r="B18" s="169" t="s">
        <v>418</v>
      </c>
      <c r="C18" s="171" t="s">
        <v>1267</v>
      </c>
      <c r="D18" s="171" t="s">
        <v>1242</v>
      </c>
      <c r="E18" s="171" t="s">
        <v>336</v>
      </c>
      <c r="F18" s="171" t="s">
        <v>1268</v>
      </c>
      <c r="I18" t="s">
        <v>418</v>
      </c>
      <c r="J18" t="s">
        <v>1242</v>
      </c>
      <c r="L18" s="16" t="s">
        <v>418</v>
      </c>
      <c r="N18" t="str">
        <f t="shared" si="0"/>
        <v/>
      </c>
    </row>
    <row r="19" spans="1:14" ht="20" x14ac:dyDescent="0.2">
      <c r="A19" s="171">
        <v>51</v>
      </c>
      <c r="B19" s="169" t="s">
        <v>420</v>
      </c>
      <c r="C19" s="171" t="s">
        <v>1269</v>
      </c>
      <c r="D19" s="171" t="s">
        <v>1252</v>
      </c>
      <c r="E19" s="171" t="s">
        <v>1236</v>
      </c>
      <c r="F19" s="171" t="s">
        <v>1257</v>
      </c>
      <c r="I19" t="s">
        <v>420</v>
      </c>
      <c r="J19" t="s">
        <v>1252</v>
      </c>
      <c r="L19" s="16" t="s">
        <v>420</v>
      </c>
      <c r="N19" t="str">
        <f t="shared" si="0"/>
        <v/>
      </c>
    </row>
    <row r="20" spans="1:14" ht="20" x14ac:dyDescent="0.2">
      <c r="A20" s="171">
        <v>85</v>
      </c>
      <c r="B20" s="169" t="s">
        <v>422</v>
      </c>
      <c r="C20" s="171" t="s">
        <v>1270</v>
      </c>
      <c r="D20" s="171" t="s">
        <v>1239</v>
      </c>
      <c r="E20" s="171" t="s">
        <v>336</v>
      </c>
      <c r="F20" s="171" t="s">
        <v>1253</v>
      </c>
      <c r="I20" t="s">
        <v>422</v>
      </c>
      <c r="J20" t="s">
        <v>1239</v>
      </c>
      <c r="L20" s="16" t="s">
        <v>422</v>
      </c>
      <c r="N20" t="str">
        <f t="shared" si="0"/>
        <v/>
      </c>
    </row>
    <row r="21" spans="1:14" ht="20" x14ac:dyDescent="0.2">
      <c r="A21" s="171">
        <v>89</v>
      </c>
      <c r="B21" s="169" t="s">
        <v>424</v>
      </c>
      <c r="C21" s="171" t="s">
        <v>1271</v>
      </c>
      <c r="D21" s="171" t="s">
        <v>1242</v>
      </c>
      <c r="E21" s="171" t="s">
        <v>336</v>
      </c>
      <c r="F21" s="171" t="s">
        <v>1253</v>
      </c>
      <c r="I21" t="s">
        <v>424</v>
      </c>
      <c r="J21" t="s">
        <v>1242</v>
      </c>
      <c r="L21" s="16" t="s">
        <v>424</v>
      </c>
      <c r="N21" t="str">
        <f t="shared" si="0"/>
        <v/>
      </c>
    </row>
    <row r="22" spans="1:14" ht="20" x14ac:dyDescent="0.2">
      <c r="A22" s="171">
        <v>90</v>
      </c>
      <c r="B22" s="169" t="s">
        <v>426</v>
      </c>
      <c r="C22" s="171" t="s">
        <v>1272</v>
      </c>
      <c r="D22" s="171" t="s">
        <v>1242</v>
      </c>
      <c r="E22" s="171" t="s">
        <v>336</v>
      </c>
      <c r="F22" s="171" t="s">
        <v>1253</v>
      </c>
      <c r="I22" t="s">
        <v>426</v>
      </c>
      <c r="J22" t="s">
        <v>1242</v>
      </c>
      <c r="L22" s="16" t="s">
        <v>426</v>
      </c>
      <c r="N22" t="str">
        <f t="shared" si="0"/>
        <v/>
      </c>
    </row>
    <row r="23" spans="1:14" ht="20" x14ac:dyDescent="0.2">
      <c r="A23" s="171">
        <v>150</v>
      </c>
      <c r="B23" s="169" t="s">
        <v>428</v>
      </c>
      <c r="C23" s="171" t="s">
        <v>1273</v>
      </c>
      <c r="D23" s="171" t="s">
        <v>1256</v>
      </c>
      <c r="E23" s="171" t="s">
        <v>360</v>
      </c>
      <c r="F23" s="171" t="s">
        <v>1259</v>
      </c>
      <c r="I23" t="s">
        <v>428</v>
      </c>
      <c r="J23" t="s">
        <v>1256</v>
      </c>
      <c r="L23" s="16" t="s">
        <v>428</v>
      </c>
      <c r="N23" t="str">
        <f t="shared" si="0"/>
        <v/>
      </c>
    </row>
    <row r="24" spans="1:14" ht="20" x14ac:dyDescent="0.2">
      <c r="A24" s="171">
        <v>118</v>
      </c>
      <c r="B24" s="169" t="s">
        <v>430</v>
      </c>
      <c r="C24" s="171" t="s">
        <v>1274</v>
      </c>
      <c r="D24" s="171" t="s">
        <v>1242</v>
      </c>
      <c r="E24" s="171" t="s">
        <v>360</v>
      </c>
      <c r="F24" s="171" t="s">
        <v>1275</v>
      </c>
      <c r="I24" t="s">
        <v>430</v>
      </c>
      <c r="J24" t="s">
        <v>1242</v>
      </c>
      <c r="L24" s="16" t="s">
        <v>430</v>
      </c>
      <c r="N24" t="str">
        <f t="shared" si="0"/>
        <v/>
      </c>
    </row>
    <row r="25" spans="1:14" ht="20" x14ac:dyDescent="0.2">
      <c r="A25" s="171">
        <v>15</v>
      </c>
      <c r="B25" s="169" t="s">
        <v>432</v>
      </c>
      <c r="C25" s="171" t="s">
        <v>1276</v>
      </c>
      <c r="D25" s="171" t="s">
        <v>1242</v>
      </c>
      <c r="E25" s="171" t="s">
        <v>1236</v>
      </c>
      <c r="F25" s="171" t="s">
        <v>1261</v>
      </c>
      <c r="I25" t="s">
        <v>432</v>
      </c>
      <c r="J25" t="s">
        <v>1242</v>
      </c>
      <c r="L25" s="16" t="s">
        <v>432</v>
      </c>
      <c r="N25" t="str">
        <f t="shared" si="0"/>
        <v/>
      </c>
    </row>
    <row r="26" spans="1:14" ht="20" x14ac:dyDescent="0.2">
      <c r="A26" s="171">
        <v>16</v>
      </c>
      <c r="B26" s="169" t="s">
        <v>434</v>
      </c>
      <c r="C26" s="171" t="s">
        <v>1277</v>
      </c>
      <c r="D26" s="171" t="s">
        <v>1242</v>
      </c>
      <c r="E26" s="171" t="s">
        <v>1236</v>
      </c>
      <c r="F26" s="171" t="s">
        <v>1261</v>
      </c>
      <c r="I26" t="s">
        <v>434</v>
      </c>
      <c r="J26" t="s">
        <v>1242</v>
      </c>
      <c r="L26" s="16" t="s">
        <v>434</v>
      </c>
      <c r="N26" t="str">
        <f t="shared" si="0"/>
        <v/>
      </c>
    </row>
    <row r="27" spans="1:14" ht="20" x14ac:dyDescent="0.2">
      <c r="A27" s="171">
        <v>119</v>
      </c>
      <c r="B27" s="169" t="s">
        <v>436</v>
      </c>
      <c r="C27" s="171" t="s">
        <v>1278</v>
      </c>
      <c r="D27" s="171" t="s">
        <v>1242</v>
      </c>
      <c r="E27" s="171" t="s">
        <v>360</v>
      </c>
      <c r="F27" s="171" t="s">
        <v>1275</v>
      </c>
      <c r="I27" t="s">
        <v>436</v>
      </c>
      <c r="J27" t="s">
        <v>1242</v>
      </c>
      <c r="L27" s="16" t="s">
        <v>436</v>
      </c>
      <c r="N27" t="str">
        <f t="shared" si="0"/>
        <v/>
      </c>
    </row>
    <row r="28" spans="1:14" ht="20" x14ac:dyDescent="0.2">
      <c r="A28" s="171">
        <v>63</v>
      </c>
      <c r="B28" s="169" t="s">
        <v>438</v>
      </c>
      <c r="C28" s="171" t="s">
        <v>1279</v>
      </c>
      <c r="D28" s="171" t="s">
        <v>1242</v>
      </c>
      <c r="E28" s="171" t="s">
        <v>1236</v>
      </c>
      <c r="F28" s="171" t="s">
        <v>1245</v>
      </c>
      <c r="I28" t="s">
        <v>438</v>
      </c>
      <c r="J28" t="s">
        <v>1242</v>
      </c>
      <c r="L28" s="16" t="s">
        <v>438</v>
      </c>
      <c r="N28" t="str">
        <f t="shared" si="0"/>
        <v/>
      </c>
    </row>
    <row r="29" spans="1:14" ht="20" x14ac:dyDescent="0.2">
      <c r="A29" s="171">
        <v>76</v>
      </c>
      <c r="B29" s="169" t="s">
        <v>439</v>
      </c>
      <c r="C29" s="171" t="s">
        <v>1280</v>
      </c>
      <c r="D29" s="171" t="s">
        <v>1242</v>
      </c>
      <c r="E29" s="171" t="s">
        <v>336</v>
      </c>
      <c r="F29" s="171" t="s">
        <v>1243</v>
      </c>
      <c r="I29" t="s">
        <v>439</v>
      </c>
      <c r="J29" t="s">
        <v>1242</v>
      </c>
      <c r="L29" s="16" t="s">
        <v>439</v>
      </c>
      <c r="N29" t="str">
        <f t="shared" si="0"/>
        <v/>
      </c>
    </row>
    <row r="30" spans="1:14" ht="20" x14ac:dyDescent="0.2">
      <c r="A30" s="171">
        <v>146</v>
      </c>
      <c r="B30" s="169" t="s">
        <v>440</v>
      </c>
      <c r="C30" s="171" t="s">
        <v>1281</v>
      </c>
      <c r="D30" s="171" t="s">
        <v>1252</v>
      </c>
      <c r="E30" s="171" t="s">
        <v>360</v>
      </c>
      <c r="F30" s="171" t="s">
        <v>1259</v>
      </c>
      <c r="I30" t="s">
        <v>440</v>
      </c>
      <c r="J30" t="s">
        <v>1252</v>
      </c>
      <c r="L30" s="16" t="s">
        <v>440</v>
      </c>
      <c r="N30" t="str">
        <f t="shared" si="0"/>
        <v/>
      </c>
    </row>
    <row r="31" spans="1:14" ht="20" x14ac:dyDescent="0.2">
      <c r="A31" s="171">
        <v>64</v>
      </c>
      <c r="B31" s="169" t="s">
        <v>441</v>
      </c>
      <c r="C31" s="171" t="s">
        <v>1282</v>
      </c>
      <c r="D31" s="171" t="s">
        <v>1242</v>
      </c>
      <c r="E31" s="171" t="s">
        <v>1236</v>
      </c>
      <c r="F31" s="171" t="s">
        <v>1245</v>
      </c>
      <c r="I31" t="s">
        <v>441</v>
      </c>
      <c r="J31" t="s">
        <v>1242</v>
      </c>
      <c r="L31" s="16" t="s">
        <v>441</v>
      </c>
      <c r="N31" t="str">
        <f t="shared" si="0"/>
        <v/>
      </c>
    </row>
    <row r="32" spans="1:14" ht="20" x14ac:dyDescent="0.2">
      <c r="A32" s="171">
        <v>65</v>
      </c>
      <c r="B32" s="169" t="s">
        <v>442</v>
      </c>
      <c r="C32" s="171" t="s">
        <v>1283</v>
      </c>
      <c r="D32" s="171" t="s">
        <v>1242</v>
      </c>
      <c r="E32" s="171" t="s">
        <v>1236</v>
      </c>
      <c r="F32" s="171" t="s">
        <v>1245</v>
      </c>
      <c r="I32" t="s">
        <v>442</v>
      </c>
      <c r="J32" t="s">
        <v>1242</v>
      </c>
      <c r="L32" s="16" t="s">
        <v>442</v>
      </c>
      <c r="N32" t="str">
        <f t="shared" si="0"/>
        <v/>
      </c>
    </row>
    <row r="33" spans="1:14" ht="20" x14ac:dyDescent="0.2">
      <c r="A33" s="171">
        <v>66</v>
      </c>
      <c r="B33" s="169" t="s">
        <v>443</v>
      </c>
      <c r="C33" s="171" t="s">
        <v>1284</v>
      </c>
      <c r="D33" s="171" t="s">
        <v>1242</v>
      </c>
      <c r="E33" s="171" t="s">
        <v>1236</v>
      </c>
      <c r="F33" s="171" t="s">
        <v>1245</v>
      </c>
      <c r="I33" t="s">
        <v>443</v>
      </c>
      <c r="J33" t="s">
        <v>1242</v>
      </c>
      <c r="L33" s="16" t="s">
        <v>443</v>
      </c>
      <c r="N33" t="str">
        <f t="shared" si="0"/>
        <v/>
      </c>
    </row>
    <row r="34" spans="1:14" ht="20" x14ac:dyDescent="0.2">
      <c r="A34" s="171">
        <v>67</v>
      </c>
      <c r="B34" s="169" t="s">
        <v>444</v>
      </c>
      <c r="C34" s="171" t="s">
        <v>1285</v>
      </c>
      <c r="D34" s="171" t="s">
        <v>1242</v>
      </c>
      <c r="E34" s="171" t="s">
        <v>1236</v>
      </c>
      <c r="F34" s="171" t="s">
        <v>1245</v>
      </c>
      <c r="I34" t="s">
        <v>444</v>
      </c>
      <c r="J34" t="s">
        <v>1242</v>
      </c>
      <c r="L34" s="16" t="s">
        <v>444</v>
      </c>
      <c r="N34" t="str">
        <f t="shared" si="0"/>
        <v/>
      </c>
    </row>
    <row r="35" spans="1:14" ht="20" x14ac:dyDescent="0.2">
      <c r="A35" s="171">
        <v>91</v>
      </c>
      <c r="B35" s="169" t="s">
        <v>445</v>
      </c>
      <c r="C35" s="171" t="s">
        <v>1286</v>
      </c>
      <c r="D35" s="171" t="s">
        <v>1242</v>
      </c>
      <c r="E35" s="171" t="s">
        <v>336</v>
      </c>
      <c r="F35" s="171" t="s">
        <v>1253</v>
      </c>
      <c r="I35" t="s">
        <v>445</v>
      </c>
      <c r="J35" t="s">
        <v>1242</v>
      </c>
      <c r="L35" s="16" t="s">
        <v>445</v>
      </c>
      <c r="N35" t="str">
        <f t="shared" si="0"/>
        <v/>
      </c>
    </row>
    <row r="36" spans="1:14" ht="20" x14ac:dyDescent="0.2">
      <c r="A36" s="171">
        <v>92</v>
      </c>
      <c r="B36" s="169" t="s">
        <v>446</v>
      </c>
      <c r="C36" s="171" t="s">
        <v>1287</v>
      </c>
      <c r="D36" s="171" t="s">
        <v>1242</v>
      </c>
      <c r="E36" s="171" t="s">
        <v>336</v>
      </c>
      <c r="F36" s="171" t="s">
        <v>1253</v>
      </c>
      <c r="I36" t="s">
        <v>446</v>
      </c>
      <c r="J36" t="s">
        <v>1242</v>
      </c>
      <c r="L36" s="16" t="s">
        <v>446</v>
      </c>
      <c r="N36" t="str">
        <f t="shared" si="0"/>
        <v/>
      </c>
    </row>
    <row r="37" spans="1:14" ht="20" x14ac:dyDescent="0.2">
      <c r="A37" s="171">
        <v>93</v>
      </c>
      <c r="B37" s="169" t="s">
        <v>447</v>
      </c>
      <c r="C37" s="171" t="s">
        <v>1288</v>
      </c>
      <c r="D37" s="171" t="s">
        <v>1242</v>
      </c>
      <c r="E37" s="171" t="s">
        <v>336</v>
      </c>
      <c r="F37" s="171" t="s">
        <v>1253</v>
      </c>
      <c r="I37" t="s">
        <v>447</v>
      </c>
      <c r="J37" t="s">
        <v>1242</v>
      </c>
      <c r="L37" s="16" t="s">
        <v>447</v>
      </c>
      <c r="N37" t="str">
        <f t="shared" si="0"/>
        <v/>
      </c>
    </row>
    <row r="38" spans="1:14" ht="20" x14ac:dyDescent="0.2">
      <c r="A38" s="171">
        <v>23</v>
      </c>
      <c r="B38" s="169" t="s">
        <v>448</v>
      </c>
      <c r="C38" s="171" t="s">
        <v>1289</v>
      </c>
      <c r="D38" s="171" t="s">
        <v>1239</v>
      </c>
      <c r="E38" s="171" t="s">
        <v>1236</v>
      </c>
      <c r="F38" s="171" t="s">
        <v>1240</v>
      </c>
      <c r="I38" t="s">
        <v>448</v>
      </c>
      <c r="J38" t="s">
        <v>1239</v>
      </c>
      <c r="L38" s="16" t="s">
        <v>448</v>
      </c>
      <c r="N38" t="str">
        <f t="shared" si="0"/>
        <v/>
      </c>
    </row>
    <row r="39" spans="1:14" ht="20" x14ac:dyDescent="0.2">
      <c r="A39" s="171">
        <v>97</v>
      </c>
      <c r="B39" s="169" t="s">
        <v>449</v>
      </c>
      <c r="C39" s="171" t="s">
        <v>1290</v>
      </c>
      <c r="D39" s="171" t="s">
        <v>1252</v>
      </c>
      <c r="E39" s="171" t="s">
        <v>336</v>
      </c>
      <c r="F39" s="171" t="s">
        <v>1253</v>
      </c>
      <c r="I39" t="s">
        <v>449</v>
      </c>
      <c r="J39" t="s">
        <v>1252</v>
      </c>
      <c r="L39" s="16" t="s">
        <v>449</v>
      </c>
      <c r="N39" t="str">
        <f t="shared" si="0"/>
        <v/>
      </c>
    </row>
    <row r="40" spans="1:14" ht="20" x14ac:dyDescent="0.2">
      <c r="A40" s="171">
        <v>24</v>
      </c>
      <c r="B40" s="169" t="s">
        <v>450</v>
      </c>
      <c r="C40" s="171" t="s">
        <v>1291</v>
      </c>
      <c r="D40" s="171" t="s">
        <v>1239</v>
      </c>
      <c r="E40" s="171" t="s">
        <v>1236</v>
      </c>
      <c r="F40" s="171" t="s">
        <v>1240</v>
      </c>
      <c r="I40" t="s">
        <v>450</v>
      </c>
      <c r="J40" t="s">
        <v>1239</v>
      </c>
      <c r="L40" s="16" t="s">
        <v>450</v>
      </c>
      <c r="N40" t="str">
        <f t="shared" si="0"/>
        <v/>
      </c>
    </row>
    <row r="41" spans="1:14" ht="20" x14ac:dyDescent="0.2">
      <c r="A41" s="171">
        <v>77</v>
      </c>
      <c r="B41" s="169" t="s">
        <v>451</v>
      </c>
      <c r="C41" s="171" t="s">
        <v>1292</v>
      </c>
      <c r="D41" s="171" t="s">
        <v>1242</v>
      </c>
      <c r="E41" s="171" t="s">
        <v>336</v>
      </c>
      <c r="F41" s="171" t="s">
        <v>1243</v>
      </c>
      <c r="I41" t="s">
        <v>451</v>
      </c>
      <c r="J41" t="s">
        <v>1242</v>
      </c>
      <c r="L41" t="s">
        <v>451</v>
      </c>
      <c r="N41" t="str">
        <f t="shared" si="0"/>
        <v/>
      </c>
    </row>
    <row r="42" spans="1:14" ht="20" x14ac:dyDescent="0.2">
      <c r="A42" s="171">
        <v>9</v>
      </c>
      <c r="B42" s="172" t="s">
        <v>452</v>
      </c>
      <c r="C42" s="171" t="s">
        <v>1293</v>
      </c>
      <c r="D42" s="171" t="s">
        <v>1242</v>
      </c>
      <c r="E42" s="171" t="s">
        <v>1236</v>
      </c>
      <c r="F42" s="171" t="s">
        <v>1294</v>
      </c>
      <c r="I42" t="s">
        <v>452</v>
      </c>
      <c r="J42" t="s">
        <v>1242</v>
      </c>
      <c r="L42" s="16" t="s">
        <v>452</v>
      </c>
      <c r="N42" t="str">
        <f t="shared" si="0"/>
        <v/>
      </c>
    </row>
    <row r="43" spans="1:14" ht="20" x14ac:dyDescent="0.2">
      <c r="A43" s="171">
        <v>116</v>
      </c>
      <c r="B43" s="169" t="s">
        <v>453</v>
      </c>
      <c r="C43" s="171" t="s">
        <v>1295</v>
      </c>
      <c r="D43" s="171" t="s">
        <v>1239</v>
      </c>
      <c r="E43" s="171" t="s">
        <v>360</v>
      </c>
      <c r="F43" s="171" t="s">
        <v>1275</v>
      </c>
      <c r="I43" t="s">
        <v>453</v>
      </c>
      <c r="J43" t="s">
        <v>1239</v>
      </c>
      <c r="L43" s="16" t="s">
        <v>453</v>
      </c>
      <c r="N43" t="str">
        <f t="shared" si="0"/>
        <v/>
      </c>
    </row>
    <row r="44" spans="1:14" ht="20" x14ac:dyDescent="0.2">
      <c r="A44" s="171">
        <v>130</v>
      </c>
      <c r="B44" s="169" t="s">
        <v>454</v>
      </c>
      <c r="C44" s="171" t="s">
        <v>1296</v>
      </c>
      <c r="D44" s="171" t="s">
        <v>1239</v>
      </c>
      <c r="E44" s="171" t="s">
        <v>360</v>
      </c>
      <c r="F44" s="171" t="s">
        <v>1297</v>
      </c>
      <c r="I44" t="s">
        <v>454</v>
      </c>
      <c r="J44" t="s">
        <v>1239</v>
      </c>
      <c r="L44" s="16" t="s">
        <v>454</v>
      </c>
      <c r="N44" t="str">
        <f t="shared" si="0"/>
        <v/>
      </c>
    </row>
    <row r="45" spans="1:14" ht="20" x14ac:dyDescent="0.2">
      <c r="A45" s="171">
        <v>60</v>
      </c>
      <c r="B45" s="169" t="s">
        <v>455</v>
      </c>
      <c r="C45" s="171" t="s">
        <v>1298</v>
      </c>
      <c r="D45" s="171" t="s">
        <v>1256</v>
      </c>
      <c r="E45" s="171" t="s">
        <v>1236</v>
      </c>
      <c r="F45" s="171" t="s">
        <v>1257</v>
      </c>
      <c r="I45" t="s">
        <v>455</v>
      </c>
      <c r="J45" t="s">
        <v>1256</v>
      </c>
      <c r="L45" s="16" t="s">
        <v>455</v>
      </c>
      <c r="N45" t="str">
        <f t="shared" si="0"/>
        <v/>
      </c>
    </row>
    <row r="46" spans="1:14" ht="20" x14ac:dyDescent="0.2">
      <c r="A46" s="171">
        <v>61</v>
      </c>
      <c r="B46" s="169" t="s">
        <v>456</v>
      </c>
      <c r="C46" s="171" t="s">
        <v>1299</v>
      </c>
      <c r="D46" s="171" t="s">
        <v>1256</v>
      </c>
      <c r="E46" s="171" t="s">
        <v>1236</v>
      </c>
      <c r="F46" s="171" t="s">
        <v>1257</v>
      </c>
      <c r="I46" t="s">
        <v>456</v>
      </c>
      <c r="J46" t="s">
        <v>1256</v>
      </c>
      <c r="L46" s="16" t="s">
        <v>456</v>
      </c>
      <c r="N46" t="str">
        <f t="shared" si="0"/>
        <v/>
      </c>
    </row>
    <row r="47" spans="1:14" ht="20" x14ac:dyDescent="0.2">
      <c r="A47" s="171">
        <v>131</v>
      </c>
      <c r="B47" s="169" t="s">
        <v>457</v>
      </c>
      <c r="C47" s="171" t="s">
        <v>1300</v>
      </c>
      <c r="D47" s="171" t="s">
        <v>1242</v>
      </c>
      <c r="E47" s="171" t="s">
        <v>360</v>
      </c>
      <c r="F47" s="171" t="s">
        <v>1297</v>
      </c>
      <c r="I47" t="s">
        <v>457</v>
      </c>
      <c r="J47" t="s">
        <v>1242</v>
      </c>
      <c r="L47" s="16" t="s">
        <v>457</v>
      </c>
      <c r="N47" t="str">
        <f t="shared" si="0"/>
        <v/>
      </c>
    </row>
    <row r="48" spans="1:14" ht="20" x14ac:dyDescent="0.2">
      <c r="A48" s="171">
        <v>132</v>
      </c>
      <c r="B48" s="169" t="s">
        <v>458</v>
      </c>
      <c r="C48" s="171" t="s">
        <v>1301</v>
      </c>
      <c r="D48" s="171" t="s">
        <v>1242</v>
      </c>
      <c r="E48" s="171" t="s">
        <v>360</v>
      </c>
      <c r="F48" s="171" t="s">
        <v>1297</v>
      </c>
      <c r="I48" t="s">
        <v>458</v>
      </c>
      <c r="J48" t="s">
        <v>1242</v>
      </c>
      <c r="L48" s="16" t="s">
        <v>458</v>
      </c>
      <c r="N48" t="str">
        <f t="shared" si="0"/>
        <v/>
      </c>
    </row>
    <row r="49" spans="1:14" ht="20" x14ac:dyDescent="0.2">
      <c r="A49" s="171">
        <v>127</v>
      </c>
      <c r="B49" s="169" t="s">
        <v>459</v>
      </c>
      <c r="C49" s="171" t="s">
        <v>1302</v>
      </c>
      <c r="D49" s="171" t="s">
        <v>1242</v>
      </c>
      <c r="E49" s="171" t="s">
        <v>360</v>
      </c>
      <c r="F49" s="171" t="s">
        <v>1303</v>
      </c>
      <c r="I49" t="s">
        <v>459</v>
      </c>
      <c r="J49" t="s">
        <v>1242</v>
      </c>
      <c r="L49" t="s">
        <v>459</v>
      </c>
      <c r="N49" t="str">
        <f t="shared" si="0"/>
        <v/>
      </c>
    </row>
    <row r="50" spans="1:14" ht="20" x14ac:dyDescent="0.2">
      <c r="A50" s="171">
        <v>128</v>
      </c>
      <c r="B50" s="169" t="s">
        <v>460</v>
      </c>
      <c r="C50" s="171" t="s">
        <v>1304</v>
      </c>
      <c r="D50" s="171" t="s">
        <v>1242</v>
      </c>
      <c r="E50" s="171" t="s">
        <v>360</v>
      </c>
      <c r="F50" s="171" t="s">
        <v>1303</v>
      </c>
      <c r="I50" t="s">
        <v>460</v>
      </c>
      <c r="J50" t="s">
        <v>1242</v>
      </c>
      <c r="L50" s="16" t="s">
        <v>460</v>
      </c>
      <c r="N50" t="str">
        <f t="shared" si="0"/>
        <v/>
      </c>
    </row>
    <row r="51" spans="1:14" ht="20" x14ac:dyDescent="0.2">
      <c r="A51" s="171">
        <v>7</v>
      </c>
      <c r="B51" s="172" t="s">
        <v>461</v>
      </c>
      <c r="C51" s="171" t="s">
        <v>1305</v>
      </c>
      <c r="D51" s="171" t="s">
        <v>1239</v>
      </c>
      <c r="E51" s="171" t="s">
        <v>1236</v>
      </c>
      <c r="F51" s="171" t="s">
        <v>1294</v>
      </c>
      <c r="I51" t="s">
        <v>461</v>
      </c>
      <c r="J51" t="s">
        <v>1239</v>
      </c>
      <c r="L51" s="16" t="s">
        <v>461</v>
      </c>
      <c r="N51" t="str">
        <f t="shared" si="0"/>
        <v/>
      </c>
    </row>
    <row r="52" spans="1:14" ht="20" x14ac:dyDescent="0.2">
      <c r="A52" s="171">
        <v>142</v>
      </c>
      <c r="B52" s="169" t="s">
        <v>462</v>
      </c>
      <c r="C52" s="171" t="s">
        <v>1306</v>
      </c>
      <c r="D52" s="171" t="s">
        <v>1252</v>
      </c>
      <c r="E52" s="171" t="s">
        <v>360</v>
      </c>
      <c r="F52" s="171" t="s">
        <v>1247</v>
      </c>
      <c r="I52" t="s">
        <v>462</v>
      </c>
      <c r="J52" t="s">
        <v>1252</v>
      </c>
      <c r="L52" s="16" t="s">
        <v>462</v>
      </c>
      <c r="N52" t="str">
        <f t="shared" si="0"/>
        <v/>
      </c>
    </row>
    <row r="53" spans="1:14" ht="20" x14ac:dyDescent="0.2">
      <c r="A53" s="171">
        <v>126</v>
      </c>
      <c r="B53" s="169" t="s">
        <v>463</v>
      </c>
      <c r="C53" s="171" t="s">
        <v>1307</v>
      </c>
      <c r="D53" s="171" t="s">
        <v>1239</v>
      </c>
      <c r="E53" s="171" t="s">
        <v>360</v>
      </c>
      <c r="F53" s="171" t="s">
        <v>1303</v>
      </c>
      <c r="I53" t="s">
        <v>463</v>
      </c>
      <c r="J53" t="s">
        <v>1239</v>
      </c>
      <c r="L53" s="16" t="s">
        <v>463</v>
      </c>
      <c r="N53" t="str">
        <f t="shared" si="0"/>
        <v/>
      </c>
    </row>
    <row r="54" spans="1:14" ht="20" x14ac:dyDescent="0.2">
      <c r="A54" s="171">
        <v>129</v>
      </c>
      <c r="B54" s="169" t="s">
        <v>464</v>
      </c>
      <c r="C54" s="171" t="s">
        <v>1308</v>
      </c>
      <c r="D54" s="171" t="s">
        <v>1242</v>
      </c>
      <c r="E54" s="171" t="s">
        <v>360</v>
      </c>
      <c r="F54" s="171" t="s">
        <v>1303</v>
      </c>
      <c r="I54" t="s">
        <v>464</v>
      </c>
      <c r="J54" t="s">
        <v>1242</v>
      </c>
      <c r="L54" s="16" t="s">
        <v>464</v>
      </c>
      <c r="N54" t="str">
        <f t="shared" si="0"/>
        <v/>
      </c>
    </row>
    <row r="55" spans="1:14" ht="20" x14ac:dyDescent="0.2">
      <c r="A55" s="171">
        <v>100</v>
      </c>
      <c r="B55" s="169" t="s">
        <v>465</v>
      </c>
      <c r="C55" s="171" t="s">
        <v>1309</v>
      </c>
      <c r="D55" s="171" t="s">
        <v>1242</v>
      </c>
      <c r="E55" s="171" t="s">
        <v>336</v>
      </c>
      <c r="F55" s="171" t="s">
        <v>1268</v>
      </c>
      <c r="I55" t="s">
        <v>465</v>
      </c>
      <c r="J55" t="s">
        <v>1242</v>
      </c>
      <c r="L55" s="16" t="s">
        <v>465</v>
      </c>
      <c r="N55" t="str">
        <f t="shared" si="0"/>
        <v/>
      </c>
    </row>
    <row r="56" spans="1:14" ht="20" x14ac:dyDescent="0.2">
      <c r="A56" s="171">
        <v>101</v>
      </c>
      <c r="B56" s="169" t="s">
        <v>466</v>
      </c>
      <c r="C56" s="171" t="s">
        <v>1310</v>
      </c>
      <c r="D56" s="171" t="s">
        <v>1242</v>
      </c>
      <c r="E56" s="171" t="s">
        <v>336</v>
      </c>
      <c r="F56" s="171" t="s">
        <v>1268</v>
      </c>
      <c r="I56" t="s">
        <v>466</v>
      </c>
      <c r="J56" t="s">
        <v>1242</v>
      </c>
      <c r="L56" s="16" t="s">
        <v>466</v>
      </c>
      <c r="N56" t="str">
        <f t="shared" si="0"/>
        <v/>
      </c>
    </row>
    <row r="57" spans="1:14" ht="20" x14ac:dyDescent="0.2">
      <c r="A57" s="171">
        <v>50</v>
      </c>
      <c r="B57" s="169" t="s">
        <v>467</v>
      </c>
      <c r="C57" s="171" t="s">
        <v>1311</v>
      </c>
      <c r="D57" s="171" t="s">
        <v>1256</v>
      </c>
      <c r="E57" s="171" t="s">
        <v>1236</v>
      </c>
      <c r="F57" s="171" t="s">
        <v>1263</v>
      </c>
      <c r="I57" t="s">
        <v>467</v>
      </c>
      <c r="J57" t="s">
        <v>1256</v>
      </c>
      <c r="L57" s="16" t="s">
        <v>467</v>
      </c>
      <c r="N57" t="str">
        <f t="shared" si="0"/>
        <v/>
      </c>
    </row>
    <row r="58" spans="1:14" ht="20" x14ac:dyDescent="0.2">
      <c r="A58" s="171">
        <v>120</v>
      </c>
      <c r="B58" s="169" t="s">
        <v>468</v>
      </c>
      <c r="C58" s="171" t="s">
        <v>1312</v>
      </c>
      <c r="D58" s="171" t="s">
        <v>1242</v>
      </c>
      <c r="E58" s="171" t="s">
        <v>360</v>
      </c>
      <c r="F58" s="171" t="s">
        <v>1275</v>
      </c>
      <c r="I58" t="s">
        <v>468</v>
      </c>
      <c r="J58" t="s">
        <v>1242</v>
      </c>
      <c r="L58" s="16" t="s">
        <v>468</v>
      </c>
      <c r="N58" t="str">
        <f t="shared" si="0"/>
        <v/>
      </c>
    </row>
    <row r="59" spans="1:14" ht="20" x14ac:dyDescent="0.2">
      <c r="A59" s="171">
        <v>70</v>
      </c>
      <c r="B59" s="169" t="s">
        <v>469</v>
      </c>
      <c r="C59" s="171" t="s">
        <v>1313</v>
      </c>
      <c r="D59" s="171" t="s">
        <v>1252</v>
      </c>
      <c r="E59" s="171" t="s">
        <v>1236</v>
      </c>
      <c r="F59" s="171" t="s">
        <v>1245</v>
      </c>
      <c r="I59" t="s">
        <v>469</v>
      </c>
      <c r="J59" t="s">
        <v>1252</v>
      </c>
      <c r="L59" s="16" t="s">
        <v>469</v>
      </c>
      <c r="N59" t="str">
        <f t="shared" si="0"/>
        <v/>
      </c>
    </row>
    <row r="60" spans="1:14" ht="20" x14ac:dyDescent="0.2">
      <c r="A60" s="171">
        <v>47</v>
      </c>
      <c r="B60" s="169" t="s">
        <v>470</v>
      </c>
      <c r="C60" s="171" t="s">
        <v>1314</v>
      </c>
      <c r="D60" s="171" t="s">
        <v>1242</v>
      </c>
      <c r="E60" s="171" t="s">
        <v>1236</v>
      </c>
      <c r="F60" s="171" t="s">
        <v>1263</v>
      </c>
      <c r="I60" t="s">
        <v>470</v>
      </c>
      <c r="J60" t="s">
        <v>1242</v>
      </c>
      <c r="L60" s="16" t="s">
        <v>470</v>
      </c>
      <c r="N60" t="str">
        <f t="shared" si="0"/>
        <v/>
      </c>
    </row>
    <row r="61" spans="1:14" ht="20" x14ac:dyDescent="0.2">
      <c r="A61" s="171">
        <v>78</v>
      </c>
      <c r="B61" s="169" t="s">
        <v>471</v>
      </c>
      <c r="C61" s="171" t="s">
        <v>1315</v>
      </c>
      <c r="D61" s="171" t="s">
        <v>1242</v>
      </c>
      <c r="E61" s="171" t="s">
        <v>336</v>
      </c>
      <c r="F61" s="171" t="s">
        <v>1243</v>
      </c>
      <c r="I61" t="s">
        <v>471</v>
      </c>
      <c r="J61" t="s">
        <v>1242</v>
      </c>
      <c r="L61" s="16" t="s">
        <v>471</v>
      </c>
      <c r="N61" t="str">
        <f t="shared" si="0"/>
        <v/>
      </c>
    </row>
    <row r="62" spans="1:14" ht="20" x14ac:dyDescent="0.2">
      <c r="A62" s="171">
        <v>110</v>
      </c>
      <c r="B62" s="169" t="s">
        <v>472</v>
      </c>
      <c r="C62" s="171" t="s">
        <v>1316</v>
      </c>
      <c r="D62" s="171" t="s">
        <v>1317</v>
      </c>
      <c r="E62" s="171" t="s">
        <v>336</v>
      </c>
      <c r="F62" s="171" t="s">
        <v>1268</v>
      </c>
      <c r="I62" t="s">
        <v>472</v>
      </c>
      <c r="J62" t="s">
        <v>1317</v>
      </c>
      <c r="L62" s="16" t="s">
        <v>472</v>
      </c>
      <c r="N62" t="str">
        <f t="shared" si="0"/>
        <v/>
      </c>
    </row>
    <row r="63" spans="1:14" ht="20" x14ac:dyDescent="0.2">
      <c r="A63" s="171">
        <v>44</v>
      </c>
      <c r="B63" s="169" t="s">
        <v>1318</v>
      </c>
      <c r="C63" s="171" t="s">
        <v>1319</v>
      </c>
      <c r="D63" s="171" t="s">
        <v>1239</v>
      </c>
      <c r="E63" s="171" t="s">
        <v>1236</v>
      </c>
      <c r="F63" s="171" t="s">
        <v>1263</v>
      </c>
      <c r="I63" t="s">
        <v>473</v>
      </c>
      <c r="J63" t="s">
        <v>1239</v>
      </c>
      <c r="L63" s="16" t="s">
        <v>473</v>
      </c>
      <c r="N63" t="str">
        <f t="shared" si="0"/>
        <v/>
      </c>
    </row>
    <row r="64" spans="1:14" ht="20" x14ac:dyDescent="0.2">
      <c r="A64" s="171">
        <v>3</v>
      </c>
      <c r="B64" s="172" t="s">
        <v>474</v>
      </c>
      <c r="C64" s="171" t="s">
        <v>1320</v>
      </c>
      <c r="D64" s="171" t="s">
        <v>1242</v>
      </c>
      <c r="E64" s="171" t="s">
        <v>1236</v>
      </c>
      <c r="F64" s="171" t="s">
        <v>1237</v>
      </c>
      <c r="I64" t="s">
        <v>474</v>
      </c>
      <c r="J64" t="s">
        <v>1242</v>
      </c>
      <c r="L64" s="16" t="s">
        <v>474</v>
      </c>
      <c r="N64" t="str">
        <f t="shared" si="0"/>
        <v/>
      </c>
    </row>
    <row r="65" spans="1:14" ht="20" x14ac:dyDescent="0.2">
      <c r="A65" s="171">
        <v>79</v>
      </c>
      <c r="B65" s="169" t="s">
        <v>475</v>
      </c>
      <c r="C65" s="171" t="s">
        <v>1321</v>
      </c>
      <c r="D65" s="171" t="s">
        <v>1242</v>
      </c>
      <c r="E65" s="171" t="s">
        <v>336</v>
      </c>
      <c r="F65" s="171" t="s">
        <v>1243</v>
      </c>
      <c r="I65" t="s">
        <v>475</v>
      </c>
      <c r="J65" t="s">
        <v>1242</v>
      </c>
      <c r="L65" s="16" t="s">
        <v>475</v>
      </c>
      <c r="N65" t="str">
        <f t="shared" si="0"/>
        <v/>
      </c>
    </row>
    <row r="66" spans="1:14" ht="20" x14ac:dyDescent="0.2">
      <c r="A66" s="171">
        <v>80</v>
      </c>
      <c r="B66" s="169" t="s">
        <v>476</v>
      </c>
      <c r="C66" s="171" t="s">
        <v>1322</v>
      </c>
      <c r="D66" s="171" t="s">
        <v>1242</v>
      </c>
      <c r="E66" s="171" t="s">
        <v>336</v>
      </c>
      <c r="F66" s="171" t="s">
        <v>1243</v>
      </c>
      <c r="I66" t="s">
        <v>476</v>
      </c>
      <c r="J66" t="s">
        <v>1242</v>
      </c>
      <c r="L66" s="16" t="s">
        <v>476</v>
      </c>
      <c r="N66" t="str">
        <f t="shared" ref="N66:N129" si="1">IF(I66=L66,"","X")</f>
        <v/>
      </c>
    </row>
    <row r="67" spans="1:14" ht="20" x14ac:dyDescent="0.2">
      <c r="A67" s="171">
        <v>81</v>
      </c>
      <c r="B67" s="169" t="s">
        <v>477</v>
      </c>
      <c r="C67" s="171" t="s">
        <v>1323</v>
      </c>
      <c r="D67" s="171" t="s">
        <v>1242</v>
      </c>
      <c r="E67" s="171" t="s">
        <v>336</v>
      </c>
      <c r="F67" s="171" t="s">
        <v>1243</v>
      </c>
      <c r="I67" t="s">
        <v>477</v>
      </c>
      <c r="J67" t="s">
        <v>1242</v>
      </c>
      <c r="L67" s="16" t="s">
        <v>477</v>
      </c>
      <c r="N67" t="str">
        <f t="shared" si="1"/>
        <v/>
      </c>
    </row>
    <row r="68" spans="1:14" ht="20" x14ac:dyDescent="0.2">
      <c r="A68" s="171">
        <v>117</v>
      </c>
      <c r="B68" s="169" t="s">
        <v>478</v>
      </c>
      <c r="C68" s="171" t="s">
        <v>1324</v>
      </c>
      <c r="D68" s="171" t="s">
        <v>1239</v>
      </c>
      <c r="E68" s="171" t="s">
        <v>360</v>
      </c>
      <c r="F68" s="171" t="s">
        <v>1275</v>
      </c>
      <c r="I68" t="s">
        <v>478</v>
      </c>
      <c r="J68" t="s">
        <v>1239</v>
      </c>
      <c r="L68" s="16" t="s">
        <v>478</v>
      </c>
      <c r="N68" t="str">
        <f t="shared" si="1"/>
        <v/>
      </c>
    </row>
    <row r="69" spans="1:14" ht="20" x14ac:dyDescent="0.2">
      <c r="A69" s="171">
        <v>10</v>
      </c>
      <c r="B69" s="172" t="s">
        <v>479</v>
      </c>
      <c r="C69" s="171" t="s">
        <v>1325</v>
      </c>
      <c r="D69" s="171" t="s">
        <v>1242</v>
      </c>
      <c r="E69" s="171" t="s">
        <v>1236</v>
      </c>
      <c r="F69" s="171" t="s">
        <v>1294</v>
      </c>
      <c r="I69" t="s">
        <v>479</v>
      </c>
      <c r="J69" t="s">
        <v>1242</v>
      </c>
      <c r="L69" s="16" t="s">
        <v>479</v>
      </c>
      <c r="N69" t="str">
        <f t="shared" si="1"/>
        <v/>
      </c>
    </row>
    <row r="70" spans="1:14" ht="20" x14ac:dyDescent="0.2">
      <c r="A70" s="171">
        <v>11</v>
      </c>
      <c r="B70" s="169" t="s">
        <v>480</v>
      </c>
      <c r="C70" s="171" t="s">
        <v>1326</v>
      </c>
      <c r="D70" s="171" t="s">
        <v>1242</v>
      </c>
      <c r="E70" s="171" t="s">
        <v>1236</v>
      </c>
      <c r="F70" s="171" t="s">
        <v>1294</v>
      </c>
      <c r="I70" t="s">
        <v>480</v>
      </c>
      <c r="J70" t="s">
        <v>1242</v>
      </c>
      <c r="L70" s="16" t="s">
        <v>480</v>
      </c>
      <c r="N70" t="str">
        <f t="shared" si="1"/>
        <v/>
      </c>
    </row>
    <row r="71" spans="1:14" ht="20" x14ac:dyDescent="0.2">
      <c r="A71" s="171">
        <v>17</v>
      </c>
      <c r="B71" s="169" t="s">
        <v>481</v>
      </c>
      <c r="C71" s="171" t="s">
        <v>1327</v>
      </c>
      <c r="D71" s="171" t="s">
        <v>1242</v>
      </c>
      <c r="E71" s="171" t="s">
        <v>1236</v>
      </c>
      <c r="F71" s="171" t="s">
        <v>1261</v>
      </c>
      <c r="I71" t="s">
        <v>481</v>
      </c>
      <c r="J71" t="s">
        <v>1242</v>
      </c>
      <c r="L71" s="16" t="s">
        <v>481</v>
      </c>
      <c r="N71" t="str">
        <f t="shared" si="1"/>
        <v/>
      </c>
    </row>
    <row r="72" spans="1:14" ht="20" x14ac:dyDescent="0.2">
      <c r="A72" s="171">
        <v>18</v>
      </c>
      <c r="B72" s="169" t="s">
        <v>482</v>
      </c>
      <c r="C72" s="171" t="s">
        <v>1328</v>
      </c>
      <c r="D72" s="171" t="s">
        <v>1235</v>
      </c>
      <c r="E72" s="171" t="s">
        <v>1236</v>
      </c>
      <c r="F72" s="171" t="s">
        <v>1261</v>
      </c>
      <c r="I72" t="s">
        <v>482</v>
      </c>
      <c r="J72" t="s">
        <v>1235</v>
      </c>
      <c r="L72" s="16" t="s">
        <v>482</v>
      </c>
      <c r="N72" t="str">
        <f t="shared" si="1"/>
        <v/>
      </c>
    </row>
    <row r="73" spans="1:14" ht="20" x14ac:dyDescent="0.2">
      <c r="A73" s="171">
        <v>4</v>
      </c>
      <c r="B73" s="172" t="s">
        <v>483</v>
      </c>
      <c r="C73" s="171" t="s">
        <v>1329</v>
      </c>
      <c r="D73" s="171" t="s">
        <v>1242</v>
      </c>
      <c r="E73" s="171" t="s">
        <v>1236</v>
      </c>
      <c r="F73" s="171" t="s">
        <v>1237</v>
      </c>
      <c r="I73" t="s">
        <v>483</v>
      </c>
      <c r="J73" t="s">
        <v>1242</v>
      </c>
      <c r="L73" s="16" t="s">
        <v>483</v>
      </c>
      <c r="N73" t="str">
        <f t="shared" si="1"/>
        <v/>
      </c>
    </row>
    <row r="74" spans="1:14" ht="20" x14ac:dyDescent="0.2">
      <c r="A74" s="171">
        <v>121</v>
      </c>
      <c r="B74" s="169" t="s">
        <v>484</v>
      </c>
      <c r="C74" s="171" t="s">
        <v>1330</v>
      </c>
      <c r="D74" s="171" t="s">
        <v>1242</v>
      </c>
      <c r="E74" s="171" t="s">
        <v>360</v>
      </c>
      <c r="F74" s="171" t="s">
        <v>1275</v>
      </c>
      <c r="I74" t="s">
        <v>484</v>
      </c>
      <c r="J74" t="s">
        <v>1242</v>
      </c>
      <c r="L74" s="16" t="s">
        <v>484</v>
      </c>
      <c r="N74" t="str">
        <f t="shared" si="1"/>
        <v/>
      </c>
    </row>
    <row r="75" spans="1:14" ht="20" x14ac:dyDescent="0.2">
      <c r="A75" s="171">
        <v>143</v>
      </c>
      <c r="B75" s="169" t="s">
        <v>485</v>
      </c>
      <c r="C75" s="171" t="s">
        <v>1331</v>
      </c>
      <c r="D75" s="171" t="s">
        <v>1242</v>
      </c>
      <c r="E75" s="171" t="s">
        <v>360</v>
      </c>
      <c r="F75" s="171" t="s">
        <v>1259</v>
      </c>
      <c r="I75" t="s">
        <v>485</v>
      </c>
      <c r="J75" t="s">
        <v>1242</v>
      </c>
      <c r="L75" s="16" t="s">
        <v>485</v>
      </c>
      <c r="N75" t="str">
        <f t="shared" si="1"/>
        <v/>
      </c>
    </row>
    <row r="76" spans="1:14" ht="20" x14ac:dyDescent="0.2">
      <c r="A76" s="171">
        <v>102</v>
      </c>
      <c r="B76" s="169" t="s">
        <v>486</v>
      </c>
      <c r="C76" s="171" t="s">
        <v>1332</v>
      </c>
      <c r="D76" s="171" t="s">
        <v>1242</v>
      </c>
      <c r="E76" s="171" t="s">
        <v>336</v>
      </c>
      <c r="F76" s="171" t="s">
        <v>1268</v>
      </c>
      <c r="I76" t="s">
        <v>486</v>
      </c>
      <c r="J76" t="s">
        <v>1242</v>
      </c>
      <c r="L76" s="16" t="s">
        <v>486</v>
      </c>
      <c r="N76" t="str">
        <f t="shared" si="1"/>
        <v/>
      </c>
    </row>
    <row r="77" spans="1:14" ht="20" x14ac:dyDescent="0.2">
      <c r="A77" s="171">
        <v>103</v>
      </c>
      <c r="B77" s="169" t="s">
        <v>487</v>
      </c>
      <c r="C77" s="171" t="s">
        <v>1333</v>
      </c>
      <c r="D77" s="171" t="s">
        <v>1242</v>
      </c>
      <c r="E77" s="171" t="s">
        <v>336</v>
      </c>
      <c r="F77" s="171" t="s">
        <v>1268</v>
      </c>
      <c r="I77" t="s">
        <v>487</v>
      </c>
      <c r="J77" t="s">
        <v>1242</v>
      </c>
      <c r="L77" s="16" t="s">
        <v>487</v>
      </c>
      <c r="N77" t="str">
        <f t="shared" si="1"/>
        <v/>
      </c>
    </row>
    <row r="78" spans="1:14" ht="20" x14ac:dyDescent="0.2">
      <c r="A78" s="171">
        <v>104</v>
      </c>
      <c r="B78" s="169" t="s">
        <v>488</v>
      </c>
      <c r="C78" s="171" t="s">
        <v>1334</v>
      </c>
      <c r="D78" s="171" t="s">
        <v>1242</v>
      </c>
      <c r="E78" s="171" t="s">
        <v>336</v>
      </c>
      <c r="F78" s="171" t="s">
        <v>1268</v>
      </c>
      <c r="I78" t="s">
        <v>488</v>
      </c>
      <c r="J78" t="s">
        <v>1242</v>
      </c>
      <c r="L78" s="16" t="s">
        <v>488</v>
      </c>
      <c r="N78" t="str">
        <f t="shared" si="1"/>
        <v/>
      </c>
    </row>
    <row r="79" spans="1:14" ht="20" x14ac:dyDescent="0.2">
      <c r="A79" s="171">
        <v>105</v>
      </c>
      <c r="B79" s="169" t="s">
        <v>489</v>
      </c>
      <c r="C79" s="171" t="s">
        <v>1335</v>
      </c>
      <c r="D79" s="171" t="s">
        <v>1242</v>
      </c>
      <c r="E79" s="171" t="s">
        <v>336</v>
      </c>
      <c r="F79" s="171" t="s">
        <v>1268</v>
      </c>
      <c r="I79" t="s">
        <v>489</v>
      </c>
      <c r="J79" t="s">
        <v>1242</v>
      </c>
      <c r="L79" s="16" t="s">
        <v>489</v>
      </c>
      <c r="N79" t="str">
        <f t="shared" si="1"/>
        <v/>
      </c>
    </row>
    <row r="80" spans="1:14" ht="20" x14ac:dyDescent="0.2">
      <c r="A80" s="171">
        <v>51</v>
      </c>
      <c r="B80" s="169" t="s">
        <v>490</v>
      </c>
      <c r="C80" s="171" t="s">
        <v>1336</v>
      </c>
      <c r="D80" s="171"/>
      <c r="E80" s="171"/>
      <c r="F80" s="171" t="s">
        <v>1337</v>
      </c>
      <c r="I80" t="s">
        <v>490</v>
      </c>
      <c r="L80" s="16" t="s">
        <v>490</v>
      </c>
      <c r="N80" t="str">
        <f t="shared" si="1"/>
        <v/>
      </c>
    </row>
    <row r="81" spans="1:14" ht="20" x14ac:dyDescent="0.2">
      <c r="A81" s="171">
        <v>52</v>
      </c>
      <c r="B81" s="169" t="s">
        <v>491</v>
      </c>
      <c r="C81" s="171" t="s">
        <v>1338</v>
      </c>
      <c r="D81" s="171" t="s">
        <v>1252</v>
      </c>
      <c r="E81" s="171" t="s">
        <v>1236</v>
      </c>
      <c r="F81" s="171" t="s">
        <v>1257</v>
      </c>
      <c r="I81" t="s">
        <v>491</v>
      </c>
      <c r="J81" t="s">
        <v>1252</v>
      </c>
      <c r="L81" s="16" t="s">
        <v>491</v>
      </c>
      <c r="N81" t="str">
        <f t="shared" si="1"/>
        <v/>
      </c>
    </row>
    <row r="82" spans="1:14" ht="20" x14ac:dyDescent="0.2">
      <c r="A82" s="171">
        <v>8</v>
      </c>
      <c r="B82" s="172" t="s">
        <v>492</v>
      </c>
      <c r="C82" s="171" t="s">
        <v>1339</v>
      </c>
      <c r="D82" s="171" t="s">
        <v>1239</v>
      </c>
      <c r="E82" s="171" t="s">
        <v>1236</v>
      </c>
      <c r="F82" s="171" t="s">
        <v>1294</v>
      </c>
      <c r="I82" t="s">
        <v>492</v>
      </c>
      <c r="J82" t="s">
        <v>1239</v>
      </c>
      <c r="L82" s="16" t="s">
        <v>492</v>
      </c>
      <c r="N82" t="str">
        <f t="shared" si="1"/>
        <v/>
      </c>
    </row>
    <row r="83" spans="1:14" ht="20" x14ac:dyDescent="0.2">
      <c r="A83" s="171">
        <v>12</v>
      </c>
      <c r="B83" s="169" t="s">
        <v>493</v>
      </c>
      <c r="C83" s="171" t="s">
        <v>1340</v>
      </c>
      <c r="D83" s="171" t="s">
        <v>1242</v>
      </c>
      <c r="E83" s="171" t="s">
        <v>1236</v>
      </c>
      <c r="F83" s="171" t="s">
        <v>1294</v>
      </c>
      <c r="I83" t="s">
        <v>493</v>
      </c>
      <c r="J83" t="s">
        <v>1242</v>
      </c>
      <c r="L83" s="16" t="s">
        <v>493</v>
      </c>
      <c r="N83" t="str">
        <f t="shared" si="1"/>
        <v/>
      </c>
    </row>
    <row r="84" spans="1:14" ht="20" x14ac:dyDescent="0.2">
      <c r="A84" s="171">
        <v>144</v>
      </c>
      <c r="B84" s="169" t="s">
        <v>494</v>
      </c>
      <c r="C84" s="171" t="s">
        <v>1341</v>
      </c>
      <c r="D84" s="171" t="s">
        <v>1242</v>
      </c>
      <c r="E84" s="171" t="s">
        <v>360</v>
      </c>
      <c r="F84" s="171" t="s">
        <v>1259</v>
      </c>
      <c r="I84" t="s">
        <v>494</v>
      </c>
      <c r="J84" t="s">
        <v>1242</v>
      </c>
      <c r="L84" s="16" t="s">
        <v>494</v>
      </c>
      <c r="N84" t="str">
        <f t="shared" si="1"/>
        <v/>
      </c>
    </row>
    <row r="85" spans="1:14" ht="20" x14ac:dyDescent="0.2">
      <c r="A85" s="171">
        <v>152</v>
      </c>
      <c r="B85" s="169" t="s">
        <v>495</v>
      </c>
      <c r="C85" s="171" t="s">
        <v>495</v>
      </c>
      <c r="D85" s="171"/>
      <c r="E85" s="171"/>
      <c r="F85" s="171" t="s">
        <v>1337</v>
      </c>
      <c r="I85" t="s">
        <v>495</v>
      </c>
      <c r="L85" s="16" t="s">
        <v>495</v>
      </c>
      <c r="N85" t="str">
        <f t="shared" si="1"/>
        <v/>
      </c>
    </row>
    <row r="86" spans="1:14" ht="20" x14ac:dyDescent="0.2">
      <c r="A86" s="171">
        <v>53</v>
      </c>
      <c r="B86" s="169" t="s">
        <v>496</v>
      </c>
      <c r="C86" s="171" t="s">
        <v>1342</v>
      </c>
      <c r="D86" s="171" t="s">
        <v>1252</v>
      </c>
      <c r="E86" s="171" t="s">
        <v>1236</v>
      </c>
      <c r="F86" s="171" t="s">
        <v>1257</v>
      </c>
      <c r="I86" t="s">
        <v>496</v>
      </c>
      <c r="J86" t="s">
        <v>1252</v>
      </c>
      <c r="L86" s="16" t="s">
        <v>496</v>
      </c>
      <c r="N86" t="str">
        <f t="shared" si="1"/>
        <v/>
      </c>
    </row>
    <row r="87" spans="1:14" ht="20" x14ac:dyDescent="0.2">
      <c r="A87" s="171">
        <v>71</v>
      </c>
      <c r="B87" s="169" t="s">
        <v>497</v>
      </c>
      <c r="C87" s="171" t="s">
        <v>1343</v>
      </c>
      <c r="D87" s="171" t="s">
        <v>1252</v>
      </c>
      <c r="E87" s="171" t="s">
        <v>1236</v>
      </c>
      <c r="F87" s="171" t="s">
        <v>1245</v>
      </c>
      <c r="I87" t="s">
        <v>497</v>
      </c>
      <c r="J87" t="s">
        <v>1252</v>
      </c>
      <c r="L87" s="16" t="s">
        <v>497</v>
      </c>
      <c r="N87" t="str">
        <f t="shared" si="1"/>
        <v/>
      </c>
    </row>
    <row r="88" spans="1:14" ht="20" x14ac:dyDescent="0.2">
      <c r="A88" s="171">
        <v>86</v>
      </c>
      <c r="B88" s="169" t="s">
        <v>498</v>
      </c>
      <c r="C88" s="171" t="s">
        <v>1344</v>
      </c>
      <c r="D88" s="171" t="s">
        <v>1239</v>
      </c>
      <c r="E88" s="171" t="s">
        <v>336</v>
      </c>
      <c r="F88" s="171" t="s">
        <v>1253</v>
      </c>
      <c r="I88" t="s">
        <v>498</v>
      </c>
      <c r="J88" t="s">
        <v>1239</v>
      </c>
      <c r="L88" s="16" t="s">
        <v>498</v>
      </c>
      <c r="N88" t="str">
        <f t="shared" si="1"/>
        <v/>
      </c>
    </row>
    <row r="89" spans="1:14" ht="20" x14ac:dyDescent="0.2">
      <c r="A89" s="171">
        <v>73</v>
      </c>
      <c r="B89" s="169" t="s">
        <v>499</v>
      </c>
      <c r="C89" s="171" t="s">
        <v>1345</v>
      </c>
      <c r="D89" s="171" t="s">
        <v>1239</v>
      </c>
      <c r="E89" s="171" t="s">
        <v>336</v>
      </c>
      <c r="F89" s="171" t="s">
        <v>1243</v>
      </c>
      <c r="I89" t="s">
        <v>499</v>
      </c>
      <c r="J89" t="s">
        <v>1239</v>
      </c>
      <c r="L89" s="16" t="s">
        <v>499</v>
      </c>
      <c r="N89" t="str">
        <f t="shared" si="1"/>
        <v/>
      </c>
    </row>
    <row r="90" spans="1:14" ht="20" x14ac:dyDescent="0.2">
      <c r="A90" s="171">
        <v>1</v>
      </c>
      <c r="B90" s="172" t="s">
        <v>112</v>
      </c>
      <c r="C90" s="171" t="s">
        <v>1346</v>
      </c>
      <c r="D90" s="171" t="s">
        <v>1239</v>
      </c>
      <c r="E90" s="171" t="s">
        <v>1236</v>
      </c>
      <c r="F90" s="171" t="s">
        <v>1347</v>
      </c>
      <c r="I90" t="s">
        <v>112</v>
      </c>
      <c r="J90" t="s">
        <v>1239</v>
      </c>
      <c r="L90" s="16" t="s">
        <v>112</v>
      </c>
      <c r="N90" t="str">
        <f t="shared" si="1"/>
        <v/>
      </c>
    </row>
    <row r="91" spans="1:14" ht="20" x14ac:dyDescent="0.2">
      <c r="A91" s="171">
        <v>87</v>
      </c>
      <c r="B91" s="169" t="s">
        <v>500</v>
      </c>
      <c r="C91" s="171" t="s">
        <v>1348</v>
      </c>
      <c r="D91" s="171" t="s">
        <v>1239</v>
      </c>
      <c r="E91" s="171" t="s">
        <v>336</v>
      </c>
      <c r="F91" s="171" t="s">
        <v>1253</v>
      </c>
      <c r="I91" t="s">
        <v>500</v>
      </c>
      <c r="J91" t="s">
        <v>1239</v>
      </c>
      <c r="L91" s="16" t="s">
        <v>500</v>
      </c>
      <c r="N91" t="str">
        <f t="shared" si="1"/>
        <v/>
      </c>
    </row>
    <row r="92" spans="1:14" ht="20" x14ac:dyDescent="0.2">
      <c r="A92" s="171">
        <v>111</v>
      </c>
      <c r="B92" s="169" t="s">
        <v>501</v>
      </c>
      <c r="C92" s="171" t="s">
        <v>1349</v>
      </c>
      <c r="D92" s="171" t="s">
        <v>1317</v>
      </c>
      <c r="E92" s="171" t="s">
        <v>336</v>
      </c>
      <c r="F92" s="171" t="s">
        <v>1268</v>
      </c>
      <c r="I92" t="s">
        <v>501</v>
      </c>
      <c r="J92" t="s">
        <v>1317</v>
      </c>
      <c r="L92" s="16" t="s">
        <v>501</v>
      </c>
      <c r="N92" t="str">
        <f t="shared" si="1"/>
        <v/>
      </c>
    </row>
    <row r="93" spans="1:14" ht="20" x14ac:dyDescent="0.2">
      <c r="A93" s="171">
        <v>122</v>
      </c>
      <c r="B93" s="169" t="s">
        <v>502</v>
      </c>
      <c r="C93" s="171" t="s">
        <v>1350</v>
      </c>
      <c r="D93" s="171" t="s">
        <v>1242</v>
      </c>
      <c r="E93" s="171" t="s">
        <v>360</v>
      </c>
      <c r="F93" s="171" t="s">
        <v>1275</v>
      </c>
      <c r="I93" t="s">
        <v>502</v>
      </c>
      <c r="J93" t="s">
        <v>1242</v>
      </c>
      <c r="L93" s="16" t="s">
        <v>502</v>
      </c>
      <c r="N93" t="str">
        <f t="shared" si="1"/>
        <v/>
      </c>
    </row>
    <row r="94" spans="1:14" ht="20" x14ac:dyDescent="0.2">
      <c r="A94" s="171">
        <v>123</v>
      </c>
      <c r="B94" s="169" t="s">
        <v>503</v>
      </c>
      <c r="C94" s="171" t="s">
        <v>1351</v>
      </c>
      <c r="D94" s="171" t="s">
        <v>1242</v>
      </c>
      <c r="E94" s="171" t="s">
        <v>360</v>
      </c>
      <c r="F94" s="171" t="s">
        <v>1275</v>
      </c>
      <c r="I94" t="s">
        <v>503</v>
      </c>
      <c r="J94" t="s">
        <v>1242</v>
      </c>
      <c r="L94" s="16" t="s">
        <v>503</v>
      </c>
      <c r="N94" t="str">
        <f t="shared" si="1"/>
        <v/>
      </c>
    </row>
    <row r="95" spans="1:14" ht="20" x14ac:dyDescent="0.2">
      <c r="A95" s="171">
        <v>5</v>
      </c>
      <c r="B95" s="172" t="s">
        <v>504</v>
      </c>
      <c r="C95" s="171" t="s">
        <v>1352</v>
      </c>
      <c r="D95" s="171" t="s">
        <v>1242</v>
      </c>
      <c r="E95" s="171" t="s">
        <v>1236</v>
      </c>
      <c r="F95" s="171" t="s">
        <v>1237</v>
      </c>
      <c r="I95" t="s">
        <v>504</v>
      </c>
      <c r="J95" t="s">
        <v>1242</v>
      </c>
      <c r="L95" s="16" t="s">
        <v>504</v>
      </c>
      <c r="N95" t="str">
        <f t="shared" si="1"/>
        <v/>
      </c>
    </row>
    <row r="96" spans="1:14" ht="20" x14ac:dyDescent="0.2">
      <c r="A96" s="171">
        <v>124</v>
      </c>
      <c r="B96" s="169" t="s">
        <v>505</v>
      </c>
      <c r="C96" s="171" t="s">
        <v>1353</v>
      </c>
      <c r="D96" s="171" t="s">
        <v>1242</v>
      </c>
      <c r="E96" s="171" t="s">
        <v>360</v>
      </c>
      <c r="F96" s="171" t="s">
        <v>1275</v>
      </c>
      <c r="I96" t="s">
        <v>505</v>
      </c>
      <c r="J96" t="s">
        <v>1242</v>
      </c>
      <c r="L96" s="16" t="s">
        <v>505</v>
      </c>
      <c r="N96" t="str">
        <f t="shared" si="1"/>
        <v/>
      </c>
    </row>
    <row r="97" spans="1:15" ht="20" x14ac:dyDescent="0.2">
      <c r="A97" s="171">
        <v>125</v>
      </c>
      <c r="B97" s="169" t="s">
        <v>506</v>
      </c>
      <c r="C97" s="171" t="s">
        <v>1354</v>
      </c>
      <c r="D97" s="171" t="s">
        <v>1242</v>
      </c>
      <c r="E97" s="171" t="s">
        <v>360</v>
      </c>
      <c r="F97" s="171" t="s">
        <v>1275</v>
      </c>
      <c r="I97" t="s">
        <v>506</v>
      </c>
      <c r="J97" t="s">
        <v>1242</v>
      </c>
      <c r="L97" s="16" t="s">
        <v>506</v>
      </c>
      <c r="N97" t="str">
        <f t="shared" si="1"/>
        <v/>
      </c>
    </row>
    <row r="98" spans="1:15" ht="20" x14ac:dyDescent="0.2">
      <c r="A98" s="171">
        <v>30</v>
      </c>
      <c r="B98" s="169" t="s">
        <v>507</v>
      </c>
      <c r="C98" s="171" t="s">
        <v>1355</v>
      </c>
      <c r="D98" s="171" t="s">
        <v>1242</v>
      </c>
      <c r="E98" s="171" t="s">
        <v>1236</v>
      </c>
      <c r="F98" s="171" t="s">
        <v>1240</v>
      </c>
      <c r="I98" t="s">
        <v>507</v>
      </c>
      <c r="J98" t="s">
        <v>1242</v>
      </c>
      <c r="L98" s="16" t="s">
        <v>507</v>
      </c>
      <c r="N98" t="str">
        <f t="shared" si="1"/>
        <v/>
      </c>
    </row>
    <row r="99" spans="1:15" ht="20" x14ac:dyDescent="0.2">
      <c r="A99" s="171">
        <v>31</v>
      </c>
      <c r="B99" s="169" t="s">
        <v>508</v>
      </c>
      <c r="C99" s="171" t="s">
        <v>1356</v>
      </c>
      <c r="D99" s="171" t="s">
        <v>1242</v>
      </c>
      <c r="E99" s="171" t="s">
        <v>1236</v>
      </c>
      <c r="F99" s="171" t="s">
        <v>1240</v>
      </c>
      <c r="I99" t="s">
        <v>508</v>
      </c>
      <c r="J99" t="s">
        <v>1242</v>
      </c>
      <c r="L99" t="s">
        <v>508</v>
      </c>
      <c r="N99" t="str">
        <f t="shared" si="1"/>
        <v/>
      </c>
    </row>
    <row r="100" spans="1:15" ht="20" x14ac:dyDescent="0.2">
      <c r="A100" s="171">
        <v>32</v>
      </c>
      <c r="B100" s="169" t="s">
        <v>509</v>
      </c>
      <c r="C100" s="171" t="s">
        <v>1357</v>
      </c>
      <c r="D100" s="171" t="s">
        <v>1242</v>
      </c>
      <c r="E100" s="171" t="s">
        <v>1236</v>
      </c>
      <c r="F100" s="171" t="s">
        <v>1240</v>
      </c>
      <c r="I100" t="s">
        <v>509</v>
      </c>
      <c r="J100" t="s">
        <v>1242</v>
      </c>
      <c r="L100" t="s">
        <v>509</v>
      </c>
      <c r="N100" t="str">
        <f t="shared" si="1"/>
        <v/>
      </c>
    </row>
    <row r="101" spans="1:15" ht="20" x14ac:dyDescent="0.2">
      <c r="A101" s="171">
        <v>83</v>
      </c>
      <c r="B101" s="169" t="s">
        <v>511</v>
      </c>
      <c r="C101" s="171" t="s">
        <v>1358</v>
      </c>
      <c r="D101" s="171" t="s">
        <v>1235</v>
      </c>
      <c r="E101" s="171" t="s">
        <v>336</v>
      </c>
      <c r="F101" s="171" t="s">
        <v>1243</v>
      </c>
      <c r="L101" s="16" t="s">
        <v>510</v>
      </c>
      <c r="N101" t="str">
        <f t="shared" si="1"/>
        <v>X</v>
      </c>
      <c r="O101" s="16" t="s">
        <v>510</v>
      </c>
    </row>
    <row r="102" spans="1:15" ht="20" x14ac:dyDescent="0.2">
      <c r="A102" s="171">
        <v>82</v>
      </c>
      <c r="B102" s="169" t="s">
        <v>513</v>
      </c>
      <c r="C102" s="171" t="s">
        <v>1359</v>
      </c>
      <c r="D102" s="171" t="s">
        <v>1242</v>
      </c>
      <c r="E102" s="171" t="s">
        <v>336</v>
      </c>
      <c r="F102" s="171" t="s">
        <v>1243</v>
      </c>
      <c r="I102" t="s">
        <v>511</v>
      </c>
      <c r="J102" t="s">
        <v>1235</v>
      </c>
      <c r="L102" s="16" t="s">
        <v>511</v>
      </c>
      <c r="N102" t="str">
        <f t="shared" si="1"/>
        <v/>
      </c>
    </row>
    <row r="103" spans="1:15" ht="20" x14ac:dyDescent="0.2">
      <c r="A103" s="171">
        <v>94</v>
      </c>
      <c r="B103" s="169" t="s">
        <v>514</v>
      </c>
      <c r="C103" s="171" t="s">
        <v>1360</v>
      </c>
      <c r="D103" s="171" t="s">
        <v>1242</v>
      </c>
      <c r="E103" s="171" t="s">
        <v>336</v>
      </c>
      <c r="F103" s="171" t="s">
        <v>1253</v>
      </c>
      <c r="L103" s="16" t="s">
        <v>512</v>
      </c>
      <c r="N103" t="str">
        <f t="shared" si="1"/>
        <v>X</v>
      </c>
      <c r="O103" s="16" t="s">
        <v>512</v>
      </c>
    </row>
    <row r="104" spans="1:15" ht="20" x14ac:dyDescent="0.2">
      <c r="A104" s="171">
        <v>95</v>
      </c>
      <c r="B104" s="169" t="s">
        <v>515</v>
      </c>
      <c r="C104" s="171" t="s">
        <v>1361</v>
      </c>
      <c r="D104" s="171" t="s">
        <v>1235</v>
      </c>
      <c r="E104" s="171" t="s">
        <v>336</v>
      </c>
      <c r="F104" s="171" t="s">
        <v>1253</v>
      </c>
      <c r="I104" t="s">
        <v>513</v>
      </c>
      <c r="J104" t="s">
        <v>1242</v>
      </c>
      <c r="L104" s="16" t="s">
        <v>513</v>
      </c>
      <c r="N104" t="str">
        <f t="shared" si="1"/>
        <v/>
      </c>
    </row>
    <row r="105" spans="1:15" ht="20" x14ac:dyDescent="0.2">
      <c r="A105" s="171">
        <v>106</v>
      </c>
      <c r="B105" s="169" t="s">
        <v>516</v>
      </c>
      <c r="C105" s="171" t="s">
        <v>1362</v>
      </c>
      <c r="D105" s="171" t="s">
        <v>1242</v>
      </c>
      <c r="E105" s="171" t="s">
        <v>336</v>
      </c>
      <c r="F105" s="171" t="s">
        <v>1268</v>
      </c>
      <c r="I105" t="s">
        <v>514</v>
      </c>
      <c r="J105" t="s">
        <v>1242</v>
      </c>
      <c r="L105" s="16" t="s">
        <v>514</v>
      </c>
      <c r="N105" t="str">
        <f t="shared" si="1"/>
        <v/>
      </c>
    </row>
    <row r="106" spans="1:15" ht="20" x14ac:dyDescent="0.2">
      <c r="A106" s="171">
        <v>19</v>
      </c>
      <c r="B106" s="169" t="s">
        <v>517</v>
      </c>
      <c r="C106" s="171" t="s">
        <v>1363</v>
      </c>
      <c r="D106" s="171" t="s">
        <v>1235</v>
      </c>
      <c r="E106" s="171" t="s">
        <v>1236</v>
      </c>
      <c r="F106" s="171" t="s">
        <v>1261</v>
      </c>
      <c r="I106" t="s">
        <v>515</v>
      </c>
      <c r="J106" t="s">
        <v>1235</v>
      </c>
      <c r="L106" s="16" t="s">
        <v>515</v>
      </c>
      <c r="N106" t="str">
        <f t="shared" si="1"/>
        <v/>
      </c>
    </row>
    <row r="107" spans="1:15" ht="20" x14ac:dyDescent="0.2">
      <c r="A107" s="171">
        <v>25</v>
      </c>
      <c r="B107" s="169" t="s">
        <v>518</v>
      </c>
      <c r="C107" s="171" t="s">
        <v>1364</v>
      </c>
      <c r="D107" s="171" t="s">
        <v>1239</v>
      </c>
      <c r="E107" s="171" t="s">
        <v>1236</v>
      </c>
      <c r="F107" s="171" t="s">
        <v>1240</v>
      </c>
      <c r="I107" t="s">
        <v>516</v>
      </c>
      <c r="J107" t="s">
        <v>1242</v>
      </c>
      <c r="L107" s="16" t="s">
        <v>516</v>
      </c>
      <c r="N107" t="str">
        <f t="shared" si="1"/>
        <v/>
      </c>
    </row>
    <row r="108" spans="1:15" ht="20" x14ac:dyDescent="0.2">
      <c r="A108" s="171">
        <v>54</v>
      </c>
      <c r="B108" s="169" t="s">
        <v>519</v>
      </c>
      <c r="C108" s="171" t="s">
        <v>1365</v>
      </c>
      <c r="D108" s="171" t="s">
        <v>1252</v>
      </c>
      <c r="E108" s="171" t="s">
        <v>1236</v>
      </c>
      <c r="F108" s="171" t="s">
        <v>1257</v>
      </c>
      <c r="I108" t="s">
        <v>517</v>
      </c>
      <c r="J108" t="s">
        <v>1235</v>
      </c>
      <c r="L108" s="16" t="s">
        <v>517</v>
      </c>
      <c r="N108" t="str">
        <f t="shared" si="1"/>
        <v/>
      </c>
    </row>
    <row r="109" spans="1:15" ht="20" x14ac:dyDescent="0.2">
      <c r="A109" s="171">
        <v>55</v>
      </c>
      <c r="B109" s="169" t="s">
        <v>520</v>
      </c>
      <c r="C109" s="171" t="s">
        <v>1366</v>
      </c>
      <c r="D109" s="171" t="s">
        <v>1252</v>
      </c>
      <c r="E109" s="171" t="s">
        <v>1236</v>
      </c>
      <c r="F109" s="171" t="s">
        <v>1257</v>
      </c>
      <c r="I109" t="s">
        <v>518</v>
      </c>
      <c r="J109" t="s">
        <v>1239</v>
      </c>
      <c r="L109" s="16" t="s">
        <v>518</v>
      </c>
      <c r="N109" t="str">
        <f t="shared" si="1"/>
        <v/>
      </c>
    </row>
    <row r="110" spans="1:15" ht="20" x14ac:dyDescent="0.2">
      <c r="A110" s="171">
        <v>56</v>
      </c>
      <c r="B110" s="169" t="s">
        <v>521</v>
      </c>
      <c r="C110" s="171" t="s">
        <v>1367</v>
      </c>
      <c r="D110" s="171" t="s">
        <v>1368</v>
      </c>
      <c r="E110" s="171" t="s">
        <v>1236</v>
      </c>
      <c r="F110" s="171" t="s">
        <v>1257</v>
      </c>
      <c r="I110" t="s">
        <v>519</v>
      </c>
      <c r="J110" t="s">
        <v>1252</v>
      </c>
      <c r="L110" s="16" t="s">
        <v>519</v>
      </c>
      <c r="N110" t="str">
        <f t="shared" si="1"/>
        <v/>
      </c>
    </row>
    <row r="111" spans="1:15" ht="20" x14ac:dyDescent="0.2">
      <c r="A111" s="171">
        <v>43</v>
      </c>
      <c r="B111" s="169" t="s">
        <v>522</v>
      </c>
      <c r="C111" s="171" t="s">
        <v>1369</v>
      </c>
      <c r="D111" s="171" t="s">
        <v>1256</v>
      </c>
      <c r="E111" s="171" t="s">
        <v>1236</v>
      </c>
      <c r="F111" s="171" t="s">
        <v>1240</v>
      </c>
      <c r="I111" t="s">
        <v>520</v>
      </c>
      <c r="J111" t="s">
        <v>1252</v>
      </c>
      <c r="L111" s="16" t="s">
        <v>520</v>
      </c>
      <c r="N111" t="str">
        <f t="shared" si="1"/>
        <v/>
      </c>
    </row>
    <row r="112" spans="1:15" ht="20" x14ac:dyDescent="0.2">
      <c r="A112" s="171">
        <v>13</v>
      </c>
      <c r="B112" s="169" t="s">
        <v>523</v>
      </c>
      <c r="C112" s="171" t="s">
        <v>1370</v>
      </c>
      <c r="D112" s="171" t="s">
        <v>1235</v>
      </c>
      <c r="E112" s="171" t="s">
        <v>1236</v>
      </c>
      <c r="F112" s="171" t="s">
        <v>1294</v>
      </c>
      <c r="I112" t="s">
        <v>521</v>
      </c>
      <c r="J112" t="s">
        <v>1368</v>
      </c>
      <c r="L112" s="16" t="s">
        <v>521</v>
      </c>
      <c r="N112" t="str">
        <f t="shared" si="1"/>
        <v/>
      </c>
    </row>
    <row r="113" spans="1:14" ht="20" x14ac:dyDescent="0.2">
      <c r="A113" s="171">
        <v>14</v>
      </c>
      <c r="B113" s="169" t="s">
        <v>524</v>
      </c>
      <c r="C113" s="171" t="s">
        <v>1371</v>
      </c>
      <c r="D113" s="171" t="s">
        <v>1235</v>
      </c>
      <c r="E113" s="171" t="s">
        <v>1236</v>
      </c>
      <c r="F113" s="171" t="s">
        <v>1294</v>
      </c>
      <c r="I113" t="s">
        <v>522</v>
      </c>
      <c r="J113" t="s">
        <v>1256</v>
      </c>
      <c r="L113" s="16" t="s">
        <v>522</v>
      </c>
      <c r="N113" t="str">
        <f t="shared" si="1"/>
        <v/>
      </c>
    </row>
    <row r="114" spans="1:14" ht="20" x14ac:dyDescent="0.2">
      <c r="A114" s="171">
        <v>33</v>
      </c>
      <c r="B114" s="169" t="s">
        <v>525</v>
      </c>
      <c r="C114" s="171" t="s">
        <v>1372</v>
      </c>
      <c r="D114" s="171" t="s">
        <v>1242</v>
      </c>
      <c r="E114" s="171" t="s">
        <v>1236</v>
      </c>
      <c r="F114" s="171" t="s">
        <v>1240</v>
      </c>
      <c r="I114" t="s">
        <v>523</v>
      </c>
      <c r="J114" t="s">
        <v>1235</v>
      </c>
      <c r="L114" s="16" t="s">
        <v>523</v>
      </c>
      <c r="N114" t="str">
        <f t="shared" si="1"/>
        <v/>
      </c>
    </row>
    <row r="115" spans="1:14" ht="20" x14ac:dyDescent="0.2">
      <c r="A115" s="171">
        <v>34</v>
      </c>
      <c r="B115" s="169" t="s">
        <v>526</v>
      </c>
      <c r="C115" s="171" t="s">
        <v>1373</v>
      </c>
      <c r="D115" s="171" t="s">
        <v>1242</v>
      </c>
      <c r="E115" s="171" t="s">
        <v>1236</v>
      </c>
      <c r="F115" s="171" t="s">
        <v>1240</v>
      </c>
      <c r="I115" t="s">
        <v>524</v>
      </c>
      <c r="J115" t="s">
        <v>1235</v>
      </c>
      <c r="L115" s="16" t="s">
        <v>524</v>
      </c>
      <c r="N115" t="str">
        <f t="shared" si="1"/>
        <v/>
      </c>
    </row>
    <row r="116" spans="1:14" ht="20" x14ac:dyDescent="0.2">
      <c r="A116" s="171">
        <v>35</v>
      </c>
      <c r="B116" s="169" t="s">
        <v>527</v>
      </c>
      <c r="C116" s="171" t="s">
        <v>1374</v>
      </c>
      <c r="D116" s="171" t="s">
        <v>1242</v>
      </c>
      <c r="E116" s="171" t="s">
        <v>1236</v>
      </c>
      <c r="F116" s="171" t="s">
        <v>1240</v>
      </c>
      <c r="I116" t="s">
        <v>525</v>
      </c>
      <c r="J116" t="s">
        <v>1242</v>
      </c>
      <c r="L116" s="16" t="s">
        <v>525</v>
      </c>
      <c r="N116" t="str">
        <f t="shared" si="1"/>
        <v/>
      </c>
    </row>
    <row r="117" spans="1:14" ht="20" x14ac:dyDescent="0.2">
      <c r="A117" s="171">
        <v>36</v>
      </c>
      <c r="B117" s="169" t="s">
        <v>528</v>
      </c>
      <c r="C117" s="171" t="s">
        <v>1375</v>
      </c>
      <c r="D117" s="171" t="s">
        <v>1242</v>
      </c>
      <c r="E117" s="171" t="s">
        <v>1236</v>
      </c>
      <c r="F117" s="171" t="s">
        <v>1240</v>
      </c>
      <c r="I117" t="s">
        <v>526</v>
      </c>
      <c r="J117" t="s">
        <v>1242</v>
      </c>
      <c r="L117" s="16" t="s">
        <v>526</v>
      </c>
      <c r="N117" t="str">
        <f t="shared" si="1"/>
        <v/>
      </c>
    </row>
    <row r="118" spans="1:14" ht="20" x14ac:dyDescent="0.2">
      <c r="A118" s="171">
        <v>37</v>
      </c>
      <c r="B118" s="169" t="s">
        <v>529</v>
      </c>
      <c r="C118" s="171" t="s">
        <v>1376</v>
      </c>
      <c r="D118" s="171" t="s">
        <v>1242</v>
      </c>
      <c r="E118" s="171" t="s">
        <v>1236</v>
      </c>
      <c r="F118" s="171" t="s">
        <v>1240</v>
      </c>
      <c r="I118" t="s">
        <v>527</v>
      </c>
      <c r="J118" t="s">
        <v>1242</v>
      </c>
      <c r="L118" s="16" t="s">
        <v>527</v>
      </c>
      <c r="N118" t="str">
        <f t="shared" si="1"/>
        <v/>
      </c>
    </row>
    <row r="119" spans="1:14" ht="20" x14ac:dyDescent="0.2">
      <c r="A119" s="171">
        <v>98</v>
      </c>
      <c r="B119" s="169" t="s">
        <v>530</v>
      </c>
      <c r="C119" s="171" t="s">
        <v>1377</v>
      </c>
      <c r="D119" s="171" t="s">
        <v>1252</v>
      </c>
      <c r="E119" s="171" t="s">
        <v>336</v>
      </c>
      <c r="F119" s="171" t="s">
        <v>1253</v>
      </c>
      <c r="I119" t="s">
        <v>528</v>
      </c>
      <c r="J119" t="s">
        <v>1242</v>
      </c>
      <c r="L119" s="16" t="s">
        <v>528</v>
      </c>
      <c r="N119" t="str">
        <f t="shared" si="1"/>
        <v/>
      </c>
    </row>
    <row r="120" spans="1:14" ht="20" x14ac:dyDescent="0.2">
      <c r="A120" s="171">
        <v>48</v>
      </c>
      <c r="B120" s="169" t="s">
        <v>531</v>
      </c>
      <c r="C120" s="171" t="s">
        <v>1378</v>
      </c>
      <c r="D120" s="171" t="s">
        <v>1242</v>
      </c>
      <c r="E120" s="171" t="s">
        <v>1236</v>
      </c>
      <c r="F120" s="171" t="s">
        <v>1263</v>
      </c>
      <c r="I120" t="s">
        <v>529</v>
      </c>
      <c r="J120" t="s">
        <v>1242</v>
      </c>
      <c r="L120" s="16" t="s">
        <v>529</v>
      </c>
      <c r="N120" t="str">
        <f t="shared" si="1"/>
        <v/>
      </c>
    </row>
    <row r="121" spans="1:14" ht="20" x14ac:dyDescent="0.2">
      <c r="A121" s="171">
        <v>49</v>
      </c>
      <c r="B121" s="169" t="s">
        <v>532</v>
      </c>
      <c r="C121" s="171" t="s">
        <v>1379</v>
      </c>
      <c r="D121" s="171" t="s">
        <v>1242</v>
      </c>
      <c r="E121" s="171" t="s">
        <v>1236</v>
      </c>
      <c r="F121" s="171" t="s">
        <v>1263</v>
      </c>
      <c r="I121" t="s">
        <v>530</v>
      </c>
      <c r="J121" t="s">
        <v>1252</v>
      </c>
      <c r="L121" s="16" t="s">
        <v>530</v>
      </c>
      <c r="N121" t="str">
        <f t="shared" si="1"/>
        <v/>
      </c>
    </row>
    <row r="122" spans="1:14" ht="20" x14ac:dyDescent="0.2">
      <c r="A122" s="171">
        <v>20</v>
      </c>
      <c r="B122" s="169" t="s">
        <v>533</v>
      </c>
      <c r="C122" s="171" t="s">
        <v>1380</v>
      </c>
      <c r="D122" s="171" t="s">
        <v>1235</v>
      </c>
      <c r="E122" s="171" t="s">
        <v>1236</v>
      </c>
      <c r="F122" s="171" t="s">
        <v>1261</v>
      </c>
      <c r="I122" t="s">
        <v>531</v>
      </c>
      <c r="J122" t="s">
        <v>1242</v>
      </c>
      <c r="L122" s="16" t="s">
        <v>531</v>
      </c>
      <c r="N122" t="str">
        <f t="shared" si="1"/>
        <v/>
      </c>
    </row>
    <row r="123" spans="1:14" ht="20" x14ac:dyDescent="0.2">
      <c r="A123" s="171">
        <v>57</v>
      </c>
      <c r="B123" s="169" t="s">
        <v>534</v>
      </c>
      <c r="C123" s="171" t="s">
        <v>1381</v>
      </c>
      <c r="D123" s="171" t="s">
        <v>1252</v>
      </c>
      <c r="E123" s="171" t="s">
        <v>1236</v>
      </c>
      <c r="F123" s="171" t="s">
        <v>1257</v>
      </c>
      <c r="I123" t="s">
        <v>532</v>
      </c>
      <c r="J123" t="s">
        <v>1242</v>
      </c>
      <c r="L123" s="16" t="s">
        <v>532</v>
      </c>
      <c r="N123" t="str">
        <f t="shared" si="1"/>
        <v/>
      </c>
    </row>
    <row r="124" spans="1:14" ht="20" x14ac:dyDescent="0.2">
      <c r="A124" s="171">
        <v>38</v>
      </c>
      <c r="B124" s="169" t="s">
        <v>535</v>
      </c>
      <c r="C124" s="171" t="s">
        <v>1382</v>
      </c>
      <c r="D124" s="171" t="s">
        <v>1242</v>
      </c>
      <c r="E124" s="171" t="s">
        <v>1236</v>
      </c>
      <c r="F124" s="171" t="s">
        <v>1240</v>
      </c>
      <c r="I124" t="s">
        <v>533</v>
      </c>
      <c r="J124" t="s">
        <v>1235</v>
      </c>
      <c r="L124" s="16" t="s">
        <v>533</v>
      </c>
      <c r="N124" t="str">
        <f t="shared" si="1"/>
        <v/>
      </c>
    </row>
    <row r="125" spans="1:14" ht="20" x14ac:dyDescent="0.2">
      <c r="A125" s="171">
        <v>107</v>
      </c>
      <c r="B125" s="169" t="s">
        <v>536</v>
      </c>
      <c r="C125" s="171" t="s">
        <v>1383</v>
      </c>
      <c r="D125" s="171" t="s">
        <v>1242</v>
      </c>
      <c r="E125" s="171" t="s">
        <v>336</v>
      </c>
      <c r="F125" s="171" t="s">
        <v>1268</v>
      </c>
      <c r="I125" t="s">
        <v>534</v>
      </c>
      <c r="J125" t="s">
        <v>1252</v>
      </c>
      <c r="L125" s="16" t="s">
        <v>534</v>
      </c>
      <c r="N125" t="str">
        <f t="shared" si="1"/>
        <v/>
      </c>
    </row>
    <row r="126" spans="1:14" ht="20" x14ac:dyDescent="0.2">
      <c r="A126" s="171">
        <v>108</v>
      </c>
      <c r="B126" s="169" t="s">
        <v>537</v>
      </c>
      <c r="C126" s="171" t="s">
        <v>1384</v>
      </c>
      <c r="D126" s="171" t="s">
        <v>1242</v>
      </c>
      <c r="E126" s="171" t="s">
        <v>336</v>
      </c>
      <c r="F126" s="171" t="s">
        <v>1268</v>
      </c>
      <c r="I126" t="s">
        <v>535</v>
      </c>
      <c r="J126" t="s">
        <v>1242</v>
      </c>
      <c r="L126" s="16" t="s">
        <v>535</v>
      </c>
      <c r="N126" t="str">
        <f t="shared" si="1"/>
        <v/>
      </c>
    </row>
    <row r="127" spans="1:14" ht="20" x14ac:dyDescent="0.2">
      <c r="A127" s="171">
        <v>26</v>
      </c>
      <c r="B127" s="169" t="s">
        <v>538</v>
      </c>
      <c r="C127" s="171" t="s">
        <v>1385</v>
      </c>
      <c r="D127" s="171" t="s">
        <v>1239</v>
      </c>
      <c r="E127" s="171" t="s">
        <v>1236</v>
      </c>
      <c r="F127" s="171" t="s">
        <v>1240</v>
      </c>
      <c r="I127" t="s">
        <v>536</v>
      </c>
      <c r="J127" t="s">
        <v>1242</v>
      </c>
      <c r="L127" s="16" t="s">
        <v>536</v>
      </c>
      <c r="N127" t="str">
        <f t="shared" si="1"/>
        <v/>
      </c>
    </row>
    <row r="128" spans="1:14" ht="20" x14ac:dyDescent="0.2">
      <c r="A128" s="171">
        <v>27</v>
      </c>
      <c r="B128" s="169" t="s">
        <v>539</v>
      </c>
      <c r="C128" s="171" t="s">
        <v>1386</v>
      </c>
      <c r="D128" s="171" t="s">
        <v>1239</v>
      </c>
      <c r="E128" s="171" t="s">
        <v>1236</v>
      </c>
      <c r="F128" s="171" t="s">
        <v>1240</v>
      </c>
      <c r="I128" t="s">
        <v>537</v>
      </c>
      <c r="J128" t="s">
        <v>1242</v>
      </c>
      <c r="L128" s="16" t="s">
        <v>537</v>
      </c>
      <c r="N128" t="str">
        <f t="shared" si="1"/>
        <v/>
      </c>
    </row>
    <row r="129" spans="1:14" ht="20" x14ac:dyDescent="0.2">
      <c r="A129" s="171">
        <v>138</v>
      </c>
      <c r="B129" s="169" t="s">
        <v>540</v>
      </c>
      <c r="C129" s="171" t="s">
        <v>1387</v>
      </c>
      <c r="D129" s="171" t="s">
        <v>1242</v>
      </c>
      <c r="E129" s="171" t="s">
        <v>360</v>
      </c>
      <c r="F129" s="171" t="s">
        <v>1247</v>
      </c>
      <c r="I129" t="s">
        <v>538</v>
      </c>
      <c r="J129" t="s">
        <v>1239</v>
      </c>
      <c r="L129" s="16" t="s">
        <v>538</v>
      </c>
      <c r="N129" t="str">
        <f t="shared" si="1"/>
        <v/>
      </c>
    </row>
    <row r="130" spans="1:14" ht="20" x14ac:dyDescent="0.2">
      <c r="A130" s="171">
        <v>147</v>
      </c>
      <c r="B130" s="169" t="s">
        <v>541</v>
      </c>
      <c r="C130" s="171" t="s">
        <v>1388</v>
      </c>
      <c r="D130" s="171" t="s">
        <v>1252</v>
      </c>
      <c r="E130" s="171" t="s">
        <v>360</v>
      </c>
      <c r="F130" s="171" t="s">
        <v>1259</v>
      </c>
      <c r="I130" t="s">
        <v>539</v>
      </c>
      <c r="J130" t="s">
        <v>1239</v>
      </c>
      <c r="L130" s="16" t="s">
        <v>539</v>
      </c>
      <c r="N130" t="str">
        <f t="shared" ref="N130:N156" si="2">IF(I130=L130,"","X")</f>
        <v/>
      </c>
    </row>
    <row r="131" spans="1:14" ht="20" x14ac:dyDescent="0.2">
      <c r="A131" s="171">
        <v>133</v>
      </c>
      <c r="B131" s="169" t="s">
        <v>542</v>
      </c>
      <c r="C131" s="171" t="s">
        <v>1389</v>
      </c>
      <c r="D131" s="171" t="s">
        <v>1242</v>
      </c>
      <c r="E131" s="171" t="s">
        <v>360</v>
      </c>
      <c r="F131" s="171" t="s">
        <v>1297</v>
      </c>
      <c r="I131" t="s">
        <v>540</v>
      </c>
      <c r="J131" t="s">
        <v>1242</v>
      </c>
      <c r="L131" s="16" t="s">
        <v>540</v>
      </c>
      <c r="N131" t="str">
        <f t="shared" si="2"/>
        <v/>
      </c>
    </row>
    <row r="132" spans="1:14" ht="20" x14ac:dyDescent="0.2">
      <c r="A132" s="171">
        <v>134</v>
      </c>
      <c r="B132" s="169" t="s">
        <v>543</v>
      </c>
      <c r="C132" s="171" t="s">
        <v>1390</v>
      </c>
      <c r="D132" s="171" t="s">
        <v>1242</v>
      </c>
      <c r="E132" s="171" t="s">
        <v>360</v>
      </c>
      <c r="F132" s="171" t="s">
        <v>1297</v>
      </c>
      <c r="I132" t="s">
        <v>541</v>
      </c>
      <c r="J132" t="s">
        <v>1252</v>
      </c>
      <c r="L132" s="16" t="s">
        <v>541</v>
      </c>
      <c r="N132" t="str">
        <f t="shared" si="2"/>
        <v/>
      </c>
    </row>
    <row r="133" spans="1:14" ht="20" x14ac:dyDescent="0.2">
      <c r="A133" s="171">
        <v>109</v>
      </c>
      <c r="B133" s="169" t="s">
        <v>544</v>
      </c>
      <c r="C133" s="171" t="s">
        <v>1391</v>
      </c>
      <c r="D133" s="171" t="s">
        <v>1242</v>
      </c>
      <c r="E133" s="171" t="s">
        <v>336</v>
      </c>
      <c r="F133" s="171" t="s">
        <v>1268</v>
      </c>
      <c r="I133" t="s">
        <v>542</v>
      </c>
      <c r="J133" t="s">
        <v>1242</v>
      </c>
      <c r="L133" s="16" t="s">
        <v>542</v>
      </c>
      <c r="N133" t="str">
        <f t="shared" si="2"/>
        <v/>
      </c>
    </row>
    <row r="134" spans="1:14" ht="20" x14ac:dyDescent="0.2">
      <c r="A134" s="171">
        <v>68</v>
      </c>
      <c r="B134" s="169" t="s">
        <v>545</v>
      </c>
      <c r="C134" s="171" t="s">
        <v>1392</v>
      </c>
      <c r="D134" s="171" t="s">
        <v>1242</v>
      </c>
      <c r="E134" s="171" t="s">
        <v>1236</v>
      </c>
      <c r="F134" s="171" t="s">
        <v>1245</v>
      </c>
      <c r="I134" t="s">
        <v>543</v>
      </c>
      <c r="J134" t="s">
        <v>1242</v>
      </c>
      <c r="L134" s="16" t="s">
        <v>543</v>
      </c>
      <c r="N134" t="str">
        <f t="shared" si="2"/>
        <v/>
      </c>
    </row>
    <row r="135" spans="1:14" ht="20" x14ac:dyDescent="0.2">
      <c r="A135" s="171">
        <v>69</v>
      </c>
      <c r="B135" s="169" t="s">
        <v>546</v>
      </c>
      <c r="C135" s="171" t="s">
        <v>1393</v>
      </c>
      <c r="D135" s="171" t="s">
        <v>1235</v>
      </c>
      <c r="E135" s="171" t="s">
        <v>1236</v>
      </c>
      <c r="F135" s="171" t="s">
        <v>1245</v>
      </c>
      <c r="I135" t="s">
        <v>544</v>
      </c>
      <c r="J135" t="s">
        <v>1242</v>
      </c>
      <c r="L135" s="16" t="s">
        <v>544</v>
      </c>
      <c r="N135" t="str">
        <f t="shared" si="2"/>
        <v/>
      </c>
    </row>
    <row r="136" spans="1:14" ht="20" x14ac:dyDescent="0.2">
      <c r="A136" s="171">
        <v>135</v>
      </c>
      <c r="B136" s="169" t="s">
        <v>547</v>
      </c>
      <c r="C136" s="171" t="s">
        <v>1394</v>
      </c>
      <c r="D136" s="171" t="s">
        <v>1242</v>
      </c>
      <c r="E136" s="171" t="s">
        <v>360</v>
      </c>
      <c r="F136" s="171" t="s">
        <v>1297</v>
      </c>
      <c r="I136" t="s">
        <v>545</v>
      </c>
      <c r="J136" t="s">
        <v>1242</v>
      </c>
      <c r="L136" s="16" t="s">
        <v>545</v>
      </c>
      <c r="N136" t="str">
        <f t="shared" si="2"/>
        <v/>
      </c>
    </row>
    <row r="137" spans="1:14" ht="20" x14ac:dyDescent="0.2">
      <c r="A137" s="171">
        <v>148</v>
      </c>
      <c r="B137" s="169" t="s">
        <v>548</v>
      </c>
      <c r="C137" s="171" t="s">
        <v>1395</v>
      </c>
      <c r="D137" s="171" t="s">
        <v>1252</v>
      </c>
      <c r="E137" s="171" t="s">
        <v>360</v>
      </c>
      <c r="F137" s="171" t="s">
        <v>1259</v>
      </c>
      <c r="I137" t="s">
        <v>546</v>
      </c>
      <c r="J137" t="s">
        <v>1235</v>
      </c>
      <c r="L137" s="16" t="s">
        <v>546</v>
      </c>
      <c r="N137" t="str">
        <f t="shared" si="2"/>
        <v/>
      </c>
    </row>
    <row r="138" spans="1:14" ht="20" x14ac:dyDescent="0.2">
      <c r="A138" s="171">
        <v>139</v>
      </c>
      <c r="B138" s="169" t="s">
        <v>549</v>
      </c>
      <c r="C138" s="171" t="s">
        <v>1396</v>
      </c>
      <c r="D138" s="171" t="s">
        <v>1242</v>
      </c>
      <c r="E138" s="171" t="s">
        <v>360</v>
      </c>
      <c r="F138" s="171" t="s">
        <v>1247</v>
      </c>
      <c r="I138" t="s">
        <v>547</v>
      </c>
      <c r="J138" t="s">
        <v>1242</v>
      </c>
      <c r="L138" s="16" t="s">
        <v>547</v>
      </c>
      <c r="N138" t="str">
        <f t="shared" si="2"/>
        <v/>
      </c>
    </row>
    <row r="139" spans="1:14" ht="20" x14ac:dyDescent="0.2">
      <c r="A139" s="171">
        <v>140</v>
      </c>
      <c r="B139" s="169" t="s">
        <v>550</v>
      </c>
      <c r="C139" s="171" t="s">
        <v>1397</v>
      </c>
      <c r="D139" s="171" t="s">
        <v>1242</v>
      </c>
      <c r="E139" s="171" t="s">
        <v>360</v>
      </c>
      <c r="F139" s="171" t="s">
        <v>1247</v>
      </c>
      <c r="I139" t="s">
        <v>548</v>
      </c>
      <c r="J139" t="s">
        <v>1252</v>
      </c>
      <c r="L139" s="16" t="s">
        <v>548</v>
      </c>
      <c r="N139" t="str">
        <f t="shared" si="2"/>
        <v/>
      </c>
    </row>
    <row r="140" spans="1:14" ht="20" x14ac:dyDescent="0.2">
      <c r="A140" s="171">
        <v>41</v>
      </c>
      <c r="B140" s="169" t="s">
        <v>551</v>
      </c>
      <c r="C140" s="171" t="s">
        <v>1398</v>
      </c>
      <c r="D140" s="171" t="s">
        <v>1242</v>
      </c>
      <c r="E140" s="171" t="s">
        <v>360</v>
      </c>
      <c r="F140" s="171" t="s">
        <v>1247</v>
      </c>
      <c r="I140" t="s">
        <v>549</v>
      </c>
      <c r="J140" t="s">
        <v>1242</v>
      </c>
      <c r="L140" s="16" t="s">
        <v>549</v>
      </c>
      <c r="N140" t="str">
        <f t="shared" si="2"/>
        <v/>
      </c>
    </row>
    <row r="141" spans="1:14" ht="20" x14ac:dyDescent="0.2">
      <c r="A141" s="171">
        <v>39</v>
      </c>
      <c r="B141" s="169" t="s">
        <v>552</v>
      </c>
      <c r="C141" s="171" t="s">
        <v>1399</v>
      </c>
      <c r="D141" s="171" t="s">
        <v>1242</v>
      </c>
      <c r="E141" s="171" t="s">
        <v>1236</v>
      </c>
      <c r="F141" s="171" t="s">
        <v>1240</v>
      </c>
      <c r="I141" t="s">
        <v>550</v>
      </c>
      <c r="J141" t="s">
        <v>1242</v>
      </c>
      <c r="L141" s="16" t="s">
        <v>550</v>
      </c>
      <c r="N141" t="str">
        <f t="shared" si="2"/>
        <v/>
      </c>
    </row>
    <row r="142" spans="1:14" ht="20" x14ac:dyDescent="0.2">
      <c r="A142" s="171">
        <v>40</v>
      </c>
      <c r="B142" s="169" t="s">
        <v>553</v>
      </c>
      <c r="C142" s="171" t="s">
        <v>1400</v>
      </c>
      <c r="D142" s="171" t="s">
        <v>1242</v>
      </c>
      <c r="E142" s="171" t="s">
        <v>1236</v>
      </c>
      <c r="F142" s="171" t="s">
        <v>1240</v>
      </c>
      <c r="I142" t="s">
        <v>551</v>
      </c>
      <c r="J142" t="s">
        <v>1242</v>
      </c>
      <c r="L142" s="16" t="s">
        <v>551</v>
      </c>
      <c r="N142" t="str">
        <f t="shared" si="2"/>
        <v/>
      </c>
    </row>
    <row r="143" spans="1:14" ht="20" x14ac:dyDescent="0.2">
      <c r="A143" s="171">
        <v>149</v>
      </c>
      <c r="B143" s="169" t="s">
        <v>554</v>
      </c>
      <c r="C143" s="171" t="s">
        <v>1401</v>
      </c>
      <c r="D143" s="171" t="s">
        <v>1252</v>
      </c>
      <c r="E143" s="171" t="s">
        <v>360</v>
      </c>
      <c r="F143" s="171" t="s">
        <v>1259</v>
      </c>
      <c r="I143" t="s">
        <v>552</v>
      </c>
      <c r="J143" t="s">
        <v>1242</v>
      </c>
      <c r="L143" s="16" t="s">
        <v>552</v>
      </c>
      <c r="N143" t="str">
        <f t="shared" si="2"/>
        <v/>
      </c>
    </row>
    <row r="144" spans="1:14" ht="20" x14ac:dyDescent="0.2">
      <c r="A144" s="171">
        <v>28</v>
      </c>
      <c r="B144" s="169" t="s">
        <v>555</v>
      </c>
      <c r="C144" s="171" t="s">
        <v>1402</v>
      </c>
      <c r="D144" s="171" t="s">
        <v>1239</v>
      </c>
      <c r="E144" s="171" t="s">
        <v>1236</v>
      </c>
      <c r="F144" s="171" t="s">
        <v>1240</v>
      </c>
      <c r="I144" t="s">
        <v>553</v>
      </c>
      <c r="J144" t="s">
        <v>1242</v>
      </c>
      <c r="L144" s="16" t="s">
        <v>553</v>
      </c>
      <c r="N144" t="str">
        <f t="shared" si="2"/>
        <v/>
      </c>
    </row>
    <row r="145" spans="1:14" ht="20" x14ac:dyDescent="0.2">
      <c r="A145" s="171">
        <v>58</v>
      </c>
      <c r="B145" s="169" t="s">
        <v>556</v>
      </c>
      <c r="C145" s="171" t="s">
        <v>1403</v>
      </c>
      <c r="D145" s="171" t="s">
        <v>1252</v>
      </c>
      <c r="E145" s="171" t="s">
        <v>1236</v>
      </c>
      <c r="F145" s="171" t="s">
        <v>1257</v>
      </c>
      <c r="I145" t="s">
        <v>554</v>
      </c>
      <c r="J145" t="s">
        <v>1252</v>
      </c>
      <c r="L145" s="16" t="s">
        <v>554</v>
      </c>
      <c r="N145" t="str">
        <f t="shared" si="2"/>
        <v/>
      </c>
    </row>
    <row r="146" spans="1:14" ht="20" x14ac:dyDescent="0.2">
      <c r="A146" s="171">
        <v>72</v>
      </c>
      <c r="B146" s="169" t="s">
        <v>557</v>
      </c>
      <c r="C146" s="171" t="s">
        <v>1404</v>
      </c>
      <c r="D146" s="171" t="s">
        <v>1252</v>
      </c>
      <c r="E146" s="171" t="s">
        <v>1236</v>
      </c>
      <c r="F146" s="171" t="s">
        <v>1245</v>
      </c>
      <c r="I146" t="s">
        <v>555</v>
      </c>
      <c r="J146" t="s">
        <v>1239</v>
      </c>
      <c r="L146" s="16" t="s">
        <v>555</v>
      </c>
      <c r="N146" t="str">
        <f t="shared" si="2"/>
        <v/>
      </c>
    </row>
    <row r="147" spans="1:14" ht="20" x14ac:dyDescent="0.2">
      <c r="A147" s="171">
        <v>88</v>
      </c>
      <c r="B147" s="169" t="s">
        <v>558</v>
      </c>
      <c r="C147" s="171" t="s">
        <v>1405</v>
      </c>
      <c r="D147" s="171" t="s">
        <v>1239</v>
      </c>
      <c r="E147" s="171" t="s">
        <v>336</v>
      </c>
      <c r="F147" s="171" t="s">
        <v>1253</v>
      </c>
      <c r="I147" t="s">
        <v>556</v>
      </c>
      <c r="J147" t="s">
        <v>1252</v>
      </c>
      <c r="L147" s="16" t="s">
        <v>556</v>
      </c>
      <c r="N147" t="str">
        <f t="shared" si="2"/>
        <v/>
      </c>
    </row>
    <row r="148" spans="1:14" ht="20" x14ac:dyDescent="0.2">
      <c r="A148" s="171">
        <v>112</v>
      </c>
      <c r="B148" s="169" t="s">
        <v>559</v>
      </c>
      <c r="C148" s="171" t="s">
        <v>1406</v>
      </c>
      <c r="D148" s="171" t="s">
        <v>1242</v>
      </c>
      <c r="E148" s="171" t="s">
        <v>360</v>
      </c>
      <c r="F148" s="171" t="s">
        <v>1407</v>
      </c>
      <c r="I148" t="s">
        <v>557</v>
      </c>
      <c r="J148" t="s">
        <v>1252</v>
      </c>
      <c r="L148" s="16" t="s">
        <v>557</v>
      </c>
      <c r="N148" t="str">
        <f t="shared" si="2"/>
        <v/>
      </c>
    </row>
    <row r="149" spans="1:14" ht="20" x14ac:dyDescent="0.2">
      <c r="A149" s="171">
        <v>41</v>
      </c>
      <c r="B149" s="169" t="s">
        <v>560</v>
      </c>
      <c r="C149" s="171" t="s">
        <v>1408</v>
      </c>
      <c r="D149" s="171" t="s">
        <v>1242</v>
      </c>
      <c r="E149" s="171" t="s">
        <v>1236</v>
      </c>
      <c r="F149" s="171" t="s">
        <v>1240</v>
      </c>
      <c r="I149" t="s">
        <v>558</v>
      </c>
      <c r="J149" t="s">
        <v>1239</v>
      </c>
      <c r="L149" s="16" t="s">
        <v>558</v>
      </c>
      <c r="N149" t="str">
        <f t="shared" si="2"/>
        <v/>
      </c>
    </row>
    <row r="150" spans="1:14" ht="20" x14ac:dyDescent="0.2">
      <c r="A150" s="171">
        <v>42</v>
      </c>
      <c r="B150" s="169" t="s">
        <v>561</v>
      </c>
      <c r="C150" s="171" t="s">
        <v>1409</v>
      </c>
      <c r="D150" s="171" t="s">
        <v>1242</v>
      </c>
      <c r="E150" s="171" t="s">
        <v>1236</v>
      </c>
      <c r="F150" s="171" t="s">
        <v>1240</v>
      </c>
      <c r="I150" t="s">
        <v>559</v>
      </c>
      <c r="J150" t="s">
        <v>1242</v>
      </c>
      <c r="L150" s="16" t="s">
        <v>559</v>
      </c>
      <c r="N150" t="str">
        <f t="shared" si="2"/>
        <v/>
      </c>
    </row>
    <row r="151" spans="1:14" ht="20" x14ac:dyDescent="0.2">
      <c r="A151" s="171">
        <v>113</v>
      </c>
      <c r="B151" s="169" t="s">
        <v>562</v>
      </c>
      <c r="C151" s="171" t="s">
        <v>1410</v>
      </c>
      <c r="D151" s="171" t="s">
        <v>1242</v>
      </c>
      <c r="E151" s="171" t="s">
        <v>360</v>
      </c>
      <c r="F151" s="171" t="s">
        <v>1407</v>
      </c>
      <c r="I151" t="s">
        <v>560</v>
      </c>
      <c r="J151" t="s">
        <v>1242</v>
      </c>
      <c r="L151" s="16" t="s">
        <v>560</v>
      </c>
      <c r="N151" t="str">
        <f t="shared" si="2"/>
        <v/>
      </c>
    </row>
    <row r="152" spans="1:14" ht="20" x14ac:dyDescent="0.2">
      <c r="A152" s="171">
        <v>114</v>
      </c>
      <c r="B152" s="169" t="s">
        <v>563</v>
      </c>
      <c r="C152" s="171" t="s">
        <v>1411</v>
      </c>
      <c r="D152" s="171" t="s">
        <v>1242</v>
      </c>
      <c r="E152" s="171" t="s">
        <v>360</v>
      </c>
      <c r="F152" s="171" t="s">
        <v>1407</v>
      </c>
      <c r="I152" t="s">
        <v>561</v>
      </c>
      <c r="J152" t="s">
        <v>1242</v>
      </c>
      <c r="L152" s="16" t="s">
        <v>561</v>
      </c>
      <c r="N152" t="str">
        <f t="shared" si="2"/>
        <v/>
      </c>
    </row>
    <row r="153" spans="1:14" ht="20" x14ac:dyDescent="0.2">
      <c r="A153" s="171">
        <v>115</v>
      </c>
      <c r="B153" s="169" t="s">
        <v>564</v>
      </c>
      <c r="C153" s="171" t="s">
        <v>1412</v>
      </c>
      <c r="D153" s="171" t="s">
        <v>1242</v>
      </c>
      <c r="E153" s="171" t="s">
        <v>360</v>
      </c>
      <c r="F153" s="171" t="s">
        <v>1407</v>
      </c>
      <c r="I153" t="s">
        <v>562</v>
      </c>
      <c r="J153" t="s">
        <v>1242</v>
      </c>
      <c r="L153" s="16" t="s">
        <v>562</v>
      </c>
      <c r="N153" t="str">
        <f t="shared" si="2"/>
        <v/>
      </c>
    </row>
    <row r="154" spans="1:14" x14ac:dyDescent="0.2">
      <c r="I154" t="s">
        <v>563</v>
      </c>
      <c r="J154" t="s">
        <v>1242</v>
      </c>
      <c r="L154" s="16" t="s">
        <v>563</v>
      </c>
      <c r="N154" t="str">
        <f t="shared" si="2"/>
        <v/>
      </c>
    </row>
    <row r="155" spans="1:14" x14ac:dyDescent="0.2">
      <c r="I155" t="s">
        <v>564</v>
      </c>
      <c r="J155" t="s">
        <v>1242</v>
      </c>
      <c r="L155" s="16" t="s">
        <v>564</v>
      </c>
      <c r="N155" t="str">
        <f t="shared" si="2"/>
        <v/>
      </c>
    </row>
    <row r="156" spans="1:14" x14ac:dyDescent="0.2">
      <c r="L156" s="16" t="s">
        <v>364</v>
      </c>
      <c r="N156" t="str">
        <f t="shared" si="2"/>
        <v>X</v>
      </c>
    </row>
  </sheetData>
  <sortState xmlns:xlrd2="http://schemas.microsoft.com/office/spreadsheetml/2017/richdata2" ref="A1:F156">
    <sortCondition ref="B2:B156"/>
  </sortState>
  <hyperlinks>
    <hyperlink ref="B90" r:id="rId1" display="https://legacy.doe.gov.ph/ducsp/profile/meralco" xr:uid="{E72320EE-CA69-FC4A-91E5-CC752164E91F}"/>
    <hyperlink ref="B16" r:id="rId2" display="https://legacy.doe.gov.ph/ducsp/profile/beneco" xr:uid="{A66A8AF1-6689-8E45-B346-0A9389A890AC}"/>
    <hyperlink ref="B64" r:id="rId3" display="https://legacy.doe.gov.ph/ducsp/ifelco" xr:uid="{53887B5A-A08E-A940-8C00-88885A574B2B}"/>
    <hyperlink ref="B73" r:id="rId4" display="https://legacy.doe.gov.ph/ducsp/kaelco" xr:uid="{589773BB-EA79-674C-B577-1C5A856EFA8F}"/>
    <hyperlink ref="B95" r:id="rId5" display="https://legacy.doe.gov.ph/ducsp/mopreco" xr:uid="{1EF8D277-9922-DA4B-A4C4-9B14B5DDA0CD}"/>
    <hyperlink ref="B2" r:id="rId6" display="https://legacy.doe.gov.ph/ducsp/profile/abreco" xr:uid="{BA61183C-33F6-9547-A4F4-6F93905868B6}"/>
    <hyperlink ref="B51" r:id="rId7" display="https://legacy.doe.gov.ph/ducsp/profile/decorp" xr:uid="{9CB186D9-EA0E-2148-8306-46544EA926DE}"/>
    <hyperlink ref="B82" r:id="rId8" display="https://legacy.doe.gov.ph/ducsp/lueco" xr:uid="{BDD69C86-F94E-7D4C-9BE7-C4EF29387C75}"/>
    <hyperlink ref="B42" r:id="rId9" display="https://legacy.doe.gov.ph/ducsp/profile/cenpelco" xr:uid="{14F871D4-5660-084B-9721-8635A0025056}"/>
    <hyperlink ref="B69" r:id="rId10" display="https://legacy.doe.gov.ph/ducsp/inec" xr:uid="{C319BB54-B9D5-4C45-AB75-DC9A64559458}"/>
    <hyperlink ref="B70" r:id="rId11" display="https://legacy.doe.gov.ph/ducsp/iseco" xr:uid="{8FA3A2FC-F9B9-7A4D-AFE8-BA49D5FD1BC7}"/>
    <hyperlink ref="B83" r:id="rId12" display="https://legacy.doe.gov.ph/ducsp/luelco" xr:uid="{ED37ADEA-04E3-2645-B7BF-D50B1CA32716}"/>
    <hyperlink ref="B112" r:id="rId13" display="https://legacy.doe.gov.ph/ducsp/panelco-i" xr:uid="{5B350F49-CFED-4547-A15B-A8FFF7EC1FC1}"/>
    <hyperlink ref="B113" r:id="rId14" display="https://legacy.doe.gov.ph/ducsp/panelco-iii" xr:uid="{3025CDA1-B634-7946-864F-2AB4E156487E}"/>
    <hyperlink ref="B25" r:id="rId15" display="https://legacy.doe.gov.ph/ducsp/profile/cagelco-i" xr:uid="{25B87854-3E98-474C-A00C-70E1A43A3DDF}"/>
    <hyperlink ref="B26" r:id="rId16" display="https://legacy.doe.gov.ph/ducsp/profile/cagelco-ii" xr:uid="{4FE2637D-2E80-6F40-8F80-495F84AC790D}"/>
    <hyperlink ref="B71" r:id="rId17" display="https://legacy.doe.gov.ph/ducsp/iselco-i" xr:uid="{DA532CDE-92B6-7B41-86D8-297DB8097278}"/>
    <hyperlink ref="B72" r:id="rId18" display="https://legacy.doe.gov.ph/ducsp/iselco-ii" xr:uid="{7F0CCC58-142D-2E4D-B8FD-B7D9103481A4}"/>
    <hyperlink ref="B106" r:id="rId19" display="https://legacy.doe.gov.ph/ducsp/nuvelco" xr:uid="{7BD43344-CA0F-0545-BB6C-C010AAEBC97A}"/>
    <hyperlink ref="B122" r:id="rId20" display="https://legacy.doe.gov.ph/ducsp/quirelco" xr:uid="{294FE17C-5B67-0545-9C99-1913803A358F}"/>
    <hyperlink ref="B13" r:id="rId21" display="https://legacy.doe.gov.ph/ducsp/profile/batanelco" xr:uid="{3303AC6B-4F00-384E-85E1-A0FCB5C71B00}"/>
    <hyperlink ref="B3" r:id="rId22" display="https://legacy.doe.gov.ph/ducsp/profile/aec" xr:uid="{4587747C-E3A5-B048-AB30-26E72D959A2C}"/>
    <hyperlink ref="B38" r:id="rId23" display="https://legacy.doe.gov.ph/ducsp/cedc" xr:uid="{5343E5D8-912A-2F46-BC03-770F15E99117}"/>
    <hyperlink ref="B40" r:id="rId24" display="https://legacy.doe.gov.ph/ducsp/profile/celcor" xr:uid="{ED9A0568-75F1-F94D-BF5B-3B2E85A098A3}"/>
    <hyperlink ref="B107" r:id="rId25" display="https://legacy.doe.gov.ph/ducsp/oedc" xr:uid="{DD2B80ED-F736-314A-B31A-5E704E9DA587}"/>
    <hyperlink ref="B127" r:id="rId26" display="https://legacy.doe.gov.ph/ducsp/sez" xr:uid="{F59ADB7A-0705-2C4C-B60B-3938CC641A45}"/>
    <hyperlink ref="B128" r:id="rId27" display="https://legacy.doe.gov.ph/ducsp/sfelapco" xr:uid="{2C868082-96DF-B847-B0E5-EFB474B007DB}"/>
    <hyperlink ref="B144" r:id="rId28" display="https://legacy.doe.gov.ph/ducsp/tei" xr:uid="{DC21A627-19DB-B244-B6D9-390A3B0D95E5}"/>
    <hyperlink ref="B9" r:id="rId29" display="https://legacy.doe.gov.ph/ducsp/profile/aurelco" xr:uid="{5CB5DC7E-252E-1A49-807E-3632681CED5F}"/>
    <hyperlink ref="B98" r:id="rId30" display="https://legacy.doe.gov.ph/ducsp/neeco-i" xr:uid="{7A355735-AB94-9D47-8A2B-BD2AA80B588D}"/>
    <hyperlink ref="B99" r:id="rId31" display="https://legacy.doe.gov.ph/ducsp/profile/neeco-ii-area-1" xr:uid="{9FEDC7C5-66A3-5A4E-9AFA-DEA09948410E}"/>
    <hyperlink ref="B100" r:id="rId32" display="https://legacy.doe.gov.ph/ducsp/profile/neeco-ii-area-2" xr:uid="{9FE374F0-A1C4-6F40-8407-0F293AD73DED}"/>
    <hyperlink ref="B114" r:id="rId33" display="https://legacy.doe.gov.ph/ducsp/profile/pelco-i" xr:uid="{43DEB791-27CE-C04E-A6F0-7E86C4D5E105}"/>
    <hyperlink ref="B115" r:id="rId34" display="https://legacy.doe.gov.ph/ducsp/profile/pelco-ii" xr:uid="{C68654A4-0F3B-BF43-9F0B-3169C8011E17}"/>
    <hyperlink ref="B116" r:id="rId35" display="https://legacy.doe.gov.ph/ducsp/pelco-iii" xr:uid="{B22FA5D4-ED7D-4A43-BE4F-707645FA6030}"/>
    <hyperlink ref="B117" r:id="rId36" display="https://legacy.doe.gov.ph/ducsp/penelco" xr:uid="{ADCB1939-C9CD-7C48-A8FC-CC4D0A2A58D4}"/>
    <hyperlink ref="B118" r:id="rId37" display="https://legacy.doe.gov.ph/ducsp/presco" xr:uid="{F7C306F2-394B-A541-8863-EBC94C11739D}"/>
    <hyperlink ref="B124" r:id="rId38" display="https://legacy.doe.gov.ph/ducsp/sajelco" xr:uid="{238503A8-AC3C-144C-901C-3C2E81AC1740}"/>
    <hyperlink ref="B141" r:id="rId39" display="https://legacy.doe.gov.ph/ducsp/profile/tarelco-i" xr:uid="{D7F5141A-34A0-EA41-AB77-D7CC9C53CADF}"/>
    <hyperlink ref="B142" r:id="rId40" display="https://legacy.doe.gov.ph/ducsp/profile/tarelco-ii" xr:uid="{105074D7-2234-0D44-9908-3127348F1AC2}"/>
    <hyperlink ref="B149" r:id="rId41" display="https://legacy.doe.gov.ph/ducsp/zameco-i" xr:uid="{5FE96C06-A4F2-DC4A-B063-DD3517329479}"/>
    <hyperlink ref="B150" r:id="rId42" display="https://legacy.doe.gov.ph/ducsp/zameco-ii" xr:uid="{4BA44A04-2710-AC4B-9AC2-A6DC17AB577E}"/>
    <hyperlink ref="B111" r:id="rId43" display="https://legacy.doe.gov.ph/ducsp/pames" xr:uid="{70F04AD3-4E52-E545-80CF-40C392042B07}"/>
    <hyperlink ref="B63" r:id="rId44" display="https://legacy.doe.gov.ph/ducsp/ieec" xr:uid="{B247CB1C-A3C9-5740-9E83-F3B90C6BC5F9}"/>
    <hyperlink ref="B14" r:id="rId45" display="https://legacy.doe.gov.ph/ducsp/profile/batelec-i" xr:uid="{50DE35A6-D561-0549-8890-638B87079B08}"/>
    <hyperlink ref="B15" r:id="rId46" display="https://legacy.doe.gov.ph/ducsp/profile/batelec-ii" xr:uid="{7DB26511-5859-EF4F-9FDF-C984A812E8E9}"/>
    <hyperlink ref="B60" r:id="rId47" display="https://legacy.doe.gov.ph/ducsp/profile/fleco" xr:uid="{7F0E8AD7-7545-6B47-AF6D-212030A4B860}"/>
    <hyperlink ref="B120" r:id="rId48" display="https://legacy.doe.gov.ph/ducsp/quezelco-i" xr:uid="{960BBAF7-43DF-894F-A5D3-4C48B134386F}"/>
    <hyperlink ref="B121" r:id="rId49" display="https://legacy.doe.gov.ph/ducsp/quezelco-ii" xr:uid="{A020D5BA-E59A-7D4B-9E15-03BAEF3D60CB}"/>
    <hyperlink ref="B57" r:id="rId50" display="https://legacy.doe.gov.ph/ducsp/fbpc" xr:uid="{7021C984-4B00-C345-BB3A-E8A694170AFE}"/>
    <hyperlink ref="B19" r:id="rId51" display="https://legacy.doe.gov.ph/ducsp/profile/biselco" xr:uid="{AF1F3D68-8828-5E4E-BFBC-9BA9723D2B15}"/>
    <hyperlink ref="B81" r:id="rId52" display="https://legacy.doe.gov.ph/ducsp/lubelco" xr:uid="{7986BAC8-FD14-164C-A845-13F158E74E2C}"/>
    <hyperlink ref="B86" r:id="rId53" display="https://legacy.doe.gov.ph/ducsp/marelco" xr:uid="{AF270F5A-1FC8-5440-A5F9-D7DE308E75F0}"/>
    <hyperlink ref="B108" r:id="rId54" display="https://legacy.doe.gov.ph/ducsp/omeco" xr:uid="{E8011E30-E717-434C-8C12-F079B6164F35}"/>
    <hyperlink ref="B109" r:id="rId55" display="https://legacy.doe.gov.ph/ducsp/ormeco" xr:uid="{193F51D4-5674-D048-A57B-9EA7C0FDF2EF}"/>
    <hyperlink ref="B110" r:id="rId56" display="https://legacy.doe.gov.ph/ducsp/paleco" xr:uid="{9A344864-9204-504B-A798-2A42A702591D}"/>
    <hyperlink ref="B123" r:id="rId57" display="https://legacy.doe.gov.ph/ducsp/romelco" xr:uid="{146CF540-2A45-B549-A19E-43338BBEDE1A}"/>
    <hyperlink ref="B145" r:id="rId58" display="https://legacy.doe.gov.ph/ducsp/tielco" xr:uid="{EDFCB012-4E17-804A-A7FA-4D57F84D176D}"/>
    <hyperlink ref="B11" r:id="rId59" display="https://legacy.doe.gov.ph/ducsp/profile/bantonromelco" xr:uid="{99A805E6-5AE8-1E41-8634-1679468F10A7}"/>
    <hyperlink ref="B45" r:id="rId60" display="https://legacy.doe.gov.ph/ducsp/concepcion" xr:uid="{0ABBFA7F-0C05-DC49-90AB-40AACD22DCCD}"/>
    <hyperlink ref="B46" r:id="rId61" display="https://legacy.doe.gov.ph/ducsp/corcuera" xr:uid="{829737B5-AF2F-E943-A034-DFEC5C25CD50}"/>
    <hyperlink ref="B5" r:id="rId62" display="https://legacy.doe.gov.ph/ducsp/profile/alecoapec" xr:uid="{0DC5A2D6-A80C-D44C-A0FE-408CEA93EBBA}"/>
    <hyperlink ref="B28" r:id="rId63" display="https://legacy.doe.gov.ph/ducsp/profile/canoreco" xr:uid="{3DB421F0-A49F-274E-87B3-AD1BBDE76E88}"/>
    <hyperlink ref="B31" r:id="rId64" display="https://legacy.doe.gov.ph/ducsp/profile/casureco-i" xr:uid="{BCFDB325-595D-E44A-B5A1-17DE4386984B}"/>
    <hyperlink ref="B32" r:id="rId65" display="https://legacy.doe.gov.ph/ducsp/profile/casureco-ii" xr:uid="{EC434FF7-7D3B-8C4E-BA37-7B02E8330551}"/>
    <hyperlink ref="B33" r:id="rId66" display="https://legacy.doe.gov.ph/ducsp/profile/casureco-iii" xr:uid="{E3F49C1D-C667-C249-8435-9B3376C90AD0}"/>
    <hyperlink ref="B34" r:id="rId67" display="https://legacy.doe.gov.ph/ducsp/profile/casureco-iv" xr:uid="{1F2097D2-2058-9248-8BEA-CF435D55FB90}"/>
    <hyperlink ref="B134" r:id="rId68" display="https://legacy.doe.gov.ph/ducsp/soreco-i" xr:uid="{4BBA8C44-6F66-C44A-A613-BC3717B6D328}"/>
    <hyperlink ref="B135" r:id="rId69" display="https://legacy.doe.gov.ph/ducsp/profile/soreco-ii" xr:uid="{44B99980-0BCD-A147-BFA8-AD8B23B22DD8}"/>
    <hyperlink ref="B59" r:id="rId70" display="https://legacy.doe.gov.ph/ducsp/ficelco" xr:uid="{5C783670-ACE9-5D4E-B966-1B7A9C1D127A}"/>
    <hyperlink ref="B87" r:id="rId71" display="https://legacy.doe.gov.ph/ducsp/maselco" xr:uid="{DDEBB701-B683-7E43-95DE-DEC36C40ED99}"/>
    <hyperlink ref="B146" r:id="rId72" display="https://legacy.doe.gov.ph/ducsp/tiselco" xr:uid="{359A546E-3BD4-9543-8BB6-BA7AE9FC845E}"/>
    <hyperlink ref="B89" r:id="rId73" display="https://legacy.doe.gov.ph/ducsp/profile/mepc" xr:uid="{0CF2AAF0-4978-5746-9317-F354D0951A44}"/>
    <hyperlink ref="B4" r:id="rId74" display="https://legacy.doe.gov.ph/ducsp/profile/akelco" xr:uid="{86B4BAD6-4040-6540-B06D-F6E56CCD06FA}"/>
    <hyperlink ref="B7" r:id="rId75" display="https://legacy.doe.gov.ph/ducsp/profile/anteco" xr:uid="{2F99D0E1-7101-D54B-B64E-6A5DC66A2F3D}"/>
    <hyperlink ref="B29" r:id="rId76" display="https://legacy.doe.gov.ph/ducsp/profile/capelco" xr:uid="{7A32D87C-EA91-C54F-8A59-16181CD340BF}"/>
    <hyperlink ref="B41" r:id="rId77" display="https://legacy.doe.gov.ph/ducsp/profile/ceneco" xr:uid="{03ED8EA2-92CB-C14B-A2E4-58444560C284}"/>
    <hyperlink ref="B61" r:id="rId78" display="https://legacy.doe.gov.ph/ducsp/guimelco" xr:uid="{98128041-EB5B-7E48-BA74-4EE0FAD3007A}"/>
    <hyperlink ref="B65" r:id="rId79" display="https://legacy.doe.gov.ph/ducsp/ileco-i" xr:uid="{FE6EF614-4AE9-524B-A584-460D68BC670D}"/>
    <hyperlink ref="B66" r:id="rId80" display="https://legacy.doe.gov.ph/ducsp/ileco-ii" xr:uid="{5AE5C5DC-3AF3-DB46-8433-9174B1A2BF85}"/>
    <hyperlink ref="B67" r:id="rId81" display="https://legacy.doe.gov.ph/ducsp/ileco-iii" xr:uid="{2BC0DBE8-A617-524B-8C7A-0035964D875D}"/>
    <hyperlink ref="B102" r:id="rId82" display="https://legacy.doe.gov.ph/ducsp/profile/noneco" xr:uid="{5F4E0453-F795-D042-A606-158D0C481AE3}"/>
    <hyperlink ref="B101" r:id="rId83" display="https://legacy.doe.gov.ph/ducsp/noceco" xr:uid="{29AF9EB7-78B3-6E45-B7AD-067FBE5A7AB7}"/>
    <hyperlink ref="B17" r:id="rId84" display="https://legacy.doe.gov.ph/ducsp/profile/bez" xr:uid="{74834972-BD76-DD4A-8708-FDA470389772}"/>
    <hyperlink ref="B20" r:id="rId85" display="https://legacy.doe.gov.ph/ducsp/profile/blci" xr:uid="{0764E408-0CB7-E648-8EA1-4F26D92FA1E8}"/>
    <hyperlink ref="B88" r:id="rId86" display="https://legacy.doe.gov.ph/ducsp/meco" xr:uid="{7024D4D4-2A3C-C04E-8EEF-5F8293DF3BF4}"/>
    <hyperlink ref="B91" r:id="rId87" display="https://legacy.doe.gov.ph/ducsp/mez" xr:uid="{2C6F90F0-03D9-254E-B220-42B525CF027A}"/>
    <hyperlink ref="B147" r:id="rId88" display="https://legacy.doe.gov.ph/ducsp/veco" xr:uid="{380D0366-284E-BD44-8222-B1835B1E2877}"/>
    <hyperlink ref="B21" r:id="rId89" display="https://legacy.doe.gov.ph/ducsp/profile/boheco-i" xr:uid="{3B2D8E8A-7418-CC4B-8359-F7AB0994FE19}"/>
    <hyperlink ref="B22" r:id="rId90" display="https://legacy.doe.gov.ph/ducsp/profile/boheco-ii" xr:uid="{3344CDB1-3E8A-E244-B92A-9D3D1185C614}"/>
    <hyperlink ref="B35" r:id="rId91" display="https://legacy.doe.gov.ph/ducsp/profile/cebeco-i" xr:uid="{79F08688-098D-E741-925F-B08D5756C52D}"/>
    <hyperlink ref="B36" r:id="rId92" display="https://legacy.doe.gov.ph/ducsp/profile/cebeco-ii" xr:uid="{5F6E7DAA-2CE3-6A43-8403-376F82A15399}"/>
    <hyperlink ref="B37" r:id="rId93" display="https://legacy.doe.gov.ph/ducsp/profile/cebeco-iii" xr:uid="{750597E0-ADD3-5C42-B31F-CC3701B7D011}"/>
    <hyperlink ref="B103" r:id="rId94" display="https://legacy.doe.gov.ph/ducsp/profile/noreco-i" xr:uid="{E02D7C5A-0E83-3343-B8EC-E878065494C3}"/>
    <hyperlink ref="B104" r:id="rId95" display="https://legacy.doe.gov.ph/ducsp/noreco-ii" xr:uid="{51C7FE47-3864-C540-8628-326330E37325}"/>
    <hyperlink ref="B10" r:id="rId96" display="https://legacy.doe.gov.ph/ducsp/profile/banelco" xr:uid="{D32AB7E8-8353-104B-9230-C0CF41C13933}"/>
    <hyperlink ref="B39" r:id="rId97" display="https://legacy.doe.gov.ph/ducsp/profile/celco" xr:uid="{25094770-3806-024F-B979-EF4A5E126BF2}"/>
    <hyperlink ref="B119" r:id="rId98" display="https://legacy.doe.gov.ph/ducsp/prosielco" xr:uid="{BAA48418-70E5-CA49-A266-CB76AE68BA7E}"/>
    <hyperlink ref="B18" r:id="rId99" display="https://legacy.doe.gov.ph/ducsp/profile/bileco" xr:uid="{35E92472-3926-344F-8382-C4E212E8FED7}"/>
    <hyperlink ref="B55" r:id="rId100" display="https://legacy.doe.gov.ph/ducsp/dorelco" xr:uid="{D84B3905-1E61-D54F-9A92-82AA7624215B}"/>
    <hyperlink ref="B56" r:id="rId101" display="https://legacy.doe.gov.ph/ducsp/esamelco" xr:uid="{152B802F-C7B4-4042-9ADE-369D9502A1AB}"/>
    <hyperlink ref="B76" r:id="rId102" display="https://legacy.doe.gov.ph/ducsp/leyeco-ii" xr:uid="{80778F7C-CA7F-6F49-88E4-8E59E4EFA416}"/>
    <hyperlink ref="B77" r:id="rId103" display="https://legacy.doe.gov.ph/ducsp/leyeco-iii" xr:uid="{41CA1B3A-5702-7D47-958D-5BA5F299563E}"/>
    <hyperlink ref="B78" r:id="rId104" display="https://legacy.doe.gov.ph/ducsp/leyeco-iv" xr:uid="{E5EB6457-3AFE-D945-BFC8-821436DD1454}"/>
    <hyperlink ref="B79" r:id="rId105" display="https://legacy.doe.gov.ph/ducsp/leyeco-v" xr:uid="{1ECA07A4-3A93-FE49-B6E2-C35146BB0E24}"/>
    <hyperlink ref="B105" r:id="rId106" display="https://legacy.doe.gov.ph/ducsp/norsamelco" xr:uid="{3152A030-FBDE-1C48-9927-47D4D62F24DE}"/>
    <hyperlink ref="B125" r:id="rId107" display="https://legacy.doe.gov.ph/ducsp/samelco-i" xr:uid="{94456063-51B2-BB41-B7CF-82DEA7EB9947}"/>
    <hyperlink ref="B126" r:id="rId108" display="https://legacy.doe.gov.ph/ducsp/samelco-ii" xr:uid="{5CAF52FF-56B2-D342-BBA8-AD30AFD67CB7}"/>
    <hyperlink ref="B133" r:id="rId109" display="https://legacy.doe.gov.ph/ducsp/soleco" xr:uid="{F1A60966-2099-AD40-9E01-B508ECDD90C3}"/>
    <hyperlink ref="B62" r:id="rId110" display="https://legacy.doe.gov.ph/ducsp/hfmpc" xr:uid="{3EC42D02-ED67-E547-B4A5-92E13E9AA4A5}"/>
    <hyperlink ref="B92" r:id="rId111" display="https://legacy.doe.gov.ph/ducsp/mmpc" xr:uid="{93E448E4-D5B2-AB41-B408-2B1465565CAF}"/>
    <hyperlink ref="B148" r:id="rId112" display="https://legacy.doe.gov.ph/ducsp/zamcelco" xr:uid="{6D5D099F-B67B-084F-984F-1D380A6DFE0A}"/>
    <hyperlink ref="B151" r:id="rId113" display="https://legacy.doe.gov.ph/ducsp/zamsureco-i" xr:uid="{D4FD7B2F-67D1-0646-A3EA-B078206EDE52}"/>
    <hyperlink ref="B152" r:id="rId114" display="https://legacy.doe.gov.ph/ducsp/zamsureco-ii" xr:uid="{2EA06391-0474-CF41-8334-7D2C9CC7A9A6}"/>
    <hyperlink ref="B153" r:id="rId115" display="https://legacy.doe.gov.ph/ducsp/zaneco" xr:uid="{68677E5D-CF36-EF4D-8E70-FBFEAE2928C0}"/>
    <hyperlink ref="B43" r:id="rId116" display="https://legacy.doe.gov.ph/ducsp/profile/cepalco" xr:uid="{9B976EC6-742C-E446-916E-5CD3E33BA371}"/>
    <hyperlink ref="B68" r:id="rId117" display="https://legacy.doe.gov.ph/ducsp/ilpi" xr:uid="{1DEC6682-75D3-0445-83DC-33207CB9F66F}"/>
    <hyperlink ref="B24" r:id="rId118" display="https://legacy.doe.gov.ph/ducsp/profile/buseco" xr:uid="{13EB1BA6-DD5C-144B-9FB7-62372E310918}"/>
    <hyperlink ref="B27" r:id="rId119" display="https://legacy.doe.gov.ph/ducsp/profile/camelco" xr:uid="{A37615A7-E692-BE4B-B552-C128F9E612AF}"/>
    <hyperlink ref="B58" r:id="rId120" display="https://legacy.doe.gov.ph/ducsp/profile/fibeco" xr:uid="{E55FA98C-431E-D34A-8870-65B32CAEE388}"/>
    <hyperlink ref="B74" r:id="rId121" display="https://legacy.doe.gov.ph/ducsp/laneco" xr:uid="{E22A7D96-4CDA-3649-85A3-246DEF87A865}"/>
    <hyperlink ref="B93" r:id="rId122" display="https://legacy.doe.gov.ph/ducsp/moelci-i" xr:uid="{6E927C0A-4A38-9945-8E2B-3BFF4B8276A2}"/>
    <hyperlink ref="B94" r:id="rId123" display="https://legacy.doe.gov.ph/ducsp/moelci-ii" xr:uid="{B4446BCA-8C5B-A740-A0F3-1A3E50203682}"/>
    <hyperlink ref="B96" r:id="rId124" display="https://legacy.doe.gov.ph/ducsp/moresco-i" xr:uid="{66D01B76-C611-6942-939F-50C6C3377F37}"/>
    <hyperlink ref="B97" r:id="rId125" display="https://legacy.doe.gov.ph/ducsp/moresco-ii" xr:uid="{0B1B90FC-E9A0-FA4F-9CEA-8AC7D0280314}"/>
    <hyperlink ref="B53" r:id="rId126" display="https://legacy.doe.gov.ph/ducsp/dlpc" xr:uid="{C350ACB3-5875-894D-BC8E-8B70A58DBD32}"/>
    <hyperlink ref="B49" r:id="rId127" display="https://legacy.doe.gov.ph/ducsp/profile/daneco" xr:uid="{41950371-FE7A-9D46-9FEE-9CFD2145CDE7}"/>
    <hyperlink ref="B50" r:id="rId128" display="https://legacy.doe.gov.ph/ducsp/profile/dasureco" xr:uid="{6A22558B-39C2-A542-A6C4-5A5BCB88522B}"/>
    <hyperlink ref="B54" r:id="rId129" display="https://legacy.doe.gov.ph/ducsp/doreco" xr:uid="{D9E5BA89-873D-ED47-BC97-286A52DB8C2D}"/>
    <hyperlink ref="B44" r:id="rId130" display="https://legacy.doe.gov.ph/ducsp/profile/clpc" xr:uid="{13A5AF89-B08D-CC4D-B4CB-0DF20035326F}"/>
    <hyperlink ref="B47" r:id="rId131" display="https://legacy.doe.gov.ph/ducsp/profile/cotelco" xr:uid="{DB70D354-783A-3045-90FC-509ADD70F22D}"/>
    <hyperlink ref="B48" r:id="rId132" display="https://legacy.doe.gov.ph/ducsp/cotelco-ppalma" xr:uid="{8AE51AFC-EFAD-7246-AEDF-BC53AE2B3D0B}"/>
    <hyperlink ref="B131" r:id="rId133" display="https://legacy.doe.gov.ph/ducsp/profile/socoteco-i" xr:uid="{D7333DB9-4AC0-DF4C-A36B-8D3538F28021}"/>
    <hyperlink ref="B132" r:id="rId134" display="https://legacy.doe.gov.ph/ducsp/socoteco-ii" xr:uid="{DA830B26-6ACF-0349-94EB-86755F3A816F}"/>
    <hyperlink ref="B136" r:id="rId135" display="https://legacy.doe.gov.ph/ducsp/sukelco" xr:uid="{E42F5E18-572E-1740-8B26-89C591F3EC7E}"/>
    <hyperlink ref="B6" r:id="rId136" display="https://legacy.doe.gov.ph/ducsp/profile/aneco" xr:uid="{252E43D9-1A83-FF42-A51B-6360C8F8AE11}"/>
    <hyperlink ref="B8" r:id="rId137" display="https://legacy.doe.gov.ph/ducsp/profile/aselco" xr:uid="{09152DA9-38EE-814B-A247-4F047FBC27A8}"/>
    <hyperlink ref="B129" r:id="rId138" display="https://legacy.doe.gov.ph/ducsp/profile/siarelco" xr:uid="{E1E0CF1A-1F74-9A42-A7B9-3D3648FF74BB}"/>
    <hyperlink ref="B138" r:id="rId139" display="https://legacy.doe.gov.ph/ducsp/surneco" xr:uid="{56B5D113-7D0C-DC45-BD09-64966737C6D7}"/>
    <hyperlink ref="B139" r:id="rId140" display="https://legacy.doe.gov.ph/ducsp/surseco-i" xr:uid="{A13DA33B-00F3-7C42-AB02-CEA1E02D401E}"/>
    <hyperlink ref="B140" r:id="rId141" display="https://legacy.doe.gov.ph/ducsp/surseco-ii" xr:uid="{79D61AA0-4271-804A-A378-14D3E0BB6BC4}"/>
    <hyperlink ref="B52" r:id="rId142" display="https://legacy.doe.gov.ph/ducsp/profile/dielco" xr:uid="{402FFBE4-AE35-F143-97FB-FB06E3780136}"/>
    <hyperlink ref="B75" r:id="rId143" display="https://legacy.doe.gov.ph/ducsp/lasureco" xr:uid="{A3991666-D3C0-6B44-A4E1-9432892A5194}"/>
    <hyperlink ref="B84" r:id="rId144" display="https://legacy.doe.gov.ph/ducsp/magelco" xr:uid="{FE7B1422-9080-4B41-AE4A-B313974ED32C}"/>
    <hyperlink ref="B12" r:id="rId145" display="https://legacy.doe.gov.ph/ducsp/profile/baselco" xr:uid="{60C2CF15-63B3-B54D-862B-16F9E2BBCC9A}"/>
    <hyperlink ref="B30" r:id="rId146" display="https://legacy.doe.gov.ph/ducsp/caselco" xr:uid="{AFD80193-970A-5A47-BB5B-0AC958B069D7}"/>
    <hyperlink ref="B130" r:id="rId147" display="https://legacy.doe.gov.ph/ducsp/profile/siaselco" xr:uid="{5B25DFC9-CC2C-2D49-AA0A-D5CD777F4DA3}"/>
    <hyperlink ref="B137" r:id="rId148" display="https://legacy.doe.gov.ph/ducsp/suleco" xr:uid="{F2C060F3-54CE-DF4F-B800-925DB8A48167}"/>
    <hyperlink ref="B143" r:id="rId149" display="https://legacy.doe.gov.ph/ducsp/tawelco" xr:uid="{DBD8F1BB-B1F8-FF4B-90A0-4464D94C19F5}"/>
    <hyperlink ref="B23" r:id="rId150" display="https://legacy.doe.gov.ph/ducsp/profile/bumbaran" xr:uid="{E6363D8F-87B8-A747-B42D-C14CD57CF5DF}"/>
    <hyperlink ref="B80" r:id="rId151" display="https://legacy.doe.gov.ph/ducsp/profile/lez" xr:uid="{55085D22-1629-B046-84C9-D6C14313BFCD}"/>
    <hyperlink ref="B85" r:id="rId152" display="https://legacy.doe.gov.ph/ducsp/profile/malvez" xr:uid="{C971AB05-F088-E142-B470-DBA678992797}"/>
    <hyperlink ref="E1" r:id="rId153" tooltip="sort by Region" display="https://legacy.doe.gov.ph/duprofile?order=field_du_region&amp;sort=asc" xr:uid="{326A31EA-12DE-A744-A65C-D32190AC4338}"/>
    <hyperlink ref="D1" r:id="rId154" tooltip="sort by Grid" display="https://legacy.doe.gov.ph/duprofile?order=field_du_group&amp;sort=asc" xr:uid="{AD7BC388-F834-3547-BC1A-9B749EF8F46C}"/>
    <hyperlink ref="C1" r:id="rId155" tooltip="sort by Type" display="https://legacy.doe.gov.ph/duprofile?order=field_du_type&amp;sort=asc" xr:uid="{430FCE69-4F34-D643-8222-37E02A91829C}"/>
    <hyperlink ref="A1" r:id="rId156" tooltip="sort by Distribution Utility" display="https://legacy.doe.gov.ph/duprofile?order=title&amp;sort=asc" xr:uid="{C31F6DB4-206B-FE4A-A343-6B8B6EC2B3BD}"/>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7B253-2A57-490B-8437-1DD6C1260D51}">
  <sheetPr codeName="Sheet16"/>
  <dimension ref="A1:E5"/>
  <sheetViews>
    <sheetView topLeftCell="A4" workbookViewId="0">
      <selection activeCell="C4" sqref="C4"/>
    </sheetView>
  </sheetViews>
  <sheetFormatPr baseColWidth="10" defaultColWidth="8.83203125" defaultRowHeight="15" x14ac:dyDescent="0.2"/>
  <cols>
    <col min="1" max="2" width="27" style="4" customWidth="1"/>
    <col min="3" max="3" width="27" customWidth="1"/>
    <col min="4" max="4" width="54.33203125" style="6" customWidth="1"/>
  </cols>
  <sheetData>
    <row r="1" spans="1:5" ht="16" x14ac:dyDescent="0.2">
      <c r="A1" s="3" t="s">
        <v>4</v>
      </c>
      <c r="B1" s="3" t="s">
        <v>1413</v>
      </c>
      <c r="C1" s="1" t="s">
        <v>1414</v>
      </c>
      <c r="D1" s="7" t="s">
        <v>1415</v>
      </c>
    </row>
    <row r="2" spans="1:5" ht="304" x14ac:dyDescent="0.2">
      <c r="A2" s="4" t="s">
        <v>1416</v>
      </c>
      <c r="B2" s="4" t="s">
        <v>1417</v>
      </c>
      <c r="C2" t="s">
        <v>1418</v>
      </c>
      <c r="D2" s="6" t="s">
        <v>1419</v>
      </c>
      <c r="E2" s="4" t="s">
        <v>1420</v>
      </c>
    </row>
    <row r="3" spans="1:5" ht="144" x14ac:dyDescent="0.2">
      <c r="A3" s="4" t="s">
        <v>155</v>
      </c>
      <c r="B3" s="4" t="s">
        <v>1421</v>
      </c>
      <c r="C3" s="8" t="s">
        <v>1422</v>
      </c>
      <c r="D3" s="6" t="s">
        <v>1423</v>
      </c>
    </row>
    <row r="4" spans="1:5" ht="272" x14ac:dyDescent="0.2">
      <c r="A4" s="4" t="s">
        <v>157</v>
      </c>
      <c r="B4" s="4" t="s">
        <v>1424</v>
      </c>
      <c r="C4" t="s">
        <v>1425</v>
      </c>
      <c r="D4" s="7" t="s">
        <v>1426</v>
      </c>
    </row>
    <row r="5" spans="1:5" ht="208" x14ac:dyDescent="0.2">
      <c r="A5" s="4" t="s">
        <v>158</v>
      </c>
      <c r="B5" s="4" t="s">
        <v>1427</v>
      </c>
      <c r="D5" s="6" t="s">
        <v>1428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0FD4557039659478CBF0BB6D62635CE" ma:contentTypeVersion="11" ma:contentTypeDescription="Create a new document." ma:contentTypeScope="" ma:versionID="12512ae147ba808f3077ecd707fb80f1">
  <xsd:schema xmlns:xsd="http://www.w3.org/2001/XMLSchema" xmlns:xs="http://www.w3.org/2001/XMLSchema" xmlns:p="http://schemas.microsoft.com/office/2006/metadata/properties" xmlns:ns2="85856290-1c23-4b19-9f06-96fbc7272041" targetNamespace="http://schemas.microsoft.com/office/2006/metadata/properties" ma:root="true" ma:fieldsID="006de5e10873c40dc8e256d74269ee47" ns2:_="">
    <xsd:import namespace="85856290-1c23-4b19-9f06-96fbc7272041"/>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2:MediaServiceBillingMetadata"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5856290-1c23-4b19-9f06-96fbc727204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ecb7a70a-0ab6-4622-a090-cdcd879a33e6" ma:termSetId="09814cd3-568e-fe90-9814-8d621ff8fb84" ma:anchorId="fba54fb3-c3e1-fe81-a776-ca4b69148c4d" ma:open="true" ma:isKeyword="false">
      <xsd:complexType>
        <xsd:sequence>
          <xsd:element ref="pc:Terms" minOccurs="0" maxOccurs="1"/>
        </xsd:sequence>
      </xsd:complexType>
    </xsd:element>
    <xsd:element name="MediaServiceBillingMetadata" ma:index="17" nillable="true" ma:displayName="MediaServiceBillingMetadata" ma:hidden="true" ma:internalName="MediaServiceBillingMetadata"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85856290-1c23-4b19-9f06-96fbc7272041">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C4AF58EB-FF60-41A5-85DA-CE222EAB2BA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5856290-1c23-4b19-9f06-96fbc727204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BFF0D39-3661-481E-B3B6-00FDA404A818}">
  <ds:schemaRefs>
    <ds:schemaRef ds:uri="http://schemas.microsoft.com/sharepoint/v3/contenttype/forms"/>
  </ds:schemaRefs>
</ds:datastoreItem>
</file>

<file path=customXml/itemProps3.xml><?xml version="1.0" encoding="utf-8"?>
<ds:datastoreItem xmlns:ds="http://schemas.openxmlformats.org/officeDocument/2006/customXml" ds:itemID="{9B267B6D-EF5A-4ADB-8EFB-A61F770FA06B}">
  <ds:schemaRefs>
    <ds:schemaRef ds:uri="http://schemas.microsoft.com/office/2006/metadata/properties"/>
    <ds:schemaRef ds:uri="http://schemas.microsoft.com/office/infopath/2007/PartnerControls"/>
    <ds:schemaRef ds:uri="85856290-1c23-4b19-9f06-96fbc7272041"/>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Instructions</vt:lpstr>
      <vt:lpstr>1. Data Info and Summary</vt:lpstr>
      <vt:lpstr>2.1a Fuel - Buildings</vt:lpstr>
      <vt:lpstr>2.1b Fuel - Vehicles</vt:lpstr>
      <vt:lpstr>2.2 Refrigerants</vt:lpstr>
      <vt:lpstr>2.3a Electricity</vt:lpstr>
      <vt:lpstr>2.3b RE - Solar</vt:lpstr>
      <vt:lpstr>2.4 Water</vt:lpstr>
      <vt:lpstr>2.7 Waste Gases</vt:lpstr>
      <vt:lpstr>2.5 Waste</vt:lpstr>
      <vt:lpstr>3. Emissions Summary</vt:lpstr>
      <vt:lpstr>4. Dashboard</vt:lpstr>
      <vt:lpstr>dropdown</vt:lpstr>
      <vt:lpstr>Emission_Factors</vt:lpstr>
      <vt:lpstr>Change Log</vt:lpstr>
      <vt:lpstr>Sheet2</vt:lpstr>
      <vt:lpstr>Metrics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Kar Lyle A. Constantino</dc:creator>
  <cp:keywords/>
  <dc:description/>
  <cp:lastModifiedBy>Finella Jianna A. Villaluz</cp:lastModifiedBy>
  <cp:revision/>
  <dcterms:created xsi:type="dcterms:W3CDTF">2024-09-16T05:48:56Z</dcterms:created>
  <dcterms:modified xsi:type="dcterms:W3CDTF">2025-09-22T06:48:30Z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9a2f4c6-d10d-4c1c-82e1-7a921120c69a_Enabled">
    <vt:lpwstr>true</vt:lpwstr>
  </property>
  <property fmtid="{D5CDD505-2E9C-101B-9397-08002B2CF9AE}" pid="3" name="MSIP_Label_d9a2f4c6-d10d-4c1c-82e1-7a921120c69a_SetDate">
    <vt:lpwstr>2024-09-16T06:26:53Z</vt:lpwstr>
  </property>
  <property fmtid="{D5CDD505-2E9C-101B-9397-08002B2CF9AE}" pid="4" name="MSIP_Label_d9a2f4c6-d10d-4c1c-82e1-7a921120c69a_Method">
    <vt:lpwstr>Standard</vt:lpwstr>
  </property>
  <property fmtid="{D5CDD505-2E9C-101B-9397-08002B2CF9AE}" pid="5" name="MSIP_Label_d9a2f4c6-d10d-4c1c-82e1-7a921120c69a_Name">
    <vt:lpwstr>General - Anyone</vt:lpwstr>
  </property>
  <property fmtid="{D5CDD505-2E9C-101B-9397-08002B2CF9AE}" pid="6" name="MSIP_Label_d9a2f4c6-d10d-4c1c-82e1-7a921120c69a_SiteId">
    <vt:lpwstr>c6d1c7a1-4b0d-4c53-86ec-d6d1d8e5b97c</vt:lpwstr>
  </property>
  <property fmtid="{D5CDD505-2E9C-101B-9397-08002B2CF9AE}" pid="7" name="MSIP_Label_d9a2f4c6-d10d-4c1c-82e1-7a921120c69a_ActionId">
    <vt:lpwstr>51b73fb5-0ba8-4342-a2ab-83211ee15d9d</vt:lpwstr>
  </property>
  <property fmtid="{D5CDD505-2E9C-101B-9397-08002B2CF9AE}" pid="8" name="MSIP_Label_d9a2f4c6-d10d-4c1c-82e1-7a921120c69a_ContentBits">
    <vt:lpwstr>2</vt:lpwstr>
  </property>
  <property fmtid="{D5CDD505-2E9C-101B-9397-08002B2CF9AE}" pid="9" name="ContentTypeId">
    <vt:lpwstr>0x01010080FD4557039659478CBF0BB6D62635CE</vt:lpwstr>
  </property>
  <property fmtid="{D5CDD505-2E9C-101B-9397-08002B2CF9AE}" pid="10" name="Order">
    <vt:r8>610300</vt:r8>
  </property>
  <property fmtid="{D5CDD505-2E9C-101B-9397-08002B2CF9AE}" pid="11" name="ComplianceAssetId">
    <vt:lpwstr/>
  </property>
  <property fmtid="{D5CDD505-2E9C-101B-9397-08002B2CF9AE}" pid="12" name="_ExtendedDescription">
    <vt:lpwstr/>
  </property>
  <property fmtid="{D5CDD505-2E9C-101B-9397-08002B2CF9AE}" pid="13" name="TriggerFlowInfo">
    <vt:lpwstr/>
  </property>
  <property fmtid="{D5CDD505-2E9C-101B-9397-08002B2CF9AE}" pid="14" name="MediaServiceImageTags">
    <vt:lpwstr/>
  </property>
  <property fmtid="{D5CDD505-2E9C-101B-9397-08002B2CF9AE}" pid="15" name="xd_Signature">
    <vt:bool>false</vt:bool>
  </property>
  <property fmtid="{D5CDD505-2E9C-101B-9397-08002B2CF9AE}" pid="16" name="xd_ProgID">
    <vt:lpwstr/>
  </property>
  <property fmtid="{D5CDD505-2E9C-101B-9397-08002B2CF9AE}" pid="17" name="TemplateUrl">
    <vt:lpwstr/>
  </property>
</Properties>
</file>