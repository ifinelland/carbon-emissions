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La Union Branch/"/>
    </mc:Choice>
  </mc:AlternateContent>
  <xr:revisionPtr revIDLastSave="0" documentId="13_ncr:1_{7CA913E5-B81D-5049-84B7-5ED5FD77F445}" xr6:coauthVersionLast="47" xr6:coauthVersionMax="47" xr10:uidLastSave="{00000000-0000-0000-0000-000000000000}"/>
  <bookViews>
    <workbookView xWindow="-120" yWindow="740" windowWidth="29040" windowHeight="1584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663" r:id="rId19"/>
    <pivotCache cacheId="664" r:id="rId20"/>
    <pivotCache cacheId="665" r:id="rId21"/>
    <pivotCache cacheId="666" r:id="rId22"/>
    <pivotCache cacheId="667" r:id="rId23"/>
    <pivotCache cacheId="675"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N11" i="34"/>
  <c r="T17" i="41"/>
  <c r="T16" i="41"/>
  <c r="T15" i="41"/>
  <c r="T14" i="41"/>
  <c r="T13" i="41"/>
  <c r="T12" i="41"/>
  <c r="T11" i="41"/>
  <c r="T10" i="41"/>
  <c r="T9" i="41"/>
  <c r="T8" i="41"/>
  <c r="T18" i="41"/>
  <c r="T19" i="41"/>
  <c r="R9" i="38" l="1"/>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4" i="40"/>
  <c r="I15" i="40" s="1"/>
  <c r="I16" i="40" s="1"/>
  <c r="I17" i="40" s="1"/>
  <c r="I18" i="40" s="1"/>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F12" i="38" s="1"/>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8" i="41"/>
  <c r="P9" i="41" s="1"/>
  <c r="P10" i="41" s="1"/>
  <c r="P11" i="41" s="1"/>
  <c r="P12" i="41" s="1"/>
  <c r="P13" i="41" s="1"/>
  <c r="P14" i="41" s="1"/>
  <c r="P15" i="41" s="1"/>
  <c r="P16" i="41" s="1"/>
  <c r="P17" i="41" s="1"/>
  <c r="P18" i="41" s="1"/>
  <c r="P19" i="41" s="1"/>
  <c r="P20" i="41" s="1"/>
  <c r="P21" i="41" s="1"/>
  <c r="P22" i="41" s="1"/>
  <c r="P23" i="41" s="1"/>
  <c r="P24" i="41" s="1"/>
  <c r="P25" i="41" s="1"/>
  <c r="P26" i="41" s="1"/>
  <c r="P27" i="41" s="1"/>
  <c r="P28" i="41" s="1"/>
  <c r="P29" i="41" s="1"/>
  <c r="P30" i="41" s="1"/>
  <c r="P31" i="41" s="1"/>
  <c r="P32" i="41" s="1"/>
  <c r="P33" i="41" s="1"/>
  <c r="P34" i="41" s="1"/>
  <c r="P35" i="41" s="1"/>
  <c r="P36" i="41" s="1"/>
  <c r="P37" i="41" s="1"/>
  <c r="P38" i="41" s="1"/>
  <c r="P39" i="41" s="1"/>
  <c r="P40" i="41" s="1"/>
  <c r="P41" i="41" s="1"/>
  <c r="P42" i="41" s="1"/>
  <c r="P43" i="41" s="1"/>
  <c r="P44" i="41" s="1"/>
  <c r="P45" i="41" s="1"/>
  <c r="P46" i="41" s="1"/>
  <c r="P47" i="41" s="1"/>
  <c r="P48" i="41" s="1"/>
  <c r="P49" i="41" s="1"/>
  <c r="P50" i="41" s="1"/>
  <c r="P51" i="41" s="1"/>
  <c r="P52" i="41" s="1"/>
  <c r="P53" i="41" s="1"/>
  <c r="P54" i="41" s="1"/>
  <c r="P55" i="41" s="1"/>
  <c r="P56" i="41" s="1"/>
  <c r="P57" i="41" s="1"/>
  <c r="P58" i="41" s="1"/>
  <c r="P59" i="41" s="1"/>
  <c r="P60" i="41" s="1"/>
  <c r="P61" i="41" s="1"/>
  <c r="P62" i="41" s="1"/>
  <c r="P63" i="41" s="1"/>
  <c r="P64" i="41" s="1"/>
  <c r="P65" i="41" s="1"/>
  <c r="P66" i="41" s="1"/>
  <c r="P67" i="41" s="1"/>
  <c r="P68" i="41" s="1"/>
  <c r="P69" i="41" s="1"/>
  <c r="P70" i="41" s="1"/>
  <c r="P71" i="41" s="1"/>
  <c r="P72" i="41" s="1"/>
  <c r="P73" i="41" s="1"/>
  <c r="P74" i="41" s="1"/>
  <c r="P75" i="41" s="1"/>
  <c r="P76" i="41" s="1"/>
  <c r="P77" i="41" s="1"/>
  <c r="P78" i="41" s="1"/>
  <c r="P79" i="41" s="1"/>
  <c r="P80" i="41" s="1"/>
  <c r="P81" i="41" s="1"/>
  <c r="P82" i="41" s="1"/>
  <c r="P83" i="41" s="1"/>
  <c r="P84" i="41" s="1"/>
  <c r="P85" i="41" s="1"/>
  <c r="P86" i="41" s="1"/>
  <c r="P87" i="41" s="1"/>
  <c r="P88" i="41" s="1"/>
  <c r="P89" i="41" s="1"/>
  <c r="P90" i="41" s="1"/>
  <c r="P91" i="41" s="1"/>
  <c r="P92" i="41" s="1"/>
  <c r="P93" i="41" s="1"/>
  <c r="P94" i="41" s="1"/>
  <c r="P95" i="41" s="1"/>
  <c r="P96" i="41" s="1"/>
  <c r="P97" i="41" s="1"/>
  <c r="P98" i="41" s="1"/>
  <c r="P99" i="41" s="1"/>
  <c r="P100" i="41" s="1"/>
  <c r="P101" i="41" s="1"/>
  <c r="P102" i="41" s="1"/>
  <c r="P103" i="41" s="1"/>
  <c r="P104" i="41" s="1"/>
  <c r="P105" i="41" s="1"/>
  <c r="P106" i="41" s="1"/>
  <c r="P107" i="41" s="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13" i="34" s="1"/>
  <c r="I14" i="34" s="1"/>
  <c r="I15" i="34" s="1"/>
  <c r="I16" i="34" s="1"/>
  <c r="I17" i="34" s="1"/>
  <c r="I18"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G12" i="38" l="1"/>
  <c r="D12" i="38"/>
  <c r="E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3" i="34"/>
  <c r="N12"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E13" i="37"/>
  <c r="F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8" i="44" l="1"/>
  <c r="I9" i="44" s="1"/>
  <c r="I10" i="44" s="1"/>
  <c r="L30" i="48"/>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G14" i="34" l="1"/>
  <c r="F14" i="34"/>
  <c r="D14" i="34"/>
  <c r="E14" i="34"/>
  <c r="G11" i="34"/>
  <c r="E11" i="34"/>
  <c r="F11" i="34"/>
  <c r="D11" i="34"/>
  <c r="E13" i="34"/>
  <c r="F13" i="34"/>
  <c r="D13" i="34"/>
  <c r="G13" i="34"/>
  <c r="E12" i="34"/>
  <c r="F12" i="34"/>
  <c r="G12" i="34"/>
  <c r="D12" i="34"/>
  <c r="G15" i="34"/>
  <c r="E15" i="34"/>
  <c r="F15" i="34"/>
  <c r="D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<sst xmlns="http://schemas.openxmlformats.org/spreadsheetml/2006/main" count="6033" uniqueCount="1448">
  <si>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</si>
  <si>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</si>
  <si>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</si>
  <si>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</si>
  <si>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</si>
  <si>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</si>
  <si>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</si>
  <si>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</si>
  <si>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</si>
  <si>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</si>
  <si>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</si>
  <si>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</si>
  <si>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</si>
  <si>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</si>
  <si>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</si>
  <si>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</si>
  <si>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</si>
  <si>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</si>
  <si>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</si>
  <si>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</si>
  <si>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</si>
  <si>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</si>
  <si>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</si>
  <si>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</si>
  <si>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</si>
  <si>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</si>
  <si>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</si>
  <si>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</si>
  <si>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</si>
  <si>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</si>
  <si>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</si>
  <si>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</si>
  <si>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</si>
  <si>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</si>
  <si>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</si>
  <si>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</si>
  <si>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</si>
  <si>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</si>
  <si>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</si>
  <si>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</si>
  <si>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</si>
  <si>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</si>
  <si>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</si>
  <si>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</si>
  <si>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</si>
  <si>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</si>
  <si>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</si>
  <si>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</si>
  <si>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</si>
  <si>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</si>
  <si>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</si>
  <si>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</si>
  <si>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</si>
  <si>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</si>
  <si>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</si>
  <si>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</si>
  <si>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</si>
  <si>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</si>
  <si>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</si>
  <si>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</si>
  <si>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</si>
  <si>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</si>
  <si>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</si>
  <si>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</si>
  <si>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</si>
  <si>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</si>
  <si>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</si>
  <si>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</si>
  <si>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</si>
  <si>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</si>
  <si>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</si>
  <si>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</si>
  <si>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</si>
  <si>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</si>
  <si>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</si>
  <si>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</si>
  <si>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</si>
  <si>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</si>
  <si>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</si>
  <si>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</si>
  <si>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</si>
  <si>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</si>
  <si>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</si>
  <si>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</si>
  <si>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</si>
  <si>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</si>
  <si>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</si>
  <si>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</si>
  <si>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</si>
  <si>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</si>
  <si>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</si>
  <si>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</si>
  <si>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</si>
  <si>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</si>
  <si>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</si>
  <si>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</si>
  <si>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</si>
  <si>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</si>
  <si>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</si>
  <si>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</si>
  <si>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</si>
  <si>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</si>
  <si>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</si>
  <si>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</si>
  <si>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</si>
  <si>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</si>
  <si>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</si>
  <si>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</si>
  <si>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</si>
  <si>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</si>
  <si>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</si>
  <si>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</si>
  <si>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</si>
  <si>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</si>
  <si>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</si>
  <si>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</si>
  <si>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</si>
  <si>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</si>
  <si>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</si>
  <si>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</si>
  <si>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</si>
  <si>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</si>
  <si>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</si>
  <si>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</si>
  <si>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</si>
  <si>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</si>
  <si>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</si>
  <si>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</si>
  <si>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</si>
  <si>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</si>
  <si>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</si>
  <si>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</si>
  <si>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</si>
  <si>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</si>
  <si>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</si>
  <si>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</si>
  <si>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</si>
  <si>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</si>
  <si>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</si>
  <si>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</si>
  <si>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</si>
  <si>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</si>
  <si>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</si>
  <si>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</si>
  <si>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</si>
  <si>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</si>
  <si>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</si>
  <si>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</si>
  <si>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</si>
  <si>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</si>
  <si>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</si>
  <si>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</si>
  <si>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</si>
  <si>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</si>
  <si>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</si>
  <si>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</si>
  <si>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</si>
  <si>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</si>
  <si>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</si>
  <si>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</si>
  <si>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</si>
  <si>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</si>
  <si>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</si>
  <si>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</si>
  <si>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</si>
  <si>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</si>
  <si>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</si>
  <si>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</si>
  <si>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</si>
  <si>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</si>
  <si>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</si>
  <si>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</si>
  <si>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</si>
  <si>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</si>
  <si>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</si>
  <si>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</si>
  <si>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</si>
  <si>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</si>
  <si>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</si>
  <si>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</si>
  <si>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</si>
  <si>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</si>
  <si>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</si>
  <si>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</si>
  <si>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</si>
  <si>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</si>
  <si>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</si>
  <si>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</si>
  <si>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</si>
  <si>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</si>
  <si>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</si>
  <si>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</si>
  <si>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</si>
  <si>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</si>
  <si>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</si>
  <si>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</si>
  <si>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</si>
  <si>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</si>
  <si>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</si>
  <si>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</si>
  <si>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</si>
  <si>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</si>
  <si>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</si>
  <si>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</si>
  <si>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</si>
  <si>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</si>
  <si>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</si>
  <si>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</si>
  <si>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</si>
  <si>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</si>
  <si>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</si>
  <si>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</si>
  <si>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</si>
  <si>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</si>
  <si>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</si>
  <si>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</si>
  <si>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</si>
  <si>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</si>
  <si>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</si>
  <si>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</si>
  <si>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</si>
  <si>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</si>
  <si>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</si>
  <si>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</si>
  <si>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</si>
  <si>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</si>
  <si>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</si>
  <si>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</si>
  <si>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</si>
  <si>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</si>
  <si>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</si>
  <si>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</si>
  <si>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</si>
  <si>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</si>
  <si>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</si>
  <si>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</si>
  <si>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</si>
  <si>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</si>
  <si>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</si>
  <si>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</si>
  <si>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</si>
  <si>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</si>
  <si>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</si>
  <si>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</si>
  <si>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</si>
  <si>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</si>
  <si>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</si>
  <si>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</si>
  <si>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</si>
  <si>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</si>
  <si>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</si>
  <si>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</si>
  <si>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</si>
  <si>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</si>
  <si>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</si>
  <si>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</si>
  <si>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</si>
  <si>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</si>
  <si>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</si>
  <si>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</si>
  <si>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</si>
  <si>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</si>
  <si>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</si>
  <si>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</si>
  <si>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</si>
  <si>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</si>
  <si>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</si>
  <si>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</si>
  <si>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</si>
  <si>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</si>
  <si>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</si>
  <si>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</si>
  <si>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</si>
  <si>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</si>
  <si>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</si>
  <si>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</si>
  <si>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</si>
  <si>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</si>
  <si>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</si>
  <si>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</si>
  <si>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</si>
  <si>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</si>
  <si>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</si>
  <si>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</si>
  <si>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</si>
  <si>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</si>
  <si>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</si>
  <si>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</si>
  <si>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</si>
  <si>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</si>
  <si>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</si>
  <si>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</si>
  <si>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</si>
  <si>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</si>
  <si>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</si>
  <si>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</si>
  <si>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</si>
  <si>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</si>
  <si>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</si>
  <si>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</si>
  <si>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</si>
  <si>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</si>
  <si>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</si>
  <si>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</si>
  <si>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</si>
  <si>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</si>
  <si>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</si>
  <si>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</si>
  <si>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</si>
  <si>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</si>
  <si>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</si>
  <si>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</si>
  <si>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</si>
  <si>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</si>
  <si>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</si>
  <si>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</si>
  <si>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</si>
  <si>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</si>
  <si>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</si>
  <si>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</si>
  <si>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</si>
  <si>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</si>
  <si>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</si>
  <si>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</si>
  <si>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</si>
  <si>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</si>
  <si>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</si>
  <si>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</si>
  <si>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</si>
  <si>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</si>
  <si>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</si>
  <si>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</si>
  <si>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</si>
  <si>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</si>
  <si>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</si>
  <si>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</si>
  <si>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</si>
  <si>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</si>
  <si>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</si>
  <si>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</si>
  <si>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</si>
  <si>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</si>
  <si>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</si>
  <si>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</si>
  <si>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</si>
  <si>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</si>
  <si>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</si>
  <si>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</si>
  <si>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</si>
  <si>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</si>
  <si>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</si>
  <si>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</si>
  <si>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</si>
  <si>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</si>
  <si>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</si>
  <si>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</si>
  <si>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</si>
  <si>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</si>
  <si>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</si>
  <si>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</si>
  <si>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</si>
  <si>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</si>
  <si>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</si>
  <si>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</si>
  <si>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</si>
  <si>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</si>
  <si>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</si>
  <si>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</si>
  <si>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</si>
  <si>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</si>
  <si>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</si>
  <si>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</si>
  <si>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</si>
  <si>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</si>
  <si>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</si>
  <si>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</si>
  <si>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</si>
  <si>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</si>
  <si>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</si>
  <si>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</si>
  <si>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</si>
  <si>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</si>
  <si>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</si>
  <si>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</si>
  <si>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</si>
  <si>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</si>
  <si>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</si>
  <si>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</si>
  <si>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</si>
  <si>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</si>
  <si>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</si>
  <si>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</si>
  <si>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</si>
  <si>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</si>
  <si>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</si>
  <si>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</si>
  <si>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</si>
  <si>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</si>
  <si>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</si>
  <si>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</si>
  <si>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</si>
  <si>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</si>
  <si>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</si>
  <si>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</si>
  <si>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</si>
  <si>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</si>
  <si>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</si>
  <si>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</si>
  <si>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</si>
  <si>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</si>
  <si>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</si>
  <si>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</si>
  <si>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</si>
  <si>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</si>
  <si>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</si>
  <si>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</si>
  <si>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</si>
  <si>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</si>
  <si>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</si>
  <si>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</si>
  <si>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</si>
  <si>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</si>
  <si>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</si>
  <si>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</si>
  <si>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</si>
  <si>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</si>
  <si>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</si>
  <si>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</si>
  <si>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</si>
  <si>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</si>
  <si>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</si>
  <si>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</si>
  <si>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</si>
  <si>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</si>
  <si>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</si>
  <si>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</si>
  <si>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</si>
  <si>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</si>
  <si>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</si>
  <si>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</si>
  <si>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</si>
  <si>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</si>
  <si>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</si>
  <si>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</si>
  <si>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</si>
  <si>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</si>
  <si>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</si>
  <si>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</si>
  <si>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</si>
  <si>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</si>
  <si>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</si>
  <si>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</si>
  <si>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</si>
  <si>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</si>
  <si>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</si>
  <si>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</si>
  <si>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</si>
  <si>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</si>
  <si>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</si>
  <si>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</si>
  <si>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</si>
  <si>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</si>
  <si>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</si>
  <si>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</si>
  <si>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</si>
  <si>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</si>
  <si>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</si>
  <si>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</si>
  <si>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</si>
  <si>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</si>
  <si>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</si>
  <si>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</si>
  <si>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</si>
  <si>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</si>
  <si>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</si>
  <si>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</si>
  <si>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</si>
  <si>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</si>
  <si>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</si>
  <si>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</si>
  <si>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</si>
  <si>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</si>
  <si>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</si>
  <si>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</si>
  <si>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</si>
  <si>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</si>
  <si>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</si>
  <si>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</si>
  <si>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</si>
  <si>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</si>
  <si>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</si>
  <si>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</si>
  <si>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</si>
  <si>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</si>
  <si>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</si>
  <si>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</si>
  <si>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</si>
  <si>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</si>
  <si>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</si>
  <si>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</si>
  <si>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</si>
  <si>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</si>
  <si>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</si>
  <si>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</si>
  <si>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</si>
  <si>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</si>
  <si>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</si>
  <si>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</si>
  <si>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</si>
  <si>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</si>
  <si>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</si>
  <si>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</si>
  <si>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</si>
  <si>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</si>
  <si>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</si>
  <si>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</si>
  <si>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</si>
  <si>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</si>
  <si>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</si>
  <si>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</si>
  <si>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</si>
  <si>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</si>
  <si>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</si>
  <si>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</si>
  <si>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</si>
  <si>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</si>
  <si>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</si>
  <si>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</si>
  <si>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</si>
  <si>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</si>
  <si>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</si>
  <si>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</si>
  <si>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</si>
  <si>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</si>
  <si>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</si>
  <si>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</si>
  <si>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</si>
  <si>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</si>
  <si>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</si>
  <si>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</si>
  <si>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</si>
  <si>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</si>
  <si>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</si>
  <si>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</si>
  <si>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</si>
  <si>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</si>
  <si>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</si>
  <si>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</si>
  <si>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</si>
  <si>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</si>
  <si>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</si>
  <si>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</si>
  <si>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</si>
  <si>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</si>
  <si>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</si>
  <si>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</si>
  <si>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</si>
  <si>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</si>
  <si>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</si>
  <si>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</si>
  <si>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</si>
  <si>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</si>
  <si>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</si>
  <si>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</si>
  <si>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</si>
  <si>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</si>
  <si>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</si>
  <si>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</si>
  <si>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</si>
  <si>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</si>
  <si>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</si>
  <si>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</si>
  <si>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</si>
  <si>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</si>
  <si>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</si>
  <si>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</si>
  <si>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</si>
  <si>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</si>
  <si>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</si>
  <si>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</si>
  <si>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</si>
  <si>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</si>
  <si>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</si>
  <si>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</si>
  <si>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</si>
  <si>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</si>
  <si>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</si>
  <si>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</si>
  <si>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</si>
  <si>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</si>
  <si>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</si>
  <si>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</si>
  <si>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</si>
  <si>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</si>
  <si>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</si>
  <si>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</si>
  <si>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</si>
  <si>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</si>
  <si>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</si>
  <si>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</si>
  <si>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</si>
  <si>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</si>
  <si>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</si>
  <si>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</si>
  <si>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</si>
  <si>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</si>
  <si>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</si>
  <si>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</si>
  <si>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</si>
  <si>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</si>
  <si>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</si>
  <si>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</si>
  <si>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</si>
  <si>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</si>
  <si>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</si>
  <si>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</si>
  <si>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</si>
  <si>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</si>
  <si>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</si>
  <si>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</si>
  <si>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</si>
  <si>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</si>
  <si>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</si>
  <si>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</si>
  <si>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</si>
  <si>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</si>
  <si>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</si>
  <si>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</si>
  <si>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</si>
  <si>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</si>
  <si>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</si>
  <si>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</si>
  <si>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</si>
  <si>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</si>
  <si>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</si>
  <si>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</si>
  <si>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</si>
  <si>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</si>
  <si>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</si>
  <si>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</si>
  <si>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</si>
  <si>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</si>
  <si>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</si>
  <si>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</si>
  <si>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</si>
  <si>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</si>
  <si>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</si>
  <si>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</si>
  <si>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</si>
  <si>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</si>
  <si>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</si>
  <si>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</si>
  <si>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</si>
  <si>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</si>
  <si>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</si>
  <si>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</si>
  <si>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</si>
  <si>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</si>
  <si>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</si>
  <si>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</si>
  <si>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</si>
  <si>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</si>
  <si>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</si>
  <si>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</si>
  <si>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</si>
  <si>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</si>
  <si>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</si>
  <si>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</si>
  <si>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</si>
  <si>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</si>
  <si>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</si>
  <si>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</si>
  <si>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</si>
  <si>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</si>
  <si>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</si>
  <si>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</si>
  <si>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</si>
  <si>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</si>
  <si>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</si>
  <si>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</si>
  <si>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</si>
  <si>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</si>
  <si>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</si>
  <si>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</si>
  <si>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</si>
  <si>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</si>
  <si>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</si>
  <si>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</si>
  <si>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</si>
  <si>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</si>
  <si>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</si>
  <si>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</si>
  <si>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</si>
  <si>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</si>
  <si>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</si>
  <si>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</si>
  <si>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</si>
  <si>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</si>
  <si>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</si>
  <si>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</si>
  <si>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</si>
  <si>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</si>
  <si>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</si>
  <si>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</si>
  <si>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</si>
  <si>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</si>
  <si>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</si>
  <si>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</si>
  <si>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</si>
  <si>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</si>
  <si>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</si>
  <si>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</si>
  <si>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</si>
  <si>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</si>
  <si>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</si>
  <si>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</si>
  <si>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</si>
  <si>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</si>
  <si>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</si>
  <si>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</si>
  <si>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</si>
  <si>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</si>
  <si>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</si>
  <si>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</si>
  <si>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</si>
  <si>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</si>
  <si>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</si>
  <si>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</si>
  <si>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</si>
  <si>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</si>
  <si>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</si>
  <si>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</si>
  <si>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</si>
  <si>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</si>
  <si>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</si>
  <si>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</si>
  <si>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</si>
  <si>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</si>
  <si>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</si>
  <si>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</si>
  <si>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</si>
  <si>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</si>
  <si>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</si>
  <si>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</si>
  <si>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</si>
  <si>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</si>
  <si>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</si>
  <si>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</si>
  <si>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</si>
  <si>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</si>
  <si>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</si>
  <si>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</si>
  <si>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</si>
  <si>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</si>
  <si>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</si>
  <si>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</si>
  <si>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</si>
  <si>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</si>
  <si>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</si>
  <si>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</si>
  <si>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</si>
  <si>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</si>
  <si>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</si>
  <si>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</si>
  <si>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</si>
  <si>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</si>
  <si>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</si>
  <si>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</si>
  <si>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</si>
  <si>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</si>
  <si>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</si>
  <si>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</si>
  <si>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</si>
  <si>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</si>
  <si>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</si>
  <si>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</si>
  <si>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</si>
  <si>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</si>
  <si>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</si>
  <si>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</si>
  <si>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</si>
  <si>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</si>
  <si>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</si>
  <si>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</si>
  <si>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</si>
  <si>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</si>
  <si>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</si>
  <si>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</si>
  <si>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</si>
  <si>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</si>
  <si>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</si>
  <si>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</si>
  <si>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</si>
  <si>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</si>
  <si>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</si>
  <si>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</si>
  <si>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</si>
  <si>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</si>
  <si>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</si>
  <si>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</si>
  <si>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</si>
  <si>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</si>
  <si>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</si>
  <si>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</si>
  <si>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</si>
  <si>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</si>
  <si>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</si>
  <si>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</si>
  <si>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</si>
  <si>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</si>
  <si>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</si>
  <si>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</si>
  <si>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</si>
  <si>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</si>
  <si>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</si>
  <si>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</si>
  <si>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</si>
  <si>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</si>
  <si>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</si>
  <si>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</si>
  <si>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</si>
  <si>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</si>
  <si>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</si>
  <si>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</si>
  <si>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</si>
  <si>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</si>
  <si>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</si>
  <si>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</si>
  <si>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</si>
  <si>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</si>
  <si>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</si>
  <si>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</si>
  <si>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</si>
  <si>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</si>
  <si>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</si>
  <si>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</si>
  <si>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</si>
  <si>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</si>
  <si>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</si>
  <si>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</si>
  <si>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</si>
  <si>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</si>
  <si>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</si>
  <si>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</si>
  <si>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</si>
  <si>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</si>
  <si>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</si>
  <si>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</si>
  <si>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</si>
  <si>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</si>
  <si>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</si>
  <si>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</si>
  <si>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</si>
  <si>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</si>
  <si>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</si>
  <si>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</si>
  <si>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</si>
  <si>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</si>
  <si>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</si>
  <si>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</si>
  <si>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</si>
  <si>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</si>
  <si>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</si>
  <si>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</si>
  <si>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</si>
  <si>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</si>
  <si>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</si>
  <si>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</si>
  <si>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</si>
  <si>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</si>
  <si>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</si>
  <si>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</si>
  <si>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</si>
  <si>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</si>
  <si>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</si>
  <si>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</si>
  <si>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</si>
  <si>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</si>
  <si>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</si>
  <si>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</si>
  <si>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</si>
  <si>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</si>
  <si>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</si>
  <si>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</si>
  <si>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</si>
  <si>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</si>
  <si>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</si>
  <si>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</si>
  <si>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</si>
  <si>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</si>
  <si>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</si>
  <si>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</si>
  <si>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</si>
  <si>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</si>
  <si>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</si>
  <si>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</si>
  <si>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</si>
  <si>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</si>
  <si>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</si>
  <si>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</si>
  <si>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</si>
  <si>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</si>
  <si>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</si>
  <si>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</si>
  <si>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</si>
  <si>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</si>
  <si>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</si>
  <si>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</si>
  <si>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</si>
  <si>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</si>
  <si>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</si>
  <si>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</si>
  <si>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</si>
  <si>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</si>
  <si>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</si>
  <si>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</si>
  <si>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</si>
  <si>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</si>
  <si>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</si>
  <si>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</si>
  <si>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</si>
  <si>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</si>
  <si>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</si>
  <si>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</si>
  <si>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</si>
  <si>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</si>
  <si>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</si>
  <si>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</si>
  <si>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</si>
  <si>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</si>
  <si>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</si>
  <si>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</si>
  <si>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</si>
  <si>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</si>
  <si>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</si>
  <si>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</si>
  <si>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</si>
  <si>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</si>
  <si>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</si>
  <si>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</si>
  <si>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</si>
  <si>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</si>
  <si>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</si>
  <si>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</si>
  <si>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</si>
  <si>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</si>
  <si>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</si>
  <si>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</si>
  <si>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</si>
  <si>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</si>
  <si>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</si>
  <si>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</si>
  <si>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</si>
  <si>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</si>
  <si>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</si>
  <si>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</si>
  <si>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</si>
  <si>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</si>
  <si>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</si>
  <si>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</si>
  <si>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</si>
  <si>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</si>
  <si>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</si>
  <si>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</si>
  <si>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</si>
  <si>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</si>
  <si>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</si>
  <si>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</si>
  <si>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</si>
  <si>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</si>
  <si>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</si>
  <si>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</si>
  <si>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</si>
  <si>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</si>
  <si>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</si>
  <si>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</si>
  <si>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</si>
  <si>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</si>
  <si>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</si>
  <si>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</si>
  <si>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</si>
  <si>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</si>
  <si>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</si>
  <si>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</si>
  <si>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</si>
  <si>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</si>
  <si>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</si>
  <si>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</si>
  <si>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</si>
  <si>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</si>
  <si>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</si>
  <si>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</si>
  <si>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</si>
  <si>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</si>
  <si>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</si>
  <si>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</si>
  <si>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</si>
  <si>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</si>
  <si>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</si>
  <si>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</si>
  <si>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</si>
  <si>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</si>
  <si>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</si>
  <si>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</si>
  <si>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</si>
  <si>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</si>
  <si>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</si>
  <si>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</si>
  <si>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</si>
  <si>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</si>
  <si>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</si>
  <si>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</si>
  <si>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</si>
  <si>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</si>
  <si>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</si>
  <si>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</si>
  <si>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</si>
  <si>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</si>
  <si>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</si>
  <si>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</si>
  <si>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</si>
  <si>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</si>
  <si>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</si>
  <si>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</si>
  <si>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</si>
  <si>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</si>
  <si>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</si>
  <si>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</si>
  <si>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</si>
  <si>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</si>
  <si>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</si>
  <si>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</si>
  <si>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</si>
  <si>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</si>
  <si>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</si>
  <si>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</si>
  <si>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</si>
  <si>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</si>
  <si>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</si>
  <si>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</si>
  <si>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</si>
  <si>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</si>
  <si>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</si>
  <si>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</si>
  <si>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</si>
  <si>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</si>
  <si>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</si>
  <si>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</si>
  <si>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</si>
  <si>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</si>
  <si>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</si>
  <si>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</si>
  <si>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</si>
  <si>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</si>
  <si>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</si>
  <si>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</si>
  <si>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</si>
  <si>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</si>
  <si>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</si>
  <si>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</si>
  <si>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</si>
  <si>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</si>
  <si>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</si>
  <si>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</si>
  <si>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</si>
  <si>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</si>
  <si>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</si>
  <si>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</si>
  <si>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</si>
  <si>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</si>
  <si>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</si>
  <si>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</si>
  <si>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</si>
  <si>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</si>
  <si>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</si>
  <si>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</si>
  <si>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</si>
  <si>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</si>
  <si>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</si>
  <si>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</si>
  <si>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</si>
  <si>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</si>
  <si>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</si>
  <si>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</si>
  <si>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</si>
  <si>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</si>
  <si>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</si>
  <si>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</si>
  <si>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</si>
  <si>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</si>
  <si>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</si>
  <si>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</si>
  <si>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</si>
  <si>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</si>
  <si>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</si>
  <si>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</si>
  <si>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</si>
  <si>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</si>
  <si>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</si>
  <si>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</si>
  <si>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</si>
  <si>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</si>
  <si>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</si>
  <si>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</si>
  <si>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</si>
  <si>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</si>
  <si>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</si>
  <si>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</si>
  <si>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</si>
  <si>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</si>
  <si>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</si>
  <si>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</si>
  <si>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</si>
  <si>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</si>
  <si>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</si>
  <si>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</si>
  <si>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</si>
  <si>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</si>
  <si>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</si>
  <si>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</si>
  <si>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</si>
  <si>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</si>
  <si>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</si>
  <si>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</si>
  <si>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</si>
  <si>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</si>
  <si>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</si>
  <si>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</si>
  <si>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</si>
  <si>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</si>
  <si>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</si>
  <si>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</si>
  <si>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</si>
  <si>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</si>
  <si>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</si>
  <si>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</si>
  <si>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</si>
  <si>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</si>
  <si>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</si>
  <si>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</si>
  <si>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</si>
  <si>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</si>
  <si>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</si>
  <si>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</si>
  <si>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</si>
  <si>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</si>
  <si>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</si>
  <si>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</si>
  <si>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</si>
  <si>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</si>
  <si>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</si>
  <si>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</si>
  <si>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</si>
  <si>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</si>
  <si>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</si>
  <si>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</si>
  <si>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</si>
  <si>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</si>
  <si>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</si>
  <si>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</si>
  <si>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</si>
  <si>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</si>
  <si>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</si>
  <si>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</si>
  <si>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</si>
  <si>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</si>
  <si>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</si>
  <si>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</si>
  <si>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</si>
  <si>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</si>
  <si>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</si>
  <si>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</si>
  <si>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</si>
  <si>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</si>
  <si>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</si>
  <si>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</si>
  <si>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</si>
  <si>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</si>
  <si>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</si>
  <si>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</si>
  <si>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</si>
  <si>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</si>
  <si>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</si>
  <si>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</si>
  <si>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</si>
  <si>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</si>
  <si>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</si>
  <si>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</si>
  <si>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</si>
  <si>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</si>
  <si>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</si>
  <si>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</si>
  <si>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</si>
  <si>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</si>
  <si>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</si>
  <si>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</si>
  <si>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</si>
  <si>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</si>
  <si>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</si>
  <si>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</si>
  <si>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</si>
  <si>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</si>
  <si>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</si>
  <si>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</si>
  <si>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</si>
  <si>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</si>
  <si>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</si>
  <si>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</si>
  <si>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</si>
  <si>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</si>
  <si>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</si>
  <si>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</si>
  <si>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</si>
  <si>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</si>
  <si>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</si>
  <si>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</si>
  <si>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</si>
  <si>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</si>
  <si>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</si>
  <si>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</si>
  <si>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</si>
  <si>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</si>
  <si>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</si>
  <si>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</si>
  <si>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</si>
  <si>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</si>
  <si>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</si>
  <si>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</si>
  <si>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</si>
  <si>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</si>
  <si>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</si>
  <si>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</si>
  <si>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</si>
  <si>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</si>
  <si>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</si>
  <si>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</si>
  <si>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</si>
  <si>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</si>
  <si>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</si>
  <si>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</si>
  <si>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</si>
  <si>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</si>
  <si>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</si>
  <si>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</si>
  <si>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</si>
  <si>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</si>
  <si>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</si>
  <si>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</si>
  <si>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</si>
  <si>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</si>
  <si>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</si>
  <si>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</si>
  <si>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</si>
  <si>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</si>
  <si>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</si>
  <si>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</si>
  <si>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</si>
  <si>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</si>
  <si>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</si>
  <si>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</si>
  <si>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</si>
  <si>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</si>
  <si>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</si>
  <si>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</si>
  <si>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</si>
  <si>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</si>
  <si>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</si>
  <si>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</si>
  <si>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</si>
  <si>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</si>
  <si>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</si>
  <si>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</si>
  <si>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</si>
  <si>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</si>
  <si>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</si>
  <si>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</si>
  <si>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</si>
  <si>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</si>
  <si>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</si>
  <si>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</si>
  <si>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</si>
  <si>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</si>
  <si>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</si>
  <si>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</si>
  <si>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</si>
  <si>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</si>
  <si>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</si>
  <si>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</si>
  <si>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</si>
  <si>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</si>
  <si>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</si>
  <si>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</si>
  <si>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</si>
  <si>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</si>
  <si>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</si>
  <si>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</si>
  <si>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</si>
  <si>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</si>
  <si>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</si>
  <si>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</si>
  <si>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</si>
  <si>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</si>
  <si>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</si>
  <si>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</si>
  <si>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</si>
  <si>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</si>
  <si>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</si>
  <si>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</si>
  <si>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</si>
  <si>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</si>
  <si>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</si>
  <si>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</si>
  <si>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</si>
  <si>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</si>
  <si>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</si>
  <si>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</si>
  <si>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</si>
  <si>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</si>
  <si>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</si>
  <si>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</si>
  <si>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</si>
  <si>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</si>
  <si>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</si>
  <si>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</si>
  <si>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</si>
  <si>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</si>
  <si>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</si>
  <si>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</si>
  <si>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</si>
  <si>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</si>
  <si>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</si>
  <si>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</si>
  <si>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</si>
  <si>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</si>
  <si>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</si>
  <si>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</si>
  <si>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</si>
  <si>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</si>
  <si>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</si>
  <si>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</si>
  <si>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</si>
  <si>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</si>
  <si>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</si>
  <si>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</si>
  <si>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</si>
  <si>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</si>
  <si>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</si>
  <si>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</si>
  <si>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</si>
  <si>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</si>
  <si>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</si>
  <si>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</si>
  <si>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</si>
  <si>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</si>
  <si>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</si>
  <si>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</si>
  <si>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</si>
  <si>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</si>
  <si>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</si>
  <si>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</si>
  <si>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</si>
  <si>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</si>
  <si>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</si>
  <si>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</si>
  <si>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</si>
  <si>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</si>
  <si>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</si>
  <si>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</si>
  <si>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</si>
  <si>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</si>
  <si>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</si>
  <si>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</si>
  <si>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</si>
  <si>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</si>
  <si>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</si>
  <si>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</si>
  <si>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</si>
  <si>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</si>
  <si>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</si>
  <si>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</si>
  <si>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</si>
  <si>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</si>
  <si>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</si>
  <si>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</si>
  <si>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</si>
  <si>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</si>
  <si>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</si>
  <si>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</si>
  <si>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</si>
  <si>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</si>
  <si>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</si>
  <si>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</si>
  <si>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</si>
  <si>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</si>
  <si>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</si>
  <si>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</si>
  <si>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</si>
  <si>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</si>
  <si>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</si>
  <si>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</si>
  <si>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</si>
  <si>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</si>
  <si>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</si>
  <si>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</si>
  <si>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</si>
  <si>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</si>
  <si>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</si>
  <si>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</si>
  <si>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</si>
  <si>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</si>
  <si>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</si>
  <si>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</si>
  <si>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</si>
  <si>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</si>
  <si>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</si>
  <si>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</si>
  <si>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</si>
  <si>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</si>
  <si>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</si>
  <si>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</si>
  <si>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</si>
  <si>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</si>
  <si>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</si>
  <si>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</si>
  <si>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</si>
  <si>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</si>
  <si>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</si>
  <si>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</si>
  <si>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</si>
  <si>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</si>
  <si>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</si>
  <si>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Billing Period: 12/15/2023 to 01/15/2024 Php 9.39/kwh</t>
  </si>
  <si>
    <t>Billing Period: 01/15/2024 to 02/15/2024 Php 8.98/kwh</t>
  </si>
  <si>
    <t>Billing Period: 02/15/2024 to 03/15/2024 Php 9.75/kwh</t>
  </si>
  <si>
    <t>Billing Period: 03/15/2024 to 04/15/2024 Php 9.20/kwh</t>
  </si>
  <si>
    <t>Billing Period: 04/15/2024 to 05/15/2024 Php 8.82/kwh</t>
  </si>
  <si>
    <t>Billing Period: 05/15/2024 to 06/15/2024 Php 9.38/kwh</t>
  </si>
  <si>
    <t>Billing Period: 06/15/2024 to 07/15/2024 Php 9.12/kwh</t>
  </si>
  <si>
    <t>Billing Period: 07/15/2024 to 08/15/2024 Php 8.84/kwh</t>
  </si>
  <si>
    <t>Billing Period: 08/15/2024 to 09/15/2024 Php 10.35/kwh</t>
  </si>
  <si>
    <t>Billing Period: 09/15/2024 to 10/15/2024 Php 9.61/kwh</t>
  </si>
  <si>
    <t>Billing Period: 10/15/2024 to 11/15/2024 Php 13.82/kwh</t>
  </si>
  <si>
    <t>Billing Period: 11/15/2024 to 12/15/2024 Php 13.26/kwh</t>
  </si>
  <si>
    <t>Cummins Diesel Engine, 755hp, 563KVA</t>
  </si>
  <si>
    <t>PABX room/Security Locker Room</t>
  </si>
  <si>
    <t>$A$27:$G$39</t>
  </si>
  <si>
    <t>$I$19:$O$106</t>
  </si>
  <si>
    <t>$N$7:$N$11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</si>
</sst>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7912962966"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0"/>
    </cacheField>
    <cacheField name="Vehicle Type" numFmtId="0">
      <sharedItems containsBlank="1" count="11">
        <s v="Multi-Purpose Vehicle"/>
        <s v="Van  "/>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containsInteger="1" minValue="0" maxValue="249"/>
    </cacheField>
    <cacheField name="Unit" numFmtId="0">
      <sharedItems containsBlank="1"/>
    </cacheField>
    <cacheField name="Total kilometers travelled (all vehicles)" numFmtId="4">
      <sharedItems containsString="0" containsBlank="1" containsNumber="1" containsInteger="1" minValue="0" maxValue="2418"/>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0"/>
    <s v="Liters"/>
    <n v="133"/>
    <s v="Kilometers"/>
    <m/>
  </r>
  <r>
    <n v="2"/>
    <x v="1"/>
    <x v="0"/>
    <x v="0"/>
    <x v="0"/>
    <n v="0"/>
    <m/>
    <n v="0"/>
    <s v="Kilometers"/>
    <m/>
  </r>
  <r>
    <n v="3"/>
    <x v="2"/>
    <x v="0"/>
    <x v="0"/>
    <x v="0"/>
    <n v="217"/>
    <s v="Liters"/>
    <n v="1039"/>
    <s v="Kilometers"/>
    <m/>
  </r>
  <r>
    <n v="4"/>
    <x v="0"/>
    <x v="0"/>
    <x v="1"/>
    <x v="0"/>
    <n v="231"/>
    <s v="Liters"/>
    <n v="2238"/>
    <s v="Kilometers"/>
    <m/>
  </r>
  <r>
    <n v="5"/>
    <x v="1"/>
    <x v="0"/>
    <x v="1"/>
    <x v="0"/>
    <n v="47"/>
    <s v="Liters"/>
    <n v="427"/>
    <s v="Kilometers"/>
    <m/>
  </r>
  <r>
    <n v="6"/>
    <x v="0"/>
    <x v="0"/>
    <x v="2"/>
    <x v="0"/>
    <n v="144"/>
    <s v="Liters"/>
    <n v="1518"/>
    <s v="Kilometers"/>
    <m/>
  </r>
  <r>
    <n v="7"/>
    <x v="1"/>
    <x v="0"/>
    <x v="2"/>
    <x v="0"/>
    <n v="156"/>
    <s v="Liters"/>
    <n v="1651"/>
    <s v="Kilometers"/>
    <m/>
  </r>
  <r>
    <n v="8"/>
    <x v="0"/>
    <x v="0"/>
    <x v="3"/>
    <x v="1"/>
    <n v="196"/>
    <s v="Liters"/>
    <n v="2038"/>
    <s v="Kilometers"/>
    <m/>
  </r>
  <r>
    <n v="9"/>
    <x v="1"/>
    <x v="0"/>
    <x v="3"/>
    <x v="1"/>
    <n v="163"/>
    <s v="Liters"/>
    <n v="1275"/>
    <s v="Kilometers"/>
    <m/>
  </r>
  <r>
    <n v="10"/>
    <x v="0"/>
    <x v="0"/>
    <x v="4"/>
    <x v="1"/>
    <n v="0"/>
    <s v="Liters"/>
    <n v="78"/>
    <s v="Kilometers"/>
    <m/>
  </r>
  <r>
    <n v="11"/>
    <x v="1"/>
    <x v="0"/>
    <x v="4"/>
    <x v="1"/>
    <n v="191"/>
    <s v="Liters"/>
    <n v="2196"/>
    <s v="Kilometers"/>
    <m/>
  </r>
  <r>
    <n v="12"/>
    <x v="2"/>
    <x v="0"/>
    <x v="4"/>
    <x v="1"/>
    <n v="0"/>
    <s v="Liters"/>
    <n v="52"/>
    <s v="Kilometers"/>
    <m/>
  </r>
  <r>
    <n v="13"/>
    <x v="0"/>
    <x v="0"/>
    <x v="5"/>
    <x v="1"/>
    <n v="105"/>
    <s v="Liters"/>
    <n v="942"/>
    <s v="Kilometers"/>
    <m/>
  </r>
  <r>
    <n v="14"/>
    <x v="1"/>
    <x v="0"/>
    <x v="5"/>
    <x v="1"/>
    <n v="156"/>
    <s v="Liters"/>
    <n v="1413"/>
    <s v="Kilometers"/>
    <m/>
  </r>
  <r>
    <n v="15"/>
    <x v="2"/>
    <x v="0"/>
    <x v="5"/>
    <x v="1"/>
    <n v="0"/>
    <s v="Liters"/>
    <n v="8"/>
    <s v="Kilometers"/>
    <m/>
  </r>
  <r>
    <n v="16"/>
    <x v="0"/>
    <x v="0"/>
    <x v="6"/>
    <x v="2"/>
    <n v="51"/>
    <s v="Liters"/>
    <n v="431"/>
    <s v="Kilometers"/>
    <m/>
  </r>
  <r>
    <n v="17"/>
    <x v="1"/>
    <x v="0"/>
    <x v="6"/>
    <x v="2"/>
    <n v="119"/>
    <s v="Liters"/>
    <n v="1227"/>
    <s v="Kilometers"/>
    <m/>
  </r>
  <r>
    <n v="18"/>
    <x v="0"/>
    <x v="0"/>
    <x v="7"/>
    <x v="2"/>
    <n v="118"/>
    <s v="Liters"/>
    <n v="1110"/>
    <s v="Kilometers"/>
    <m/>
  </r>
  <r>
    <n v="19"/>
    <x v="1"/>
    <x v="0"/>
    <x v="7"/>
    <x v="2"/>
    <n v="249"/>
    <s v="Liters"/>
    <n v="2418"/>
    <s v="Kilometers"/>
    <m/>
  </r>
  <r>
    <n v="20"/>
    <x v="2"/>
    <x v="0"/>
    <x v="7"/>
    <x v="2"/>
    <n v="0"/>
    <s v="Liters"/>
    <n v="56"/>
    <s v="Kilometers"/>
    <m/>
  </r>
  <r>
    <n v="21"/>
    <x v="0"/>
    <x v="0"/>
    <x v="8"/>
    <x v="2"/>
    <n v="88"/>
    <s v="Liters"/>
    <n v="998"/>
    <s v="Kilometers"/>
    <m/>
  </r>
  <r>
    <n v="22"/>
    <x v="1"/>
    <x v="0"/>
    <x v="8"/>
    <x v="2"/>
    <n v="84"/>
    <s v="Liters"/>
    <n v="726"/>
    <s v="Kilometers"/>
    <m/>
  </r>
  <r>
    <n v="23"/>
    <x v="0"/>
    <x v="0"/>
    <x v="9"/>
    <x v="3"/>
    <n v="138"/>
    <s v="Liters"/>
    <n v="1851"/>
    <s v="Kilometers"/>
    <m/>
  </r>
  <r>
    <n v="24"/>
    <x v="1"/>
    <x v="0"/>
    <x v="9"/>
    <x v="3"/>
    <n v="116"/>
    <s v="Liters"/>
    <n v="1179"/>
    <s v="Kilometers"/>
    <m/>
  </r>
  <r>
    <n v="25"/>
    <x v="2"/>
    <x v="0"/>
    <x v="9"/>
    <x v="3"/>
    <n v="0"/>
    <s v="Liters"/>
    <n v="13"/>
    <s v="Kilometers"/>
    <m/>
  </r>
  <r>
    <n v="26"/>
    <x v="0"/>
    <x v="0"/>
    <x v="10"/>
    <x v="3"/>
    <n v="165"/>
    <s v="Liters"/>
    <n v="1965"/>
    <s v="Kilometers"/>
    <m/>
  </r>
  <r>
    <n v="27"/>
    <x v="1"/>
    <x v="0"/>
    <x v="10"/>
    <x v="3"/>
    <n v="186"/>
    <s v="Liters"/>
    <n v="1508"/>
    <s v="Kilometers"/>
    <m/>
  </r>
  <r>
    <n v="28"/>
    <x v="2"/>
    <x v="0"/>
    <x v="10"/>
    <x v="3"/>
    <n v="157"/>
    <s v="Liters"/>
    <n v="650"/>
    <s v="Kilometers"/>
    <m/>
  </r>
  <r>
    <n v="29"/>
    <x v="0"/>
    <x v="0"/>
    <x v="11"/>
    <x v="3"/>
    <n v="112"/>
    <s v="Liters"/>
    <n v="1553"/>
    <s v="Kilometers"/>
    <m/>
  </r>
  <r>
    <n v="30"/>
    <x v="1"/>
    <x v="0"/>
    <x v="11"/>
    <x v="3"/>
    <n v="186"/>
    <s v="Liters"/>
    <n v="1909"/>
    <s v="Kilometers"/>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6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66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6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6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6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2">
        <item m="1" x="10"/>
        <item m="1" x="9"/>
        <item x="3"/>
        <item m="1" x="4"/>
        <item m="1" x="8"/>
        <item m="1" x="5"/>
        <item m="1" x="6"/>
        <item m="1" x="7"/>
        <item x="2"/>
        <item x="1"/>
        <item x="0"/>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0" s="1"/>
        <i x="1"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8" totalsRowShown="0" headerRowDxfId="109" dataDxfId="107" headerRowBorderDxfId="108" tableBorderDxfId="106">
  <autoFilter ref="I6:O18"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8">
  <autoFilter ref="A1:E929"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104" zoomScaleNormal="130" workbookViewId="0">
      <selection activeCell="F99" sqref="F99"/>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G35" sqref="G35"/>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406</v>
      </c>
      <c r="E2" s="444"/>
      <c r="F2" s="444"/>
      <c r="G2" s="445"/>
    </row>
    <row r="3" spans="3:7" x14ac:dyDescent="0.2">
      <c r="C3" s="117" t="s">
        <v>12</v>
      </c>
      <c r="D3" s="443">
        <v>2024</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x</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2602</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3375</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679203</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1700</v>
      </c>
    </row>
    <row r="40" spans="3:5" x14ac:dyDescent="0.2">
      <c r="C40" s="189" t="str">
        <f>'2.4 Water'!B12</f>
        <v>Water Discharge</v>
      </c>
      <c r="D40" s="189" t="str">
        <f>'2.4 Water'!C12</f>
        <v>Cubic meters</v>
      </c>
      <c r="E40" s="190">
        <f>SUM('2.4 Water'!$D$12:$G$12)</f>
        <v>963.02</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N7" sqref="N7:N11"/>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La Union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105</v>
      </c>
      <c r="N7" s="17" t="str">
        <f>IF($J7="","",VLOOKUP($J7,dropdown!$P$3:$Q$8,2,FALSE))</f>
        <v>Liters</v>
      </c>
      <c r="O7" s="195" t="s">
        <v>1443</v>
      </c>
      <c r="P7" s="20"/>
    </row>
    <row r="8" spans="2:16" x14ac:dyDescent="0.2">
      <c r="I8" s="194"/>
      <c r="J8" s="57" t="s">
        <v>37</v>
      </c>
      <c r="K8" s="58" t="s">
        <v>89</v>
      </c>
      <c r="L8" s="18" t="str">
        <f>IF(Fuel_Blg[[#This Row],[Month]]&lt;&gt;"",VLOOKUP(Fuel_Blg[[#This Row],[Month]], dropdown!$S$4:$T$15, 2, FALSE),"")</f>
        <v>Q1</v>
      </c>
      <c r="M8" s="29">
        <v>65</v>
      </c>
      <c r="N8" s="17" t="str">
        <f>IF($J8="","",VLOOKUP($J8,dropdown!$P$3:$Q$8,2,FALSE))</f>
        <v>Liters</v>
      </c>
      <c r="O8" s="195" t="s">
        <v>1443</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746</v>
      </c>
      <c r="N9" s="17" t="str">
        <f>IF($J9="","",VLOOKUP($J9,dropdown!$P$3:$Q$8,2,FALSE))</f>
        <v>Liters</v>
      </c>
      <c r="O9" s="195" t="s">
        <v>1443</v>
      </c>
      <c r="P9" s="20"/>
    </row>
    <row r="10" spans="2:16" x14ac:dyDescent="0.2">
      <c r="B10" s="13" t="s">
        <v>35</v>
      </c>
      <c r="C10" s="13" t="s">
        <v>51</v>
      </c>
      <c r="D10" s="40" t="s">
        <v>45</v>
      </c>
      <c r="E10" s="40" t="s">
        <v>149</v>
      </c>
      <c r="F10" s="40" t="s">
        <v>150</v>
      </c>
      <c r="G10" s="40" t="s">
        <v>151</v>
      </c>
      <c r="I10" s="194">
        <f t="shared" ref="I10:I18" si="0">IF($M10="","",$I9+1)</f>
        <v>1</v>
      </c>
      <c r="J10" s="57" t="s">
        <v>37</v>
      </c>
      <c r="K10" s="58" t="s">
        <v>371</v>
      </c>
      <c r="L10" s="18" t="str">
        <f>IF(Fuel_Blg[[#This Row],[Month]]&lt;&gt;"",VLOOKUP(Fuel_Blg[[#This Row],[Month]], dropdown!$S$4:$T$15, 2, FALSE),"")</f>
        <v>Q2</v>
      </c>
      <c r="M10" s="29">
        <v>130</v>
      </c>
      <c r="N10" s="17" t="str">
        <f>IF($J10="","",VLOOKUP($J10,dropdown!$P$3:$Q$8,2,FALSE))</f>
        <v>Liters</v>
      </c>
      <c r="O10" s="195" t="s">
        <v>1443</v>
      </c>
      <c r="P10" s="20"/>
    </row>
    <row r="11" spans="2:16" x14ac:dyDescent="0.2">
      <c r="B11" s="17" t="str">
        <f>dropdown!$P4</f>
        <v>Diesel - Standby generator sets</v>
      </c>
      <c r="C11" s="17" t="str">
        <f>dropdown!$Q4</f>
        <v>Liters</v>
      </c>
      <c r="D11" s="41">
        <f>SUMIFS(Fuel_Blg[Consumption],Fuel_Blg[Quarter],D$10,Fuel_Blg[Fuel Type],$B$11)</f>
        <v>916</v>
      </c>
      <c r="E11" s="41">
        <f>SUMIFS(Fuel_Blg[Consumption],Fuel_Blg[Quarter],E$10,Fuel_Blg[Fuel Type],$B$11)</f>
        <v>598</v>
      </c>
      <c r="F11" s="41">
        <f>SUMIFS(Fuel_Blg[Consumption],Fuel_Blg[Quarter],F$10,Fuel_Blg[Fuel Type],$B$11)</f>
        <v>714</v>
      </c>
      <c r="G11" s="41">
        <f>SUMIFS(Fuel_Blg[Consumption],Fuel_Blg[Quarter],G$10,Fuel_Blg[Fuel Type],$B$11)</f>
        <v>374</v>
      </c>
      <c r="I11" s="194">
        <f t="shared" si="0"/>
        <v>2</v>
      </c>
      <c r="J11" s="57" t="s">
        <v>37</v>
      </c>
      <c r="K11" s="58" t="s">
        <v>379</v>
      </c>
      <c r="L11" s="18" t="str">
        <f>IF(Fuel_Blg[[#This Row],[Month]]&lt;&gt;"",VLOOKUP(Fuel_Blg[[#This Row],[Month]], dropdown!$S$4:$T$15, 2, FALSE),"")</f>
        <v>Q2</v>
      </c>
      <c r="M11" s="29">
        <v>302.5</v>
      </c>
      <c r="N11" s="17" t="str">
        <f>IF($J11="","",VLOOKUP($J11,dropdown!$P$3:$Q$8,2,FALSE))</f>
        <v>Liters</v>
      </c>
      <c r="O11" s="195" t="s">
        <v>1443</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165.5</v>
      </c>
      <c r="N12" s="17" t="str">
        <f>IF($J12="","",VLOOKUP($J12,dropdown!$P$3:$Q$8,2,FALSE))</f>
        <v>Liters</v>
      </c>
      <c r="O12" s="195" t="s">
        <v>1443</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511</v>
      </c>
      <c r="N13" s="17" t="str">
        <f>IF($J13="","",VLOOKUP($J13,dropdown!$P$3:$Q$8,2,FALSE))</f>
        <v>Liters</v>
      </c>
      <c r="O13" s="195" t="s">
        <v>1443</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137.5</v>
      </c>
      <c r="N14" s="17" t="str">
        <f>IF($J14="","",VLOOKUP($J14,dropdown!$P$3:$Q$8,2,FALSE))</f>
        <v>Liters</v>
      </c>
      <c r="O14" s="195" t="s">
        <v>1443</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65.5</v>
      </c>
      <c r="N15" s="17" t="str">
        <f>IF($J15="","",VLOOKUP($J15,dropdown!$P$3:$Q$8,2,FALSE))</f>
        <v>Liters</v>
      </c>
      <c r="O15" s="195" t="s">
        <v>1443</v>
      </c>
      <c r="P15" s="20"/>
    </row>
    <row r="16" spans="2:16" x14ac:dyDescent="0.2">
      <c r="I16" s="194">
        <f t="shared" si="0"/>
        <v>7</v>
      </c>
      <c r="J16" s="57" t="s">
        <v>37</v>
      </c>
      <c r="K16" s="58" t="s">
        <v>400</v>
      </c>
      <c r="L16" s="18" t="str">
        <f>IF(Fuel_Blg[[#This Row],[Month]]&lt;&gt;"",VLOOKUP(Fuel_Blg[[#This Row],[Month]], dropdown!$S$4:$T$15, 2, FALSE),"")</f>
        <v>Q4</v>
      </c>
      <c r="M16" s="29">
        <v>114</v>
      </c>
      <c r="N16" s="17" t="str">
        <f>IF($J16="","",VLOOKUP($J16,dropdown!$P$3:$Q$8,2,FALSE))</f>
        <v>Liters</v>
      </c>
      <c r="O16" s="195" t="s">
        <v>1443</v>
      </c>
      <c r="P16" s="20"/>
    </row>
    <row r="17" spans="2:16" x14ac:dyDescent="0.2">
      <c r="B17" s="267" t="s">
        <v>38</v>
      </c>
      <c r="I17" s="194">
        <f t="shared" si="0"/>
        <v>8</v>
      </c>
      <c r="J17" s="57" t="s">
        <v>37</v>
      </c>
      <c r="K17" s="58" t="s">
        <v>404</v>
      </c>
      <c r="L17" s="18" t="str">
        <f>IF(Fuel_Blg[[#This Row],[Month]]&lt;&gt;"",VLOOKUP(Fuel_Blg[[#This Row],[Month]], dropdown!$S$4:$T$15, 2, FALSE),"")</f>
        <v>Q4</v>
      </c>
      <c r="M17" s="29">
        <v>209</v>
      </c>
      <c r="N17" s="17" t="str">
        <f>IF($J17="","",VLOOKUP($J17,dropdown!$P$3:$Q$8,2,FALSE))</f>
        <v>Liters</v>
      </c>
      <c r="O17" s="195" t="s">
        <v>1443</v>
      </c>
      <c r="P17" s="20"/>
    </row>
    <row r="18" spans="2:16" x14ac:dyDescent="0.2">
      <c r="B18" s="268" t="s">
        <v>175</v>
      </c>
      <c r="I18" s="194">
        <f t="shared" si="0"/>
        <v>9</v>
      </c>
      <c r="J18" s="57" t="s">
        <v>37</v>
      </c>
      <c r="K18" s="58" t="s">
        <v>407</v>
      </c>
      <c r="L18" s="18" t="str">
        <f>IF(Fuel_Blg[[#This Row],[Month]]&lt;&gt;"",VLOOKUP(Fuel_Blg[[#This Row],[Month]], dropdown!$S$4:$T$15, 2, FALSE),"")</f>
        <v>Q4</v>
      </c>
      <c r="M18" s="29">
        <v>51</v>
      </c>
      <c r="N18" s="17" t="str">
        <f>IF($J18="","",VLOOKUP($J18,dropdown!$P$3:$Q$8,2,FALSE))</f>
        <v>Liters</v>
      </c>
      <c r="O18" s="195" t="s">
        <v>1443</v>
      </c>
      <c r="P18" s="20"/>
    </row>
    <row r="19" spans="2:16" x14ac:dyDescent="0.2">
      <c r="B19" s="266" t="s">
        <v>176</v>
      </c>
      <c r="P19" s="20"/>
    </row>
    <row r="20" spans="2:16" x14ac:dyDescent="0.2">
      <c r="B20" s="17" t="s">
        <v>177</v>
      </c>
      <c r="I20" s="322" t="s">
        <v>178</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8 O6:O18 J6:K18"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J7:J18</xm:sqref>
        </x14:dataValidation>
        <x14:dataValidation type="list" allowBlank="1" showInputMessage="1" showErrorMessage="1" xr:uid="{3A41C1D1-FB7A-9447-9EAB-0BFDEC48FE4C}">
          <x14:formula1>
            <xm:f>dropdown!$S$4:$S$15</xm:f>
          </x14:formula1>
          <xm:sqref>K7:K18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A3" zoomScaleNormal="100" workbookViewId="0">
      <selection activeCell="P37" sqref="P37"/>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La Union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365</v>
      </c>
      <c r="K7" s="57" t="s">
        <v>63</v>
      </c>
      <c r="L7" s="58" t="s">
        <v>338</v>
      </c>
      <c r="M7" s="18" t="str">
        <f>IF(Fuel_Veh[[#This Row],[Month]]&lt;&gt;"",VLOOKUP(Fuel_Veh[[#This Row],[Month]], dropdown!$S$4:$T$15, 2, FALSE),"")</f>
        <v>Q1</v>
      </c>
      <c r="N7" s="29">
        <v>0</v>
      </c>
      <c r="O7" s="17" t="str">
        <f>IF($K7="","",VLOOKUP($K7,dropdown!$P$14:$Q$18,2,FALSE))</f>
        <v>Liters</v>
      </c>
      <c r="P7" s="29">
        <v>133</v>
      </c>
      <c r="Q7" s="17" t="str">
        <f t="shared" ref="Q7:Q70" si="0">IF($P7="","","Kilometers")</f>
        <v>Kilometers</v>
      </c>
      <c r="R7" s="195"/>
    </row>
    <row r="8" spans="2:18" x14ac:dyDescent="0.2">
      <c r="I8" s="194">
        <f>IF($J8="","",$I7+1)</f>
        <v>2</v>
      </c>
      <c r="J8" s="57" t="s">
        <v>381</v>
      </c>
      <c r="K8" s="57" t="s">
        <v>63</v>
      </c>
      <c r="L8" s="58" t="s">
        <v>338</v>
      </c>
      <c r="M8" s="18" t="str">
        <f>IF(Fuel_Veh[[#This Row],[Month]]&lt;&gt;"",VLOOKUP(Fuel_Veh[[#This Row],[Month]], dropdown!$S$4:$T$15, 2, FALSE),"")</f>
        <v>Q1</v>
      </c>
      <c r="N8" s="29">
        <v>0</v>
      </c>
      <c r="O8" s="17"/>
      <c r="P8" s="29">
        <v>0</v>
      </c>
      <c r="Q8" s="17" t="str">
        <f t="shared" si="0"/>
        <v>Kilometers</v>
      </c>
      <c r="R8" s="195"/>
    </row>
    <row r="9" spans="2:18" x14ac:dyDescent="0.2">
      <c r="B9" s="14" t="s">
        <v>33</v>
      </c>
      <c r="C9" s="14"/>
      <c r="D9" s="14"/>
      <c r="E9" s="14"/>
      <c r="F9" s="14"/>
      <c r="G9" s="14"/>
      <c r="I9" s="194">
        <f>IF($J9="","",$I8+1)</f>
        <v>3</v>
      </c>
      <c r="J9" s="57" t="s">
        <v>343</v>
      </c>
      <c r="K9" s="57" t="s">
        <v>63</v>
      </c>
      <c r="L9" s="58" t="s">
        <v>338</v>
      </c>
      <c r="M9" s="18" t="str">
        <f>IF(Fuel_Veh[[#This Row],[Month]]&lt;&gt;"",VLOOKUP(Fuel_Veh[[#This Row],[Month]], dropdown!$S$4:$T$15, 2, FALSE),"")</f>
        <v>Q1</v>
      </c>
      <c r="N9" s="29">
        <v>217</v>
      </c>
      <c r="O9" s="17" t="str">
        <f>IF($K9="","",VLOOKUP($K9,dropdown!$P$14:$Q$18,2,FALSE))</f>
        <v>Liters</v>
      </c>
      <c r="P9" s="29">
        <v>1039</v>
      </c>
      <c r="Q9" s="17" t="str">
        <f t="shared" si="0"/>
        <v>Kilometers</v>
      </c>
      <c r="R9" s="195"/>
    </row>
    <row r="10" spans="2:18" x14ac:dyDescent="0.2">
      <c r="B10" s="13" t="s">
        <v>35</v>
      </c>
      <c r="C10" s="13" t="s">
        <v>51</v>
      </c>
      <c r="D10" s="40" t="s">
        <v>45</v>
      </c>
      <c r="E10" s="40" t="s">
        <v>149</v>
      </c>
      <c r="F10" s="40" t="s">
        <v>150</v>
      </c>
      <c r="G10" s="40" t="s">
        <v>151</v>
      </c>
      <c r="I10" s="194">
        <f>IF($J10="","",$I9+1)</f>
        <v>4</v>
      </c>
      <c r="J10" s="57" t="s">
        <v>365</v>
      </c>
      <c r="K10" s="57" t="s">
        <v>63</v>
      </c>
      <c r="L10" s="58" t="s">
        <v>89</v>
      </c>
      <c r="M10" s="18" t="str">
        <f>IF(Fuel_Veh[[#This Row],[Month]]&lt;&gt;"",VLOOKUP(Fuel_Veh[[#This Row],[Month]], dropdown!$S$4:$T$15, 2, FALSE),"")</f>
        <v>Q1</v>
      </c>
      <c r="N10" s="29">
        <v>231</v>
      </c>
      <c r="O10" s="17" t="str">
        <f>IF($K10="","",VLOOKUP($K10,dropdown!$P$14:$Q$18,2,FALSE))</f>
        <v>Liters</v>
      </c>
      <c r="P10" s="29">
        <v>2238</v>
      </c>
      <c r="Q10" s="17" t="str">
        <f t="shared" si="0"/>
        <v>Kilometers</v>
      </c>
      <c r="R10" s="195"/>
    </row>
    <row r="11" spans="2:18" x14ac:dyDescent="0.2">
      <c r="B11" s="17" t="str">
        <f>dropdown!$P15</f>
        <v>Diesel - Transport vehicles</v>
      </c>
      <c r="C11" s="17" t="str">
        <f>dropdown!$Q15</f>
        <v>Liters</v>
      </c>
      <c r="D11" s="41">
        <f>SUMIFS(Fuel_Veh[Consumption],Fuel_Veh[Quarter],D$10,Fuel_Veh[Fuel Type],$B$11)</f>
        <v>795</v>
      </c>
      <c r="E11" s="41">
        <f>SUMIFS(Fuel_Veh[Consumption],Fuel_Veh[Quarter],E$10,Fuel_Veh[Fuel Type],$B$11)</f>
        <v>811</v>
      </c>
      <c r="F11" s="41">
        <f>SUMIFS(Fuel_Veh[Consumption],Fuel_Veh[Quarter],F$10,Fuel_Veh[Fuel Type],$B$11)</f>
        <v>709</v>
      </c>
      <c r="G11" s="41">
        <f>SUMIFS(Fuel_Veh[Consumption],Fuel_Veh[Quarter],G$10,Fuel_Veh[Fuel Type],$B$11)</f>
        <v>1060</v>
      </c>
      <c r="I11" s="194">
        <f>IF($J11="","",$I10+1)</f>
        <v>5</v>
      </c>
      <c r="J11" s="57" t="s">
        <v>381</v>
      </c>
      <c r="K11" s="57" t="s">
        <v>63</v>
      </c>
      <c r="L11" s="58" t="s">
        <v>89</v>
      </c>
      <c r="M11" s="18" t="str">
        <f>IF(Fuel_Veh[[#This Row],[Month]]&lt;&gt;"",VLOOKUP(Fuel_Veh[[#This Row],[Month]], dropdown!$S$4:$T$15, 2, FALSE),"")</f>
        <v>Q1</v>
      </c>
      <c r="N11" s="29">
        <v>47</v>
      </c>
      <c r="O11" s="17" t="str">
        <f>IF($K11="","",VLOOKUP($K11,dropdown!$P$14:$Q$18,2,FALSE))</f>
        <v>Liters</v>
      </c>
      <c r="P11" s="29">
        <v>427</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362</v>
      </c>
      <c r="M12" s="18" t="str">
        <f>IF(Fuel_Veh[[#This Row],[Month]]&lt;&gt;"",VLOOKUP(Fuel_Veh[[#This Row],[Month]], dropdown!$S$4:$T$15, 2, FALSE),"")</f>
        <v>Q1</v>
      </c>
      <c r="N12" s="29">
        <v>144</v>
      </c>
      <c r="O12" s="17" t="str">
        <f>IF($K12="","",VLOOKUP($K12,dropdown!$P$14:$Q$18,2,FALSE))</f>
        <v>Liters</v>
      </c>
      <c r="P12" s="29">
        <v>1518</v>
      </c>
      <c r="Q12" s="17" t="str">
        <f t="shared" si="0"/>
        <v>Kilometers</v>
      </c>
      <c r="R12" s="195"/>
    </row>
    <row r="13" spans="2:18" ht="14" customHeight="1" x14ac:dyDescent="0.2">
      <c r="I13" s="194">
        <f t="shared" si="1"/>
        <v>7</v>
      </c>
      <c r="J13" s="57" t="s">
        <v>381</v>
      </c>
      <c r="K13" s="57" t="s">
        <v>63</v>
      </c>
      <c r="L13" s="58" t="s">
        <v>362</v>
      </c>
      <c r="M13" s="18" t="str">
        <f>IF(Fuel_Veh[[#This Row],[Month]]&lt;&gt;"",VLOOKUP(Fuel_Veh[[#This Row],[Month]], dropdown!$S$4:$T$15, 2, FALSE),"")</f>
        <v>Q1</v>
      </c>
      <c r="N13" s="29">
        <v>156</v>
      </c>
      <c r="O13" s="17" t="str">
        <f>IF($K13="","",VLOOKUP($K13,dropdown!$P$14:$Q$18,2,FALSE))</f>
        <v>Liters</v>
      </c>
      <c r="P13" s="29">
        <v>1651</v>
      </c>
      <c r="Q13" s="17" t="str">
        <f t="shared" si="0"/>
        <v>Kilometers</v>
      </c>
      <c r="R13" s="195"/>
    </row>
    <row r="14" spans="2:18" x14ac:dyDescent="0.2">
      <c r="B14" s="267" t="s">
        <v>38</v>
      </c>
      <c r="I14" s="194">
        <f t="shared" si="1"/>
        <v>8</v>
      </c>
      <c r="J14" s="57" t="s">
        <v>365</v>
      </c>
      <c r="K14" s="57" t="s">
        <v>63</v>
      </c>
      <c r="L14" s="58" t="s">
        <v>371</v>
      </c>
      <c r="M14" s="18" t="str">
        <f>IF(Fuel_Veh[[#This Row],[Month]]&lt;&gt;"",VLOOKUP(Fuel_Veh[[#This Row],[Month]], dropdown!$S$4:$T$15, 2, FALSE),"")</f>
        <v>Q2</v>
      </c>
      <c r="N14" s="29">
        <v>196</v>
      </c>
      <c r="O14" s="17" t="str">
        <f>IF($K14="","",VLOOKUP($K14,dropdown!$P$14:$Q$18,2,FALSE))</f>
        <v>Liters</v>
      </c>
      <c r="P14" s="29">
        <v>2038</v>
      </c>
      <c r="Q14" s="17" t="str">
        <f t="shared" si="0"/>
        <v>Kilometers</v>
      </c>
      <c r="R14" s="195"/>
    </row>
    <row r="15" spans="2:18" x14ac:dyDescent="0.2">
      <c r="B15" s="268" t="s">
        <v>175</v>
      </c>
      <c r="I15" s="194">
        <f t="shared" si="1"/>
        <v>9</v>
      </c>
      <c r="J15" s="57" t="s">
        <v>381</v>
      </c>
      <c r="K15" s="57" t="s">
        <v>63</v>
      </c>
      <c r="L15" s="58" t="s">
        <v>371</v>
      </c>
      <c r="M15" s="18" t="str">
        <f>IF(Fuel_Veh[[#This Row],[Month]]&lt;&gt;"",VLOOKUP(Fuel_Veh[[#This Row],[Month]], dropdown!$S$4:$T$15, 2, FALSE),"")</f>
        <v>Q2</v>
      </c>
      <c r="N15" s="29">
        <v>163</v>
      </c>
      <c r="O15" s="17" t="str">
        <f>IF($K15="","",VLOOKUP($K15,dropdown!$P$14:$Q$18,2,FALSE))</f>
        <v>Liters</v>
      </c>
      <c r="P15" s="29">
        <v>1275</v>
      </c>
      <c r="Q15" s="17" t="str">
        <f t="shared" si="0"/>
        <v>Kilometers</v>
      </c>
      <c r="R15" s="195"/>
    </row>
    <row r="16" spans="2:18" x14ac:dyDescent="0.2">
      <c r="B16" s="266" t="s">
        <v>176</v>
      </c>
      <c r="I16" s="194">
        <f t="shared" si="1"/>
        <v>10</v>
      </c>
      <c r="J16" s="57" t="s">
        <v>365</v>
      </c>
      <c r="K16" s="57" t="s">
        <v>63</v>
      </c>
      <c r="L16" s="58" t="s">
        <v>379</v>
      </c>
      <c r="M16" s="18" t="str">
        <f>IF(Fuel_Veh[[#This Row],[Month]]&lt;&gt;"",VLOOKUP(Fuel_Veh[[#This Row],[Month]], dropdown!$S$4:$T$15, 2, FALSE),"")</f>
        <v>Q2</v>
      </c>
      <c r="N16" s="29">
        <v>0</v>
      </c>
      <c r="O16" s="17" t="str">
        <f>IF($K16="","",VLOOKUP($K16,dropdown!$P$14:$Q$18,2,FALSE))</f>
        <v>Liters</v>
      </c>
      <c r="P16" s="29">
        <v>78</v>
      </c>
      <c r="Q16" s="17" t="str">
        <f t="shared" si="0"/>
        <v>Kilometers</v>
      </c>
      <c r="R16" s="195"/>
    </row>
    <row r="17" spans="2:18" x14ac:dyDescent="0.2">
      <c r="B17" s="17" t="s">
        <v>177</v>
      </c>
      <c r="I17" s="194">
        <f t="shared" si="1"/>
        <v>11</v>
      </c>
      <c r="J17" s="57" t="s">
        <v>381</v>
      </c>
      <c r="K17" s="57" t="s">
        <v>63</v>
      </c>
      <c r="L17" s="58" t="s">
        <v>379</v>
      </c>
      <c r="M17" s="18" t="str">
        <f>IF(Fuel_Veh[[#This Row],[Month]]&lt;&gt;"",VLOOKUP(Fuel_Veh[[#This Row],[Month]], dropdown!$S$4:$T$15, 2, FALSE),"")</f>
        <v>Q2</v>
      </c>
      <c r="N17" s="29">
        <v>191</v>
      </c>
      <c r="O17" s="17" t="str">
        <f>IF($K17="","",VLOOKUP($K17,dropdown!$P$14:$Q$18,2,FALSE))</f>
        <v>Liters</v>
      </c>
      <c r="P17" s="29">
        <v>2196</v>
      </c>
      <c r="Q17" s="17" t="str">
        <f t="shared" si="0"/>
        <v>Kilometers</v>
      </c>
      <c r="R17" s="195"/>
    </row>
    <row r="18" spans="2:18" x14ac:dyDescent="0.2">
      <c r="I18" s="194">
        <f t="shared" si="1"/>
        <v>12</v>
      </c>
      <c r="J18" s="57" t="s">
        <v>343</v>
      </c>
      <c r="K18" s="57" t="s">
        <v>63</v>
      </c>
      <c r="L18" s="58" t="s">
        <v>379</v>
      </c>
      <c r="M18" s="18" t="str">
        <f>IF(Fuel_Veh[[#This Row],[Month]]&lt;&gt;"",VLOOKUP(Fuel_Veh[[#This Row],[Month]], dropdown!$S$4:$T$15, 2, FALSE),"")</f>
        <v>Q2</v>
      </c>
      <c r="N18" s="29">
        <v>0</v>
      </c>
      <c r="O18" s="17" t="str">
        <f>IF($K18="","",VLOOKUP($K18,dropdown!$P$14:$Q$18,2,FALSE))</f>
        <v>Liters</v>
      </c>
      <c r="P18" s="29">
        <v>52</v>
      </c>
      <c r="Q18" s="17" t="str">
        <f t="shared" si="0"/>
        <v>Kilometers</v>
      </c>
      <c r="R18" s="195"/>
    </row>
    <row r="19" spans="2:18" x14ac:dyDescent="0.2">
      <c r="I19" s="194">
        <f t="shared" si="1"/>
        <v>13</v>
      </c>
      <c r="J19" s="57" t="s">
        <v>365</v>
      </c>
      <c r="K19" s="57" t="s">
        <v>63</v>
      </c>
      <c r="L19" s="58" t="s">
        <v>386</v>
      </c>
      <c r="M19" s="18" t="str">
        <f>IF(Fuel_Veh[[#This Row],[Month]]&lt;&gt;"",VLOOKUP(Fuel_Veh[[#This Row],[Month]], dropdown!$S$4:$T$15, 2, FALSE),"")</f>
        <v>Q2</v>
      </c>
      <c r="N19" s="29">
        <v>105</v>
      </c>
      <c r="O19" s="17" t="str">
        <f>IF($K19="","",VLOOKUP($K19,dropdown!$P$14:$Q$18,2,FALSE))</f>
        <v>Liters</v>
      </c>
      <c r="P19" s="29">
        <v>942</v>
      </c>
      <c r="Q19" s="17" t="str">
        <f t="shared" si="0"/>
        <v>Kilometers</v>
      </c>
      <c r="R19" s="195"/>
    </row>
    <row r="20" spans="2:18" x14ac:dyDescent="0.2">
      <c r="I20" s="194">
        <f t="shared" si="1"/>
        <v>14</v>
      </c>
      <c r="J20" s="57" t="s">
        <v>381</v>
      </c>
      <c r="K20" s="57" t="s">
        <v>63</v>
      </c>
      <c r="L20" s="58" t="s">
        <v>386</v>
      </c>
      <c r="M20" s="18" t="str">
        <f>IF(Fuel_Veh[[#This Row],[Month]]&lt;&gt;"",VLOOKUP(Fuel_Veh[[#This Row],[Month]], dropdown!$S$4:$T$15, 2, FALSE),"")</f>
        <v>Q2</v>
      </c>
      <c r="N20" s="29">
        <v>156</v>
      </c>
      <c r="O20" s="17" t="str">
        <f>IF($K20="","",VLOOKUP($K20,dropdown!$P$14:$Q$18,2,FALSE))</f>
        <v>Liters</v>
      </c>
      <c r="P20" s="29">
        <v>1413</v>
      </c>
      <c r="Q20" s="17" t="str">
        <f t="shared" si="0"/>
        <v>Kilometers</v>
      </c>
      <c r="R20" s="195"/>
    </row>
    <row r="21" spans="2:18" x14ac:dyDescent="0.2">
      <c r="I21" s="194">
        <f t="shared" si="1"/>
        <v>15</v>
      </c>
      <c r="J21" s="57" t="s">
        <v>343</v>
      </c>
      <c r="K21" s="57" t="s">
        <v>63</v>
      </c>
      <c r="L21" s="58" t="s">
        <v>386</v>
      </c>
      <c r="M21" s="18" t="str">
        <f>IF(Fuel_Veh[[#This Row],[Month]]&lt;&gt;"",VLOOKUP(Fuel_Veh[[#This Row],[Month]], dropdown!$S$4:$T$15, 2, FALSE),"")</f>
        <v>Q2</v>
      </c>
      <c r="N21" s="29">
        <v>0</v>
      </c>
      <c r="O21" s="17" t="str">
        <f>IF($K21="","",VLOOKUP($K21,dropdown!$P$14:$Q$18,2,FALSE))</f>
        <v>Liters</v>
      </c>
      <c r="P21" s="29">
        <v>8</v>
      </c>
      <c r="Q21" s="17" t="str">
        <f t="shared" si="0"/>
        <v>Kilometers</v>
      </c>
      <c r="R21" s="195"/>
    </row>
    <row r="22" spans="2:18" x14ac:dyDescent="0.2">
      <c r="I22" s="194">
        <f t="shared" si="1"/>
        <v>16</v>
      </c>
      <c r="J22" s="57" t="s">
        <v>365</v>
      </c>
      <c r="K22" s="57" t="s">
        <v>63</v>
      </c>
      <c r="L22" s="58" t="s">
        <v>390</v>
      </c>
      <c r="M22" s="18" t="str">
        <f>IF(Fuel_Veh[[#This Row],[Month]]&lt;&gt;"",VLOOKUP(Fuel_Veh[[#This Row],[Month]], dropdown!$S$4:$T$15, 2, FALSE),"")</f>
        <v>Q3</v>
      </c>
      <c r="N22" s="29">
        <v>51</v>
      </c>
      <c r="O22" s="17" t="str">
        <f>IF($K22="","",VLOOKUP($K22,dropdown!$P$14:$Q$18,2,FALSE))</f>
        <v>Liters</v>
      </c>
      <c r="P22" s="29">
        <v>431</v>
      </c>
      <c r="Q22" s="17" t="str">
        <f t="shared" si="0"/>
        <v>Kilometers</v>
      </c>
      <c r="R22" s="195"/>
    </row>
    <row r="23" spans="2:18" x14ac:dyDescent="0.2">
      <c r="I23" s="194">
        <f t="shared" si="1"/>
        <v>17</v>
      </c>
      <c r="J23" s="57" t="s">
        <v>381</v>
      </c>
      <c r="K23" s="57" t="s">
        <v>63</v>
      </c>
      <c r="L23" s="58" t="s">
        <v>390</v>
      </c>
      <c r="M23" s="18" t="str">
        <f>IF(Fuel_Veh[[#This Row],[Month]]&lt;&gt;"",VLOOKUP(Fuel_Veh[[#This Row],[Month]], dropdown!$S$4:$T$15, 2, FALSE),"")</f>
        <v>Q3</v>
      </c>
      <c r="N23" s="29">
        <v>119</v>
      </c>
      <c r="O23" s="17" t="str">
        <f>IF($K23="","",VLOOKUP($K23,dropdown!$P$14:$Q$18,2,FALSE))</f>
        <v>Liters</v>
      </c>
      <c r="P23" s="29">
        <v>1227</v>
      </c>
      <c r="Q23" s="17" t="str">
        <f t="shared" si="0"/>
        <v>Kilometers</v>
      </c>
      <c r="R23" s="195"/>
    </row>
    <row r="24" spans="2:18" x14ac:dyDescent="0.2">
      <c r="I24" s="194">
        <f t="shared" si="1"/>
        <v>18</v>
      </c>
      <c r="J24" s="57" t="s">
        <v>365</v>
      </c>
      <c r="K24" s="57" t="s">
        <v>63</v>
      </c>
      <c r="L24" s="58" t="s">
        <v>41</v>
      </c>
      <c r="M24" s="18" t="str">
        <f>IF(Fuel_Veh[[#This Row],[Month]]&lt;&gt;"",VLOOKUP(Fuel_Veh[[#This Row],[Month]], dropdown!$S$4:$T$15, 2, FALSE),"")</f>
        <v>Q3</v>
      </c>
      <c r="N24" s="29">
        <v>118</v>
      </c>
      <c r="O24" s="17" t="str">
        <f>IF($K24="","",VLOOKUP($K24,dropdown!$P$14:$Q$18,2,FALSE))</f>
        <v>Liters</v>
      </c>
      <c r="P24" s="29">
        <v>1110</v>
      </c>
      <c r="Q24" s="17" t="str">
        <f t="shared" si="0"/>
        <v>Kilometers</v>
      </c>
      <c r="R24" s="195"/>
    </row>
    <row r="25" spans="2:18" x14ac:dyDescent="0.2">
      <c r="I25" s="194">
        <f t="shared" si="1"/>
        <v>19</v>
      </c>
      <c r="J25" s="57" t="s">
        <v>381</v>
      </c>
      <c r="K25" s="57" t="s">
        <v>63</v>
      </c>
      <c r="L25" s="58" t="s">
        <v>41</v>
      </c>
      <c r="M25" s="18" t="str">
        <f>IF(Fuel_Veh[[#This Row],[Month]]&lt;&gt;"",VLOOKUP(Fuel_Veh[[#This Row],[Month]], dropdown!$S$4:$T$15, 2, FALSE),"")</f>
        <v>Q3</v>
      </c>
      <c r="N25" s="29">
        <v>249</v>
      </c>
      <c r="O25" s="17" t="str">
        <f>IF($K25="","",VLOOKUP($K25,dropdown!$P$14:$Q$18,2,FALSE))</f>
        <v>Liters</v>
      </c>
      <c r="P25" s="29">
        <v>2418</v>
      </c>
      <c r="Q25" s="17" t="str">
        <f t="shared" si="0"/>
        <v>Kilometers</v>
      </c>
      <c r="R25" s="195"/>
    </row>
    <row r="26" spans="2:18" x14ac:dyDescent="0.2">
      <c r="I26" s="194">
        <f t="shared" si="1"/>
        <v>20</v>
      </c>
      <c r="J26" s="57" t="s">
        <v>343</v>
      </c>
      <c r="K26" s="57" t="s">
        <v>63</v>
      </c>
      <c r="L26" s="196" t="s">
        <v>41</v>
      </c>
      <c r="M26" s="18" t="str">
        <f>IF(Fuel_Veh[[#This Row],[Month]]&lt;&gt;"",VLOOKUP(Fuel_Veh[[#This Row],[Month]], dropdown!$S$4:$T$15, 2, FALSE),"")</f>
        <v>Q3</v>
      </c>
      <c r="N26" s="197">
        <v>0</v>
      </c>
      <c r="O26" s="198" t="str">
        <f>IF($K26="","",VLOOKUP($K26,dropdown!$P$14:$Q$18,2,FALSE))</f>
        <v>Liters</v>
      </c>
      <c r="P26" s="197">
        <v>56</v>
      </c>
      <c r="Q26" s="17" t="str">
        <f t="shared" si="0"/>
        <v>Kilometers</v>
      </c>
      <c r="R26" s="199"/>
    </row>
    <row r="27" spans="2:18" x14ac:dyDescent="0.2">
      <c r="I27" s="194">
        <f t="shared" si="1"/>
        <v>21</v>
      </c>
      <c r="J27" s="57" t="s">
        <v>365</v>
      </c>
      <c r="K27" s="57" t="s">
        <v>63</v>
      </c>
      <c r="L27" s="58" t="s">
        <v>397</v>
      </c>
      <c r="M27" s="18" t="str">
        <f>IF(Fuel_Veh[[#This Row],[Month]]&lt;&gt;"",VLOOKUP(Fuel_Veh[[#This Row],[Month]], dropdown!$S$4:$T$15, 2, FALSE),"")</f>
        <v>Q3</v>
      </c>
      <c r="N27" s="29">
        <v>88</v>
      </c>
      <c r="O27" s="17" t="str">
        <f>IF($K27="","",VLOOKUP($K27,dropdown!$P$14:$Q$18,2,FALSE))</f>
        <v>Liters</v>
      </c>
      <c r="P27" s="29">
        <v>998</v>
      </c>
      <c r="Q27" s="17" t="str">
        <f t="shared" si="0"/>
        <v>Kilometers</v>
      </c>
      <c r="R27" s="195"/>
    </row>
    <row r="28" spans="2:18" x14ac:dyDescent="0.2">
      <c r="I28" s="194">
        <f t="shared" si="1"/>
        <v>22</v>
      </c>
      <c r="J28" s="57" t="s">
        <v>381</v>
      </c>
      <c r="K28" s="57" t="s">
        <v>63</v>
      </c>
      <c r="L28" s="58" t="s">
        <v>397</v>
      </c>
      <c r="M28" s="18" t="str">
        <f>IF(Fuel_Veh[[#This Row],[Month]]&lt;&gt;"",VLOOKUP(Fuel_Veh[[#This Row],[Month]], dropdown!$S$4:$T$15, 2, FALSE),"")</f>
        <v>Q3</v>
      </c>
      <c r="N28" s="29">
        <v>84</v>
      </c>
      <c r="O28" s="17" t="str">
        <f>IF($K28="","",VLOOKUP($K28,dropdown!$P$14:$Q$18,2,FALSE))</f>
        <v>Liters</v>
      </c>
      <c r="P28" s="29">
        <v>726</v>
      </c>
      <c r="Q28" s="17" t="str">
        <f t="shared" si="0"/>
        <v>Kilometers</v>
      </c>
      <c r="R28" s="195"/>
    </row>
    <row r="29" spans="2:18" x14ac:dyDescent="0.2">
      <c r="I29" s="194">
        <f t="shared" si="1"/>
        <v>23</v>
      </c>
      <c r="J29" s="57" t="s">
        <v>365</v>
      </c>
      <c r="K29" s="57" t="s">
        <v>63</v>
      </c>
      <c r="L29" s="58" t="s">
        <v>400</v>
      </c>
      <c r="M29" s="18" t="str">
        <f>IF(Fuel_Veh[[#This Row],[Month]]&lt;&gt;"",VLOOKUP(Fuel_Veh[[#This Row],[Month]], dropdown!$S$4:$T$15, 2, FALSE),"")</f>
        <v>Q4</v>
      </c>
      <c r="N29" s="29">
        <v>138</v>
      </c>
      <c r="O29" s="17" t="str">
        <f>IF($K29="","",VLOOKUP($K29,dropdown!$P$14:$Q$18,2,FALSE))</f>
        <v>Liters</v>
      </c>
      <c r="P29" s="29">
        <v>1851</v>
      </c>
      <c r="Q29" s="17" t="str">
        <f t="shared" si="0"/>
        <v>Kilometers</v>
      </c>
      <c r="R29" s="195"/>
    </row>
    <row r="30" spans="2:18" x14ac:dyDescent="0.2">
      <c r="I30" s="194">
        <f t="shared" si="1"/>
        <v>24</v>
      </c>
      <c r="J30" s="57" t="s">
        <v>381</v>
      </c>
      <c r="K30" s="345" t="s">
        <v>63</v>
      </c>
      <c r="L30" s="196" t="s">
        <v>400</v>
      </c>
      <c r="M30" s="18" t="str">
        <f>IF(Fuel_Veh[[#This Row],[Month]]&lt;&gt;"",VLOOKUP(Fuel_Veh[[#This Row],[Month]], dropdown!$S$4:$T$15, 2, FALSE),"")</f>
        <v>Q4</v>
      </c>
      <c r="N30" s="197">
        <v>116</v>
      </c>
      <c r="O30" s="198" t="str">
        <f>IF($K30="","",VLOOKUP($K30,dropdown!$P$14:$Q$18,2,FALSE))</f>
        <v>Liters</v>
      </c>
      <c r="P30" s="197">
        <v>1179</v>
      </c>
      <c r="Q30" s="17" t="str">
        <f t="shared" si="0"/>
        <v>Kilometers</v>
      </c>
      <c r="R30" s="199"/>
    </row>
    <row r="31" spans="2:18" x14ac:dyDescent="0.2">
      <c r="I31" s="194">
        <f t="shared" si="1"/>
        <v>25</v>
      </c>
      <c r="J31" s="57" t="s">
        <v>343</v>
      </c>
      <c r="K31" s="57" t="s">
        <v>63</v>
      </c>
      <c r="L31" s="58" t="s">
        <v>400</v>
      </c>
      <c r="M31" s="18" t="str">
        <f>IF(Fuel_Veh[[#This Row],[Month]]&lt;&gt;"",VLOOKUP(Fuel_Veh[[#This Row],[Month]], dropdown!$S$4:$T$15, 2, FALSE),"")</f>
        <v>Q4</v>
      </c>
      <c r="N31" s="29">
        <v>0</v>
      </c>
      <c r="O31" s="17" t="str">
        <f>IF($K31="","",VLOOKUP($K31,dropdown!$P$14:$Q$18,2,FALSE))</f>
        <v>Liters</v>
      </c>
      <c r="P31" s="29">
        <v>13</v>
      </c>
      <c r="Q31" s="17" t="str">
        <f t="shared" si="0"/>
        <v>Kilometers</v>
      </c>
      <c r="R31" s="199"/>
    </row>
    <row r="32" spans="2:18" x14ac:dyDescent="0.2">
      <c r="I32" s="194">
        <f t="shared" si="1"/>
        <v>26</v>
      </c>
      <c r="J32" s="57" t="s">
        <v>365</v>
      </c>
      <c r="K32" s="57" t="s">
        <v>63</v>
      </c>
      <c r="L32" s="58" t="s">
        <v>404</v>
      </c>
      <c r="M32" s="18" t="str">
        <f>IF(Fuel_Veh[[#This Row],[Month]]&lt;&gt;"",VLOOKUP(Fuel_Veh[[#This Row],[Month]], dropdown!$S$4:$T$15, 2, FALSE),"")</f>
        <v>Q4</v>
      </c>
      <c r="N32" s="29">
        <v>165</v>
      </c>
      <c r="O32" s="17" t="str">
        <f>IF($K32="","",VLOOKUP($K32,dropdown!$P$14:$Q$18,2,FALSE))</f>
        <v>Liters</v>
      </c>
      <c r="P32" s="29">
        <v>1965</v>
      </c>
      <c r="Q32" s="17" t="str">
        <f t="shared" si="0"/>
        <v>Kilometers</v>
      </c>
      <c r="R32" s="199"/>
    </row>
    <row r="33" spans="9:18" x14ac:dyDescent="0.2">
      <c r="I33" s="194">
        <f t="shared" si="1"/>
        <v>27</v>
      </c>
      <c r="J33" s="57" t="s">
        <v>381</v>
      </c>
      <c r="K33" s="57" t="s">
        <v>63</v>
      </c>
      <c r="L33" s="58" t="s">
        <v>404</v>
      </c>
      <c r="M33" s="18" t="str">
        <f>IF(Fuel_Veh[[#This Row],[Month]]&lt;&gt;"",VLOOKUP(Fuel_Veh[[#This Row],[Month]], dropdown!$S$4:$T$15, 2, FALSE),"")</f>
        <v>Q4</v>
      </c>
      <c r="N33" s="29">
        <v>186</v>
      </c>
      <c r="O33" s="17" t="str">
        <f>IF($K33="","",VLOOKUP($K33,dropdown!$P$14:$Q$18,2,FALSE))</f>
        <v>Liters</v>
      </c>
      <c r="P33" s="29">
        <v>1508</v>
      </c>
      <c r="Q33" s="17" t="str">
        <f t="shared" si="0"/>
        <v>Kilometers</v>
      </c>
      <c r="R33" s="199"/>
    </row>
    <row r="34" spans="9:18" x14ac:dyDescent="0.2">
      <c r="I34" s="194">
        <f t="shared" si="1"/>
        <v>28</v>
      </c>
      <c r="J34" s="57" t="s">
        <v>343</v>
      </c>
      <c r="K34" s="57" t="s">
        <v>63</v>
      </c>
      <c r="L34" s="58" t="s">
        <v>404</v>
      </c>
      <c r="M34" s="18" t="str">
        <f>IF(Fuel_Veh[[#This Row],[Month]]&lt;&gt;"",VLOOKUP(Fuel_Veh[[#This Row],[Month]], dropdown!$S$4:$T$15, 2, FALSE),"")</f>
        <v>Q4</v>
      </c>
      <c r="N34" s="29">
        <v>157</v>
      </c>
      <c r="O34" s="17" t="str">
        <f>IF($K34="","",VLOOKUP($K34,dropdown!$P$14:$Q$18,2,FALSE))</f>
        <v>Liters</v>
      </c>
      <c r="P34" s="29">
        <v>650</v>
      </c>
      <c r="Q34" s="17" t="str">
        <f t="shared" si="0"/>
        <v>Kilometers</v>
      </c>
      <c r="R34" s="199"/>
    </row>
    <row r="35" spans="9:18" x14ac:dyDescent="0.2">
      <c r="I35" s="194">
        <f t="shared" si="1"/>
        <v>29</v>
      </c>
      <c r="J35" s="57" t="s">
        <v>365</v>
      </c>
      <c r="K35" s="57" t="s">
        <v>63</v>
      </c>
      <c r="L35" s="58" t="s">
        <v>407</v>
      </c>
      <c r="M35" s="18" t="str">
        <f>IF(Fuel_Veh[[#This Row],[Month]]&lt;&gt;"",VLOOKUP(Fuel_Veh[[#This Row],[Month]], dropdown!$S$4:$T$15, 2, FALSE),"")</f>
        <v>Q4</v>
      </c>
      <c r="N35" s="29">
        <v>112</v>
      </c>
      <c r="O35" s="17" t="str">
        <f>IF($K35="","",VLOOKUP($K35,dropdown!$P$14:$Q$18,2,FALSE))</f>
        <v>Liters</v>
      </c>
      <c r="P35" s="29">
        <v>1553</v>
      </c>
      <c r="Q35" s="17" t="str">
        <f t="shared" si="0"/>
        <v>Kilometers</v>
      </c>
      <c r="R35" s="199"/>
    </row>
    <row r="36" spans="9:18" x14ac:dyDescent="0.2">
      <c r="I36" s="194">
        <f t="shared" si="1"/>
        <v>30</v>
      </c>
      <c r="J36" s="57" t="s">
        <v>381</v>
      </c>
      <c r="K36" s="57" t="s">
        <v>63</v>
      </c>
      <c r="L36" s="58" t="s">
        <v>407</v>
      </c>
      <c r="M36" s="18" t="str">
        <f>IF(Fuel_Veh[[#This Row],[Month]]&lt;&gt;"",VLOOKUP(Fuel_Veh[[#This Row],[Month]], dropdown!$S$4:$T$15, 2, FALSE),"")</f>
        <v>Q4</v>
      </c>
      <c r="N36" s="29">
        <v>186</v>
      </c>
      <c r="O36" s="17" t="str">
        <f>IF($K36="","",VLOOKUP($K36,dropdown!$P$14:$Q$18,2,FALSE))</f>
        <v>Liters</v>
      </c>
      <c r="P36" s="29">
        <v>1909</v>
      </c>
      <c r="Q36" s="17" t="str">
        <f t="shared" si="0"/>
        <v>Kilometers</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Q9" sqref="Q9"/>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La Union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49" t="s">
        <v>183</v>
      </c>
      <c r="P7" s="449"/>
      <c r="Q7" s="450" t="s">
        <v>184</v>
      </c>
      <c r="R7" s="451"/>
      <c r="S7" s="452" t="s">
        <v>86</v>
      </c>
      <c r="T7" s="453"/>
      <c r="U7" s="453"/>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1444</v>
      </c>
      <c r="K9" s="391" t="s">
        <v>200</v>
      </c>
      <c r="L9" s="392">
        <v>21</v>
      </c>
      <c r="M9" s="393" t="s">
        <v>380</v>
      </c>
      <c r="N9" s="419" t="s">
        <v>352</v>
      </c>
      <c r="O9" s="397"/>
      <c r="P9" s="398"/>
      <c r="Q9" s="397" t="s">
        <v>386</v>
      </c>
      <c r="R9" s="399">
        <f>11.3*2</f>
        <v>22.6</v>
      </c>
      <c r="S9" s="397"/>
      <c r="T9" s="399"/>
      <c r="U9" s="399"/>
      <c r="V9" s="430" t="str">
        <f>IFERROR(VLOOKUP($O9, dropdown!$S$4:$T$15, 2, FALSE),
 IFERROR(VLOOKUP($Q9, dropdown!$S$4:$T$15, 2, FALSE),
 IFERROR(VLOOKUP($S9, dropdown!$S$4:$T$15, 2, FALSE),
 "")))</f>
        <v>Q2</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21</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x</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5" t="s">
        <v>192</v>
      </c>
      <c r="C22" s="457" t="s">
        <v>5</v>
      </c>
      <c r="D22" s="458"/>
      <c r="E22" s="457" t="s">
        <v>193</v>
      </c>
      <c r="F22" s="459"/>
      <c r="G22" s="459"/>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6"/>
      <c r="C23" s="457"/>
      <c r="D23" s="458"/>
      <c r="E23" s="457"/>
      <c r="F23" s="459"/>
      <c r="G23" s="459"/>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194</v>
      </c>
      <c r="C24" s="454" t="s">
        <v>195</v>
      </c>
      <c r="D24" s="454"/>
      <c r="E24" s="454" t="s">
        <v>196</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197</v>
      </c>
      <c r="C26" s="454" t="s">
        <v>198</v>
      </c>
      <c r="D26" s="454"/>
      <c r="E26" s="454" t="s">
        <v>199</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200</v>
      </c>
      <c r="C28" s="454" t="s">
        <v>201</v>
      </c>
      <c r="D28" s="454"/>
      <c r="E28" s="454" t="s">
        <v>202</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203</v>
      </c>
      <c r="C30" s="454" t="s">
        <v>204</v>
      </c>
      <c r="D30" s="454"/>
      <c r="E30" s="454" t="s">
        <v>205</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Q32" sqref="Q3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La Union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c r="D6" s="447"/>
      <c r="E6" s="447"/>
      <c r="F6" s="447"/>
      <c r="G6" s="448"/>
    </row>
    <row r="7" spans="2:17" ht="12.75" customHeight="1" x14ac:dyDescent="0.2">
      <c r="B7" s="278" t="s">
        <v>174</v>
      </c>
      <c r="C7" s="446"/>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53193</v>
      </c>
      <c r="M8" s="47">
        <v>499568.42</v>
      </c>
      <c r="N8" s="165" t="s">
        <v>492</v>
      </c>
      <c r="O8" s="373" t="s">
        <v>1431</v>
      </c>
      <c r="P8" s="48"/>
      <c r="Q8" s="20"/>
    </row>
    <row r="9" spans="2:17" x14ac:dyDescent="0.2">
      <c r="I9" s="194"/>
      <c r="J9" s="58" t="s">
        <v>89</v>
      </c>
      <c r="K9" s="426" t="str">
        <f>IF(Electricity[[#This Row],[Month]]&lt;&gt;"",VLOOKUP(Electricity[[#This Row],[Month]], dropdown!$S$4:$T$15, 2, FALSE),"")</f>
        <v>Q1</v>
      </c>
      <c r="L9" s="29">
        <v>54348</v>
      </c>
      <c r="M9" s="47">
        <v>487907.62</v>
      </c>
      <c r="N9" s="165" t="s">
        <v>492</v>
      </c>
      <c r="O9" s="373" t="s">
        <v>1432</v>
      </c>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52941</v>
      </c>
      <c r="M10" s="47">
        <v>516039.86</v>
      </c>
      <c r="N10" s="165" t="s">
        <v>492</v>
      </c>
      <c r="O10" s="373" t="s">
        <v>1433</v>
      </c>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51450</v>
      </c>
      <c r="M11" s="47">
        <v>473255.4</v>
      </c>
      <c r="N11" s="165" t="s">
        <v>492</v>
      </c>
      <c r="O11" s="373" t="s">
        <v>1434</v>
      </c>
      <c r="P11" s="48"/>
      <c r="Q11" s="20"/>
    </row>
    <row r="12" spans="2:17" x14ac:dyDescent="0.2">
      <c r="B12" s="17" t="s">
        <v>207</v>
      </c>
      <c r="C12" s="17" t="s">
        <v>208</v>
      </c>
      <c r="D12" s="41">
        <f>SUMIFS(Electricity[Consumption (kWh)],Electricity[Quarter],D$11)</f>
        <v>160482</v>
      </c>
      <c r="E12" s="41">
        <f>SUMIFS(Electricity[Consumption (kWh)],Electricity[Quarter],E$11)</f>
        <v>180054</v>
      </c>
      <c r="F12" s="41">
        <f>SUMIFS(Electricity[Consumption (kWh)],Electricity[Quarter],F$11)</f>
        <v>173208</v>
      </c>
      <c r="G12" s="41">
        <f>SUMIFS(Electricity[Consumption (kWh)],Electricity[Quarter],G$11)</f>
        <v>165459</v>
      </c>
      <c r="I12" s="194"/>
      <c r="J12" s="58" t="s">
        <v>379</v>
      </c>
      <c r="K12" s="426" t="str">
        <f>IF(Electricity[[#This Row],[Month]]&lt;&gt;"",VLOOKUP(Electricity[[#This Row],[Month]], dropdown!$S$4:$T$15, 2, FALSE),"")</f>
        <v>Q2</v>
      </c>
      <c r="L12" s="29">
        <v>65373</v>
      </c>
      <c r="M12" s="47">
        <v>576266.44999999995</v>
      </c>
      <c r="N12" s="165" t="s">
        <v>492</v>
      </c>
      <c r="O12" s="373" t="s">
        <v>1435</v>
      </c>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63231</v>
      </c>
      <c r="M13" s="47">
        <v>593242.32999999996</v>
      </c>
      <c r="N13" s="165" t="s">
        <v>492</v>
      </c>
      <c r="O13" s="373" t="s">
        <v>1436</v>
      </c>
      <c r="P13" s="48"/>
      <c r="Q13" s="20"/>
    </row>
    <row r="14" spans="2:17" x14ac:dyDescent="0.2">
      <c r="B14" s="119" t="s">
        <v>38</v>
      </c>
      <c r="D14" s="168"/>
      <c r="I14" s="194"/>
      <c r="J14" s="58" t="s">
        <v>390</v>
      </c>
      <c r="K14" s="426" t="str">
        <f>IF(Electricity[[#This Row],[Month]]&lt;&gt;"",VLOOKUP(Electricity[[#This Row],[Month]], dropdown!$S$4:$T$15, 2, FALSE),"")</f>
        <v>Q3</v>
      </c>
      <c r="L14" s="29">
        <v>56364</v>
      </c>
      <c r="M14" s="47">
        <v>514069.88</v>
      </c>
      <c r="N14" s="165" t="s">
        <v>492</v>
      </c>
      <c r="O14" s="373" t="s">
        <v>1437</v>
      </c>
      <c r="P14" s="48"/>
      <c r="Q14" s="20"/>
    </row>
    <row r="15" spans="2:17" x14ac:dyDescent="0.2">
      <c r="B15" s="120" t="s">
        <v>175</v>
      </c>
      <c r="D15" s="168"/>
      <c r="I15" s="194"/>
      <c r="J15" s="58" t="s">
        <v>41</v>
      </c>
      <c r="K15" s="426" t="str">
        <f>IF(Electricity[[#This Row],[Month]]&lt;&gt;"",VLOOKUP(Electricity[[#This Row],[Month]], dropdown!$S$4:$T$15, 2, FALSE),"")</f>
        <v>Q3</v>
      </c>
      <c r="L15" s="29">
        <v>59808</v>
      </c>
      <c r="M15" s="47">
        <v>528944.31000000006</v>
      </c>
      <c r="N15" s="165" t="s">
        <v>492</v>
      </c>
      <c r="O15" s="373" t="s">
        <v>1438</v>
      </c>
      <c r="P15" s="48"/>
      <c r="Q15" s="20"/>
    </row>
    <row r="16" spans="2:17" x14ac:dyDescent="0.2">
      <c r="B16" s="121" t="s">
        <v>176</v>
      </c>
      <c r="I16" s="194"/>
      <c r="J16" s="58" t="s">
        <v>397</v>
      </c>
      <c r="K16" s="426" t="str">
        <f>IF(Electricity[[#This Row],[Month]]&lt;&gt;"",VLOOKUP(Electricity[[#This Row],[Month]], dropdown!$S$4:$T$15, 2, FALSE),"")</f>
        <v>Q3</v>
      </c>
      <c r="L16" s="29">
        <v>57036</v>
      </c>
      <c r="M16" s="47">
        <v>590217.78</v>
      </c>
      <c r="N16" s="165" t="s">
        <v>492</v>
      </c>
      <c r="O16" s="373" t="s">
        <v>1439</v>
      </c>
      <c r="P16" s="48"/>
      <c r="Q16" s="20"/>
    </row>
    <row r="17" spans="2:17" x14ac:dyDescent="0.2">
      <c r="B17" s="122" t="s">
        <v>177</v>
      </c>
      <c r="I17" s="194"/>
      <c r="J17" s="58" t="s">
        <v>400</v>
      </c>
      <c r="K17" s="426" t="str">
        <f>IF(Electricity[[#This Row],[Month]]&lt;&gt;"",VLOOKUP(Electricity[[#This Row],[Month]], dropdown!$S$4:$T$15, 2, FALSE),"")</f>
        <v>Q4</v>
      </c>
      <c r="L17" s="29">
        <v>54411</v>
      </c>
      <c r="M17" s="47">
        <v>522845.16</v>
      </c>
      <c r="N17" s="165" t="s">
        <v>492</v>
      </c>
      <c r="O17" s="373" t="s">
        <v>1440</v>
      </c>
      <c r="P17" s="48"/>
      <c r="Q17" s="20"/>
    </row>
    <row r="18" spans="2:17" x14ac:dyDescent="0.2">
      <c r="I18" s="194">
        <f t="shared" ref="I18:I49" si="0">IF($L18="","",$I17+1)</f>
        <v>1</v>
      </c>
      <c r="J18" s="58" t="s">
        <v>404</v>
      </c>
      <c r="K18" s="426" t="str">
        <f>IF(Electricity[[#This Row],[Month]]&lt;&gt;"",VLOOKUP(Electricity[[#This Row],[Month]], dropdown!$S$4:$T$15, 2, FALSE),"")</f>
        <v>Q4</v>
      </c>
      <c r="L18" s="29">
        <v>55587</v>
      </c>
      <c r="M18" s="47">
        <v>768256.79</v>
      </c>
      <c r="N18" s="165" t="s">
        <v>492</v>
      </c>
      <c r="O18" s="373" t="s">
        <v>1441</v>
      </c>
      <c r="P18" s="48"/>
      <c r="Q18" s="20"/>
    </row>
    <row r="19" spans="2:17" x14ac:dyDescent="0.2">
      <c r="I19" s="194">
        <f t="shared" si="0"/>
        <v>2</v>
      </c>
      <c r="J19" s="58" t="s">
        <v>407</v>
      </c>
      <c r="K19" s="426" t="str">
        <f>IF(Electricity[[#This Row],[Month]]&lt;&gt;"",VLOOKUP(Electricity[[#This Row],[Month]], dropdown!$S$4:$T$15, 2, FALSE),"")</f>
        <v>Q4</v>
      </c>
      <c r="L19" s="29">
        <v>55461</v>
      </c>
      <c r="M19" s="47">
        <v>735162.05</v>
      </c>
      <c r="N19" s="165" t="s">
        <v>492</v>
      </c>
      <c r="O19" s="373" t="s">
        <v>1442</v>
      </c>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La Union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T14" sqref="T14"/>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La Union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0</v>
      </c>
      <c r="N8" s="195"/>
      <c r="O8" s="44"/>
      <c r="P8" s="194">
        <f>IF($T8="","",1)</f>
        <v>1</v>
      </c>
      <c r="Q8" s="58" t="s">
        <v>338</v>
      </c>
      <c r="R8" s="18" t="str">
        <f>IF(water_out[[#This Row],[Month]]&lt;&gt;"",VLOOKUP(water_out[[#This Row],[Month]], dropdown!$S$4:$T$15, 2, FALSE),"")</f>
        <v>Q1</v>
      </c>
      <c r="S8" s="60" t="s">
        <v>133</v>
      </c>
      <c r="T8" s="29">
        <f>31*1.9</f>
        <v>58.9</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300</v>
      </c>
      <c r="N9" s="195"/>
      <c r="O9" s="44"/>
      <c r="P9" s="194">
        <f>IF($T9="","",$P8+1)</f>
        <v>2</v>
      </c>
      <c r="Q9" s="58" t="s">
        <v>89</v>
      </c>
      <c r="R9" s="18" t="str">
        <f>IF(water_out[[#This Row],[Month]]&lt;&gt;"",VLOOKUP(water_out[[#This Row],[Month]], dropdown!$S$4:$T$15, 2, FALSE),"")</f>
        <v>Q1</v>
      </c>
      <c r="S9" s="60" t="s">
        <v>133</v>
      </c>
      <c r="T9" s="29">
        <f>29*1.9</f>
        <v>55.099999999999994</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100</v>
      </c>
      <c r="N10" s="195"/>
      <c r="O10" s="44"/>
      <c r="P10" s="194">
        <f t="shared" ref="P10:P73" si="1">IF($T10="","",$P9+1)</f>
        <v>3</v>
      </c>
      <c r="Q10" s="58" t="s">
        <v>362</v>
      </c>
      <c r="R10" s="18" t="str">
        <f>IF(water_out[[#This Row],[Month]]&lt;&gt;"",VLOOKUP(water_out[[#This Row],[Month]], dropdown!$S$4:$T$15, 2, FALSE),"")</f>
        <v>Q1</v>
      </c>
      <c r="S10" s="60" t="s">
        <v>133</v>
      </c>
      <c r="T10" s="29">
        <f>31*1.9</f>
        <v>58.9</v>
      </c>
      <c r="U10" s="195"/>
      <c r="W10" s="20"/>
    </row>
    <row r="11" spans="2:23" ht="14" x14ac:dyDescent="0.2">
      <c r="B11" s="17" t="s">
        <v>120</v>
      </c>
      <c r="C11" s="17" t="s">
        <v>220</v>
      </c>
      <c r="D11" s="41">
        <f>SUMIFS(water_in[Volume (m3)],water_in[Quarter],D$10)</f>
        <v>400</v>
      </c>
      <c r="E11" s="41">
        <f>SUMIFS(water_in[Volume (m3)],water_in[Quarter],E$10)</f>
        <v>600</v>
      </c>
      <c r="F11" s="41">
        <f>SUMIFS(water_in[Volume (m3)],water_in[Quarter],F$10)</f>
        <v>300</v>
      </c>
      <c r="G11" s="41">
        <f>SUMIFS(water_in[Volume (m3)],water_in[Quarter],G$10)</f>
        <v>400</v>
      </c>
      <c r="I11" s="194">
        <f t="shared" si="0"/>
        <v>4</v>
      </c>
      <c r="J11" s="58" t="s">
        <v>371</v>
      </c>
      <c r="K11" s="426" t="str">
        <f>IF(water_in[[#This Row],[Month]]&lt;&gt;"",VLOOKUP(water_in[[#This Row],[Month]], dropdown!$S$4:$T$15, 2, FALSE),"")</f>
        <v>Q2</v>
      </c>
      <c r="L11" s="58" t="s">
        <v>124</v>
      </c>
      <c r="M11" s="29">
        <v>200</v>
      </c>
      <c r="N11" s="195"/>
      <c r="O11" s="44"/>
      <c r="P11" s="194">
        <f t="shared" si="1"/>
        <v>4</v>
      </c>
      <c r="Q11" s="58" t="s">
        <v>371</v>
      </c>
      <c r="R11" s="18" t="str">
        <f>IF(water_out[[#This Row],[Month]]&lt;&gt;"",VLOOKUP(water_out[[#This Row],[Month]], dropdown!$S$4:$T$15, 2, FALSE),"")</f>
        <v>Q2</v>
      </c>
      <c r="S11" s="60" t="s">
        <v>133</v>
      </c>
      <c r="T11" s="29">
        <f>30*2.46</f>
        <v>73.8</v>
      </c>
      <c r="U11" s="195"/>
      <c r="W11" s="20"/>
    </row>
    <row r="12" spans="2:23" ht="14" x14ac:dyDescent="0.2">
      <c r="B12" s="17" t="s">
        <v>128</v>
      </c>
      <c r="C12" s="17" t="s">
        <v>220</v>
      </c>
      <c r="D12" s="41">
        <f>SUMIFS(water_out[Volume2 (m3)],water_out[Quarter],D$10)</f>
        <v>172.9</v>
      </c>
      <c r="E12" s="41">
        <f>SUMIFS(water_out[Volume2 (m3)],water_out[Quarter],E$10)</f>
        <v>223.86</v>
      </c>
      <c r="F12" s="41">
        <f>SUMIFS(water_out[Volume2 (m3)],water_out[Quarter],F$10)</f>
        <v>200.56</v>
      </c>
      <c r="G12" s="41">
        <f>SUMIFS(water_out[Volume2 (m3)],water_out[Quarter],G$10)</f>
        <v>365.70000000000005</v>
      </c>
      <c r="I12" s="194">
        <f t="shared" si="0"/>
        <v>5</v>
      </c>
      <c r="J12" s="58" t="s">
        <v>379</v>
      </c>
      <c r="K12" s="426" t="str">
        <f>IF(water_in[[#This Row],[Month]]&lt;&gt;"",VLOOKUP(water_in[[#This Row],[Month]], dropdown!$S$4:$T$15, 2, FALSE),"")</f>
        <v>Q2</v>
      </c>
      <c r="L12" s="58" t="s">
        <v>124</v>
      </c>
      <c r="M12" s="29">
        <v>200</v>
      </c>
      <c r="N12" s="195"/>
      <c r="O12" s="44" t="str">
        <f>IF(J12="","",VLOOKUP($J12,dropdown!$S$3:$T$15,2,FALSE))</f>
        <v>Q2</v>
      </c>
      <c r="P12" s="194">
        <f t="shared" si="1"/>
        <v>5</v>
      </c>
      <c r="Q12" s="58" t="s">
        <v>379</v>
      </c>
      <c r="R12" s="18" t="str">
        <f>IF(water_out[[#This Row],[Month]]&lt;&gt;"",VLOOKUP(water_out[[#This Row],[Month]], dropdown!$S$4:$T$15, 2, FALSE),"")</f>
        <v>Q2</v>
      </c>
      <c r="S12" s="60" t="s">
        <v>133</v>
      </c>
      <c r="T12" s="29">
        <f>31*2.46</f>
        <v>76.260000000000005</v>
      </c>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200</v>
      </c>
      <c r="N13" s="195"/>
      <c r="O13" s="44" t="str">
        <f>IF(J13="","",VLOOKUP($J13,dropdown!$S$3:$T$15,2,FALSE))</f>
        <v>Q2</v>
      </c>
      <c r="P13" s="194">
        <f t="shared" si="1"/>
        <v>6</v>
      </c>
      <c r="Q13" s="58" t="s">
        <v>386</v>
      </c>
      <c r="R13" s="18" t="str">
        <f>IF(water_out[[#This Row],[Month]]&lt;&gt;"",VLOOKUP(water_out[[#This Row],[Month]], dropdown!$S$4:$T$15, 2, FALSE),"")</f>
        <v>Q2</v>
      </c>
      <c r="S13" s="60" t="s">
        <v>133</v>
      </c>
      <c r="T13" s="29">
        <f>30*2.46</f>
        <v>73.8</v>
      </c>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100</v>
      </c>
      <c r="N14" s="195"/>
      <c r="O14" s="44" t="str">
        <f>IF(J14="","",VLOOKUP($J14,dropdown!$S$3:$T$15,2,FALSE))</f>
        <v>Q3</v>
      </c>
      <c r="P14" s="194">
        <f t="shared" si="1"/>
        <v>7</v>
      </c>
      <c r="Q14" s="58" t="s">
        <v>390</v>
      </c>
      <c r="R14" s="18" t="str">
        <f>IF(water_out[[#This Row],[Month]]&lt;&gt;"",VLOOKUP(water_out[[#This Row],[Month]], dropdown!$S$4:$T$15, 2, FALSE),"")</f>
        <v>Q3</v>
      </c>
      <c r="S14" s="60" t="s">
        <v>133</v>
      </c>
      <c r="T14" s="29">
        <f>31*2.18</f>
        <v>67.58</v>
      </c>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100</v>
      </c>
      <c r="N15" s="195"/>
      <c r="O15" s="44" t="str">
        <f>IF(J15="","",VLOOKUP($J15,dropdown!$S$3:$T$15,2,FALSE))</f>
        <v>Q3</v>
      </c>
      <c r="P15" s="194">
        <f t="shared" si="1"/>
        <v>8</v>
      </c>
      <c r="Q15" s="58" t="s">
        <v>41</v>
      </c>
      <c r="R15" s="18" t="str">
        <f>IF(water_out[[#This Row],[Month]]&lt;&gt;"",VLOOKUP(water_out[[#This Row],[Month]], dropdown!$S$4:$T$15, 2, FALSE),"")</f>
        <v>Q3</v>
      </c>
      <c r="S15" s="60" t="s">
        <v>133</v>
      </c>
      <c r="T15" s="29">
        <f>31*2.18</f>
        <v>67.58</v>
      </c>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100</v>
      </c>
      <c r="N16" s="195"/>
      <c r="O16" s="44" t="str">
        <f>IF(J16="","",VLOOKUP($J16,dropdown!$S$3:$T$15,2,FALSE))</f>
        <v>Q3</v>
      </c>
      <c r="P16" s="194">
        <f t="shared" si="1"/>
        <v>9</v>
      </c>
      <c r="Q16" s="58" t="s">
        <v>397</v>
      </c>
      <c r="R16" s="18" t="str">
        <f>IF(water_out[[#This Row],[Month]]&lt;&gt;"",VLOOKUP(water_out[[#This Row],[Month]], dropdown!$S$4:$T$15, 2, FALSE),"")</f>
        <v>Q3</v>
      </c>
      <c r="S16" s="60" t="s">
        <v>133</v>
      </c>
      <c r="T16" s="29">
        <f>30*2.18</f>
        <v>65.400000000000006</v>
      </c>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100</v>
      </c>
      <c r="N17" s="195"/>
      <c r="O17" s="44" t="str">
        <f>IF(J17="","",VLOOKUP($J17,dropdown!$S$3:$T$15,2,FALSE))</f>
        <v>Q4</v>
      </c>
      <c r="P17" s="194">
        <f t="shared" si="1"/>
        <v>10</v>
      </c>
      <c r="Q17" s="58" t="s">
        <v>400</v>
      </c>
      <c r="R17" s="18" t="str">
        <f>IF(water_out[[#This Row],[Month]]&lt;&gt;"",VLOOKUP(water_out[[#This Row],[Month]], dropdown!$S$4:$T$15, 2, FALSE),"")</f>
        <v>Q4</v>
      </c>
      <c r="S17" s="60" t="s">
        <v>133</v>
      </c>
      <c r="T17" s="29">
        <f>31*3.975</f>
        <v>123.22500000000001</v>
      </c>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100</v>
      </c>
      <c r="N18" s="195"/>
      <c r="O18" s="44" t="str">
        <f>IF(J18="","",VLOOKUP($J18,dropdown!$S$3:$T$15,2,FALSE))</f>
        <v>Q4</v>
      </c>
      <c r="P18" s="194">
        <f t="shared" si="1"/>
        <v>11</v>
      </c>
      <c r="Q18" s="58" t="s">
        <v>404</v>
      </c>
      <c r="R18" s="18" t="str">
        <f>IF(water_out[[#This Row],[Month]]&lt;&gt;"",VLOOKUP(water_out[[#This Row],[Month]], dropdown!$S$4:$T$15, 2, FALSE),"")</f>
        <v>Q4</v>
      </c>
      <c r="S18" s="60" t="s">
        <v>133</v>
      </c>
      <c r="T18" s="29">
        <f>30*3.975</f>
        <v>119.25</v>
      </c>
      <c r="U18" s="195"/>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200</v>
      </c>
      <c r="N19" s="195"/>
      <c r="O19" s="44" t="str">
        <f>IF(J19="","",VLOOKUP($J19,dropdown!$S$3:$T$15,2,FALSE))</f>
        <v>Q4</v>
      </c>
      <c r="P19" s="194">
        <f t="shared" si="1"/>
        <v>12</v>
      </c>
      <c r="Q19" s="58" t="s">
        <v>407</v>
      </c>
      <c r="R19" s="18" t="str">
        <f>IF(water_out[[#This Row],[Month]]&lt;&gt;"",VLOOKUP(water_out[[#This Row],[Month]], dropdown!$S$4:$T$15, 2, FALSE),"")</f>
        <v>Q4</v>
      </c>
      <c r="S19" s="60" t="s">
        <v>133</v>
      </c>
      <c r="T19" s="29">
        <f>31*3.975</f>
        <v>123.22500000000001</v>
      </c>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honeticPr fontId="40" type="noConversion"/>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La Union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O18" sqref="O18"/>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La Union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c r="D6" s="447"/>
      <c r="E6" s="447"/>
      <c r="F6" s="447"/>
      <c r="G6" s="448"/>
      <c r="I6" s="409" t="s">
        <v>282</v>
      </c>
      <c r="J6" s="407"/>
      <c r="K6" s="407"/>
      <c r="L6" s="407"/>
      <c r="M6" s="408"/>
      <c r="N6" s="407"/>
      <c r="O6" s="407"/>
      <c r="Q6" s="44"/>
    </row>
    <row r="7" spans="2:17" ht="25.5" customHeight="1" x14ac:dyDescent="0.2">
      <c r="B7" s="278" t="s">
        <v>174</v>
      </c>
      <c r="C7" s="446"/>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1340</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383</v>
      </c>
      <c r="M9" s="29">
        <v>1340</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383</v>
      </c>
      <c r="M10" s="29">
        <v>1340</v>
      </c>
      <c r="N10" s="57" t="s">
        <v>313</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383</v>
      </c>
      <c r="M11" s="29">
        <v>1608.33</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383</v>
      </c>
      <c r="M12" s="29">
        <v>1608.33</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383</v>
      </c>
      <c r="M13" s="29">
        <v>1608.33</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390</v>
      </c>
      <c r="K14" s="194" t="str">
        <f>IF(Waste[[#This Row],[Month]]&lt;&gt;"",VLOOKUP(Waste[[#This Row],[Month]], dropdown!$S$4:$T$15, 2, FALSE),"")</f>
        <v>Q3</v>
      </c>
      <c r="L14" s="57" t="s">
        <v>383</v>
      </c>
      <c r="M14" s="29">
        <v>1300</v>
      </c>
      <c r="N14" s="57" t="s">
        <v>313</v>
      </c>
      <c r="O14" s="195"/>
      <c r="Q14" s="44"/>
    </row>
    <row r="15" spans="2:17" ht="15" customHeight="1" x14ac:dyDescent="0.2">
      <c r="B15" s="17" t="str">
        <f>dropdown!$B8</f>
        <v>Hazardous</v>
      </c>
      <c r="C15" s="17" t="s">
        <v>283</v>
      </c>
      <c r="D15" s="41">
        <f>SUMIFS(Waste[Weight (kg)],Waste[Quarter],D$10,Waste[Waste Composition],$B15)</f>
        <v>1253.3499999999999</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41</v>
      </c>
      <c r="K15" s="194" t="str">
        <f>IF(Waste[[#This Row],[Month]]&lt;&gt;"",VLOOKUP(Waste[[#This Row],[Month]], dropdown!$S$4:$T$15, 2, FALSE),"")</f>
        <v>Q3</v>
      </c>
      <c r="L15" s="57" t="s">
        <v>383</v>
      </c>
      <c r="M15" s="29">
        <v>1300</v>
      </c>
      <c r="N15" s="57" t="s">
        <v>313</v>
      </c>
      <c r="O15" s="195"/>
    </row>
    <row r="16" spans="2:17" x14ac:dyDescent="0.2">
      <c r="B16" s="17" t="str">
        <f>dropdown!$B9</f>
        <v>Residual/Landfill</v>
      </c>
      <c r="C16" s="17" t="s">
        <v>283</v>
      </c>
      <c r="D16" s="41">
        <f>SUMIFS(Waste[Weight (kg)],Waste[Quarter],D$10,Waste[Waste Composition],$B16)</f>
        <v>4020</v>
      </c>
      <c r="E16" s="41">
        <f>SUMIFS(Waste[Weight (kg)],Waste[Quarter],E$10,Waste[Waste Composition],$B16)</f>
        <v>4824.99</v>
      </c>
      <c r="F16" s="41">
        <f>SUMIFS(Waste[Weight (kg)],Waste[Quarter],F$10,Waste[Waste Composition],$B16)</f>
        <v>3900</v>
      </c>
      <c r="G16" s="41">
        <f>SUMIFS(Waste[Weight (kg)],Waste[Quarter],G$10,Waste[Waste Composition],$B16)</f>
        <v>4014</v>
      </c>
      <c r="I16" s="194">
        <f t="shared" si="0"/>
        <v>9</v>
      </c>
      <c r="J16" s="58" t="s">
        <v>397</v>
      </c>
      <c r="K16" s="194" t="str">
        <f>IF(Waste[[#This Row],[Month]]&lt;&gt;"",VLOOKUP(Waste[[#This Row],[Month]], dropdown!$S$4:$T$15, 2, FALSE),"")</f>
        <v>Q3</v>
      </c>
      <c r="L16" s="57" t="s">
        <v>383</v>
      </c>
      <c r="M16" s="29">
        <v>1300</v>
      </c>
      <c r="N16" s="57" t="s">
        <v>313</v>
      </c>
      <c r="O16" s="195"/>
    </row>
    <row r="17" spans="2:15" x14ac:dyDescent="0.2">
      <c r="I17" s="194">
        <f t="shared" si="0"/>
        <v>10</v>
      </c>
      <c r="J17" s="58" t="s">
        <v>400</v>
      </c>
      <c r="K17" s="194" t="str">
        <f>IF(Waste[[#This Row],[Month]]&lt;&gt;"",VLOOKUP(Waste[[#This Row],[Month]], dropdown!$S$4:$T$15, 2, FALSE),"")</f>
        <v>Q4</v>
      </c>
      <c r="L17" s="57" t="s">
        <v>383</v>
      </c>
      <c r="M17" s="29">
        <v>1338</v>
      </c>
      <c r="N17" s="57" t="s">
        <v>313</v>
      </c>
      <c r="O17" s="195"/>
    </row>
    <row r="18" spans="2:15" x14ac:dyDescent="0.2">
      <c r="B18" s="267" t="s">
        <v>38</v>
      </c>
      <c r="I18" s="194">
        <f t="shared" si="0"/>
        <v>11</v>
      </c>
      <c r="J18" s="58" t="s">
        <v>404</v>
      </c>
      <c r="K18" s="194" t="str">
        <f>IF(Waste[[#This Row],[Month]]&lt;&gt;"",VLOOKUP(Waste[[#This Row],[Month]], dropdown!$S$4:$T$15, 2, FALSE),"")</f>
        <v>Q4</v>
      </c>
      <c r="L18" s="57" t="s">
        <v>383</v>
      </c>
      <c r="M18" s="29">
        <v>1338</v>
      </c>
      <c r="N18" s="57" t="s">
        <v>313</v>
      </c>
      <c r="O18" s="195"/>
    </row>
    <row r="19" spans="2:15" x14ac:dyDescent="0.2">
      <c r="B19" s="268" t="s">
        <v>175</v>
      </c>
      <c r="I19" s="194">
        <f t="shared" ref="I19" si="1">IF($J19="","",$I18+1)</f>
        <v>12</v>
      </c>
      <c r="J19" s="58" t="s">
        <v>407</v>
      </c>
      <c r="K19" s="194" t="str">
        <f>IF(Waste[[#This Row],[Month]]&lt;&gt;"",VLOOKUP(Waste[[#This Row],[Month]], dropdown!$S$4:$T$15, 2, FALSE),"")</f>
        <v>Q4</v>
      </c>
      <c r="L19" s="57" t="s">
        <v>383</v>
      </c>
      <c r="M19" s="29">
        <v>1338</v>
      </c>
      <c r="N19" s="57" t="s">
        <v>313</v>
      </c>
      <c r="O19" s="195"/>
    </row>
    <row r="20" spans="2:15" x14ac:dyDescent="0.2">
      <c r="B20" s="266" t="s">
        <v>176</v>
      </c>
      <c r="I20" s="194">
        <f t="shared" si="0"/>
        <v>13</v>
      </c>
      <c r="J20" s="58" t="s">
        <v>338</v>
      </c>
      <c r="K20" s="194" t="str">
        <f>IF(Waste[[#This Row],[Month]]&lt;&gt;"",VLOOKUP(Waste[[#This Row],[Month]], dropdown!$S$4:$T$15, 2, FALSE),"")</f>
        <v>Q1</v>
      </c>
      <c r="L20" s="57" t="s">
        <v>317</v>
      </c>
      <c r="M20" s="29">
        <v>1253.3499999999999</v>
      </c>
      <c r="N20" s="57" t="s">
        <v>345</v>
      </c>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La Union Branch</v>
      </c>
      <c r="E6" s="460" t="s">
        <v>284</v>
      </c>
      <c r="F6" s="460"/>
      <c r="G6" s="460"/>
      <c r="H6" s="460"/>
      <c r="I6" s="460"/>
      <c r="J6" s="460"/>
      <c r="K6" s="460"/>
      <c r="L6" s="460"/>
      <c r="M6" s="460"/>
      <c r="N6" s="460"/>
      <c r="O6" s="460"/>
      <c r="P6" s="460"/>
      <c r="Q6" s="460"/>
    </row>
    <row r="7" spans="2:17" ht="20" customHeight="1" x14ac:dyDescent="0.2">
      <c r="B7" s="70" t="s">
        <v>12</v>
      </c>
      <c r="C7" s="59">
        <f>'1. Data Info and Summary'!$D$3</f>
        <v>2024</v>
      </c>
      <c r="E7" s="460"/>
      <c r="F7" s="460"/>
      <c r="G7" s="460"/>
      <c r="H7" s="460"/>
      <c r="I7" s="460"/>
      <c r="J7" s="460"/>
      <c r="K7" s="460"/>
      <c r="L7" s="460"/>
      <c r="M7" s="460"/>
      <c r="N7" s="460"/>
      <c r="O7" s="460"/>
      <c r="P7" s="460"/>
      <c r="Q7" s="460"/>
    </row>
    <row r="8" spans="2:17" ht="20" customHeight="1" x14ac:dyDescent="0.2">
      <c r="B8" s="71"/>
    </row>
    <row r="9" spans="2:17" x14ac:dyDescent="0.2">
      <c r="C9" s="53"/>
      <c r="E9" s="462" t="s">
        <v>285</v>
      </c>
      <c r="F9" s="462"/>
      <c r="G9" s="462"/>
      <c r="H9" s="462"/>
      <c r="I9" s="462"/>
      <c r="J9" s="462"/>
      <c r="L9" s="462" t="s">
        <v>286</v>
      </c>
      <c r="M9" s="462"/>
      <c r="N9" s="462"/>
      <c r="O9" s="462"/>
      <c r="P9" s="462"/>
      <c r="Q9" s="462"/>
    </row>
    <row r="10" spans="2:17" ht="8" customHeight="1" x14ac:dyDescent="0.2">
      <c r="B10" s="71"/>
    </row>
    <row r="11" spans="2:17" x14ac:dyDescent="0.2">
      <c r="E11" s="461" t="s">
        <v>287</v>
      </c>
      <c r="F11" s="461"/>
      <c r="G11" s="461"/>
      <c r="H11" s="461"/>
      <c r="I11" s="461"/>
      <c r="J11" s="461"/>
      <c r="L11" s="461" t="s">
        <v>288</v>
      </c>
      <c r="M11" s="461"/>
      <c r="N11" s="461"/>
      <c r="O11" s="461"/>
      <c r="P11" s="461"/>
      <c r="Q11" s="461"/>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2602</v>
      </c>
      <c r="G13" s="73" t="str">
        <f>'1. Data Info and Summary'!$D18</f>
        <v>Liters</v>
      </c>
      <c r="I13" s="76">
        <f>VLOOKUP($E13,Emission_Factors!$A$1:$G$20,5,FALSE)</f>
        <v>2.68</v>
      </c>
      <c r="J13" s="141">
        <f>F13*I13</f>
        <v>6973.3600000000006</v>
      </c>
      <c r="L13" s="73" t="s">
        <v>155</v>
      </c>
      <c r="M13" s="78">
        <f>SUM('2.3a Electricity'!$D$12:$G$12)</f>
        <v>679203</v>
      </c>
      <c r="N13" s="73" t="str">
        <f>'2.3a Electricity'!$C$12</f>
        <v>Kilowatt-hour</v>
      </c>
      <c r="P13" s="76">
        <f>VLOOKUP($L13,Emission_Factors!$A$1:$G$20,5,FALSE)</f>
        <v>0.56000000000000005</v>
      </c>
      <c r="Q13" s="141">
        <f>M13*P13</f>
        <v>380353.68000000005</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6973.3600000000006</v>
      </c>
    </row>
    <row r="20" spans="5:10" x14ac:dyDescent="0.2">
      <c r="E20" s="461" t="s">
        <v>293</v>
      </c>
      <c r="F20" s="461"/>
      <c r="G20" s="461"/>
      <c r="H20" s="461"/>
      <c r="I20" s="461"/>
      <c r="J20" s="461"/>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3375</v>
      </c>
      <c r="G22" s="73" t="str">
        <f>'1. Data Info and Summary'!$D26</f>
        <v>Liters</v>
      </c>
      <c r="I22" s="76">
        <f>VLOOKUP($E22,Emission_Factors!$A$1:$G$20,5,FALSE)</f>
        <v>2.68</v>
      </c>
      <c r="J22" s="141">
        <f>F22*I22</f>
        <v>9045</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9045</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3" width="6.6640625" bestFit="1" customWidth="1"/>
    <col min="4" max="4" width="7.6640625" bestFit="1" customWidth="1"/>
    <col min="5"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217</v>
      </c>
      <c r="D33" s="337">
        <v>157</v>
      </c>
      <c r="E33" s="337">
        <v>0</v>
      </c>
      <c r="F33" s="337">
        <v>0</v>
      </c>
      <c r="G33" s="337">
        <v>374</v>
      </c>
      <c r="I33" s="20"/>
      <c r="J33" s="20"/>
      <c r="K33" s="21"/>
      <c r="L33" s="21"/>
      <c r="M33" s="22"/>
      <c r="N33" s="22"/>
      <c r="O33" s="11"/>
      <c r="P33" s="22"/>
      <c r="Q33" s="20"/>
      <c r="R33" s="20"/>
      <c r="S33" s="44"/>
    </row>
    <row r="34" spans="1:19" outlineLevel="1" x14ac:dyDescent="0.2">
      <c r="A34" s="203" t="s">
        <v>63</v>
      </c>
      <c r="B34" s="337"/>
      <c r="C34" s="337">
        <v>217</v>
      </c>
      <c r="D34" s="337">
        <v>157</v>
      </c>
      <c r="E34" s="337">
        <v>0</v>
      </c>
      <c r="F34" s="337">
        <v>0</v>
      </c>
      <c r="G34" s="337">
        <v>374</v>
      </c>
      <c r="I34" s="20"/>
      <c r="J34" s="20"/>
      <c r="K34" s="21"/>
      <c r="L34" s="21"/>
      <c r="M34" s="22"/>
      <c r="N34" s="22"/>
      <c r="O34" s="11"/>
      <c r="P34" s="22"/>
      <c r="Q34" s="20"/>
      <c r="R34" s="20"/>
      <c r="S34" s="44"/>
    </row>
    <row r="35" spans="1:19" outlineLevel="1" x14ac:dyDescent="0.2">
      <c r="A35" s="19" t="s">
        <v>381</v>
      </c>
      <c r="B35" s="337"/>
      <c r="C35" s="337">
        <v>203</v>
      </c>
      <c r="D35" s="337">
        <v>488</v>
      </c>
      <c r="E35" s="337">
        <v>510</v>
      </c>
      <c r="F35" s="337">
        <v>452</v>
      </c>
      <c r="G35" s="337">
        <v>1653</v>
      </c>
      <c r="I35" s="20"/>
      <c r="J35" s="20"/>
      <c r="K35" s="21"/>
      <c r="L35" s="21"/>
      <c r="M35" s="22"/>
      <c r="N35" s="22"/>
      <c r="O35" s="11"/>
      <c r="P35" s="22"/>
      <c r="Q35" s="20"/>
      <c r="R35" s="20"/>
      <c r="S35" s="44"/>
    </row>
    <row r="36" spans="1:19" outlineLevel="1" x14ac:dyDescent="0.2">
      <c r="A36" s="203" t="s">
        <v>63</v>
      </c>
      <c r="B36" s="337"/>
      <c r="C36" s="337">
        <v>203</v>
      </c>
      <c r="D36" s="337">
        <v>488</v>
      </c>
      <c r="E36" s="337">
        <v>510</v>
      </c>
      <c r="F36" s="337">
        <v>452</v>
      </c>
      <c r="G36" s="337">
        <v>1653</v>
      </c>
      <c r="H36" s="12"/>
      <c r="I36" s="20"/>
      <c r="J36" s="20"/>
      <c r="K36" s="21"/>
      <c r="L36" s="21"/>
      <c r="M36" s="22"/>
      <c r="N36" s="22"/>
      <c r="O36" s="11"/>
      <c r="P36" s="22"/>
      <c r="Q36" s="20"/>
      <c r="R36" s="20"/>
      <c r="S36" s="44"/>
    </row>
    <row r="37" spans="1:19" outlineLevel="1" x14ac:dyDescent="0.2">
      <c r="A37" s="19" t="s">
        <v>365</v>
      </c>
      <c r="B37" s="337"/>
      <c r="C37" s="337">
        <v>375</v>
      </c>
      <c r="D37" s="337">
        <v>415</v>
      </c>
      <c r="E37" s="337">
        <v>301</v>
      </c>
      <c r="F37" s="337">
        <v>257</v>
      </c>
      <c r="G37" s="337">
        <v>1348</v>
      </c>
      <c r="H37" s="12"/>
      <c r="I37" s="20"/>
      <c r="J37" s="20"/>
      <c r="K37" s="21"/>
      <c r="L37" s="21"/>
      <c r="M37" s="22"/>
      <c r="N37" s="22"/>
      <c r="O37" s="11"/>
      <c r="P37" s="22"/>
      <c r="Q37" s="20"/>
      <c r="R37" s="20"/>
      <c r="S37" s="44"/>
    </row>
    <row r="38" spans="1:19" outlineLevel="1" x14ac:dyDescent="0.2">
      <c r="A38" s="203" t="s">
        <v>63</v>
      </c>
      <c r="B38" s="337"/>
      <c r="C38" s="337">
        <v>375</v>
      </c>
      <c r="D38" s="337">
        <v>415</v>
      </c>
      <c r="E38" s="337">
        <v>301</v>
      </c>
      <c r="F38" s="337">
        <v>257</v>
      </c>
      <c r="G38" s="337">
        <v>1348</v>
      </c>
      <c r="H38" s="12"/>
      <c r="I38" s="20"/>
      <c r="J38" s="20"/>
      <c r="K38" s="21"/>
      <c r="L38" s="21"/>
      <c r="M38" s="22"/>
      <c r="N38" s="22"/>
      <c r="O38" s="11"/>
      <c r="P38" s="22"/>
      <c r="Q38" s="20"/>
      <c r="R38" s="20"/>
      <c r="S38" s="44"/>
    </row>
    <row r="39" spans="1:19" outlineLevel="1" x14ac:dyDescent="0.2">
      <c r="A39" s="19" t="s">
        <v>297</v>
      </c>
      <c r="B39" s="337"/>
      <c r="C39" s="337">
        <v>795</v>
      </c>
      <c r="D39" s="337">
        <v>1060</v>
      </c>
      <c r="E39" s="337">
        <v>811</v>
      </c>
      <c r="F39" s="337">
        <v>709</v>
      </c>
      <c r="G39" s="337">
        <v>3375</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45916.897905092592</v>
      </c>
      <c r="B927" t="s">
        <v>596</v>
      </c>
      <c r="C927" t="s">
        <v>597</v>
      </c>
      <c r="D927" t="s">
        <v>1445</v>
      </c>
      <c r="E927" t="s">
        <v>39</v>
      </c>
    </row>
    <row r="928" spans="1:5" x14ac:dyDescent="0.2">
      <c r="A928" s="269">
        <v>45916.898958333331</v>
      </c>
      <c r="B928" t="s">
        <v>596</v>
      </c>
      <c r="C928" t="s">
        <v>27</v>
      </c>
      <c r="D928" t="s">
        <v>1446</v>
      </c>
    </row>
    <row r="929" spans="1:5" x14ac:dyDescent="0.2">
      <c r="A929" s="269">
        <v>45916.898993055554</v>
      </c>
      <c r="B929" t="s">
        <v>596</v>
      </c>
      <c r="C929" t="s">
        <v>27</v>
      </c>
      <c r="D929" t="s">
        <v>1447</v>
      </c>
      <c r="E929"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2025-09-16T13:34:39Z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