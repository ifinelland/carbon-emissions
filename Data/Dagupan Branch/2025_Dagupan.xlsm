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Dagupan Branch/"/>
    </mc:Choice>
  </mc:AlternateContent>
  <xr:revisionPtr revIDLastSave="0" documentId="13_ncr:1_{656CB81C-4A81-AA4A-9AB3-B0336C8C3DDC}" xr6:coauthVersionLast="47" xr6:coauthVersionMax="47" xr10:uidLastSave="{00000000-0000-0000-0000-000000000000}"/>
  <bookViews>
    <workbookView xWindow="-100" yWindow="740" windowWidth="23260" windowHeight="14020" tabRatio="781" firstSheet="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572" r:id="rId19"/>
    <pivotCache cacheId="573" r:id="rId20"/>
    <pivotCache cacheId="574" r:id="rId21"/>
    <pivotCache cacheId="575" r:id="rId22"/>
    <pivotCache cacheId="576" r:id="rId23"/>
    <pivotCache cacheId="584"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N11"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8" i="40"/>
  <c r="I9" i="40" s="1"/>
  <c r="I10" i="40" s="1"/>
  <c r="I11" i="40" s="1"/>
  <c r="I12" i="40" s="1"/>
  <c r="I13" i="40" s="1"/>
  <c r="I14" i="40" s="1"/>
  <c r="I15" i="40" s="1"/>
  <c r="I16" i="40" s="1"/>
  <c r="I17" i="40" s="1"/>
  <c r="I18" i="40" s="1"/>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F13" i="38"/>
  <c r="E13" i="38"/>
  <c r="D13"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D49"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8" i="41"/>
  <c r="P9" i="41" s="1"/>
  <c r="P10" i="41" s="1"/>
  <c r="P11" i="41" s="1"/>
  <c r="P12" i="41" s="1"/>
  <c r="P13" i="41" s="1"/>
  <c r="P14" i="41" s="1"/>
  <c r="P15" i="41" s="1"/>
  <c r="P16" i="41" s="1"/>
  <c r="P17" i="41" s="1"/>
  <c r="P18" i="41" s="1"/>
  <c r="P19" i="41" s="1"/>
  <c r="P20" i="41" s="1"/>
  <c r="P21" i="41" s="1"/>
  <c r="P22" i="41" s="1"/>
  <c r="P23" i="41" s="1"/>
  <c r="P24" i="41" s="1"/>
  <c r="P25" i="41" s="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I14" i="41" s="1"/>
  <c r="I15" i="41" s="1"/>
  <c r="I16" i="41" s="1"/>
  <c r="I17" i="41" s="1"/>
  <c r="I18" i="41" s="1"/>
  <c r="I19" i="41" s="1"/>
  <c r="I20" i="41" s="1"/>
  <c r="I21" i="41" s="1"/>
  <c r="I22" i="41" s="1"/>
  <c r="I23" i="41" s="1"/>
  <c r="I24" i="41" s="1"/>
  <c r="I25"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c r="I12" i="34"/>
  <c r="I13" i="34" s="1"/>
  <c r="I14" i="34" s="1"/>
  <c r="I15" i="34" s="1"/>
  <c r="I16" i="34" s="1"/>
  <c r="I17" i="34" s="1"/>
  <c r="I18" i="34" s="1"/>
  <c r="I7" i="34"/>
  <c r="I18" i="39"/>
  <c r="I19" i="39" s="1"/>
  <c r="I20" i="39" s="1"/>
  <c r="I21" i="39" s="1"/>
  <c r="I22" i="39" s="1"/>
  <c r="I23" i="39" s="1"/>
  <c r="I24" i="39" s="1"/>
  <c r="I25" i="39" s="1"/>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C49" i="37" s="1"/>
  <c r="B15" i="40"/>
  <c r="C48" i="37" s="1"/>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I20" i="40" s="1"/>
  <c r="I21" i="40" s="1"/>
  <c r="I22" i="40" s="1"/>
  <c r="I23" i="40" s="1"/>
  <c r="I24" i="40" s="1"/>
  <c r="I25" i="40" s="1"/>
  <c r="I26" i="40" s="1"/>
  <c r="I27" i="40" s="1"/>
  <c r="I28" i="40" s="1"/>
  <c r="I29" i="40" s="1"/>
  <c r="I30" i="40" s="1"/>
  <c r="I31" i="40" s="1"/>
  <c r="I32" i="40" s="1"/>
  <c r="I33" i="40" s="1"/>
  <c r="I34" i="40" s="1"/>
  <c r="I35" i="40" s="1"/>
  <c r="I36" i="40" s="1"/>
  <c r="I37" i="40" s="1"/>
  <c r="I38" i="40" s="1"/>
  <c r="I39" i="40" s="1"/>
  <c r="I40" i="40" s="1"/>
  <c r="I41" i="40" s="1"/>
  <c r="I42" i="40" s="1"/>
  <c r="I43" i="40" s="1"/>
  <c r="I44" i="40" s="1"/>
  <c r="I45" i="40" s="1"/>
  <c r="I46" i="40" s="1"/>
  <c r="I47" i="40" s="1"/>
  <c r="I48" i="40" s="1"/>
  <c r="I49" i="40" s="1"/>
  <c r="I50" i="40" s="1"/>
  <c r="I51" i="40" s="1"/>
  <c r="I52" i="40" s="1"/>
  <c r="I53" i="40" s="1"/>
  <c r="I54" i="40" s="1"/>
  <c r="I55" i="40" s="1"/>
  <c r="I56" i="40" s="1"/>
  <c r="I57" i="40" s="1"/>
  <c r="I58" i="40" s="1"/>
  <c r="I59" i="40" s="1"/>
  <c r="I60" i="40" s="1"/>
  <c r="I61" i="40" s="1"/>
  <c r="I62" i="40" s="1"/>
  <c r="I63" i="40" s="1"/>
  <c r="I64" i="40" s="1"/>
  <c r="I65" i="40" s="1"/>
  <c r="I66" i="40" s="1"/>
  <c r="I67" i="40" s="1"/>
  <c r="I68" i="40" s="1"/>
  <c r="I69" i="40" s="1"/>
  <c r="I70" i="40" s="1"/>
  <c r="I71" i="40" s="1"/>
  <c r="I72" i="40" s="1"/>
  <c r="I73" i="40" s="1"/>
  <c r="I74" i="40" s="1"/>
  <c r="I75" i="40" s="1"/>
  <c r="I76" i="40" s="1"/>
  <c r="I77" i="40" s="1"/>
  <c r="I78" i="40" s="1"/>
  <c r="I79"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1" i="38" l="1"/>
  <c r="E11" i="38"/>
  <c r="F11" i="38"/>
  <c r="G11" i="38"/>
  <c r="E12" i="38"/>
  <c r="F12" i="38"/>
  <c r="G12" i="38"/>
  <c r="D12"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3" i="34"/>
  <c r="N12"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F13" i="37" l="1"/>
  <c r="G13" i="37"/>
  <c r="D13" i="37"/>
  <c r="E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4" i="34" l="1"/>
  <c r="G14" i="34"/>
  <c r="F14" i="34"/>
  <c r="E14" i="34"/>
  <c r="F12" i="34"/>
  <c r="D12" i="34"/>
  <c r="G12" i="34"/>
  <c r="E12" i="34"/>
  <c r="F13" i="34"/>
  <c r="D13" i="34"/>
  <c r="G13" i="34"/>
  <c r="E13" i="34"/>
  <c r="F11" i="34"/>
  <c r="G11" i="34"/>
  <c r="E11" i="34"/>
  <c r="D11" i="34"/>
  <c r="D15" i="34"/>
  <c r="G15" i="34"/>
  <c r="E15" i="34"/>
  <c r="F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<sst xmlns="http://schemas.openxmlformats.org/spreadsheetml/2006/main" count="6539" uniqueCount="1532">
  <si>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</si>
  <si>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</si>
  <si>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</si>
  <si>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</si>
  <si>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</si>
  <si>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</si>
  <si>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</si>
  <si>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</si>
  <si>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</si>
  <si>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</si>
  <si>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</si>
  <si>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</si>
  <si>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</si>
  <si>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</si>
  <si>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</si>
  <si>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</si>
  <si>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</si>
  <si>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</si>
  <si>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</si>
  <si>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</si>
  <si>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</si>
  <si>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</si>
  <si>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</si>
  <si>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</si>
  <si>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</si>
  <si>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</si>
  <si>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</si>
  <si>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</si>
  <si>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</si>
  <si>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</si>
  <si>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</si>
  <si>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</si>
  <si>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</si>
  <si>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</si>
  <si>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</si>
  <si>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</si>
  <si>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</si>
  <si>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</si>
  <si>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</si>
  <si>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</si>
  <si>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</si>
  <si>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</si>
  <si>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</si>
  <si>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</si>
  <si>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</si>
  <si>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</si>
  <si>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</si>
  <si>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</si>
  <si>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</si>
  <si>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</si>
  <si>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</si>
  <si>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</si>
  <si>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</si>
  <si>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</si>
  <si>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</si>
  <si>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</si>
  <si>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</si>
  <si>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</si>
  <si>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</si>
  <si>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</si>
  <si>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</si>
  <si>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</si>
  <si>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</si>
  <si>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</si>
  <si>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</si>
  <si>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</si>
  <si>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</si>
  <si>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</si>
  <si>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</si>
  <si>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</si>
  <si>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</si>
  <si>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</si>
  <si>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</si>
  <si>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</si>
  <si>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</si>
  <si>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</si>
  <si>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</si>
  <si>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</si>
  <si>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</si>
  <si>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</si>
  <si>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</si>
  <si>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</si>
  <si>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</si>
  <si>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</si>
  <si>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</si>
  <si>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</si>
  <si>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</si>
  <si>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</si>
  <si>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</si>
  <si>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</si>
  <si>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</si>
  <si>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</si>
  <si>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</si>
  <si>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</si>
  <si>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</si>
  <si>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</si>
  <si>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</si>
  <si>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</si>
  <si>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</si>
  <si>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</si>
  <si>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</si>
  <si>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</si>
  <si>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</si>
  <si>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</si>
  <si>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</si>
  <si>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</si>
  <si>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</si>
  <si>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</si>
  <si>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</si>
  <si>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</si>
  <si>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</si>
  <si>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</si>
  <si>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</si>
  <si>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</si>
  <si>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</si>
  <si>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</si>
  <si>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</si>
  <si>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</si>
  <si>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</si>
  <si>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</si>
  <si>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</si>
  <si>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</si>
  <si>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</si>
  <si>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</si>
  <si>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</si>
  <si>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</si>
  <si>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</si>
  <si>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</si>
  <si>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</si>
  <si>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</si>
  <si>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</si>
  <si>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</si>
  <si>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</si>
  <si>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</si>
  <si>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</si>
  <si>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</si>
  <si>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</si>
  <si>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</si>
  <si>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</si>
  <si>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</si>
  <si>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</si>
  <si>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</si>
  <si>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</si>
  <si>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</si>
  <si>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</si>
  <si>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</si>
  <si>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</si>
  <si>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</si>
  <si>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</si>
  <si>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</si>
  <si>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</si>
  <si>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</si>
  <si>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</si>
  <si>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</si>
  <si>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</si>
  <si>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</si>
  <si>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</si>
  <si>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</si>
  <si>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</si>
  <si>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</si>
  <si>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</si>
  <si>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</si>
  <si>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</si>
  <si>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</si>
  <si>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</si>
  <si>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</si>
  <si>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</si>
  <si>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</si>
  <si>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</si>
  <si>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</si>
  <si>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</si>
  <si>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</si>
  <si>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</si>
  <si>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</si>
  <si>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</si>
  <si>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</si>
  <si>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</si>
  <si>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</si>
  <si>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</si>
  <si>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</si>
  <si>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</si>
  <si>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</si>
  <si>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</si>
  <si>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</si>
  <si>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</si>
  <si>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</si>
  <si>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</si>
  <si>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</si>
  <si>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</si>
  <si>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</si>
  <si>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</si>
  <si>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</si>
  <si>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</si>
  <si>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</si>
  <si>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</si>
  <si>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</si>
  <si>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</si>
  <si>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</si>
  <si>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</si>
  <si>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</si>
  <si>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</si>
  <si>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</si>
  <si>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</si>
  <si>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</si>
  <si>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</si>
  <si>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</si>
  <si>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</si>
  <si>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</si>
  <si>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</si>
  <si>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</si>
  <si>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</si>
  <si>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</si>
  <si>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</si>
  <si>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</si>
  <si>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</si>
  <si>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</si>
  <si>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</si>
  <si>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</si>
  <si>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</si>
  <si>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</si>
  <si>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</si>
  <si>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</si>
  <si>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</si>
  <si>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</si>
  <si>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</si>
  <si>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</si>
  <si>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</si>
  <si>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</si>
  <si>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</si>
  <si>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</si>
  <si>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</si>
  <si>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</si>
  <si>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</si>
  <si>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</si>
  <si>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</si>
  <si>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</si>
  <si>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</si>
  <si>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</si>
  <si>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</si>
  <si>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</si>
  <si>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</si>
  <si>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</si>
  <si>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</si>
  <si>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</si>
  <si>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</si>
  <si>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</si>
  <si>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</si>
  <si>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</si>
  <si>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</si>
  <si>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</si>
  <si>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</si>
  <si>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</si>
  <si>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</si>
  <si>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</si>
  <si>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</si>
  <si>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</si>
  <si>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</si>
  <si>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</si>
  <si>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</si>
  <si>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</si>
  <si>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</si>
  <si>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</si>
  <si>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</si>
  <si>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</si>
  <si>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</si>
  <si>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</si>
  <si>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</si>
  <si>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</si>
  <si>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</si>
  <si>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</si>
  <si>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</si>
  <si>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</si>
  <si>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</si>
  <si>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</si>
  <si>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</si>
  <si>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</si>
  <si>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</si>
  <si>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</si>
  <si>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</si>
  <si>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</si>
  <si>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</si>
  <si>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</si>
  <si>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</si>
  <si>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</si>
  <si>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</si>
  <si>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</si>
  <si>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</si>
  <si>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</si>
  <si>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</si>
  <si>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</si>
  <si>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</si>
  <si>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</si>
  <si>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</si>
  <si>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</si>
  <si>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</si>
  <si>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</si>
  <si>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</si>
  <si>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</si>
  <si>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</si>
  <si>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</si>
  <si>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</si>
  <si>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</si>
  <si>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</si>
  <si>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</si>
  <si>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</si>
  <si>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</si>
  <si>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</si>
  <si>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</si>
  <si>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</si>
  <si>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</si>
  <si>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</si>
  <si>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</si>
  <si>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</si>
  <si>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</si>
  <si>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</si>
  <si>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</si>
  <si>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</si>
  <si>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</si>
  <si>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</si>
  <si>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</si>
  <si>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</si>
  <si>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</si>
  <si>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</si>
  <si>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</si>
  <si>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</si>
  <si>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</si>
  <si>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</si>
  <si>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</si>
  <si>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</si>
  <si>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</si>
  <si>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</si>
  <si>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</si>
  <si>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</si>
  <si>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</si>
  <si>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</si>
  <si>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</si>
  <si>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</si>
  <si>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</si>
  <si>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</si>
  <si>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</si>
  <si>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</si>
  <si>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</si>
  <si>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</si>
  <si>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</si>
  <si>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</si>
  <si>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</si>
  <si>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</si>
  <si>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</si>
  <si>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</si>
  <si>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</si>
  <si>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</si>
  <si>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</si>
  <si>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</si>
  <si>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</si>
  <si>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</si>
  <si>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</si>
  <si>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</si>
  <si>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</si>
  <si>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</si>
  <si>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</si>
  <si>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</si>
  <si>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</si>
  <si>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</si>
  <si>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</si>
  <si>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</si>
  <si>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</si>
  <si>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</si>
  <si>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</si>
  <si>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</si>
  <si>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</si>
  <si>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</si>
  <si>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</si>
  <si>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</si>
  <si>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</si>
  <si>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</si>
  <si>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</si>
  <si>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</si>
  <si>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</si>
  <si>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</si>
  <si>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</si>
  <si>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</si>
  <si>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</si>
  <si>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</si>
  <si>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</si>
  <si>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</si>
  <si>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</si>
  <si>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</si>
  <si>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</si>
  <si>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</si>
  <si>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</si>
  <si>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</si>
  <si>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</si>
  <si>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</si>
  <si>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</si>
  <si>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</si>
  <si>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</si>
  <si>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</si>
  <si>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</si>
  <si>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</si>
  <si>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</si>
  <si>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</si>
  <si>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</si>
  <si>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</si>
  <si>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</si>
  <si>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</si>
  <si>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</si>
  <si>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</si>
  <si>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</si>
  <si>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</si>
  <si>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</si>
  <si>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</si>
  <si>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</si>
  <si>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</si>
  <si>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</si>
  <si>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</si>
  <si>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</si>
  <si>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</si>
  <si>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</si>
  <si>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</si>
  <si>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</si>
  <si>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</si>
  <si>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</si>
  <si>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</si>
  <si>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</si>
  <si>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</si>
  <si>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</si>
  <si>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</si>
  <si>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</si>
  <si>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</si>
  <si>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</si>
  <si>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</si>
  <si>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</si>
  <si>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</si>
  <si>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</si>
  <si>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</si>
  <si>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</si>
  <si>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</si>
  <si>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</si>
  <si>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</si>
  <si>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</si>
  <si>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</si>
  <si>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</si>
  <si>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</si>
  <si>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</si>
  <si>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</si>
  <si>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</si>
  <si>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</si>
  <si>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</si>
  <si>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</si>
  <si>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</si>
  <si>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</si>
  <si>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</si>
  <si>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</si>
  <si>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</si>
  <si>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</si>
  <si>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</si>
  <si>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</si>
  <si>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</si>
  <si>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</si>
  <si>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</si>
  <si>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</si>
  <si>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</si>
  <si>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</si>
  <si>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</si>
  <si>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</si>
  <si>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</si>
  <si>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</si>
  <si>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</si>
  <si>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</si>
  <si>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</si>
  <si>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</si>
  <si>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</si>
  <si>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</si>
  <si>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</si>
  <si>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</si>
  <si>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</si>
  <si>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</si>
  <si>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</si>
  <si>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</si>
  <si>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</si>
  <si>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</si>
  <si>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</si>
  <si>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</si>
  <si>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</si>
  <si>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</si>
  <si>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</si>
  <si>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</si>
  <si>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</si>
  <si>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</si>
  <si>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</si>
  <si>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</si>
  <si>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</si>
  <si>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</si>
  <si>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</si>
  <si>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</si>
  <si>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</si>
  <si>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</si>
  <si>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</si>
  <si>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</si>
  <si>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</si>
  <si>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</si>
  <si>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</si>
  <si>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</si>
  <si>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</si>
  <si>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</si>
  <si>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</si>
  <si>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</si>
  <si>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</si>
  <si>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</si>
  <si>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</si>
  <si>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</si>
  <si>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</si>
  <si>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</si>
  <si>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</si>
  <si>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</si>
  <si>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</si>
  <si>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</si>
  <si>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</si>
  <si>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</si>
  <si>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</si>
  <si>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</si>
  <si>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</si>
  <si>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</si>
  <si>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</si>
  <si>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</si>
  <si>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</si>
  <si>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</si>
  <si>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</si>
  <si>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</si>
  <si>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</si>
  <si>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</si>
  <si>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</si>
  <si>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</si>
  <si>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</si>
  <si>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</si>
  <si>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</si>
  <si>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</si>
  <si>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</si>
  <si>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</si>
  <si>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</si>
  <si>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</si>
  <si>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</si>
  <si>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</si>
  <si>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</si>
  <si>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</si>
  <si>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</si>
  <si>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</si>
  <si>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</si>
  <si>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</si>
  <si>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</si>
  <si>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</si>
  <si>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</si>
  <si>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</si>
  <si>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</si>
  <si>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</si>
  <si>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</si>
  <si>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</si>
  <si>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</si>
  <si>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</si>
  <si>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</si>
  <si>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</si>
  <si>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</si>
  <si>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</si>
  <si>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</si>
  <si>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</si>
  <si>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</si>
  <si>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</si>
  <si>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</si>
  <si>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</si>
  <si>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</si>
  <si>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</si>
  <si>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</si>
  <si>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</si>
  <si>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</si>
  <si>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</si>
  <si>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</si>
  <si>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</si>
  <si>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</si>
  <si>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</si>
  <si>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</si>
  <si>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</si>
  <si>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</si>
  <si>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</si>
  <si>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</si>
  <si>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</si>
  <si>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</si>
  <si>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</si>
  <si>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</si>
  <si>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</si>
  <si>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</si>
  <si>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</si>
  <si>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</si>
  <si>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</si>
  <si>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</si>
  <si>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</si>
  <si>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</si>
  <si>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</si>
  <si>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</si>
  <si>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</si>
  <si>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</si>
  <si>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</si>
  <si>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</si>
  <si>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</si>
  <si>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</si>
  <si>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</si>
  <si>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</si>
  <si>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</si>
  <si>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</si>
  <si>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</si>
  <si>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</si>
  <si>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</si>
  <si>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</si>
  <si>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</si>
  <si>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</si>
  <si>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</si>
  <si>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</si>
  <si>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</si>
  <si>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</si>
  <si>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</si>
  <si>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</si>
  <si>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</si>
  <si>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</si>
  <si>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</si>
  <si>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</si>
  <si>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</si>
  <si>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</si>
  <si>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</si>
  <si>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</si>
  <si>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</si>
  <si>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</si>
  <si>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</si>
  <si>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</si>
  <si>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</si>
  <si>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</si>
  <si>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</si>
  <si>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</si>
  <si>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</si>
  <si>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</si>
  <si>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</si>
  <si>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</si>
  <si>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</si>
  <si>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</si>
  <si>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</si>
  <si>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</si>
  <si>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</si>
  <si>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</si>
  <si>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</si>
  <si>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</si>
  <si>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</si>
  <si>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</si>
  <si>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</si>
  <si>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</si>
  <si>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</si>
  <si>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</si>
  <si>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</si>
  <si>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</si>
  <si>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</si>
  <si>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</si>
  <si>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</si>
  <si>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</si>
  <si>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</si>
  <si>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</si>
  <si>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</si>
  <si>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</si>
  <si>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</si>
  <si>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</si>
  <si>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</si>
  <si>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</si>
  <si>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</si>
  <si>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</si>
  <si>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</si>
  <si>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</si>
  <si>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</si>
  <si>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</si>
  <si>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</si>
  <si>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</si>
  <si>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</si>
  <si>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</si>
  <si>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</si>
  <si>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</si>
  <si>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</si>
  <si>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</si>
  <si>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</si>
  <si>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</si>
  <si>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</si>
  <si>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</si>
  <si>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</si>
  <si>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</si>
  <si>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</si>
  <si>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</si>
  <si>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</si>
  <si>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</si>
  <si>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</si>
  <si>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</si>
  <si>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</si>
  <si>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</si>
  <si>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</si>
  <si>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</si>
  <si>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</si>
  <si>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</si>
  <si>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</si>
  <si>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</si>
  <si>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</si>
  <si>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</si>
  <si>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</si>
  <si>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</si>
  <si>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</si>
  <si>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</si>
  <si>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</si>
  <si>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</si>
  <si>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</si>
  <si>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</si>
  <si>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</si>
  <si>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</si>
  <si>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</si>
  <si>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</si>
  <si>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</si>
  <si>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</si>
  <si>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</si>
  <si>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</si>
  <si>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</si>
  <si>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</si>
  <si>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</si>
  <si>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</si>
  <si>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</si>
  <si>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</si>
  <si>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</si>
  <si>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</si>
  <si>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</si>
  <si>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</si>
  <si>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</si>
  <si>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</si>
  <si>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</si>
  <si>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</si>
  <si>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</si>
  <si>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</si>
  <si>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</si>
  <si>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</si>
  <si>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</si>
  <si>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</si>
  <si>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</si>
  <si>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</si>
  <si>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</si>
  <si>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</si>
  <si>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</si>
  <si>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</si>
  <si>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</si>
  <si>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</si>
  <si>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</si>
  <si>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</si>
  <si>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</si>
  <si>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</si>
  <si>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</si>
  <si>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</si>
  <si>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</si>
  <si>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</si>
  <si>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</si>
  <si>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</si>
  <si>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</si>
  <si>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</si>
  <si>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</si>
  <si>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</si>
  <si>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</si>
  <si>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</si>
  <si>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</si>
  <si>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</si>
  <si>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</si>
  <si>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</si>
  <si>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</si>
  <si>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</si>
  <si>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</si>
  <si>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</si>
  <si>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</si>
  <si>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</si>
  <si>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</si>
  <si>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</si>
  <si>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</si>
  <si>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</si>
  <si>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</si>
  <si>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</si>
  <si>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</si>
  <si>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</si>
  <si>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</si>
  <si>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</si>
  <si>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</si>
  <si>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</si>
  <si>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</si>
  <si>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</si>
  <si>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</si>
  <si>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</si>
  <si>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</si>
  <si>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</si>
  <si>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</si>
  <si>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</si>
  <si>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</si>
  <si>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</si>
  <si>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</si>
  <si>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</si>
  <si>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</si>
  <si>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</si>
  <si>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</si>
  <si>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</si>
  <si>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</si>
  <si>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</si>
  <si>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</si>
  <si>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</si>
  <si>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</si>
  <si>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</si>
  <si>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</si>
  <si>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</si>
  <si>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</si>
  <si>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</si>
  <si>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</si>
  <si>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</si>
  <si>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</si>
  <si>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</si>
  <si>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</si>
  <si>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</si>
  <si>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</si>
  <si>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</si>
  <si>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</si>
  <si>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</si>
  <si>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</si>
  <si>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</si>
  <si>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</si>
  <si>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</si>
  <si>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</si>
  <si>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</si>
  <si>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</si>
  <si>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</si>
  <si>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</si>
  <si>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</si>
  <si>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</si>
  <si>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</si>
  <si>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</si>
  <si>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</si>
  <si>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</si>
  <si>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</si>
  <si>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</si>
  <si>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</si>
  <si>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</si>
  <si>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</si>
  <si>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</si>
  <si>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</si>
  <si>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</si>
  <si>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</si>
  <si>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</si>
  <si>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</si>
  <si>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</si>
  <si>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</si>
  <si>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</si>
  <si>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</si>
  <si>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</si>
  <si>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</si>
  <si>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</si>
  <si>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</si>
  <si>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</si>
  <si>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</si>
  <si>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</si>
  <si>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</si>
  <si>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</si>
  <si>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</si>
  <si>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</si>
  <si>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</si>
  <si>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</si>
  <si>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</si>
  <si>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</si>
  <si>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</si>
  <si>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</si>
  <si>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</si>
  <si>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</si>
  <si>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</si>
  <si>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</si>
  <si>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</si>
  <si>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</si>
  <si>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</si>
  <si>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</si>
  <si>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</si>
  <si>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</si>
  <si>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</si>
  <si>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</si>
  <si>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</si>
  <si>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</si>
  <si>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</si>
  <si>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</si>
  <si>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</si>
  <si>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</si>
  <si>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</si>
  <si>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</si>
  <si>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</si>
  <si>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</si>
  <si>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</si>
  <si>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</si>
  <si>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</si>
  <si>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</si>
  <si>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</si>
  <si>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</si>
  <si>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</si>
  <si>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</si>
  <si>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</si>
  <si>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</si>
  <si>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</si>
  <si>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</si>
  <si>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</si>
  <si>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</si>
  <si>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</si>
  <si>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</si>
  <si>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</si>
  <si>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</si>
  <si>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</si>
  <si>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</si>
  <si>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</si>
  <si>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</si>
  <si>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</si>
  <si>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</si>
  <si>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</si>
  <si>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</si>
  <si>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</si>
  <si>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</si>
  <si>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</si>
  <si>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</si>
  <si>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</si>
  <si>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</si>
  <si>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</si>
  <si>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</si>
  <si>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</si>
  <si>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</si>
  <si>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</si>
  <si>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</si>
  <si>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</si>
  <si>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</si>
  <si>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</si>
  <si>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</si>
  <si>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</si>
  <si>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</si>
  <si>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</si>
  <si>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</si>
  <si>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</si>
  <si>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</si>
  <si>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</si>
  <si>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</si>
  <si>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</si>
  <si>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</si>
  <si>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</si>
  <si>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</si>
  <si>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</si>
  <si>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</si>
  <si>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</si>
  <si>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</si>
  <si>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</si>
  <si>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</si>
  <si>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</si>
  <si>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</si>
  <si>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</si>
  <si>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</si>
  <si>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</si>
  <si>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</si>
  <si>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</si>
  <si>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</si>
  <si>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</si>
  <si>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</si>
  <si>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</si>
  <si>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</si>
  <si>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</si>
  <si>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</si>
  <si>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</si>
  <si>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</si>
  <si>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</si>
  <si>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</si>
  <si>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</si>
  <si>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</si>
  <si>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</si>
  <si>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</si>
  <si>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</si>
  <si>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</si>
  <si>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</si>
  <si>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</si>
  <si>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</si>
  <si>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</si>
  <si>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</si>
  <si>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</si>
  <si>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</si>
  <si>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</si>
  <si>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</si>
  <si>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</si>
  <si>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</si>
  <si>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</si>
  <si>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</si>
  <si>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</si>
  <si>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</si>
  <si>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</si>
  <si>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</si>
  <si>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</si>
  <si>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</si>
  <si>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</si>
  <si>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</si>
  <si>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</si>
  <si>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</si>
  <si>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</si>
  <si>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</si>
  <si>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</si>
  <si>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</si>
  <si>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</si>
  <si>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</si>
  <si>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</si>
  <si>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</si>
  <si>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</si>
  <si>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</si>
  <si>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</si>
  <si>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</si>
  <si>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</si>
  <si>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</si>
  <si>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</si>
  <si>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</si>
  <si>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</si>
  <si>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</si>
  <si>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</si>
  <si>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</si>
  <si>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</si>
  <si>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</si>
  <si>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</si>
  <si>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</si>
  <si>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</si>
  <si>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</si>
  <si>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</si>
  <si>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</si>
  <si>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</si>
  <si>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</si>
  <si>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</si>
  <si>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</si>
  <si>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</si>
  <si>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</si>
  <si>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</si>
  <si>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</si>
  <si>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</si>
  <si>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</si>
  <si>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</si>
  <si>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</si>
  <si>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</si>
  <si>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</si>
  <si>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</si>
  <si>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</si>
  <si>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</si>
  <si>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</si>
  <si>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</si>
  <si>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</si>
  <si>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</si>
  <si>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</si>
  <si>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</si>
  <si>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</si>
  <si>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</si>
  <si>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</si>
  <si>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</si>
  <si>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</si>
  <si>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</si>
  <si>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</si>
  <si>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</si>
  <si>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</si>
  <si>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</si>
  <si>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</si>
  <si>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</si>
  <si>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</si>
  <si>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</si>
  <si>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</si>
  <si>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</si>
  <si>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</si>
  <si>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</si>
  <si>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</si>
  <si>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</si>
  <si>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</si>
  <si>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</si>
  <si>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</si>
  <si>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</si>
  <si>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</si>
  <si>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</si>
  <si>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</si>
  <si>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</si>
  <si>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</si>
  <si>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</si>
  <si>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</si>
  <si>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</si>
  <si>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</si>
  <si>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</si>
  <si>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</si>
  <si>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</si>
  <si>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</si>
  <si>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</si>
  <si>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</si>
  <si>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</si>
  <si>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</si>
  <si>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</si>
  <si>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</si>
  <si>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</si>
  <si>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</si>
  <si>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</si>
  <si>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</si>
  <si>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</si>
  <si>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</si>
  <si>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</si>
  <si>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</si>
  <si>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</si>
  <si>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</si>
  <si>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</si>
  <si>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</si>
  <si>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</si>
  <si>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</si>
  <si>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</si>
  <si>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</si>
  <si>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</si>
  <si>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</si>
  <si>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</si>
  <si>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</si>
  <si>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</si>
  <si>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</si>
  <si>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</si>
  <si>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</si>
  <si>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</si>
  <si>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</si>
  <si>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</si>
  <si>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</si>
  <si>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</si>
  <si>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</si>
  <si>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</si>
  <si>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</si>
  <si>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</si>
  <si>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</si>
  <si>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</si>
  <si>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</si>
  <si>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</si>
  <si>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</si>
  <si>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</si>
  <si>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</si>
  <si>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</si>
  <si>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</si>
  <si>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</si>
  <si>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</si>
  <si>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</si>
  <si>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</si>
  <si>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</si>
  <si>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</si>
  <si>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</si>
  <si>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</si>
  <si>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</si>
  <si>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</si>
  <si>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</si>
  <si>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</si>
  <si>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</si>
  <si>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</si>
  <si>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</si>
  <si>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</si>
  <si>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</si>
  <si>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</si>
  <si>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</si>
  <si>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</si>
  <si>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</si>
  <si>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</si>
  <si>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</si>
  <si>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</si>
  <si>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</si>
  <si>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</si>
  <si>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</si>
  <si>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</si>
  <si>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</si>
  <si>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</si>
  <si>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</si>
  <si>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</si>
  <si>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</si>
  <si>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</si>
  <si>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</si>
  <si>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</si>
  <si>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</si>
  <si>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</si>
  <si>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</si>
  <si>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</si>
  <si>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</si>
  <si>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</si>
  <si>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</si>
  <si>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</si>
  <si>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</si>
  <si>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</si>
  <si>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</si>
  <si>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</si>
  <si>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</si>
  <si>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</si>
  <si>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</si>
  <si>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</si>
  <si>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</si>
  <si>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</si>
  <si>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</si>
  <si>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</si>
  <si>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</si>
  <si>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</si>
  <si>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</si>
  <si>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</si>
  <si>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</si>
  <si>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</si>
  <si>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</si>
  <si>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</si>
  <si>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</si>
  <si>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</si>
  <si>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</si>
  <si>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</si>
  <si>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</si>
  <si>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</si>
  <si>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</si>
  <si>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</si>
  <si>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</si>
  <si>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</si>
  <si>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</si>
  <si>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</si>
  <si>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</si>
  <si>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</si>
  <si>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</si>
  <si>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</si>
  <si>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</si>
  <si>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</si>
  <si>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</si>
  <si>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</si>
  <si>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</si>
  <si>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</si>
  <si>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</si>
  <si>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</si>
  <si>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</si>
  <si>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</si>
  <si>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</si>
  <si>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</si>
  <si>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</si>
  <si>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</si>
  <si>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</si>
  <si>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</si>
  <si>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</si>
  <si>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</si>
  <si>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</si>
  <si>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</si>
  <si>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</si>
  <si>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</si>
  <si>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</si>
  <si>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</si>
  <si>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</si>
  <si>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</si>
  <si>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</si>
  <si>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</si>
  <si>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</si>
  <si>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</si>
  <si>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</si>
  <si>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</si>
  <si>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</si>
  <si>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</si>
  <si>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</si>
  <si>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</si>
  <si>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</si>
  <si>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</si>
  <si>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</si>
  <si>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</si>
  <si>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</si>
  <si>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</si>
  <si>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</si>
  <si>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</si>
  <si>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</si>
  <si>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</si>
  <si>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</si>
  <si>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</si>
  <si>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</si>
  <si>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</si>
  <si>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</si>
  <si>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</si>
  <si>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</si>
  <si>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</si>
  <si>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</si>
  <si>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</si>
  <si>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</si>
  <si>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</si>
  <si>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</si>
  <si>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</si>
  <si>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</si>
  <si>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</si>
  <si>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</si>
  <si>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</si>
  <si>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</si>
  <si>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</si>
  <si>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</si>
  <si>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</si>
  <si>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</si>
  <si>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</si>
  <si>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</si>
  <si>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</si>
  <si>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</si>
  <si>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</si>
  <si>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</si>
  <si>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</si>
  <si>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</si>
  <si>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</si>
  <si>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</si>
  <si>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</si>
  <si>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</si>
  <si>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</si>
  <si>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</si>
  <si>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</si>
  <si>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</si>
  <si>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</si>
  <si>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</si>
  <si>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</si>
  <si>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</si>
  <si>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</si>
  <si>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</si>
  <si>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</si>
  <si>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</si>
  <si>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</si>
  <si>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</si>
  <si>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</si>
  <si>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</si>
  <si>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</si>
  <si>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</si>
  <si>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</si>
  <si>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</si>
  <si>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</si>
  <si>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</si>
  <si>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</si>
  <si>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</si>
  <si>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</si>
  <si>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</si>
  <si>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</si>
  <si>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</si>
  <si>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</si>
  <si>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</si>
  <si>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</si>
  <si>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</si>
  <si>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</si>
  <si>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</si>
  <si>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</si>
  <si>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</si>
  <si>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</si>
  <si>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</si>
  <si>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</si>
  <si>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</si>
  <si>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</si>
  <si>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</si>
  <si>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</si>
  <si>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</si>
  <si>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</si>
  <si>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</si>
  <si>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</si>
  <si>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</si>
  <si>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</si>
  <si>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</si>
  <si>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</si>
  <si>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</si>
  <si>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</si>
  <si>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</si>
  <si>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</si>
  <si>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</si>
  <si>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</si>
  <si>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</si>
  <si>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</si>
  <si>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</si>
  <si>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</si>
  <si>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</si>
  <si>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</si>
  <si>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</si>
  <si>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</si>
  <si>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</si>
  <si>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</si>
  <si>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</si>
  <si>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</si>
  <si>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</si>
  <si>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</si>
  <si>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</si>
  <si>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</si>
  <si>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</si>
  <si>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</si>
  <si>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</si>
  <si>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</si>
  <si>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</si>
  <si>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</si>
  <si>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</si>
  <si>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</si>
  <si>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</si>
  <si>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</si>
  <si>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</si>
  <si>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</si>
  <si>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</si>
  <si>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</si>
  <si>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</si>
  <si>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</si>
  <si>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</si>
  <si>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</si>
  <si>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</si>
  <si>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</si>
  <si>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</si>
  <si>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</si>
  <si>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</si>
  <si>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</si>
  <si>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</si>
  <si>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</si>
  <si>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</si>
  <si>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</si>
  <si>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</si>
  <si>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</si>
  <si>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</si>
  <si>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</si>
  <si>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</si>
  <si>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</si>
  <si>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</si>
  <si>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</si>
  <si>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</si>
  <si>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</si>
  <si>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</si>
  <si>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</si>
  <si>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</si>
  <si>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</si>
  <si>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</si>
  <si>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</si>
  <si>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</si>
  <si>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</si>
  <si>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</si>
  <si>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</si>
  <si>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</si>
  <si>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</si>
  <si>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</si>
  <si>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</si>
  <si>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</si>
  <si>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</si>
  <si>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</si>
  <si>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</si>
  <si>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</si>
  <si>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</si>
  <si>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</si>
  <si>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</si>
  <si>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</si>
  <si>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</si>
  <si>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</si>
  <si>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Includes Shredded Currency Notes</t>
  </si>
  <si>
    <t>Stored in Hazardous Waste Area</t>
  </si>
  <si>
    <t xml:space="preserve">Compostable materials includes Shredded Currency Notes that were dump and covered with soil in the vacant lot area of BSP Dagupan for decomposition process.  </t>
  </si>
  <si>
    <t>RAUL SM. JIMENEZ, JR.</t>
  </si>
  <si>
    <t>Septic Tank</t>
  </si>
  <si>
    <t>VRF System 1 Ground Floor</t>
  </si>
  <si>
    <t>VRF System 4 Second Floor</t>
  </si>
  <si>
    <t>VRF System 3 Second Floor</t>
  </si>
  <si>
    <t>CCTV Room C</t>
  </si>
  <si>
    <t>CCTV Room D</t>
  </si>
  <si>
    <t>Data Cabinet</t>
  </si>
  <si>
    <t>Lobby Area</t>
  </si>
  <si>
    <t>UPS Room</t>
  </si>
  <si>
    <t>Guard House 1</t>
  </si>
  <si>
    <t>EFLC</t>
  </si>
  <si>
    <t>PACD</t>
  </si>
  <si>
    <t>Workshop</t>
  </si>
  <si>
    <t>Newly installed PACU's and VRF Airconditioning System. /  Some relocated old PACU's</t>
  </si>
  <si>
    <t>SFX 393</t>
  </si>
  <si>
    <t>SLF430</t>
  </si>
  <si>
    <t>SHJ 913</t>
  </si>
  <si>
    <t>Raul S. Jimenez</t>
  </si>
  <si>
    <t>$C$7</t>
  </si>
  <si>
    <t>$M$4</t>
  </si>
  <si>
    <t>$C$6</t>
  </si>
  <si>
    <t>$J$8</t>
  </si>
  <si>
    <t>$J$13</t>
  </si>
  <si>
    <t>$J$14</t>
  </si>
  <si>
    <t>$J$15</t>
  </si>
  <si>
    <t>$K$8</t>
  </si>
  <si>
    <t>$K$13</t>
  </si>
  <si>
    <t>$K$14</t>
  </si>
  <si>
    <t>$K$15</t>
  </si>
  <si>
    <t>$K$16</t>
  </si>
  <si>
    <t>$K$17</t>
  </si>
  <si>
    <t>$K$18</t>
  </si>
  <si>
    <t>$M$8</t>
  </si>
  <si>
    <t>$M$15</t>
  </si>
  <si>
    <t>$M$17</t>
  </si>
  <si>
    <t>$M$18</t>
  </si>
  <si>
    <t>27KVA</t>
  </si>
  <si>
    <t>165KVA</t>
  </si>
  <si>
    <t>$O$9</t>
  </si>
  <si>
    <t>$O$9:$O$18</t>
  </si>
  <si>
    <t>$A$27:$E$39</t>
  </si>
  <si>
    <t>VRF System 2 Second Floor</t>
  </si>
  <si>
    <t>VRF System 3 Ground Floor</t>
  </si>
  <si>
    <t>$J$9:$J$25</t>
  </si>
  <si>
    <t>$K$9:$K$25</t>
  </si>
  <si>
    <t>$L$9:$L$25</t>
  </si>
  <si>
    <t>$M$9:$M$25</t>
  </si>
  <si>
    <t>$N$9:$N$25</t>
  </si>
  <si>
    <t>$O$9:$O$24</t>
  </si>
  <si>
    <t>$P$9:$P$24</t>
  </si>
  <si>
    <t>$Q$18:$Q$25</t>
  </si>
  <si>
    <t>$R$18:$R$25</t>
  </si>
  <si>
    <t>$Q$14:$R$16</t>
  </si>
  <si>
    <t>$J$9:$R$25</t>
  </si>
  <si>
    <t>$O$11</t>
  </si>
  <si>
    <t>$O$13</t>
  </si>
  <si>
    <t>$O$14</t>
  </si>
  <si>
    <t>$O$15</t>
  </si>
  <si>
    <t>$O$16</t>
  </si>
  <si>
    <t>$O$17</t>
  </si>
  <si>
    <t>$Q$18</t>
  </si>
  <si>
    <t>$O$19</t>
  </si>
  <si>
    <t>$O$21</t>
  </si>
  <si>
    <t>$O$23</t>
  </si>
  <si>
    <t>$O$24</t>
  </si>
  <si>
    <t>$Q$25</t>
  </si>
  <si>
    <t>$Q$22</t>
  </si>
  <si>
    <t>$Q$20</t>
  </si>
  <si>
    <t>$Q$18:$Q$26</t>
  </si>
  <si>
    <t>$N$11</t>
  </si>
  <si>
    <t>$N$12</t>
  </si>
  <si>
    <t>$N$13</t>
  </si>
  <si>
    <t>$N$14</t>
  </si>
  <si>
    <t>$N$15</t>
  </si>
  <si>
    <t>$N$16</t>
  </si>
  <si>
    <t>$N$17</t>
  </si>
  <si>
    <t>$N$19</t>
  </si>
  <si>
    <t>$N$21</t>
  </si>
  <si>
    <t>$N$23</t>
  </si>
  <si>
    <t>$N$24</t>
  </si>
  <si>
    <t>$R$10</t>
  </si>
  <si>
    <t>$R$12</t>
  </si>
  <si>
    <t>$R$13</t>
  </si>
  <si>
    <t>$R$14</t>
  </si>
  <si>
    <t>$R$15</t>
  </si>
  <si>
    <t>$R$16</t>
  </si>
  <si>
    <t>$R$17</t>
  </si>
  <si>
    <t>$R$19</t>
  </si>
  <si>
    <t>$R$21</t>
  </si>
  <si>
    <t>$R$23</t>
  </si>
  <si>
    <t>$R$24</t>
  </si>
  <si>
    <t>$Q$9</t>
  </si>
  <si>
    <t>27kVA</t>
  </si>
  <si>
    <t>165kVA</t>
  </si>
  <si>
    <t>SAC2846</t>
  </si>
  <si>
    <t>$N$7:$N$11</t>
  </si>
  <si>
    <t>$I$19:$O$106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</si>
</sst>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5">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4"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4" fontId="8" fillId="3" borderId="4" xfId="0" applyNumberFormat="1"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89742013889"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22"/>
    </cacheField>
    <cacheField name="Vehicle Type" numFmtId="0">
      <sharedItems containsBlank="1" count="12">
        <s v="Armored Vehicle"/>
        <s v="Van  "/>
        <s v="Multi-Purpose Vehicle"/>
        <m/>
        <s v="Sport Utility Vehicle  (SUV)" u="1"/>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m/>
        <s v="Jul" u="1"/>
        <s v="Aug" u="1"/>
        <s v="Sep" u="1"/>
        <s v="Oct" u="1"/>
        <s v="Nov" u="1"/>
        <s v="Dec" u="1"/>
      </sharedItems>
    </cacheField>
    <cacheField name="Quarter" numFmtId="0">
      <sharedItems containsBlank="1" count="6">
        <s v="Q1"/>
        <s v="Q2"/>
        <s v=""/>
        <s v="Q3" u="1"/>
        <s v="Q4" u="1"/>
        <m u="1"/>
      </sharedItems>
    </cacheField>
    <cacheField name="Consumption" numFmtId="4">
      <sharedItems containsString="0" containsBlank="1" containsNumber="1" minValue="27.86" maxValue="283.08"/>
    </cacheField>
    <cacheField name="Unit" numFmtId="0">
      <sharedItems containsBlank="1"/>
    </cacheField>
    <cacheField name="Total kilometers travelled (all vehicles)" numFmtId="4">
      <sharedItems containsString="0" containsBlank="1" containsNumber="1" containsInteger="1" minValue="22" maxValue="1301"/>
    </cacheField>
    <cacheField name="Unit2" numFmtId="0">
      <sharedItems/>
    </cacheField>
    <cacheField name="Column1" numFmtId="0">
      <sharedItems containsBlank="1" containsMixedTypes="1" containsNumber="1" containsInteger="1" minValue="131210" maxValue="131210"/>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120.01"/>
    <s v="Liters"/>
    <n v="445"/>
    <s v="Kilometers"/>
    <s v="SFX 393"/>
  </r>
  <r>
    <n v="2"/>
    <x v="0"/>
    <x v="0"/>
    <x v="0"/>
    <x v="0"/>
    <n v="92.03"/>
    <m/>
    <n v="445"/>
    <s v="Kilometers"/>
    <n v="131210"/>
  </r>
  <r>
    <n v="3"/>
    <x v="1"/>
    <x v="0"/>
    <x v="0"/>
    <x v="0"/>
    <n v="30.3"/>
    <s v="Liters"/>
    <n v="306"/>
    <s v="Kilometers"/>
    <s v="SLF430"/>
  </r>
  <r>
    <n v="4"/>
    <x v="2"/>
    <x v="0"/>
    <x v="0"/>
    <x v="0"/>
    <n v="98.57"/>
    <s v="Liters"/>
    <n v="1062"/>
    <s v="Kilometers"/>
    <s v="SAC2846"/>
  </r>
  <r>
    <n v="5"/>
    <x v="0"/>
    <x v="0"/>
    <x v="1"/>
    <x v="0"/>
    <n v="265.2"/>
    <s v="Liters"/>
    <n v="845"/>
    <s v="Kilometers"/>
    <s v="SFX 393"/>
  </r>
  <r>
    <n v="6"/>
    <x v="0"/>
    <x v="0"/>
    <x v="1"/>
    <x v="0"/>
    <n v="150"/>
    <s v="Liters"/>
    <n v="862"/>
    <s v="Kilometers"/>
    <n v="131210"/>
  </r>
  <r>
    <n v="7"/>
    <x v="1"/>
    <x v="0"/>
    <x v="1"/>
    <x v="0"/>
    <n v="63.18"/>
    <s v="Liters"/>
    <n v="725"/>
    <s v="Kilometers"/>
    <s v="SLF430"/>
  </r>
  <r>
    <n v="8"/>
    <x v="2"/>
    <x v="0"/>
    <x v="1"/>
    <x v="0"/>
    <n v="78.2"/>
    <s v="Liters"/>
    <n v="940"/>
    <s v="Kilometers"/>
    <s v="SAC2846"/>
  </r>
  <r>
    <n v="9"/>
    <x v="0"/>
    <x v="0"/>
    <x v="2"/>
    <x v="0"/>
    <n v="283.08"/>
    <s v="Liters"/>
    <n v="860"/>
    <s v="Kilometers"/>
    <s v="SFX 393"/>
  </r>
  <r>
    <n v="10"/>
    <x v="0"/>
    <x v="0"/>
    <x v="2"/>
    <x v="0"/>
    <n v="151.07"/>
    <s v="Liters"/>
    <n v="844"/>
    <s v="Kilometers"/>
    <n v="131210"/>
  </r>
  <r>
    <n v="11"/>
    <x v="0"/>
    <x v="0"/>
    <x v="2"/>
    <x v="0"/>
    <n v="56.01"/>
    <s v="Liters"/>
    <n v="22"/>
    <s v="Kilometers"/>
    <s v="SHJ 913"/>
  </r>
  <r>
    <n v="12"/>
    <x v="1"/>
    <x v="0"/>
    <x v="2"/>
    <x v="0"/>
    <n v="34.94"/>
    <s v="Liters"/>
    <n v="376"/>
    <s v="Kilometers"/>
    <s v="SLF430"/>
  </r>
  <r>
    <n v="13"/>
    <x v="2"/>
    <x v="0"/>
    <x v="2"/>
    <x v="0"/>
    <n v="84.38"/>
    <s v="Liters"/>
    <n v="1108"/>
    <s v="Kilometers"/>
    <s v="SAC2846"/>
  </r>
  <r>
    <n v="14"/>
    <x v="1"/>
    <x v="0"/>
    <x v="3"/>
    <x v="1"/>
    <n v="147.88"/>
    <s v="Liters"/>
    <n v="1255"/>
    <s v="Kilometers"/>
    <s v="SLF430"/>
  </r>
  <r>
    <n v="15"/>
    <x v="2"/>
    <x v="0"/>
    <x v="3"/>
    <x v="1"/>
    <n v="94.01"/>
    <s v="Liters"/>
    <n v="1301"/>
    <s v="Kilometers"/>
    <s v="SAC2846"/>
  </r>
  <r>
    <n v="16"/>
    <x v="0"/>
    <x v="0"/>
    <x v="4"/>
    <x v="1"/>
    <n v="201.68"/>
    <s v="Liters"/>
    <n v="789"/>
    <s v="Kilometers"/>
    <n v="131210"/>
  </r>
  <r>
    <n v="17"/>
    <x v="1"/>
    <x v="0"/>
    <x v="4"/>
    <x v="1"/>
    <n v="27.86"/>
    <s v="Liters"/>
    <n v="183"/>
    <s v="Kilometers"/>
    <s v="SLF430"/>
  </r>
  <r>
    <n v="18"/>
    <x v="2"/>
    <x v="0"/>
    <x v="4"/>
    <x v="1"/>
    <n v="94.01"/>
    <s v="Liters"/>
    <n v="828"/>
    <s v="Kilometers"/>
    <s v="SAC2846"/>
  </r>
  <r>
    <n v="19"/>
    <x v="0"/>
    <x v="0"/>
    <x v="5"/>
    <x v="1"/>
    <n v="212.06"/>
    <s v="Liters"/>
    <n v="479"/>
    <s v="Kilometers"/>
    <s v="SFX 393"/>
  </r>
  <r>
    <n v="20"/>
    <x v="0"/>
    <x v="0"/>
    <x v="5"/>
    <x v="1"/>
    <n v="254.47"/>
    <s v="Liters"/>
    <n v="1115"/>
    <s v="Kilometers"/>
    <n v="131210"/>
  </r>
  <r>
    <n v="21"/>
    <x v="1"/>
    <x v="0"/>
    <x v="5"/>
    <x v="1"/>
    <n v="48.05"/>
    <s v="Liters"/>
    <n v="599"/>
    <s v="Kilometers"/>
    <s v="SLF430"/>
  </r>
  <r>
    <n v="22"/>
    <x v="2"/>
    <x v="0"/>
    <x v="5"/>
    <x v="1"/>
    <n v="55.72"/>
    <s v="Liters"/>
    <n v="383"/>
    <s v="Kilometers"/>
    <s v="SAC2846"/>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57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5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5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58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39" firstHeaderRow="1" firstDataRow="2" firstDataCol="1" rowPageCount="1" colPageCount="1"/>
  <pivotFields count="10">
    <pivotField showAll="0"/>
    <pivotField axis="axisRow" showAll="0">
      <items count="13">
        <item m="1" x="11"/>
        <item m="1" x="10"/>
        <item x="3"/>
        <item m="1" x="5"/>
        <item m="1" x="9"/>
        <item m="1" x="6"/>
        <item m="1" x="7"/>
        <item m="1" x="8"/>
        <item x="0"/>
        <item x="1"/>
        <item m="1" x="4"/>
        <item x="2"/>
        <item t="default"/>
      </items>
    </pivotField>
    <pivotField axis="axisRow" showAll="0">
      <items count="5">
        <item x="0"/>
        <item m="1" x="2"/>
        <item x="1"/>
        <item m="1" x="3"/>
        <item t="default"/>
      </items>
    </pivotField>
    <pivotField axis="axisPage" showAll="0">
      <items count="14">
        <item x="0"/>
        <item x="1"/>
        <item m="1" x="10"/>
        <item x="6"/>
        <item x="4"/>
        <item m="1" x="9"/>
        <item x="2"/>
        <item x="3"/>
        <item x="5"/>
        <item m="1" x="7"/>
        <item m="1" x="8"/>
        <item m="1" x="11"/>
        <item m="1" x="12"/>
        <item t="default"/>
      </items>
    </pivotField>
    <pivotField axis="axisCol" showAll="0">
      <items count="7">
        <item x="2"/>
        <item x="0"/>
        <item m="1" x="4"/>
        <item x="1"/>
        <item m="1" x="3"/>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i>
    <i>
      <x v="11"/>
    </i>
    <i r="1">
      <x/>
    </i>
    <i t="grand">
      <x/>
    </i>
  </rowItems>
  <colFields count="1">
    <field x="4"/>
  </colFields>
  <colItems count="4">
    <i>
      <x/>
    </i>
    <i>
      <x v="1"/>
    </i>
    <i>
      <x v="3"/>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57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5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5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2">
        <i x="0" s="1"/>
        <i x="2" s="1"/>
        <i x="1" s="1"/>
        <i x="11" s="1" nd="1"/>
        <i x="6" s="1" nd="1"/>
        <i x="7" s="1" nd="1"/>
        <i x="8" s="1" nd="1"/>
        <i x="5" s="1" nd="1"/>
        <i x="10" s="1" nd="1"/>
        <i x="9" s="1" nd="1"/>
        <i x="4"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7" s="1" nd="1"/>
        <i x="8" s="1" nd="1"/>
        <i x="9" s="1" nd="1"/>
        <i x="10" s="1" nd="1"/>
        <i x="11" s="1" nd="1"/>
        <i x="12"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3" s="1" nd="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09" dataDxfId="107" headerRowBorderDxfId="108" tableBorderDxfId="106">
  <autoFilter ref="I6:O18"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Column1"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051" totalsRowShown="0" headerRowDxfId="8">
  <autoFilter ref="A1:E1051"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A12"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36" zoomScale="88" zoomScaleNormal="60" workbookViewId="0">
      <selection activeCell="I26" sqref="I26"/>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4" t="s">
        <v>389</v>
      </c>
      <c r="E2" s="445"/>
      <c r="F2" s="445"/>
      <c r="G2" s="446"/>
    </row>
    <row r="3" spans="3:7" x14ac:dyDescent="0.2">
      <c r="C3" s="117" t="s">
        <v>12</v>
      </c>
      <c r="D3" s="444">
        <v>2025</v>
      </c>
      <c r="E3" s="445"/>
      <c r="F3" s="445"/>
      <c r="G3" s="446"/>
    </row>
    <row r="5" spans="3:7" ht="19" customHeight="1" x14ac:dyDescent="0.2">
      <c r="C5" s="443" t="s">
        <v>148</v>
      </c>
      <c r="D5" s="443"/>
      <c r="E5" s="443"/>
      <c r="F5" s="443"/>
      <c r="G5" s="443"/>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286.84000000000003</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2642.71</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182080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1007</v>
      </c>
    </row>
    <row r="40" spans="3:5" x14ac:dyDescent="0.2">
      <c r="C40" s="189" t="str">
        <f>'2.4 Water'!B12</f>
        <v>Water Discharge</v>
      </c>
      <c r="D40" s="189" t="str">
        <f>'2.4 Water'!C12</f>
        <v>Cubic meters</v>
      </c>
      <c r="E40" s="190">
        <f>SUM('2.4 Water'!$D$12:$G$12)</f>
        <v>384</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20179.98</v>
      </c>
    </row>
    <row r="45" spans="3:5" x14ac:dyDescent="0.2">
      <c r="C45" s="189" t="str">
        <f>'2.5 Waste'!B12</f>
        <v>Recyclable</v>
      </c>
      <c r="D45" s="189" t="str">
        <f>'2.5 Waste'!C12</f>
        <v>Kilograms</v>
      </c>
      <c r="E45" s="191">
        <f>SUM('2.5 Waste'!$D$12:$G$12)</f>
        <v>259.98</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topLeftCell="C3" zoomScaleNormal="100" workbookViewId="0">
      <selection activeCell="I19" sqref="I19:O106"/>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Dagupan Branch</v>
      </c>
      <c r="C4" s="37"/>
      <c r="D4" s="38">
        <f>IF('1. Data Info and Summary'!$D$3=0,"-",'1. Data Info and Summary'!$D$3)</f>
        <v>2025</v>
      </c>
      <c r="E4" s="37"/>
      <c r="F4" s="37" t="s">
        <v>171</v>
      </c>
      <c r="G4" s="39"/>
      <c r="I4" s="338"/>
      <c r="J4" s="276"/>
      <c r="K4" s="276"/>
      <c r="L4" s="276"/>
      <c r="M4" s="277"/>
      <c r="N4" s="277"/>
      <c r="O4" s="414"/>
      <c r="P4" s="213"/>
    </row>
    <row r="5" spans="2:16" x14ac:dyDescent="0.2">
      <c r="I5" s="20"/>
      <c r="J5" s="272"/>
    </row>
    <row r="6" spans="2:16" x14ac:dyDescent="0.2">
      <c r="B6" s="278" t="s">
        <v>172</v>
      </c>
      <c r="C6" s="447" t="s">
        <v>1434</v>
      </c>
      <c r="D6" s="448"/>
      <c r="E6" s="448"/>
      <c r="F6" s="448"/>
      <c r="G6" s="449"/>
      <c r="I6" s="209" t="s">
        <v>173</v>
      </c>
      <c r="J6" s="209" t="s">
        <v>35</v>
      </c>
      <c r="K6" s="209" t="s">
        <v>39</v>
      </c>
      <c r="L6" s="209" t="s">
        <v>43</v>
      </c>
      <c r="M6" s="209" t="s">
        <v>47</v>
      </c>
      <c r="N6" s="209" t="s">
        <v>51</v>
      </c>
      <c r="O6" s="209" t="s">
        <v>54</v>
      </c>
      <c r="P6" s="20"/>
    </row>
    <row r="7" spans="2:16" x14ac:dyDescent="0.2">
      <c r="B7" s="278" t="s">
        <v>174</v>
      </c>
      <c r="C7" s="450">
        <v>45910</v>
      </c>
      <c r="D7" s="448"/>
      <c r="E7" s="448"/>
      <c r="F7" s="448"/>
      <c r="G7" s="449"/>
      <c r="I7" s="194">
        <f>IF($M7="","",1)</f>
        <v>1</v>
      </c>
      <c r="J7" s="57" t="s">
        <v>37</v>
      </c>
      <c r="K7" s="58" t="s">
        <v>338</v>
      </c>
      <c r="L7" s="18" t="str">
        <f>IF(Fuel_Blg[[#This Row],[Month]]&lt;&gt;"",VLOOKUP(Fuel_Blg[[#This Row],[Month]], dropdown!$S$4:$T$15, 2, FALSE),"")</f>
        <v>Q1</v>
      </c>
      <c r="M7" s="29">
        <v>2.67</v>
      </c>
      <c r="N7" s="17" t="str">
        <f>IF($J7="","",VLOOKUP($J7,dropdown!$P$3:$Q$8,2,FALSE))</f>
        <v>Liters</v>
      </c>
      <c r="O7" s="195" t="s">
        <v>1527</v>
      </c>
      <c r="P7" s="20"/>
    </row>
    <row r="8" spans="2:16" x14ac:dyDescent="0.2">
      <c r="I8" s="194"/>
      <c r="J8" s="57" t="s">
        <v>37</v>
      </c>
      <c r="K8" s="58" t="s">
        <v>338</v>
      </c>
      <c r="L8" s="18" t="str">
        <f>IF(Fuel_Blg[[#This Row],[Month]]&lt;&gt;"",VLOOKUP(Fuel_Blg[[#This Row],[Month]], dropdown!$S$4:$T$15, 2, FALSE),"")</f>
        <v>Q1</v>
      </c>
      <c r="M8" s="29">
        <v>14</v>
      </c>
      <c r="N8" s="17" t="str">
        <f>IF($J8="","",VLOOKUP($J8,dropdown!$P$3:$Q$8,2,FALSE))</f>
        <v>Liters</v>
      </c>
      <c r="O8" s="195" t="s">
        <v>1528</v>
      </c>
      <c r="P8" s="20"/>
    </row>
    <row r="9" spans="2:16" x14ac:dyDescent="0.2">
      <c r="B9" s="14" t="s">
        <v>33</v>
      </c>
      <c r="C9" s="14"/>
      <c r="D9" s="14"/>
      <c r="E9" s="14"/>
      <c r="F9" s="14"/>
      <c r="G9" s="14"/>
      <c r="I9" s="194"/>
      <c r="J9" s="57" t="s">
        <v>37</v>
      </c>
      <c r="K9" s="58" t="s">
        <v>89</v>
      </c>
      <c r="L9" s="18" t="str">
        <f>IF(Fuel_Blg[[#This Row],[Month]]&lt;&gt;"",VLOOKUP(Fuel_Blg[[#This Row],[Month]], dropdown!$S$4:$T$15, 2, FALSE),"")</f>
        <v>Q1</v>
      </c>
      <c r="M9" s="29">
        <v>12.67</v>
      </c>
      <c r="N9" s="17" t="str">
        <f>IF($J9="","",VLOOKUP($J9,dropdown!$P$3:$Q$8,2,FALSE))</f>
        <v>Liters</v>
      </c>
      <c r="O9" s="195" t="s">
        <v>1527</v>
      </c>
      <c r="P9" s="20"/>
    </row>
    <row r="10" spans="2:16" x14ac:dyDescent="0.2">
      <c r="B10" s="13" t="s">
        <v>35</v>
      </c>
      <c r="C10" s="13" t="s">
        <v>51</v>
      </c>
      <c r="D10" s="40" t="s">
        <v>45</v>
      </c>
      <c r="E10" s="40" t="s">
        <v>149</v>
      </c>
      <c r="F10" s="40" t="s">
        <v>150</v>
      </c>
      <c r="G10" s="40" t="s">
        <v>151</v>
      </c>
      <c r="I10" s="194">
        <f t="shared" ref="I10:I18" si="0">IF($M10="","",$I9+1)</f>
        <v>1</v>
      </c>
      <c r="J10" s="57" t="s">
        <v>37</v>
      </c>
      <c r="K10" s="58" t="s">
        <v>89</v>
      </c>
      <c r="L10" s="18" t="str">
        <f>IF(Fuel_Blg[[#This Row],[Month]]&lt;&gt;"",VLOOKUP(Fuel_Blg[[#This Row],[Month]], dropdown!$S$4:$T$15, 2, FALSE),"")</f>
        <v>Q1</v>
      </c>
      <c r="M10" s="29">
        <v>16.329999999999998</v>
      </c>
      <c r="N10" s="17" t="str">
        <f>IF($J10="","",VLOOKUP($J10,dropdown!$P$3:$Q$8,2,FALSE))</f>
        <v>Liters</v>
      </c>
      <c r="O10" s="195" t="s">
        <v>1528</v>
      </c>
      <c r="P10" s="20"/>
    </row>
    <row r="11" spans="2:16" x14ac:dyDescent="0.2">
      <c r="B11" s="17" t="str">
        <f>dropdown!$P4</f>
        <v>Diesel - Standby generator sets</v>
      </c>
      <c r="C11" s="17" t="str">
        <f>dropdown!$Q4</f>
        <v>Liters</v>
      </c>
      <c r="D11" s="41">
        <f>SUMIFS(Fuel_Blg[Consumption],Fuel_Blg[Quarter],D$10,Fuel_Blg[Fuel Type],$B$11)</f>
        <v>123.33</v>
      </c>
      <c r="E11" s="41">
        <f>SUMIFS(Fuel_Blg[Consumption],Fuel_Blg[Quarter],E$10,Fuel_Blg[Fuel Type],$B$11)</f>
        <v>163.51000000000002</v>
      </c>
      <c r="F11" s="41">
        <f>SUMIFS(Fuel_Blg[Consumption],Fuel_Blg[Quarter],F$10,Fuel_Blg[Fuel Type],$B$11)</f>
        <v>0</v>
      </c>
      <c r="G11" s="41">
        <f>SUMIFS(Fuel_Blg[Consumption],Fuel_Blg[Quarter],G$10,Fuel_Blg[Fuel Type],$B$11)</f>
        <v>0</v>
      </c>
      <c r="I11" s="194">
        <f t="shared" si="0"/>
        <v>2</v>
      </c>
      <c r="J11" s="57" t="s">
        <v>37</v>
      </c>
      <c r="K11" s="58" t="s">
        <v>362</v>
      </c>
      <c r="L11" s="18" t="str">
        <f>IF(Fuel_Blg[[#This Row],[Month]]&lt;&gt;"",VLOOKUP(Fuel_Blg[[#This Row],[Month]], dropdown!$S$4:$T$15, 2, FALSE),"")</f>
        <v>Q1</v>
      </c>
      <c r="M11" s="29">
        <v>3.33</v>
      </c>
      <c r="N11" s="17" t="str">
        <f>IF($J11="","",VLOOKUP($J11,dropdown!$P$3:$Q$8,2,FALSE))</f>
        <v>Liters</v>
      </c>
      <c r="O11" s="195" t="s">
        <v>1527</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362</v>
      </c>
      <c r="L12" s="18" t="str">
        <f>IF(Fuel_Blg[[#This Row],[Month]]&lt;&gt;"",VLOOKUP(Fuel_Blg[[#This Row],[Month]], dropdown!$S$4:$T$15, 2, FALSE),"")</f>
        <v>Q1</v>
      </c>
      <c r="M12" s="29">
        <v>74.33</v>
      </c>
      <c r="N12" s="17" t="str">
        <f>IF($J12="","",VLOOKUP($J12,dropdown!$P$3:$Q$8,2,FALSE))</f>
        <v>Liters</v>
      </c>
      <c r="O12" s="195" t="s">
        <v>1528</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371</v>
      </c>
      <c r="L13" s="18" t="str">
        <f>IF(Fuel_Blg[[#This Row],[Month]]&lt;&gt;"",VLOOKUP(Fuel_Blg[[#This Row],[Month]], dropdown!$S$4:$T$15, 2, FALSE),"")</f>
        <v>Q2</v>
      </c>
      <c r="M13" s="29">
        <v>2.67</v>
      </c>
      <c r="N13" s="17" t="str">
        <f>IF($J13="","",VLOOKUP($J13,dropdown!$P$3:$Q$8,2,FALSE))</f>
        <v>Liters</v>
      </c>
      <c r="O13" s="195" t="s">
        <v>1527</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37</v>
      </c>
      <c r="K14" s="58" t="s">
        <v>371</v>
      </c>
      <c r="L14" s="18" t="str">
        <f>IF(Fuel_Blg[[#This Row],[Month]]&lt;&gt;"",VLOOKUP(Fuel_Blg[[#This Row],[Month]], dropdown!$S$4:$T$15, 2, FALSE),"")</f>
        <v>Q2</v>
      </c>
      <c r="M14" s="29">
        <v>14</v>
      </c>
      <c r="N14" s="17" t="str">
        <f>IF($J14="","",VLOOKUP($J14,dropdown!$P$3:$Q$8,2,FALSE))</f>
        <v>Liters</v>
      </c>
      <c r="O14" s="195" t="s">
        <v>1528</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37</v>
      </c>
      <c r="K15" s="58" t="s">
        <v>379</v>
      </c>
      <c r="L15" s="18" t="str">
        <f>IF(Fuel_Blg[[#This Row],[Month]]&lt;&gt;"",VLOOKUP(Fuel_Blg[[#This Row],[Month]], dropdown!$S$4:$T$15, 2, FALSE),"")</f>
        <v>Q2</v>
      </c>
      <c r="M15" s="29">
        <v>3.32</v>
      </c>
      <c r="N15" s="17" t="str">
        <f>IF($J15="","",VLOOKUP($J15,dropdown!$P$3:$Q$8,2,FALSE))</f>
        <v>Liters</v>
      </c>
      <c r="O15" s="195" t="s">
        <v>1527</v>
      </c>
      <c r="P15" s="20"/>
    </row>
    <row r="16" spans="2:16" x14ac:dyDescent="0.2">
      <c r="I16" s="194">
        <f t="shared" si="0"/>
        <v>7</v>
      </c>
      <c r="J16" s="57" t="s">
        <v>37</v>
      </c>
      <c r="K16" s="58" t="s">
        <v>379</v>
      </c>
      <c r="L16" s="18" t="str">
        <f>IF(Fuel_Blg[[#This Row],[Month]]&lt;&gt;"",VLOOKUP(Fuel_Blg[[#This Row],[Month]], dropdown!$S$4:$T$15, 2, FALSE),"")</f>
        <v>Q2</v>
      </c>
      <c r="M16" s="29">
        <v>88.28</v>
      </c>
      <c r="N16" s="17" t="str">
        <f>IF($J16="","",VLOOKUP($J16,dropdown!$P$3:$Q$8,2,FALSE))</f>
        <v>Liters</v>
      </c>
      <c r="O16" s="195" t="s">
        <v>1528</v>
      </c>
      <c r="P16" s="20"/>
    </row>
    <row r="17" spans="2:16" x14ac:dyDescent="0.2">
      <c r="B17" s="267" t="s">
        <v>38</v>
      </c>
      <c r="I17" s="194">
        <f t="shared" si="0"/>
        <v>8</v>
      </c>
      <c r="J17" s="57" t="s">
        <v>37</v>
      </c>
      <c r="K17" s="58" t="s">
        <v>386</v>
      </c>
      <c r="L17" s="18" t="str">
        <f>IF(Fuel_Blg[[#This Row],[Month]]&lt;&gt;"",VLOOKUP(Fuel_Blg[[#This Row],[Month]], dropdown!$S$4:$T$15, 2, FALSE),"")</f>
        <v>Q2</v>
      </c>
      <c r="M17" s="29">
        <v>2.64</v>
      </c>
      <c r="N17" s="17" t="str">
        <f>IF($J17="","",VLOOKUP($J17,dropdown!$P$3:$Q$8,2,FALSE))</f>
        <v>Liters</v>
      </c>
      <c r="O17" s="195" t="s">
        <v>1527</v>
      </c>
      <c r="P17" s="20"/>
    </row>
    <row r="18" spans="2:16" x14ac:dyDescent="0.2">
      <c r="B18" s="268" t="s">
        <v>175</v>
      </c>
      <c r="I18" s="194">
        <f t="shared" si="0"/>
        <v>9</v>
      </c>
      <c r="J18" s="57" t="s">
        <v>37</v>
      </c>
      <c r="K18" s="58" t="s">
        <v>386</v>
      </c>
      <c r="L18" s="18" t="str">
        <f>IF(Fuel_Blg[[#This Row],[Month]]&lt;&gt;"",VLOOKUP(Fuel_Blg[[#This Row],[Month]], dropdown!$S$4:$T$15, 2, FALSE),"")</f>
        <v>Q2</v>
      </c>
      <c r="M18" s="29">
        <v>52.6</v>
      </c>
      <c r="N18" s="17" t="str">
        <f>IF($J18="","",VLOOKUP($J18,dropdown!$P$3:$Q$8,2,FALSE))</f>
        <v>Liters</v>
      </c>
      <c r="O18" s="195" t="s">
        <v>1528</v>
      </c>
      <c r="P18" s="20"/>
    </row>
    <row r="19" spans="2:16" x14ac:dyDescent="0.2">
      <c r="B19" s="266" t="s">
        <v>176</v>
      </c>
      <c r="P19" s="20"/>
    </row>
    <row r="20" spans="2:16" x14ac:dyDescent="0.2">
      <c r="B20" s="17" t="s">
        <v>177</v>
      </c>
      <c r="I20" s="322" t="s">
        <v>178</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8 O6:O18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D1" zoomScaleNormal="100" workbookViewId="0">
      <selection activeCell="K27" sqref="K27"/>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Dagupan Branch</v>
      </c>
      <c r="C4" s="201"/>
      <c r="D4" s="38">
        <f>IF('1. Data Info and Summary'!$D$3=0,"-",'1. Data Info and Summary'!$D$3)</f>
        <v>2025</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7" t="s">
        <v>1434</v>
      </c>
      <c r="D6" s="448"/>
      <c r="E6" s="448"/>
      <c r="F6" s="448"/>
      <c r="G6" s="449"/>
      <c r="I6" s="204" t="s">
        <v>173</v>
      </c>
      <c r="J6" s="205" t="s">
        <v>59</v>
      </c>
      <c r="K6" s="205" t="s">
        <v>35</v>
      </c>
      <c r="L6" s="205" t="s">
        <v>39</v>
      </c>
      <c r="M6" s="205" t="s">
        <v>43</v>
      </c>
      <c r="N6" s="206" t="s">
        <v>47</v>
      </c>
      <c r="O6" s="207" t="s">
        <v>51</v>
      </c>
      <c r="P6" s="206" t="s">
        <v>180</v>
      </c>
      <c r="Q6" s="207" t="s">
        <v>67</v>
      </c>
      <c r="R6" s="208" t="s">
        <v>957</v>
      </c>
    </row>
    <row r="7" spans="2:18" x14ac:dyDescent="0.2">
      <c r="B7" s="278" t="s">
        <v>174</v>
      </c>
      <c r="C7" s="450">
        <v>45910</v>
      </c>
      <c r="D7" s="448"/>
      <c r="E7" s="448"/>
      <c r="F7" s="448"/>
      <c r="G7" s="449"/>
      <c r="I7" s="194">
        <f>IF($J7="","",1)</f>
        <v>1</v>
      </c>
      <c r="J7" s="57" t="s">
        <v>343</v>
      </c>
      <c r="K7" s="57" t="s">
        <v>63</v>
      </c>
      <c r="L7" s="58" t="s">
        <v>338</v>
      </c>
      <c r="M7" s="18" t="str">
        <f>IF(Fuel_Veh[[#This Row],[Month]]&lt;&gt;"",VLOOKUP(Fuel_Veh[[#This Row],[Month]], dropdown!$S$4:$T$15, 2, FALSE),"")</f>
        <v>Q1</v>
      </c>
      <c r="N7" s="29">
        <v>120.01</v>
      </c>
      <c r="O7" s="17" t="str">
        <f>IF($K7="","",VLOOKUP($K7,dropdown!$P$14:$Q$18,2,FALSE))</f>
        <v>Liters</v>
      </c>
      <c r="P7" s="29">
        <v>445</v>
      </c>
      <c r="Q7" s="17" t="str">
        <f t="shared" ref="Q7:Q70" si="0">IF($P7="","","Kilometers")</f>
        <v>Kilometers</v>
      </c>
      <c r="R7" s="195" t="s">
        <v>1449</v>
      </c>
    </row>
    <row r="8" spans="2:18" x14ac:dyDescent="0.2">
      <c r="I8" s="194">
        <f>IF($J8="","",$I7+1)</f>
        <v>2</v>
      </c>
      <c r="J8" s="57" t="s">
        <v>343</v>
      </c>
      <c r="K8" s="57" t="s">
        <v>63</v>
      </c>
      <c r="L8" s="58" t="s">
        <v>338</v>
      </c>
      <c r="M8" s="18" t="str">
        <f>IF(Fuel_Veh[[#This Row],[Month]]&lt;&gt;"",VLOOKUP(Fuel_Veh[[#This Row],[Month]], dropdown!$S$4:$T$15, 2, FALSE),"")</f>
        <v>Q1</v>
      </c>
      <c r="N8" s="29">
        <v>92.03</v>
      </c>
      <c r="O8" s="17"/>
      <c r="P8" s="29">
        <v>445</v>
      </c>
      <c r="Q8" s="17" t="str">
        <f t="shared" si="0"/>
        <v>Kilometers</v>
      </c>
      <c r="R8" s="195">
        <v>131210</v>
      </c>
    </row>
    <row r="9" spans="2:18" x14ac:dyDescent="0.2">
      <c r="B9" s="14" t="s">
        <v>33</v>
      </c>
      <c r="C9" s="14"/>
      <c r="D9" s="14"/>
      <c r="E9" s="14"/>
      <c r="F9" s="14"/>
      <c r="G9" s="14"/>
      <c r="I9" s="194">
        <f>IF($J9="","",$I8+1)</f>
        <v>3</v>
      </c>
      <c r="J9" s="57" t="s">
        <v>381</v>
      </c>
      <c r="K9" s="57" t="s">
        <v>63</v>
      </c>
      <c r="L9" s="58" t="s">
        <v>338</v>
      </c>
      <c r="M9" s="18" t="str">
        <f>IF(Fuel_Veh[[#This Row],[Month]]&lt;&gt;"",VLOOKUP(Fuel_Veh[[#This Row],[Month]], dropdown!$S$4:$T$15, 2, FALSE),"")</f>
        <v>Q1</v>
      </c>
      <c r="N9" s="29">
        <v>30.3</v>
      </c>
      <c r="O9" s="17" t="str">
        <f>IF($K9="","",VLOOKUP($K9,dropdown!$P$14:$Q$18,2,FALSE))</f>
        <v>Liters</v>
      </c>
      <c r="P9" s="29">
        <v>306</v>
      </c>
      <c r="Q9" s="17" t="str">
        <f t="shared" si="0"/>
        <v>Kilometers</v>
      </c>
      <c r="R9" s="195" t="s">
        <v>1450</v>
      </c>
    </row>
    <row r="10" spans="2:18" x14ac:dyDescent="0.2">
      <c r="B10" s="13" t="s">
        <v>35</v>
      </c>
      <c r="C10" s="13" t="s">
        <v>51</v>
      </c>
      <c r="D10" s="40" t="s">
        <v>45</v>
      </c>
      <c r="E10" s="40" t="s">
        <v>149</v>
      </c>
      <c r="F10" s="40" t="s">
        <v>150</v>
      </c>
      <c r="G10" s="40" t="s">
        <v>151</v>
      </c>
      <c r="I10" s="194">
        <f>IF($J10="","",$I9+1)</f>
        <v>4</v>
      </c>
      <c r="J10" s="57" t="s">
        <v>365</v>
      </c>
      <c r="K10" s="57" t="s">
        <v>63</v>
      </c>
      <c r="L10" s="58" t="s">
        <v>338</v>
      </c>
      <c r="M10" s="18" t="str">
        <f>IF(Fuel_Veh[[#This Row],[Month]]&lt;&gt;"",VLOOKUP(Fuel_Veh[[#This Row],[Month]], dropdown!$S$4:$T$15, 2, FALSE),"")</f>
        <v>Q1</v>
      </c>
      <c r="N10" s="29">
        <v>98.57</v>
      </c>
      <c r="O10" s="17" t="str">
        <f>IF($K10="","",VLOOKUP($K10,dropdown!$P$14:$Q$18,2,FALSE))</f>
        <v>Liters</v>
      </c>
      <c r="P10" s="29">
        <v>1062</v>
      </c>
      <c r="Q10" s="17" t="str">
        <f t="shared" si="0"/>
        <v>Kilometers</v>
      </c>
      <c r="R10" s="195" t="s">
        <v>1529</v>
      </c>
    </row>
    <row r="11" spans="2:18" x14ac:dyDescent="0.2">
      <c r="B11" s="17" t="str">
        <f>dropdown!$P15</f>
        <v>Diesel - Transport vehicles</v>
      </c>
      <c r="C11" s="17" t="str">
        <f>dropdown!$Q15</f>
        <v>Liters</v>
      </c>
      <c r="D11" s="41">
        <f>SUMIFS(Fuel_Veh[Consumption],Fuel_Veh[Quarter],D$10,Fuel_Veh[Fuel Type],$B$11)</f>
        <v>1506.9699999999998</v>
      </c>
      <c r="E11" s="41">
        <f>SUMIFS(Fuel_Veh[Consumption],Fuel_Veh[Quarter],E$10,Fuel_Veh[Fuel Type],$B$11)</f>
        <v>1135.74</v>
      </c>
      <c r="F11" s="41">
        <f>SUMIFS(Fuel_Veh[Consumption],Fuel_Veh[Quarter],F$10,Fuel_Veh[Fuel Type],$B$11)</f>
        <v>0</v>
      </c>
      <c r="G11" s="41">
        <f>SUMIFS(Fuel_Veh[Consumption],Fuel_Veh[Quarter],G$10,Fuel_Veh[Fuel Type],$B$11)</f>
        <v>0</v>
      </c>
      <c r="I11" s="194">
        <f>IF($J11="","",$I10+1)</f>
        <v>5</v>
      </c>
      <c r="J11" s="57" t="s">
        <v>343</v>
      </c>
      <c r="K11" s="57" t="s">
        <v>63</v>
      </c>
      <c r="L11" s="58" t="s">
        <v>89</v>
      </c>
      <c r="M11" s="18" t="str">
        <f>IF(Fuel_Veh[[#This Row],[Month]]&lt;&gt;"",VLOOKUP(Fuel_Veh[[#This Row],[Month]], dropdown!$S$4:$T$15, 2, FALSE),"")</f>
        <v>Q1</v>
      </c>
      <c r="N11" s="29">
        <v>265.2</v>
      </c>
      <c r="O11" s="17" t="str">
        <f>IF($K11="","",VLOOKUP($K11,dropdown!$P$14:$Q$18,2,FALSE))</f>
        <v>Liters</v>
      </c>
      <c r="P11" s="29">
        <v>845</v>
      </c>
      <c r="Q11" s="17" t="str">
        <f t="shared" si="0"/>
        <v>Kilometers</v>
      </c>
      <c r="R11" s="195" t="s">
        <v>1449</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343</v>
      </c>
      <c r="K12" s="57" t="s">
        <v>63</v>
      </c>
      <c r="L12" s="58" t="s">
        <v>89</v>
      </c>
      <c r="M12" s="18" t="str">
        <f>IF(Fuel_Veh[[#This Row],[Month]]&lt;&gt;"",VLOOKUP(Fuel_Veh[[#This Row],[Month]], dropdown!$S$4:$T$15, 2, FALSE),"")</f>
        <v>Q1</v>
      </c>
      <c r="N12" s="29">
        <v>150</v>
      </c>
      <c r="O12" s="17" t="str">
        <f>IF($K12="","",VLOOKUP($K12,dropdown!$P$14:$Q$18,2,FALSE))</f>
        <v>Liters</v>
      </c>
      <c r="P12" s="29">
        <v>862</v>
      </c>
      <c r="Q12" s="17" t="str">
        <f t="shared" si="0"/>
        <v>Kilometers</v>
      </c>
      <c r="R12" s="195">
        <v>131210</v>
      </c>
    </row>
    <row r="13" spans="2:18" ht="14" customHeight="1" x14ac:dyDescent="0.2">
      <c r="I13" s="194">
        <f t="shared" si="1"/>
        <v>7</v>
      </c>
      <c r="J13" s="57" t="s">
        <v>381</v>
      </c>
      <c r="K13" s="57" t="s">
        <v>63</v>
      </c>
      <c r="L13" s="58" t="s">
        <v>89</v>
      </c>
      <c r="M13" s="18" t="str">
        <f>IF(Fuel_Veh[[#This Row],[Month]]&lt;&gt;"",VLOOKUP(Fuel_Veh[[#This Row],[Month]], dropdown!$S$4:$T$15, 2, FALSE),"")</f>
        <v>Q1</v>
      </c>
      <c r="N13" s="29">
        <v>63.18</v>
      </c>
      <c r="O13" s="17" t="str">
        <f>IF($K13="","",VLOOKUP($K13,dropdown!$P$14:$Q$18,2,FALSE))</f>
        <v>Liters</v>
      </c>
      <c r="P13" s="29">
        <v>725</v>
      </c>
      <c r="Q13" s="17" t="str">
        <f t="shared" si="0"/>
        <v>Kilometers</v>
      </c>
      <c r="R13" s="195" t="s">
        <v>1450</v>
      </c>
    </row>
    <row r="14" spans="2:18" x14ac:dyDescent="0.2">
      <c r="B14" s="267" t="s">
        <v>38</v>
      </c>
      <c r="I14" s="194">
        <f t="shared" si="1"/>
        <v>8</v>
      </c>
      <c r="J14" s="57" t="s">
        <v>365</v>
      </c>
      <c r="K14" s="57" t="s">
        <v>63</v>
      </c>
      <c r="L14" s="58" t="s">
        <v>89</v>
      </c>
      <c r="M14" s="18" t="str">
        <f>IF(Fuel_Veh[[#This Row],[Month]]&lt;&gt;"",VLOOKUP(Fuel_Veh[[#This Row],[Month]], dropdown!$S$4:$T$15, 2, FALSE),"")</f>
        <v>Q1</v>
      </c>
      <c r="N14" s="29">
        <v>78.2</v>
      </c>
      <c r="O14" s="17" t="str">
        <f>IF($K14="","",VLOOKUP($K14,dropdown!$P$14:$Q$18,2,FALSE))</f>
        <v>Liters</v>
      </c>
      <c r="P14" s="29">
        <v>940</v>
      </c>
      <c r="Q14" s="17" t="str">
        <f t="shared" si="0"/>
        <v>Kilometers</v>
      </c>
      <c r="R14" s="195" t="s">
        <v>1529</v>
      </c>
    </row>
    <row r="15" spans="2:18" x14ac:dyDescent="0.2">
      <c r="B15" s="268" t="s">
        <v>175</v>
      </c>
      <c r="I15" s="194">
        <f t="shared" si="1"/>
        <v>9</v>
      </c>
      <c r="J15" s="57" t="s">
        <v>343</v>
      </c>
      <c r="K15" s="57" t="s">
        <v>63</v>
      </c>
      <c r="L15" s="58" t="s">
        <v>362</v>
      </c>
      <c r="M15" s="18" t="str">
        <f>IF(Fuel_Veh[[#This Row],[Month]]&lt;&gt;"",VLOOKUP(Fuel_Veh[[#This Row],[Month]], dropdown!$S$4:$T$15, 2, FALSE),"")</f>
        <v>Q1</v>
      </c>
      <c r="N15" s="29">
        <v>283.08</v>
      </c>
      <c r="O15" s="17" t="str">
        <f>IF($K15="","",VLOOKUP($K15,dropdown!$P$14:$Q$18,2,FALSE))</f>
        <v>Liters</v>
      </c>
      <c r="P15" s="29">
        <v>860</v>
      </c>
      <c r="Q15" s="17" t="str">
        <f t="shared" si="0"/>
        <v>Kilometers</v>
      </c>
      <c r="R15" s="195" t="s">
        <v>1449</v>
      </c>
    </row>
    <row r="16" spans="2:18" x14ac:dyDescent="0.2">
      <c r="B16" s="266" t="s">
        <v>176</v>
      </c>
      <c r="I16" s="194">
        <f t="shared" si="1"/>
        <v>10</v>
      </c>
      <c r="J16" s="57" t="s">
        <v>343</v>
      </c>
      <c r="K16" s="57" t="s">
        <v>63</v>
      </c>
      <c r="L16" s="58" t="s">
        <v>362</v>
      </c>
      <c r="M16" s="18" t="str">
        <f>IF(Fuel_Veh[[#This Row],[Month]]&lt;&gt;"",VLOOKUP(Fuel_Veh[[#This Row],[Month]], dropdown!$S$4:$T$15, 2, FALSE),"")</f>
        <v>Q1</v>
      </c>
      <c r="N16" s="29">
        <v>151.07</v>
      </c>
      <c r="O16" s="17" t="str">
        <f>IF($K16="","",VLOOKUP($K16,dropdown!$P$14:$Q$18,2,FALSE))</f>
        <v>Liters</v>
      </c>
      <c r="P16" s="29">
        <v>844</v>
      </c>
      <c r="Q16" s="17" t="str">
        <f t="shared" si="0"/>
        <v>Kilometers</v>
      </c>
      <c r="R16" s="195">
        <v>131210</v>
      </c>
    </row>
    <row r="17" spans="2:18" x14ac:dyDescent="0.2">
      <c r="B17" s="17" t="s">
        <v>177</v>
      </c>
      <c r="I17" s="194">
        <f t="shared" si="1"/>
        <v>11</v>
      </c>
      <c r="J17" s="57" t="s">
        <v>343</v>
      </c>
      <c r="K17" s="57" t="s">
        <v>63</v>
      </c>
      <c r="L17" s="58" t="s">
        <v>362</v>
      </c>
      <c r="M17" s="18" t="str">
        <f>IF(Fuel_Veh[[#This Row],[Month]]&lt;&gt;"",VLOOKUP(Fuel_Veh[[#This Row],[Month]], dropdown!$S$4:$T$15, 2, FALSE),"")</f>
        <v>Q1</v>
      </c>
      <c r="N17" s="29">
        <v>56.01</v>
      </c>
      <c r="O17" s="17" t="str">
        <f>IF($K17="","",VLOOKUP($K17,dropdown!$P$14:$Q$18,2,FALSE))</f>
        <v>Liters</v>
      </c>
      <c r="P17" s="29">
        <v>22</v>
      </c>
      <c r="Q17" s="17" t="str">
        <f t="shared" si="0"/>
        <v>Kilometers</v>
      </c>
      <c r="R17" s="195" t="s">
        <v>1451</v>
      </c>
    </row>
    <row r="18" spans="2:18" x14ac:dyDescent="0.2">
      <c r="I18" s="194">
        <f t="shared" si="1"/>
        <v>12</v>
      </c>
      <c r="J18" s="57" t="s">
        <v>381</v>
      </c>
      <c r="K18" s="57" t="s">
        <v>63</v>
      </c>
      <c r="L18" s="58" t="s">
        <v>362</v>
      </c>
      <c r="M18" s="18" t="str">
        <f>IF(Fuel_Veh[[#This Row],[Month]]&lt;&gt;"",VLOOKUP(Fuel_Veh[[#This Row],[Month]], dropdown!$S$4:$T$15, 2, FALSE),"")</f>
        <v>Q1</v>
      </c>
      <c r="N18" s="29">
        <v>34.94</v>
      </c>
      <c r="O18" s="17" t="str">
        <f>IF($K18="","",VLOOKUP($K18,dropdown!$P$14:$Q$18,2,FALSE))</f>
        <v>Liters</v>
      </c>
      <c r="P18" s="29">
        <v>376</v>
      </c>
      <c r="Q18" s="17" t="str">
        <f t="shared" si="0"/>
        <v>Kilometers</v>
      </c>
      <c r="R18" s="195" t="s">
        <v>1450</v>
      </c>
    </row>
    <row r="19" spans="2:18" x14ac:dyDescent="0.2">
      <c r="I19" s="194">
        <f t="shared" si="1"/>
        <v>13</v>
      </c>
      <c r="J19" s="57" t="s">
        <v>365</v>
      </c>
      <c r="K19" s="57" t="s">
        <v>63</v>
      </c>
      <c r="L19" s="58" t="s">
        <v>362</v>
      </c>
      <c r="M19" s="18" t="str">
        <f>IF(Fuel_Veh[[#This Row],[Month]]&lt;&gt;"",VLOOKUP(Fuel_Veh[[#This Row],[Month]], dropdown!$S$4:$T$15, 2, FALSE),"")</f>
        <v>Q1</v>
      </c>
      <c r="N19" s="29">
        <v>84.38</v>
      </c>
      <c r="O19" s="17" t="str">
        <f>IF($K19="","",VLOOKUP($K19,dropdown!$P$14:$Q$18,2,FALSE))</f>
        <v>Liters</v>
      </c>
      <c r="P19" s="29">
        <v>1108</v>
      </c>
      <c r="Q19" s="17" t="str">
        <f t="shared" si="0"/>
        <v>Kilometers</v>
      </c>
      <c r="R19" s="195" t="s">
        <v>1529</v>
      </c>
    </row>
    <row r="20" spans="2:18" x14ac:dyDescent="0.2">
      <c r="I20" s="194">
        <f t="shared" si="1"/>
        <v>14</v>
      </c>
      <c r="J20" s="57" t="s">
        <v>381</v>
      </c>
      <c r="K20" s="57" t="s">
        <v>63</v>
      </c>
      <c r="L20" s="58" t="s">
        <v>371</v>
      </c>
      <c r="M20" s="18" t="str">
        <f>IF(Fuel_Veh[[#This Row],[Month]]&lt;&gt;"",VLOOKUP(Fuel_Veh[[#This Row],[Month]], dropdown!$S$4:$T$15, 2, FALSE),"")</f>
        <v>Q2</v>
      </c>
      <c r="N20" s="29">
        <v>147.88</v>
      </c>
      <c r="O20" s="17" t="str">
        <f>IF($K20="","",VLOOKUP($K20,dropdown!$P$14:$Q$18,2,FALSE))</f>
        <v>Liters</v>
      </c>
      <c r="P20" s="29">
        <v>1255</v>
      </c>
      <c r="Q20" s="17" t="str">
        <f t="shared" si="0"/>
        <v>Kilometers</v>
      </c>
      <c r="R20" s="195" t="s">
        <v>1450</v>
      </c>
    </row>
    <row r="21" spans="2:18" x14ac:dyDescent="0.2">
      <c r="I21" s="194">
        <f t="shared" si="1"/>
        <v>15</v>
      </c>
      <c r="J21" s="57" t="s">
        <v>365</v>
      </c>
      <c r="K21" s="57" t="s">
        <v>63</v>
      </c>
      <c r="L21" s="58" t="s">
        <v>371</v>
      </c>
      <c r="M21" s="18" t="str">
        <f>IF(Fuel_Veh[[#This Row],[Month]]&lt;&gt;"",VLOOKUP(Fuel_Veh[[#This Row],[Month]], dropdown!$S$4:$T$15, 2, FALSE),"")</f>
        <v>Q2</v>
      </c>
      <c r="N21" s="29">
        <v>94.01</v>
      </c>
      <c r="O21" s="17" t="str">
        <f>IF($K21="","",VLOOKUP($K21,dropdown!$P$14:$Q$18,2,FALSE))</f>
        <v>Liters</v>
      </c>
      <c r="P21" s="29">
        <v>1301</v>
      </c>
      <c r="Q21" s="17" t="str">
        <f t="shared" si="0"/>
        <v>Kilometers</v>
      </c>
      <c r="R21" s="195" t="s">
        <v>1529</v>
      </c>
    </row>
    <row r="22" spans="2:18" x14ac:dyDescent="0.2">
      <c r="I22" s="194">
        <f t="shared" si="1"/>
        <v>16</v>
      </c>
      <c r="J22" s="57" t="s">
        <v>343</v>
      </c>
      <c r="K22" s="57" t="s">
        <v>63</v>
      </c>
      <c r="L22" s="58" t="s">
        <v>379</v>
      </c>
      <c r="M22" s="18" t="str">
        <f>IF(Fuel_Veh[[#This Row],[Month]]&lt;&gt;"",VLOOKUP(Fuel_Veh[[#This Row],[Month]], dropdown!$S$4:$T$15, 2, FALSE),"")</f>
        <v>Q2</v>
      </c>
      <c r="N22" s="29">
        <v>201.68</v>
      </c>
      <c r="O22" s="17" t="str">
        <f>IF($K22="","",VLOOKUP($K22,dropdown!$P$14:$Q$18,2,FALSE))</f>
        <v>Liters</v>
      </c>
      <c r="P22" s="29">
        <v>789</v>
      </c>
      <c r="Q22" s="17" t="str">
        <f t="shared" si="0"/>
        <v>Kilometers</v>
      </c>
      <c r="R22" s="195">
        <v>131210</v>
      </c>
    </row>
    <row r="23" spans="2:18" x14ac:dyDescent="0.2">
      <c r="I23" s="194">
        <f t="shared" si="1"/>
        <v>17</v>
      </c>
      <c r="J23" s="57" t="s">
        <v>381</v>
      </c>
      <c r="K23" s="57" t="s">
        <v>63</v>
      </c>
      <c r="L23" s="58" t="s">
        <v>379</v>
      </c>
      <c r="M23" s="18" t="str">
        <f>IF(Fuel_Veh[[#This Row],[Month]]&lt;&gt;"",VLOOKUP(Fuel_Veh[[#This Row],[Month]], dropdown!$S$4:$T$15, 2, FALSE),"")</f>
        <v>Q2</v>
      </c>
      <c r="N23" s="29">
        <v>27.86</v>
      </c>
      <c r="O23" s="17" t="str">
        <f>IF($K23="","",VLOOKUP($K23,dropdown!$P$14:$Q$18,2,FALSE))</f>
        <v>Liters</v>
      </c>
      <c r="P23" s="29">
        <v>183</v>
      </c>
      <c r="Q23" s="17" t="str">
        <f t="shared" si="0"/>
        <v>Kilometers</v>
      </c>
      <c r="R23" s="195" t="s">
        <v>1450</v>
      </c>
    </row>
    <row r="24" spans="2:18" x14ac:dyDescent="0.2">
      <c r="I24" s="194">
        <f t="shared" si="1"/>
        <v>18</v>
      </c>
      <c r="J24" s="57" t="s">
        <v>365</v>
      </c>
      <c r="K24" s="57" t="s">
        <v>63</v>
      </c>
      <c r="L24" s="58" t="s">
        <v>379</v>
      </c>
      <c r="M24" s="18" t="str">
        <f>IF(Fuel_Veh[[#This Row],[Month]]&lt;&gt;"",VLOOKUP(Fuel_Veh[[#This Row],[Month]], dropdown!$S$4:$T$15, 2, FALSE),"")</f>
        <v>Q2</v>
      </c>
      <c r="N24" s="29">
        <v>94.01</v>
      </c>
      <c r="O24" s="17" t="str">
        <f>IF($K24="","",VLOOKUP($K24,dropdown!$P$14:$Q$18,2,FALSE))</f>
        <v>Liters</v>
      </c>
      <c r="P24" s="29">
        <v>828</v>
      </c>
      <c r="Q24" s="17" t="str">
        <f t="shared" si="0"/>
        <v>Kilometers</v>
      </c>
      <c r="R24" s="195" t="s">
        <v>1529</v>
      </c>
    </row>
    <row r="25" spans="2:18" x14ac:dyDescent="0.2">
      <c r="I25" s="194">
        <f t="shared" si="1"/>
        <v>19</v>
      </c>
      <c r="J25" s="57" t="s">
        <v>343</v>
      </c>
      <c r="K25" s="57" t="s">
        <v>63</v>
      </c>
      <c r="L25" s="58" t="s">
        <v>386</v>
      </c>
      <c r="M25" s="18" t="str">
        <f>IF(Fuel_Veh[[#This Row],[Month]]&lt;&gt;"",VLOOKUP(Fuel_Veh[[#This Row],[Month]], dropdown!$S$4:$T$15, 2, FALSE),"")</f>
        <v>Q2</v>
      </c>
      <c r="N25" s="29">
        <v>212.06</v>
      </c>
      <c r="O25" s="17" t="str">
        <f>IF($K25="","",VLOOKUP($K25,dropdown!$P$14:$Q$18,2,FALSE))</f>
        <v>Liters</v>
      </c>
      <c r="P25" s="29">
        <v>479</v>
      </c>
      <c r="Q25" s="17" t="str">
        <f t="shared" si="0"/>
        <v>Kilometers</v>
      </c>
      <c r="R25" s="195" t="s">
        <v>1449</v>
      </c>
    </row>
    <row r="26" spans="2:18" x14ac:dyDescent="0.2">
      <c r="I26" s="194">
        <f t="shared" si="1"/>
        <v>20</v>
      </c>
      <c r="J26" s="57" t="s">
        <v>343</v>
      </c>
      <c r="K26" s="57" t="s">
        <v>63</v>
      </c>
      <c r="L26" s="196" t="s">
        <v>386</v>
      </c>
      <c r="M26" s="18" t="str">
        <f>IF(Fuel_Veh[[#This Row],[Month]]&lt;&gt;"",VLOOKUP(Fuel_Veh[[#This Row],[Month]], dropdown!$S$4:$T$15, 2, FALSE),"")</f>
        <v>Q2</v>
      </c>
      <c r="N26" s="197">
        <v>254.47</v>
      </c>
      <c r="O26" s="198" t="str">
        <f>IF($K26="","",VLOOKUP($K26,dropdown!$P$14:$Q$18,2,FALSE))</f>
        <v>Liters</v>
      </c>
      <c r="P26" s="197">
        <v>1115</v>
      </c>
      <c r="Q26" s="17" t="str">
        <f t="shared" si="0"/>
        <v>Kilometers</v>
      </c>
      <c r="R26" s="199">
        <v>131210</v>
      </c>
    </row>
    <row r="27" spans="2:18" x14ac:dyDescent="0.2">
      <c r="I27" s="194">
        <f t="shared" si="1"/>
        <v>21</v>
      </c>
      <c r="J27" s="57" t="s">
        <v>381</v>
      </c>
      <c r="K27" s="57" t="s">
        <v>63</v>
      </c>
      <c r="L27" s="58" t="s">
        <v>386</v>
      </c>
      <c r="M27" s="18" t="str">
        <f>IF(Fuel_Veh[[#This Row],[Month]]&lt;&gt;"",VLOOKUP(Fuel_Veh[[#This Row],[Month]], dropdown!$S$4:$T$15, 2, FALSE),"")</f>
        <v>Q2</v>
      </c>
      <c r="N27" s="29">
        <v>48.05</v>
      </c>
      <c r="O27" s="17" t="str">
        <f>IF($K27="","",VLOOKUP($K27,dropdown!$P$14:$Q$18,2,FALSE))</f>
        <v>Liters</v>
      </c>
      <c r="P27" s="29">
        <v>599</v>
      </c>
      <c r="Q27" s="17" t="str">
        <f t="shared" si="0"/>
        <v>Kilometers</v>
      </c>
      <c r="R27" s="195" t="s">
        <v>1450</v>
      </c>
    </row>
    <row r="28" spans="2:18" x14ac:dyDescent="0.2">
      <c r="I28" s="194">
        <f t="shared" si="1"/>
        <v>22</v>
      </c>
      <c r="J28" s="57" t="s">
        <v>365</v>
      </c>
      <c r="K28" s="57" t="s">
        <v>63</v>
      </c>
      <c r="L28" s="58" t="s">
        <v>386</v>
      </c>
      <c r="M28" s="18" t="str">
        <f>IF(Fuel_Veh[[#This Row],[Month]]&lt;&gt;"",VLOOKUP(Fuel_Veh[[#This Row],[Month]], dropdown!$S$4:$T$15, 2, FALSE),"")</f>
        <v>Q2</v>
      </c>
      <c r="N28" s="29">
        <v>55.72</v>
      </c>
      <c r="O28" s="17" t="str">
        <f>IF($K28="","",VLOOKUP($K28,dropdown!$P$14:$Q$18,2,FALSE))</f>
        <v>Liters</v>
      </c>
      <c r="P28" s="29">
        <v>383</v>
      </c>
      <c r="Q28" s="17" t="str">
        <f t="shared" si="0"/>
        <v>Kilometers</v>
      </c>
      <c r="R28" s="195" t="s">
        <v>1529</v>
      </c>
    </row>
    <row r="29" spans="2:18" x14ac:dyDescent="0.2">
      <c r="I29" s="194" t="str">
        <f t="shared" si="1"/>
        <v/>
      </c>
      <c r="J29" s="57"/>
      <c r="K29" s="57"/>
      <c r="L29" s="58"/>
      <c r="M29" s="18" t="str">
        <f>IF(Fuel_Veh[[#This Row],[Month]]&lt;&gt;"",VLOOKUP(Fuel_Veh[[#This Row],[Month]], dropdown!$S$4:$T$15, 2, FALSE),"")</f>
        <v/>
      </c>
      <c r="N29" s="29"/>
      <c r="O29" s="17" t="str">
        <f>IF($K29="","",VLOOKUP($K29,dropdown!$P$14:$Q$18,2,FALSE))</f>
        <v/>
      </c>
      <c r="P29" s="29"/>
      <c r="Q29" s="17" t="str">
        <f t="shared" si="0"/>
        <v/>
      </c>
      <c r="R29" s="195"/>
    </row>
    <row r="30" spans="2:18" x14ac:dyDescent="0.2">
      <c r="I30" s="194" t="str">
        <f t="shared" si="1"/>
        <v/>
      </c>
      <c r="J30" s="57"/>
      <c r="K30" s="345"/>
      <c r="L30" s="196"/>
      <c r="M30" s="18" t="str">
        <f>IF(Fuel_Veh[[#This Row],[Month]]&lt;&gt;"",VLOOKUP(Fuel_Veh[[#This Row],[Month]], dropdown!$S$4:$T$15, 2, FALSE),"")</f>
        <v/>
      </c>
      <c r="N30" s="197"/>
      <c r="O30" s="198" t="str">
        <f>IF($K30="","",VLOOKUP($K30,dropdown!$P$14:$Q$18,2,FALSE))</f>
        <v/>
      </c>
      <c r="P30" s="197"/>
      <c r="Q30" s="17" t="str">
        <f t="shared" si="0"/>
        <v/>
      </c>
      <c r="R30" s="199"/>
    </row>
    <row r="31" spans="2:18" x14ac:dyDescent="0.2">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P24" sqref="P24"/>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Dagupan Branch</v>
      </c>
      <c r="C4" s="37"/>
      <c r="D4" s="38">
        <f>IF('1. Data Info and Summary'!$D$3=0,"-",'1. Data Info and Summary'!$D$3)</f>
        <v>2025</v>
      </c>
      <c r="E4" s="37"/>
      <c r="F4" s="37" t="s">
        <v>182</v>
      </c>
      <c r="G4" s="39"/>
      <c r="I4" s="341"/>
      <c r="J4" s="298"/>
      <c r="K4" s="298"/>
      <c r="L4" s="298"/>
      <c r="M4" s="298" t="s">
        <v>1448</v>
      </c>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7" t="s">
        <v>1434</v>
      </c>
      <c r="D6" s="448"/>
      <c r="E6" s="448"/>
      <c r="F6" s="448"/>
      <c r="G6" s="449"/>
      <c r="I6" s="298"/>
      <c r="J6" s="298"/>
      <c r="K6" s="298"/>
      <c r="L6" s="298"/>
      <c r="M6" s="298"/>
      <c r="N6" s="298"/>
      <c r="O6" s="298"/>
      <c r="P6" s="298"/>
      <c r="Q6" s="298"/>
      <c r="R6" s="298"/>
      <c r="S6" s="298"/>
      <c r="T6" s="298"/>
      <c r="U6" s="298"/>
      <c r="V6" s="298"/>
    </row>
    <row r="7" spans="2:31" ht="15" customHeight="1" x14ac:dyDescent="0.2">
      <c r="B7" s="278" t="s">
        <v>174</v>
      </c>
      <c r="C7" s="450">
        <v>45910</v>
      </c>
      <c r="D7" s="448"/>
      <c r="E7" s="448"/>
      <c r="F7" s="448"/>
      <c r="G7" s="449"/>
      <c r="I7" s="418" t="s">
        <v>154</v>
      </c>
      <c r="J7" s="417"/>
      <c r="K7" s="415"/>
      <c r="L7" s="415"/>
      <c r="M7" s="415"/>
      <c r="N7" s="415"/>
      <c r="O7" s="451" t="s">
        <v>183</v>
      </c>
      <c r="P7" s="451"/>
      <c r="Q7" s="452" t="s">
        <v>184</v>
      </c>
      <c r="R7" s="453"/>
      <c r="S7" s="454" t="s">
        <v>86</v>
      </c>
      <c r="T7" s="455"/>
      <c r="U7" s="455"/>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1436</v>
      </c>
      <c r="K9" s="391" t="s">
        <v>200</v>
      </c>
      <c r="L9" s="392">
        <v>1</v>
      </c>
      <c r="M9" s="393" t="s">
        <v>380</v>
      </c>
      <c r="N9" s="419" t="s">
        <v>352</v>
      </c>
      <c r="O9" s="397"/>
      <c r="P9" s="398"/>
      <c r="Q9" s="397"/>
      <c r="R9" s="399">
        <v>10</v>
      </c>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5" t="s">
        <v>1436</v>
      </c>
      <c r="K10" s="57" t="s">
        <v>200</v>
      </c>
      <c r="L10" s="28">
        <v>1</v>
      </c>
      <c r="M10" s="264" t="s">
        <v>380</v>
      </c>
      <c r="N10" s="401" t="s">
        <v>352</v>
      </c>
      <c r="O10" s="397"/>
      <c r="P10" s="398"/>
      <c r="Q10" s="397"/>
      <c r="R10" s="399">
        <v>6</v>
      </c>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f t="shared" si="0"/>
        <v>3</v>
      </c>
      <c r="J11" s="435" t="s">
        <v>1476</v>
      </c>
      <c r="K11" s="57" t="s">
        <v>200</v>
      </c>
      <c r="L11" s="28">
        <v>1</v>
      </c>
      <c r="M11" s="264" t="s">
        <v>380</v>
      </c>
      <c r="N11" s="401" t="s">
        <v>352</v>
      </c>
      <c r="O11" s="397"/>
      <c r="P11" s="398"/>
      <c r="Q11" s="397"/>
      <c r="R11" s="399">
        <v>10</v>
      </c>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f t="shared" si="0"/>
        <v>4</v>
      </c>
      <c r="J12" s="435" t="s">
        <v>1476</v>
      </c>
      <c r="K12" s="57" t="s">
        <v>200</v>
      </c>
      <c r="L12" s="28">
        <v>1</v>
      </c>
      <c r="M12" s="264" t="s">
        <v>380</v>
      </c>
      <c r="N12" s="401" t="s">
        <v>352</v>
      </c>
      <c r="O12" s="397"/>
      <c r="P12" s="398"/>
      <c r="Q12" s="397"/>
      <c r="R12" s="399">
        <v>6</v>
      </c>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f t="shared" si="0"/>
        <v>5</v>
      </c>
      <c r="J13" s="435" t="s">
        <v>1477</v>
      </c>
      <c r="K13" s="57" t="s">
        <v>200</v>
      </c>
      <c r="L13" s="28">
        <v>1</v>
      </c>
      <c r="M13" s="264" t="s">
        <v>380</v>
      </c>
      <c r="N13" s="401" t="s">
        <v>352</v>
      </c>
      <c r="O13" s="397"/>
      <c r="P13" s="398"/>
      <c r="Q13" s="397"/>
      <c r="R13" s="399">
        <v>6</v>
      </c>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f t="shared" si="0"/>
        <v>6</v>
      </c>
      <c r="J14" s="435" t="s">
        <v>1438</v>
      </c>
      <c r="K14" s="57" t="s">
        <v>200</v>
      </c>
      <c r="L14" s="28">
        <v>1</v>
      </c>
      <c r="M14" s="264" t="s">
        <v>380</v>
      </c>
      <c r="N14" s="401" t="s">
        <v>352</v>
      </c>
      <c r="O14" s="397"/>
      <c r="P14" s="398"/>
      <c r="Q14" s="397"/>
      <c r="R14" s="399">
        <v>6</v>
      </c>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f t="shared" si="0"/>
        <v>7</v>
      </c>
      <c r="J15" s="435" t="s">
        <v>1437</v>
      </c>
      <c r="K15" s="57" t="s">
        <v>200</v>
      </c>
      <c r="L15" s="28">
        <v>1</v>
      </c>
      <c r="M15" s="264" t="s">
        <v>380</v>
      </c>
      <c r="N15" s="401" t="s">
        <v>352</v>
      </c>
      <c r="O15" s="397"/>
      <c r="P15" s="398"/>
      <c r="Q15" s="397"/>
      <c r="R15" s="399">
        <v>10</v>
      </c>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f t="shared" si="0"/>
        <v>8</v>
      </c>
      <c r="J16" s="435" t="s">
        <v>1437</v>
      </c>
      <c r="K16" s="57" t="s">
        <v>200</v>
      </c>
      <c r="L16" s="28">
        <v>1</v>
      </c>
      <c r="M16" s="264" t="s">
        <v>380</v>
      </c>
      <c r="N16" s="401" t="s">
        <v>352</v>
      </c>
      <c r="O16" s="397"/>
      <c r="P16" s="398"/>
      <c r="Q16" s="397"/>
      <c r="R16" s="399">
        <v>6</v>
      </c>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f t="shared" si="0"/>
        <v>9</v>
      </c>
      <c r="J17" s="435" t="s">
        <v>1439</v>
      </c>
      <c r="K17" s="57" t="s">
        <v>200</v>
      </c>
      <c r="L17" s="28">
        <v>1</v>
      </c>
      <c r="M17" s="264" t="s">
        <v>380</v>
      </c>
      <c r="N17" s="401" t="s">
        <v>352</v>
      </c>
      <c r="O17" s="397"/>
      <c r="P17" s="398"/>
      <c r="Q17" s="397"/>
      <c r="R17" s="399">
        <v>1</v>
      </c>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f t="shared" si="0"/>
        <v>10</v>
      </c>
      <c r="J18" s="435" t="s">
        <v>1440</v>
      </c>
      <c r="K18" s="57" t="s">
        <v>200</v>
      </c>
      <c r="L18" s="28">
        <v>1</v>
      </c>
      <c r="M18" s="264" t="s">
        <v>372</v>
      </c>
      <c r="N18" s="401" t="s">
        <v>352</v>
      </c>
      <c r="O18" s="397"/>
      <c r="P18" s="398"/>
      <c r="Q18" s="397"/>
      <c r="R18" s="399">
        <v>3.8</v>
      </c>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f t="shared" si="0"/>
        <v>11</v>
      </c>
      <c r="J19" s="435" t="s">
        <v>1441</v>
      </c>
      <c r="K19" s="57" t="s">
        <v>200</v>
      </c>
      <c r="L19" s="28">
        <v>1</v>
      </c>
      <c r="M19" s="264" t="s">
        <v>372</v>
      </c>
      <c r="N19" s="401" t="s">
        <v>352</v>
      </c>
      <c r="O19" s="397"/>
      <c r="P19" s="398"/>
      <c r="Q19" s="397"/>
      <c r="R19" s="399">
        <v>1</v>
      </c>
      <c r="S19" s="397"/>
      <c r="T19" s="399"/>
      <c r="U19" s="399"/>
      <c r="V19" s="430" t="str">
        <f>IFERROR(VLOOKUP($O19, dropdown!$S$4:$T$15, 2, FALSE),
 IFERROR(VLOOKUP($Q19, dropdown!$S$4:$T$15, 2, FALSE),
 IFERROR(VLOOKUP($S19, dropdown!$S$4:$T$15, 2, FALSE),
 "")))</f>
        <v/>
      </c>
      <c r="W19" s="28"/>
      <c r="AB19" s="11"/>
      <c r="AE19" s="11"/>
    </row>
    <row r="20" spans="2:31" ht="14" x14ac:dyDescent="0.2">
      <c r="I20" s="18">
        <f t="shared" si="0"/>
        <v>12</v>
      </c>
      <c r="J20" s="435" t="s">
        <v>1442</v>
      </c>
      <c r="K20" s="57" t="s">
        <v>200</v>
      </c>
      <c r="L20" s="28">
        <v>1</v>
      </c>
      <c r="M20" s="264" t="s">
        <v>380</v>
      </c>
      <c r="N20" s="401" t="s">
        <v>352</v>
      </c>
      <c r="O20" s="397"/>
      <c r="P20" s="398"/>
      <c r="Q20" s="397"/>
      <c r="R20" s="399">
        <v>3.8</v>
      </c>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f t="shared" si="0"/>
        <v>13</v>
      </c>
      <c r="J21" s="435" t="s">
        <v>1443</v>
      </c>
      <c r="K21" s="57" t="s">
        <v>200</v>
      </c>
      <c r="L21" s="28">
        <v>1</v>
      </c>
      <c r="M21" s="264" t="s">
        <v>372</v>
      </c>
      <c r="N21" s="401" t="s">
        <v>352</v>
      </c>
      <c r="O21" s="397"/>
      <c r="P21" s="398"/>
      <c r="Q21" s="397"/>
      <c r="R21" s="399">
        <v>4</v>
      </c>
      <c r="S21" s="397"/>
      <c r="T21" s="399"/>
      <c r="U21" s="399"/>
      <c r="V21" s="430" t="str">
        <f>IFERROR(VLOOKUP($O21, dropdown!$S$4:$T$15, 2, FALSE),
 IFERROR(VLOOKUP($Q21, dropdown!$S$4:$T$15, 2, FALSE),
 IFERROR(VLOOKUP($S21, dropdown!$S$4:$T$15, 2, FALSE),
 "")))</f>
        <v/>
      </c>
      <c r="W21" s="28"/>
      <c r="AB21" s="11"/>
      <c r="AE21" s="11"/>
    </row>
    <row r="22" spans="2:31" ht="14" x14ac:dyDescent="0.2">
      <c r="B22" s="457" t="s">
        <v>192</v>
      </c>
      <c r="C22" s="459" t="s">
        <v>5</v>
      </c>
      <c r="D22" s="460"/>
      <c r="E22" s="459" t="s">
        <v>193</v>
      </c>
      <c r="F22" s="461"/>
      <c r="G22" s="461"/>
      <c r="I22" s="18">
        <f t="shared" si="0"/>
        <v>14</v>
      </c>
      <c r="J22" s="435" t="s">
        <v>1444</v>
      </c>
      <c r="K22" s="57" t="s">
        <v>200</v>
      </c>
      <c r="L22" s="28">
        <v>1</v>
      </c>
      <c r="M22" s="264" t="s">
        <v>380</v>
      </c>
      <c r="N22" s="401" t="s">
        <v>352</v>
      </c>
      <c r="O22" s="397"/>
      <c r="P22" s="398"/>
      <c r="Q22" s="397"/>
      <c r="R22" s="399">
        <v>3.8</v>
      </c>
      <c r="S22" s="397"/>
      <c r="T22" s="399"/>
      <c r="U22" s="399"/>
      <c r="V22" s="430" t="str">
        <f>IFERROR(VLOOKUP($O22, dropdown!$S$4:$T$15, 2, FALSE),
 IFERROR(VLOOKUP($Q22, dropdown!$S$4:$T$15, 2, FALSE),
 IFERROR(VLOOKUP($S22, dropdown!$S$4:$T$15, 2, FALSE),
 "")))</f>
        <v/>
      </c>
      <c r="W22" s="28"/>
      <c r="AB22" s="11"/>
      <c r="AE22" s="11"/>
    </row>
    <row r="23" spans="2:31" ht="14" x14ac:dyDescent="0.2">
      <c r="B23" s="458"/>
      <c r="C23" s="459"/>
      <c r="D23" s="460"/>
      <c r="E23" s="459"/>
      <c r="F23" s="461"/>
      <c r="G23" s="461"/>
      <c r="I23" s="18">
        <f t="shared" si="0"/>
        <v>15</v>
      </c>
      <c r="J23" s="435" t="s">
        <v>1445</v>
      </c>
      <c r="K23" s="57" t="s">
        <v>200</v>
      </c>
      <c r="L23" s="28">
        <v>1</v>
      </c>
      <c r="M23" s="264" t="s">
        <v>380</v>
      </c>
      <c r="N23" s="401" t="s">
        <v>352</v>
      </c>
      <c r="O23" s="397"/>
      <c r="P23" s="398"/>
      <c r="Q23" s="397"/>
      <c r="R23" s="399">
        <v>4</v>
      </c>
      <c r="S23" s="397"/>
      <c r="T23" s="399"/>
      <c r="U23" s="399"/>
      <c r="V23" s="430" t="str">
        <f>IFERROR(VLOOKUP($O23, dropdown!$S$4:$T$15, 2, FALSE),
 IFERROR(VLOOKUP($Q23, dropdown!$S$4:$T$15, 2, FALSE),
 IFERROR(VLOOKUP($S23, dropdown!$S$4:$T$15, 2, FALSE),
 "")))</f>
        <v/>
      </c>
      <c r="W23" s="28"/>
      <c r="AB23" s="11"/>
      <c r="AE23" s="11"/>
    </row>
    <row r="24" spans="2:31" ht="14" x14ac:dyDescent="0.2">
      <c r="B24" s="456" t="s">
        <v>194</v>
      </c>
      <c r="C24" s="456" t="s">
        <v>195</v>
      </c>
      <c r="D24" s="456"/>
      <c r="E24" s="456" t="s">
        <v>196</v>
      </c>
      <c r="F24" s="456"/>
      <c r="G24" s="456"/>
      <c r="I24" s="18">
        <f t="shared" si="0"/>
        <v>16</v>
      </c>
      <c r="J24" s="435" t="s">
        <v>1446</v>
      </c>
      <c r="K24" s="57" t="s">
        <v>200</v>
      </c>
      <c r="L24" s="28">
        <v>1</v>
      </c>
      <c r="M24" s="264" t="s">
        <v>380</v>
      </c>
      <c r="N24" s="401" t="s">
        <v>352</v>
      </c>
      <c r="O24" s="397"/>
      <c r="P24" s="398"/>
      <c r="Q24" s="397"/>
      <c r="R24" s="399">
        <v>3</v>
      </c>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6"/>
      <c r="C25" s="456"/>
      <c r="D25" s="456"/>
      <c r="E25" s="456"/>
      <c r="F25" s="456"/>
      <c r="G25" s="456"/>
      <c r="I25" s="18">
        <f t="shared" si="0"/>
        <v>17</v>
      </c>
      <c r="J25" s="435" t="s">
        <v>1447</v>
      </c>
      <c r="K25" s="57" t="s">
        <v>200</v>
      </c>
      <c r="L25" s="28">
        <v>1</v>
      </c>
      <c r="M25" s="264" t="s">
        <v>372</v>
      </c>
      <c r="N25" s="401" t="s">
        <v>352</v>
      </c>
      <c r="O25" s="397"/>
      <c r="P25" s="398"/>
      <c r="Q25" s="397"/>
      <c r="R25" s="399">
        <v>0.43</v>
      </c>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6" t="s">
        <v>197</v>
      </c>
      <c r="C26" s="456" t="s">
        <v>198</v>
      </c>
      <c r="D26" s="456"/>
      <c r="E26" s="456" t="s">
        <v>199</v>
      </c>
      <c r="F26" s="456"/>
      <c r="G26" s="456"/>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6"/>
      <c r="C27" s="456"/>
      <c r="D27" s="456"/>
      <c r="E27" s="456"/>
      <c r="F27" s="456"/>
      <c r="G27" s="456"/>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6" t="s">
        <v>200</v>
      </c>
      <c r="C28" s="456" t="s">
        <v>201</v>
      </c>
      <c r="D28" s="456"/>
      <c r="E28" s="456" t="s">
        <v>202</v>
      </c>
      <c r="F28" s="456"/>
      <c r="G28" s="456"/>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6"/>
      <c r="C29" s="456"/>
      <c r="D29" s="456"/>
      <c r="E29" s="456"/>
      <c r="F29" s="456"/>
      <c r="G29" s="456"/>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6" t="s">
        <v>203</v>
      </c>
      <c r="C30" s="456" t="s">
        <v>204</v>
      </c>
      <c r="D30" s="456"/>
      <c r="E30" s="456" t="s">
        <v>205</v>
      </c>
      <c r="F30" s="456"/>
      <c r="G30" s="456"/>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6"/>
      <c r="C31" s="456"/>
      <c r="D31" s="456"/>
      <c r="E31" s="456"/>
      <c r="F31" s="456"/>
      <c r="G31" s="456"/>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C6" sqref="C6:G6"/>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Dagupan Branch</v>
      </c>
      <c r="C4" s="37"/>
      <c r="D4" s="38">
        <f>IF('1. Data Info and Summary'!$D$3=0,"-",'1. Data Info and Summary'!$D$3)</f>
        <v>2025</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7" t="s">
        <v>1434</v>
      </c>
      <c r="D6" s="448"/>
      <c r="E6" s="448"/>
      <c r="F6" s="448"/>
      <c r="G6" s="449"/>
    </row>
    <row r="7" spans="2:17" ht="12.75" customHeight="1" x14ac:dyDescent="0.2">
      <c r="B7" s="278" t="s">
        <v>174</v>
      </c>
      <c r="C7" s="450">
        <v>45910</v>
      </c>
      <c r="D7" s="448"/>
      <c r="E7" s="448"/>
      <c r="F7" s="448"/>
      <c r="G7" s="449"/>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27680</v>
      </c>
      <c r="M8" s="47">
        <v>218469.46</v>
      </c>
      <c r="N8" s="165" t="s">
        <v>461</v>
      </c>
      <c r="O8" s="195"/>
      <c r="P8" s="48"/>
      <c r="Q8" s="20"/>
    </row>
    <row r="9" spans="2:17" x14ac:dyDescent="0.2">
      <c r="I9" s="194"/>
      <c r="J9" s="58" t="s">
        <v>89</v>
      </c>
      <c r="K9" s="426" t="str">
        <f>IF(Electricity[[#This Row],[Month]]&lt;&gt;"",VLOOKUP(Electricity[[#This Row],[Month]], dropdown!$S$4:$T$15, 2, FALSE),"")</f>
        <v>Q1</v>
      </c>
      <c r="L9" s="29">
        <v>28880</v>
      </c>
      <c r="M9" s="47">
        <v>228071.9</v>
      </c>
      <c r="N9" s="165" t="s">
        <v>461</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27840</v>
      </c>
      <c r="M10" s="47">
        <v>229258.2</v>
      </c>
      <c r="N10" s="165" t="s">
        <v>461</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33120</v>
      </c>
      <c r="M11" s="47">
        <v>306005.83</v>
      </c>
      <c r="N11" s="165" t="s">
        <v>461</v>
      </c>
      <c r="O11" s="195"/>
      <c r="P11" s="48"/>
      <c r="Q11" s="20"/>
    </row>
    <row r="12" spans="2:17" x14ac:dyDescent="0.2">
      <c r="B12" s="17" t="s">
        <v>207</v>
      </c>
      <c r="C12" s="17" t="s">
        <v>208</v>
      </c>
      <c r="D12" s="41">
        <f>SUMIFS(Electricity[Consumption (kWh)],Electricity[Quarter],D$11)</f>
        <v>84400</v>
      </c>
      <c r="E12" s="41">
        <f>SUMIFS(Electricity[Consumption (kWh)],Electricity[Quarter],E$11)</f>
        <v>97680</v>
      </c>
      <c r="F12" s="41">
        <f>SUMIFS(Electricity[Consumption (kWh)],Electricity[Quarter],F$11)</f>
        <v>0</v>
      </c>
      <c r="G12" s="41">
        <f>SUMIFS(Electricity[Consumption (kWh)],Electricity[Quarter],G$11)</f>
        <v>0</v>
      </c>
      <c r="I12" s="194"/>
      <c r="J12" s="58" t="s">
        <v>379</v>
      </c>
      <c r="K12" s="426" t="str">
        <f>IF(Electricity[[#This Row],[Month]]&lt;&gt;"",VLOOKUP(Electricity[[#This Row],[Month]], dropdown!$S$4:$T$15, 2, FALSE),"")</f>
        <v>Q2</v>
      </c>
      <c r="L12" s="29">
        <v>31120</v>
      </c>
      <c r="M12" s="47">
        <v>262437.95</v>
      </c>
      <c r="N12" s="165" t="s">
        <v>461</v>
      </c>
      <c r="O12" s="195"/>
      <c r="P12" s="48"/>
      <c r="Q12" s="20"/>
    </row>
    <row r="13" spans="2:17" x14ac:dyDescent="0.2">
      <c r="D13" s="167" t="str">
        <f>IF(SUM(D$12:D$12)&gt;0,"x","")</f>
        <v>x</v>
      </c>
      <c r="E13" s="167" t="str">
        <f>IF(SUM(E$12:E$12)&gt;0,"x","")</f>
        <v>x</v>
      </c>
      <c r="F13" s="167" t="str">
        <f>IF(SUM(F$12:F$12)&gt;0,"x","")</f>
        <v/>
      </c>
      <c r="G13" s="167" t="str">
        <f>IF(SUM(G$12:G$12)&gt;0,"x","")</f>
        <v/>
      </c>
      <c r="I13" s="194"/>
      <c r="J13" s="58" t="s">
        <v>386</v>
      </c>
      <c r="K13" s="426" t="str">
        <f>IF(Electricity[[#This Row],[Month]]&lt;&gt;"",VLOOKUP(Electricity[[#This Row],[Month]], dropdown!$S$4:$T$15, 2, FALSE),"")</f>
        <v>Q2</v>
      </c>
      <c r="L13" s="29">
        <v>33440</v>
      </c>
      <c r="M13" s="47">
        <v>268946.88</v>
      </c>
      <c r="N13" s="165" t="s">
        <v>461</v>
      </c>
      <c r="O13" s="195"/>
      <c r="P13" s="48"/>
      <c r="Q13" s="20"/>
    </row>
    <row r="14" spans="2:17" x14ac:dyDescent="0.2">
      <c r="B14" s="119" t="s">
        <v>38</v>
      </c>
      <c r="D14" s="168"/>
      <c r="I14" s="194"/>
      <c r="J14" s="58"/>
      <c r="K14" s="426" t="str">
        <f>IF(Electricity[[#This Row],[Month]]&lt;&gt;"",VLOOKUP(Electricity[[#This Row],[Month]], dropdown!$S$4:$T$15, 2, FALSE),"")</f>
        <v/>
      </c>
      <c r="L14" s="29"/>
      <c r="M14" s="47"/>
      <c r="N14" s="165"/>
      <c r="O14" s="195"/>
      <c r="P14" s="48"/>
      <c r="Q14" s="20"/>
    </row>
    <row r="15" spans="2:17" x14ac:dyDescent="0.2">
      <c r="B15" s="120" t="s">
        <v>175</v>
      </c>
      <c r="D15" s="168"/>
      <c r="I15" s="194"/>
      <c r="J15" s="58"/>
      <c r="K15" s="426" t="str">
        <f>IF(Electricity[[#This Row],[Month]]&lt;&gt;"",VLOOKUP(Electricity[[#This Row],[Month]], dropdown!$S$4:$T$15, 2, FALSE),"")</f>
        <v/>
      </c>
      <c r="L15" s="29"/>
      <c r="M15" s="47"/>
      <c r="N15" s="165"/>
      <c r="O15" s="195"/>
      <c r="P15" s="48"/>
      <c r="Q15" s="20"/>
    </row>
    <row r="16" spans="2:17" x14ac:dyDescent="0.2">
      <c r="B16" s="121" t="s">
        <v>176</v>
      </c>
      <c r="I16" s="194"/>
      <c r="J16" s="58"/>
      <c r="K16" s="426" t="str">
        <f>IF(Electricity[[#This Row],[Month]]&lt;&gt;"",VLOOKUP(Electricity[[#This Row],[Month]], dropdown!$S$4:$T$15, 2, FALSE),"")</f>
        <v/>
      </c>
      <c r="L16" s="29"/>
      <c r="M16" s="47"/>
      <c r="N16" s="165"/>
      <c r="O16" s="195"/>
      <c r="P16" s="48"/>
      <c r="Q16" s="20"/>
    </row>
    <row r="17" spans="2:17" x14ac:dyDescent="0.2">
      <c r="B17" s="122" t="s">
        <v>177</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topLeftCell="A3"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Dagupan Branch</v>
      </c>
      <c r="C4" s="37"/>
      <c r="D4" s="38">
        <f>IF('1. Data Info and Summary'!$D$3=0,"-",'1. Data Info and Summary'!$D$3)</f>
        <v>2025</v>
      </c>
      <c r="E4" s="37"/>
      <c r="F4" s="37" t="s">
        <v>211</v>
      </c>
      <c r="G4" s="39"/>
      <c r="I4" s="429"/>
      <c r="J4" s="293"/>
      <c r="K4" s="293"/>
      <c r="L4" s="293"/>
      <c r="M4" s="293"/>
      <c r="N4" s="297"/>
    </row>
    <row r="5" spans="2:16" x14ac:dyDescent="0.2">
      <c r="B5" s="271"/>
      <c r="D5" s="271"/>
    </row>
    <row r="6" spans="2:16" ht="30" x14ac:dyDescent="0.2">
      <c r="B6" s="278" t="s">
        <v>172</v>
      </c>
      <c r="C6" s="447"/>
      <c r="D6" s="448"/>
      <c r="E6" s="448"/>
      <c r="F6" s="448"/>
      <c r="G6" s="449"/>
      <c r="I6" s="248" t="s">
        <v>173</v>
      </c>
      <c r="J6" s="249" t="s">
        <v>39</v>
      </c>
      <c r="K6" s="249" t="s">
        <v>43</v>
      </c>
      <c r="L6" s="250" t="s">
        <v>115</v>
      </c>
      <c r="M6" s="352" t="s">
        <v>212</v>
      </c>
      <c r="N6" s="253" t="s">
        <v>54</v>
      </c>
      <c r="O6" s="349"/>
    </row>
    <row r="7" spans="2:16" x14ac:dyDescent="0.2">
      <c r="B7" s="278" t="s">
        <v>174</v>
      </c>
      <c r="C7" s="447"/>
      <c r="D7" s="448"/>
      <c r="E7" s="448"/>
      <c r="F7" s="448"/>
      <c r="G7" s="449"/>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C8" sqref="C8"/>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Dagupan Branch</v>
      </c>
      <c r="C4" s="37"/>
      <c r="D4" s="38">
        <f>IF('1. Data Info and Summary'!$D$3=0,"-",'1. Data Info and Summary'!$D$3)</f>
        <v>2025</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7" t="s">
        <v>1434</v>
      </c>
      <c r="D6" s="448"/>
      <c r="E6" s="448"/>
      <c r="F6" s="448"/>
      <c r="G6" s="449"/>
      <c r="I6" s="134" t="s">
        <v>120</v>
      </c>
      <c r="J6" s="65"/>
      <c r="K6" s="65"/>
      <c r="L6" s="65"/>
      <c r="M6" s="65"/>
      <c r="N6" s="66"/>
      <c r="P6" s="134" t="s">
        <v>128</v>
      </c>
      <c r="Q6" s="65"/>
      <c r="R6" s="65"/>
      <c r="S6" s="65"/>
      <c r="T6" s="66"/>
      <c r="U6" s="66"/>
      <c r="W6" s="20"/>
    </row>
    <row r="7" spans="2:23" ht="12.75" customHeight="1" x14ac:dyDescent="0.2">
      <c r="B7" s="278" t="s">
        <v>174</v>
      </c>
      <c r="C7" s="450">
        <v>45910</v>
      </c>
      <c r="D7" s="448"/>
      <c r="E7" s="448"/>
      <c r="F7" s="448"/>
      <c r="G7" s="449"/>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102</v>
      </c>
      <c r="N8" s="195"/>
      <c r="O8" s="44"/>
      <c r="P8" s="194">
        <f>IF($T8="","",1)</f>
        <v>1</v>
      </c>
      <c r="Q8" s="58" t="s">
        <v>338</v>
      </c>
      <c r="R8" s="18" t="str">
        <f>IF(water_out[[#This Row],[Month]]&lt;&gt;"",VLOOKUP(water_out[[#This Row],[Month]], dropdown!$S$4:$T$15, 2, FALSE),"")</f>
        <v>Q1</v>
      </c>
      <c r="S8" s="60" t="s">
        <v>364</v>
      </c>
      <c r="T8" s="29">
        <v>64</v>
      </c>
      <c r="U8" s="195" t="s">
        <v>1435</v>
      </c>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166</v>
      </c>
      <c r="N9" s="195"/>
      <c r="O9" s="44"/>
      <c r="P9" s="194">
        <f>IF($T9="","",$P8+1)</f>
        <v>2</v>
      </c>
      <c r="Q9" s="58" t="s">
        <v>89</v>
      </c>
      <c r="R9" s="18" t="str">
        <f>IF(water_out[[#This Row],[Month]]&lt;&gt;"",VLOOKUP(water_out[[#This Row],[Month]], dropdown!$S$4:$T$15, 2, FALSE),"")</f>
        <v>Q1</v>
      </c>
      <c r="S9" s="60" t="s">
        <v>364</v>
      </c>
      <c r="T9" s="29">
        <v>64</v>
      </c>
      <c r="U9" s="195" t="s">
        <v>1435</v>
      </c>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181</v>
      </c>
      <c r="N10" s="195"/>
      <c r="O10" s="44"/>
      <c r="P10" s="194">
        <f t="shared" ref="P10:P73" si="1">IF($T10="","",$P9+1)</f>
        <v>3</v>
      </c>
      <c r="Q10" s="58" t="s">
        <v>362</v>
      </c>
      <c r="R10" s="18" t="str">
        <f>IF(water_out[[#This Row],[Month]]&lt;&gt;"",VLOOKUP(water_out[[#This Row],[Month]], dropdown!$S$4:$T$15, 2, FALSE),"")</f>
        <v>Q1</v>
      </c>
      <c r="S10" s="60" t="s">
        <v>364</v>
      </c>
      <c r="T10" s="29">
        <v>64</v>
      </c>
      <c r="U10" s="195" t="s">
        <v>1435</v>
      </c>
      <c r="W10" s="20"/>
    </row>
    <row r="11" spans="2:23" ht="14" x14ac:dyDescent="0.2">
      <c r="B11" s="17" t="s">
        <v>120</v>
      </c>
      <c r="C11" s="17" t="s">
        <v>220</v>
      </c>
      <c r="D11" s="41">
        <f>SUMIFS(water_in[Volume (m3)],water_in[Quarter],D$10)</f>
        <v>449</v>
      </c>
      <c r="E11" s="41">
        <f>SUMIFS(water_in[Volume (m3)],water_in[Quarter],E$10)</f>
        <v>558</v>
      </c>
      <c r="F11" s="41">
        <f>SUMIFS(water_in[Volume (m3)],water_in[Quarter],F$10)</f>
        <v>0</v>
      </c>
      <c r="G11" s="41">
        <f>SUMIFS(water_in[Volume (m3)],water_in[Quarter],G$10)</f>
        <v>0</v>
      </c>
      <c r="I11" s="194">
        <f t="shared" si="0"/>
        <v>4</v>
      </c>
      <c r="J11" s="58" t="s">
        <v>371</v>
      </c>
      <c r="K11" s="426" t="str">
        <f>IF(water_in[[#This Row],[Month]]&lt;&gt;"",VLOOKUP(water_in[[#This Row],[Month]], dropdown!$S$4:$T$15, 2, FALSE),"")</f>
        <v>Q2</v>
      </c>
      <c r="L11" s="58" t="s">
        <v>124</v>
      </c>
      <c r="M11" s="29">
        <v>203</v>
      </c>
      <c r="N11" s="195"/>
      <c r="O11" s="44"/>
      <c r="P11" s="194">
        <f t="shared" si="1"/>
        <v>4</v>
      </c>
      <c r="Q11" s="58" t="s">
        <v>371</v>
      </c>
      <c r="R11" s="18" t="str">
        <f>IF(water_out[[#This Row],[Month]]&lt;&gt;"",VLOOKUP(water_out[[#This Row],[Month]], dropdown!$S$4:$T$15, 2, FALSE),"")</f>
        <v>Q2</v>
      </c>
      <c r="S11" s="60" t="s">
        <v>364</v>
      </c>
      <c r="T11" s="29">
        <v>64</v>
      </c>
      <c r="U11" s="195" t="s">
        <v>1435</v>
      </c>
      <c r="W11" s="20"/>
    </row>
    <row r="12" spans="2:23" ht="14" x14ac:dyDescent="0.2">
      <c r="B12" s="17" t="s">
        <v>128</v>
      </c>
      <c r="C12" s="17" t="s">
        <v>220</v>
      </c>
      <c r="D12" s="41">
        <f>SUMIFS(water_out[Volume2 (m3)],water_out[Quarter],D$10)</f>
        <v>192</v>
      </c>
      <c r="E12" s="41">
        <f>SUMIFS(water_out[Volume2 (m3)],water_out[Quarter],E$10)</f>
        <v>192</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131</v>
      </c>
      <c r="N12" s="195"/>
      <c r="O12" s="44" t="str">
        <f>IF(J12="","",VLOOKUP($J12,dropdown!$S$3:$T$15,2,FALSE))</f>
        <v>Q2</v>
      </c>
      <c r="P12" s="194">
        <f t="shared" si="1"/>
        <v>5</v>
      </c>
      <c r="Q12" s="58" t="s">
        <v>379</v>
      </c>
      <c r="R12" s="18" t="str">
        <f>IF(water_out[[#This Row],[Month]]&lt;&gt;"",VLOOKUP(water_out[[#This Row],[Month]], dropdown!$S$4:$T$15, 2, FALSE),"")</f>
        <v>Q2</v>
      </c>
      <c r="S12" s="60" t="s">
        <v>364</v>
      </c>
      <c r="T12" s="29">
        <v>64</v>
      </c>
      <c r="U12" s="195" t="s">
        <v>1435</v>
      </c>
      <c r="W12" s="20"/>
    </row>
    <row r="13" spans="2:23" ht="14" x14ac:dyDescent="0.2">
      <c r="D13" s="167" t="str">
        <f>IF(SUM(D$11:D$12)&gt;0,"x","")</f>
        <v>x</v>
      </c>
      <c r="E13" s="167" t="str">
        <f>IF(SUM(E$11:E$12)&gt;0,"x","")</f>
        <v>x</v>
      </c>
      <c r="F13" s="167" t="str">
        <f>IF(SUM(F$11:F$12)&gt;0,"x","")</f>
        <v/>
      </c>
      <c r="G13" s="167" t="str">
        <f>IF(SUM(G$11:G$12)&gt;0,"x","")</f>
        <v/>
      </c>
      <c r="I13" s="194">
        <f t="shared" si="0"/>
        <v>6</v>
      </c>
      <c r="J13" s="58" t="s">
        <v>386</v>
      </c>
      <c r="K13" s="426" t="str">
        <f>IF(water_in[[#This Row],[Month]]&lt;&gt;"",VLOOKUP(water_in[[#This Row],[Month]], dropdown!$S$4:$T$15, 2, FALSE),"")</f>
        <v>Q2</v>
      </c>
      <c r="L13" s="58" t="s">
        <v>124</v>
      </c>
      <c r="M13" s="29">
        <v>224</v>
      </c>
      <c r="N13" s="195"/>
      <c r="O13" s="44" t="str">
        <f>IF(J13="","",VLOOKUP($J13,dropdown!$S$3:$T$15,2,FALSE))</f>
        <v>Q2</v>
      </c>
      <c r="P13" s="194">
        <f t="shared" si="1"/>
        <v>6</v>
      </c>
      <c r="Q13" s="58" t="s">
        <v>386</v>
      </c>
      <c r="R13" s="18" t="str">
        <f>IF(water_out[[#This Row],[Month]]&lt;&gt;"",VLOOKUP(water_out[[#This Row],[Month]], dropdown!$S$4:$T$15, 2, FALSE),"")</f>
        <v>Q2</v>
      </c>
      <c r="S13" s="60" t="s">
        <v>364</v>
      </c>
      <c r="T13" s="29">
        <v>64</v>
      </c>
      <c r="U13" s="195" t="s">
        <v>1435</v>
      </c>
      <c r="W13" s="20"/>
    </row>
    <row r="14" spans="2:23" ht="14" x14ac:dyDescent="0.2">
      <c r="B14" s="119" t="s">
        <v>38</v>
      </c>
      <c r="I14" s="194" t="str">
        <f t="shared" si="0"/>
        <v/>
      </c>
      <c r="J14" s="58"/>
      <c r="K14" s="426"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t="str">
        <f t="shared" si="0"/>
        <v/>
      </c>
      <c r="J15" s="58"/>
      <c r="K15" s="426"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176</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177</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Q1</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Dagupan Branch</v>
      </c>
      <c r="C4" s="37"/>
      <c r="D4" s="38">
        <f>'1. Data Info and Summary'!$D$3</f>
        <v>2025</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B1" zoomScaleNormal="100" workbookViewId="0">
      <selection activeCell="O29" sqref="O29"/>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Dagupan Branch</v>
      </c>
      <c r="C4" s="37"/>
      <c r="D4" s="38">
        <f>IF('1. Data Info and Summary'!$D$3=0,"-",'1. Data Info and Summary'!$D$3)</f>
        <v>2025</v>
      </c>
      <c r="E4" s="37"/>
      <c r="F4" s="37" t="s">
        <v>165</v>
      </c>
      <c r="G4" s="39"/>
      <c r="I4" s="42"/>
      <c r="J4" s="25"/>
      <c r="K4" s="25"/>
      <c r="L4" s="24"/>
      <c r="M4" s="21" t="s">
        <v>1433</v>
      </c>
      <c r="N4" s="24"/>
      <c r="O4" s="27"/>
      <c r="Q4" s="44"/>
    </row>
    <row r="5" spans="2:17" x14ac:dyDescent="0.2">
      <c r="B5" s="212"/>
      <c r="C5" s="213"/>
      <c r="D5" s="212"/>
      <c r="E5" s="213"/>
      <c r="F5" s="213"/>
      <c r="G5" s="213"/>
      <c r="Q5" s="44"/>
    </row>
    <row r="6" spans="2:17" x14ac:dyDescent="0.2">
      <c r="B6" s="278" t="s">
        <v>172</v>
      </c>
      <c r="C6" s="447" t="s">
        <v>1434</v>
      </c>
      <c r="D6" s="448"/>
      <c r="E6" s="448"/>
      <c r="F6" s="448"/>
      <c r="G6" s="449"/>
      <c r="I6" s="409" t="s">
        <v>282</v>
      </c>
      <c r="J6" s="407"/>
      <c r="K6" s="407"/>
      <c r="L6" s="407"/>
      <c r="M6" s="408"/>
      <c r="N6" s="407"/>
      <c r="O6" s="407"/>
      <c r="Q6" s="44"/>
    </row>
    <row r="7" spans="2:17" ht="25.5" customHeight="1" x14ac:dyDescent="0.2">
      <c r="B7" s="278" t="s">
        <v>174</v>
      </c>
      <c r="C7" s="450">
        <v>45910</v>
      </c>
      <c r="D7" s="448"/>
      <c r="E7" s="448"/>
      <c r="F7" s="448"/>
      <c r="G7" s="449"/>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318</v>
      </c>
      <c r="M8" s="29">
        <v>43.33</v>
      </c>
      <c r="N8" s="57" t="s">
        <v>313</v>
      </c>
      <c r="O8" s="195"/>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318</v>
      </c>
      <c r="M9" s="29">
        <v>43.33</v>
      </c>
      <c r="N9" s="57" t="s">
        <v>313</v>
      </c>
      <c r="O9" s="195"/>
      <c r="Q9" s="44"/>
    </row>
    <row r="10" spans="2:17" x14ac:dyDescent="0.2">
      <c r="B10" s="13" t="s">
        <v>137</v>
      </c>
      <c r="C10" s="13" t="s">
        <v>51</v>
      </c>
      <c r="D10" s="40" t="s">
        <v>45</v>
      </c>
      <c r="E10" s="40" t="s">
        <v>149</v>
      </c>
      <c r="F10" s="40" t="s">
        <v>150</v>
      </c>
      <c r="G10" s="40" t="s">
        <v>151</v>
      </c>
      <c r="I10" s="194">
        <f t="shared" si="0"/>
        <v>3</v>
      </c>
      <c r="J10" s="58" t="s">
        <v>362</v>
      </c>
      <c r="K10" s="194" t="str">
        <f>IF(Waste[[#This Row],[Month]]&lt;&gt;"",VLOOKUP(Waste[[#This Row],[Month]], dropdown!$S$4:$T$15, 2, FALSE),"")</f>
        <v>Q1</v>
      </c>
      <c r="L10" s="57" t="s">
        <v>318</v>
      </c>
      <c r="M10" s="29">
        <v>43.33</v>
      </c>
      <c r="N10" s="57" t="s">
        <v>313</v>
      </c>
      <c r="O10" s="195"/>
      <c r="Q10" s="44"/>
    </row>
    <row r="11" spans="2:17" x14ac:dyDescent="0.2">
      <c r="B11" s="17" t="str">
        <f>dropdown!$B4</f>
        <v>Compostable</v>
      </c>
      <c r="C11" s="17" t="s">
        <v>283</v>
      </c>
      <c r="D11" s="41">
        <f>SUMIFS(Waste[Weight (kg)],Waste[Quarter],D$10,Waste[Waste Composition],$B$11)</f>
        <v>10089.99</v>
      </c>
      <c r="E11" s="41">
        <f>SUMIFS(Waste[Weight (kg)],Waste[Quarter],E$10,Waste[Waste Composition],$B11)</f>
        <v>10089.99</v>
      </c>
      <c r="F11" s="41">
        <f>SUMIFS(Waste[Weight (kg)],Waste[Quarter],F$10,Waste[Waste Composition],$B11)</f>
        <v>0</v>
      </c>
      <c r="G11" s="41">
        <f>SUMIFS(Waste[Weight (kg)],Waste[Quarter],G$10,Waste[Waste Composition],$B11)</f>
        <v>0</v>
      </c>
      <c r="I11" s="194">
        <f t="shared" si="0"/>
        <v>4</v>
      </c>
      <c r="J11" s="58" t="s">
        <v>338</v>
      </c>
      <c r="K11" s="194" t="str">
        <f>IF(Waste[[#This Row],[Month]]&lt;&gt;"",VLOOKUP(Waste[[#This Row],[Month]], dropdown!$S$4:$T$15, 2, FALSE),"")</f>
        <v>Q1</v>
      </c>
      <c r="L11" s="57" t="s">
        <v>383</v>
      </c>
      <c r="M11" s="29">
        <v>56.66</v>
      </c>
      <c r="N11" s="57" t="s">
        <v>313</v>
      </c>
      <c r="O11" s="195"/>
      <c r="Q11" s="44"/>
    </row>
    <row r="12" spans="2:17" x14ac:dyDescent="0.2">
      <c r="B12" s="17" t="str">
        <f>dropdown!$B5</f>
        <v>Recyclable</v>
      </c>
      <c r="C12" s="17" t="s">
        <v>283</v>
      </c>
      <c r="D12" s="41">
        <f>SUMIFS(Waste[Weight (kg)],Waste[Quarter],D$10,Waste[Waste Composition],$B12)</f>
        <v>129.99</v>
      </c>
      <c r="E12" s="41">
        <f>SUMIFS(Waste[Weight (kg)],Waste[Quarter],E$10,Waste[Waste Composition],$B12)</f>
        <v>129.99</v>
      </c>
      <c r="F12" s="41">
        <f>SUMIFS(Waste[Weight (kg)],Waste[Quarter],F$10,Waste[Waste Composition],$B12)</f>
        <v>0</v>
      </c>
      <c r="G12" s="41">
        <f>SUMIFS(Waste[Weight (kg)],Waste[Quarter],G$10,Waste[Waste Composition],$B12)</f>
        <v>0</v>
      </c>
      <c r="I12" s="194">
        <f t="shared" si="0"/>
        <v>5</v>
      </c>
      <c r="J12" s="58" t="s">
        <v>89</v>
      </c>
      <c r="K12" s="194" t="str">
        <f>IF(Waste[[#This Row],[Month]]&lt;&gt;"",VLOOKUP(Waste[[#This Row],[Month]], dropdown!$S$4:$T$15, 2, FALSE),"")</f>
        <v>Q1</v>
      </c>
      <c r="L12" s="57" t="s">
        <v>383</v>
      </c>
      <c r="M12" s="29">
        <v>56.66</v>
      </c>
      <c r="N12" s="57" t="s">
        <v>313</v>
      </c>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362</v>
      </c>
      <c r="K13" s="194" t="str">
        <f>IF(Waste[[#This Row],[Month]]&lt;&gt;"",VLOOKUP(Waste[[#This Row],[Month]], dropdown!$S$4:$T$15, 2, FALSE),"")</f>
        <v>Q1</v>
      </c>
      <c r="L13" s="57" t="s">
        <v>383</v>
      </c>
      <c r="M13" s="29">
        <v>56.66</v>
      </c>
      <c r="N13" s="57" t="s">
        <v>313</v>
      </c>
      <c r="O13" s="195"/>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338</v>
      </c>
      <c r="K14" s="194" t="str">
        <f>IF(Waste[[#This Row],[Month]]&lt;&gt;"",VLOOKUP(Waste[[#This Row],[Month]], dropdown!$S$4:$T$15, 2, FALSE),"")</f>
        <v>Q1</v>
      </c>
      <c r="L14" s="57" t="s">
        <v>139</v>
      </c>
      <c r="M14" s="29">
        <v>3363.33</v>
      </c>
      <c r="N14" s="57" t="s">
        <v>347</v>
      </c>
      <c r="O14" s="195" t="s">
        <v>1431</v>
      </c>
      <c r="Q14" s="44"/>
    </row>
    <row r="15" spans="2:17" ht="15" customHeight="1" x14ac:dyDescent="0.2">
      <c r="B15" s="17" t="str">
        <f>dropdown!$B8</f>
        <v>Hazardous</v>
      </c>
      <c r="C15" s="17" t="s">
        <v>283</v>
      </c>
      <c r="D15" s="41">
        <f>SUMIFS(Waste[Weight (kg)],Waste[Quarter],D$10,Waste[Waste Composition],$B15)</f>
        <v>4.8399999999999999E-2</v>
      </c>
      <c r="E15" s="41">
        <f>SUMIFS(Waste[Weight (kg)],Waste[Quarter],E$10,Waste[Waste Composition],$B15)</f>
        <v>2.1149999999999999E-2</v>
      </c>
      <c r="F15" s="41">
        <f>SUMIFS(Waste[Weight (kg)],Waste[Quarter],F$10,Waste[Waste Composition],$B15)</f>
        <v>0</v>
      </c>
      <c r="G15" s="41">
        <f>SUMIFS(Waste[Weight (kg)],Waste[Quarter],G$10,Waste[Waste Composition],$B15)</f>
        <v>0</v>
      </c>
      <c r="I15" s="194">
        <f t="shared" si="0"/>
        <v>8</v>
      </c>
      <c r="J15" s="58" t="s">
        <v>89</v>
      </c>
      <c r="K15" s="194" t="str">
        <f>IF(Waste[[#This Row],[Month]]&lt;&gt;"",VLOOKUP(Waste[[#This Row],[Month]], dropdown!$S$4:$T$15, 2, FALSE),"")</f>
        <v>Q1</v>
      </c>
      <c r="L15" s="57" t="s">
        <v>139</v>
      </c>
      <c r="M15" s="29">
        <v>3363.33</v>
      </c>
      <c r="N15" s="57" t="s">
        <v>347</v>
      </c>
      <c r="O15" s="195" t="s">
        <v>1431</v>
      </c>
    </row>
    <row r="16" spans="2:17" x14ac:dyDescent="0.2">
      <c r="B16" s="17" t="str">
        <f>dropdown!$B9</f>
        <v>Residual/Landfill</v>
      </c>
      <c r="C16" s="17" t="s">
        <v>283</v>
      </c>
      <c r="D16" s="41">
        <f>SUMIFS(Waste[Weight (kg)],Waste[Quarter],D$10,Waste[Waste Composition],$B16)</f>
        <v>169.98</v>
      </c>
      <c r="E16" s="41">
        <f>SUMIFS(Waste[Weight (kg)],Waste[Quarter],E$10,Waste[Waste Composition],$B16)</f>
        <v>169.98</v>
      </c>
      <c r="F16" s="41">
        <f>SUMIFS(Waste[Weight (kg)],Waste[Quarter],F$10,Waste[Waste Composition],$B16)</f>
        <v>0</v>
      </c>
      <c r="G16" s="41">
        <f>SUMIFS(Waste[Weight (kg)],Waste[Quarter],G$10,Waste[Waste Composition],$B16)</f>
        <v>0</v>
      </c>
      <c r="I16" s="194">
        <f t="shared" si="0"/>
        <v>9</v>
      </c>
      <c r="J16" s="58" t="s">
        <v>362</v>
      </c>
      <c r="K16" s="194" t="str">
        <f>IF(Waste[[#This Row],[Month]]&lt;&gt;"",VLOOKUP(Waste[[#This Row],[Month]], dropdown!$S$4:$T$15, 2, FALSE),"")</f>
        <v>Q1</v>
      </c>
      <c r="L16" s="57" t="s">
        <v>139</v>
      </c>
      <c r="M16" s="29">
        <v>3363.33</v>
      </c>
      <c r="N16" s="57" t="s">
        <v>347</v>
      </c>
      <c r="O16" s="195" t="s">
        <v>1431</v>
      </c>
    </row>
    <row r="17" spans="2:15" x14ac:dyDescent="0.2">
      <c r="I17" s="194">
        <f t="shared" si="0"/>
        <v>10</v>
      </c>
      <c r="J17" s="58" t="s">
        <v>338</v>
      </c>
      <c r="K17" s="194" t="str">
        <f>IF(Waste[[#This Row],[Month]]&lt;&gt;"",VLOOKUP(Waste[[#This Row],[Month]], dropdown!$S$4:$T$15, 2, FALSE),"")</f>
        <v>Q1</v>
      </c>
      <c r="L17" s="57" t="s">
        <v>317</v>
      </c>
      <c r="M17" s="29">
        <v>0</v>
      </c>
      <c r="N17" s="57" t="s">
        <v>364</v>
      </c>
      <c r="O17" s="195"/>
    </row>
    <row r="18" spans="2:15" x14ac:dyDescent="0.2">
      <c r="B18" s="267" t="s">
        <v>38</v>
      </c>
      <c r="I18" s="194">
        <f t="shared" si="0"/>
        <v>11</v>
      </c>
      <c r="J18" s="58" t="s">
        <v>89</v>
      </c>
      <c r="K18" s="194" t="str">
        <f>IF(Waste[[#This Row],[Month]]&lt;&gt;"",VLOOKUP(Waste[[#This Row],[Month]], dropdown!$S$4:$T$15, 2, FALSE),"")</f>
        <v>Q1</v>
      </c>
      <c r="L18" s="57" t="s">
        <v>317</v>
      </c>
      <c r="M18" s="29">
        <v>0</v>
      </c>
      <c r="N18" s="57" t="s">
        <v>364</v>
      </c>
      <c r="O18" s="195"/>
    </row>
    <row r="19" spans="2:15" x14ac:dyDescent="0.2">
      <c r="B19" s="268" t="s">
        <v>175</v>
      </c>
      <c r="I19" s="194">
        <f t="shared" ref="I19" si="1">IF($J19="","",$I18+1)</f>
        <v>12</v>
      </c>
      <c r="J19" s="58" t="s">
        <v>362</v>
      </c>
      <c r="K19" s="194" t="str">
        <f>IF(Waste[[#This Row],[Month]]&lt;&gt;"",VLOOKUP(Waste[[#This Row],[Month]], dropdown!$S$4:$T$15, 2, FALSE),"")</f>
        <v>Q1</v>
      </c>
      <c r="L19" s="57" t="s">
        <v>317</v>
      </c>
      <c r="M19" s="29">
        <v>4.8399999999999999E-2</v>
      </c>
      <c r="N19" s="57" t="s">
        <v>364</v>
      </c>
      <c r="O19" s="195" t="s">
        <v>1432</v>
      </c>
    </row>
    <row r="20" spans="2:15" x14ac:dyDescent="0.2">
      <c r="B20" s="266" t="s">
        <v>176</v>
      </c>
      <c r="I20" s="194">
        <f t="shared" si="0"/>
        <v>13</v>
      </c>
      <c r="J20" s="58" t="s">
        <v>371</v>
      </c>
      <c r="K20" s="194" t="str">
        <f>IF(Waste[[#This Row],[Month]]&lt;&gt;"",VLOOKUP(Waste[[#This Row],[Month]], dropdown!$S$4:$T$15, 2, FALSE),"")</f>
        <v>Q2</v>
      </c>
      <c r="L20" s="57" t="s">
        <v>318</v>
      </c>
      <c r="M20" s="29">
        <v>43.33</v>
      </c>
      <c r="N20" s="57" t="s">
        <v>313</v>
      </c>
      <c r="O20" s="195"/>
    </row>
    <row r="21" spans="2:15" x14ac:dyDescent="0.2">
      <c r="B21" s="17" t="s">
        <v>177</v>
      </c>
      <c r="I21" s="194">
        <f t="shared" si="0"/>
        <v>14</v>
      </c>
      <c r="J21" s="58" t="s">
        <v>379</v>
      </c>
      <c r="K21" s="194" t="str">
        <f>IF(Waste[[#This Row],[Month]]&lt;&gt;"",VLOOKUP(Waste[[#This Row],[Month]], dropdown!$S$4:$T$15, 2, FALSE),"")</f>
        <v>Q2</v>
      </c>
      <c r="L21" s="57" t="s">
        <v>318</v>
      </c>
      <c r="M21" s="29">
        <v>43.33</v>
      </c>
      <c r="N21" s="57" t="s">
        <v>313</v>
      </c>
      <c r="O21" s="195"/>
    </row>
    <row r="22" spans="2:15" x14ac:dyDescent="0.2">
      <c r="I22" s="194">
        <f t="shared" si="0"/>
        <v>15</v>
      </c>
      <c r="J22" s="58" t="s">
        <v>386</v>
      </c>
      <c r="K22" s="194" t="str">
        <f>IF(Waste[[#This Row],[Month]]&lt;&gt;"",VLOOKUP(Waste[[#This Row],[Month]], dropdown!$S$4:$T$15, 2, FALSE),"")</f>
        <v>Q2</v>
      </c>
      <c r="L22" s="57" t="s">
        <v>318</v>
      </c>
      <c r="M22" s="29">
        <v>43.33</v>
      </c>
      <c r="N22" s="57" t="s">
        <v>313</v>
      </c>
      <c r="O22" s="195"/>
    </row>
    <row r="23" spans="2:15" x14ac:dyDescent="0.2">
      <c r="I23" s="194">
        <f t="shared" si="0"/>
        <v>16</v>
      </c>
      <c r="J23" s="58" t="s">
        <v>371</v>
      </c>
      <c r="K23" s="194" t="str">
        <f>IF(Waste[[#This Row],[Month]]&lt;&gt;"",VLOOKUP(Waste[[#This Row],[Month]], dropdown!$S$4:$T$15, 2, FALSE),"")</f>
        <v>Q2</v>
      </c>
      <c r="L23" s="57" t="s">
        <v>383</v>
      </c>
      <c r="M23" s="29">
        <v>56.66</v>
      </c>
      <c r="N23" s="57" t="s">
        <v>313</v>
      </c>
      <c r="O23" s="195"/>
    </row>
    <row r="24" spans="2:15" x14ac:dyDescent="0.2">
      <c r="I24" s="194">
        <f t="shared" si="0"/>
        <v>17</v>
      </c>
      <c r="J24" s="58" t="s">
        <v>379</v>
      </c>
      <c r="K24" s="194" t="str">
        <f>IF(Waste[[#This Row],[Month]]&lt;&gt;"",VLOOKUP(Waste[[#This Row],[Month]], dropdown!$S$4:$T$15, 2, FALSE),"")</f>
        <v>Q2</v>
      </c>
      <c r="L24" s="57" t="s">
        <v>383</v>
      </c>
      <c r="M24" s="29">
        <v>56.66</v>
      </c>
      <c r="N24" s="57" t="s">
        <v>313</v>
      </c>
      <c r="O24" s="195"/>
    </row>
    <row r="25" spans="2:15" x14ac:dyDescent="0.2">
      <c r="I25" s="194">
        <f t="shared" si="0"/>
        <v>18</v>
      </c>
      <c r="J25" s="58" t="s">
        <v>386</v>
      </c>
      <c r="K25" s="194" t="str">
        <f>IF(Waste[[#This Row],[Month]]&lt;&gt;"",VLOOKUP(Waste[[#This Row],[Month]], dropdown!$S$4:$T$15, 2, FALSE),"")</f>
        <v>Q2</v>
      </c>
      <c r="L25" s="57" t="s">
        <v>383</v>
      </c>
      <c r="M25" s="29">
        <v>56.66</v>
      </c>
      <c r="N25" s="57" t="s">
        <v>313</v>
      </c>
      <c r="O25" s="195"/>
    </row>
    <row r="26" spans="2:15" x14ac:dyDescent="0.2">
      <c r="I26" s="194">
        <f t="shared" si="0"/>
        <v>19</v>
      </c>
      <c r="J26" s="58" t="s">
        <v>371</v>
      </c>
      <c r="K26" s="194" t="str">
        <f>IF(Waste[[#This Row],[Month]]&lt;&gt;"",VLOOKUP(Waste[[#This Row],[Month]], dropdown!$S$4:$T$15, 2, FALSE),"")</f>
        <v>Q2</v>
      </c>
      <c r="L26" s="57" t="s">
        <v>139</v>
      </c>
      <c r="M26" s="29">
        <v>3363.33</v>
      </c>
      <c r="N26" s="57" t="s">
        <v>347</v>
      </c>
      <c r="O26" s="195" t="s">
        <v>1431</v>
      </c>
    </row>
    <row r="27" spans="2:15" x14ac:dyDescent="0.2">
      <c r="I27" s="194">
        <f t="shared" si="0"/>
        <v>20</v>
      </c>
      <c r="J27" s="58" t="s">
        <v>379</v>
      </c>
      <c r="K27" s="194" t="str">
        <f>IF(Waste[[#This Row],[Month]]&lt;&gt;"",VLOOKUP(Waste[[#This Row],[Month]], dropdown!$S$4:$T$15, 2, FALSE),"")</f>
        <v>Q2</v>
      </c>
      <c r="L27" s="57" t="s">
        <v>139</v>
      </c>
      <c r="M27" s="29">
        <v>3363.33</v>
      </c>
      <c r="N27" s="57" t="s">
        <v>347</v>
      </c>
      <c r="O27" s="195" t="s">
        <v>1431</v>
      </c>
    </row>
    <row r="28" spans="2:15" x14ac:dyDescent="0.2">
      <c r="I28" s="194">
        <f t="shared" si="0"/>
        <v>21</v>
      </c>
      <c r="J28" s="58" t="s">
        <v>386</v>
      </c>
      <c r="K28" s="194" t="str">
        <f>IF(Waste[[#This Row],[Month]]&lt;&gt;"",VLOOKUP(Waste[[#This Row],[Month]], dropdown!$S$4:$T$15, 2, FALSE),"")</f>
        <v>Q2</v>
      </c>
      <c r="L28" s="57" t="s">
        <v>139</v>
      </c>
      <c r="M28" s="29">
        <v>3363.33</v>
      </c>
      <c r="N28" s="57" t="s">
        <v>347</v>
      </c>
      <c r="O28" s="195" t="s">
        <v>1431</v>
      </c>
    </row>
    <row r="29" spans="2:15" x14ac:dyDescent="0.2">
      <c r="I29" s="194">
        <f t="shared" si="0"/>
        <v>22</v>
      </c>
      <c r="J29" s="58" t="s">
        <v>371</v>
      </c>
      <c r="K29" s="194" t="str">
        <f>IF(Waste[[#This Row],[Month]]&lt;&gt;"",VLOOKUP(Waste[[#This Row],[Month]], dropdown!$S$4:$T$15, 2, FALSE),"")</f>
        <v>Q2</v>
      </c>
      <c r="L29" s="57" t="s">
        <v>317</v>
      </c>
      <c r="M29" s="29">
        <v>0</v>
      </c>
      <c r="N29" s="57" t="s">
        <v>364</v>
      </c>
      <c r="O29" s="195"/>
    </row>
    <row r="30" spans="2:15" x14ac:dyDescent="0.2">
      <c r="I30" s="194">
        <f t="shared" si="0"/>
        <v>23</v>
      </c>
      <c r="J30" s="58" t="s">
        <v>379</v>
      </c>
      <c r="K30" s="194" t="str">
        <f>IF(Waste[[#This Row],[Month]]&lt;&gt;"",VLOOKUP(Waste[[#This Row],[Month]], dropdown!$S$4:$T$15, 2, FALSE),"")</f>
        <v>Q2</v>
      </c>
      <c r="L30" s="57" t="s">
        <v>317</v>
      </c>
      <c r="M30" s="29">
        <v>0</v>
      </c>
      <c r="N30" s="57" t="s">
        <v>364</v>
      </c>
      <c r="O30" s="195"/>
    </row>
    <row r="31" spans="2:15" x14ac:dyDescent="0.2">
      <c r="I31" s="194">
        <f t="shared" si="0"/>
        <v>24</v>
      </c>
      <c r="J31" s="58" t="s">
        <v>386</v>
      </c>
      <c r="K31" s="194" t="str">
        <f>IF(Waste[[#This Row],[Month]]&lt;&gt;"",VLOOKUP(Waste[[#This Row],[Month]], dropdown!$S$4:$T$15, 2, FALSE),"")</f>
        <v>Q2</v>
      </c>
      <c r="L31" s="57" t="s">
        <v>317</v>
      </c>
      <c r="M31" s="29">
        <v>2.1149999999999999E-2</v>
      </c>
      <c r="N31" s="57" t="s">
        <v>364</v>
      </c>
      <c r="O31" s="195" t="s">
        <v>1432</v>
      </c>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Dagupan Branch</v>
      </c>
      <c r="E6" s="462" t="s">
        <v>284</v>
      </c>
      <c r="F6" s="462"/>
      <c r="G6" s="462"/>
      <c r="H6" s="462"/>
      <c r="I6" s="462"/>
      <c r="J6" s="462"/>
      <c r="K6" s="462"/>
      <c r="L6" s="462"/>
      <c r="M6" s="462"/>
      <c r="N6" s="462"/>
      <c r="O6" s="462"/>
      <c r="P6" s="462"/>
      <c r="Q6" s="462"/>
    </row>
    <row r="7" spans="2:17" ht="20" customHeight="1" x14ac:dyDescent="0.2">
      <c r="B7" s="70" t="s">
        <v>12</v>
      </c>
      <c r="C7" s="59">
        <f>'1. Data Info and Summary'!$D$3</f>
        <v>2025</v>
      </c>
      <c r="E7" s="462"/>
      <c r="F7" s="462"/>
      <c r="G7" s="462"/>
      <c r="H7" s="462"/>
      <c r="I7" s="462"/>
      <c r="J7" s="462"/>
      <c r="K7" s="462"/>
      <c r="L7" s="462"/>
      <c r="M7" s="462"/>
      <c r="N7" s="462"/>
      <c r="O7" s="462"/>
      <c r="P7" s="462"/>
      <c r="Q7" s="462"/>
    </row>
    <row r="8" spans="2:17" ht="20" customHeight="1" x14ac:dyDescent="0.2">
      <c r="B8" s="71"/>
    </row>
    <row r="9" spans="2:17" x14ac:dyDescent="0.2">
      <c r="C9" s="53"/>
      <c r="E9" s="464" t="s">
        <v>285</v>
      </c>
      <c r="F9" s="464"/>
      <c r="G9" s="464"/>
      <c r="H9" s="464"/>
      <c r="I9" s="464"/>
      <c r="J9" s="464"/>
      <c r="L9" s="464" t="s">
        <v>286</v>
      </c>
      <c r="M9" s="464"/>
      <c r="N9" s="464"/>
      <c r="O9" s="464"/>
      <c r="P9" s="464"/>
      <c r="Q9" s="464"/>
    </row>
    <row r="10" spans="2:17" ht="8" customHeight="1" x14ac:dyDescent="0.2">
      <c r="B10" s="71"/>
    </row>
    <row r="11" spans="2:17" x14ac:dyDescent="0.2">
      <c r="E11" s="463" t="s">
        <v>287</v>
      </c>
      <c r="F11" s="463"/>
      <c r="G11" s="463"/>
      <c r="H11" s="463"/>
      <c r="I11" s="463"/>
      <c r="J11" s="463"/>
      <c r="L11" s="463" t="s">
        <v>288</v>
      </c>
      <c r="M11" s="463"/>
      <c r="N11" s="463"/>
      <c r="O11" s="463"/>
      <c r="P11" s="463"/>
      <c r="Q11" s="463"/>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286.84000000000003</v>
      </c>
      <c r="G13" s="73" t="str">
        <f>'1. Data Info and Summary'!$D18</f>
        <v>Liters</v>
      </c>
      <c r="I13" s="76">
        <f>VLOOKUP($E13,Emission_Factors!$A$1:$G$20,5,FALSE)</f>
        <v>2.68</v>
      </c>
      <c r="J13" s="141">
        <f>F13*I13</f>
        <v>768.73120000000017</v>
      </c>
      <c r="L13" s="73" t="s">
        <v>155</v>
      </c>
      <c r="M13" s="78">
        <f>SUM('2.3a Electricity'!$D$12:$G$12)</f>
        <v>182080</v>
      </c>
      <c r="N13" s="73" t="str">
        <f>'2.3a Electricity'!$C$12</f>
        <v>Kilowatt-hour</v>
      </c>
      <c r="P13" s="76">
        <f>VLOOKUP($L13,Emission_Factors!$A$1:$G$20,5,FALSE)</f>
        <v>0.56000000000000005</v>
      </c>
      <c r="Q13" s="141">
        <f>M13*P13</f>
        <v>101964.8</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768.73120000000017</v>
      </c>
    </row>
    <row r="20" spans="5:10" x14ac:dyDescent="0.2">
      <c r="E20" s="463" t="s">
        <v>293</v>
      </c>
      <c r="F20" s="463"/>
      <c r="G20" s="463"/>
      <c r="H20" s="463"/>
      <c r="I20" s="463"/>
      <c r="J20" s="463"/>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2642.71</v>
      </c>
      <c r="G22" s="73" t="str">
        <f>'1. Data Info and Summary'!$D26</f>
        <v>Liters</v>
      </c>
      <c r="I22" s="76">
        <f>VLOOKUP($E22,Emission_Factors!$A$1:$G$20,5,FALSE)</f>
        <v>2.68</v>
      </c>
      <c r="J22" s="141">
        <f>F22*I22</f>
        <v>7082.4628000000002</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7082.4628000000002</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7.6640625" bestFit="1" customWidth="1"/>
    <col min="5" max="5" width="10" bestFit="1" customWidth="1"/>
    <col min="6" max="6" width="7.5" bestFit="1" customWidth="1"/>
    <col min="7" max="7" width="10.83203125"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297</v>
      </c>
      <c r="I30" s="20"/>
      <c r="J30" s="20"/>
      <c r="K30" s="21"/>
      <c r="L30" s="21"/>
      <c r="M30" s="22"/>
      <c r="N30" s="22"/>
      <c r="O30" s="11"/>
      <c r="P30" s="22"/>
      <c r="Q30" s="20"/>
      <c r="R30" s="20"/>
      <c r="S30" s="44"/>
    </row>
    <row r="31" spans="1:19" outlineLevel="1" x14ac:dyDescent="0.2">
      <c r="A31" s="19" t="s">
        <v>300</v>
      </c>
      <c r="B31" s="337"/>
      <c r="C31" s="337"/>
      <c r="D31" s="337"/>
      <c r="E31" s="337"/>
      <c r="I31" s="20"/>
      <c r="J31" s="20"/>
      <c r="K31" s="21"/>
      <c r="L31" s="21"/>
      <c r="M31" s="22"/>
      <c r="N31" s="22"/>
      <c r="O31" s="11"/>
      <c r="P31" s="22"/>
      <c r="Q31" s="20"/>
      <c r="R31" s="20"/>
      <c r="S31" s="44"/>
    </row>
    <row r="32" spans="1:19" outlineLevel="1" x14ac:dyDescent="0.2">
      <c r="A32" s="203" t="s">
        <v>300</v>
      </c>
      <c r="B32" s="337"/>
      <c r="C32" s="337"/>
      <c r="D32" s="337"/>
      <c r="E32" s="337"/>
      <c r="I32" s="20"/>
      <c r="J32" s="20"/>
      <c r="K32" s="21"/>
      <c r="L32" s="21"/>
      <c r="M32" s="22"/>
      <c r="N32" s="22"/>
      <c r="O32" s="11"/>
      <c r="P32" s="22"/>
      <c r="Q32" s="20"/>
      <c r="R32" s="20"/>
      <c r="S32" s="44"/>
    </row>
    <row r="33" spans="1:19" outlineLevel="1" x14ac:dyDescent="0.2">
      <c r="A33" s="19" t="s">
        <v>343</v>
      </c>
      <c r="B33" s="337"/>
      <c r="C33" s="337">
        <v>1117.3999999999999</v>
      </c>
      <c r="D33" s="337">
        <v>668.21</v>
      </c>
      <c r="E33" s="337">
        <v>1785.61</v>
      </c>
      <c r="I33" s="20"/>
      <c r="J33" s="20"/>
      <c r="K33" s="21"/>
      <c r="L33" s="21"/>
      <c r="M33" s="22"/>
      <c r="N33" s="22"/>
      <c r="O33" s="11"/>
      <c r="P33" s="22"/>
      <c r="Q33" s="20"/>
      <c r="R33" s="20"/>
      <c r="S33" s="44"/>
    </row>
    <row r="34" spans="1:19" outlineLevel="1" x14ac:dyDescent="0.2">
      <c r="A34" s="203" t="s">
        <v>63</v>
      </c>
      <c r="B34" s="337"/>
      <c r="C34" s="337">
        <v>1117.3999999999999</v>
      </c>
      <c r="D34" s="337">
        <v>668.21</v>
      </c>
      <c r="E34" s="337">
        <v>1785.61</v>
      </c>
      <c r="I34" s="20"/>
      <c r="J34" s="20"/>
      <c r="K34" s="21"/>
      <c r="L34" s="21"/>
      <c r="M34" s="22"/>
      <c r="N34" s="22"/>
      <c r="O34" s="11"/>
      <c r="P34" s="22"/>
      <c r="Q34" s="20"/>
      <c r="R34" s="20"/>
      <c r="S34" s="44"/>
    </row>
    <row r="35" spans="1:19" outlineLevel="1" x14ac:dyDescent="0.2">
      <c r="A35" s="19" t="s">
        <v>381</v>
      </c>
      <c r="B35" s="337"/>
      <c r="C35" s="337">
        <v>128.42000000000002</v>
      </c>
      <c r="D35" s="337">
        <v>223.79000000000002</v>
      </c>
      <c r="E35" s="337">
        <v>352.21000000000004</v>
      </c>
      <c r="I35" s="20"/>
      <c r="J35" s="20"/>
      <c r="K35" s="21"/>
      <c r="L35" s="21"/>
      <c r="M35" s="22"/>
      <c r="N35" s="22"/>
      <c r="O35" s="11"/>
      <c r="P35" s="22"/>
      <c r="Q35" s="20"/>
      <c r="R35" s="20"/>
      <c r="S35" s="44"/>
    </row>
    <row r="36" spans="1:19" outlineLevel="1" x14ac:dyDescent="0.2">
      <c r="A36" s="203" t="s">
        <v>63</v>
      </c>
      <c r="B36" s="337"/>
      <c r="C36" s="337">
        <v>128.42000000000002</v>
      </c>
      <c r="D36" s="337">
        <v>223.79000000000002</v>
      </c>
      <c r="E36" s="337">
        <v>352.21000000000004</v>
      </c>
      <c r="H36" s="12"/>
      <c r="I36" s="20"/>
      <c r="J36" s="20"/>
      <c r="K36" s="21"/>
      <c r="L36" s="21"/>
      <c r="M36" s="22"/>
      <c r="N36" s="22"/>
      <c r="O36" s="11"/>
      <c r="P36" s="22"/>
      <c r="Q36" s="20"/>
      <c r="R36" s="20"/>
      <c r="S36" s="44"/>
    </row>
    <row r="37" spans="1:19" outlineLevel="1" x14ac:dyDescent="0.2">
      <c r="A37" s="19" t="s">
        <v>365</v>
      </c>
      <c r="B37" s="337"/>
      <c r="C37" s="337">
        <v>261.14999999999998</v>
      </c>
      <c r="D37" s="337">
        <v>243.74</v>
      </c>
      <c r="E37" s="337">
        <v>504.89</v>
      </c>
      <c r="H37" s="12"/>
      <c r="I37" s="20"/>
      <c r="J37" s="20"/>
      <c r="K37" s="21"/>
      <c r="L37" s="21"/>
      <c r="M37" s="22"/>
      <c r="N37" s="22"/>
      <c r="O37" s="11"/>
      <c r="P37" s="22"/>
      <c r="Q37" s="20"/>
      <c r="R37" s="20"/>
      <c r="S37" s="44"/>
    </row>
    <row r="38" spans="1:19" outlineLevel="1" x14ac:dyDescent="0.2">
      <c r="A38" s="203" t="s">
        <v>63</v>
      </c>
      <c r="B38" s="337"/>
      <c r="C38" s="337">
        <v>261.14999999999998</v>
      </c>
      <c r="D38" s="337">
        <v>243.74</v>
      </c>
      <c r="E38" s="337">
        <v>504.89</v>
      </c>
      <c r="H38" s="12"/>
      <c r="I38" s="20"/>
      <c r="J38" s="20"/>
      <c r="K38" s="21"/>
      <c r="L38" s="21"/>
      <c r="M38" s="22"/>
      <c r="N38" s="22"/>
      <c r="O38" s="11"/>
      <c r="P38" s="22"/>
      <c r="Q38" s="20"/>
      <c r="R38" s="20"/>
      <c r="S38" s="44"/>
    </row>
    <row r="39" spans="1:19" outlineLevel="1" x14ac:dyDescent="0.2">
      <c r="A39" s="19" t="s">
        <v>297</v>
      </c>
      <c r="B39" s="337"/>
      <c r="C39" s="337">
        <v>1506.9699999999998</v>
      </c>
      <c r="D39" s="337">
        <v>1135.74</v>
      </c>
      <c r="E39" s="337">
        <v>2642.7099999999996</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051"/>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45910.366828703707</v>
      </c>
      <c r="B927" t="s">
        <v>1452</v>
      </c>
      <c r="C927" t="s">
        <v>15</v>
      </c>
      <c r="D927" t="s">
        <v>1010</v>
      </c>
      <c r="E927" t="s">
        <v>200</v>
      </c>
    </row>
    <row r="928" spans="1:5" x14ac:dyDescent="0.2">
      <c r="A928" s="269">
        <v>45910.366851851853</v>
      </c>
      <c r="B928" t="s">
        <v>1452</v>
      </c>
      <c r="C928" t="s">
        <v>15</v>
      </c>
      <c r="D928" t="s">
        <v>995</v>
      </c>
      <c r="E928" t="s">
        <v>200</v>
      </c>
    </row>
    <row r="929" spans="1:5" x14ac:dyDescent="0.2">
      <c r="A929" s="269">
        <v>45910.366898148146</v>
      </c>
      <c r="B929" t="s">
        <v>1452</v>
      </c>
      <c r="C929" t="s">
        <v>15</v>
      </c>
      <c r="D929" t="s">
        <v>1014</v>
      </c>
      <c r="E929" t="s">
        <v>200</v>
      </c>
    </row>
    <row r="930" spans="1:5" x14ac:dyDescent="0.2">
      <c r="A930" s="269">
        <v>45910.366932870369</v>
      </c>
      <c r="B930" t="s">
        <v>1452</v>
      </c>
      <c r="C930" t="s">
        <v>15</v>
      </c>
      <c r="D930" t="s">
        <v>1017</v>
      </c>
      <c r="E930" t="s">
        <v>200</v>
      </c>
    </row>
    <row r="931" spans="1:5" x14ac:dyDescent="0.2">
      <c r="A931" s="269">
        <v>45910.367037037038</v>
      </c>
      <c r="B931" t="s">
        <v>1452</v>
      </c>
      <c r="C931" t="s">
        <v>28</v>
      </c>
      <c r="D931" t="s">
        <v>1453</v>
      </c>
      <c r="E931" s="442">
        <v>45910</v>
      </c>
    </row>
    <row r="932" spans="1:5" x14ac:dyDescent="0.2">
      <c r="A932" s="269">
        <v>45910.3671412037</v>
      </c>
      <c r="B932" t="s">
        <v>1452</v>
      </c>
      <c r="C932" t="s">
        <v>26</v>
      </c>
      <c r="D932" t="s">
        <v>1453</v>
      </c>
      <c r="E932" s="442">
        <v>45910</v>
      </c>
    </row>
    <row r="933" spans="1:5" x14ac:dyDescent="0.2">
      <c r="A933" s="269">
        <v>45910.367256944446</v>
      </c>
      <c r="B933" t="s">
        <v>1452</v>
      </c>
      <c r="C933" t="s">
        <v>103</v>
      </c>
      <c r="D933" t="s">
        <v>1453</v>
      </c>
      <c r="E933" s="442">
        <v>45910</v>
      </c>
    </row>
    <row r="934" spans="1:5" x14ac:dyDescent="0.2">
      <c r="A934" s="269">
        <v>45910.3674537037</v>
      </c>
      <c r="B934" t="s">
        <v>1452</v>
      </c>
      <c r="C934" t="s">
        <v>15</v>
      </c>
      <c r="D934" t="s">
        <v>1453</v>
      </c>
    </row>
    <row r="935" spans="1:5" x14ac:dyDescent="0.2">
      <c r="A935" s="269">
        <v>45910.367476851854</v>
      </c>
      <c r="B935" t="s">
        <v>1452</v>
      </c>
      <c r="C935" t="s">
        <v>15</v>
      </c>
      <c r="D935" t="s">
        <v>1454</v>
      </c>
      <c r="E935" t="s">
        <v>1448</v>
      </c>
    </row>
    <row r="936" spans="1:5" x14ac:dyDescent="0.2">
      <c r="A936" s="269">
        <v>45910.367546296293</v>
      </c>
      <c r="B936" t="s">
        <v>1452</v>
      </c>
      <c r="C936" t="s">
        <v>15</v>
      </c>
      <c r="D936" t="s">
        <v>1453</v>
      </c>
      <c r="E936" s="442">
        <v>45910</v>
      </c>
    </row>
    <row r="937" spans="1:5" x14ac:dyDescent="0.2">
      <c r="A937" s="269">
        <v>45910.367743055554</v>
      </c>
      <c r="B937" t="s">
        <v>1452</v>
      </c>
      <c r="C937" t="s">
        <v>58</v>
      </c>
      <c r="D937" t="s">
        <v>1453</v>
      </c>
      <c r="E937" s="442">
        <v>45910</v>
      </c>
    </row>
    <row r="938" spans="1:5" x14ac:dyDescent="0.2">
      <c r="A938" s="269">
        <v>45910.368078703701</v>
      </c>
      <c r="B938" t="s">
        <v>1452</v>
      </c>
      <c r="C938" t="s">
        <v>27</v>
      </c>
      <c r="D938" t="s">
        <v>1455</v>
      </c>
      <c r="E938" t="s">
        <v>1434</v>
      </c>
    </row>
    <row r="939" spans="1:5" x14ac:dyDescent="0.2">
      <c r="A939" s="269">
        <v>45910.368113425924</v>
      </c>
      <c r="B939" t="s">
        <v>1452</v>
      </c>
      <c r="C939" t="s">
        <v>27</v>
      </c>
      <c r="D939" t="s">
        <v>1453</v>
      </c>
      <c r="E939" s="442">
        <v>45910</v>
      </c>
    </row>
    <row r="940" spans="1:5" x14ac:dyDescent="0.2">
      <c r="A940" s="269">
        <v>45910.368206018517</v>
      </c>
      <c r="B940" t="s">
        <v>1452</v>
      </c>
      <c r="C940" t="s">
        <v>27</v>
      </c>
      <c r="D940" t="s">
        <v>1456</v>
      </c>
      <c r="E940" t="s">
        <v>37</v>
      </c>
    </row>
    <row r="941" spans="1:5" x14ac:dyDescent="0.2">
      <c r="A941" s="269">
        <v>45910.36822916667</v>
      </c>
      <c r="B941" t="s">
        <v>1452</v>
      </c>
      <c r="C941" t="s">
        <v>27</v>
      </c>
      <c r="D941" t="s">
        <v>1191</v>
      </c>
      <c r="E941" t="s">
        <v>37</v>
      </c>
    </row>
    <row r="942" spans="1:5" x14ac:dyDescent="0.2">
      <c r="A942" s="269">
        <v>45910.368263888886</v>
      </c>
      <c r="B942" t="s">
        <v>1452</v>
      </c>
      <c r="C942" t="s">
        <v>27</v>
      </c>
      <c r="D942" t="s">
        <v>795</v>
      </c>
      <c r="E942" t="s">
        <v>37</v>
      </c>
    </row>
    <row r="943" spans="1:5" x14ac:dyDescent="0.2">
      <c r="A943" s="269">
        <v>45910.368298611109</v>
      </c>
      <c r="B943" t="s">
        <v>1452</v>
      </c>
      <c r="C943" t="s">
        <v>27</v>
      </c>
      <c r="D943" t="s">
        <v>1013</v>
      </c>
      <c r="E943" t="s">
        <v>37</v>
      </c>
    </row>
    <row r="944" spans="1:5" x14ac:dyDescent="0.2">
      <c r="A944" s="269">
        <v>45910.368321759262</v>
      </c>
      <c r="B944" t="s">
        <v>1452</v>
      </c>
      <c r="C944" t="s">
        <v>27</v>
      </c>
      <c r="D944" t="s">
        <v>747</v>
      </c>
      <c r="E944" t="s">
        <v>37</v>
      </c>
    </row>
    <row r="945" spans="1:5" x14ac:dyDescent="0.2">
      <c r="A945" s="269">
        <v>45910.368344907409</v>
      </c>
      <c r="B945" t="s">
        <v>1452</v>
      </c>
      <c r="C945" t="s">
        <v>27</v>
      </c>
      <c r="D945" t="s">
        <v>1457</v>
      </c>
      <c r="E945" t="s">
        <v>37</v>
      </c>
    </row>
    <row r="946" spans="1:5" x14ac:dyDescent="0.2">
      <c r="A946" s="269">
        <v>45910.368391203701</v>
      </c>
      <c r="B946" t="s">
        <v>1452</v>
      </c>
      <c r="C946" t="s">
        <v>27</v>
      </c>
      <c r="D946" t="s">
        <v>1458</v>
      </c>
      <c r="E946" t="s">
        <v>37</v>
      </c>
    </row>
    <row r="947" spans="1:5" x14ac:dyDescent="0.2">
      <c r="A947" s="269">
        <v>45910.368437500001</v>
      </c>
      <c r="B947" t="s">
        <v>1452</v>
      </c>
      <c r="C947" t="s">
        <v>27</v>
      </c>
      <c r="D947" t="s">
        <v>1459</v>
      </c>
      <c r="E947" t="s">
        <v>37</v>
      </c>
    </row>
    <row r="948" spans="1:5" x14ac:dyDescent="0.2">
      <c r="A948" s="269">
        <v>45910.368460648147</v>
      </c>
      <c r="B948" t="s">
        <v>1452</v>
      </c>
      <c r="C948" t="s">
        <v>27</v>
      </c>
      <c r="D948" t="s">
        <v>672</v>
      </c>
      <c r="E948" t="s">
        <v>37</v>
      </c>
    </row>
    <row r="949" spans="1:5" x14ac:dyDescent="0.2">
      <c r="A949" s="269">
        <v>45910.368483796294</v>
      </c>
      <c r="B949" t="s">
        <v>1452</v>
      </c>
      <c r="C949" t="s">
        <v>27</v>
      </c>
      <c r="D949" t="s">
        <v>674</v>
      </c>
      <c r="E949" t="s">
        <v>37</v>
      </c>
    </row>
    <row r="950" spans="1:5" x14ac:dyDescent="0.2">
      <c r="A950" s="269">
        <v>45910.368518518517</v>
      </c>
      <c r="B950" t="s">
        <v>1452</v>
      </c>
      <c r="C950" t="s">
        <v>27</v>
      </c>
      <c r="D950" t="s">
        <v>675</v>
      </c>
      <c r="E950" t="s">
        <v>37</v>
      </c>
    </row>
    <row r="951" spans="1:5" x14ac:dyDescent="0.2">
      <c r="A951" s="269">
        <v>45910.36855324074</v>
      </c>
      <c r="B951" t="s">
        <v>1452</v>
      </c>
      <c r="C951" t="s">
        <v>27</v>
      </c>
      <c r="D951" t="s">
        <v>1460</v>
      </c>
      <c r="E951" t="s">
        <v>338</v>
      </c>
    </row>
    <row r="952" spans="1:5" x14ac:dyDescent="0.2">
      <c r="A952" s="269">
        <v>45910.368576388886</v>
      </c>
      <c r="B952" t="s">
        <v>1452</v>
      </c>
      <c r="C952" t="s">
        <v>27</v>
      </c>
      <c r="D952" t="s">
        <v>1010</v>
      </c>
      <c r="E952" t="s">
        <v>89</v>
      </c>
    </row>
    <row r="953" spans="1:5" x14ac:dyDescent="0.2">
      <c r="A953" s="269">
        <v>45910.368611111109</v>
      </c>
      <c r="B953" t="s">
        <v>1452</v>
      </c>
      <c r="C953" t="s">
        <v>27</v>
      </c>
      <c r="D953" t="s">
        <v>995</v>
      </c>
      <c r="E953" t="s">
        <v>362</v>
      </c>
    </row>
    <row r="954" spans="1:5" x14ac:dyDescent="0.2">
      <c r="A954" s="269">
        <v>45910.368796296294</v>
      </c>
      <c r="B954" t="s">
        <v>1452</v>
      </c>
      <c r="C954" t="s">
        <v>27</v>
      </c>
      <c r="D954" t="s">
        <v>1014</v>
      </c>
      <c r="E954" t="s">
        <v>89</v>
      </c>
    </row>
    <row r="955" spans="1:5" x14ac:dyDescent="0.2">
      <c r="A955" s="269">
        <v>45910.368831018517</v>
      </c>
      <c r="B955" t="s">
        <v>1452</v>
      </c>
      <c r="C955" t="s">
        <v>27</v>
      </c>
      <c r="D955" t="s">
        <v>995</v>
      </c>
      <c r="E955" t="s">
        <v>89</v>
      </c>
    </row>
    <row r="956" spans="1:5" x14ac:dyDescent="0.2">
      <c r="A956" s="269">
        <v>45910.368854166663</v>
      </c>
      <c r="B956" t="s">
        <v>1452</v>
      </c>
      <c r="C956" t="s">
        <v>27</v>
      </c>
      <c r="D956" t="s">
        <v>1014</v>
      </c>
      <c r="E956" t="s">
        <v>362</v>
      </c>
    </row>
    <row r="957" spans="1:5" x14ac:dyDescent="0.2">
      <c r="A957" s="269">
        <v>45910.368877314817</v>
      </c>
      <c r="B957" t="s">
        <v>1452</v>
      </c>
      <c r="C957" t="s">
        <v>27</v>
      </c>
      <c r="D957" t="s">
        <v>1017</v>
      </c>
      <c r="E957" t="s">
        <v>362</v>
      </c>
    </row>
    <row r="958" spans="1:5" x14ac:dyDescent="0.2">
      <c r="A958" s="269">
        <v>45910.36891203704</v>
      </c>
      <c r="B958" t="s">
        <v>1452</v>
      </c>
      <c r="C958" t="s">
        <v>27</v>
      </c>
      <c r="D958" t="s">
        <v>1461</v>
      </c>
      <c r="E958" t="s">
        <v>371</v>
      </c>
    </row>
    <row r="959" spans="1:5" x14ac:dyDescent="0.2">
      <c r="A959" s="269">
        <v>45910.368935185186</v>
      </c>
      <c r="B959" t="s">
        <v>1452</v>
      </c>
      <c r="C959" t="s">
        <v>27</v>
      </c>
      <c r="D959" t="s">
        <v>1462</v>
      </c>
      <c r="E959" t="s">
        <v>371</v>
      </c>
    </row>
    <row r="960" spans="1:5" x14ac:dyDescent="0.2">
      <c r="A960" s="269">
        <v>45910.368958333333</v>
      </c>
      <c r="B960" t="s">
        <v>1452</v>
      </c>
      <c r="C960" t="s">
        <v>27</v>
      </c>
      <c r="D960" t="s">
        <v>1463</v>
      </c>
      <c r="E960" t="s">
        <v>379</v>
      </c>
    </row>
    <row r="961" spans="1:5" x14ac:dyDescent="0.2">
      <c r="A961" s="269">
        <v>45910.368993055556</v>
      </c>
      <c r="B961" t="s">
        <v>1452</v>
      </c>
      <c r="C961" t="s">
        <v>27</v>
      </c>
      <c r="D961" t="s">
        <v>1464</v>
      </c>
      <c r="E961" t="s">
        <v>379</v>
      </c>
    </row>
    <row r="962" spans="1:5" x14ac:dyDescent="0.2">
      <c r="A962" s="269">
        <v>45910.369027777779</v>
      </c>
      <c r="B962" t="s">
        <v>1452</v>
      </c>
      <c r="C962" t="s">
        <v>27</v>
      </c>
      <c r="D962" t="s">
        <v>1465</v>
      </c>
      <c r="E962" t="s">
        <v>386</v>
      </c>
    </row>
    <row r="963" spans="1:5" x14ac:dyDescent="0.2">
      <c r="A963" s="269">
        <v>45910.369062500002</v>
      </c>
      <c r="B963" t="s">
        <v>1452</v>
      </c>
      <c r="C963" t="s">
        <v>27</v>
      </c>
      <c r="D963" t="s">
        <v>1466</v>
      </c>
      <c r="E963" t="s">
        <v>386</v>
      </c>
    </row>
    <row r="964" spans="1:5" x14ac:dyDescent="0.2">
      <c r="A964" s="269">
        <v>45910.369155092594</v>
      </c>
      <c r="B964" t="s">
        <v>1452</v>
      </c>
      <c r="C964" t="s">
        <v>27</v>
      </c>
      <c r="D964" t="s">
        <v>777</v>
      </c>
      <c r="E964">
        <v>2.67</v>
      </c>
    </row>
    <row r="965" spans="1:5" x14ac:dyDescent="0.2">
      <c r="A965" s="269">
        <v>45910.369189814817</v>
      </c>
      <c r="B965" t="s">
        <v>1452</v>
      </c>
      <c r="C965" t="s">
        <v>27</v>
      </c>
      <c r="D965" t="s">
        <v>1467</v>
      </c>
      <c r="E965">
        <v>14</v>
      </c>
    </row>
    <row r="966" spans="1:5" x14ac:dyDescent="0.2">
      <c r="A966" s="269">
        <v>45910.36922453704</v>
      </c>
      <c r="B966" t="s">
        <v>1452</v>
      </c>
      <c r="C966" t="s">
        <v>27</v>
      </c>
      <c r="D966" t="s">
        <v>973</v>
      </c>
      <c r="E966">
        <v>12.67</v>
      </c>
    </row>
    <row r="967" spans="1:5" x14ac:dyDescent="0.2">
      <c r="A967" s="269">
        <v>45910.369270833333</v>
      </c>
      <c r="B967" t="s">
        <v>1452</v>
      </c>
      <c r="C967" t="s">
        <v>27</v>
      </c>
      <c r="D967" t="s">
        <v>976</v>
      </c>
      <c r="E967">
        <v>16.329999999999998</v>
      </c>
    </row>
    <row r="968" spans="1:5" x14ac:dyDescent="0.2">
      <c r="A968" s="269">
        <v>45910.369305555556</v>
      </c>
      <c r="B968" t="s">
        <v>1452</v>
      </c>
      <c r="C968" t="s">
        <v>27</v>
      </c>
      <c r="D968" t="s">
        <v>977</v>
      </c>
      <c r="E968">
        <v>3.33</v>
      </c>
    </row>
    <row r="969" spans="1:5" x14ac:dyDescent="0.2">
      <c r="A969" s="269">
        <v>45910.369328703702</v>
      </c>
      <c r="B969" t="s">
        <v>1452</v>
      </c>
      <c r="C969" t="s">
        <v>27</v>
      </c>
      <c r="D969" t="s">
        <v>923</v>
      </c>
      <c r="E969">
        <v>74.33</v>
      </c>
    </row>
    <row r="970" spans="1:5" x14ac:dyDescent="0.2">
      <c r="A970" s="269">
        <v>45910.369375000002</v>
      </c>
      <c r="B970" t="s">
        <v>1452</v>
      </c>
      <c r="C970" t="s">
        <v>27</v>
      </c>
      <c r="D970" t="s">
        <v>918</v>
      </c>
      <c r="E970">
        <v>2.67</v>
      </c>
    </row>
    <row r="971" spans="1:5" x14ac:dyDescent="0.2">
      <c r="A971" s="269">
        <v>45910.369386574072</v>
      </c>
      <c r="B971" t="s">
        <v>1452</v>
      </c>
      <c r="C971" t="s">
        <v>27</v>
      </c>
      <c r="D971" t="s">
        <v>924</v>
      </c>
      <c r="E971">
        <v>14</v>
      </c>
    </row>
    <row r="972" spans="1:5" x14ac:dyDescent="0.2">
      <c r="A972" s="269">
        <v>45910.369409722225</v>
      </c>
      <c r="B972" t="s">
        <v>1452</v>
      </c>
      <c r="C972" t="s">
        <v>27</v>
      </c>
      <c r="D972" t="s">
        <v>1468</v>
      </c>
      <c r="E972">
        <v>3.32</v>
      </c>
    </row>
    <row r="973" spans="1:5" x14ac:dyDescent="0.2">
      <c r="A973" s="269">
        <v>45910.369606481479</v>
      </c>
      <c r="B973" t="s">
        <v>1452</v>
      </c>
      <c r="C973" t="s">
        <v>27</v>
      </c>
      <c r="D973" t="s">
        <v>981</v>
      </c>
      <c r="E973">
        <v>88.28</v>
      </c>
    </row>
    <row r="974" spans="1:5" x14ac:dyDescent="0.2">
      <c r="A974" s="269">
        <v>45910.369652777779</v>
      </c>
      <c r="B974" t="s">
        <v>1452</v>
      </c>
      <c r="C974" t="s">
        <v>27</v>
      </c>
      <c r="D974" t="s">
        <v>1469</v>
      </c>
      <c r="E974">
        <v>2.64</v>
      </c>
    </row>
    <row r="975" spans="1:5" x14ac:dyDescent="0.2">
      <c r="A975" s="269">
        <v>45910.369710648149</v>
      </c>
      <c r="B975" t="s">
        <v>1452</v>
      </c>
      <c r="C975" t="s">
        <v>27</v>
      </c>
      <c r="D975" t="s">
        <v>1470</v>
      </c>
      <c r="E975">
        <v>52.6</v>
      </c>
    </row>
    <row r="976" spans="1:5" x14ac:dyDescent="0.2">
      <c r="A976" s="269">
        <v>45910.369803240741</v>
      </c>
      <c r="B976" t="s">
        <v>1452</v>
      </c>
      <c r="C976" t="s">
        <v>27</v>
      </c>
      <c r="D976" t="s">
        <v>956</v>
      </c>
      <c r="E976" t="s">
        <v>1471</v>
      </c>
    </row>
    <row r="977" spans="1:5" x14ac:dyDescent="0.2">
      <c r="A977" s="269">
        <v>45910.369849537034</v>
      </c>
      <c r="B977" t="s">
        <v>1452</v>
      </c>
      <c r="C977" t="s">
        <v>27</v>
      </c>
      <c r="D977" t="s">
        <v>658</v>
      </c>
      <c r="E977" t="s">
        <v>1472</v>
      </c>
    </row>
    <row r="978" spans="1:5" x14ac:dyDescent="0.2">
      <c r="A978" s="269">
        <v>45910.369930555556</v>
      </c>
      <c r="B978" t="s">
        <v>1452</v>
      </c>
      <c r="C978" t="s">
        <v>27</v>
      </c>
      <c r="D978" t="s">
        <v>1473</v>
      </c>
      <c r="E978" t="s">
        <v>1471</v>
      </c>
    </row>
    <row r="979" spans="1:5" x14ac:dyDescent="0.2">
      <c r="A979" s="269">
        <v>45910.369988425926</v>
      </c>
      <c r="B979" t="s">
        <v>1452</v>
      </c>
      <c r="C979" t="s">
        <v>27</v>
      </c>
      <c r="D979" t="s">
        <v>1474</v>
      </c>
      <c r="E979" t="s">
        <v>1471</v>
      </c>
    </row>
    <row r="980" spans="1:5" x14ac:dyDescent="0.2">
      <c r="A980" s="269">
        <v>45910.403773148151</v>
      </c>
      <c r="B980" t="s">
        <v>1452</v>
      </c>
      <c r="C980" t="s">
        <v>597</v>
      </c>
      <c r="D980" t="s">
        <v>1475</v>
      </c>
      <c r="E980" t="s">
        <v>39</v>
      </c>
    </row>
    <row r="981" spans="1:5" x14ac:dyDescent="0.2">
      <c r="A981" s="269">
        <v>45910.605763888889</v>
      </c>
      <c r="B981" t="s">
        <v>1452</v>
      </c>
      <c r="C981" t="s">
        <v>597</v>
      </c>
      <c r="D981" t="s">
        <v>1475</v>
      </c>
      <c r="E981" t="s">
        <v>39</v>
      </c>
    </row>
    <row r="982" spans="1:5" x14ac:dyDescent="0.2">
      <c r="A982" s="269">
        <v>45910.60670138889</v>
      </c>
      <c r="B982" t="s">
        <v>1452</v>
      </c>
      <c r="C982" t="s">
        <v>15</v>
      </c>
      <c r="D982" t="s">
        <v>1478</v>
      </c>
      <c r="E982" t="s">
        <v>1436</v>
      </c>
    </row>
    <row r="983" spans="1:5" x14ac:dyDescent="0.2">
      <c r="A983" s="269">
        <v>45910.606874999998</v>
      </c>
      <c r="B983" t="s">
        <v>1452</v>
      </c>
      <c r="C983" t="s">
        <v>15</v>
      </c>
      <c r="D983" t="s">
        <v>1479</v>
      </c>
      <c r="E983" t="s">
        <v>200</v>
      </c>
    </row>
    <row r="984" spans="1:5" x14ac:dyDescent="0.2">
      <c r="A984" s="269">
        <v>45910.607071759259</v>
      </c>
      <c r="B984" t="s">
        <v>1452</v>
      </c>
      <c r="C984" t="s">
        <v>15</v>
      </c>
      <c r="D984" t="s">
        <v>1480</v>
      </c>
      <c r="E984">
        <v>1</v>
      </c>
    </row>
    <row r="985" spans="1:5" x14ac:dyDescent="0.2">
      <c r="A985" s="269">
        <v>45910.607245370367</v>
      </c>
      <c r="B985" t="s">
        <v>1452</v>
      </c>
      <c r="C985" t="s">
        <v>15</v>
      </c>
      <c r="D985" t="s">
        <v>1481</v>
      </c>
      <c r="E985" t="s">
        <v>380</v>
      </c>
    </row>
    <row r="986" spans="1:5" x14ac:dyDescent="0.2">
      <c r="A986" s="269">
        <v>45910.607453703706</v>
      </c>
      <c r="B986" t="s">
        <v>1452</v>
      </c>
      <c r="C986" t="s">
        <v>15</v>
      </c>
      <c r="D986" t="s">
        <v>1482</v>
      </c>
      <c r="E986" t="s">
        <v>188</v>
      </c>
    </row>
    <row r="987" spans="1:5" x14ac:dyDescent="0.2">
      <c r="A987" s="269">
        <v>45910.607754629629</v>
      </c>
      <c r="B987" t="s">
        <v>1452</v>
      </c>
      <c r="C987" t="s">
        <v>15</v>
      </c>
      <c r="D987" t="s">
        <v>1483</v>
      </c>
      <c r="E987" t="s">
        <v>404</v>
      </c>
    </row>
    <row r="988" spans="1:5" x14ac:dyDescent="0.2">
      <c r="A988" s="269">
        <v>45910.607997685183</v>
      </c>
      <c r="B988" t="s">
        <v>1452</v>
      </c>
      <c r="C988" t="s">
        <v>15</v>
      </c>
      <c r="D988" t="s">
        <v>1484</v>
      </c>
      <c r="E988">
        <v>9.8000000000000007</v>
      </c>
    </row>
    <row r="989" spans="1:5" x14ac:dyDescent="0.2">
      <c r="A989" s="269">
        <v>45910.608263888891</v>
      </c>
      <c r="B989" t="s">
        <v>1452</v>
      </c>
      <c r="C989" t="s">
        <v>15</v>
      </c>
      <c r="D989" t="s">
        <v>1485</v>
      </c>
      <c r="E989" t="s">
        <v>404</v>
      </c>
    </row>
    <row r="990" spans="1:5" x14ac:dyDescent="0.2">
      <c r="A990" s="269">
        <v>45910.608437499999</v>
      </c>
      <c r="B990" t="s">
        <v>1452</v>
      </c>
      <c r="C990" t="s">
        <v>15</v>
      </c>
      <c r="D990" t="s">
        <v>1486</v>
      </c>
      <c r="E990">
        <v>3.8</v>
      </c>
    </row>
    <row r="991" spans="1:5" x14ac:dyDescent="0.2">
      <c r="A991" s="269">
        <v>45910.608483796299</v>
      </c>
      <c r="B991" t="s">
        <v>1452</v>
      </c>
      <c r="C991" t="s">
        <v>15</v>
      </c>
      <c r="D991" t="s">
        <v>1487</v>
      </c>
    </row>
    <row r="992" spans="1:5" x14ac:dyDescent="0.2">
      <c r="A992" s="269">
        <v>45910.609467592592</v>
      </c>
      <c r="B992" t="s">
        <v>1452</v>
      </c>
      <c r="C992" t="s">
        <v>15</v>
      </c>
      <c r="D992" t="s">
        <v>1488</v>
      </c>
    </row>
    <row r="993" spans="1:5" x14ac:dyDescent="0.2">
      <c r="A993" s="269">
        <v>45910.610173611109</v>
      </c>
      <c r="B993" t="s">
        <v>1452</v>
      </c>
      <c r="C993" t="s">
        <v>15</v>
      </c>
      <c r="D993" t="s">
        <v>1488</v>
      </c>
      <c r="E993" t="s">
        <v>1436</v>
      </c>
    </row>
    <row r="994" spans="1:5" x14ac:dyDescent="0.2">
      <c r="A994" s="269">
        <v>45910.612905092596</v>
      </c>
      <c r="B994" t="s">
        <v>1452</v>
      </c>
      <c r="C994" t="s">
        <v>15</v>
      </c>
      <c r="D994" t="s">
        <v>1473</v>
      </c>
      <c r="E994" t="s">
        <v>89</v>
      </c>
    </row>
    <row r="995" spans="1:5" x14ac:dyDescent="0.2">
      <c r="A995" s="269">
        <v>45910.612939814811</v>
      </c>
      <c r="B995" t="s">
        <v>1452</v>
      </c>
      <c r="C995" t="s">
        <v>15</v>
      </c>
      <c r="D995" t="s">
        <v>996</v>
      </c>
      <c r="E995" t="s">
        <v>89</v>
      </c>
    </row>
    <row r="996" spans="1:5" x14ac:dyDescent="0.2">
      <c r="A996" s="269">
        <v>45910.612962962965</v>
      </c>
      <c r="B996" t="s">
        <v>1452</v>
      </c>
      <c r="C996" t="s">
        <v>15</v>
      </c>
      <c r="D996" t="s">
        <v>1489</v>
      </c>
      <c r="E996" t="s">
        <v>89</v>
      </c>
    </row>
    <row r="997" spans="1:5" x14ac:dyDescent="0.2">
      <c r="A997" s="269">
        <v>45910.612997685188</v>
      </c>
      <c r="B997" t="s">
        <v>1452</v>
      </c>
      <c r="C997" t="s">
        <v>15</v>
      </c>
      <c r="D997" t="s">
        <v>1019</v>
      </c>
      <c r="E997" t="s">
        <v>89</v>
      </c>
    </row>
    <row r="998" spans="1:5" x14ac:dyDescent="0.2">
      <c r="A998" s="269">
        <v>45910.613020833334</v>
      </c>
      <c r="B998" t="s">
        <v>1452</v>
      </c>
      <c r="C998" t="s">
        <v>15</v>
      </c>
      <c r="D998" t="s">
        <v>1490</v>
      </c>
      <c r="E998" t="s">
        <v>89</v>
      </c>
    </row>
    <row r="999" spans="1:5" x14ac:dyDescent="0.2">
      <c r="A999" s="269">
        <v>45910.613043981481</v>
      </c>
      <c r="B999" t="s">
        <v>1452</v>
      </c>
      <c r="C999" t="s">
        <v>15</v>
      </c>
      <c r="D999" t="s">
        <v>1491</v>
      </c>
      <c r="E999" t="s">
        <v>89</v>
      </c>
    </row>
    <row r="1000" spans="1:5" x14ac:dyDescent="0.2">
      <c r="A1000" s="269">
        <v>45910.613067129627</v>
      </c>
      <c r="B1000" t="s">
        <v>1452</v>
      </c>
      <c r="C1000" t="s">
        <v>15</v>
      </c>
      <c r="D1000" t="s">
        <v>1492</v>
      </c>
      <c r="E1000" t="s">
        <v>89</v>
      </c>
    </row>
    <row r="1001" spans="1:5" x14ac:dyDescent="0.2">
      <c r="A1001" s="269">
        <v>45910.61310185185</v>
      </c>
      <c r="B1001" t="s">
        <v>1452</v>
      </c>
      <c r="C1001" t="s">
        <v>15</v>
      </c>
      <c r="D1001" t="s">
        <v>1493</v>
      </c>
      <c r="E1001" t="s">
        <v>89</v>
      </c>
    </row>
    <row r="1002" spans="1:5" x14ac:dyDescent="0.2">
      <c r="A1002" s="269">
        <v>45910.613136574073</v>
      </c>
      <c r="B1002" t="s">
        <v>1452</v>
      </c>
      <c r="C1002" t="s">
        <v>15</v>
      </c>
      <c r="D1002" t="s">
        <v>1494</v>
      </c>
      <c r="E1002" t="s">
        <v>89</v>
      </c>
    </row>
    <row r="1003" spans="1:5" x14ac:dyDescent="0.2">
      <c r="A1003" s="269">
        <v>45910.613171296296</v>
      </c>
      <c r="B1003" t="s">
        <v>1452</v>
      </c>
      <c r="C1003" t="s">
        <v>15</v>
      </c>
      <c r="D1003" t="s">
        <v>1495</v>
      </c>
      <c r="E1003" t="s">
        <v>89</v>
      </c>
    </row>
    <row r="1004" spans="1:5" x14ac:dyDescent="0.2">
      <c r="A1004" s="269">
        <v>45910.613217592596</v>
      </c>
      <c r="B1004" t="s">
        <v>1452</v>
      </c>
      <c r="C1004" t="s">
        <v>15</v>
      </c>
      <c r="D1004" t="s">
        <v>1496</v>
      </c>
      <c r="E1004" t="s">
        <v>89</v>
      </c>
    </row>
    <row r="1005" spans="1:5" x14ac:dyDescent="0.2">
      <c r="A1005" s="269">
        <v>45910.613252314812</v>
      </c>
      <c r="B1005" t="s">
        <v>1452</v>
      </c>
      <c r="C1005" t="s">
        <v>15</v>
      </c>
      <c r="D1005" t="s">
        <v>1497</v>
      </c>
      <c r="E1005" t="s">
        <v>89</v>
      </c>
    </row>
    <row r="1006" spans="1:5" x14ac:dyDescent="0.2">
      <c r="A1006" s="269">
        <v>45910.613275462965</v>
      </c>
      <c r="B1006" t="s">
        <v>1452</v>
      </c>
      <c r="C1006" t="s">
        <v>15</v>
      </c>
      <c r="D1006" t="s">
        <v>1498</v>
      </c>
      <c r="E1006" t="s">
        <v>89</v>
      </c>
    </row>
    <row r="1007" spans="1:5" x14ac:dyDescent="0.2">
      <c r="A1007" s="269">
        <v>45910.613298611112</v>
      </c>
      <c r="B1007" t="s">
        <v>1452</v>
      </c>
      <c r="C1007" t="s">
        <v>15</v>
      </c>
      <c r="D1007" t="s">
        <v>1499</v>
      </c>
      <c r="E1007" t="s">
        <v>89</v>
      </c>
    </row>
    <row r="1008" spans="1:5" x14ac:dyDescent="0.2">
      <c r="A1008" s="269">
        <v>45910.613368055558</v>
      </c>
      <c r="B1008" t="s">
        <v>1452</v>
      </c>
      <c r="C1008" t="s">
        <v>15</v>
      </c>
      <c r="D1008" t="s">
        <v>1500</v>
      </c>
      <c r="E1008" t="s">
        <v>89</v>
      </c>
    </row>
    <row r="1009" spans="1:5" x14ac:dyDescent="0.2">
      <c r="A1009" s="269">
        <v>45910.613425925927</v>
      </c>
      <c r="B1009" t="s">
        <v>1452</v>
      </c>
      <c r="C1009" t="s">
        <v>15</v>
      </c>
      <c r="D1009" t="s">
        <v>1501</v>
      </c>
      <c r="E1009" t="s">
        <v>89</v>
      </c>
    </row>
    <row r="1010" spans="1:5" x14ac:dyDescent="0.2">
      <c r="A1010" s="269">
        <v>45910.61347222222</v>
      </c>
      <c r="B1010" t="s">
        <v>1452</v>
      </c>
      <c r="C1010" t="s">
        <v>15</v>
      </c>
      <c r="D1010" t="s">
        <v>1502</v>
      </c>
      <c r="E1010" t="s">
        <v>89</v>
      </c>
    </row>
    <row r="1011" spans="1:5" x14ac:dyDescent="0.2">
      <c r="A1011" s="269">
        <v>45910.613495370373</v>
      </c>
      <c r="B1011" t="s">
        <v>1452</v>
      </c>
      <c r="C1011" t="s">
        <v>15</v>
      </c>
      <c r="D1011" t="s">
        <v>1495</v>
      </c>
      <c r="E1011" t="s">
        <v>89</v>
      </c>
    </row>
    <row r="1012" spans="1:5" x14ac:dyDescent="0.2">
      <c r="A1012" s="269">
        <v>45910.614641203705</v>
      </c>
      <c r="B1012" t="s">
        <v>1452</v>
      </c>
      <c r="C1012" t="s">
        <v>15</v>
      </c>
      <c r="D1012" t="s">
        <v>1483</v>
      </c>
    </row>
    <row r="1013" spans="1:5" x14ac:dyDescent="0.2">
      <c r="A1013" s="269">
        <v>45910.614652777775</v>
      </c>
      <c r="B1013" t="s">
        <v>1452</v>
      </c>
      <c r="C1013" t="s">
        <v>15</v>
      </c>
      <c r="D1013" t="s">
        <v>1485</v>
      </c>
    </row>
    <row r="1014" spans="1:5" x14ac:dyDescent="0.2">
      <c r="A1014" s="269">
        <v>45910.615208333336</v>
      </c>
      <c r="B1014" t="s">
        <v>1452</v>
      </c>
      <c r="C1014" t="s">
        <v>15</v>
      </c>
      <c r="D1014" t="s">
        <v>1485</v>
      </c>
      <c r="E1014" t="s">
        <v>89</v>
      </c>
    </row>
    <row r="1015" spans="1:5" x14ac:dyDescent="0.2">
      <c r="A1015" s="269">
        <v>45910.615208333336</v>
      </c>
      <c r="B1015" t="s">
        <v>1452</v>
      </c>
      <c r="C1015" t="s">
        <v>15</v>
      </c>
      <c r="D1015" t="s">
        <v>1483</v>
      </c>
      <c r="E1015" t="s">
        <v>89</v>
      </c>
    </row>
    <row r="1016" spans="1:5" x14ac:dyDescent="0.2">
      <c r="A1016" s="269">
        <v>45910.620636574073</v>
      </c>
      <c r="B1016" t="s">
        <v>1452</v>
      </c>
      <c r="C1016" t="s">
        <v>15</v>
      </c>
      <c r="D1016" t="s">
        <v>1483</v>
      </c>
    </row>
    <row r="1017" spans="1:5" x14ac:dyDescent="0.2">
      <c r="A1017" s="269">
        <v>45910.620659722219</v>
      </c>
      <c r="B1017" t="s">
        <v>1452</v>
      </c>
      <c r="C1017" t="s">
        <v>15</v>
      </c>
      <c r="D1017" t="s">
        <v>1503</v>
      </c>
    </row>
    <row r="1018" spans="1:5" x14ac:dyDescent="0.2">
      <c r="A1018" s="269">
        <v>45910.62096064815</v>
      </c>
      <c r="B1018" t="s">
        <v>1452</v>
      </c>
      <c r="C1018" t="s">
        <v>15</v>
      </c>
      <c r="D1018" t="s">
        <v>926</v>
      </c>
      <c r="E1018" t="s">
        <v>352</v>
      </c>
    </row>
    <row r="1019" spans="1:5" x14ac:dyDescent="0.2">
      <c r="A1019" s="269">
        <v>45910.621041666665</v>
      </c>
      <c r="B1019" t="s">
        <v>1452</v>
      </c>
      <c r="C1019" t="s">
        <v>15</v>
      </c>
      <c r="D1019" t="s">
        <v>874</v>
      </c>
      <c r="E1019" t="s">
        <v>352</v>
      </c>
    </row>
    <row r="1020" spans="1:5" x14ac:dyDescent="0.2">
      <c r="A1020" s="269">
        <v>45910.621111111112</v>
      </c>
      <c r="B1020" t="s">
        <v>1452</v>
      </c>
      <c r="C1020" t="s">
        <v>15</v>
      </c>
      <c r="D1020" t="s">
        <v>1504</v>
      </c>
      <c r="E1020" t="s">
        <v>188</v>
      </c>
    </row>
    <row r="1021" spans="1:5" x14ac:dyDescent="0.2">
      <c r="A1021" s="269">
        <v>45910.621145833335</v>
      </c>
      <c r="B1021" t="s">
        <v>1452</v>
      </c>
      <c r="C1021" t="s">
        <v>15</v>
      </c>
      <c r="D1021" t="s">
        <v>1504</v>
      </c>
      <c r="E1021" t="s">
        <v>352</v>
      </c>
    </row>
    <row r="1022" spans="1:5" x14ac:dyDescent="0.2">
      <c r="A1022" s="269">
        <v>45910.621168981481</v>
      </c>
      <c r="B1022" t="s">
        <v>1452</v>
      </c>
      <c r="C1022" t="s">
        <v>15</v>
      </c>
      <c r="D1022" t="s">
        <v>1505</v>
      </c>
      <c r="E1022" t="s">
        <v>352</v>
      </c>
    </row>
    <row r="1023" spans="1:5" x14ac:dyDescent="0.2">
      <c r="A1023" s="269">
        <v>45910.621192129627</v>
      </c>
      <c r="B1023" t="s">
        <v>1452</v>
      </c>
      <c r="C1023" t="s">
        <v>15</v>
      </c>
      <c r="D1023" t="s">
        <v>1506</v>
      </c>
      <c r="E1023" t="s">
        <v>352</v>
      </c>
    </row>
    <row r="1024" spans="1:5" x14ac:dyDescent="0.2">
      <c r="A1024" s="269">
        <v>45910.621215277781</v>
      </c>
      <c r="B1024" t="s">
        <v>1452</v>
      </c>
      <c r="C1024" t="s">
        <v>15</v>
      </c>
      <c r="D1024" t="s">
        <v>1507</v>
      </c>
      <c r="E1024" t="s">
        <v>188</v>
      </c>
    </row>
    <row r="1025" spans="1:5" x14ac:dyDescent="0.2">
      <c r="A1025" s="269">
        <v>45910.621238425927</v>
      </c>
      <c r="B1025" t="s">
        <v>1452</v>
      </c>
      <c r="C1025" t="s">
        <v>15</v>
      </c>
      <c r="D1025" t="s">
        <v>1507</v>
      </c>
      <c r="E1025" t="s">
        <v>352</v>
      </c>
    </row>
    <row r="1026" spans="1:5" x14ac:dyDescent="0.2">
      <c r="A1026" s="269">
        <v>45910.621261574073</v>
      </c>
      <c r="B1026" t="s">
        <v>1452</v>
      </c>
      <c r="C1026" t="s">
        <v>15</v>
      </c>
      <c r="D1026" t="s">
        <v>1508</v>
      </c>
      <c r="E1026" t="s">
        <v>352</v>
      </c>
    </row>
    <row r="1027" spans="1:5" x14ac:dyDescent="0.2">
      <c r="A1027" s="269">
        <v>45910.62128472222</v>
      </c>
      <c r="B1027" t="s">
        <v>1452</v>
      </c>
      <c r="C1027" t="s">
        <v>15</v>
      </c>
      <c r="D1027" t="s">
        <v>1509</v>
      </c>
      <c r="E1027" t="s">
        <v>352</v>
      </c>
    </row>
    <row r="1028" spans="1:5" x14ac:dyDescent="0.2">
      <c r="A1028" s="269">
        <v>45910.621307870373</v>
      </c>
      <c r="B1028" t="s">
        <v>1452</v>
      </c>
      <c r="C1028" t="s">
        <v>15</v>
      </c>
      <c r="D1028" t="s">
        <v>1510</v>
      </c>
      <c r="E1028" t="s">
        <v>352</v>
      </c>
    </row>
    <row r="1029" spans="1:5" x14ac:dyDescent="0.2">
      <c r="A1029" s="269">
        <v>45910.621342592596</v>
      </c>
      <c r="B1029" t="s">
        <v>1452</v>
      </c>
      <c r="C1029" t="s">
        <v>15</v>
      </c>
      <c r="D1029" t="s">
        <v>1511</v>
      </c>
      <c r="E1029" t="s">
        <v>352</v>
      </c>
    </row>
    <row r="1030" spans="1:5" x14ac:dyDescent="0.2">
      <c r="A1030" s="269">
        <v>45910.621377314812</v>
      </c>
      <c r="B1030" t="s">
        <v>1452</v>
      </c>
      <c r="C1030" t="s">
        <v>15</v>
      </c>
      <c r="D1030" t="s">
        <v>1512</v>
      </c>
      <c r="E1030" t="s">
        <v>352</v>
      </c>
    </row>
    <row r="1031" spans="1:5" x14ac:dyDescent="0.2">
      <c r="A1031" s="269">
        <v>45910.621412037035</v>
      </c>
      <c r="B1031" t="s">
        <v>1452</v>
      </c>
      <c r="C1031" t="s">
        <v>15</v>
      </c>
      <c r="D1031" t="s">
        <v>1513</v>
      </c>
      <c r="E1031" t="s">
        <v>352</v>
      </c>
    </row>
    <row r="1032" spans="1:5" x14ac:dyDescent="0.2">
      <c r="A1032" s="269">
        <v>45910.621435185189</v>
      </c>
      <c r="B1032" t="s">
        <v>1452</v>
      </c>
      <c r="C1032" t="s">
        <v>15</v>
      </c>
      <c r="D1032" t="s">
        <v>1514</v>
      </c>
      <c r="E1032" t="s">
        <v>352</v>
      </c>
    </row>
    <row r="1033" spans="1:5" x14ac:dyDescent="0.2">
      <c r="A1033" s="269">
        <v>45910.62158564815</v>
      </c>
      <c r="B1033" t="s">
        <v>1452</v>
      </c>
      <c r="C1033" t="s">
        <v>15</v>
      </c>
      <c r="D1033" t="s">
        <v>972</v>
      </c>
      <c r="E1033">
        <v>10</v>
      </c>
    </row>
    <row r="1034" spans="1:5" x14ac:dyDescent="0.2">
      <c r="A1034" s="269">
        <v>45910.62159722222</v>
      </c>
      <c r="B1034" t="s">
        <v>1452</v>
      </c>
      <c r="C1034" t="s">
        <v>15</v>
      </c>
      <c r="D1034" t="s">
        <v>1515</v>
      </c>
      <c r="E1034">
        <v>6</v>
      </c>
    </row>
    <row r="1035" spans="1:5" x14ac:dyDescent="0.2">
      <c r="A1035" s="269">
        <v>45910.621620370373</v>
      </c>
      <c r="B1035" t="s">
        <v>1452</v>
      </c>
      <c r="C1035" t="s">
        <v>15</v>
      </c>
      <c r="D1035" t="s">
        <v>1016</v>
      </c>
      <c r="E1035">
        <v>10</v>
      </c>
    </row>
    <row r="1036" spans="1:5" x14ac:dyDescent="0.2">
      <c r="A1036" s="269">
        <v>45910.621655092589</v>
      </c>
      <c r="B1036" t="s">
        <v>1452</v>
      </c>
      <c r="C1036" t="s">
        <v>15</v>
      </c>
      <c r="D1036" t="s">
        <v>1516</v>
      </c>
      <c r="E1036">
        <v>6</v>
      </c>
    </row>
    <row r="1037" spans="1:5" x14ac:dyDescent="0.2">
      <c r="A1037" s="269">
        <v>45910.621678240743</v>
      </c>
      <c r="B1037" t="s">
        <v>1452</v>
      </c>
      <c r="C1037" t="s">
        <v>15</v>
      </c>
      <c r="D1037" t="s">
        <v>1517</v>
      </c>
      <c r="E1037">
        <v>6</v>
      </c>
    </row>
    <row r="1038" spans="1:5" x14ac:dyDescent="0.2">
      <c r="A1038" s="269">
        <v>45910.621689814812</v>
      </c>
      <c r="B1038" t="s">
        <v>1452</v>
      </c>
      <c r="C1038" t="s">
        <v>15</v>
      </c>
      <c r="D1038" t="s">
        <v>1518</v>
      </c>
      <c r="E1038">
        <v>6</v>
      </c>
    </row>
    <row r="1039" spans="1:5" x14ac:dyDescent="0.2">
      <c r="A1039" s="269">
        <v>45910.621712962966</v>
      </c>
      <c r="B1039" t="s">
        <v>1452</v>
      </c>
      <c r="C1039" t="s">
        <v>15</v>
      </c>
      <c r="D1039" t="s">
        <v>1519</v>
      </c>
      <c r="E1039">
        <v>10</v>
      </c>
    </row>
    <row r="1040" spans="1:5" x14ac:dyDescent="0.2">
      <c r="A1040" s="269">
        <v>45910.621724537035</v>
      </c>
      <c r="B1040" t="s">
        <v>1452</v>
      </c>
      <c r="C1040" t="s">
        <v>15</v>
      </c>
      <c r="D1040" t="s">
        <v>1520</v>
      </c>
      <c r="E1040">
        <v>6</v>
      </c>
    </row>
    <row r="1041" spans="1:5" x14ac:dyDescent="0.2">
      <c r="A1041" s="269">
        <v>45910.621747685182</v>
      </c>
      <c r="B1041" t="s">
        <v>1452</v>
      </c>
      <c r="C1041" t="s">
        <v>15</v>
      </c>
      <c r="D1041" t="s">
        <v>1521</v>
      </c>
      <c r="E1041">
        <v>1</v>
      </c>
    </row>
    <row r="1042" spans="1:5" x14ac:dyDescent="0.2">
      <c r="A1042" s="269">
        <v>45910.621840277781</v>
      </c>
      <c r="B1042" t="s">
        <v>1452</v>
      </c>
      <c r="C1042" t="s">
        <v>15</v>
      </c>
      <c r="D1042" t="s">
        <v>1522</v>
      </c>
      <c r="E1042">
        <v>1</v>
      </c>
    </row>
    <row r="1043" spans="1:5" x14ac:dyDescent="0.2">
      <c r="A1043" s="269">
        <v>45910.62190972222</v>
      </c>
      <c r="B1043" t="s">
        <v>1452</v>
      </c>
      <c r="C1043" t="s">
        <v>15</v>
      </c>
      <c r="D1043" t="s">
        <v>1523</v>
      </c>
      <c r="E1043">
        <v>4</v>
      </c>
    </row>
    <row r="1044" spans="1:5" x14ac:dyDescent="0.2">
      <c r="A1044" s="269">
        <v>45910.621932870374</v>
      </c>
      <c r="B1044" t="s">
        <v>1452</v>
      </c>
      <c r="C1044" t="s">
        <v>15</v>
      </c>
      <c r="D1044" t="s">
        <v>1524</v>
      </c>
      <c r="E1044">
        <v>4</v>
      </c>
    </row>
    <row r="1045" spans="1:5" x14ac:dyDescent="0.2">
      <c r="A1045" s="269">
        <v>45910.621944444443</v>
      </c>
      <c r="B1045" t="s">
        <v>1452</v>
      </c>
      <c r="C1045" t="s">
        <v>15</v>
      </c>
      <c r="D1045" t="s">
        <v>1525</v>
      </c>
      <c r="E1045">
        <v>3</v>
      </c>
    </row>
    <row r="1046" spans="1:5" x14ac:dyDescent="0.2">
      <c r="A1046" s="269">
        <v>45910.621979166666</v>
      </c>
      <c r="B1046" t="s">
        <v>1452</v>
      </c>
      <c r="C1046" t="s">
        <v>15</v>
      </c>
      <c r="D1046" t="s">
        <v>1484</v>
      </c>
    </row>
    <row r="1047" spans="1:5" x14ac:dyDescent="0.2">
      <c r="A1047" s="269">
        <v>45910.622233796297</v>
      </c>
      <c r="B1047" t="s">
        <v>1452</v>
      </c>
      <c r="C1047" t="s">
        <v>15</v>
      </c>
      <c r="D1047" t="s">
        <v>1526</v>
      </c>
      <c r="E1047" t="s">
        <v>404</v>
      </c>
    </row>
    <row r="1048" spans="1:5" x14ac:dyDescent="0.2">
      <c r="A1048" s="269">
        <v>45910.62232638889</v>
      </c>
      <c r="B1048" t="s">
        <v>1452</v>
      </c>
      <c r="C1048" t="s">
        <v>15</v>
      </c>
      <c r="D1048" t="s">
        <v>1526</v>
      </c>
    </row>
    <row r="1049" spans="1:5" x14ac:dyDescent="0.2">
      <c r="A1049" s="269">
        <v>45916.889733796299</v>
      </c>
      <c r="B1049" t="s">
        <v>596</v>
      </c>
      <c r="C1049" t="s">
        <v>597</v>
      </c>
      <c r="D1049" t="s">
        <v>1475</v>
      </c>
      <c r="E1049" t="s">
        <v>39</v>
      </c>
    </row>
    <row r="1050" spans="1:5" x14ac:dyDescent="0.2">
      <c r="A1050" s="269">
        <v>45916.889907407407</v>
      </c>
      <c r="B1050" t="s">
        <v>596</v>
      </c>
      <c r="C1050" t="s">
        <v>27</v>
      </c>
      <c r="D1050" t="s">
        <v>1530</v>
      </c>
      <c r="E1050" t="s">
        <v>53</v>
      </c>
    </row>
    <row r="1051" spans="1:5" x14ac:dyDescent="0.2">
      <c r="A1051" s="269">
        <v>45916.890011574076</v>
      </c>
      <c r="B1051" t="s">
        <v>596</v>
      </c>
      <c r="C1051" t="s">
        <v>27</v>
      </c>
      <c r="D1051" t="s">
        <v>1531</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2025-09-16T13:21:37Z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