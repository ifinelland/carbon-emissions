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Dagupan Branch/"/>
    </mc:Choice>
  </mc:AlternateContent>
  <xr:revisionPtr revIDLastSave="0" documentId="13_ncr:1_{4D0E67E5-F1C1-4848-8EFA-35094D9A99C3}" xr6:coauthVersionLast="47" xr6:coauthVersionMax="47" xr10:uidLastSave="{00000000-0000-0000-0000-000000000000}"/>
  <bookViews>
    <workbookView xWindow="-100" yWindow="740" windowWidth="23260" windowHeight="14020" tabRatio="781" firstSheet="2"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559" r:id="rId19"/>
    <pivotCache cacheId="560" r:id="rId20"/>
    <pivotCache cacheId="561" r:id="rId21"/>
    <pivotCache cacheId="562" r:id="rId22"/>
    <pivotCache cacheId="563" r:id="rId23"/>
    <pivotCache cacheId="571"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I9" i="34" l="1"/>
  <c r="I10" i="34" s="1"/>
  <c r="I11" i="34" s="1"/>
  <c r="I8" i="34"/>
  <c r="N8" i="34"/>
  <c r="N9" i="34"/>
  <c r="N10" i="34"/>
  <c r="E44" i="37"/>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F13" i="38"/>
  <c r="E13" i="38"/>
  <c r="D13"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L19" i="34"/>
  <c r="L20" i="34"/>
  <c r="L21" i="34"/>
  <c r="L22" i="34"/>
  <c r="L23" i="34"/>
  <c r="L24" i="34"/>
  <c r="L25" i="34"/>
  <c r="L26" i="34"/>
  <c r="L27" i="34"/>
  <c r="L28" i="34"/>
  <c r="L29" i="34"/>
  <c r="L30" i="34"/>
  <c r="D49"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P20" i="41" s="1"/>
  <c r="P21" i="41" s="1"/>
  <c r="P22" i="41" s="1"/>
  <c r="P23" i="41" s="1"/>
  <c r="P24" i="41" s="1"/>
  <c r="P25" i="41" s="1"/>
  <c r="I10" i="41"/>
  <c r="I11" i="41" s="1"/>
  <c r="I12" i="41" s="1"/>
  <c r="I13" i="41" s="1"/>
  <c r="I14" i="41" s="1"/>
  <c r="I15" i="41" s="1"/>
  <c r="I16" i="41" s="1"/>
  <c r="I17" i="41" s="1"/>
  <c r="I18" i="41" s="1"/>
  <c r="I19" i="41" s="1"/>
  <c r="I20" i="41" s="1"/>
  <c r="I21" i="41" s="1"/>
  <c r="I22" i="41" s="1"/>
  <c r="I23" i="41" s="1"/>
  <c r="I24" i="41" s="1"/>
  <c r="I25" i="41" s="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2" i="34"/>
  <c r="I13" i="34" s="1"/>
  <c r="I14" i="34" s="1"/>
  <c r="I15" i="34" s="1"/>
  <c r="I16" i="34" s="1"/>
  <c r="I17" i="34" s="1"/>
  <c r="I18" i="34" s="1"/>
  <c r="I19" i="34" s="1"/>
  <c r="I20" i="34" s="1"/>
  <c r="I21" i="34" s="1"/>
  <c r="I22" i="34" s="1"/>
  <c r="I23" i="34" s="1"/>
  <c r="I24" i="34" s="1"/>
  <c r="I25" i="34" s="1"/>
  <c r="I26" i="34" s="1"/>
  <c r="I27" i="34" s="1"/>
  <c r="I28" i="34" s="1"/>
  <c r="I29" i="34" s="1"/>
  <c r="I30" i="34" s="1"/>
  <c r="I7" i="34"/>
  <c r="I18" i="39"/>
  <c r="I19" i="39"/>
  <c r="I20" i="39"/>
  <c r="I21" i="39" s="1"/>
  <c r="I22" i="39" s="1"/>
  <c r="I23" i="39" s="1"/>
  <c r="I24" i="39" s="1"/>
  <c r="I25" i="39" s="1"/>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C49" i="37" s="1"/>
  <c r="B15" i="40"/>
  <c r="C48" i="37" s="1"/>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I20" i="40" s="1"/>
  <c r="I21" i="40" s="1"/>
  <c r="I22" i="40" s="1"/>
  <c r="I23" i="40" s="1"/>
  <c r="I24" i="40" s="1"/>
  <c r="I25" i="40" s="1"/>
  <c r="I26" i="40" s="1"/>
  <c r="I27" i="40" s="1"/>
  <c r="I28" i="40" s="1"/>
  <c r="I29" i="40" s="1"/>
  <c r="I30" i="40" s="1"/>
  <c r="I31" i="40" s="1"/>
  <c r="I32" i="40" s="1"/>
  <c r="I33" i="40" s="1"/>
  <c r="I34" i="40" s="1"/>
  <c r="I35" i="40" s="1"/>
  <c r="I36" i="40" s="1"/>
  <c r="I37" i="40" s="1"/>
  <c r="I38" i="40" s="1"/>
  <c r="I39" i="40" s="1"/>
  <c r="I40" i="40" s="1"/>
  <c r="I41" i="40" s="1"/>
  <c r="I42" i="40" s="1"/>
  <c r="I43" i="40" s="1"/>
  <c r="I44" i="40" s="1"/>
  <c r="I45" i="40" s="1"/>
  <c r="I46" i="40" s="1"/>
  <c r="I47" i="40" s="1"/>
  <c r="I48" i="40" s="1"/>
  <c r="I49" i="40" s="1"/>
  <c r="I50" i="40" s="1"/>
  <c r="I51" i="40" s="1"/>
  <c r="I52" i="40" s="1"/>
  <c r="I53" i="40" s="1"/>
  <c r="I54" i="40" s="1"/>
  <c r="I55" i="40" s="1"/>
  <c r="I56" i="40" s="1"/>
  <c r="I57" i="40" s="1"/>
  <c r="I58" i="40" s="1"/>
  <c r="I59" i="40" s="1"/>
  <c r="I60" i="40" s="1"/>
  <c r="I61" i="40" s="1"/>
  <c r="I62" i="40" s="1"/>
  <c r="I63" i="40" s="1"/>
  <c r="I64" i="40" s="1"/>
  <c r="I65" i="40" s="1"/>
  <c r="I66" i="40" s="1"/>
  <c r="I67" i="40" s="1"/>
  <c r="I68" i="40" s="1"/>
  <c r="I69" i="40" s="1"/>
  <c r="I70" i="40" s="1"/>
  <c r="I71" i="40" s="1"/>
  <c r="I72" i="40" s="1"/>
  <c r="I73" i="40" s="1"/>
  <c r="I74" i="40" s="1"/>
  <c r="I75" i="40" s="1"/>
  <c r="I76" i="40" s="1"/>
  <c r="I77" i="40" s="1"/>
  <c r="I78" i="40" s="1"/>
  <c r="I79"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1" i="38" l="1"/>
  <c r="E11" i="38"/>
  <c r="F11" i="38"/>
  <c r="G11" i="38"/>
  <c r="E12" i="38"/>
  <c r="F12" i="38"/>
  <c r="G12" i="38"/>
  <c r="D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9" i="34"/>
  <c r="N20" i="34"/>
  <c r="N21" i="34"/>
  <c r="N22" i="34"/>
  <c r="N23" i="34"/>
  <c r="N24" i="34"/>
  <c r="N25" i="34"/>
  <c r="N26" i="34"/>
  <c r="N27" i="34"/>
  <c r="N28" i="34"/>
  <c r="N29" i="34"/>
  <c r="N30" i="34"/>
  <c r="N13" i="34"/>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F13" i="37" l="1"/>
  <c r="G13" i="37"/>
  <c r="D13" i="37"/>
  <c r="E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E14" i="34" l="1"/>
  <c r="D14" i="34"/>
  <c r="G14" i="34"/>
  <c r="F14" i="34"/>
  <c r="F13" i="34"/>
  <c r="G13" i="34"/>
  <c r="D13" i="34"/>
  <c r="E13" i="34"/>
  <c r="D12" i="34"/>
  <c r="F12" i="34"/>
  <c r="E12" i="34"/>
  <c r="G12" i="34"/>
  <c r="E11" i="34"/>
  <c r="G11" i="34"/>
  <c r="F11" i="34"/>
  <c r="D11" i="34"/>
  <c r="D15" i="34"/>
  <c r="F15" i="34"/>
  <c r="G15" i="34"/>
  <c r="E15" i="34"/>
  <c r="E48" i="37"/>
  <c r="E49"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<sst xmlns="http://schemas.openxmlformats.org/spreadsheetml/2006/main" count="7162" uniqueCount="1589">
  <si>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</si>
  <si>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</si>
  <si>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</si>
  <si>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</si>
  <si>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</si>
  <si>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</si>
  <si>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</si>
  <si>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</si>
  <si>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</si>
  <si>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</si>
  <si>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</si>
  <si>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</si>
  <si>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</si>
  <si>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</si>
  <si>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</si>
  <si>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</si>
  <si>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</si>
  <si>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</si>
  <si>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</si>
  <si>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</si>
  <si>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</si>
  <si>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</si>
  <si>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</si>
  <si>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</si>
  <si>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</si>
  <si>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</si>
  <si>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</si>
  <si>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</si>
  <si>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</si>
  <si>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</si>
  <si>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</si>
  <si>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</si>
  <si>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</si>
  <si>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</si>
  <si>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</si>
  <si>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</si>
  <si>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</si>
  <si>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</si>
  <si>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</si>
  <si>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</si>
  <si>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</si>
  <si>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</si>
  <si>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</si>
  <si>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</si>
  <si>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</si>
  <si>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</si>
  <si>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</si>
  <si>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</si>
  <si>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</si>
  <si>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</si>
  <si>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</si>
  <si>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</si>
  <si>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</si>
  <si>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</si>
  <si>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</si>
  <si>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</si>
  <si>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</si>
  <si>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</si>
  <si>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</si>
  <si>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</si>
  <si>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</si>
  <si>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</si>
  <si>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</si>
  <si>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</si>
  <si>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</si>
  <si>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</si>
  <si>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</si>
  <si>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</si>
  <si>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</si>
  <si>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</si>
  <si>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</si>
  <si>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</si>
  <si>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</si>
  <si>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</si>
  <si>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</si>
  <si>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</si>
  <si>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</si>
  <si>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</si>
  <si>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</si>
  <si>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</si>
  <si>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</si>
  <si>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</si>
  <si>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</si>
  <si>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</si>
  <si>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</si>
  <si>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</si>
  <si>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</si>
  <si>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</si>
  <si>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</si>
  <si>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</si>
  <si>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</si>
  <si>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</si>
  <si>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</si>
  <si>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</si>
  <si>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</si>
  <si>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</si>
  <si>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</si>
  <si>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</si>
  <si>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</si>
  <si>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</si>
  <si>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</si>
  <si>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</si>
  <si>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</si>
  <si>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</si>
  <si>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</si>
  <si>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</si>
  <si>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</si>
  <si>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</si>
  <si>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</si>
  <si>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</si>
  <si>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</si>
  <si>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</si>
  <si>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</si>
  <si>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</si>
  <si>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</si>
  <si>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</si>
  <si>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</si>
  <si>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</si>
  <si>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</si>
  <si>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</si>
  <si>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</si>
  <si>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</si>
  <si>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</si>
  <si>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</si>
  <si>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</si>
  <si>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</si>
  <si>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</si>
  <si>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</si>
  <si>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</si>
  <si>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</si>
  <si>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</si>
  <si>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</si>
  <si>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</si>
  <si>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</si>
  <si>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</si>
  <si>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</si>
  <si>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</si>
  <si>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</si>
  <si>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</si>
  <si>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</si>
  <si>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</si>
  <si>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</si>
  <si>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</si>
  <si>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</si>
  <si>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</si>
  <si>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</si>
  <si>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</si>
  <si>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</si>
  <si>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</si>
  <si>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</si>
  <si>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</si>
  <si>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</si>
  <si>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</si>
  <si>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</si>
  <si>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</si>
  <si>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</si>
  <si>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</si>
  <si>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</si>
  <si>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</si>
  <si>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</si>
  <si>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</si>
  <si>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</si>
  <si>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</si>
  <si>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</si>
  <si>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</si>
  <si>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</si>
  <si>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</si>
  <si>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</si>
  <si>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</si>
  <si>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</si>
  <si>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</si>
  <si>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</si>
  <si>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</si>
  <si>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</si>
  <si>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</si>
  <si>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</si>
  <si>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</si>
  <si>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</si>
  <si>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</si>
  <si>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</si>
  <si>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</si>
  <si>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</si>
  <si>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</si>
  <si>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</si>
  <si>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</si>
  <si>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</si>
  <si>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</si>
  <si>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</si>
  <si>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</si>
  <si>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</si>
  <si>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</si>
  <si>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</si>
  <si>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</si>
  <si>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</si>
  <si>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</si>
  <si>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</si>
  <si>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</si>
  <si>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</si>
  <si>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</si>
  <si>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</si>
  <si>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</si>
  <si>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</si>
  <si>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</si>
  <si>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</si>
  <si>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</si>
  <si>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</si>
  <si>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</si>
  <si>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</si>
  <si>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</si>
  <si>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</si>
  <si>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</si>
  <si>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</si>
  <si>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</si>
  <si>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</si>
  <si>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</si>
  <si>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</si>
  <si>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</si>
  <si>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</si>
  <si>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</si>
  <si>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</si>
  <si>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</si>
  <si>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</si>
  <si>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</si>
  <si>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</si>
  <si>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</si>
  <si>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</si>
  <si>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</si>
  <si>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</si>
  <si>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</si>
  <si>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</si>
  <si>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</si>
  <si>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</si>
  <si>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</si>
  <si>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</si>
  <si>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</si>
  <si>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</si>
  <si>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</si>
  <si>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</si>
  <si>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</si>
  <si>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</si>
  <si>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</si>
  <si>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</si>
  <si>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</si>
  <si>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</si>
  <si>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</si>
  <si>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</si>
  <si>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</si>
  <si>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</si>
  <si>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</si>
  <si>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</si>
  <si>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</si>
  <si>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</si>
  <si>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</si>
  <si>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</si>
  <si>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</si>
  <si>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</si>
  <si>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</si>
  <si>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</si>
  <si>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</si>
  <si>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</si>
  <si>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</si>
  <si>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</si>
  <si>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</si>
  <si>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</si>
  <si>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</si>
  <si>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</si>
  <si>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</si>
  <si>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</si>
  <si>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</si>
  <si>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</si>
  <si>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</si>
  <si>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</si>
  <si>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</si>
  <si>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</si>
  <si>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</si>
  <si>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</si>
  <si>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</si>
  <si>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</si>
  <si>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</si>
  <si>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</si>
  <si>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</si>
  <si>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</si>
  <si>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</si>
  <si>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</si>
  <si>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</si>
  <si>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</si>
  <si>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</si>
  <si>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</si>
  <si>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</si>
  <si>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</si>
  <si>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</si>
  <si>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</si>
  <si>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</si>
  <si>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</si>
  <si>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</si>
  <si>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</si>
  <si>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</si>
  <si>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</si>
  <si>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</si>
  <si>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</si>
  <si>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</si>
  <si>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</si>
  <si>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</si>
  <si>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</si>
  <si>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</si>
  <si>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</si>
  <si>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</si>
  <si>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</si>
  <si>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</si>
  <si>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</si>
  <si>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</si>
  <si>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</si>
  <si>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</si>
  <si>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</si>
  <si>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</si>
  <si>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</si>
  <si>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</si>
  <si>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</si>
  <si>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</si>
  <si>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</si>
  <si>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</si>
  <si>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</si>
  <si>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</si>
  <si>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</si>
  <si>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</si>
  <si>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</si>
  <si>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</si>
  <si>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</si>
  <si>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</si>
  <si>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</si>
  <si>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</si>
  <si>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</si>
  <si>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</si>
  <si>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</si>
  <si>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</si>
  <si>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</si>
  <si>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</si>
  <si>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</si>
  <si>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</si>
  <si>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</si>
  <si>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</si>
  <si>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</si>
  <si>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</si>
  <si>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</si>
  <si>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</si>
  <si>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</si>
  <si>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</si>
  <si>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</si>
  <si>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</si>
  <si>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</si>
  <si>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</si>
  <si>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</si>
  <si>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</si>
  <si>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</si>
  <si>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</si>
  <si>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</si>
  <si>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</si>
  <si>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</si>
  <si>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</si>
  <si>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</si>
  <si>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</si>
  <si>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</si>
  <si>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</si>
  <si>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</si>
  <si>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</si>
  <si>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</si>
  <si>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</si>
  <si>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</si>
  <si>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</si>
  <si>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</si>
  <si>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</si>
  <si>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</si>
  <si>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</si>
  <si>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</si>
  <si>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</si>
  <si>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</si>
  <si>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</si>
  <si>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</si>
  <si>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</si>
  <si>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</si>
  <si>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</si>
  <si>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</si>
  <si>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</si>
  <si>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</si>
  <si>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</si>
  <si>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</si>
  <si>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</si>
  <si>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</si>
  <si>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</si>
  <si>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</si>
  <si>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</si>
  <si>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</si>
  <si>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</si>
  <si>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</si>
  <si>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</si>
  <si>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</si>
  <si>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</si>
  <si>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</si>
  <si>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</si>
  <si>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</si>
  <si>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</si>
  <si>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</si>
  <si>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</si>
  <si>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</si>
  <si>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</si>
  <si>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</si>
  <si>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</si>
  <si>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</si>
  <si>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</si>
  <si>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</si>
  <si>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</si>
  <si>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</si>
  <si>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</si>
  <si>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</si>
  <si>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</si>
  <si>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</si>
  <si>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</si>
  <si>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</si>
  <si>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</si>
  <si>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</si>
  <si>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</si>
  <si>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</si>
  <si>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</si>
  <si>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</si>
  <si>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</si>
  <si>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</si>
  <si>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</si>
  <si>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</si>
  <si>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</si>
  <si>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</si>
  <si>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</si>
  <si>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</si>
  <si>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</si>
  <si>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</si>
  <si>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</si>
  <si>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</si>
  <si>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</si>
  <si>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</si>
  <si>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</si>
  <si>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</si>
  <si>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</si>
  <si>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</si>
  <si>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</si>
  <si>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</si>
  <si>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</si>
  <si>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</si>
  <si>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</si>
  <si>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</si>
  <si>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</si>
  <si>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</si>
  <si>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</si>
  <si>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</si>
  <si>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</si>
  <si>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</si>
  <si>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</si>
  <si>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</si>
  <si>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</si>
  <si>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</si>
  <si>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</si>
  <si>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</si>
  <si>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</si>
  <si>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</si>
  <si>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</si>
  <si>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</si>
  <si>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</si>
  <si>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</si>
  <si>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</si>
  <si>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</si>
  <si>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</si>
  <si>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</si>
  <si>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</si>
  <si>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</si>
  <si>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</si>
  <si>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</si>
  <si>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</si>
  <si>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</si>
  <si>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</si>
  <si>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</si>
  <si>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</si>
  <si>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</si>
  <si>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</si>
  <si>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</si>
  <si>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</si>
  <si>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</si>
  <si>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</si>
  <si>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</si>
  <si>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</si>
  <si>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</si>
  <si>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</si>
  <si>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</si>
  <si>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</si>
  <si>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</si>
  <si>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</si>
  <si>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</si>
  <si>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</si>
  <si>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</si>
  <si>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</si>
  <si>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</si>
  <si>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</si>
  <si>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</si>
  <si>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</si>
  <si>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</si>
  <si>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</si>
  <si>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</si>
  <si>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</si>
  <si>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</si>
  <si>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</si>
  <si>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</si>
  <si>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</si>
  <si>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</si>
  <si>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</si>
  <si>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</si>
  <si>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</si>
  <si>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</si>
  <si>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</si>
  <si>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</si>
  <si>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</si>
  <si>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</si>
  <si>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</si>
  <si>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</si>
  <si>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</si>
  <si>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</si>
  <si>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</si>
  <si>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</si>
  <si>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</si>
  <si>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</si>
  <si>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</si>
  <si>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</si>
  <si>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</si>
  <si>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</si>
  <si>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</si>
  <si>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</si>
  <si>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</si>
  <si>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</si>
  <si>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</si>
  <si>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</si>
  <si>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</si>
  <si>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</si>
  <si>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</si>
  <si>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</si>
  <si>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</si>
  <si>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</si>
  <si>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</si>
  <si>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</si>
  <si>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</si>
  <si>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</si>
  <si>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</si>
  <si>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</si>
  <si>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</si>
  <si>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</si>
  <si>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</si>
  <si>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</si>
  <si>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</si>
  <si>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</si>
  <si>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</si>
  <si>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</si>
  <si>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</si>
  <si>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</si>
  <si>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</si>
  <si>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</si>
  <si>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</si>
  <si>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</si>
  <si>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</si>
  <si>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</si>
  <si>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</si>
  <si>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</si>
  <si>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</si>
  <si>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</si>
  <si>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</si>
  <si>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</si>
  <si>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</si>
  <si>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</si>
  <si>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</si>
  <si>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</si>
  <si>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</si>
  <si>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</si>
  <si>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</si>
  <si>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</si>
  <si>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</si>
  <si>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</si>
  <si>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</si>
  <si>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</si>
  <si>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</si>
  <si>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</si>
  <si>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</si>
  <si>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</si>
  <si>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</si>
  <si>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</si>
  <si>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</si>
  <si>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</si>
  <si>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</si>
  <si>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</si>
  <si>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</si>
  <si>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</si>
  <si>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</si>
  <si>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</si>
  <si>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</si>
  <si>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</si>
  <si>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</si>
  <si>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</si>
  <si>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</si>
  <si>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</si>
  <si>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</si>
  <si>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</si>
  <si>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</si>
  <si>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</si>
  <si>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</si>
  <si>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</si>
  <si>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</si>
  <si>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</si>
  <si>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</si>
  <si>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</si>
  <si>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</si>
  <si>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</si>
  <si>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</si>
  <si>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</si>
  <si>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</si>
  <si>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</si>
  <si>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</si>
  <si>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</si>
  <si>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</si>
  <si>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</si>
  <si>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</si>
  <si>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</si>
  <si>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</si>
  <si>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</si>
  <si>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</si>
  <si>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</si>
  <si>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</si>
  <si>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</si>
  <si>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</si>
  <si>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</si>
  <si>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</si>
  <si>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</si>
  <si>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</si>
  <si>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</si>
  <si>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</si>
  <si>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</si>
  <si>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</si>
  <si>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</si>
  <si>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</si>
  <si>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</si>
  <si>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</si>
  <si>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</si>
  <si>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</si>
  <si>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</si>
  <si>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</si>
  <si>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</si>
  <si>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</si>
  <si>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</si>
  <si>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</si>
  <si>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</si>
  <si>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</si>
  <si>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</si>
  <si>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</si>
  <si>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</si>
  <si>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</si>
  <si>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</si>
  <si>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</si>
  <si>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</si>
  <si>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</si>
  <si>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</si>
  <si>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</si>
  <si>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</si>
  <si>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</si>
  <si>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</si>
  <si>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</si>
  <si>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</si>
  <si>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</si>
  <si>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</si>
  <si>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</si>
  <si>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</si>
  <si>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</si>
  <si>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</si>
  <si>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</si>
  <si>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</si>
  <si>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</si>
  <si>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</si>
  <si>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</si>
  <si>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</si>
  <si>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</si>
  <si>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</si>
  <si>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</si>
  <si>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</si>
  <si>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</si>
  <si>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</si>
  <si>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</si>
  <si>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</si>
  <si>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</si>
  <si>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</si>
  <si>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</si>
  <si>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</si>
  <si>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</si>
  <si>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</si>
  <si>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</si>
  <si>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</si>
  <si>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</si>
  <si>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</si>
  <si>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</si>
  <si>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</si>
  <si>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</si>
  <si>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</si>
  <si>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</si>
  <si>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</si>
  <si>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</si>
  <si>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</si>
  <si>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</si>
  <si>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</si>
  <si>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</si>
  <si>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</si>
  <si>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</si>
  <si>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</si>
  <si>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</si>
  <si>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</si>
  <si>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</si>
  <si>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</si>
  <si>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</si>
  <si>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</si>
  <si>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</si>
  <si>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</si>
  <si>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</si>
  <si>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</si>
  <si>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</si>
  <si>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</si>
  <si>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</si>
  <si>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</si>
  <si>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</si>
  <si>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</si>
  <si>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</si>
  <si>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</si>
  <si>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</si>
  <si>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</si>
  <si>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</si>
  <si>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</si>
  <si>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</si>
  <si>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</si>
  <si>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</si>
  <si>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</si>
  <si>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</si>
  <si>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</si>
  <si>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</si>
  <si>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</si>
  <si>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</si>
  <si>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</si>
  <si>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</si>
  <si>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</si>
  <si>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</si>
  <si>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</si>
  <si>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</si>
  <si>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</si>
  <si>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</si>
  <si>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</si>
  <si>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</si>
  <si>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</si>
  <si>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</si>
  <si>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</si>
  <si>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</si>
  <si>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</si>
  <si>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</si>
  <si>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</si>
  <si>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</si>
  <si>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</si>
  <si>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</si>
  <si>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</si>
  <si>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</si>
  <si>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</si>
  <si>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</si>
  <si>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</si>
  <si>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</si>
  <si>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</si>
  <si>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</si>
  <si>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</si>
  <si>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</si>
  <si>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</si>
  <si>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</si>
  <si>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</si>
  <si>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</si>
  <si>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</si>
  <si>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</si>
  <si>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</si>
  <si>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</si>
  <si>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</si>
  <si>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</si>
  <si>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</si>
  <si>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</si>
  <si>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</si>
  <si>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</si>
  <si>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</si>
  <si>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</si>
  <si>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</si>
  <si>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</si>
  <si>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</si>
  <si>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</si>
  <si>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</si>
  <si>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</si>
  <si>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</si>
  <si>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</si>
  <si>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</si>
  <si>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</si>
  <si>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</si>
  <si>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</si>
  <si>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</si>
  <si>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</si>
  <si>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</si>
  <si>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</si>
  <si>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</si>
  <si>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</si>
  <si>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</si>
  <si>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</si>
  <si>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</si>
  <si>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</si>
  <si>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</si>
  <si>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</si>
  <si>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</si>
  <si>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</si>
  <si>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</si>
  <si>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</si>
  <si>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</si>
  <si>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</si>
  <si>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</si>
  <si>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</si>
  <si>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</si>
  <si>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</si>
  <si>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</si>
  <si>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</si>
  <si>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</si>
  <si>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</si>
  <si>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</si>
  <si>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</si>
  <si>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</si>
  <si>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</si>
  <si>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</si>
  <si>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</si>
  <si>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</si>
  <si>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</si>
  <si>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</si>
  <si>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</si>
  <si>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</si>
  <si>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</si>
  <si>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</si>
  <si>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</si>
  <si>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</si>
  <si>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</si>
  <si>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</si>
  <si>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</si>
  <si>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</si>
  <si>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</si>
  <si>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</si>
  <si>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</si>
  <si>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</si>
  <si>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</si>
  <si>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</si>
  <si>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</si>
  <si>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</si>
  <si>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</si>
  <si>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</si>
  <si>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</si>
  <si>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</si>
  <si>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</si>
  <si>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</si>
  <si>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</si>
  <si>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</si>
  <si>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</si>
  <si>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</si>
  <si>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</si>
  <si>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</si>
  <si>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</si>
  <si>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</si>
  <si>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</si>
  <si>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</si>
  <si>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</si>
  <si>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</si>
  <si>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</si>
  <si>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</si>
  <si>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</si>
  <si>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</si>
  <si>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</si>
  <si>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</si>
  <si>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</si>
  <si>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</si>
  <si>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</si>
  <si>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</si>
  <si>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</si>
  <si>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</si>
  <si>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</si>
  <si>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</si>
  <si>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</si>
  <si>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</si>
  <si>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</si>
  <si>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</si>
  <si>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</si>
  <si>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</si>
  <si>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</si>
  <si>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</si>
  <si>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</si>
  <si>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</si>
  <si>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</si>
  <si>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</si>
  <si>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</si>
  <si>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</si>
  <si>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</si>
  <si>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</si>
  <si>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</si>
  <si>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</si>
  <si>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</si>
  <si>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</si>
  <si>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</si>
  <si>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</si>
  <si>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</si>
  <si>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</si>
  <si>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</si>
  <si>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</si>
  <si>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</si>
  <si>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</si>
  <si>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</si>
  <si>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</si>
  <si>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</si>
  <si>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</si>
  <si>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</si>
  <si>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</si>
  <si>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</si>
  <si>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</si>
  <si>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</si>
  <si>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</si>
  <si>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</si>
  <si>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</si>
  <si>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</si>
  <si>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</si>
  <si>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</si>
  <si>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</si>
  <si>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</si>
  <si>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</si>
  <si>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</si>
  <si>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</si>
  <si>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</si>
  <si>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</si>
  <si>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</si>
  <si>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</si>
  <si>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</si>
  <si>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</si>
  <si>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</si>
  <si>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</si>
  <si>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</si>
  <si>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</si>
  <si>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</si>
  <si>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</si>
  <si>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</si>
  <si>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</si>
  <si>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</si>
  <si>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</si>
  <si>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</si>
  <si>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</si>
  <si>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</si>
  <si>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</si>
  <si>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</si>
  <si>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</si>
  <si>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</si>
  <si>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</si>
  <si>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</si>
  <si>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</si>
  <si>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</si>
  <si>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</si>
  <si>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</si>
  <si>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</si>
  <si>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</si>
  <si>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</si>
  <si>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</si>
  <si>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</si>
  <si>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</si>
  <si>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</si>
  <si>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</si>
  <si>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</si>
  <si>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</si>
  <si>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</si>
  <si>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</si>
  <si>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</si>
  <si>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</si>
  <si>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</si>
  <si>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</si>
  <si>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</si>
  <si>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</si>
  <si>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</si>
  <si>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</si>
  <si>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</si>
  <si>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</si>
  <si>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</si>
  <si>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</si>
  <si>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</si>
  <si>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</si>
  <si>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</si>
  <si>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</si>
  <si>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</si>
  <si>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</si>
  <si>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</si>
  <si>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</si>
  <si>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</si>
  <si>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</si>
  <si>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</si>
  <si>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</si>
  <si>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</si>
  <si>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</si>
  <si>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</si>
  <si>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</si>
  <si>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</si>
  <si>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</si>
  <si>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</si>
  <si>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</si>
  <si>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</si>
  <si>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</si>
  <si>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</si>
  <si>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</si>
  <si>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</si>
  <si>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</si>
  <si>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</si>
  <si>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</si>
  <si>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</si>
  <si>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</si>
  <si>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</si>
  <si>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</si>
  <si>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</si>
  <si>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</si>
  <si>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</si>
  <si>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</si>
  <si>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</si>
  <si>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</si>
  <si>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</si>
  <si>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</si>
  <si>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</si>
  <si>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</si>
  <si>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</si>
  <si>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</si>
  <si>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</si>
  <si>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</si>
  <si>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</si>
  <si>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</si>
  <si>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</si>
  <si>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</si>
  <si>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</si>
  <si>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</si>
  <si>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</si>
  <si>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</si>
  <si>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</si>
  <si>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</si>
  <si>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</si>
  <si>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</si>
  <si>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</si>
  <si>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</si>
  <si>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</si>
  <si>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</si>
  <si>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</si>
  <si>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</si>
  <si>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</si>
  <si>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</si>
  <si>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</si>
  <si>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</si>
  <si>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</si>
  <si>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</si>
  <si>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</si>
  <si>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</si>
  <si>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</si>
  <si>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</si>
  <si>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</si>
  <si>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</si>
  <si>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</si>
  <si>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</si>
  <si>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</si>
  <si>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</si>
  <si>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</si>
  <si>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</si>
  <si>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</si>
  <si>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</si>
  <si>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</si>
  <si>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</si>
  <si>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</si>
  <si>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</si>
  <si>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</si>
  <si>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</si>
  <si>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</si>
  <si>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</si>
  <si>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</si>
  <si>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</si>
  <si>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</si>
  <si>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</si>
  <si>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</si>
  <si>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</si>
  <si>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</si>
  <si>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</si>
  <si>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</si>
  <si>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</si>
  <si>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</si>
  <si>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</si>
  <si>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</si>
  <si>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</si>
  <si>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</si>
  <si>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</si>
  <si>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</si>
  <si>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</si>
  <si>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</si>
  <si>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</si>
  <si>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</si>
  <si>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</si>
  <si>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</si>
  <si>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</si>
  <si>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</si>
  <si>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</si>
  <si>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</si>
  <si>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</si>
  <si>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</si>
  <si>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</si>
  <si>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</si>
  <si>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</si>
  <si>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</si>
  <si>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</si>
  <si>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</si>
  <si>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</si>
  <si>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</si>
  <si>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</si>
  <si>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</si>
  <si>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</si>
  <si>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</si>
  <si>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</si>
  <si>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</si>
  <si>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</si>
  <si>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</si>
  <si>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</si>
  <si>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</si>
  <si>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</si>
  <si>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</si>
  <si>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</si>
  <si>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</si>
  <si>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</si>
  <si>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</si>
  <si>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</si>
  <si>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</si>
  <si>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</si>
  <si>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</si>
  <si>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</si>
  <si>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</si>
  <si>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</si>
  <si>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</si>
  <si>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</si>
  <si>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</si>
  <si>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</si>
  <si>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</si>
  <si>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</si>
  <si>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</si>
  <si>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</si>
  <si>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</si>
  <si>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</si>
  <si>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</si>
  <si>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</si>
  <si>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</si>
  <si>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</si>
  <si>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</si>
  <si>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</si>
  <si>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</si>
  <si>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</si>
  <si>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</si>
  <si>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</si>
  <si>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</si>
  <si>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</si>
  <si>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</si>
  <si>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</si>
  <si>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</si>
  <si>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</si>
  <si>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</si>
  <si>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</si>
  <si>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</si>
  <si>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</si>
  <si>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</si>
  <si>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</si>
  <si>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</si>
  <si>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</si>
  <si>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</si>
  <si>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</si>
  <si>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</si>
  <si>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</si>
  <si>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</si>
  <si>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</si>
  <si>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</si>
  <si>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</si>
  <si>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</si>
  <si>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</si>
  <si>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</si>
  <si>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</si>
  <si>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</si>
  <si>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</si>
  <si>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</si>
  <si>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</si>
  <si>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</si>
  <si>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</si>
  <si>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</si>
  <si>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</si>
  <si>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</si>
  <si>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</si>
  <si>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</si>
  <si>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</si>
  <si>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</si>
  <si>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</si>
  <si>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</si>
  <si>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</si>
  <si>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</si>
  <si>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</si>
  <si>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</si>
  <si>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</si>
  <si>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</si>
  <si>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</si>
  <si>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</si>
  <si>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</si>
  <si>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</si>
  <si>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</si>
  <si>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</si>
  <si>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</si>
  <si>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</si>
  <si>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</si>
  <si>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</si>
  <si>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</si>
  <si>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</si>
  <si>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</si>
  <si>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</si>
  <si>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</si>
  <si>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</si>
  <si>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</si>
  <si>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</si>
  <si>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</si>
  <si>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</si>
  <si>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</si>
  <si>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</si>
  <si>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</si>
  <si>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</si>
  <si>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</si>
  <si>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</si>
  <si>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</si>
  <si>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</si>
  <si>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</si>
  <si>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</si>
  <si>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</si>
  <si>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</si>
  <si>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</si>
  <si>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</si>
  <si>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</si>
  <si>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</si>
  <si>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</si>
  <si>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</si>
  <si>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</si>
  <si>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</si>
  <si>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</si>
  <si>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</si>
  <si>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</si>
  <si>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</si>
  <si>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</si>
  <si>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</si>
  <si>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</si>
  <si>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</si>
  <si>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</si>
  <si>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</si>
  <si>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</si>
  <si>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</si>
  <si>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</si>
  <si>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</si>
  <si>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</si>
  <si>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</si>
  <si>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</si>
  <si>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</si>
  <si>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</si>
  <si>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</si>
  <si>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</si>
  <si>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</si>
  <si>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</si>
  <si>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</si>
  <si>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</si>
  <si>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</si>
  <si>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</si>
  <si>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</si>
  <si>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</si>
  <si>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</si>
  <si>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</si>
  <si>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</si>
  <si>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</si>
  <si>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</si>
  <si>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</si>
  <si>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</si>
  <si>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</si>
  <si>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</si>
  <si>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</si>
  <si>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</si>
  <si>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</si>
  <si>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</si>
  <si>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</si>
  <si>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</si>
  <si>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</si>
  <si>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</si>
  <si>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</si>
  <si>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</si>
  <si>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</si>
  <si>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</si>
  <si>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</si>
  <si>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</si>
  <si>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</si>
  <si>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</si>
  <si>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</si>
  <si>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</si>
  <si>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</si>
  <si>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</si>
  <si>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</si>
  <si>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</si>
  <si>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</si>
  <si>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</si>
  <si>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</si>
  <si>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</si>
  <si>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</si>
  <si>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</si>
  <si>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</si>
  <si>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</si>
  <si>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</si>
  <si>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</si>
  <si>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</si>
  <si>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</si>
  <si>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</si>
  <si>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</si>
  <si>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</si>
  <si>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</si>
  <si>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</si>
  <si>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</si>
  <si>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</si>
  <si>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</si>
  <si>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</si>
  <si>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</si>
  <si>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</si>
  <si>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</si>
  <si>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</si>
  <si>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</si>
  <si>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</si>
  <si>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</si>
  <si>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</si>
  <si>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</si>
  <si>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</si>
  <si>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</si>
  <si>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</si>
  <si>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</si>
  <si>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</si>
  <si>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</si>
  <si>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</si>
  <si>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</si>
  <si>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</si>
  <si>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</si>
  <si>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</si>
  <si>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</si>
  <si>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</si>
  <si>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</si>
  <si>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</si>
  <si>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</si>
  <si>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</si>
  <si>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</si>
  <si>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</si>
  <si>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</si>
  <si>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</si>
  <si>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</si>
  <si>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</si>
  <si>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</si>
  <si>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</si>
  <si>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</si>
  <si>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</si>
  <si>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</si>
  <si>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</si>
  <si>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</si>
  <si>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</si>
  <si>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</si>
  <si>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</si>
  <si>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</si>
  <si>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</si>
  <si>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</si>
  <si>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</si>
  <si>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</si>
  <si>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</si>
  <si>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</si>
  <si>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</si>
  <si>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</si>
  <si>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</si>
  <si>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</si>
  <si>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</si>
  <si>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</si>
  <si>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</si>
  <si>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</si>
  <si>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</si>
  <si>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</si>
  <si>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</si>
  <si>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</si>
  <si>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</si>
  <si>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</si>
  <si>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</si>
  <si>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</si>
  <si>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</si>
  <si>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</si>
  <si>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</si>
  <si>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</si>
  <si>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</si>
  <si>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</si>
  <si>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</si>
  <si>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</si>
  <si>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</si>
  <si>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</si>
  <si>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</si>
  <si>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</si>
  <si>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</si>
  <si>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</si>
  <si>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</si>
  <si>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</si>
  <si>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</si>
  <si>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</si>
  <si>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</si>
  <si>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</si>
  <si>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</si>
  <si>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</si>
  <si>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</si>
  <si>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</si>
  <si>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</si>
  <si>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</si>
  <si>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</si>
  <si>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</si>
  <si>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</si>
  <si>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</si>
  <si>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</si>
  <si>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</si>
  <si>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</si>
  <si>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</si>
  <si>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</si>
  <si>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</si>
  <si>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</si>
  <si>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</si>
  <si>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</si>
  <si>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Includes Shredded Currency Notes</t>
  </si>
  <si>
    <t>Stored in Hazardous Waste Area</t>
  </si>
  <si>
    <t>1,639.83 Kgs. was disposed to HW treater</t>
  </si>
  <si>
    <t xml:space="preserve">Compostable materials includes Shredded Currency Notes that were dump and covered with soil in the vacant lot area of BSP Dagupan for decomposition process.  </t>
  </si>
  <si>
    <t>RAUL SM. JIMENEZ, JR.</t>
  </si>
  <si>
    <t>Septic Tank</t>
  </si>
  <si>
    <t>VRF System 1 Ground Floor</t>
  </si>
  <si>
    <t>VRF System 2 Ground Floor</t>
  </si>
  <si>
    <t>VRF System 4 Second Floor</t>
  </si>
  <si>
    <t>VRF System 3 Second Floor</t>
  </si>
  <si>
    <t>CCTV Room C</t>
  </si>
  <si>
    <t>CCTV Room D</t>
  </si>
  <si>
    <t>Data Cabinet</t>
  </si>
  <si>
    <t>Lobby Area</t>
  </si>
  <si>
    <t>UPS Room</t>
  </si>
  <si>
    <t>Guard House 1</t>
  </si>
  <si>
    <t>EFLC</t>
  </si>
  <si>
    <t>PACD</t>
  </si>
  <si>
    <t>Workshop</t>
  </si>
  <si>
    <t>Newly installed PACU's and VRF Airconditioning System. /  Some relocated old PACU's</t>
  </si>
  <si>
    <t>SFX 393</t>
  </si>
  <si>
    <t>SLF430</t>
  </si>
  <si>
    <t>P6E 168</t>
  </si>
  <si>
    <t>SHJ 913</t>
  </si>
  <si>
    <t>Raul S. Jimenez</t>
  </si>
  <si>
    <t>27kva</t>
  </si>
  <si>
    <t>$J$8</t>
  </si>
  <si>
    <t>$K$8</t>
  </si>
  <si>
    <t>$M$8</t>
  </si>
  <si>
    <t>165kva</t>
  </si>
  <si>
    <t>$J$13</t>
  </si>
  <si>
    <t>$J$14</t>
  </si>
  <si>
    <t>$J$15</t>
  </si>
  <si>
    <t>$O$9</t>
  </si>
  <si>
    <t>$O$11</t>
  </si>
  <si>
    <t>$K$13</t>
  </si>
  <si>
    <t>$K$14</t>
  </si>
  <si>
    <t>$O$13</t>
  </si>
  <si>
    <t>$O$14</t>
  </si>
  <si>
    <t>$K$15</t>
  </si>
  <si>
    <t>$K$16</t>
  </si>
  <si>
    <t>$M$15</t>
  </si>
  <si>
    <t>$O$15</t>
  </si>
  <si>
    <t>$O$16</t>
  </si>
  <si>
    <t>$K$17</t>
  </si>
  <si>
    <t>$K$18</t>
  </si>
  <si>
    <t>$M$17</t>
  </si>
  <si>
    <t>$M$18</t>
  </si>
  <si>
    <t>$O$17</t>
  </si>
  <si>
    <t>$O$18</t>
  </si>
  <si>
    <t>$J$22</t>
  </si>
  <si>
    <t>$J$23</t>
  </si>
  <si>
    <t>$J$24</t>
  </si>
  <si>
    <t>$J$25</t>
  </si>
  <si>
    <t>$K$19</t>
  </si>
  <si>
    <t>$K$20</t>
  </si>
  <si>
    <t>$M$19</t>
  </si>
  <si>
    <t>$M$20</t>
  </si>
  <si>
    <t>$O$19</t>
  </si>
  <si>
    <t>$O$20</t>
  </si>
  <si>
    <t>$K$21</t>
  </si>
  <si>
    <t>$K$22</t>
  </si>
  <si>
    <t>$M$21</t>
  </si>
  <si>
    <t>$M$22</t>
  </si>
  <si>
    <t>$O$21</t>
  </si>
  <si>
    <t>$O$22</t>
  </si>
  <si>
    <t>$K$23</t>
  </si>
  <si>
    <t>$K$24</t>
  </si>
  <si>
    <t>$M$23</t>
  </si>
  <si>
    <t>$M$24</t>
  </si>
  <si>
    <t>$O$23</t>
  </si>
  <si>
    <t>$O$24</t>
  </si>
  <si>
    <t>$J$26</t>
  </si>
  <si>
    <t>$J$27</t>
  </si>
  <si>
    <t>$J$28</t>
  </si>
  <si>
    <t>$K$25</t>
  </si>
  <si>
    <t>$K$26</t>
  </si>
  <si>
    <t>$K$27</t>
  </si>
  <si>
    <t>$K$28</t>
  </si>
  <si>
    <t>$K$29</t>
  </si>
  <si>
    <t>$K$30</t>
  </si>
  <si>
    <t>$J$29</t>
  </si>
  <si>
    <t>$J$30</t>
  </si>
  <si>
    <t>$J$31</t>
  </si>
  <si>
    <t>$J$32</t>
  </si>
  <si>
    <t>$J$33</t>
  </si>
  <si>
    <t>$J$34</t>
  </si>
  <si>
    <t>$J$35</t>
  </si>
  <si>
    <t>$M$25</t>
  </si>
  <si>
    <t>$M$26</t>
  </si>
  <si>
    <t>$M$27</t>
  </si>
  <si>
    <t>$M$28</t>
  </si>
  <si>
    <t>$M$29</t>
  </si>
  <si>
    <t>$M$30</t>
  </si>
  <si>
    <t>$O$25</t>
  </si>
  <si>
    <t>$O$26</t>
  </si>
  <si>
    <t>$O$27</t>
  </si>
  <si>
    <t>$O$28</t>
  </si>
  <si>
    <t>$O$29</t>
  </si>
  <si>
    <t>$O$30</t>
  </si>
  <si>
    <t>$C$6</t>
  </si>
  <si>
    <t>$C$7</t>
  </si>
  <si>
    <t>$J$4</t>
  </si>
  <si>
    <t>$M$4</t>
  </si>
  <si>
    <t>9/1025</t>
  </si>
  <si>
    <t>$A$27:$G$39</t>
  </si>
  <si>
    <t>$N$17</t>
  </si>
  <si>
    <t>$D$2</t>
  </si>
  <si>
    <t>$J$17:$J$25</t>
  </si>
  <si>
    <t>$J$13:$J$15</t>
  </si>
  <si>
    <t>$M$17:$M$25</t>
  </si>
  <si>
    <t>$N$17:$N$25</t>
  </si>
  <si>
    <t>$O$17:$O$24</t>
  </si>
  <si>
    <t>$O$17:$O$26</t>
  </si>
  <si>
    <t>VRF System 2 Second Floor</t>
  </si>
  <si>
    <t>VRF System 3 Ground Floor</t>
  </si>
  <si>
    <t>$J$17:$J$26</t>
  </si>
  <si>
    <t>$L$15</t>
  </si>
  <si>
    <t>$L$16</t>
  </si>
  <si>
    <t>$N$14</t>
  </si>
  <si>
    <t>$N$16</t>
  </si>
  <si>
    <t>$Q$14</t>
  </si>
  <si>
    <t>$Q$16</t>
  </si>
  <si>
    <t>$P$11</t>
  </si>
  <si>
    <t>$P$12</t>
  </si>
  <si>
    <t>$P$14</t>
  </si>
  <si>
    <t>$P$15</t>
  </si>
  <si>
    <t>$R$14</t>
  </si>
  <si>
    <t>$R$16</t>
  </si>
  <si>
    <t>$L$22</t>
  </si>
  <si>
    <t>$L$23</t>
  </si>
  <si>
    <t>$L$24</t>
  </si>
  <si>
    <t>$L$25</t>
  </si>
  <si>
    <t>$Q$25</t>
  </si>
  <si>
    <t>$Q$21</t>
  </si>
  <si>
    <t>$R$21</t>
  </si>
  <si>
    <t>$R$25</t>
  </si>
  <si>
    <t>$P$24</t>
  </si>
  <si>
    <t>$P$23</t>
  </si>
  <si>
    <t>$P$20</t>
  </si>
  <si>
    <t>$R$22</t>
  </si>
  <si>
    <t>$P$21</t>
  </si>
  <si>
    <t>$R$20</t>
  </si>
  <si>
    <t>$P$19</t>
  </si>
  <si>
    <t>$Q$18</t>
  </si>
  <si>
    <t>$Q$20</t>
  </si>
  <si>
    <t>$Q$22</t>
  </si>
  <si>
    <t>$J$9:$R$25</t>
  </si>
  <si>
    <t>$O$9:$O$24</t>
  </si>
  <si>
    <t>$Q$18:$Q$25</t>
  </si>
  <si>
    <t>$O$14:$O$18</t>
  </si>
  <si>
    <t>$O$19:$O$23</t>
  </si>
  <si>
    <t>27kVA</t>
  </si>
  <si>
    <t>165kVA</t>
  </si>
  <si>
    <t>$N$7:$N$10</t>
  </si>
  <si>
    <t>$I$31:$O$106</t>
  </si>
  <si>
    <t>$I$7:$I$11</t>
  </si>
  <si>
    <t>$I$8:$I$11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</si>
</sst>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6">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4" fontId="0" fillId="0" borderId="0" xfId="0" applyNumberFormat="1"/>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5" fontId="8" fillId="3" borderId="4" xfId="0" applyNumberFormat="1" applyFont="1" applyFill="1" applyBorder="1" applyAlignment="1" applyProtection="1">
      <alignment horizontal="center" vertical="center"/>
      <protection locked="0"/>
    </xf>
    <xf numFmtId="14" fontId="8" fillId="3" borderId="4" xfId="0" applyNumberFormat="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88948958331"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7"/>
    </cacheField>
    <cacheField name="Vehicle Type" numFmtId="0">
      <sharedItems containsBlank="1" count="12">
        <s v="Armored Vehicle"/>
        <s v="Van  "/>
        <s v="Multi-Purpose Vehicle"/>
        <m/>
        <s v="Sport Utility Vehicle  (SUV)" u="1"/>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27.86" maxValue="829.43"/>
    </cacheField>
    <cacheField name="Unit" numFmtId="0">
      <sharedItems containsBlank="1"/>
    </cacheField>
    <cacheField name="Total kilometers travelled (all vehicles)" numFmtId="4">
      <sharedItems containsString="0" containsBlank="1" containsNumber="1" containsInteger="1" minValue="22" maxValue="3045"/>
    </cacheField>
    <cacheField name="Unit2" numFmtId="0">
      <sharedItems/>
    </cacheField>
    <cacheField name="Remarks" numFmtId="0">
      <sharedItems containsBlank="1" containsMixedTypes="1" containsNumber="1" containsInteger="1" minValue="131210" maxValue="131210"/>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829.43"/>
    <s v="Liters"/>
    <n v="3045"/>
    <s v="Kilometers"/>
    <s v="SFX 393"/>
  </r>
  <r>
    <n v="2"/>
    <x v="0"/>
    <x v="0"/>
    <x v="0"/>
    <x v="0"/>
    <n v="82.26"/>
    <m/>
    <n v="442"/>
    <s v="Kilometers"/>
    <n v="131210"/>
  </r>
  <r>
    <n v="3"/>
    <x v="1"/>
    <x v="0"/>
    <x v="0"/>
    <x v="0"/>
    <n v="67.819999999999993"/>
    <s v="Liters"/>
    <n v="745"/>
    <s v="Kilometers"/>
    <s v="SLF430"/>
  </r>
  <r>
    <n v="4"/>
    <x v="2"/>
    <x v="0"/>
    <x v="0"/>
    <x v="0"/>
    <n v="60.04"/>
    <s v="Liters"/>
    <n v="712"/>
    <s v="Kilometers"/>
    <s v="P6E 168"/>
  </r>
  <r>
    <n v="5"/>
    <x v="1"/>
    <x v="0"/>
    <x v="1"/>
    <x v="0"/>
    <n v="51.45"/>
    <s v="Liters"/>
    <n v="867"/>
    <s v="Kilometers"/>
    <s v="SLF430"/>
  </r>
  <r>
    <n v="6"/>
    <x v="2"/>
    <x v="0"/>
    <x v="1"/>
    <x v="0"/>
    <n v="122.83"/>
    <s v="Liters"/>
    <n v="1425"/>
    <s v="Kilometers"/>
    <s v="P6E 168"/>
  </r>
  <r>
    <n v="7"/>
    <x v="0"/>
    <x v="0"/>
    <x v="2"/>
    <x v="0"/>
    <n v="283.08"/>
    <s v="Liters"/>
    <n v="860"/>
    <s v="Kilometers"/>
    <s v="SFX 393"/>
  </r>
  <r>
    <n v="8"/>
    <x v="0"/>
    <x v="0"/>
    <x v="2"/>
    <x v="0"/>
    <n v="151.07"/>
    <s v="Liters"/>
    <n v="844"/>
    <s v="Kilometers"/>
    <n v="131210"/>
  </r>
  <r>
    <n v="9"/>
    <x v="0"/>
    <x v="0"/>
    <x v="2"/>
    <x v="0"/>
    <n v="56.01"/>
    <s v="Liters"/>
    <n v="22"/>
    <s v="Kilometers"/>
    <s v="SHJ 913"/>
  </r>
  <r>
    <n v="10"/>
    <x v="1"/>
    <x v="0"/>
    <x v="2"/>
    <x v="0"/>
    <n v="34.94"/>
    <s v="Liters"/>
    <n v="376"/>
    <s v="Kilometers"/>
    <s v="SLF430"/>
  </r>
  <r>
    <n v="11"/>
    <x v="2"/>
    <x v="0"/>
    <x v="2"/>
    <x v="0"/>
    <n v="84.38"/>
    <s v="Liters"/>
    <n v="1108"/>
    <s v="Kilometers"/>
    <s v="P6E 168"/>
  </r>
  <r>
    <n v="12"/>
    <x v="1"/>
    <x v="0"/>
    <x v="3"/>
    <x v="1"/>
    <n v="147.88"/>
    <s v="Liters"/>
    <n v="1255"/>
    <s v="Kilometers"/>
    <s v="SLF430"/>
  </r>
  <r>
    <n v="13"/>
    <x v="2"/>
    <x v="0"/>
    <x v="3"/>
    <x v="1"/>
    <n v="94.01"/>
    <s v="Liters"/>
    <n v="1301"/>
    <s v="Kilometers"/>
    <s v="P6E 168"/>
  </r>
  <r>
    <n v="14"/>
    <x v="0"/>
    <x v="0"/>
    <x v="4"/>
    <x v="1"/>
    <n v="201.68"/>
    <s v="Liters"/>
    <n v="789"/>
    <s v="Kilometers"/>
    <n v="131210"/>
  </r>
  <r>
    <n v="15"/>
    <x v="1"/>
    <x v="0"/>
    <x v="4"/>
    <x v="1"/>
    <n v="27.86"/>
    <s v="Liters"/>
    <n v="183"/>
    <s v="Kilometers"/>
    <s v="SLF430"/>
  </r>
  <r>
    <n v="16"/>
    <x v="2"/>
    <x v="0"/>
    <x v="4"/>
    <x v="1"/>
    <n v="94.01"/>
    <s v="Liters"/>
    <n v="828"/>
    <s v="Kilometers"/>
    <s v="P6E 168"/>
  </r>
  <r>
    <n v="17"/>
    <x v="0"/>
    <x v="0"/>
    <x v="5"/>
    <x v="1"/>
    <n v="212.06"/>
    <s v="Liters"/>
    <n v="479"/>
    <s v="Kilometers"/>
    <s v="SFX 393"/>
  </r>
  <r>
    <n v="18"/>
    <x v="0"/>
    <x v="0"/>
    <x v="5"/>
    <x v="1"/>
    <n v="254.47"/>
    <s v="Liters"/>
    <n v="1115"/>
    <s v="Kilometers"/>
    <n v="131210"/>
  </r>
  <r>
    <n v="19"/>
    <x v="1"/>
    <x v="0"/>
    <x v="5"/>
    <x v="1"/>
    <n v="48.05"/>
    <s v="Liters"/>
    <n v="599"/>
    <s v="Kilometers"/>
    <s v="SLF430"/>
  </r>
  <r>
    <n v="20"/>
    <x v="2"/>
    <x v="0"/>
    <x v="5"/>
    <x v="1"/>
    <n v="55.72"/>
    <s v="Liters"/>
    <n v="383"/>
    <s v="Kilometers"/>
    <s v="P6E 168"/>
  </r>
  <r>
    <n v="21"/>
    <x v="1"/>
    <x v="0"/>
    <x v="6"/>
    <x v="2"/>
    <n v="173.61"/>
    <s v="Liters"/>
    <n v="1834"/>
    <s v="Kilometers"/>
    <s v="SLF430"/>
  </r>
  <r>
    <n v="22"/>
    <x v="2"/>
    <x v="0"/>
    <x v="6"/>
    <x v="2"/>
    <n v="179.26"/>
    <s v="Liters"/>
    <n v="2747"/>
    <s v="Kilometers"/>
    <s v="P6E 168"/>
  </r>
  <r>
    <n v="23"/>
    <x v="1"/>
    <x v="0"/>
    <x v="7"/>
    <x v="2"/>
    <n v="223.29"/>
    <s v="Liters"/>
    <n v="2279"/>
    <s v="Kilometers"/>
    <s v="SLF430"/>
  </r>
  <r>
    <n v="24"/>
    <x v="2"/>
    <x v="0"/>
    <x v="7"/>
    <x v="2"/>
    <n v="230.4"/>
    <s v="Liters"/>
    <n v="2625"/>
    <s v="Kilometers"/>
    <s v="P6E 168"/>
  </r>
  <r>
    <n v="25"/>
    <x v="1"/>
    <x v="0"/>
    <x v="8"/>
    <x v="2"/>
    <n v="88"/>
    <s v="Liters"/>
    <n v="821"/>
    <s v="Kilometers"/>
    <s v="SLF430"/>
  </r>
  <r>
    <n v="26"/>
    <x v="2"/>
    <x v="0"/>
    <x v="8"/>
    <x v="2"/>
    <n v="163.02000000000001"/>
    <s v="Liters"/>
    <n v="2399"/>
    <s v="Kilometers"/>
    <s v="P6E 168"/>
  </r>
  <r>
    <n v="27"/>
    <x v="0"/>
    <x v="0"/>
    <x v="9"/>
    <x v="3"/>
    <n v="165.01"/>
    <s v="Liters"/>
    <n v="322"/>
    <s v="Kilometers"/>
    <s v="SFX 393"/>
  </r>
  <r>
    <n v="28"/>
    <x v="0"/>
    <x v="0"/>
    <x v="9"/>
    <x v="3"/>
    <n v="160.05000000000001"/>
    <s v="Liters"/>
    <n v="322"/>
    <s v="Kilometers"/>
    <n v="131210"/>
  </r>
  <r>
    <n v="29"/>
    <x v="1"/>
    <x v="0"/>
    <x v="9"/>
    <x v="3"/>
    <n v="73.39"/>
    <s v="Liters"/>
    <n v="622"/>
    <s v="Kilometers"/>
    <s v="SLF430"/>
  </r>
  <r>
    <n v="30"/>
    <x v="2"/>
    <x v="0"/>
    <x v="9"/>
    <x v="3"/>
    <n v="137.30000000000001"/>
    <s v="Liters"/>
    <n v="1730"/>
    <s v="Kilometers"/>
    <s v="P6E 168"/>
  </r>
  <r>
    <n v="31"/>
    <x v="0"/>
    <x v="0"/>
    <x v="10"/>
    <x v="3"/>
    <n v="762.77"/>
    <s v="Liters"/>
    <n v="2539"/>
    <s v="Kilometers"/>
    <s v="SFX 393"/>
  </r>
  <r>
    <n v="32"/>
    <x v="0"/>
    <x v="0"/>
    <x v="10"/>
    <x v="3"/>
    <n v="535.45000000000005"/>
    <s v="Liters"/>
    <n v="2539"/>
    <s v="Kilometers"/>
    <n v="131210"/>
  </r>
  <r>
    <n v="33"/>
    <x v="1"/>
    <x v="0"/>
    <x v="10"/>
    <x v="3"/>
    <n v="39.71"/>
    <s v="Liters"/>
    <n v="262"/>
    <s v="Kilometers"/>
    <s v="SLF430"/>
  </r>
  <r>
    <n v="34"/>
    <x v="2"/>
    <x v="0"/>
    <x v="10"/>
    <x v="3"/>
    <n v="54.76"/>
    <s v="Liters"/>
    <n v="419"/>
    <s v="Kilometers"/>
    <s v="P6E 168"/>
  </r>
  <r>
    <n v="35"/>
    <x v="0"/>
    <x v="0"/>
    <x v="11"/>
    <x v="3"/>
    <n v="800.28"/>
    <s v="Liters"/>
    <n v="2532"/>
    <s v="Kilometers"/>
    <s v="SFX 393"/>
  </r>
  <r>
    <n v="36"/>
    <x v="0"/>
    <x v="0"/>
    <x v="11"/>
    <x v="3"/>
    <n v="554.49"/>
    <s v="Liters"/>
    <n v="2532"/>
    <s v="Kilometers"/>
    <n v="131210"/>
  </r>
  <r>
    <n v="37"/>
    <x v="1"/>
    <x v="0"/>
    <x v="11"/>
    <x v="3"/>
    <n v="47.37"/>
    <s v="Liters"/>
    <n v="503"/>
    <s v="Kilometers"/>
    <s v="SLF430"/>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5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5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5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56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5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57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3">
        <item m="1" x="11"/>
        <item m="1" x="10"/>
        <item x="3"/>
        <item m="1" x="5"/>
        <item m="1" x="9"/>
        <item m="1" x="6"/>
        <item m="1" x="7"/>
        <item m="1" x="8"/>
        <item x="0"/>
        <item x="1"/>
        <item m="1" x="4"/>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1"/>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5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2">
        <i x="0" s="1"/>
        <i x="2" s="1"/>
        <i x="1" s="1"/>
        <i x="11" s="1" nd="1"/>
        <i x="6" s="1" nd="1"/>
        <i x="7" s="1" nd="1"/>
        <i x="8" s="1" nd="1"/>
        <i x="5" s="1" nd="1"/>
        <i x="10" s="1" nd="1"/>
        <i x="9" s="1" nd="1"/>
        <i x="4"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30" totalsRowShown="0" headerRowDxfId="109" dataDxfId="107" headerRowBorderDxfId="108" tableBorderDxfId="106">
  <autoFilter ref="I6:O30"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159" totalsRowShown="0" headerRowDxfId="8">
  <autoFilter ref="A1:E1159"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B28" zoomScaleNormal="130" workbookViewId="0">
      <selection activeCell="E45" sqref="E45"/>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G43" sqref="G43"/>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389</v>
      </c>
      <c r="E2" s="445"/>
      <c r="F2" s="445"/>
      <c r="G2" s="446"/>
    </row>
    <row r="3" spans="3:7" x14ac:dyDescent="0.2">
      <c r="C3" s="117" t="s">
        <v>12</v>
      </c>
      <c r="D3" s="444">
        <v>2024</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x</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548.46</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7347.21</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360800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2240</v>
      </c>
    </row>
    <row r="40" spans="3:5" x14ac:dyDescent="0.2">
      <c r="C40" s="189" t="str">
        <f>'2.4 Water'!B12</f>
        <v>Water Discharge</v>
      </c>
      <c r="D40" s="189" t="str">
        <f>'2.4 Water'!C12</f>
        <v>Cubic meters</v>
      </c>
      <c r="E40" s="190">
        <f>SUM('2.4 Water'!$D$12:$G$12)</f>
        <v>768</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45559.979999999996</v>
      </c>
    </row>
    <row r="45" spans="3:5" x14ac:dyDescent="0.2">
      <c r="C45" s="189" t="str">
        <f>'2.5 Waste'!B12</f>
        <v>Recyclable</v>
      </c>
      <c r="D45" s="189" t="str">
        <f>'2.5 Waste'!C12</f>
        <v>Kilograms</v>
      </c>
      <c r="E45" s="191">
        <f>SUM('2.5 Waste'!$D$12:$G$12)</f>
        <v>519.96</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topLeftCell="B5" zoomScaleNormal="100" workbookViewId="0">
      <selection activeCell="K22" sqref="K22"/>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Dagupan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7" t="s">
        <v>1435</v>
      </c>
      <c r="D6" s="448"/>
      <c r="E6" s="448"/>
      <c r="F6" s="448"/>
      <c r="G6" s="449"/>
      <c r="I6" s="209" t="s">
        <v>173</v>
      </c>
      <c r="J6" s="209" t="s">
        <v>35</v>
      </c>
      <c r="K6" s="209" t="s">
        <v>39</v>
      </c>
      <c r="L6" s="209" t="s">
        <v>43</v>
      </c>
      <c r="M6" s="209" t="s">
        <v>47</v>
      </c>
      <c r="N6" s="209" t="s">
        <v>51</v>
      </c>
      <c r="O6" s="209" t="s">
        <v>54</v>
      </c>
      <c r="P6" s="20"/>
    </row>
    <row r="7" spans="2:16" x14ac:dyDescent="0.2">
      <c r="B7" s="278" t="s">
        <v>174</v>
      </c>
      <c r="C7" s="450">
        <v>45910</v>
      </c>
      <c r="D7" s="448"/>
      <c r="E7" s="448"/>
      <c r="F7" s="448"/>
      <c r="G7" s="449"/>
      <c r="I7" s="194">
        <f>IF($M7="","",1)</f>
        <v>1</v>
      </c>
      <c r="J7" s="57" t="s">
        <v>37</v>
      </c>
      <c r="K7" s="58" t="s">
        <v>338</v>
      </c>
      <c r="L7" s="18" t="str">
        <f>IF(Fuel_Blg[[#This Row],[Month]]&lt;&gt;"",VLOOKUP(Fuel_Blg[[#This Row],[Month]], dropdown!$S$4:$T$15, 2, FALSE),"")</f>
        <v>Q1</v>
      </c>
      <c r="M7" s="29">
        <v>4.42</v>
      </c>
      <c r="N7" s="17" t="str">
        <f>IF($J7="","",VLOOKUP($J7,dropdown!$P$3:$Q$8,2,FALSE))</f>
        <v>Liters</v>
      </c>
      <c r="O7" s="195" t="s">
        <v>1583</v>
      </c>
      <c r="P7" s="20"/>
    </row>
    <row r="8" spans="2:16" x14ac:dyDescent="0.2">
      <c r="I8" s="194">
        <f>IF($M7="","",$I7+1)</f>
        <v>2</v>
      </c>
      <c r="J8" s="57" t="s">
        <v>37</v>
      </c>
      <c r="K8" s="58" t="s">
        <v>338</v>
      </c>
      <c r="L8" s="18" t="str">
        <f>IF(Fuel_Blg[[#This Row],[Month]]&lt;&gt;"",VLOOKUP(Fuel_Blg[[#This Row],[Month]], dropdown!$S$4:$T$15, 2, FALSE),"")</f>
        <v>Q1</v>
      </c>
      <c r="M8" s="29">
        <v>14</v>
      </c>
      <c r="N8" s="17" t="str">
        <f>IF($J8="","",VLOOKUP($J8,dropdown!$P$3:$Q$8,2,FALSE))</f>
        <v>Liters</v>
      </c>
      <c r="O8" s="195" t="s">
        <v>1584</v>
      </c>
      <c r="P8" s="20"/>
    </row>
    <row r="9" spans="2:16" x14ac:dyDescent="0.2">
      <c r="B9" s="14" t="s">
        <v>33</v>
      </c>
      <c r="C9" s="14"/>
      <c r="D9" s="14"/>
      <c r="E9" s="14"/>
      <c r="F9" s="14"/>
      <c r="G9" s="14"/>
      <c r="I9" s="194">
        <f t="shared" ref="I9:I11" si="0">IF($M8="","",$I8+1)</f>
        <v>3</v>
      </c>
      <c r="J9" s="57" t="s">
        <v>37</v>
      </c>
      <c r="K9" s="58" t="s">
        <v>89</v>
      </c>
      <c r="L9" s="18" t="str">
        <f>IF(Fuel_Blg[[#This Row],[Month]]&lt;&gt;"",VLOOKUP(Fuel_Blg[[#This Row],[Month]], dropdown!$S$4:$T$15, 2, FALSE),"")</f>
        <v>Q1</v>
      </c>
      <c r="M9" s="29">
        <v>4.67</v>
      </c>
      <c r="N9" s="17" t="str">
        <f>IF($J9="","",VLOOKUP($J9,dropdown!$P$3:$Q$8,2,FALSE))</f>
        <v>Liters</v>
      </c>
      <c r="O9" s="195" t="s">
        <v>1583</v>
      </c>
      <c r="P9" s="20"/>
    </row>
    <row r="10" spans="2:16" x14ac:dyDescent="0.2">
      <c r="B10" s="13" t="s">
        <v>35</v>
      </c>
      <c r="C10" s="13" t="s">
        <v>51</v>
      </c>
      <c r="D10" s="40" t="s">
        <v>45</v>
      </c>
      <c r="E10" s="40" t="s">
        <v>149</v>
      </c>
      <c r="F10" s="40" t="s">
        <v>150</v>
      </c>
      <c r="G10" s="40" t="s">
        <v>151</v>
      </c>
      <c r="I10" s="194">
        <f t="shared" si="0"/>
        <v>4</v>
      </c>
      <c r="J10" s="57" t="s">
        <v>37</v>
      </c>
      <c r="K10" s="58" t="s">
        <v>89</v>
      </c>
      <c r="L10" s="18" t="str">
        <f>IF(Fuel_Blg[[#This Row],[Month]]&lt;&gt;"",VLOOKUP(Fuel_Blg[[#This Row],[Month]], dropdown!$S$4:$T$15, 2, FALSE),"")</f>
        <v>Q1</v>
      </c>
      <c r="M10" s="29">
        <v>14</v>
      </c>
      <c r="N10" s="17" t="str">
        <f>IF($J10="","",VLOOKUP($J10,dropdown!$P$3:$Q$8,2,FALSE))</f>
        <v>Liters</v>
      </c>
      <c r="O10" s="195" t="s">
        <v>1584</v>
      </c>
      <c r="P10" s="20"/>
    </row>
    <row r="11" spans="2:16" x14ac:dyDescent="0.2">
      <c r="B11" s="17" t="str">
        <f>dropdown!$P4</f>
        <v>Diesel - Standby generator sets</v>
      </c>
      <c r="C11" s="17" t="str">
        <f>dropdown!$Q4</f>
        <v>Liters</v>
      </c>
      <c r="D11" s="41">
        <f>SUMIFS(Fuel_Blg[Consumption],Fuel_Blg[Quarter],D$10,Fuel_Blg[Fuel Type],$B$11)</f>
        <v>58.95</v>
      </c>
      <c r="E11" s="41">
        <f>SUMIFS(Fuel_Blg[Consumption],Fuel_Blg[Quarter],E$10,Fuel_Blg[Fuel Type],$B$11)</f>
        <v>282.47000000000003</v>
      </c>
      <c r="F11" s="41">
        <f>SUMIFS(Fuel_Blg[Consumption],Fuel_Blg[Quarter],F$10,Fuel_Blg[Fuel Type],$B$11)</f>
        <v>59</v>
      </c>
      <c r="G11" s="41">
        <f>SUMIFS(Fuel_Blg[Consumption],Fuel_Blg[Quarter],G$10,Fuel_Blg[Fuel Type],$B$11)</f>
        <v>148.04</v>
      </c>
      <c r="I11" s="194">
        <f t="shared" si="0"/>
        <v>5</v>
      </c>
      <c r="J11" s="57" t="s">
        <v>37</v>
      </c>
      <c r="K11" s="58" t="s">
        <v>362</v>
      </c>
      <c r="L11" s="18" t="str">
        <f>IF(Fuel_Blg[[#This Row],[Month]]&lt;&gt;"",VLOOKUP(Fuel_Blg[[#This Row],[Month]], dropdown!$S$4:$T$15, 2, FALSE),"")</f>
        <v>Q1</v>
      </c>
      <c r="M11" s="29">
        <v>5.2</v>
      </c>
      <c r="N11" s="17" t="str">
        <f>IF($J11="","",VLOOKUP($J11,dropdown!$P$3:$Q$8,2,FALSE))</f>
        <v>Liters</v>
      </c>
      <c r="O11" s="195" t="s">
        <v>1583</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ref="I10:I30" si="1">IF($M12="","",$I11+1)</f>
        <v>6</v>
      </c>
      <c r="J12" s="57" t="s">
        <v>37</v>
      </c>
      <c r="K12" s="58" t="s">
        <v>362</v>
      </c>
      <c r="L12" s="18" t="str">
        <f>IF(Fuel_Blg[[#This Row],[Month]]&lt;&gt;"",VLOOKUP(Fuel_Blg[[#This Row],[Month]], dropdown!$S$4:$T$15, 2, FALSE),"")</f>
        <v>Q1</v>
      </c>
      <c r="M12" s="29">
        <v>16.66</v>
      </c>
      <c r="N12" s="17" t="str">
        <f>IF($J12="","",VLOOKUP($J12,dropdown!$P$3:$Q$8,2,FALSE))</f>
        <v>Liters</v>
      </c>
      <c r="O12" s="195" t="s">
        <v>1584</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1"/>
        <v>7</v>
      </c>
      <c r="J13" s="57" t="s">
        <v>37</v>
      </c>
      <c r="K13" s="58" t="s">
        <v>371</v>
      </c>
      <c r="L13" s="18" t="str">
        <f>IF(Fuel_Blg[[#This Row],[Month]]&lt;&gt;"",VLOOKUP(Fuel_Blg[[#This Row],[Month]], dropdown!$S$4:$T$15, 2, FALSE),"")</f>
        <v>Q2</v>
      </c>
      <c r="M13" s="29">
        <v>3.92</v>
      </c>
      <c r="N13" s="17" t="str">
        <f>IF($J13="","",VLOOKUP($J13,dropdown!$P$3:$Q$8,2,FALSE))</f>
        <v>Liters</v>
      </c>
      <c r="O13" s="195" t="s">
        <v>1583</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1"/>
        <v>8</v>
      </c>
      <c r="J14" s="57" t="s">
        <v>37</v>
      </c>
      <c r="K14" s="58" t="s">
        <v>371</v>
      </c>
      <c r="L14" s="18" t="str">
        <f>IF(Fuel_Blg[[#This Row],[Month]]&lt;&gt;"",VLOOKUP(Fuel_Blg[[#This Row],[Month]], dropdown!$S$4:$T$15, 2, FALSE),"")</f>
        <v>Q2</v>
      </c>
      <c r="M14" s="29">
        <v>15.67</v>
      </c>
      <c r="N14" s="17" t="str">
        <f>IF($J14="","",VLOOKUP($J14,dropdown!$P$3:$Q$8,2,FALSE))</f>
        <v>Liters</v>
      </c>
      <c r="O14" s="195" t="s">
        <v>1584</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1"/>
        <v>9</v>
      </c>
      <c r="J15" s="57" t="s">
        <v>37</v>
      </c>
      <c r="K15" s="58" t="s">
        <v>379</v>
      </c>
      <c r="L15" s="18" t="str">
        <f>IF(Fuel_Blg[[#This Row],[Month]]&lt;&gt;"",VLOOKUP(Fuel_Blg[[#This Row],[Month]], dropdown!$S$4:$T$15, 2, FALSE),"")</f>
        <v>Q2</v>
      </c>
      <c r="M15" s="29">
        <v>13.55</v>
      </c>
      <c r="N15" s="17" t="str">
        <f>IF($J15="","",VLOOKUP($J15,dropdown!$P$3:$Q$8,2,FALSE))</f>
        <v>Liters</v>
      </c>
      <c r="O15" s="195" t="s">
        <v>1583</v>
      </c>
      <c r="P15" s="20"/>
    </row>
    <row r="16" spans="2:16" x14ac:dyDescent="0.2">
      <c r="I16" s="194">
        <f t="shared" si="1"/>
        <v>10</v>
      </c>
      <c r="J16" s="57" t="s">
        <v>37</v>
      </c>
      <c r="K16" s="58" t="s">
        <v>379</v>
      </c>
      <c r="L16" s="18" t="str">
        <f>IF(Fuel_Blg[[#This Row],[Month]]&lt;&gt;"",VLOOKUP(Fuel_Blg[[#This Row],[Month]], dropdown!$S$4:$T$15, 2, FALSE),"")</f>
        <v>Q2</v>
      </c>
      <c r="M16" s="29">
        <v>81</v>
      </c>
      <c r="N16" s="17" t="str">
        <f>IF($J16="","",VLOOKUP($J16,dropdown!$P$3:$Q$8,2,FALSE))</f>
        <v>Liters</v>
      </c>
      <c r="O16" s="195" t="s">
        <v>1584</v>
      </c>
      <c r="P16" s="20"/>
    </row>
    <row r="17" spans="2:16" x14ac:dyDescent="0.2">
      <c r="B17" s="267" t="s">
        <v>38</v>
      </c>
      <c r="I17" s="194">
        <f t="shared" si="1"/>
        <v>11</v>
      </c>
      <c r="J17" s="57" t="s">
        <v>37</v>
      </c>
      <c r="K17" s="58" t="s">
        <v>386</v>
      </c>
      <c r="L17" s="18" t="str">
        <f>IF(Fuel_Blg[[#This Row],[Month]]&lt;&gt;"",VLOOKUP(Fuel_Blg[[#This Row],[Month]], dropdown!$S$4:$T$15, 2, FALSE),"")</f>
        <v>Q2</v>
      </c>
      <c r="M17" s="29">
        <v>3.33</v>
      </c>
      <c r="N17" s="17" t="str">
        <f>IF($J17="","",VLOOKUP($J17,dropdown!$P$3:$Q$8,2,FALSE))</f>
        <v>Liters</v>
      </c>
      <c r="O17" s="195" t="s">
        <v>1583</v>
      </c>
      <c r="P17" s="20"/>
    </row>
    <row r="18" spans="2:16" x14ac:dyDescent="0.2">
      <c r="B18" s="268" t="s">
        <v>175</v>
      </c>
      <c r="I18" s="194">
        <f t="shared" si="1"/>
        <v>12</v>
      </c>
      <c r="J18" s="57" t="s">
        <v>37</v>
      </c>
      <c r="K18" s="58" t="s">
        <v>386</v>
      </c>
      <c r="L18" s="18" t="str">
        <f>IF(Fuel_Blg[[#This Row],[Month]]&lt;&gt;"",VLOOKUP(Fuel_Blg[[#This Row],[Month]], dropdown!$S$4:$T$15, 2, FALSE),"")</f>
        <v>Q2</v>
      </c>
      <c r="M18" s="29">
        <v>165</v>
      </c>
      <c r="N18" s="17" t="str">
        <f>IF($J18="","",VLOOKUP($J18,dropdown!$P$3:$Q$8,2,FALSE))</f>
        <v>Liters</v>
      </c>
      <c r="O18" s="195" t="s">
        <v>1584</v>
      </c>
      <c r="P18" s="20"/>
    </row>
    <row r="19" spans="2:16" x14ac:dyDescent="0.2">
      <c r="B19" s="266" t="s">
        <v>176</v>
      </c>
      <c r="I19" s="194">
        <f t="shared" si="1"/>
        <v>13</v>
      </c>
      <c r="J19" s="57" t="s">
        <v>37</v>
      </c>
      <c r="K19" s="58" t="s">
        <v>390</v>
      </c>
      <c r="L19" s="18" t="str">
        <f>IF(Fuel_Blg[[#This Row],[Month]]&lt;&gt;"",VLOOKUP(Fuel_Blg[[#This Row],[Month]], dropdown!$S$4:$T$15, 2, FALSE),"")</f>
        <v>Q3</v>
      </c>
      <c r="M19" s="29">
        <v>2.67</v>
      </c>
      <c r="N19" s="17" t="str">
        <f>IF($J19="","",VLOOKUP($J19,dropdown!$P$3:$Q$8,2,FALSE))</f>
        <v>Liters</v>
      </c>
      <c r="O19" s="195" t="s">
        <v>1583</v>
      </c>
      <c r="P19" s="20"/>
    </row>
    <row r="20" spans="2:16" x14ac:dyDescent="0.2">
      <c r="B20" s="17" t="s">
        <v>177</v>
      </c>
      <c r="I20" s="194">
        <f t="shared" si="1"/>
        <v>14</v>
      </c>
      <c r="J20" s="57" t="s">
        <v>37</v>
      </c>
      <c r="K20" s="58" t="s">
        <v>390</v>
      </c>
      <c r="L20" s="18" t="str">
        <f>IF(Fuel_Blg[[#This Row],[Month]]&lt;&gt;"",VLOOKUP(Fuel_Blg[[#This Row],[Month]], dropdown!$S$4:$T$15, 2, FALSE),"")</f>
        <v>Q3</v>
      </c>
      <c r="M20" s="29">
        <v>16.670000000000002</v>
      </c>
      <c r="N20" s="17" t="str">
        <f>IF($J20="","",VLOOKUP($J20,dropdown!$P$3:$Q$8,2,FALSE))</f>
        <v>Liters</v>
      </c>
      <c r="O20" s="195" t="s">
        <v>1584</v>
      </c>
      <c r="P20" s="20"/>
    </row>
    <row r="21" spans="2:16" x14ac:dyDescent="0.2">
      <c r="I21" s="194">
        <f t="shared" si="1"/>
        <v>15</v>
      </c>
      <c r="J21" s="57" t="s">
        <v>37</v>
      </c>
      <c r="K21" s="58" t="s">
        <v>41</v>
      </c>
      <c r="L21" s="18" t="str">
        <f>IF(Fuel_Blg[[#This Row],[Month]]&lt;&gt;"",VLOOKUP(Fuel_Blg[[#This Row],[Month]], dropdown!$S$4:$T$15, 2, FALSE),"")</f>
        <v>Q3</v>
      </c>
      <c r="M21" s="29">
        <v>3.33</v>
      </c>
      <c r="N21" s="17" t="str">
        <f>IF($J21="","",VLOOKUP($J21,dropdown!$P$3:$Q$8,2,FALSE))</f>
        <v>Liters</v>
      </c>
      <c r="O21" s="195" t="s">
        <v>1583</v>
      </c>
      <c r="P21" s="20"/>
    </row>
    <row r="22" spans="2:16" x14ac:dyDescent="0.2">
      <c r="I22" s="194">
        <f t="shared" si="1"/>
        <v>16</v>
      </c>
      <c r="J22" s="57" t="s">
        <v>37</v>
      </c>
      <c r="K22" s="58" t="s">
        <v>41</v>
      </c>
      <c r="L22" s="18" t="str">
        <f>IF(Fuel_Blg[[#This Row],[Month]]&lt;&gt;"",VLOOKUP(Fuel_Blg[[#This Row],[Month]], dropdown!$S$4:$T$15, 2, FALSE),"")</f>
        <v>Q3</v>
      </c>
      <c r="M22" s="29">
        <v>16.66</v>
      </c>
      <c r="N22" s="17" t="str">
        <f>IF($J22="","",VLOOKUP($J22,dropdown!$P$3:$Q$8,2,FALSE))</f>
        <v>Liters</v>
      </c>
      <c r="O22" s="195" t="s">
        <v>1584</v>
      </c>
      <c r="P22" s="20"/>
    </row>
    <row r="23" spans="2:16" x14ac:dyDescent="0.2">
      <c r="I23" s="194">
        <f t="shared" si="1"/>
        <v>17</v>
      </c>
      <c r="J23" s="57" t="s">
        <v>37</v>
      </c>
      <c r="K23" s="58" t="s">
        <v>397</v>
      </c>
      <c r="L23" s="18" t="str">
        <f>IF(Fuel_Blg[[#This Row],[Month]]&lt;&gt;"",VLOOKUP(Fuel_Blg[[#This Row],[Month]], dropdown!$S$4:$T$15, 2, FALSE),"")</f>
        <v>Q3</v>
      </c>
      <c r="M23" s="29">
        <v>2.67</v>
      </c>
      <c r="N23" s="17" t="str">
        <f>IF($J23="","",VLOOKUP($J23,dropdown!$P$3:$Q$8,2,FALSE))</f>
        <v>Liters</v>
      </c>
      <c r="O23" s="195" t="s">
        <v>1583</v>
      </c>
      <c r="P23" s="20"/>
    </row>
    <row r="24" spans="2:16" x14ac:dyDescent="0.2">
      <c r="I24" s="194">
        <f t="shared" si="1"/>
        <v>18</v>
      </c>
      <c r="J24" s="57" t="s">
        <v>37</v>
      </c>
      <c r="K24" s="58" t="s">
        <v>397</v>
      </c>
      <c r="L24" s="18" t="str">
        <f>IF(Fuel_Blg[[#This Row],[Month]]&lt;&gt;"",VLOOKUP(Fuel_Blg[[#This Row],[Month]], dropdown!$S$4:$T$15, 2, FALSE),"")</f>
        <v>Q3</v>
      </c>
      <c r="M24" s="29">
        <v>17</v>
      </c>
      <c r="N24" s="17" t="str">
        <f>IF($J24="","",VLOOKUP($J24,dropdown!$P$3:$Q$8,2,FALSE))</f>
        <v>Liters</v>
      </c>
      <c r="O24" s="195" t="s">
        <v>1584</v>
      </c>
      <c r="P24" s="20"/>
    </row>
    <row r="25" spans="2:16" x14ac:dyDescent="0.2">
      <c r="I25" s="194">
        <f t="shared" si="1"/>
        <v>19</v>
      </c>
      <c r="J25" s="57" t="s">
        <v>37</v>
      </c>
      <c r="K25" s="58" t="s">
        <v>400</v>
      </c>
      <c r="L25" s="18" t="str">
        <f>IF(Fuel_Blg[[#This Row],[Month]]&lt;&gt;"",VLOOKUP(Fuel_Blg[[#This Row],[Month]], dropdown!$S$4:$T$15, 2, FALSE),"")</f>
        <v>Q4</v>
      </c>
      <c r="M25" s="29">
        <v>2.67</v>
      </c>
      <c r="N25" s="17" t="str">
        <f>IF($J25="","",VLOOKUP($J25,dropdown!$P$3:$Q$8,2,FALSE))</f>
        <v>Liters</v>
      </c>
      <c r="O25" s="195" t="s">
        <v>1583</v>
      </c>
      <c r="P25" s="20"/>
    </row>
    <row r="26" spans="2:16" x14ac:dyDescent="0.2">
      <c r="I26" s="194">
        <f t="shared" si="1"/>
        <v>20</v>
      </c>
      <c r="J26" s="57" t="s">
        <v>37</v>
      </c>
      <c r="K26" s="58" t="s">
        <v>400</v>
      </c>
      <c r="L26" s="18" t="str">
        <f>IF(Fuel_Blg[[#This Row],[Month]]&lt;&gt;"",VLOOKUP(Fuel_Blg[[#This Row],[Month]], dropdown!$S$4:$T$15, 2, FALSE),"")</f>
        <v>Q4</v>
      </c>
      <c r="M26" s="29">
        <v>31</v>
      </c>
      <c r="N26" s="17" t="str">
        <f>IF($J26="","",VLOOKUP($J26,dropdown!$P$3:$Q$8,2,FALSE))</f>
        <v>Liters</v>
      </c>
      <c r="O26" s="195" t="s">
        <v>1584</v>
      </c>
      <c r="P26" s="20"/>
    </row>
    <row r="27" spans="2:16" x14ac:dyDescent="0.2">
      <c r="I27" s="194">
        <f t="shared" si="1"/>
        <v>21</v>
      </c>
      <c r="J27" s="57" t="s">
        <v>37</v>
      </c>
      <c r="K27" s="58" t="s">
        <v>404</v>
      </c>
      <c r="L27" s="18" t="str">
        <f>IF(Fuel_Blg[[#This Row],[Month]]&lt;&gt;"",VLOOKUP(Fuel_Blg[[#This Row],[Month]], dropdown!$S$4:$T$15, 2, FALSE),"")</f>
        <v>Q4</v>
      </c>
      <c r="M27" s="29">
        <v>28.58</v>
      </c>
      <c r="N27" s="17" t="str">
        <f>IF($J27="","",VLOOKUP($J27,dropdown!$P$3:$Q$8,2,FALSE))</f>
        <v>Liters</v>
      </c>
      <c r="O27" s="195" t="s">
        <v>1583</v>
      </c>
      <c r="P27" s="20"/>
    </row>
    <row r="28" spans="2:16" x14ac:dyDescent="0.2">
      <c r="I28" s="194">
        <f t="shared" si="1"/>
        <v>22</v>
      </c>
      <c r="J28" s="57" t="s">
        <v>37</v>
      </c>
      <c r="K28" s="58" t="s">
        <v>404</v>
      </c>
      <c r="L28" s="18" t="str">
        <f>IF(Fuel_Blg[[#This Row],[Month]]&lt;&gt;"",VLOOKUP(Fuel_Blg[[#This Row],[Month]], dropdown!$S$4:$T$15, 2, FALSE),"")</f>
        <v>Q4</v>
      </c>
      <c r="M28" s="29">
        <v>38</v>
      </c>
      <c r="N28" s="17" t="str">
        <f>IF($J28="","",VLOOKUP($J28,dropdown!$P$3:$Q$8,2,FALSE))</f>
        <v>Liters</v>
      </c>
      <c r="O28" s="195" t="s">
        <v>1584</v>
      </c>
      <c r="P28" s="20"/>
    </row>
    <row r="29" spans="2:16" x14ac:dyDescent="0.2">
      <c r="I29" s="194">
        <f t="shared" si="1"/>
        <v>23</v>
      </c>
      <c r="J29" s="57" t="s">
        <v>37</v>
      </c>
      <c r="K29" s="58" t="s">
        <v>407</v>
      </c>
      <c r="L29" s="18" t="str">
        <f>IF(Fuel_Blg[[#This Row],[Month]]&lt;&gt;"",VLOOKUP(Fuel_Blg[[#This Row],[Month]], dropdown!$S$4:$T$15, 2, FALSE),"")</f>
        <v>Q4</v>
      </c>
      <c r="M29" s="29">
        <v>32.79</v>
      </c>
      <c r="N29" s="17" t="str">
        <f>IF($J29="","",VLOOKUP($J29,dropdown!$P$3:$Q$8,2,FALSE))</f>
        <v>Liters</v>
      </c>
      <c r="O29" s="195" t="s">
        <v>1583</v>
      </c>
      <c r="P29" s="20"/>
    </row>
    <row r="30" spans="2:16" x14ac:dyDescent="0.2">
      <c r="I30" s="194">
        <f t="shared" si="1"/>
        <v>24</v>
      </c>
      <c r="J30" s="57" t="s">
        <v>37</v>
      </c>
      <c r="K30" s="58" t="s">
        <v>407</v>
      </c>
      <c r="L30" s="18" t="str">
        <f>IF(Fuel_Blg[[#This Row],[Month]]&lt;&gt;"",VLOOKUP(Fuel_Blg[[#This Row],[Month]], dropdown!$S$4:$T$15, 2, FALSE),"")</f>
        <v>Q4</v>
      </c>
      <c r="M30" s="29">
        <v>15</v>
      </c>
      <c r="N30" s="17" t="str">
        <f>IF($J30="","",VLOOKUP($J30,dropdown!$P$3:$Q$8,2,FALSE))</f>
        <v>Liters</v>
      </c>
      <c r="O30" s="195" t="s">
        <v>1584</v>
      </c>
      <c r="P30" s="20"/>
    </row>
    <row r="31" spans="2:16" x14ac:dyDescent="0.2">
      <c r="P31" s="20"/>
    </row>
    <row r="32" spans="2:16" x14ac:dyDescent="0.2">
      <c r="I32" s="322" t="s">
        <v>178</v>
      </c>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30 O6:O30 J6:K30"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J7:J30</xm:sqref>
        </x14:dataValidation>
        <x14:dataValidation type="list" allowBlank="1" showInputMessage="1" showErrorMessage="1" xr:uid="{3A41C1D1-FB7A-9447-9EAB-0BFDEC48FE4C}">
          <x14:formula1>
            <xm:f>dropdown!$S$4:$S$15</xm:f>
          </x14:formula1>
          <xm:sqref>K7:K30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C14" zoomScaleNormal="100" workbookViewId="0">
      <selection activeCell="R20" sqref="R20"/>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Dagupan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t="s">
        <v>1435</v>
      </c>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1">
        <v>45910</v>
      </c>
      <c r="D7" s="448"/>
      <c r="E7" s="448"/>
      <c r="F7" s="448"/>
      <c r="G7" s="449"/>
      <c r="I7" s="194">
        <f>IF($J7="","",1)</f>
        <v>1</v>
      </c>
      <c r="J7" s="57" t="s">
        <v>343</v>
      </c>
      <c r="K7" s="57" t="s">
        <v>63</v>
      </c>
      <c r="L7" s="58" t="s">
        <v>338</v>
      </c>
      <c r="M7" s="18" t="str">
        <f>IF(Fuel_Veh[[#This Row],[Month]]&lt;&gt;"",VLOOKUP(Fuel_Veh[[#This Row],[Month]], dropdown!$S$4:$T$15, 2, FALSE),"")</f>
        <v>Q1</v>
      </c>
      <c r="N7" s="29">
        <v>829.43</v>
      </c>
      <c r="O7" s="17" t="str">
        <f>IF($K7="","",VLOOKUP($K7,dropdown!$P$14:$Q$18,2,FALSE))</f>
        <v>Liters</v>
      </c>
      <c r="P7" s="29">
        <v>3045</v>
      </c>
      <c r="Q7" s="17" t="str">
        <f t="shared" ref="Q7:Q70" si="0">IF($P7="","","Kilometers")</f>
        <v>Kilometers</v>
      </c>
      <c r="R7" s="195" t="s">
        <v>1451</v>
      </c>
    </row>
    <row r="8" spans="2:18" x14ac:dyDescent="0.2">
      <c r="I8" s="194">
        <f>IF($J8="","",$I7+1)</f>
        <v>2</v>
      </c>
      <c r="J8" s="57" t="s">
        <v>343</v>
      </c>
      <c r="K8" s="57" t="s">
        <v>63</v>
      </c>
      <c r="L8" s="58" t="s">
        <v>338</v>
      </c>
      <c r="M8" s="18" t="str">
        <f>IF(Fuel_Veh[[#This Row],[Month]]&lt;&gt;"",VLOOKUP(Fuel_Veh[[#This Row],[Month]], dropdown!$S$4:$T$15, 2, FALSE),"")</f>
        <v>Q1</v>
      </c>
      <c r="N8" s="29">
        <v>82.26</v>
      </c>
      <c r="O8" s="17"/>
      <c r="P8" s="29">
        <v>442</v>
      </c>
      <c r="Q8" s="17" t="str">
        <f t="shared" si="0"/>
        <v>Kilometers</v>
      </c>
      <c r="R8" s="195">
        <v>131210</v>
      </c>
    </row>
    <row r="9" spans="2:18" x14ac:dyDescent="0.2">
      <c r="B9" s="14" t="s">
        <v>33</v>
      </c>
      <c r="C9" s="14"/>
      <c r="D9" s="14"/>
      <c r="E9" s="14"/>
      <c r="F9" s="14"/>
      <c r="G9" s="14"/>
      <c r="I9" s="194">
        <f>IF($J9="","",$I8+1)</f>
        <v>3</v>
      </c>
      <c r="J9" s="57" t="s">
        <v>381</v>
      </c>
      <c r="K9" s="57" t="s">
        <v>63</v>
      </c>
      <c r="L9" s="58" t="s">
        <v>338</v>
      </c>
      <c r="M9" s="18" t="str">
        <f>IF(Fuel_Veh[[#This Row],[Month]]&lt;&gt;"",VLOOKUP(Fuel_Veh[[#This Row],[Month]], dropdown!$S$4:$T$15, 2, FALSE),"")</f>
        <v>Q1</v>
      </c>
      <c r="N9" s="29">
        <v>67.819999999999993</v>
      </c>
      <c r="O9" s="17" t="str">
        <f>IF($K9="","",VLOOKUP($K9,dropdown!$P$14:$Q$18,2,FALSE))</f>
        <v>Liters</v>
      </c>
      <c r="P9" s="29">
        <v>745</v>
      </c>
      <c r="Q9" s="17" t="str">
        <f t="shared" si="0"/>
        <v>Kilometers</v>
      </c>
      <c r="R9" s="195" t="s">
        <v>1452</v>
      </c>
    </row>
    <row r="10" spans="2:18" x14ac:dyDescent="0.2">
      <c r="B10" s="13" t="s">
        <v>35</v>
      </c>
      <c r="C10" s="13" t="s">
        <v>51</v>
      </c>
      <c r="D10" s="40" t="s">
        <v>45</v>
      </c>
      <c r="E10" s="40" t="s">
        <v>149</v>
      </c>
      <c r="F10" s="40" t="s">
        <v>150</v>
      </c>
      <c r="G10" s="40" t="s">
        <v>151</v>
      </c>
      <c r="I10" s="194">
        <f>IF($J10="","",$I9+1)</f>
        <v>4</v>
      </c>
      <c r="J10" s="57" t="s">
        <v>365</v>
      </c>
      <c r="K10" s="57" t="s">
        <v>63</v>
      </c>
      <c r="L10" s="58" t="s">
        <v>338</v>
      </c>
      <c r="M10" s="18" t="str">
        <f>IF(Fuel_Veh[[#This Row],[Month]]&lt;&gt;"",VLOOKUP(Fuel_Veh[[#This Row],[Month]], dropdown!$S$4:$T$15, 2, FALSE),"")</f>
        <v>Q1</v>
      </c>
      <c r="N10" s="29">
        <v>60.04</v>
      </c>
      <c r="O10" s="17" t="str">
        <f>IF($K10="","",VLOOKUP($K10,dropdown!$P$14:$Q$18,2,FALSE))</f>
        <v>Liters</v>
      </c>
      <c r="P10" s="29">
        <v>712</v>
      </c>
      <c r="Q10" s="17" t="str">
        <f t="shared" si="0"/>
        <v>Kilometers</v>
      </c>
      <c r="R10" s="195" t="s">
        <v>1453</v>
      </c>
    </row>
    <row r="11" spans="2:18" x14ac:dyDescent="0.2">
      <c r="B11" s="17" t="str">
        <f>dropdown!$P15</f>
        <v>Diesel - Transport vehicles</v>
      </c>
      <c r="C11" s="17" t="str">
        <f>dropdown!$Q15</f>
        <v>Liters</v>
      </c>
      <c r="D11" s="41">
        <f>SUMIFS(Fuel_Veh[Consumption],Fuel_Veh[Quarter],D$10,Fuel_Veh[Fuel Type],$B$11)</f>
        <v>1823.31</v>
      </c>
      <c r="E11" s="41">
        <f>SUMIFS(Fuel_Veh[Consumption],Fuel_Veh[Quarter],E$10,Fuel_Veh[Fuel Type],$B$11)</f>
        <v>1135.74</v>
      </c>
      <c r="F11" s="41">
        <f>SUMIFS(Fuel_Veh[Consumption],Fuel_Veh[Quarter],F$10,Fuel_Veh[Fuel Type],$B$11)</f>
        <v>1057.58</v>
      </c>
      <c r="G11" s="41">
        <f>SUMIFS(Fuel_Veh[Consumption],Fuel_Veh[Quarter],G$10,Fuel_Veh[Fuel Type],$B$11)</f>
        <v>3330.58</v>
      </c>
      <c r="I11" s="194">
        <f>IF($J11="","",$I10+1)</f>
        <v>5</v>
      </c>
      <c r="J11" s="57" t="s">
        <v>381</v>
      </c>
      <c r="K11" s="57" t="s">
        <v>63</v>
      </c>
      <c r="L11" s="58" t="s">
        <v>89</v>
      </c>
      <c r="M11" s="18" t="str">
        <f>IF(Fuel_Veh[[#This Row],[Month]]&lt;&gt;"",VLOOKUP(Fuel_Veh[[#This Row],[Month]], dropdown!$S$4:$T$15, 2, FALSE),"")</f>
        <v>Q1</v>
      </c>
      <c r="N11" s="29">
        <v>51.45</v>
      </c>
      <c r="O11" s="17" t="str">
        <f>IF($K11="","",VLOOKUP($K11,dropdown!$P$14:$Q$18,2,FALSE))</f>
        <v>Liters</v>
      </c>
      <c r="P11" s="29">
        <v>867</v>
      </c>
      <c r="Q11" s="17" t="str">
        <f t="shared" si="0"/>
        <v>Kilometers</v>
      </c>
      <c r="R11" s="195" t="s">
        <v>1452</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89</v>
      </c>
      <c r="M12" s="18" t="str">
        <f>IF(Fuel_Veh[[#This Row],[Month]]&lt;&gt;"",VLOOKUP(Fuel_Veh[[#This Row],[Month]], dropdown!$S$4:$T$15, 2, FALSE),"")</f>
        <v>Q1</v>
      </c>
      <c r="N12" s="29">
        <v>122.83</v>
      </c>
      <c r="O12" s="17" t="str">
        <f>IF($K12="","",VLOOKUP($K12,dropdown!$P$14:$Q$18,2,FALSE))</f>
        <v>Liters</v>
      </c>
      <c r="P12" s="29">
        <v>1425</v>
      </c>
      <c r="Q12" s="17" t="str">
        <f t="shared" si="0"/>
        <v>Kilometers</v>
      </c>
      <c r="R12" s="195" t="s">
        <v>1453</v>
      </c>
    </row>
    <row r="13" spans="2:18" ht="14" customHeight="1" x14ac:dyDescent="0.2">
      <c r="I13" s="194">
        <f t="shared" si="1"/>
        <v>7</v>
      </c>
      <c r="J13" s="57" t="s">
        <v>343</v>
      </c>
      <c r="K13" s="57" t="s">
        <v>63</v>
      </c>
      <c r="L13" s="58" t="s">
        <v>362</v>
      </c>
      <c r="M13" s="18" t="str">
        <f>IF(Fuel_Veh[[#This Row],[Month]]&lt;&gt;"",VLOOKUP(Fuel_Veh[[#This Row],[Month]], dropdown!$S$4:$T$15, 2, FALSE),"")</f>
        <v>Q1</v>
      </c>
      <c r="N13" s="29">
        <v>283.08</v>
      </c>
      <c r="O13" s="17" t="str">
        <f>IF($K13="","",VLOOKUP($K13,dropdown!$P$14:$Q$18,2,FALSE))</f>
        <v>Liters</v>
      </c>
      <c r="P13" s="29">
        <v>860</v>
      </c>
      <c r="Q13" s="17" t="str">
        <f t="shared" si="0"/>
        <v>Kilometers</v>
      </c>
      <c r="R13" s="195" t="s">
        <v>1451</v>
      </c>
    </row>
    <row r="14" spans="2:18" x14ac:dyDescent="0.2">
      <c r="B14" s="267" t="s">
        <v>38</v>
      </c>
      <c r="I14" s="194">
        <f t="shared" si="1"/>
        <v>8</v>
      </c>
      <c r="J14" s="57" t="s">
        <v>343</v>
      </c>
      <c r="K14" s="57" t="s">
        <v>63</v>
      </c>
      <c r="L14" s="58" t="s">
        <v>362</v>
      </c>
      <c r="M14" s="18" t="str">
        <f>IF(Fuel_Veh[[#This Row],[Month]]&lt;&gt;"",VLOOKUP(Fuel_Veh[[#This Row],[Month]], dropdown!$S$4:$T$15, 2, FALSE),"")</f>
        <v>Q1</v>
      </c>
      <c r="N14" s="29">
        <v>151.07</v>
      </c>
      <c r="O14" s="17" t="str">
        <f>IF($K14="","",VLOOKUP($K14,dropdown!$P$14:$Q$18,2,FALSE))</f>
        <v>Liters</v>
      </c>
      <c r="P14" s="29">
        <v>844</v>
      </c>
      <c r="Q14" s="17" t="str">
        <f t="shared" si="0"/>
        <v>Kilometers</v>
      </c>
      <c r="R14" s="195">
        <v>131210</v>
      </c>
    </row>
    <row r="15" spans="2:18" x14ac:dyDescent="0.2">
      <c r="B15" s="268" t="s">
        <v>175</v>
      </c>
      <c r="I15" s="194">
        <f t="shared" si="1"/>
        <v>9</v>
      </c>
      <c r="J15" s="57" t="s">
        <v>343</v>
      </c>
      <c r="K15" s="57" t="s">
        <v>63</v>
      </c>
      <c r="L15" s="58" t="s">
        <v>362</v>
      </c>
      <c r="M15" s="18" t="str">
        <f>IF(Fuel_Veh[[#This Row],[Month]]&lt;&gt;"",VLOOKUP(Fuel_Veh[[#This Row],[Month]], dropdown!$S$4:$T$15, 2, FALSE),"")</f>
        <v>Q1</v>
      </c>
      <c r="N15" s="29">
        <v>56.01</v>
      </c>
      <c r="O15" s="17" t="str">
        <f>IF($K15="","",VLOOKUP($K15,dropdown!$P$14:$Q$18,2,FALSE))</f>
        <v>Liters</v>
      </c>
      <c r="P15" s="29">
        <v>22</v>
      </c>
      <c r="Q15" s="17" t="str">
        <f t="shared" si="0"/>
        <v>Kilometers</v>
      </c>
      <c r="R15" s="195" t="s">
        <v>1454</v>
      </c>
    </row>
    <row r="16" spans="2:18" x14ac:dyDescent="0.2">
      <c r="B16" s="266" t="s">
        <v>176</v>
      </c>
      <c r="I16" s="194">
        <f t="shared" si="1"/>
        <v>10</v>
      </c>
      <c r="J16" s="57" t="s">
        <v>381</v>
      </c>
      <c r="K16" s="57" t="s">
        <v>63</v>
      </c>
      <c r="L16" s="58" t="s">
        <v>362</v>
      </c>
      <c r="M16" s="18" t="str">
        <f>IF(Fuel_Veh[[#This Row],[Month]]&lt;&gt;"",VLOOKUP(Fuel_Veh[[#This Row],[Month]], dropdown!$S$4:$T$15, 2, FALSE),"")</f>
        <v>Q1</v>
      </c>
      <c r="N16" s="29">
        <v>34.94</v>
      </c>
      <c r="O16" s="17" t="str">
        <f>IF($K16="","",VLOOKUP($K16,dropdown!$P$14:$Q$18,2,FALSE))</f>
        <v>Liters</v>
      </c>
      <c r="P16" s="29">
        <v>376</v>
      </c>
      <c r="Q16" s="17" t="str">
        <f t="shared" si="0"/>
        <v>Kilometers</v>
      </c>
      <c r="R16" s="195" t="s">
        <v>1452</v>
      </c>
    </row>
    <row r="17" spans="2:18" x14ac:dyDescent="0.2">
      <c r="B17" s="17" t="s">
        <v>177</v>
      </c>
      <c r="I17" s="194">
        <f t="shared" si="1"/>
        <v>11</v>
      </c>
      <c r="J17" s="57" t="s">
        <v>365</v>
      </c>
      <c r="K17" s="57" t="s">
        <v>63</v>
      </c>
      <c r="L17" s="58" t="s">
        <v>362</v>
      </c>
      <c r="M17" s="18" t="str">
        <f>IF(Fuel_Veh[[#This Row],[Month]]&lt;&gt;"",VLOOKUP(Fuel_Veh[[#This Row],[Month]], dropdown!$S$4:$T$15, 2, FALSE),"")</f>
        <v>Q1</v>
      </c>
      <c r="N17" s="29">
        <v>84.38</v>
      </c>
      <c r="O17" s="17" t="str">
        <f>IF($K17="","",VLOOKUP($K17,dropdown!$P$14:$Q$18,2,FALSE))</f>
        <v>Liters</v>
      </c>
      <c r="P17" s="29">
        <v>1108</v>
      </c>
      <c r="Q17" s="17" t="str">
        <f t="shared" si="0"/>
        <v>Kilometers</v>
      </c>
      <c r="R17" s="195" t="s">
        <v>1453</v>
      </c>
    </row>
    <row r="18" spans="2:18" x14ac:dyDescent="0.2">
      <c r="I18" s="194">
        <f t="shared" si="1"/>
        <v>12</v>
      </c>
      <c r="J18" s="57" t="s">
        <v>381</v>
      </c>
      <c r="K18" s="57" t="s">
        <v>63</v>
      </c>
      <c r="L18" s="58" t="s">
        <v>371</v>
      </c>
      <c r="M18" s="18" t="str">
        <f>IF(Fuel_Veh[[#This Row],[Month]]&lt;&gt;"",VLOOKUP(Fuel_Veh[[#This Row],[Month]], dropdown!$S$4:$T$15, 2, FALSE),"")</f>
        <v>Q2</v>
      </c>
      <c r="N18" s="29">
        <v>147.88</v>
      </c>
      <c r="O18" s="17" t="str">
        <f>IF($K18="","",VLOOKUP($K18,dropdown!$P$14:$Q$18,2,FALSE))</f>
        <v>Liters</v>
      </c>
      <c r="P18" s="29">
        <v>1255</v>
      </c>
      <c r="Q18" s="17" t="str">
        <f t="shared" si="0"/>
        <v>Kilometers</v>
      </c>
      <c r="R18" s="195" t="s">
        <v>1452</v>
      </c>
    </row>
    <row r="19" spans="2:18" x14ac:dyDescent="0.2">
      <c r="I19" s="194">
        <f t="shared" si="1"/>
        <v>13</v>
      </c>
      <c r="J19" s="57" t="s">
        <v>365</v>
      </c>
      <c r="K19" s="57" t="s">
        <v>63</v>
      </c>
      <c r="L19" s="58" t="s">
        <v>371</v>
      </c>
      <c r="M19" s="18" t="str">
        <f>IF(Fuel_Veh[[#This Row],[Month]]&lt;&gt;"",VLOOKUP(Fuel_Veh[[#This Row],[Month]], dropdown!$S$4:$T$15, 2, FALSE),"")</f>
        <v>Q2</v>
      </c>
      <c r="N19" s="29">
        <v>94.01</v>
      </c>
      <c r="O19" s="17" t="str">
        <f>IF($K19="","",VLOOKUP($K19,dropdown!$P$14:$Q$18,2,FALSE))</f>
        <v>Liters</v>
      </c>
      <c r="P19" s="29">
        <v>1301</v>
      </c>
      <c r="Q19" s="17" t="str">
        <f t="shared" si="0"/>
        <v>Kilometers</v>
      </c>
      <c r="R19" s="195" t="s">
        <v>1453</v>
      </c>
    </row>
    <row r="20" spans="2:18" x14ac:dyDescent="0.2">
      <c r="I20" s="194">
        <f t="shared" si="1"/>
        <v>14</v>
      </c>
      <c r="J20" s="57" t="s">
        <v>343</v>
      </c>
      <c r="K20" s="57" t="s">
        <v>63</v>
      </c>
      <c r="L20" s="58" t="s">
        <v>379</v>
      </c>
      <c r="M20" s="18" t="str">
        <f>IF(Fuel_Veh[[#This Row],[Month]]&lt;&gt;"",VLOOKUP(Fuel_Veh[[#This Row],[Month]], dropdown!$S$4:$T$15, 2, FALSE),"")</f>
        <v>Q2</v>
      </c>
      <c r="N20" s="29">
        <v>201.68</v>
      </c>
      <c r="O20" s="17" t="str">
        <f>IF($K20="","",VLOOKUP($K20,dropdown!$P$14:$Q$18,2,FALSE))</f>
        <v>Liters</v>
      </c>
      <c r="P20" s="29">
        <v>789</v>
      </c>
      <c r="Q20" s="17" t="str">
        <f t="shared" si="0"/>
        <v>Kilometers</v>
      </c>
      <c r="R20" s="195">
        <v>131210</v>
      </c>
    </row>
    <row r="21" spans="2:18" x14ac:dyDescent="0.2">
      <c r="I21" s="194">
        <f t="shared" si="1"/>
        <v>15</v>
      </c>
      <c r="J21" s="57" t="s">
        <v>381</v>
      </c>
      <c r="K21" s="57" t="s">
        <v>63</v>
      </c>
      <c r="L21" s="58" t="s">
        <v>379</v>
      </c>
      <c r="M21" s="18" t="str">
        <f>IF(Fuel_Veh[[#This Row],[Month]]&lt;&gt;"",VLOOKUP(Fuel_Veh[[#This Row],[Month]], dropdown!$S$4:$T$15, 2, FALSE),"")</f>
        <v>Q2</v>
      </c>
      <c r="N21" s="29">
        <v>27.86</v>
      </c>
      <c r="O21" s="17" t="str">
        <f>IF($K21="","",VLOOKUP($K21,dropdown!$P$14:$Q$18,2,FALSE))</f>
        <v>Liters</v>
      </c>
      <c r="P21" s="29">
        <v>183</v>
      </c>
      <c r="Q21" s="17" t="str">
        <f t="shared" si="0"/>
        <v>Kilometers</v>
      </c>
      <c r="R21" s="195" t="s">
        <v>1452</v>
      </c>
    </row>
    <row r="22" spans="2:18" x14ac:dyDescent="0.2">
      <c r="I22" s="194">
        <f t="shared" si="1"/>
        <v>16</v>
      </c>
      <c r="J22" s="57" t="s">
        <v>365</v>
      </c>
      <c r="K22" s="57" t="s">
        <v>63</v>
      </c>
      <c r="L22" s="58" t="s">
        <v>379</v>
      </c>
      <c r="M22" s="18" t="str">
        <f>IF(Fuel_Veh[[#This Row],[Month]]&lt;&gt;"",VLOOKUP(Fuel_Veh[[#This Row],[Month]], dropdown!$S$4:$T$15, 2, FALSE),"")</f>
        <v>Q2</v>
      </c>
      <c r="N22" s="29">
        <v>94.01</v>
      </c>
      <c r="O22" s="17" t="str">
        <f>IF($K22="","",VLOOKUP($K22,dropdown!$P$14:$Q$18,2,FALSE))</f>
        <v>Liters</v>
      </c>
      <c r="P22" s="29">
        <v>828</v>
      </c>
      <c r="Q22" s="17" t="str">
        <f t="shared" si="0"/>
        <v>Kilometers</v>
      </c>
      <c r="R22" s="195" t="s">
        <v>1453</v>
      </c>
    </row>
    <row r="23" spans="2:18" x14ac:dyDescent="0.2">
      <c r="I23" s="194">
        <f t="shared" si="1"/>
        <v>17</v>
      </c>
      <c r="J23" s="57" t="s">
        <v>343</v>
      </c>
      <c r="K23" s="57" t="s">
        <v>63</v>
      </c>
      <c r="L23" s="58" t="s">
        <v>386</v>
      </c>
      <c r="M23" s="18" t="str">
        <f>IF(Fuel_Veh[[#This Row],[Month]]&lt;&gt;"",VLOOKUP(Fuel_Veh[[#This Row],[Month]], dropdown!$S$4:$T$15, 2, FALSE),"")</f>
        <v>Q2</v>
      </c>
      <c r="N23" s="29">
        <v>212.06</v>
      </c>
      <c r="O23" s="17" t="str">
        <f>IF($K23="","",VLOOKUP($K23,dropdown!$P$14:$Q$18,2,FALSE))</f>
        <v>Liters</v>
      </c>
      <c r="P23" s="29">
        <v>479</v>
      </c>
      <c r="Q23" s="17" t="str">
        <f t="shared" si="0"/>
        <v>Kilometers</v>
      </c>
      <c r="R23" s="195" t="s">
        <v>1451</v>
      </c>
    </row>
    <row r="24" spans="2:18" x14ac:dyDescent="0.2">
      <c r="I24" s="194">
        <f t="shared" si="1"/>
        <v>18</v>
      </c>
      <c r="J24" s="57" t="s">
        <v>343</v>
      </c>
      <c r="K24" s="57" t="s">
        <v>63</v>
      </c>
      <c r="L24" s="58" t="s">
        <v>386</v>
      </c>
      <c r="M24" s="18" t="str">
        <f>IF(Fuel_Veh[[#This Row],[Month]]&lt;&gt;"",VLOOKUP(Fuel_Veh[[#This Row],[Month]], dropdown!$S$4:$T$15, 2, FALSE),"")</f>
        <v>Q2</v>
      </c>
      <c r="N24" s="29">
        <v>254.47</v>
      </c>
      <c r="O24" s="17" t="str">
        <f>IF($K24="","",VLOOKUP($K24,dropdown!$P$14:$Q$18,2,FALSE))</f>
        <v>Liters</v>
      </c>
      <c r="P24" s="29">
        <v>1115</v>
      </c>
      <c r="Q24" s="17" t="str">
        <f t="shared" si="0"/>
        <v>Kilometers</v>
      </c>
      <c r="R24" s="195">
        <v>131210</v>
      </c>
    </row>
    <row r="25" spans="2:18" x14ac:dyDescent="0.2">
      <c r="I25" s="194">
        <f t="shared" si="1"/>
        <v>19</v>
      </c>
      <c r="J25" s="57" t="s">
        <v>381</v>
      </c>
      <c r="K25" s="57" t="s">
        <v>63</v>
      </c>
      <c r="L25" s="58" t="s">
        <v>386</v>
      </c>
      <c r="M25" s="18" t="str">
        <f>IF(Fuel_Veh[[#This Row],[Month]]&lt;&gt;"",VLOOKUP(Fuel_Veh[[#This Row],[Month]], dropdown!$S$4:$T$15, 2, FALSE),"")</f>
        <v>Q2</v>
      </c>
      <c r="N25" s="29">
        <v>48.05</v>
      </c>
      <c r="O25" s="17" t="str">
        <f>IF($K25="","",VLOOKUP($K25,dropdown!$P$14:$Q$18,2,FALSE))</f>
        <v>Liters</v>
      </c>
      <c r="P25" s="29">
        <v>599</v>
      </c>
      <c r="Q25" s="17" t="str">
        <f t="shared" si="0"/>
        <v>Kilometers</v>
      </c>
      <c r="R25" s="195" t="s">
        <v>1452</v>
      </c>
    </row>
    <row r="26" spans="2:18" x14ac:dyDescent="0.2">
      <c r="I26" s="194">
        <f t="shared" si="1"/>
        <v>20</v>
      </c>
      <c r="J26" s="57" t="s">
        <v>365</v>
      </c>
      <c r="K26" s="57" t="s">
        <v>63</v>
      </c>
      <c r="L26" s="196" t="s">
        <v>386</v>
      </c>
      <c r="M26" s="18" t="str">
        <f>IF(Fuel_Veh[[#This Row],[Month]]&lt;&gt;"",VLOOKUP(Fuel_Veh[[#This Row],[Month]], dropdown!$S$4:$T$15, 2, FALSE),"")</f>
        <v>Q2</v>
      </c>
      <c r="N26" s="197">
        <v>55.72</v>
      </c>
      <c r="O26" s="198" t="str">
        <f>IF($K26="","",VLOOKUP($K26,dropdown!$P$14:$Q$18,2,FALSE))</f>
        <v>Liters</v>
      </c>
      <c r="P26" s="197">
        <v>383</v>
      </c>
      <c r="Q26" s="17" t="str">
        <f t="shared" si="0"/>
        <v>Kilometers</v>
      </c>
      <c r="R26" s="199" t="s">
        <v>1453</v>
      </c>
    </row>
    <row r="27" spans="2:18" x14ac:dyDescent="0.2">
      <c r="I27" s="194">
        <f t="shared" si="1"/>
        <v>21</v>
      </c>
      <c r="J27" s="57" t="s">
        <v>381</v>
      </c>
      <c r="K27" s="57" t="s">
        <v>63</v>
      </c>
      <c r="L27" s="58" t="s">
        <v>390</v>
      </c>
      <c r="M27" s="18" t="str">
        <f>IF(Fuel_Veh[[#This Row],[Month]]&lt;&gt;"",VLOOKUP(Fuel_Veh[[#This Row],[Month]], dropdown!$S$4:$T$15, 2, FALSE),"")</f>
        <v>Q3</v>
      </c>
      <c r="N27" s="29">
        <v>173.61</v>
      </c>
      <c r="O27" s="17" t="str">
        <f>IF($K27="","",VLOOKUP($K27,dropdown!$P$14:$Q$18,2,FALSE))</f>
        <v>Liters</v>
      </c>
      <c r="P27" s="29">
        <v>1834</v>
      </c>
      <c r="Q27" s="17" t="str">
        <f t="shared" si="0"/>
        <v>Kilometers</v>
      </c>
      <c r="R27" s="195" t="s">
        <v>1452</v>
      </c>
    </row>
    <row r="28" spans="2:18" x14ac:dyDescent="0.2">
      <c r="I28" s="194">
        <f t="shared" si="1"/>
        <v>22</v>
      </c>
      <c r="J28" s="57" t="s">
        <v>365</v>
      </c>
      <c r="K28" s="57" t="s">
        <v>63</v>
      </c>
      <c r="L28" s="58" t="s">
        <v>390</v>
      </c>
      <c r="M28" s="18" t="str">
        <f>IF(Fuel_Veh[[#This Row],[Month]]&lt;&gt;"",VLOOKUP(Fuel_Veh[[#This Row],[Month]], dropdown!$S$4:$T$15, 2, FALSE),"")</f>
        <v>Q3</v>
      </c>
      <c r="N28" s="29">
        <v>179.26</v>
      </c>
      <c r="O28" s="17" t="str">
        <f>IF($K28="","",VLOOKUP($K28,dropdown!$P$14:$Q$18,2,FALSE))</f>
        <v>Liters</v>
      </c>
      <c r="P28" s="29">
        <v>2747</v>
      </c>
      <c r="Q28" s="17" t="str">
        <f t="shared" si="0"/>
        <v>Kilometers</v>
      </c>
      <c r="R28" s="195" t="s">
        <v>1453</v>
      </c>
    </row>
    <row r="29" spans="2:18" x14ac:dyDescent="0.2">
      <c r="I29" s="194">
        <f t="shared" si="1"/>
        <v>23</v>
      </c>
      <c r="J29" s="57" t="s">
        <v>381</v>
      </c>
      <c r="K29" s="57" t="s">
        <v>63</v>
      </c>
      <c r="L29" s="58" t="s">
        <v>41</v>
      </c>
      <c r="M29" s="18" t="str">
        <f>IF(Fuel_Veh[[#This Row],[Month]]&lt;&gt;"",VLOOKUP(Fuel_Veh[[#This Row],[Month]], dropdown!$S$4:$T$15, 2, FALSE),"")</f>
        <v>Q3</v>
      </c>
      <c r="N29" s="29">
        <v>223.29</v>
      </c>
      <c r="O29" s="17" t="str">
        <f>IF($K29="","",VLOOKUP($K29,dropdown!$P$14:$Q$18,2,FALSE))</f>
        <v>Liters</v>
      </c>
      <c r="P29" s="29">
        <v>2279</v>
      </c>
      <c r="Q29" s="17" t="str">
        <f t="shared" si="0"/>
        <v>Kilometers</v>
      </c>
      <c r="R29" s="195" t="s">
        <v>1452</v>
      </c>
    </row>
    <row r="30" spans="2:18" x14ac:dyDescent="0.2">
      <c r="I30" s="194">
        <f t="shared" si="1"/>
        <v>24</v>
      </c>
      <c r="J30" s="57" t="s">
        <v>365</v>
      </c>
      <c r="K30" s="345" t="s">
        <v>63</v>
      </c>
      <c r="L30" s="196" t="s">
        <v>41</v>
      </c>
      <c r="M30" s="18" t="str">
        <f>IF(Fuel_Veh[[#This Row],[Month]]&lt;&gt;"",VLOOKUP(Fuel_Veh[[#This Row],[Month]], dropdown!$S$4:$T$15, 2, FALSE),"")</f>
        <v>Q3</v>
      </c>
      <c r="N30" s="197">
        <v>230.4</v>
      </c>
      <c r="O30" s="198" t="str">
        <f>IF($K30="","",VLOOKUP($K30,dropdown!$P$14:$Q$18,2,FALSE))</f>
        <v>Liters</v>
      </c>
      <c r="P30" s="197">
        <v>2625</v>
      </c>
      <c r="Q30" s="17" t="str">
        <f t="shared" si="0"/>
        <v>Kilometers</v>
      </c>
      <c r="R30" s="199" t="s">
        <v>1453</v>
      </c>
    </row>
    <row r="31" spans="2:18" x14ac:dyDescent="0.2">
      <c r="I31" s="194">
        <f t="shared" si="1"/>
        <v>25</v>
      </c>
      <c r="J31" s="57" t="s">
        <v>381</v>
      </c>
      <c r="K31" s="57" t="s">
        <v>63</v>
      </c>
      <c r="L31" s="58" t="s">
        <v>397</v>
      </c>
      <c r="M31" s="18" t="str">
        <f>IF(Fuel_Veh[[#This Row],[Month]]&lt;&gt;"",VLOOKUP(Fuel_Veh[[#This Row],[Month]], dropdown!$S$4:$T$15, 2, FALSE),"")</f>
        <v>Q3</v>
      </c>
      <c r="N31" s="29">
        <v>88</v>
      </c>
      <c r="O31" s="17" t="str">
        <f>IF($K31="","",VLOOKUP($K31,dropdown!$P$14:$Q$18,2,FALSE))</f>
        <v>Liters</v>
      </c>
      <c r="P31" s="29">
        <v>821</v>
      </c>
      <c r="Q31" s="17" t="str">
        <f t="shared" si="0"/>
        <v>Kilometers</v>
      </c>
      <c r="R31" s="199" t="s">
        <v>1452</v>
      </c>
    </row>
    <row r="32" spans="2:18" x14ac:dyDescent="0.2">
      <c r="I32" s="194">
        <f t="shared" si="1"/>
        <v>26</v>
      </c>
      <c r="J32" s="57" t="s">
        <v>365</v>
      </c>
      <c r="K32" s="57" t="s">
        <v>63</v>
      </c>
      <c r="L32" s="58" t="s">
        <v>397</v>
      </c>
      <c r="M32" s="18" t="str">
        <f>IF(Fuel_Veh[[#This Row],[Month]]&lt;&gt;"",VLOOKUP(Fuel_Veh[[#This Row],[Month]], dropdown!$S$4:$T$15, 2, FALSE),"")</f>
        <v>Q3</v>
      </c>
      <c r="N32" s="29">
        <v>163.02000000000001</v>
      </c>
      <c r="O32" s="17" t="str">
        <f>IF($K32="","",VLOOKUP($K32,dropdown!$P$14:$Q$18,2,FALSE))</f>
        <v>Liters</v>
      </c>
      <c r="P32" s="29">
        <v>2399</v>
      </c>
      <c r="Q32" s="17" t="str">
        <f t="shared" si="0"/>
        <v>Kilometers</v>
      </c>
      <c r="R32" s="199" t="s">
        <v>1453</v>
      </c>
    </row>
    <row r="33" spans="9:18" x14ac:dyDescent="0.2">
      <c r="I33" s="194">
        <f t="shared" si="1"/>
        <v>27</v>
      </c>
      <c r="J33" s="57" t="s">
        <v>343</v>
      </c>
      <c r="K33" s="57" t="s">
        <v>63</v>
      </c>
      <c r="L33" s="58" t="s">
        <v>400</v>
      </c>
      <c r="M33" s="18" t="str">
        <f>IF(Fuel_Veh[[#This Row],[Month]]&lt;&gt;"",VLOOKUP(Fuel_Veh[[#This Row],[Month]], dropdown!$S$4:$T$15, 2, FALSE),"")</f>
        <v>Q4</v>
      </c>
      <c r="N33" s="29">
        <v>165.01</v>
      </c>
      <c r="O33" s="17" t="str">
        <f>IF($K33="","",VLOOKUP($K33,dropdown!$P$14:$Q$18,2,FALSE))</f>
        <v>Liters</v>
      </c>
      <c r="P33" s="29">
        <v>322</v>
      </c>
      <c r="Q33" s="17" t="str">
        <f t="shared" si="0"/>
        <v>Kilometers</v>
      </c>
      <c r="R33" s="199" t="s">
        <v>1451</v>
      </c>
    </row>
    <row r="34" spans="9:18" x14ac:dyDescent="0.2">
      <c r="I34" s="194">
        <f t="shared" si="1"/>
        <v>28</v>
      </c>
      <c r="J34" s="57" t="s">
        <v>343</v>
      </c>
      <c r="K34" s="57" t="s">
        <v>63</v>
      </c>
      <c r="L34" s="58" t="s">
        <v>400</v>
      </c>
      <c r="M34" s="18" t="str">
        <f>IF(Fuel_Veh[[#This Row],[Month]]&lt;&gt;"",VLOOKUP(Fuel_Veh[[#This Row],[Month]], dropdown!$S$4:$T$15, 2, FALSE),"")</f>
        <v>Q4</v>
      </c>
      <c r="N34" s="29">
        <v>160.05000000000001</v>
      </c>
      <c r="O34" s="17" t="str">
        <f>IF($K34="","",VLOOKUP($K34,dropdown!$P$14:$Q$18,2,FALSE))</f>
        <v>Liters</v>
      </c>
      <c r="P34" s="29">
        <v>322</v>
      </c>
      <c r="Q34" s="17" t="str">
        <f t="shared" si="0"/>
        <v>Kilometers</v>
      </c>
      <c r="R34" s="199">
        <v>131210</v>
      </c>
    </row>
    <row r="35" spans="9:18" x14ac:dyDescent="0.2">
      <c r="I35" s="194">
        <f t="shared" si="1"/>
        <v>29</v>
      </c>
      <c r="J35" s="57" t="s">
        <v>381</v>
      </c>
      <c r="K35" s="57" t="s">
        <v>63</v>
      </c>
      <c r="L35" s="58" t="s">
        <v>400</v>
      </c>
      <c r="M35" s="18" t="str">
        <f>IF(Fuel_Veh[[#This Row],[Month]]&lt;&gt;"",VLOOKUP(Fuel_Veh[[#This Row],[Month]], dropdown!$S$4:$T$15, 2, FALSE),"")</f>
        <v>Q4</v>
      </c>
      <c r="N35" s="29">
        <v>73.39</v>
      </c>
      <c r="O35" s="17" t="str">
        <f>IF($K35="","",VLOOKUP($K35,dropdown!$P$14:$Q$18,2,FALSE))</f>
        <v>Liters</v>
      </c>
      <c r="P35" s="29">
        <v>622</v>
      </c>
      <c r="Q35" s="17" t="str">
        <f t="shared" si="0"/>
        <v>Kilometers</v>
      </c>
      <c r="R35" s="199" t="s">
        <v>1452</v>
      </c>
    </row>
    <row r="36" spans="9:18" x14ac:dyDescent="0.2">
      <c r="I36" s="194">
        <f t="shared" si="1"/>
        <v>30</v>
      </c>
      <c r="J36" s="57" t="s">
        <v>365</v>
      </c>
      <c r="K36" s="57" t="s">
        <v>63</v>
      </c>
      <c r="L36" s="58" t="s">
        <v>400</v>
      </c>
      <c r="M36" s="18" t="str">
        <f>IF(Fuel_Veh[[#This Row],[Month]]&lt;&gt;"",VLOOKUP(Fuel_Veh[[#This Row],[Month]], dropdown!$S$4:$T$15, 2, FALSE),"")</f>
        <v>Q4</v>
      </c>
      <c r="N36" s="29">
        <v>137.30000000000001</v>
      </c>
      <c r="O36" s="17" t="str">
        <f>IF($K36="","",VLOOKUP($K36,dropdown!$P$14:$Q$18,2,FALSE))</f>
        <v>Liters</v>
      </c>
      <c r="P36" s="29">
        <v>1730</v>
      </c>
      <c r="Q36" s="17" t="str">
        <f t="shared" si="0"/>
        <v>Kilometers</v>
      </c>
      <c r="R36" s="199" t="s">
        <v>1453</v>
      </c>
    </row>
    <row r="37" spans="9:18" x14ac:dyDescent="0.2">
      <c r="I37" s="194">
        <f t="shared" si="1"/>
        <v>31</v>
      </c>
      <c r="J37" s="57" t="s">
        <v>343</v>
      </c>
      <c r="K37" s="57" t="s">
        <v>63</v>
      </c>
      <c r="L37" s="58" t="s">
        <v>404</v>
      </c>
      <c r="M37" s="18" t="str">
        <f>IF(Fuel_Veh[[#This Row],[Month]]&lt;&gt;"",VLOOKUP(Fuel_Veh[[#This Row],[Month]], dropdown!$S$4:$T$15, 2, FALSE),"")</f>
        <v>Q4</v>
      </c>
      <c r="N37" s="29">
        <v>762.77</v>
      </c>
      <c r="O37" s="17" t="str">
        <f>IF($K37="","",VLOOKUP($K37,dropdown!$P$14:$Q$18,2,FALSE))</f>
        <v>Liters</v>
      </c>
      <c r="P37" s="29">
        <v>2539</v>
      </c>
      <c r="Q37" s="17" t="str">
        <f t="shared" si="0"/>
        <v>Kilometers</v>
      </c>
      <c r="R37" s="199" t="s">
        <v>1451</v>
      </c>
    </row>
    <row r="38" spans="9:18" x14ac:dyDescent="0.2">
      <c r="I38" s="194">
        <f t="shared" si="1"/>
        <v>32</v>
      </c>
      <c r="J38" s="57" t="s">
        <v>343</v>
      </c>
      <c r="K38" s="57" t="s">
        <v>63</v>
      </c>
      <c r="L38" s="58" t="s">
        <v>404</v>
      </c>
      <c r="M38" s="18" t="str">
        <f>IF(Fuel_Veh[[#This Row],[Month]]&lt;&gt;"",VLOOKUP(Fuel_Veh[[#This Row],[Month]], dropdown!$S$4:$T$15, 2, FALSE),"")</f>
        <v>Q4</v>
      </c>
      <c r="N38" s="29">
        <v>535.45000000000005</v>
      </c>
      <c r="O38" s="17" t="str">
        <f>IF($K38="","",VLOOKUP($K38,dropdown!$P$14:$Q$18,2,FALSE))</f>
        <v>Liters</v>
      </c>
      <c r="P38" s="29">
        <v>2539</v>
      </c>
      <c r="Q38" s="17" t="str">
        <f t="shared" si="0"/>
        <v>Kilometers</v>
      </c>
      <c r="R38" s="199">
        <v>131210</v>
      </c>
    </row>
    <row r="39" spans="9:18" x14ac:dyDescent="0.2">
      <c r="I39" s="194">
        <f t="shared" si="1"/>
        <v>33</v>
      </c>
      <c r="J39" s="57" t="s">
        <v>381</v>
      </c>
      <c r="K39" s="57" t="s">
        <v>63</v>
      </c>
      <c r="L39" s="58" t="s">
        <v>404</v>
      </c>
      <c r="M39" s="18" t="str">
        <f>IF(Fuel_Veh[[#This Row],[Month]]&lt;&gt;"",VLOOKUP(Fuel_Veh[[#This Row],[Month]], dropdown!$S$4:$T$15, 2, FALSE),"")</f>
        <v>Q4</v>
      </c>
      <c r="N39" s="29">
        <v>39.71</v>
      </c>
      <c r="O39" s="17" t="str">
        <f>IF($K39="","",VLOOKUP($K39,dropdown!$P$14:$Q$18,2,FALSE))</f>
        <v>Liters</v>
      </c>
      <c r="P39" s="29">
        <v>262</v>
      </c>
      <c r="Q39" s="17" t="str">
        <f t="shared" si="0"/>
        <v>Kilometers</v>
      </c>
      <c r="R39" s="199" t="s">
        <v>1452</v>
      </c>
    </row>
    <row r="40" spans="9:18" x14ac:dyDescent="0.2">
      <c r="I40" s="194">
        <f t="shared" si="1"/>
        <v>34</v>
      </c>
      <c r="J40" s="57" t="s">
        <v>365</v>
      </c>
      <c r="K40" s="57" t="s">
        <v>63</v>
      </c>
      <c r="L40" s="58" t="s">
        <v>404</v>
      </c>
      <c r="M40" s="18" t="str">
        <f>IF(Fuel_Veh[[#This Row],[Month]]&lt;&gt;"",VLOOKUP(Fuel_Veh[[#This Row],[Month]], dropdown!$S$4:$T$15, 2, FALSE),"")</f>
        <v>Q4</v>
      </c>
      <c r="N40" s="29">
        <v>54.76</v>
      </c>
      <c r="O40" s="17" t="str">
        <f>IF($K40="","",VLOOKUP($K40,dropdown!$P$14:$Q$18,2,FALSE))</f>
        <v>Liters</v>
      </c>
      <c r="P40" s="29">
        <v>419</v>
      </c>
      <c r="Q40" s="17" t="str">
        <f t="shared" si="0"/>
        <v>Kilometers</v>
      </c>
      <c r="R40" s="199" t="s">
        <v>1453</v>
      </c>
    </row>
    <row r="41" spans="9:18" x14ac:dyDescent="0.2">
      <c r="I41" s="194">
        <f t="shared" si="1"/>
        <v>35</v>
      </c>
      <c r="J41" s="57" t="s">
        <v>343</v>
      </c>
      <c r="K41" s="57" t="s">
        <v>63</v>
      </c>
      <c r="L41" s="58" t="s">
        <v>407</v>
      </c>
      <c r="M41" s="18" t="str">
        <f>IF(Fuel_Veh[[#This Row],[Month]]&lt;&gt;"",VLOOKUP(Fuel_Veh[[#This Row],[Month]], dropdown!$S$4:$T$15, 2, FALSE),"")</f>
        <v>Q4</v>
      </c>
      <c r="N41" s="29">
        <v>800.28</v>
      </c>
      <c r="O41" s="17" t="str">
        <f>IF($K41="","",VLOOKUP($K41,dropdown!$P$14:$Q$18,2,FALSE))</f>
        <v>Liters</v>
      </c>
      <c r="P41" s="29">
        <v>2532</v>
      </c>
      <c r="Q41" s="17" t="str">
        <f t="shared" si="0"/>
        <v>Kilometers</v>
      </c>
      <c r="R41" s="199" t="s">
        <v>1451</v>
      </c>
    </row>
    <row r="42" spans="9:18" x14ac:dyDescent="0.2">
      <c r="I42" s="194">
        <f t="shared" si="1"/>
        <v>36</v>
      </c>
      <c r="J42" s="57" t="s">
        <v>343</v>
      </c>
      <c r="K42" s="57" t="s">
        <v>63</v>
      </c>
      <c r="L42" s="58" t="s">
        <v>407</v>
      </c>
      <c r="M42" s="18" t="str">
        <f>IF(Fuel_Veh[[#This Row],[Month]]&lt;&gt;"",VLOOKUP(Fuel_Veh[[#This Row],[Month]], dropdown!$S$4:$T$15, 2, FALSE),"")</f>
        <v>Q4</v>
      </c>
      <c r="N42" s="29">
        <v>554.49</v>
      </c>
      <c r="O42" s="17" t="str">
        <f>IF($K42="","",VLOOKUP($K42,dropdown!$P$14:$Q$18,2,FALSE))</f>
        <v>Liters</v>
      </c>
      <c r="P42" s="29">
        <v>2532</v>
      </c>
      <c r="Q42" s="17" t="str">
        <f t="shared" si="0"/>
        <v>Kilometers</v>
      </c>
      <c r="R42" s="199">
        <v>131210</v>
      </c>
    </row>
    <row r="43" spans="9:18" x14ac:dyDescent="0.2">
      <c r="I43" s="194">
        <f t="shared" si="1"/>
        <v>37</v>
      </c>
      <c r="J43" s="57" t="s">
        <v>381</v>
      </c>
      <c r="K43" s="57" t="s">
        <v>63</v>
      </c>
      <c r="L43" s="58" t="s">
        <v>407</v>
      </c>
      <c r="M43" s="18" t="str">
        <f>IF(Fuel_Veh[[#This Row],[Month]]&lt;&gt;"",VLOOKUP(Fuel_Veh[[#This Row],[Month]], dropdown!$S$4:$T$15, 2, FALSE),"")</f>
        <v>Q4</v>
      </c>
      <c r="N43" s="29">
        <v>47.37</v>
      </c>
      <c r="O43" s="17" t="str">
        <f>IF($K43="","",VLOOKUP($K43,dropdown!$P$14:$Q$18,2,FALSE))</f>
        <v>Liters</v>
      </c>
      <c r="P43" s="29">
        <v>503</v>
      </c>
      <c r="Q43" s="17" t="str">
        <f t="shared" si="0"/>
        <v>Kilometers</v>
      </c>
      <c r="R43" s="199" t="s">
        <v>1452</v>
      </c>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P27" sqref="P27"/>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Dagupan Branch</v>
      </c>
      <c r="C4" s="37"/>
      <c r="D4" s="38">
        <f>IF('1. Data Info and Summary'!$D$3=0,"-",'1. Data Info and Summary'!$D$3)</f>
        <v>2024</v>
      </c>
      <c r="E4" s="37"/>
      <c r="F4" s="37" t="s">
        <v>182</v>
      </c>
      <c r="G4" s="39"/>
      <c r="I4" s="341"/>
      <c r="J4" s="298"/>
      <c r="K4" s="298"/>
      <c r="L4" s="298"/>
      <c r="M4" s="298" t="s">
        <v>1450</v>
      </c>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1435</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51">
        <v>45910</v>
      </c>
      <c r="D7" s="448"/>
      <c r="E7" s="448"/>
      <c r="F7" s="448"/>
      <c r="G7" s="449"/>
      <c r="I7" s="418" t="s">
        <v>154</v>
      </c>
      <c r="J7" s="417"/>
      <c r="K7" s="415"/>
      <c r="L7" s="415"/>
      <c r="M7" s="415"/>
      <c r="N7" s="415"/>
      <c r="O7" s="452" t="s">
        <v>183</v>
      </c>
      <c r="P7" s="452"/>
      <c r="Q7" s="453" t="s">
        <v>184</v>
      </c>
      <c r="R7" s="454"/>
      <c r="S7" s="455" t="s">
        <v>86</v>
      </c>
      <c r="T7" s="456"/>
      <c r="U7" s="456"/>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f>IF($K9="","",1)</f>
        <v>1</v>
      </c>
      <c r="J9" s="434" t="s">
        <v>1437</v>
      </c>
      <c r="K9" s="391" t="s">
        <v>200</v>
      </c>
      <c r="L9" s="392">
        <v>1</v>
      </c>
      <c r="M9" s="393" t="s">
        <v>380</v>
      </c>
      <c r="N9" s="419" t="s">
        <v>188</v>
      </c>
      <c r="O9" s="397" t="s">
        <v>407</v>
      </c>
      <c r="P9" s="398">
        <v>9.8000000000000007</v>
      </c>
      <c r="Q9" s="397"/>
      <c r="R9" s="399"/>
      <c r="S9" s="397"/>
      <c r="T9" s="399"/>
      <c r="U9" s="399"/>
      <c r="V9" s="430" t="str">
        <f>IFERROR(VLOOKUP($O9, dropdown!$S$4:$T$15, 2, FALSE),
 IFERROR(VLOOKUP($Q9, dropdown!$S$4:$T$15, 2, FALSE),
 IFERROR(VLOOKUP($S9, dropdown!$S$4:$T$15, 2, FALSE),
 "")))</f>
        <v>Q4</v>
      </c>
      <c r="W9" s="392"/>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5" t="s">
        <v>1437</v>
      </c>
      <c r="K10" s="57" t="s">
        <v>200</v>
      </c>
      <c r="L10" s="28">
        <v>1</v>
      </c>
      <c r="M10" s="264" t="s">
        <v>380</v>
      </c>
      <c r="N10" s="401" t="s">
        <v>188</v>
      </c>
      <c r="O10" s="397" t="s">
        <v>407</v>
      </c>
      <c r="P10" s="398">
        <v>5.8</v>
      </c>
      <c r="Q10" s="397"/>
      <c r="R10" s="399"/>
      <c r="S10" s="397"/>
      <c r="T10" s="399"/>
      <c r="U10" s="399"/>
      <c r="V10" s="430" t="str">
        <f>IFERROR(VLOOKUP($O10, dropdown!$S$4:$T$15, 2, FALSE),
 IFERROR(VLOOKUP($Q10, dropdown!$S$4:$T$15, 2, FALSE),
 IFERROR(VLOOKUP($S10, dropdown!$S$4:$T$15, 2, FALSE),
 "")))</f>
        <v>Q4</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13</v>
      </c>
      <c r="I11" s="18">
        <f t="shared" si="0"/>
        <v>3</v>
      </c>
      <c r="J11" s="435" t="s">
        <v>1545</v>
      </c>
      <c r="K11" s="57" t="s">
        <v>200</v>
      </c>
      <c r="L11" s="28">
        <v>1</v>
      </c>
      <c r="M11" s="264" t="s">
        <v>380</v>
      </c>
      <c r="N11" s="401" t="s">
        <v>188</v>
      </c>
      <c r="O11" s="397" t="s">
        <v>407</v>
      </c>
      <c r="P11" s="398">
        <v>9.8000000000000007</v>
      </c>
      <c r="Q11" s="397"/>
      <c r="R11" s="399"/>
      <c r="S11" s="397"/>
      <c r="T11" s="399"/>
      <c r="U11" s="399"/>
      <c r="V11" s="430" t="str">
        <f>IFERROR(VLOOKUP($O11, dropdown!$S$4:$T$15, 2, FALSE),
 IFERROR(VLOOKUP($Q11, dropdown!$S$4:$T$15, 2, FALSE),
 IFERROR(VLOOKUP($S11, dropdown!$S$4:$T$15, 2, FALSE),
 "")))</f>
        <v>Q4</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4</v>
      </c>
      <c r="I12" s="18">
        <f t="shared" si="0"/>
        <v>4</v>
      </c>
      <c r="J12" s="435" t="s">
        <v>1545</v>
      </c>
      <c r="K12" s="57" t="s">
        <v>200</v>
      </c>
      <c r="L12" s="28">
        <v>1</v>
      </c>
      <c r="M12" s="264" t="s">
        <v>380</v>
      </c>
      <c r="N12" s="401" t="s">
        <v>188</v>
      </c>
      <c r="O12" s="397" t="s">
        <v>407</v>
      </c>
      <c r="P12" s="398">
        <v>5.8</v>
      </c>
      <c r="Q12" s="397"/>
      <c r="R12" s="399"/>
      <c r="S12" s="397"/>
      <c r="T12" s="399"/>
      <c r="U12" s="399"/>
      <c r="V12" s="430" t="str">
        <f>IFERROR(VLOOKUP($O12, dropdown!$S$4:$T$15, 2, FALSE),
 IFERROR(VLOOKUP($Q12, dropdown!$S$4:$T$15, 2, FALSE),
 IFERROR(VLOOKUP($S12, dropdown!$S$4:$T$15, 2, FALSE),
 "")))</f>
        <v>Q4</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5" t="s">
        <v>1546</v>
      </c>
      <c r="K13" s="57" t="s">
        <v>200</v>
      </c>
      <c r="L13" s="28">
        <v>1</v>
      </c>
      <c r="M13" s="264" t="s">
        <v>380</v>
      </c>
      <c r="N13" s="401" t="s">
        <v>188</v>
      </c>
      <c r="O13" s="397" t="s">
        <v>407</v>
      </c>
      <c r="P13" s="398">
        <v>6</v>
      </c>
      <c r="Q13" s="397"/>
      <c r="R13" s="399"/>
      <c r="S13" s="397"/>
      <c r="T13" s="399"/>
      <c r="U13" s="399"/>
      <c r="V13" s="430" t="str">
        <f>IFERROR(VLOOKUP($O13, dropdown!$S$4:$T$15, 2, FALSE),
 IFERROR(VLOOKUP($Q13, dropdown!$S$4:$T$15, 2, FALSE),
 IFERROR(VLOOKUP($S13, dropdown!$S$4:$T$15, 2, FALSE),
 "")))</f>
        <v>Q4</v>
      </c>
      <c r="W13" s="28"/>
      <c r="AB13" s="11"/>
      <c r="AE13" s="11"/>
    </row>
    <row r="14" spans="2:31" ht="17" customHeight="1" x14ac:dyDescent="0.2">
      <c r="D14" s="177" t="str">
        <f>IF(SUM(D$11:D$13)&gt;0,"x","")</f>
        <v/>
      </c>
      <c r="E14" s="177" t="str">
        <f t="shared" ref="E14:G14" si="1">IF(SUM(E$11:E$13)&gt;0,"x","")</f>
        <v/>
      </c>
      <c r="F14" s="177" t="str">
        <f t="shared" si="1"/>
        <v/>
      </c>
      <c r="G14" s="177" t="str">
        <f t="shared" si="1"/>
        <v>x</v>
      </c>
      <c r="I14" s="18">
        <f t="shared" si="0"/>
        <v>6</v>
      </c>
      <c r="J14" s="435" t="s">
        <v>1440</v>
      </c>
      <c r="K14" s="57" t="s">
        <v>200</v>
      </c>
      <c r="L14" s="28">
        <v>1</v>
      </c>
      <c r="M14" s="264" t="s">
        <v>380</v>
      </c>
      <c r="N14" s="401" t="s">
        <v>188</v>
      </c>
      <c r="O14" s="397" t="s">
        <v>407</v>
      </c>
      <c r="P14" s="398">
        <v>5.8</v>
      </c>
      <c r="Q14" s="397"/>
      <c r="R14" s="399"/>
      <c r="S14" s="397"/>
      <c r="T14" s="399"/>
      <c r="U14" s="399"/>
      <c r="V14" s="430" t="str">
        <f>IFERROR(VLOOKUP($O14, dropdown!$S$4:$T$15, 2, FALSE),
 IFERROR(VLOOKUP($Q14, dropdown!$S$4:$T$15, 2, FALSE),
 IFERROR(VLOOKUP($S14, dropdown!$S$4:$T$15, 2, FALSE),
 "")))</f>
        <v>Q4</v>
      </c>
      <c r="W14" s="28"/>
      <c r="AB14" s="11"/>
      <c r="AE14" s="11"/>
    </row>
    <row r="15" spans="2:31" ht="17" customHeight="1" x14ac:dyDescent="0.2">
      <c r="B15" s="119" t="s">
        <v>38</v>
      </c>
      <c r="I15" s="18">
        <f t="shared" si="0"/>
        <v>7</v>
      </c>
      <c r="J15" s="435" t="s">
        <v>1439</v>
      </c>
      <c r="K15" s="57" t="s">
        <v>200</v>
      </c>
      <c r="L15" s="28">
        <v>1</v>
      </c>
      <c r="M15" s="264" t="s">
        <v>380</v>
      </c>
      <c r="N15" s="401" t="s">
        <v>188</v>
      </c>
      <c r="O15" s="397" t="s">
        <v>407</v>
      </c>
      <c r="P15" s="398">
        <v>9.8000000000000007</v>
      </c>
      <c r="Q15" s="397"/>
      <c r="R15" s="399"/>
      <c r="S15" s="397"/>
      <c r="T15" s="399"/>
      <c r="U15" s="399"/>
      <c r="V15" s="430" t="str">
        <f>IFERROR(VLOOKUP($O15, dropdown!$S$4:$T$15, 2, FALSE),
 IFERROR(VLOOKUP($Q15, dropdown!$S$4:$T$15, 2, FALSE),
 IFERROR(VLOOKUP($S15, dropdown!$S$4:$T$15, 2, FALSE),
 "")))</f>
        <v>Q4</v>
      </c>
      <c r="W15" s="28"/>
      <c r="AB15" s="11"/>
      <c r="AE15" s="11"/>
    </row>
    <row r="16" spans="2:31" ht="14" x14ac:dyDescent="0.2">
      <c r="B16" s="120" t="s">
        <v>175</v>
      </c>
      <c r="I16" s="18">
        <f t="shared" si="0"/>
        <v>8</v>
      </c>
      <c r="J16" s="435" t="s">
        <v>1439</v>
      </c>
      <c r="K16" s="57" t="s">
        <v>200</v>
      </c>
      <c r="L16" s="28">
        <v>1</v>
      </c>
      <c r="M16" s="264" t="s">
        <v>380</v>
      </c>
      <c r="N16" s="401" t="s">
        <v>188</v>
      </c>
      <c r="O16" s="397" t="s">
        <v>407</v>
      </c>
      <c r="P16" s="398">
        <v>5.5</v>
      </c>
      <c r="Q16" s="397"/>
      <c r="R16" s="399"/>
      <c r="S16" s="397"/>
      <c r="T16" s="399"/>
      <c r="U16" s="399"/>
      <c r="V16" s="430" t="str">
        <f>IFERROR(VLOOKUP($O16, dropdown!$S$4:$T$15, 2, FALSE),
 IFERROR(VLOOKUP($Q16, dropdown!$S$4:$T$15, 2, FALSE),
 IFERROR(VLOOKUP($S16, dropdown!$S$4:$T$15, 2, FALSE),
 "")))</f>
        <v>Q4</v>
      </c>
      <c r="W16" s="28"/>
      <c r="AB16" s="11"/>
      <c r="AE16" s="11"/>
    </row>
    <row r="17" spans="2:31" ht="15" customHeight="1" x14ac:dyDescent="0.2">
      <c r="B17" s="121" t="s">
        <v>176</v>
      </c>
      <c r="I17" s="18">
        <f t="shared" si="0"/>
        <v>9</v>
      </c>
      <c r="J17" s="435" t="s">
        <v>1441</v>
      </c>
      <c r="K17" s="57" t="s">
        <v>200</v>
      </c>
      <c r="L17" s="28">
        <v>1</v>
      </c>
      <c r="M17" s="264" t="s">
        <v>380</v>
      </c>
      <c r="N17" s="401" t="s">
        <v>188</v>
      </c>
      <c r="O17" s="397" t="s">
        <v>407</v>
      </c>
      <c r="P17" s="398">
        <v>0.6</v>
      </c>
      <c r="Q17" s="397"/>
      <c r="R17" s="399"/>
      <c r="S17" s="397"/>
      <c r="T17" s="399"/>
      <c r="U17" s="399"/>
      <c r="V17" s="430" t="str">
        <f>IFERROR(VLOOKUP($O17, dropdown!$S$4:$T$15, 2, FALSE),
 IFERROR(VLOOKUP($Q17, dropdown!$S$4:$T$15, 2, FALSE),
 IFERROR(VLOOKUP($S17, dropdown!$S$4:$T$15, 2, FALSE),
 "")))</f>
        <v>Q4</v>
      </c>
      <c r="W17" s="28"/>
      <c r="AB17" s="11"/>
      <c r="AE17" s="11"/>
    </row>
    <row r="18" spans="2:31" ht="15" customHeight="1" x14ac:dyDescent="0.2">
      <c r="B18" s="122" t="s">
        <v>177</v>
      </c>
      <c r="I18" s="18">
        <f t="shared" si="0"/>
        <v>10</v>
      </c>
      <c r="J18" s="435" t="s">
        <v>1442</v>
      </c>
      <c r="K18" s="57" t="s">
        <v>200</v>
      </c>
      <c r="L18" s="28">
        <v>1</v>
      </c>
      <c r="M18" s="264" t="s">
        <v>372</v>
      </c>
      <c r="N18" s="401" t="s">
        <v>352</v>
      </c>
      <c r="O18" s="397"/>
      <c r="P18" s="398"/>
      <c r="Q18" s="397" t="s">
        <v>407</v>
      </c>
      <c r="R18" s="399">
        <v>3.8</v>
      </c>
      <c r="S18" s="397"/>
      <c r="T18" s="399"/>
      <c r="U18" s="399"/>
      <c r="V18" s="430" t="str">
        <f>IFERROR(VLOOKUP($O18, dropdown!$S$4:$T$15, 2, FALSE),
 IFERROR(VLOOKUP($Q18, dropdown!$S$4:$T$15, 2, FALSE),
 IFERROR(VLOOKUP($S18, dropdown!$S$4:$T$15, 2, FALSE),
 "")))</f>
        <v>Q4</v>
      </c>
      <c r="W18" s="28"/>
      <c r="AB18" s="11"/>
      <c r="AE18" s="11"/>
    </row>
    <row r="19" spans="2:31" ht="27" x14ac:dyDescent="0.2">
      <c r="B19" s="382" t="s">
        <v>190</v>
      </c>
      <c r="I19" s="18">
        <f t="shared" si="0"/>
        <v>11</v>
      </c>
      <c r="J19" s="435" t="s">
        <v>1443</v>
      </c>
      <c r="K19" s="57" t="s">
        <v>200</v>
      </c>
      <c r="L19" s="28">
        <v>1</v>
      </c>
      <c r="M19" s="264" t="s">
        <v>372</v>
      </c>
      <c r="N19" s="401" t="s">
        <v>188</v>
      </c>
      <c r="O19" s="397" t="s">
        <v>407</v>
      </c>
      <c r="P19" s="398">
        <v>0.5</v>
      </c>
      <c r="Q19" s="397"/>
      <c r="R19" s="399"/>
      <c r="S19" s="397"/>
      <c r="T19" s="399"/>
      <c r="U19" s="399"/>
      <c r="V19" s="430" t="str">
        <f>IFERROR(VLOOKUP($O19, dropdown!$S$4:$T$15, 2, FALSE),
 IFERROR(VLOOKUP($Q19, dropdown!$S$4:$T$15, 2, FALSE),
 IFERROR(VLOOKUP($S19, dropdown!$S$4:$T$15, 2, FALSE),
 "")))</f>
        <v>Q4</v>
      </c>
      <c r="W19" s="28"/>
      <c r="AB19" s="11"/>
      <c r="AE19" s="11"/>
    </row>
    <row r="20" spans="2:31" ht="14" x14ac:dyDescent="0.2">
      <c r="I20" s="18">
        <f t="shared" si="0"/>
        <v>12</v>
      </c>
      <c r="J20" s="435" t="s">
        <v>1444</v>
      </c>
      <c r="K20" s="57" t="s">
        <v>200</v>
      </c>
      <c r="L20" s="28">
        <v>1</v>
      </c>
      <c r="M20" s="264" t="s">
        <v>380</v>
      </c>
      <c r="N20" s="401" t="s">
        <v>352</v>
      </c>
      <c r="O20" s="397"/>
      <c r="P20" s="398"/>
      <c r="Q20" s="397" t="s">
        <v>407</v>
      </c>
      <c r="R20" s="399">
        <v>3.8</v>
      </c>
      <c r="S20" s="397"/>
      <c r="T20" s="399"/>
      <c r="U20" s="399"/>
      <c r="V20" s="430" t="str">
        <f>IFERROR(VLOOKUP($O20, dropdown!$S$4:$T$15, 2, FALSE),
 IFERROR(VLOOKUP($Q20, dropdown!$S$4:$T$15, 2, FALSE),
 IFERROR(VLOOKUP($S20, dropdown!$S$4:$T$15, 2, FALSE),
 "")))</f>
        <v>Q4</v>
      </c>
      <c r="W20" s="28"/>
      <c r="AB20" s="11"/>
      <c r="AE20" s="11"/>
    </row>
    <row r="21" spans="2:31" ht="14" x14ac:dyDescent="0.2">
      <c r="B21" s="166" t="s">
        <v>191</v>
      </c>
      <c r="I21" s="18">
        <f t="shared" si="0"/>
        <v>13</v>
      </c>
      <c r="J21" s="435" t="s">
        <v>1445</v>
      </c>
      <c r="K21" s="57" t="s">
        <v>200</v>
      </c>
      <c r="L21" s="28">
        <v>1</v>
      </c>
      <c r="M21" s="264" t="s">
        <v>372</v>
      </c>
      <c r="N21" s="401" t="s">
        <v>188</v>
      </c>
      <c r="O21" s="397" t="s">
        <v>407</v>
      </c>
      <c r="P21" s="398">
        <v>3.8</v>
      </c>
      <c r="Q21" s="397"/>
      <c r="R21" s="399"/>
      <c r="S21" s="397"/>
      <c r="T21" s="399"/>
      <c r="U21" s="399"/>
      <c r="V21" s="430" t="str">
        <f>IFERROR(VLOOKUP($O21, dropdown!$S$4:$T$15, 2, FALSE),
 IFERROR(VLOOKUP($Q21, dropdown!$S$4:$T$15, 2, FALSE),
 IFERROR(VLOOKUP($S21, dropdown!$S$4:$T$15, 2, FALSE),
 "")))</f>
        <v>Q4</v>
      </c>
      <c r="W21" s="28"/>
      <c r="AB21" s="11"/>
      <c r="AE21" s="11"/>
    </row>
    <row r="22" spans="2:31" ht="14" x14ac:dyDescent="0.2">
      <c r="B22" s="458" t="s">
        <v>192</v>
      </c>
      <c r="C22" s="460" t="s">
        <v>5</v>
      </c>
      <c r="D22" s="461"/>
      <c r="E22" s="460" t="s">
        <v>193</v>
      </c>
      <c r="F22" s="462"/>
      <c r="G22" s="462"/>
      <c r="I22" s="18">
        <f t="shared" si="0"/>
        <v>14</v>
      </c>
      <c r="J22" s="435" t="s">
        <v>1446</v>
      </c>
      <c r="K22" s="57" t="s">
        <v>200</v>
      </c>
      <c r="L22" s="28">
        <v>1</v>
      </c>
      <c r="M22" s="264" t="s">
        <v>380</v>
      </c>
      <c r="N22" s="401" t="s">
        <v>352</v>
      </c>
      <c r="O22" s="397"/>
      <c r="P22" s="398"/>
      <c r="Q22" s="397" t="s">
        <v>407</v>
      </c>
      <c r="R22" s="399">
        <v>3.8</v>
      </c>
      <c r="S22" s="397"/>
      <c r="T22" s="399"/>
      <c r="U22" s="399"/>
      <c r="V22" s="430" t="str">
        <f>IFERROR(VLOOKUP($O22, dropdown!$S$4:$T$15, 2, FALSE),
 IFERROR(VLOOKUP($Q22, dropdown!$S$4:$T$15, 2, FALSE),
 IFERROR(VLOOKUP($S22, dropdown!$S$4:$T$15, 2, FALSE),
 "")))</f>
        <v>Q4</v>
      </c>
      <c r="W22" s="28"/>
      <c r="AB22" s="11"/>
      <c r="AE22" s="11"/>
    </row>
    <row r="23" spans="2:31" ht="14" x14ac:dyDescent="0.2">
      <c r="B23" s="459"/>
      <c r="C23" s="460"/>
      <c r="D23" s="461"/>
      <c r="E23" s="460"/>
      <c r="F23" s="462"/>
      <c r="G23" s="462"/>
      <c r="I23" s="18">
        <f t="shared" si="0"/>
        <v>15</v>
      </c>
      <c r="J23" s="435" t="s">
        <v>1447</v>
      </c>
      <c r="K23" s="57" t="s">
        <v>200</v>
      </c>
      <c r="L23" s="28">
        <v>1</v>
      </c>
      <c r="M23" s="264" t="s">
        <v>380</v>
      </c>
      <c r="N23" s="401" t="s">
        <v>188</v>
      </c>
      <c r="O23" s="397" t="s">
        <v>407</v>
      </c>
      <c r="P23" s="398">
        <v>3.5</v>
      </c>
      <c r="Q23" s="397"/>
      <c r="R23" s="399"/>
      <c r="S23" s="397"/>
      <c r="T23" s="399"/>
      <c r="U23" s="399"/>
      <c r="V23" s="430" t="str">
        <f>IFERROR(VLOOKUP($O23, dropdown!$S$4:$T$15, 2, FALSE),
 IFERROR(VLOOKUP($Q23, dropdown!$S$4:$T$15, 2, FALSE),
 IFERROR(VLOOKUP($S23, dropdown!$S$4:$T$15, 2, FALSE),
 "")))</f>
        <v>Q4</v>
      </c>
      <c r="W23" s="28"/>
      <c r="AB23" s="11"/>
      <c r="AE23" s="11"/>
    </row>
    <row r="24" spans="2:31" ht="14" x14ac:dyDescent="0.2">
      <c r="B24" s="457" t="s">
        <v>194</v>
      </c>
      <c r="C24" s="457" t="s">
        <v>195</v>
      </c>
      <c r="D24" s="457"/>
      <c r="E24" s="457" t="s">
        <v>196</v>
      </c>
      <c r="F24" s="457"/>
      <c r="G24" s="457"/>
      <c r="I24" s="18">
        <f t="shared" si="0"/>
        <v>16</v>
      </c>
      <c r="J24" s="435" t="s">
        <v>1448</v>
      </c>
      <c r="K24" s="57" t="s">
        <v>200</v>
      </c>
      <c r="L24" s="28">
        <v>1</v>
      </c>
      <c r="M24" s="264" t="s">
        <v>380</v>
      </c>
      <c r="N24" s="401" t="s">
        <v>188</v>
      </c>
      <c r="O24" s="397" t="s">
        <v>407</v>
      </c>
      <c r="P24" s="398">
        <v>3</v>
      </c>
      <c r="Q24" s="397"/>
      <c r="R24" s="399"/>
      <c r="S24" s="397"/>
      <c r="T24" s="399"/>
      <c r="U24" s="399"/>
      <c r="V24" s="430" t="str">
        <f>IFERROR(VLOOKUP($O24, dropdown!$S$4:$T$15, 2, FALSE),
 IFERROR(VLOOKUP($Q24, dropdown!$S$4:$T$15, 2, FALSE),
 IFERROR(VLOOKUP($S24, dropdown!$S$4:$T$15, 2, FALSE),
 "")))</f>
        <v>Q4</v>
      </c>
      <c r="W24" s="28"/>
      <c r="X24" s="56"/>
      <c r="AB24" s="11"/>
      <c r="AE24" s="11"/>
    </row>
    <row r="25" spans="2:31" ht="14" x14ac:dyDescent="0.2">
      <c r="B25" s="457"/>
      <c r="C25" s="457"/>
      <c r="D25" s="457"/>
      <c r="E25" s="457"/>
      <c r="F25" s="457"/>
      <c r="G25" s="457"/>
      <c r="I25" s="18">
        <f t="shared" si="0"/>
        <v>17</v>
      </c>
      <c r="J25" s="435" t="s">
        <v>1449</v>
      </c>
      <c r="K25" s="57" t="s">
        <v>200</v>
      </c>
      <c r="L25" s="28">
        <v>1</v>
      </c>
      <c r="M25" s="264" t="s">
        <v>372</v>
      </c>
      <c r="N25" s="401" t="s">
        <v>352</v>
      </c>
      <c r="O25" s="397"/>
      <c r="P25" s="398"/>
      <c r="Q25" s="397" t="s">
        <v>407</v>
      </c>
      <c r="R25" s="399">
        <v>0.43</v>
      </c>
      <c r="S25" s="397"/>
      <c r="T25" s="399"/>
      <c r="U25" s="399"/>
      <c r="V25" s="430" t="str">
        <f>IFERROR(VLOOKUP($O25, dropdown!$S$4:$T$15, 2, FALSE),
 IFERROR(VLOOKUP($Q25, dropdown!$S$4:$T$15, 2, FALSE),
 IFERROR(VLOOKUP($S25, dropdown!$S$4:$T$15, 2, FALSE),
 "")))</f>
        <v>Q4</v>
      </c>
      <c r="W25" s="28"/>
      <c r="X25" s="56"/>
      <c r="AB25" s="11"/>
      <c r="AE25" s="11"/>
    </row>
    <row r="26" spans="2:31" ht="14" x14ac:dyDescent="0.2">
      <c r="B26" s="457" t="s">
        <v>197</v>
      </c>
      <c r="C26" s="457" t="s">
        <v>198</v>
      </c>
      <c r="D26" s="457"/>
      <c r="E26" s="457" t="s">
        <v>199</v>
      </c>
      <c r="F26" s="457"/>
      <c r="G26" s="457"/>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7"/>
      <c r="C27" s="457"/>
      <c r="D27" s="457"/>
      <c r="E27" s="457"/>
      <c r="F27" s="457"/>
      <c r="G27" s="457"/>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7" t="s">
        <v>200</v>
      </c>
      <c r="C28" s="457" t="s">
        <v>201</v>
      </c>
      <c r="D28" s="457"/>
      <c r="E28" s="457" t="s">
        <v>202</v>
      </c>
      <c r="F28" s="457"/>
      <c r="G28" s="457"/>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7"/>
      <c r="C29" s="457"/>
      <c r="D29" s="457"/>
      <c r="E29" s="457"/>
      <c r="F29" s="457"/>
      <c r="G29" s="457"/>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7" t="s">
        <v>203</v>
      </c>
      <c r="C30" s="457" t="s">
        <v>204</v>
      </c>
      <c r="D30" s="457"/>
      <c r="E30" s="457" t="s">
        <v>205</v>
      </c>
      <c r="F30" s="457"/>
      <c r="G30" s="457"/>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7"/>
      <c r="C31" s="457"/>
      <c r="D31" s="457"/>
      <c r="E31" s="457"/>
      <c r="F31" s="457"/>
      <c r="G31" s="457"/>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M24" sqref="M24"/>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Dagupan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1435</v>
      </c>
      <c r="D6" s="448"/>
      <c r="E6" s="448"/>
      <c r="F6" s="448"/>
      <c r="G6" s="449"/>
    </row>
    <row r="7" spans="2:17" ht="12.75" customHeight="1" x14ac:dyDescent="0.2">
      <c r="B7" s="278" t="s">
        <v>174</v>
      </c>
      <c r="C7" s="451">
        <v>45910</v>
      </c>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26240</v>
      </c>
      <c r="M8" s="47">
        <v>224271.8</v>
      </c>
      <c r="N8" s="165" t="s">
        <v>461</v>
      </c>
      <c r="O8" s="195"/>
      <c r="P8" s="48"/>
      <c r="Q8" s="20"/>
    </row>
    <row r="9" spans="2:17" x14ac:dyDescent="0.2">
      <c r="I9" s="194"/>
      <c r="J9" s="58" t="s">
        <v>89</v>
      </c>
      <c r="K9" s="426" t="str">
        <f>IF(Electricity[[#This Row],[Month]]&lt;&gt;"",VLOOKUP(Electricity[[#This Row],[Month]], dropdown!$S$4:$T$15, 2, FALSE),"")</f>
        <v>Q1</v>
      </c>
      <c r="L9" s="29">
        <v>26080</v>
      </c>
      <c r="M9" s="47">
        <v>223557.08</v>
      </c>
      <c r="N9" s="165" t="s">
        <v>461</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27120</v>
      </c>
      <c r="M10" s="47">
        <v>248383</v>
      </c>
      <c r="N10" s="165" t="s">
        <v>461</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30640</v>
      </c>
      <c r="M11" s="47">
        <v>278264.77</v>
      </c>
      <c r="N11" s="165" t="s">
        <v>461</v>
      </c>
      <c r="O11" s="195"/>
      <c r="P11" s="48"/>
      <c r="Q11" s="20"/>
    </row>
    <row r="12" spans="2:17" x14ac:dyDescent="0.2">
      <c r="B12" s="17" t="s">
        <v>207</v>
      </c>
      <c r="C12" s="17" t="s">
        <v>208</v>
      </c>
      <c r="D12" s="41">
        <f>SUMIFS(Electricity[Consumption (kWh)],Electricity[Quarter],D$11)</f>
        <v>79440</v>
      </c>
      <c r="E12" s="41">
        <f>SUMIFS(Electricity[Consumption (kWh)],Electricity[Quarter],E$11)</f>
        <v>99840</v>
      </c>
      <c r="F12" s="41">
        <f>SUMIFS(Electricity[Consumption (kWh)],Electricity[Quarter],F$11)</f>
        <v>93280</v>
      </c>
      <c r="G12" s="41">
        <f>SUMIFS(Electricity[Consumption (kWh)],Electricity[Quarter],G$11)</f>
        <v>88240</v>
      </c>
      <c r="I12" s="194"/>
      <c r="J12" s="58" t="s">
        <v>379</v>
      </c>
      <c r="K12" s="426" t="str">
        <f>IF(Electricity[[#This Row],[Month]]&lt;&gt;"",VLOOKUP(Electricity[[#This Row],[Month]], dropdown!$S$4:$T$15, 2, FALSE),"")</f>
        <v>Q2</v>
      </c>
      <c r="L12" s="29">
        <v>34480</v>
      </c>
      <c r="M12" s="47">
        <v>328752.33</v>
      </c>
      <c r="N12" s="165" t="s">
        <v>461</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34720</v>
      </c>
      <c r="M13" s="47">
        <v>269081.5</v>
      </c>
      <c r="N13" s="165" t="s">
        <v>461</v>
      </c>
      <c r="O13" s="195"/>
      <c r="P13" s="48"/>
      <c r="Q13" s="20"/>
    </row>
    <row r="14" spans="2:17" x14ac:dyDescent="0.2">
      <c r="B14" s="119" t="s">
        <v>38</v>
      </c>
      <c r="D14" s="168"/>
      <c r="I14" s="194"/>
      <c r="J14" s="58" t="s">
        <v>390</v>
      </c>
      <c r="K14" s="426" t="str">
        <f>IF(Electricity[[#This Row],[Month]]&lt;&gt;"",VLOOKUP(Electricity[[#This Row],[Month]], dropdown!$S$4:$T$15, 2, FALSE),"")</f>
        <v>Q3</v>
      </c>
      <c r="L14" s="29">
        <v>32400</v>
      </c>
      <c r="M14" s="47">
        <v>321988.34999999998</v>
      </c>
      <c r="N14" s="165" t="s">
        <v>461</v>
      </c>
      <c r="O14" s="195"/>
      <c r="P14" s="48"/>
      <c r="Q14" s="20"/>
    </row>
    <row r="15" spans="2:17" x14ac:dyDescent="0.2">
      <c r="B15" s="120" t="s">
        <v>175</v>
      </c>
      <c r="D15" s="168"/>
      <c r="I15" s="194"/>
      <c r="J15" s="58" t="s">
        <v>41</v>
      </c>
      <c r="K15" s="426" t="str">
        <f>IF(Electricity[[#This Row],[Month]]&lt;&gt;"",VLOOKUP(Electricity[[#This Row],[Month]], dropdown!$S$4:$T$15, 2, FALSE),"")</f>
        <v>Q3</v>
      </c>
      <c r="L15" s="29">
        <v>30000</v>
      </c>
      <c r="M15" s="47">
        <v>299896.69</v>
      </c>
      <c r="N15" s="165" t="s">
        <v>461</v>
      </c>
      <c r="O15" s="195"/>
      <c r="P15" s="48"/>
      <c r="Q15" s="20"/>
    </row>
    <row r="16" spans="2:17" x14ac:dyDescent="0.2">
      <c r="B16" s="121" t="s">
        <v>176</v>
      </c>
      <c r="I16" s="194"/>
      <c r="J16" s="58" t="s">
        <v>397</v>
      </c>
      <c r="K16" s="426" t="str">
        <f>IF(Electricity[[#This Row],[Month]]&lt;&gt;"",VLOOKUP(Electricity[[#This Row],[Month]], dropdown!$S$4:$T$15, 2, FALSE),"")</f>
        <v>Q3</v>
      </c>
      <c r="L16" s="29">
        <v>30880</v>
      </c>
      <c r="M16" s="47">
        <v>320387.63</v>
      </c>
      <c r="N16" s="165" t="s">
        <v>461</v>
      </c>
      <c r="O16" s="195"/>
      <c r="P16" s="48"/>
      <c r="Q16" s="20"/>
    </row>
    <row r="17" spans="2:17" x14ac:dyDescent="0.2">
      <c r="B17" s="122" t="s">
        <v>177</v>
      </c>
      <c r="I17" s="194"/>
      <c r="J17" s="58" t="s">
        <v>400</v>
      </c>
      <c r="K17" s="426" t="str">
        <f>IF(Electricity[[#This Row],[Month]]&lt;&gt;"",VLOOKUP(Electricity[[#This Row],[Month]], dropdown!$S$4:$T$15, 2, FALSE),"")</f>
        <v>Q4</v>
      </c>
      <c r="L17" s="29">
        <v>30000</v>
      </c>
      <c r="M17" s="47">
        <v>261072.75</v>
      </c>
      <c r="N17" s="165" t="s">
        <v>461</v>
      </c>
      <c r="O17" s="195"/>
      <c r="P17" s="48"/>
      <c r="Q17" s="20"/>
    </row>
    <row r="18" spans="2:17" x14ac:dyDescent="0.2">
      <c r="I18" s="194">
        <f t="shared" ref="I18:I49" si="0">IF($L18="","",$I17+1)</f>
        <v>1</v>
      </c>
      <c r="J18" s="58" t="s">
        <v>404</v>
      </c>
      <c r="K18" s="426" t="str">
        <f>IF(Electricity[[#This Row],[Month]]&lt;&gt;"",VLOOKUP(Electricity[[#This Row],[Month]], dropdown!$S$4:$T$15, 2, FALSE),"")</f>
        <v>Q4</v>
      </c>
      <c r="L18" s="29">
        <v>29600</v>
      </c>
      <c r="M18" s="47">
        <v>247820.27</v>
      </c>
      <c r="N18" s="165" t="s">
        <v>461</v>
      </c>
      <c r="O18" s="195"/>
      <c r="P18" s="48"/>
      <c r="Q18" s="20"/>
    </row>
    <row r="19" spans="2:17" x14ac:dyDescent="0.2">
      <c r="I19" s="194">
        <f t="shared" si="0"/>
        <v>2</v>
      </c>
      <c r="J19" s="58" t="s">
        <v>407</v>
      </c>
      <c r="K19" s="426" t="str">
        <f>IF(Electricity[[#This Row],[Month]]&lt;&gt;"",VLOOKUP(Electricity[[#This Row],[Month]], dropdown!$S$4:$T$15, 2, FALSE),"")</f>
        <v>Q4</v>
      </c>
      <c r="L19" s="29">
        <v>28640</v>
      </c>
      <c r="M19" s="47">
        <v>243259.56</v>
      </c>
      <c r="N19" s="165" t="s">
        <v>461</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Dagupan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7"/>
      <c r="D6" s="448"/>
      <c r="E6" s="448"/>
      <c r="F6" s="448"/>
      <c r="G6" s="449"/>
      <c r="I6" s="248" t="s">
        <v>173</v>
      </c>
      <c r="J6" s="249" t="s">
        <v>39</v>
      </c>
      <c r="K6" s="249" t="s">
        <v>43</v>
      </c>
      <c r="L6" s="250" t="s">
        <v>115</v>
      </c>
      <c r="M6" s="352" t="s">
        <v>212</v>
      </c>
      <c r="N6" s="253" t="s">
        <v>54</v>
      </c>
      <c r="O6" s="349"/>
    </row>
    <row r="7" spans="2:16" x14ac:dyDescent="0.2">
      <c r="B7" s="278" t="s">
        <v>174</v>
      </c>
      <c r="C7" s="447"/>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C1" zoomScaleNormal="100" workbookViewId="0">
      <selection activeCell="M17" sqref="M17"/>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Dagupan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1435</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51">
        <v>45910</v>
      </c>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62</v>
      </c>
      <c r="N8" s="195"/>
      <c r="O8" s="44"/>
      <c r="P8" s="194">
        <f>IF($T8="","",1)</f>
        <v>1</v>
      </c>
      <c r="Q8" s="58" t="s">
        <v>338</v>
      </c>
      <c r="R8" s="18" t="str">
        <f>IF(water_out[[#This Row],[Month]]&lt;&gt;"",VLOOKUP(water_out[[#This Row],[Month]], dropdown!$S$4:$T$15, 2, FALSE),"")</f>
        <v>Q1</v>
      </c>
      <c r="S8" s="60" t="s">
        <v>364</v>
      </c>
      <c r="T8" s="29">
        <v>64</v>
      </c>
      <c r="U8" s="195" t="s">
        <v>1436</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108</v>
      </c>
      <c r="N9" s="195"/>
      <c r="O9" s="44"/>
      <c r="P9" s="194">
        <f>IF($T9="","",$P8+1)</f>
        <v>2</v>
      </c>
      <c r="Q9" s="58" t="s">
        <v>89</v>
      </c>
      <c r="R9" s="18" t="str">
        <f>IF(water_out[[#This Row],[Month]]&lt;&gt;"",VLOOKUP(water_out[[#This Row],[Month]], dropdown!$S$4:$T$15, 2, FALSE),"")</f>
        <v>Q1</v>
      </c>
      <c r="S9" s="60" t="s">
        <v>364</v>
      </c>
      <c r="T9" s="29">
        <v>64</v>
      </c>
      <c r="U9" s="195" t="s">
        <v>1436</v>
      </c>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111</v>
      </c>
      <c r="N10" s="195"/>
      <c r="O10" s="44"/>
      <c r="P10" s="194">
        <f t="shared" ref="P10:P73" si="1">IF($T10="","",$P9+1)</f>
        <v>3</v>
      </c>
      <c r="Q10" s="58" t="s">
        <v>362</v>
      </c>
      <c r="R10" s="18" t="str">
        <f>IF(water_out[[#This Row],[Month]]&lt;&gt;"",VLOOKUP(water_out[[#This Row],[Month]], dropdown!$S$4:$T$15, 2, FALSE),"")</f>
        <v>Q1</v>
      </c>
      <c r="S10" s="60" t="s">
        <v>364</v>
      </c>
      <c r="T10" s="29">
        <v>64</v>
      </c>
      <c r="U10" s="195" t="s">
        <v>1436</v>
      </c>
      <c r="W10" s="20"/>
    </row>
    <row r="11" spans="2:23" ht="14" x14ac:dyDescent="0.2">
      <c r="B11" s="17" t="s">
        <v>120</v>
      </c>
      <c r="C11" s="17" t="s">
        <v>220</v>
      </c>
      <c r="D11" s="41">
        <f>SUMIFS(water_in[Volume (m3)],water_in[Quarter],D$10)</f>
        <v>281</v>
      </c>
      <c r="E11" s="41">
        <f>SUMIFS(water_in[Volume (m3)],water_in[Quarter],E$10)</f>
        <v>385</v>
      </c>
      <c r="F11" s="41">
        <f>SUMIFS(water_in[Volume (m3)],water_in[Quarter],F$10)</f>
        <v>843</v>
      </c>
      <c r="G11" s="41">
        <f>SUMIFS(water_in[Volume (m3)],water_in[Quarter],G$10)</f>
        <v>731</v>
      </c>
      <c r="I11" s="194">
        <f t="shared" si="0"/>
        <v>4</v>
      </c>
      <c r="J11" s="58" t="s">
        <v>371</v>
      </c>
      <c r="K11" s="426" t="str">
        <f>IF(water_in[[#This Row],[Month]]&lt;&gt;"",VLOOKUP(water_in[[#This Row],[Month]], dropdown!$S$4:$T$15, 2, FALSE),"")</f>
        <v>Q2</v>
      </c>
      <c r="L11" s="58" t="s">
        <v>124</v>
      </c>
      <c r="M11" s="29">
        <v>140</v>
      </c>
      <c r="N11" s="195"/>
      <c r="O11" s="44"/>
      <c r="P11" s="194">
        <f t="shared" si="1"/>
        <v>4</v>
      </c>
      <c r="Q11" s="58" t="s">
        <v>371</v>
      </c>
      <c r="R11" s="18" t="str">
        <f>IF(water_out[[#This Row],[Month]]&lt;&gt;"",VLOOKUP(water_out[[#This Row],[Month]], dropdown!$S$4:$T$15, 2, FALSE),"")</f>
        <v>Q2</v>
      </c>
      <c r="S11" s="60" t="s">
        <v>364</v>
      </c>
      <c r="T11" s="29">
        <v>64</v>
      </c>
      <c r="U11" s="195" t="s">
        <v>1436</v>
      </c>
      <c r="W11" s="20"/>
    </row>
    <row r="12" spans="2:23" ht="14" x14ac:dyDescent="0.2">
      <c r="B12" s="17" t="s">
        <v>128</v>
      </c>
      <c r="C12" s="17" t="s">
        <v>220</v>
      </c>
      <c r="D12" s="41">
        <f>SUMIFS(water_out[Volume2 (m3)],water_out[Quarter],D$10)</f>
        <v>192</v>
      </c>
      <c r="E12" s="41">
        <f>SUMIFS(water_out[Volume2 (m3)],water_out[Quarter],E$10)</f>
        <v>192</v>
      </c>
      <c r="F12" s="41">
        <f>SUMIFS(water_out[Volume2 (m3)],water_out[Quarter],F$10)</f>
        <v>192</v>
      </c>
      <c r="G12" s="41">
        <f>SUMIFS(water_out[Volume2 (m3)],water_out[Quarter],G$10)</f>
        <v>192</v>
      </c>
      <c r="I12" s="194">
        <f t="shared" si="0"/>
        <v>5</v>
      </c>
      <c r="J12" s="58" t="s">
        <v>379</v>
      </c>
      <c r="K12" s="426" t="str">
        <f>IF(water_in[[#This Row],[Month]]&lt;&gt;"",VLOOKUP(water_in[[#This Row],[Month]], dropdown!$S$4:$T$15, 2, FALSE),"")</f>
        <v>Q2</v>
      </c>
      <c r="L12" s="58" t="s">
        <v>124</v>
      </c>
      <c r="M12" s="29">
        <v>130</v>
      </c>
      <c r="N12" s="195"/>
      <c r="O12" s="44" t="str">
        <f>IF(J12="","",VLOOKUP($J12,dropdown!$S$3:$T$15,2,FALSE))</f>
        <v>Q2</v>
      </c>
      <c r="P12" s="194">
        <f t="shared" si="1"/>
        <v>5</v>
      </c>
      <c r="Q12" s="58" t="s">
        <v>379</v>
      </c>
      <c r="R12" s="18" t="str">
        <f>IF(water_out[[#This Row],[Month]]&lt;&gt;"",VLOOKUP(water_out[[#This Row],[Month]], dropdown!$S$4:$T$15, 2, FALSE),"")</f>
        <v>Q2</v>
      </c>
      <c r="S12" s="60" t="s">
        <v>364</v>
      </c>
      <c r="T12" s="29">
        <v>64</v>
      </c>
      <c r="U12" s="195" t="s">
        <v>1436</v>
      </c>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115</v>
      </c>
      <c r="N13" s="195"/>
      <c r="O13" s="44" t="str">
        <f>IF(J13="","",VLOOKUP($J13,dropdown!$S$3:$T$15,2,FALSE))</f>
        <v>Q2</v>
      </c>
      <c r="P13" s="194">
        <f t="shared" si="1"/>
        <v>6</v>
      </c>
      <c r="Q13" s="58" t="s">
        <v>386</v>
      </c>
      <c r="R13" s="18" t="str">
        <f>IF(water_out[[#This Row],[Month]]&lt;&gt;"",VLOOKUP(water_out[[#This Row],[Month]], dropdown!$S$4:$T$15, 2, FALSE),"")</f>
        <v>Q2</v>
      </c>
      <c r="S13" s="60" t="s">
        <v>364</v>
      </c>
      <c r="T13" s="29">
        <v>64</v>
      </c>
      <c r="U13" s="195" t="s">
        <v>1436</v>
      </c>
      <c r="W13" s="20"/>
    </row>
    <row r="14" spans="2:23" ht="14" x14ac:dyDescent="0.2">
      <c r="B14" s="119" t="s">
        <v>38</v>
      </c>
      <c r="I14" s="194">
        <f t="shared" si="0"/>
        <v>7</v>
      </c>
      <c r="J14" s="58" t="s">
        <v>390</v>
      </c>
      <c r="K14" s="426" t="str">
        <f>IF(water_in[[#This Row],[Month]]&lt;&gt;"",VLOOKUP(water_in[[#This Row],[Month]], dropdown!$S$4:$T$15, 2, FALSE),"")</f>
        <v>Q3</v>
      </c>
      <c r="L14" s="58" t="s">
        <v>124</v>
      </c>
      <c r="M14" s="29">
        <v>162</v>
      </c>
      <c r="N14" s="195"/>
      <c r="O14" s="44" t="str">
        <f>IF(J14="","",VLOOKUP($J14,dropdown!$S$3:$T$15,2,FALSE))</f>
        <v>Q3</v>
      </c>
      <c r="P14" s="194">
        <f t="shared" si="1"/>
        <v>7</v>
      </c>
      <c r="Q14" s="58" t="s">
        <v>390</v>
      </c>
      <c r="R14" s="18" t="str">
        <f>IF(water_out[[#This Row],[Month]]&lt;&gt;"",VLOOKUP(water_out[[#This Row],[Month]], dropdown!$S$4:$T$15, 2, FALSE),"")</f>
        <v>Q3</v>
      </c>
      <c r="S14" s="60" t="s">
        <v>364</v>
      </c>
      <c r="T14" s="29">
        <v>64</v>
      </c>
      <c r="U14" s="195" t="s">
        <v>1436</v>
      </c>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294</v>
      </c>
      <c r="N15" s="195"/>
      <c r="O15" s="44" t="str">
        <f>IF(J15="","",VLOOKUP($J15,dropdown!$S$3:$T$15,2,FALSE))</f>
        <v>Q3</v>
      </c>
      <c r="P15" s="194">
        <f t="shared" si="1"/>
        <v>8</v>
      </c>
      <c r="Q15" s="58" t="s">
        <v>41</v>
      </c>
      <c r="R15" s="18" t="str">
        <f>IF(water_out[[#This Row],[Month]]&lt;&gt;"",VLOOKUP(water_out[[#This Row],[Month]], dropdown!$S$4:$T$15, 2, FALSE),"")</f>
        <v>Q3</v>
      </c>
      <c r="S15" s="60" t="s">
        <v>364</v>
      </c>
      <c r="T15" s="29">
        <v>64</v>
      </c>
      <c r="U15" s="195" t="s">
        <v>1436</v>
      </c>
      <c r="W15" s="20"/>
    </row>
    <row r="16" spans="2:23" ht="14" x14ac:dyDescent="0.2">
      <c r="B16" s="121" t="s">
        <v>176</v>
      </c>
      <c r="I16" s="194">
        <f t="shared" si="0"/>
        <v>9</v>
      </c>
      <c r="J16" s="58" t="s">
        <v>397</v>
      </c>
      <c r="K16" s="426" t="str">
        <f>IF(water_in[[#This Row],[Month]]&lt;&gt;"",VLOOKUP(water_in[[#This Row],[Month]], dropdown!$S$4:$T$15, 2, FALSE),"")</f>
        <v>Q3</v>
      </c>
      <c r="L16" s="58" t="s">
        <v>124</v>
      </c>
      <c r="M16" s="29">
        <v>387</v>
      </c>
      <c r="N16" s="195"/>
      <c r="O16" s="44" t="str">
        <f>IF(J16="","",VLOOKUP($J16,dropdown!$S$3:$T$15,2,FALSE))</f>
        <v>Q3</v>
      </c>
      <c r="P16" s="194">
        <f t="shared" si="1"/>
        <v>9</v>
      </c>
      <c r="Q16" s="58" t="s">
        <v>397</v>
      </c>
      <c r="R16" s="18" t="str">
        <f>IF(water_out[[#This Row],[Month]]&lt;&gt;"",VLOOKUP(water_out[[#This Row],[Month]], dropdown!$S$4:$T$15, 2, FALSE),"")</f>
        <v>Q3</v>
      </c>
      <c r="S16" s="60" t="s">
        <v>364</v>
      </c>
      <c r="T16" s="29">
        <v>64</v>
      </c>
      <c r="U16" s="195" t="s">
        <v>1436</v>
      </c>
      <c r="W16" s="20"/>
    </row>
    <row r="17" spans="2:23" ht="14" x14ac:dyDescent="0.2">
      <c r="B17" s="122" t="s">
        <v>177</v>
      </c>
      <c r="I17" s="194">
        <f t="shared" si="0"/>
        <v>10</v>
      </c>
      <c r="J17" s="58" t="s">
        <v>400</v>
      </c>
      <c r="K17" s="426" t="str">
        <f>IF(water_in[[#This Row],[Month]]&lt;&gt;"",VLOOKUP(water_in[[#This Row],[Month]], dropdown!$S$4:$T$15, 2, FALSE),"")</f>
        <v>Q4</v>
      </c>
      <c r="L17" s="58" t="s">
        <v>124</v>
      </c>
      <c r="M17" s="29">
        <v>456</v>
      </c>
      <c r="N17" s="195"/>
      <c r="O17" s="44" t="str">
        <f>IF(J17="","",VLOOKUP($J17,dropdown!$S$3:$T$15,2,FALSE))</f>
        <v>Q4</v>
      </c>
      <c r="P17" s="194">
        <f t="shared" si="1"/>
        <v>10</v>
      </c>
      <c r="Q17" s="58" t="s">
        <v>400</v>
      </c>
      <c r="R17" s="18" t="str">
        <f>IF(water_out[[#This Row],[Month]]&lt;&gt;"",VLOOKUP(water_out[[#This Row],[Month]], dropdown!$S$4:$T$15, 2, FALSE),"")</f>
        <v>Q4</v>
      </c>
      <c r="S17" s="60" t="s">
        <v>364</v>
      </c>
      <c r="T17" s="29">
        <v>64</v>
      </c>
      <c r="U17" s="195" t="s">
        <v>1436</v>
      </c>
      <c r="V17" s="44" t="s">
        <v>43</v>
      </c>
      <c r="W17" s="20"/>
    </row>
    <row r="18" spans="2:23" ht="14" x14ac:dyDescent="0.2">
      <c r="I18" s="194">
        <f t="shared" si="0"/>
        <v>11</v>
      </c>
      <c r="J18" s="58" t="s">
        <v>404</v>
      </c>
      <c r="K18" s="426" t="str">
        <f>IF(water_in[[#This Row],[Month]]&lt;&gt;"",VLOOKUP(water_in[[#This Row],[Month]], dropdown!$S$4:$T$15, 2, FALSE),"")</f>
        <v>Q4</v>
      </c>
      <c r="L18" s="58" t="s">
        <v>124</v>
      </c>
      <c r="M18" s="29">
        <v>188</v>
      </c>
      <c r="N18" s="195"/>
      <c r="O18" s="44" t="str">
        <f>IF(J18="","",VLOOKUP($J18,dropdown!$S$3:$T$15,2,FALSE))</f>
        <v>Q4</v>
      </c>
      <c r="P18" s="194">
        <f t="shared" si="1"/>
        <v>11</v>
      </c>
      <c r="Q18" s="58" t="s">
        <v>404</v>
      </c>
      <c r="R18" s="18" t="str">
        <f>IF(water_out[[#This Row],[Month]]&lt;&gt;"",VLOOKUP(water_out[[#This Row],[Month]], dropdown!$S$4:$T$15, 2, FALSE),"")</f>
        <v>Q4</v>
      </c>
      <c r="S18" s="60" t="s">
        <v>364</v>
      </c>
      <c r="T18" s="29">
        <v>64</v>
      </c>
      <c r="U18" s="195" t="s">
        <v>1436</v>
      </c>
      <c r="V18" s="44" t="str">
        <f>IF(Q8="","",VLOOKUP($Q8,dropdown!$S$3:$T$15,2,FALSE))</f>
        <v>Q1</v>
      </c>
      <c r="W18" s="20"/>
    </row>
    <row r="19" spans="2:23" ht="14" x14ac:dyDescent="0.2">
      <c r="I19" s="194">
        <f t="shared" si="0"/>
        <v>12</v>
      </c>
      <c r="J19" s="58" t="s">
        <v>407</v>
      </c>
      <c r="K19" s="426" t="str">
        <f>IF(water_in[[#This Row],[Month]]&lt;&gt;"",VLOOKUP(water_in[[#This Row],[Month]], dropdown!$S$4:$T$15, 2, FALSE),"")</f>
        <v>Q4</v>
      </c>
      <c r="L19" s="58" t="s">
        <v>124</v>
      </c>
      <c r="M19" s="29">
        <v>87</v>
      </c>
      <c r="N19" s="195"/>
      <c r="O19" s="44" t="str">
        <f>IF(J19="","",VLOOKUP($J19,dropdown!$S$3:$T$15,2,FALSE))</f>
        <v>Q4</v>
      </c>
      <c r="P19" s="194">
        <f t="shared" si="1"/>
        <v>12</v>
      </c>
      <c r="Q19" s="58" t="s">
        <v>407</v>
      </c>
      <c r="R19" s="18" t="str">
        <f>IF(water_out[[#This Row],[Month]]&lt;&gt;"",VLOOKUP(water_out[[#This Row],[Month]], dropdown!$S$4:$T$15, 2, FALSE),"")</f>
        <v>Q4</v>
      </c>
      <c r="S19" s="60" t="s">
        <v>364</v>
      </c>
      <c r="T19" s="29">
        <v>64</v>
      </c>
      <c r="U19" s="195" t="s">
        <v>1436</v>
      </c>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Q3</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Q3</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Q3</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Q4</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Q4</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Q4</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Dagupan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B11" zoomScaleNormal="100" workbookViewId="0">
      <selection activeCell="C6" sqref="C6:G6"/>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Dagupan Branch</v>
      </c>
      <c r="C4" s="37"/>
      <c r="D4" s="38">
        <f>IF('1. Data Info and Summary'!$D$3=0,"-",'1. Data Info and Summary'!$D$3)</f>
        <v>2024</v>
      </c>
      <c r="E4" s="37"/>
      <c r="F4" s="37" t="s">
        <v>165</v>
      </c>
      <c r="G4" s="39"/>
      <c r="I4" s="42"/>
      <c r="J4" s="25"/>
      <c r="K4" s="25"/>
      <c r="L4" s="24"/>
      <c r="M4" s="21" t="s">
        <v>1434</v>
      </c>
      <c r="N4" s="24"/>
      <c r="O4" s="27"/>
      <c r="Q4" s="44"/>
    </row>
    <row r="5" spans="2:17" x14ac:dyDescent="0.2">
      <c r="B5" s="212"/>
      <c r="C5" s="213"/>
      <c r="D5" s="212"/>
      <c r="E5" s="213"/>
      <c r="F5" s="213"/>
      <c r="G5" s="213"/>
      <c r="Q5" s="44"/>
    </row>
    <row r="6" spans="2:17" x14ac:dyDescent="0.2">
      <c r="B6" s="278" t="s">
        <v>172</v>
      </c>
      <c r="C6" s="447" t="s">
        <v>1435</v>
      </c>
      <c r="D6" s="448"/>
      <c r="E6" s="448"/>
      <c r="F6" s="448"/>
      <c r="G6" s="449"/>
      <c r="I6" s="409" t="s">
        <v>282</v>
      </c>
      <c r="J6" s="407"/>
      <c r="K6" s="407"/>
      <c r="L6" s="407"/>
      <c r="M6" s="408"/>
      <c r="N6" s="407"/>
      <c r="O6" s="407"/>
      <c r="Q6" s="44"/>
    </row>
    <row r="7" spans="2:17" ht="25.5" customHeight="1" x14ac:dyDescent="0.2">
      <c r="B7" s="278" t="s">
        <v>174</v>
      </c>
      <c r="C7" s="451">
        <v>45910</v>
      </c>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318</v>
      </c>
      <c r="M8" s="29">
        <v>43.33</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318</v>
      </c>
      <c r="M9" s="29">
        <v>43.33</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318</v>
      </c>
      <c r="M10" s="29">
        <v>43.33</v>
      </c>
      <c r="N10" s="57" t="s">
        <v>313</v>
      </c>
      <c r="O10" s="195"/>
      <c r="Q10" s="44"/>
    </row>
    <row r="11" spans="2:17" x14ac:dyDescent="0.2">
      <c r="B11" s="17" t="str">
        <f>dropdown!$B4</f>
        <v>Compostable</v>
      </c>
      <c r="C11" s="17" t="s">
        <v>283</v>
      </c>
      <c r="D11" s="41">
        <f>SUMIFS(Waste[Weight (kg)],Waste[Quarter],D$10,Waste[Waste Composition],$B$11)</f>
        <v>12690</v>
      </c>
      <c r="E11" s="41">
        <f>SUMIFS(Waste[Weight (kg)],Waste[Quarter],E$10,Waste[Waste Composition],$B11)</f>
        <v>12690</v>
      </c>
      <c r="F11" s="41">
        <f>SUMIFS(Waste[Weight (kg)],Waste[Quarter],F$10,Waste[Waste Composition],$B11)</f>
        <v>10089.99</v>
      </c>
      <c r="G11" s="41">
        <f>SUMIFS(Waste[Weight (kg)],Waste[Quarter],G$10,Waste[Waste Composition],$B11)</f>
        <v>10089.99</v>
      </c>
      <c r="I11" s="194">
        <f t="shared" si="0"/>
        <v>4</v>
      </c>
      <c r="J11" s="58" t="s">
        <v>338</v>
      </c>
      <c r="K11" s="194" t="str">
        <f>IF(Waste[[#This Row],[Month]]&lt;&gt;"",VLOOKUP(Waste[[#This Row],[Month]], dropdown!$S$4:$T$15, 2, FALSE),"")</f>
        <v>Q1</v>
      </c>
      <c r="L11" s="57" t="s">
        <v>383</v>
      </c>
      <c r="M11" s="29">
        <v>56.66</v>
      </c>
      <c r="N11" s="57" t="s">
        <v>313</v>
      </c>
      <c r="O11" s="195"/>
      <c r="Q11" s="44"/>
    </row>
    <row r="12" spans="2:17" x14ac:dyDescent="0.2">
      <c r="B12" s="17" t="str">
        <f>dropdown!$B5</f>
        <v>Recyclable</v>
      </c>
      <c r="C12" s="17" t="s">
        <v>283</v>
      </c>
      <c r="D12" s="41">
        <f>SUMIFS(Waste[Weight (kg)],Waste[Quarter],D$10,Waste[Waste Composition],$B12)</f>
        <v>129.99</v>
      </c>
      <c r="E12" s="41">
        <f>SUMIFS(Waste[Weight (kg)],Waste[Quarter],E$10,Waste[Waste Composition],$B12)</f>
        <v>129.99</v>
      </c>
      <c r="F12" s="41">
        <f>SUMIFS(Waste[Weight (kg)],Waste[Quarter],F$10,Waste[Waste Composition],$B12)</f>
        <v>129.99</v>
      </c>
      <c r="G12" s="41">
        <f>SUMIFS(Waste[Weight (kg)],Waste[Quarter],G$10,Waste[Waste Composition],$B12)</f>
        <v>129.99</v>
      </c>
      <c r="I12" s="194">
        <f t="shared" si="0"/>
        <v>5</v>
      </c>
      <c r="J12" s="58" t="s">
        <v>89</v>
      </c>
      <c r="K12" s="194" t="str">
        <f>IF(Waste[[#This Row],[Month]]&lt;&gt;"",VLOOKUP(Waste[[#This Row],[Month]], dropdown!$S$4:$T$15, 2, FALSE),"")</f>
        <v>Q1</v>
      </c>
      <c r="L12" s="57" t="s">
        <v>383</v>
      </c>
      <c r="M12" s="29">
        <v>56.66</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362</v>
      </c>
      <c r="K13" s="194" t="str">
        <f>IF(Waste[[#This Row],[Month]]&lt;&gt;"",VLOOKUP(Waste[[#This Row],[Month]], dropdown!$S$4:$T$15, 2, FALSE),"")</f>
        <v>Q1</v>
      </c>
      <c r="L13" s="57" t="s">
        <v>383</v>
      </c>
      <c r="M13" s="29">
        <v>56.66</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338</v>
      </c>
      <c r="K14" s="194" t="str">
        <f>IF(Waste[[#This Row],[Month]]&lt;&gt;"",VLOOKUP(Waste[[#This Row],[Month]], dropdown!$S$4:$T$15, 2, FALSE),"")</f>
        <v>Q1</v>
      </c>
      <c r="L14" s="57" t="s">
        <v>139</v>
      </c>
      <c r="M14" s="29">
        <v>4230</v>
      </c>
      <c r="N14" s="57" t="s">
        <v>347</v>
      </c>
      <c r="O14" s="195" t="s">
        <v>1431</v>
      </c>
      <c r="Q14" s="44"/>
    </row>
    <row r="15" spans="2:17" ht="15" customHeight="1" x14ac:dyDescent="0.2">
      <c r="B15" s="17" t="str">
        <f>dropdown!$B8</f>
        <v>Hazardous</v>
      </c>
      <c r="C15" s="17" t="s">
        <v>283</v>
      </c>
      <c r="D15" s="41">
        <f>SUMIFS(Waste[Weight (kg)],Waste[Quarter],D$10,Waste[Waste Composition],$B15)</f>
        <v>1739.83</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139</v>
      </c>
      <c r="M15" s="29">
        <v>4230</v>
      </c>
      <c r="N15" s="57" t="s">
        <v>347</v>
      </c>
      <c r="O15" s="195" t="s">
        <v>1431</v>
      </c>
    </row>
    <row r="16" spans="2:17" x14ac:dyDescent="0.2">
      <c r="B16" s="17" t="str">
        <f>dropdown!$B9</f>
        <v>Residual/Landfill</v>
      </c>
      <c r="C16" s="17" t="s">
        <v>283</v>
      </c>
      <c r="D16" s="41">
        <f>SUMIFS(Waste[Weight (kg)],Waste[Quarter],D$10,Waste[Waste Composition],$B16)</f>
        <v>169.98</v>
      </c>
      <c r="E16" s="41">
        <f>SUMIFS(Waste[Weight (kg)],Waste[Quarter],E$10,Waste[Waste Composition],$B16)</f>
        <v>169.98</v>
      </c>
      <c r="F16" s="41">
        <f>SUMIFS(Waste[Weight (kg)],Waste[Quarter],F$10,Waste[Waste Composition],$B16)</f>
        <v>169.98</v>
      </c>
      <c r="G16" s="41">
        <f>SUMIFS(Waste[Weight (kg)],Waste[Quarter],G$10,Waste[Waste Composition],$B16)</f>
        <v>169.98</v>
      </c>
      <c r="I16" s="194">
        <f t="shared" si="0"/>
        <v>9</v>
      </c>
      <c r="J16" s="58" t="s">
        <v>362</v>
      </c>
      <c r="K16" s="194" t="str">
        <f>IF(Waste[[#This Row],[Month]]&lt;&gt;"",VLOOKUP(Waste[[#This Row],[Month]], dropdown!$S$4:$T$15, 2, FALSE),"")</f>
        <v>Q1</v>
      </c>
      <c r="L16" s="57" t="s">
        <v>139</v>
      </c>
      <c r="M16" s="29">
        <v>4230</v>
      </c>
      <c r="N16" s="57" t="s">
        <v>347</v>
      </c>
      <c r="O16" s="195" t="s">
        <v>1431</v>
      </c>
    </row>
    <row r="17" spans="2:15" x14ac:dyDescent="0.2">
      <c r="I17" s="194">
        <f t="shared" si="0"/>
        <v>10</v>
      </c>
      <c r="J17" s="58" t="s">
        <v>338</v>
      </c>
      <c r="K17" s="194" t="str">
        <f>IF(Waste[[#This Row],[Month]]&lt;&gt;"",VLOOKUP(Waste[[#This Row],[Month]], dropdown!$S$4:$T$15, 2, FALSE),"")</f>
        <v>Q1</v>
      </c>
      <c r="L17" s="57" t="s">
        <v>317</v>
      </c>
      <c r="M17" s="29">
        <v>1739.83</v>
      </c>
      <c r="N17" s="57" t="s">
        <v>364</v>
      </c>
      <c r="O17" s="195" t="s">
        <v>1432</v>
      </c>
    </row>
    <row r="18" spans="2:15" x14ac:dyDescent="0.2">
      <c r="B18" s="267" t="s">
        <v>38</v>
      </c>
      <c r="I18" s="194">
        <f t="shared" si="0"/>
        <v>11</v>
      </c>
      <c r="J18" s="58" t="s">
        <v>89</v>
      </c>
      <c r="K18" s="194" t="str">
        <f>IF(Waste[[#This Row],[Month]]&lt;&gt;"",VLOOKUP(Waste[[#This Row],[Month]], dropdown!$S$4:$T$15, 2, FALSE),"")</f>
        <v>Q1</v>
      </c>
      <c r="L18" s="57" t="s">
        <v>317</v>
      </c>
      <c r="M18" s="29">
        <v>0</v>
      </c>
      <c r="N18" s="57" t="s">
        <v>364</v>
      </c>
      <c r="O18" s="195" t="s">
        <v>1432</v>
      </c>
    </row>
    <row r="19" spans="2:15" x14ac:dyDescent="0.2">
      <c r="B19" s="268" t="s">
        <v>175</v>
      </c>
      <c r="I19" s="194">
        <f t="shared" ref="I19" si="1">IF($J19="","",$I18+1)</f>
        <v>12</v>
      </c>
      <c r="J19" s="58" t="s">
        <v>362</v>
      </c>
      <c r="K19" s="194" t="str">
        <f>IF(Waste[[#This Row],[Month]]&lt;&gt;"",VLOOKUP(Waste[[#This Row],[Month]], dropdown!$S$4:$T$15, 2, FALSE),"")</f>
        <v>Q1</v>
      </c>
      <c r="L19" s="57" t="s">
        <v>317</v>
      </c>
      <c r="M19" s="29">
        <v>0</v>
      </c>
      <c r="N19" s="57" t="s">
        <v>364</v>
      </c>
      <c r="O19" s="195" t="s">
        <v>1432</v>
      </c>
    </row>
    <row r="20" spans="2:15" x14ac:dyDescent="0.2">
      <c r="B20" s="266" t="s">
        <v>176</v>
      </c>
      <c r="I20" s="194">
        <f t="shared" si="0"/>
        <v>13</v>
      </c>
      <c r="J20" s="58" t="s">
        <v>371</v>
      </c>
      <c r="K20" s="194" t="str">
        <f>IF(Waste[[#This Row],[Month]]&lt;&gt;"",VLOOKUP(Waste[[#This Row],[Month]], dropdown!$S$4:$T$15, 2, FALSE),"")</f>
        <v>Q2</v>
      </c>
      <c r="L20" s="57" t="s">
        <v>318</v>
      </c>
      <c r="M20" s="29">
        <v>43.33</v>
      </c>
      <c r="N20" s="57" t="s">
        <v>313</v>
      </c>
      <c r="O20" s="195"/>
    </row>
    <row r="21" spans="2:15" x14ac:dyDescent="0.2">
      <c r="B21" s="17" t="s">
        <v>177</v>
      </c>
      <c r="I21" s="194">
        <f t="shared" si="0"/>
        <v>14</v>
      </c>
      <c r="J21" s="58" t="s">
        <v>379</v>
      </c>
      <c r="K21" s="194" t="str">
        <f>IF(Waste[[#This Row],[Month]]&lt;&gt;"",VLOOKUP(Waste[[#This Row],[Month]], dropdown!$S$4:$T$15, 2, FALSE),"")</f>
        <v>Q2</v>
      </c>
      <c r="L21" s="57" t="s">
        <v>318</v>
      </c>
      <c r="M21" s="29">
        <v>43.33</v>
      </c>
      <c r="N21" s="57" t="s">
        <v>313</v>
      </c>
      <c r="O21" s="195"/>
    </row>
    <row r="22" spans="2:15" x14ac:dyDescent="0.2">
      <c r="I22" s="194">
        <f t="shared" si="0"/>
        <v>15</v>
      </c>
      <c r="J22" s="58" t="s">
        <v>386</v>
      </c>
      <c r="K22" s="194" t="str">
        <f>IF(Waste[[#This Row],[Month]]&lt;&gt;"",VLOOKUP(Waste[[#This Row],[Month]], dropdown!$S$4:$T$15, 2, FALSE),"")</f>
        <v>Q2</v>
      </c>
      <c r="L22" s="57" t="s">
        <v>318</v>
      </c>
      <c r="M22" s="29">
        <v>43.33</v>
      </c>
      <c r="N22" s="57" t="s">
        <v>313</v>
      </c>
      <c r="O22" s="195"/>
    </row>
    <row r="23" spans="2:15" x14ac:dyDescent="0.2">
      <c r="I23" s="194">
        <f t="shared" si="0"/>
        <v>16</v>
      </c>
      <c r="J23" s="58" t="s">
        <v>371</v>
      </c>
      <c r="K23" s="194" t="str">
        <f>IF(Waste[[#This Row],[Month]]&lt;&gt;"",VLOOKUP(Waste[[#This Row],[Month]], dropdown!$S$4:$T$15, 2, FALSE),"")</f>
        <v>Q2</v>
      </c>
      <c r="L23" s="57" t="s">
        <v>383</v>
      </c>
      <c r="M23" s="29">
        <v>56.66</v>
      </c>
      <c r="N23" s="57" t="s">
        <v>313</v>
      </c>
      <c r="O23" s="195"/>
    </row>
    <row r="24" spans="2:15" x14ac:dyDescent="0.2">
      <c r="I24" s="194">
        <f t="shared" si="0"/>
        <v>17</v>
      </c>
      <c r="J24" s="58" t="s">
        <v>379</v>
      </c>
      <c r="K24" s="194" t="str">
        <f>IF(Waste[[#This Row],[Month]]&lt;&gt;"",VLOOKUP(Waste[[#This Row],[Month]], dropdown!$S$4:$T$15, 2, FALSE),"")</f>
        <v>Q2</v>
      </c>
      <c r="L24" s="57" t="s">
        <v>383</v>
      </c>
      <c r="M24" s="29">
        <v>56.66</v>
      </c>
      <c r="N24" s="57" t="s">
        <v>313</v>
      </c>
      <c r="O24" s="195"/>
    </row>
    <row r="25" spans="2:15" x14ac:dyDescent="0.2">
      <c r="I25" s="194">
        <f t="shared" si="0"/>
        <v>18</v>
      </c>
      <c r="J25" s="58" t="s">
        <v>386</v>
      </c>
      <c r="K25" s="194" t="str">
        <f>IF(Waste[[#This Row],[Month]]&lt;&gt;"",VLOOKUP(Waste[[#This Row],[Month]], dropdown!$S$4:$T$15, 2, FALSE),"")</f>
        <v>Q2</v>
      </c>
      <c r="L25" s="57" t="s">
        <v>383</v>
      </c>
      <c r="M25" s="29">
        <v>56.66</v>
      </c>
      <c r="N25" s="57" t="s">
        <v>313</v>
      </c>
      <c r="O25" s="195"/>
    </row>
    <row r="26" spans="2:15" x14ac:dyDescent="0.2">
      <c r="I26" s="194">
        <f t="shared" si="0"/>
        <v>19</v>
      </c>
      <c r="J26" s="58" t="s">
        <v>371</v>
      </c>
      <c r="K26" s="194" t="str">
        <f>IF(Waste[[#This Row],[Month]]&lt;&gt;"",VLOOKUP(Waste[[#This Row],[Month]], dropdown!$S$4:$T$15, 2, FALSE),"")</f>
        <v>Q2</v>
      </c>
      <c r="L26" s="57" t="s">
        <v>139</v>
      </c>
      <c r="M26" s="29">
        <v>4230</v>
      </c>
      <c r="N26" s="57" t="s">
        <v>347</v>
      </c>
      <c r="O26" s="195" t="s">
        <v>1431</v>
      </c>
    </row>
    <row r="27" spans="2:15" x14ac:dyDescent="0.2">
      <c r="I27" s="194">
        <f t="shared" si="0"/>
        <v>20</v>
      </c>
      <c r="J27" s="58" t="s">
        <v>379</v>
      </c>
      <c r="K27" s="194" t="str">
        <f>IF(Waste[[#This Row],[Month]]&lt;&gt;"",VLOOKUP(Waste[[#This Row],[Month]], dropdown!$S$4:$T$15, 2, FALSE),"")</f>
        <v>Q2</v>
      </c>
      <c r="L27" s="57" t="s">
        <v>139</v>
      </c>
      <c r="M27" s="29">
        <v>4230</v>
      </c>
      <c r="N27" s="57" t="s">
        <v>347</v>
      </c>
      <c r="O27" s="195" t="s">
        <v>1431</v>
      </c>
    </row>
    <row r="28" spans="2:15" x14ac:dyDescent="0.2">
      <c r="I28" s="194">
        <f t="shared" si="0"/>
        <v>21</v>
      </c>
      <c r="J28" s="58" t="s">
        <v>386</v>
      </c>
      <c r="K28" s="194" t="str">
        <f>IF(Waste[[#This Row],[Month]]&lt;&gt;"",VLOOKUP(Waste[[#This Row],[Month]], dropdown!$S$4:$T$15, 2, FALSE),"")</f>
        <v>Q2</v>
      </c>
      <c r="L28" s="57" t="s">
        <v>139</v>
      </c>
      <c r="M28" s="29">
        <v>4230</v>
      </c>
      <c r="N28" s="57" t="s">
        <v>347</v>
      </c>
      <c r="O28" s="195" t="s">
        <v>1431</v>
      </c>
    </row>
    <row r="29" spans="2:15" x14ac:dyDescent="0.2">
      <c r="I29" s="194">
        <f t="shared" si="0"/>
        <v>22</v>
      </c>
      <c r="J29" s="58" t="s">
        <v>371</v>
      </c>
      <c r="K29" s="194" t="str">
        <f>IF(Waste[[#This Row],[Month]]&lt;&gt;"",VLOOKUP(Waste[[#This Row],[Month]], dropdown!$S$4:$T$15, 2, FALSE),"")</f>
        <v>Q2</v>
      </c>
      <c r="L29" s="57" t="s">
        <v>317</v>
      </c>
      <c r="M29" s="29">
        <v>0</v>
      </c>
      <c r="N29" s="57" t="s">
        <v>364</v>
      </c>
      <c r="O29" s="195" t="s">
        <v>1432</v>
      </c>
    </row>
    <row r="30" spans="2:15" x14ac:dyDescent="0.2">
      <c r="I30" s="194">
        <f t="shared" si="0"/>
        <v>23</v>
      </c>
      <c r="J30" s="58" t="s">
        <v>379</v>
      </c>
      <c r="K30" s="194" t="str">
        <f>IF(Waste[[#This Row],[Month]]&lt;&gt;"",VLOOKUP(Waste[[#This Row],[Month]], dropdown!$S$4:$T$15, 2, FALSE),"")</f>
        <v>Q2</v>
      </c>
      <c r="L30" s="57" t="s">
        <v>317</v>
      </c>
      <c r="M30" s="29">
        <v>0</v>
      </c>
      <c r="N30" s="57" t="s">
        <v>364</v>
      </c>
      <c r="O30" s="195" t="s">
        <v>1432</v>
      </c>
    </row>
    <row r="31" spans="2:15" x14ac:dyDescent="0.2">
      <c r="I31" s="194">
        <f t="shared" si="0"/>
        <v>24</v>
      </c>
      <c r="J31" s="58" t="s">
        <v>386</v>
      </c>
      <c r="K31" s="194" t="str">
        <f>IF(Waste[[#This Row],[Month]]&lt;&gt;"",VLOOKUP(Waste[[#This Row],[Month]], dropdown!$S$4:$T$15, 2, FALSE),"")</f>
        <v>Q2</v>
      </c>
      <c r="L31" s="57" t="s">
        <v>317</v>
      </c>
      <c r="M31" s="29">
        <v>0</v>
      </c>
      <c r="N31" s="57" t="s">
        <v>364</v>
      </c>
      <c r="O31" s="195" t="s">
        <v>1432</v>
      </c>
    </row>
    <row r="32" spans="2:15" x14ac:dyDescent="0.2">
      <c r="I32" s="194">
        <f t="shared" si="0"/>
        <v>25</v>
      </c>
      <c r="J32" s="58" t="s">
        <v>390</v>
      </c>
      <c r="K32" s="194" t="str">
        <f>IF(Waste[[#This Row],[Month]]&lt;&gt;"",VLOOKUP(Waste[[#This Row],[Month]], dropdown!$S$4:$T$15, 2, FALSE),"")</f>
        <v>Q3</v>
      </c>
      <c r="L32" s="57" t="s">
        <v>318</v>
      </c>
      <c r="M32" s="29">
        <v>43.33</v>
      </c>
      <c r="N32" s="57" t="s">
        <v>313</v>
      </c>
      <c r="O32" s="195"/>
    </row>
    <row r="33" spans="9:15" x14ac:dyDescent="0.2">
      <c r="I33" s="194">
        <f t="shared" si="0"/>
        <v>26</v>
      </c>
      <c r="J33" s="58" t="s">
        <v>41</v>
      </c>
      <c r="K33" s="194" t="str">
        <f>IF(Waste[[#This Row],[Month]]&lt;&gt;"",VLOOKUP(Waste[[#This Row],[Month]], dropdown!$S$4:$T$15, 2, FALSE),"")</f>
        <v>Q3</v>
      </c>
      <c r="L33" s="57" t="s">
        <v>318</v>
      </c>
      <c r="M33" s="29">
        <v>43.33</v>
      </c>
      <c r="N33" s="57" t="s">
        <v>313</v>
      </c>
      <c r="O33" s="195"/>
    </row>
    <row r="34" spans="9:15" x14ac:dyDescent="0.2">
      <c r="I34" s="194">
        <f t="shared" si="0"/>
        <v>27</v>
      </c>
      <c r="J34" s="58" t="s">
        <v>397</v>
      </c>
      <c r="K34" s="194" t="str">
        <f>IF(Waste[[#This Row],[Month]]&lt;&gt;"",VLOOKUP(Waste[[#This Row],[Month]], dropdown!$S$4:$T$15, 2, FALSE),"")</f>
        <v>Q3</v>
      </c>
      <c r="L34" s="57" t="s">
        <v>318</v>
      </c>
      <c r="M34" s="29">
        <v>43.33</v>
      </c>
      <c r="N34" s="57" t="s">
        <v>313</v>
      </c>
      <c r="O34" s="195"/>
    </row>
    <row r="35" spans="9:15" x14ac:dyDescent="0.2">
      <c r="I35" s="194">
        <f t="shared" si="0"/>
        <v>28</v>
      </c>
      <c r="J35" s="58" t="s">
        <v>390</v>
      </c>
      <c r="K35" s="194" t="str">
        <f>IF(Waste[[#This Row],[Month]]&lt;&gt;"",VLOOKUP(Waste[[#This Row],[Month]], dropdown!$S$4:$T$15, 2, FALSE),"")</f>
        <v>Q3</v>
      </c>
      <c r="L35" s="57" t="s">
        <v>383</v>
      </c>
      <c r="M35" s="29">
        <v>56.66</v>
      </c>
      <c r="N35" s="57" t="s">
        <v>313</v>
      </c>
      <c r="O35" s="195"/>
    </row>
    <row r="36" spans="9:15" x14ac:dyDescent="0.2">
      <c r="I36" s="194">
        <f t="shared" si="0"/>
        <v>29</v>
      </c>
      <c r="J36" s="58" t="s">
        <v>41</v>
      </c>
      <c r="K36" s="194" t="str">
        <f>IF(Waste[[#This Row],[Month]]&lt;&gt;"",VLOOKUP(Waste[[#This Row],[Month]], dropdown!$S$4:$T$15, 2, FALSE),"")</f>
        <v>Q3</v>
      </c>
      <c r="L36" s="57" t="s">
        <v>383</v>
      </c>
      <c r="M36" s="29">
        <v>56.66</v>
      </c>
      <c r="N36" s="57" t="s">
        <v>313</v>
      </c>
      <c r="O36" s="195"/>
    </row>
    <row r="37" spans="9:15" x14ac:dyDescent="0.2">
      <c r="I37" s="194">
        <f t="shared" si="0"/>
        <v>30</v>
      </c>
      <c r="J37" s="58" t="s">
        <v>397</v>
      </c>
      <c r="K37" s="194" t="str">
        <f>IF(Waste[[#This Row],[Month]]&lt;&gt;"",VLOOKUP(Waste[[#This Row],[Month]], dropdown!$S$4:$T$15, 2, FALSE),"")</f>
        <v>Q3</v>
      </c>
      <c r="L37" s="57" t="s">
        <v>383</v>
      </c>
      <c r="M37" s="29">
        <v>56.66</v>
      </c>
      <c r="N37" s="57" t="s">
        <v>313</v>
      </c>
      <c r="O37" s="195"/>
    </row>
    <row r="38" spans="9:15" x14ac:dyDescent="0.2">
      <c r="I38" s="194">
        <f t="shared" si="0"/>
        <v>31</v>
      </c>
      <c r="J38" s="58" t="s">
        <v>390</v>
      </c>
      <c r="K38" s="194" t="str">
        <f>IF(Waste[[#This Row],[Month]]&lt;&gt;"",VLOOKUP(Waste[[#This Row],[Month]], dropdown!$S$4:$T$15, 2, FALSE),"")</f>
        <v>Q3</v>
      </c>
      <c r="L38" s="57" t="s">
        <v>139</v>
      </c>
      <c r="M38" s="29">
        <v>3363.33</v>
      </c>
      <c r="N38" s="57" t="s">
        <v>347</v>
      </c>
      <c r="O38" s="195" t="s">
        <v>1431</v>
      </c>
    </row>
    <row r="39" spans="9:15" x14ac:dyDescent="0.2">
      <c r="I39" s="194">
        <f t="shared" si="0"/>
        <v>32</v>
      </c>
      <c r="J39" s="58" t="s">
        <v>41</v>
      </c>
      <c r="K39" s="194" t="str">
        <f>IF(Waste[[#This Row],[Month]]&lt;&gt;"",VLOOKUP(Waste[[#This Row],[Month]], dropdown!$S$4:$T$15, 2, FALSE),"")</f>
        <v>Q3</v>
      </c>
      <c r="L39" s="57" t="s">
        <v>139</v>
      </c>
      <c r="M39" s="29">
        <v>3363.33</v>
      </c>
      <c r="N39" s="57" t="s">
        <v>347</v>
      </c>
      <c r="O39" s="195" t="s">
        <v>1431</v>
      </c>
    </row>
    <row r="40" spans="9:15" x14ac:dyDescent="0.2">
      <c r="I40" s="194">
        <f t="shared" si="0"/>
        <v>33</v>
      </c>
      <c r="J40" s="58" t="s">
        <v>397</v>
      </c>
      <c r="K40" s="194" t="str">
        <f>IF(Waste[[#This Row],[Month]]&lt;&gt;"",VLOOKUP(Waste[[#This Row],[Month]], dropdown!$S$4:$T$15, 2, FALSE),"")</f>
        <v>Q3</v>
      </c>
      <c r="L40" s="57" t="s">
        <v>139</v>
      </c>
      <c r="M40" s="29">
        <v>3363.33</v>
      </c>
      <c r="N40" s="57" t="s">
        <v>347</v>
      </c>
      <c r="O40" s="195" t="s">
        <v>1431</v>
      </c>
    </row>
    <row r="41" spans="9:15" x14ac:dyDescent="0.2">
      <c r="I41" s="194">
        <f t="shared" si="0"/>
        <v>34</v>
      </c>
      <c r="J41" s="58" t="s">
        <v>390</v>
      </c>
      <c r="K41" s="194" t="str">
        <f>IF(Waste[[#This Row],[Month]]&lt;&gt;"",VLOOKUP(Waste[[#This Row],[Month]], dropdown!$S$4:$T$15, 2, FALSE),"")</f>
        <v>Q3</v>
      </c>
      <c r="L41" s="57" t="s">
        <v>317</v>
      </c>
      <c r="M41" s="29">
        <v>0</v>
      </c>
      <c r="N41" s="57" t="s">
        <v>364</v>
      </c>
      <c r="O41" s="195" t="s">
        <v>1432</v>
      </c>
    </row>
    <row r="42" spans="9:15" x14ac:dyDescent="0.2">
      <c r="I42" s="194">
        <f t="shared" si="0"/>
        <v>35</v>
      </c>
      <c r="J42" s="58" t="s">
        <v>41</v>
      </c>
      <c r="K42" s="194" t="str">
        <f>IF(Waste[[#This Row],[Month]]&lt;&gt;"",VLOOKUP(Waste[[#This Row],[Month]], dropdown!$S$4:$T$15, 2, FALSE),"")</f>
        <v>Q3</v>
      </c>
      <c r="L42" s="57" t="s">
        <v>317</v>
      </c>
      <c r="M42" s="29">
        <v>0</v>
      </c>
      <c r="N42" s="57" t="s">
        <v>364</v>
      </c>
      <c r="O42" s="195" t="s">
        <v>1432</v>
      </c>
    </row>
    <row r="43" spans="9:15" x14ac:dyDescent="0.2">
      <c r="I43" s="194">
        <f t="shared" si="0"/>
        <v>36</v>
      </c>
      <c r="J43" s="58" t="s">
        <v>397</v>
      </c>
      <c r="K43" s="194" t="str">
        <f>IF(Waste[[#This Row],[Month]]&lt;&gt;"",VLOOKUP(Waste[[#This Row],[Month]], dropdown!$S$4:$T$15, 2, FALSE),"")</f>
        <v>Q3</v>
      </c>
      <c r="L43" s="57" t="s">
        <v>317</v>
      </c>
      <c r="M43" s="29">
        <v>0</v>
      </c>
      <c r="N43" s="57" t="s">
        <v>345</v>
      </c>
      <c r="O43" s="195" t="s">
        <v>1433</v>
      </c>
    </row>
    <row r="44" spans="9:15" x14ac:dyDescent="0.2">
      <c r="I44" s="194">
        <f t="shared" si="0"/>
        <v>37</v>
      </c>
      <c r="J44" s="58" t="s">
        <v>400</v>
      </c>
      <c r="K44" s="194" t="str">
        <f>IF(Waste[[#This Row],[Month]]&lt;&gt;"",VLOOKUP(Waste[[#This Row],[Month]], dropdown!$S$4:$T$15, 2, FALSE),"")</f>
        <v>Q4</v>
      </c>
      <c r="L44" s="57" t="s">
        <v>318</v>
      </c>
      <c r="M44" s="29">
        <v>43.33</v>
      </c>
      <c r="N44" s="57" t="s">
        <v>313</v>
      </c>
      <c r="O44" s="195"/>
    </row>
    <row r="45" spans="9:15" x14ac:dyDescent="0.2">
      <c r="I45" s="194">
        <f t="shared" si="0"/>
        <v>38</v>
      </c>
      <c r="J45" s="58" t="s">
        <v>404</v>
      </c>
      <c r="K45" s="194" t="str">
        <f>IF(Waste[[#This Row],[Month]]&lt;&gt;"",VLOOKUP(Waste[[#This Row],[Month]], dropdown!$S$4:$T$15, 2, FALSE),"")</f>
        <v>Q4</v>
      </c>
      <c r="L45" s="57" t="s">
        <v>318</v>
      </c>
      <c r="M45" s="29">
        <v>43.33</v>
      </c>
      <c r="N45" s="57" t="s">
        <v>313</v>
      </c>
      <c r="O45" s="195"/>
    </row>
    <row r="46" spans="9:15" x14ac:dyDescent="0.2">
      <c r="I46" s="194">
        <f t="shared" si="0"/>
        <v>39</v>
      </c>
      <c r="J46" s="58" t="s">
        <v>407</v>
      </c>
      <c r="K46" s="194" t="str">
        <f>IF(Waste[[#This Row],[Month]]&lt;&gt;"",VLOOKUP(Waste[[#This Row],[Month]], dropdown!$S$4:$T$15, 2, FALSE),"")</f>
        <v>Q4</v>
      </c>
      <c r="L46" s="57" t="s">
        <v>318</v>
      </c>
      <c r="M46" s="29">
        <v>43.33</v>
      </c>
      <c r="N46" s="57" t="s">
        <v>313</v>
      </c>
      <c r="O46" s="195"/>
    </row>
    <row r="47" spans="9:15" x14ac:dyDescent="0.2">
      <c r="I47" s="194">
        <f t="shared" si="0"/>
        <v>40</v>
      </c>
      <c r="J47" s="58" t="s">
        <v>400</v>
      </c>
      <c r="K47" s="194" t="str">
        <f>IF(Waste[[#This Row],[Month]]&lt;&gt;"",VLOOKUP(Waste[[#This Row],[Month]], dropdown!$S$4:$T$15, 2, FALSE),"")</f>
        <v>Q4</v>
      </c>
      <c r="L47" s="57" t="s">
        <v>383</v>
      </c>
      <c r="M47" s="29">
        <v>56.66</v>
      </c>
      <c r="N47" s="57" t="s">
        <v>313</v>
      </c>
      <c r="O47" s="195"/>
    </row>
    <row r="48" spans="9:15" x14ac:dyDescent="0.2">
      <c r="I48" s="194">
        <f t="shared" si="0"/>
        <v>41</v>
      </c>
      <c r="J48" s="58" t="s">
        <v>404</v>
      </c>
      <c r="K48" s="194" t="str">
        <f>IF(Waste[[#This Row],[Month]]&lt;&gt;"",VLOOKUP(Waste[[#This Row],[Month]], dropdown!$S$4:$T$15, 2, FALSE),"")</f>
        <v>Q4</v>
      </c>
      <c r="L48" s="57" t="s">
        <v>383</v>
      </c>
      <c r="M48" s="29">
        <v>56.66</v>
      </c>
      <c r="N48" s="57" t="s">
        <v>313</v>
      </c>
      <c r="O48" s="195"/>
    </row>
    <row r="49" spans="9:15" x14ac:dyDescent="0.2">
      <c r="I49" s="194">
        <f t="shared" si="0"/>
        <v>42</v>
      </c>
      <c r="J49" s="58" t="s">
        <v>407</v>
      </c>
      <c r="K49" s="194" t="str">
        <f>IF(Waste[[#This Row],[Month]]&lt;&gt;"",VLOOKUP(Waste[[#This Row],[Month]], dropdown!$S$4:$T$15, 2, FALSE),"")</f>
        <v>Q4</v>
      </c>
      <c r="L49" s="57" t="s">
        <v>383</v>
      </c>
      <c r="M49" s="29">
        <v>56.66</v>
      </c>
      <c r="N49" s="57" t="s">
        <v>313</v>
      </c>
      <c r="O49" s="195"/>
    </row>
    <row r="50" spans="9:15" x14ac:dyDescent="0.2">
      <c r="I50" s="194">
        <f t="shared" si="0"/>
        <v>43</v>
      </c>
      <c r="J50" s="58" t="s">
        <v>400</v>
      </c>
      <c r="K50" s="194" t="str">
        <f>IF(Waste[[#This Row],[Month]]&lt;&gt;"",VLOOKUP(Waste[[#This Row],[Month]], dropdown!$S$4:$T$15, 2, FALSE),"")</f>
        <v>Q4</v>
      </c>
      <c r="L50" s="57" t="s">
        <v>139</v>
      </c>
      <c r="M50" s="29">
        <v>3363.33</v>
      </c>
      <c r="N50" s="57" t="s">
        <v>347</v>
      </c>
      <c r="O50" s="195" t="s">
        <v>1431</v>
      </c>
    </row>
    <row r="51" spans="9:15" x14ac:dyDescent="0.2">
      <c r="I51" s="194">
        <f t="shared" si="0"/>
        <v>44</v>
      </c>
      <c r="J51" s="58" t="s">
        <v>404</v>
      </c>
      <c r="K51" s="194" t="str">
        <f>IF(Waste[[#This Row],[Month]]&lt;&gt;"",VLOOKUP(Waste[[#This Row],[Month]], dropdown!$S$4:$T$15, 2, FALSE),"")</f>
        <v>Q4</v>
      </c>
      <c r="L51" s="57" t="s">
        <v>139</v>
      </c>
      <c r="M51" s="29">
        <v>3363.33</v>
      </c>
      <c r="N51" s="57" t="s">
        <v>347</v>
      </c>
      <c r="O51" s="195" t="s">
        <v>1431</v>
      </c>
    </row>
    <row r="52" spans="9:15" x14ac:dyDescent="0.2">
      <c r="I52" s="194">
        <f t="shared" si="0"/>
        <v>45</v>
      </c>
      <c r="J52" s="58" t="s">
        <v>407</v>
      </c>
      <c r="K52" s="194" t="str">
        <f>IF(Waste[[#This Row],[Month]]&lt;&gt;"",VLOOKUP(Waste[[#This Row],[Month]], dropdown!$S$4:$T$15, 2, FALSE),"")</f>
        <v>Q4</v>
      </c>
      <c r="L52" s="57" t="s">
        <v>139</v>
      </c>
      <c r="M52" s="29">
        <v>3363.33</v>
      </c>
      <c r="N52" s="57" t="s">
        <v>347</v>
      </c>
      <c r="O52" s="195" t="s">
        <v>1431</v>
      </c>
    </row>
    <row r="53" spans="9:15" x14ac:dyDescent="0.2">
      <c r="I53" s="194">
        <f t="shared" si="0"/>
        <v>46</v>
      </c>
      <c r="J53" s="58" t="s">
        <v>400</v>
      </c>
      <c r="K53" s="194" t="str">
        <f>IF(Waste[[#This Row],[Month]]&lt;&gt;"",VLOOKUP(Waste[[#This Row],[Month]], dropdown!$S$4:$T$15, 2, FALSE),"")</f>
        <v>Q4</v>
      </c>
      <c r="L53" s="57" t="s">
        <v>317</v>
      </c>
      <c r="M53" s="29">
        <v>0</v>
      </c>
      <c r="N53" s="57" t="s">
        <v>364</v>
      </c>
      <c r="O53" s="195" t="s">
        <v>1432</v>
      </c>
    </row>
    <row r="54" spans="9:15" x14ac:dyDescent="0.2">
      <c r="I54" s="194">
        <f t="shared" si="0"/>
        <v>47</v>
      </c>
      <c r="J54" s="58" t="s">
        <v>404</v>
      </c>
      <c r="K54" s="194" t="str">
        <f>IF(Waste[[#This Row],[Month]]&lt;&gt;"",VLOOKUP(Waste[[#This Row],[Month]], dropdown!$S$4:$T$15, 2, FALSE),"")</f>
        <v>Q4</v>
      </c>
      <c r="L54" s="57" t="s">
        <v>317</v>
      </c>
      <c r="M54" s="29">
        <v>0</v>
      </c>
      <c r="N54" s="57" t="s">
        <v>364</v>
      </c>
      <c r="O54" s="195" t="s">
        <v>1432</v>
      </c>
    </row>
    <row r="55" spans="9:15" x14ac:dyDescent="0.2">
      <c r="I55" s="194">
        <f t="shared" si="0"/>
        <v>48</v>
      </c>
      <c r="J55" s="58" t="s">
        <v>407</v>
      </c>
      <c r="K55" s="194" t="str">
        <f>IF(Waste[[#This Row],[Month]]&lt;&gt;"",VLOOKUP(Waste[[#This Row],[Month]], dropdown!$S$4:$T$15, 2, FALSE),"")</f>
        <v>Q4</v>
      </c>
      <c r="L55" s="57" t="s">
        <v>317</v>
      </c>
      <c r="M55" s="29">
        <v>0</v>
      </c>
      <c r="N55" s="57" t="s">
        <v>364</v>
      </c>
      <c r="O55" s="195" t="s">
        <v>1432</v>
      </c>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Dagupan Branch</v>
      </c>
      <c r="E6" s="463" t="s">
        <v>284</v>
      </c>
      <c r="F6" s="463"/>
      <c r="G6" s="463"/>
      <c r="H6" s="463"/>
      <c r="I6" s="463"/>
      <c r="J6" s="463"/>
      <c r="K6" s="463"/>
      <c r="L6" s="463"/>
      <c r="M6" s="463"/>
      <c r="N6" s="463"/>
      <c r="O6" s="463"/>
      <c r="P6" s="463"/>
      <c r="Q6" s="463"/>
    </row>
    <row r="7" spans="2:17" ht="20" customHeight="1" x14ac:dyDescent="0.2">
      <c r="B7" s="70" t="s">
        <v>12</v>
      </c>
      <c r="C7" s="59">
        <f>'1. Data Info and Summary'!$D$3</f>
        <v>2024</v>
      </c>
      <c r="E7" s="463"/>
      <c r="F7" s="463"/>
      <c r="G7" s="463"/>
      <c r="H7" s="463"/>
      <c r="I7" s="463"/>
      <c r="J7" s="463"/>
      <c r="K7" s="463"/>
      <c r="L7" s="463"/>
      <c r="M7" s="463"/>
      <c r="N7" s="463"/>
      <c r="O7" s="463"/>
      <c r="P7" s="463"/>
      <c r="Q7" s="463"/>
    </row>
    <row r="8" spans="2:17" ht="20" customHeight="1" x14ac:dyDescent="0.2">
      <c r="B8" s="71"/>
    </row>
    <row r="9" spans="2:17" x14ac:dyDescent="0.2">
      <c r="C9" s="53"/>
      <c r="E9" s="465" t="s">
        <v>285</v>
      </c>
      <c r="F9" s="465"/>
      <c r="G9" s="465"/>
      <c r="H9" s="465"/>
      <c r="I9" s="465"/>
      <c r="J9" s="465"/>
      <c r="L9" s="465" t="s">
        <v>286</v>
      </c>
      <c r="M9" s="465"/>
      <c r="N9" s="465"/>
      <c r="O9" s="465"/>
      <c r="P9" s="465"/>
      <c r="Q9" s="465"/>
    </row>
    <row r="10" spans="2:17" ht="8" customHeight="1" x14ac:dyDescent="0.2">
      <c r="B10" s="71"/>
    </row>
    <row r="11" spans="2:17" x14ac:dyDescent="0.2">
      <c r="E11" s="464" t="s">
        <v>287</v>
      </c>
      <c r="F11" s="464"/>
      <c r="G11" s="464"/>
      <c r="H11" s="464"/>
      <c r="I11" s="464"/>
      <c r="J11" s="464"/>
      <c r="L11" s="464" t="s">
        <v>288</v>
      </c>
      <c r="M11" s="464"/>
      <c r="N11" s="464"/>
      <c r="O11" s="464"/>
      <c r="P11" s="464"/>
      <c r="Q11" s="464"/>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548.46</v>
      </c>
      <c r="G13" s="73" t="str">
        <f>'1. Data Info and Summary'!$D18</f>
        <v>Liters</v>
      </c>
      <c r="I13" s="76">
        <f>VLOOKUP($E13,Emission_Factors!$A$1:$G$20,5,FALSE)</f>
        <v>2.68</v>
      </c>
      <c r="J13" s="141">
        <f>F13*I13</f>
        <v>1469.8728000000001</v>
      </c>
      <c r="L13" s="73" t="s">
        <v>155</v>
      </c>
      <c r="M13" s="78">
        <f>SUM('2.3a Electricity'!$D$12:$G$12)</f>
        <v>360800</v>
      </c>
      <c r="N13" s="73" t="str">
        <f>'2.3a Electricity'!$C$12</f>
        <v>Kilowatt-hour</v>
      </c>
      <c r="P13" s="76">
        <f>VLOOKUP($L13,Emission_Factors!$A$1:$G$20,5,FALSE)</f>
        <v>0.56000000000000005</v>
      </c>
      <c r="Q13" s="141">
        <f>M13*P13</f>
        <v>202048.00000000003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1469.8728000000001</v>
      </c>
    </row>
    <row r="20" spans="5:10" x14ac:dyDescent="0.2">
      <c r="E20" s="464" t="s">
        <v>293</v>
      </c>
      <c r="F20" s="464"/>
      <c r="G20" s="464"/>
      <c r="H20" s="464"/>
      <c r="I20" s="464"/>
      <c r="J20" s="464"/>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7347.21</v>
      </c>
      <c r="G22" s="73" t="str">
        <f>'1. Data Info and Summary'!$D26</f>
        <v>Liters</v>
      </c>
      <c r="I22" s="76">
        <f>VLOOKUP($E22,Emission_Factors!$A$1:$G$20,5,FALSE)</f>
        <v>2.68</v>
      </c>
      <c r="J22" s="141">
        <f>F22*I22</f>
        <v>19690.522800000002</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19690.522800000002</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7.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343</v>
      </c>
      <c r="B33" s="337"/>
      <c r="C33" s="337">
        <v>1401.85</v>
      </c>
      <c r="D33" s="337">
        <v>2978.05</v>
      </c>
      <c r="E33" s="337">
        <v>668.21</v>
      </c>
      <c r="F33" s="337"/>
      <c r="G33" s="337">
        <v>5048.1099999999997</v>
      </c>
      <c r="I33" s="20"/>
      <c r="J33" s="20"/>
      <c r="K33" s="21"/>
      <c r="L33" s="21"/>
      <c r="M33" s="22"/>
      <c r="N33" s="22"/>
      <c r="O33" s="11"/>
      <c r="P33" s="22"/>
      <c r="Q33" s="20"/>
      <c r="R33" s="20"/>
      <c r="S33" s="44"/>
    </row>
    <row r="34" spans="1:19" outlineLevel="1" x14ac:dyDescent="0.2">
      <c r="A34" s="203" t="s">
        <v>63</v>
      </c>
      <c r="B34" s="337"/>
      <c r="C34" s="337">
        <v>1401.85</v>
      </c>
      <c r="D34" s="337">
        <v>2978.05</v>
      </c>
      <c r="E34" s="337">
        <v>668.21</v>
      </c>
      <c r="F34" s="337"/>
      <c r="G34" s="337">
        <v>5048.1099999999997</v>
      </c>
      <c r="I34" s="20"/>
      <c r="J34" s="20"/>
      <c r="K34" s="21"/>
      <c r="L34" s="21"/>
      <c r="M34" s="22"/>
      <c r="N34" s="22"/>
      <c r="O34" s="11"/>
      <c r="P34" s="22"/>
      <c r="Q34" s="20"/>
      <c r="R34" s="20"/>
      <c r="S34" s="44"/>
    </row>
    <row r="35" spans="1:19" outlineLevel="1" x14ac:dyDescent="0.2">
      <c r="A35" s="19" t="s">
        <v>381</v>
      </c>
      <c r="B35" s="337"/>
      <c r="C35" s="337">
        <v>154.20999999999998</v>
      </c>
      <c r="D35" s="337">
        <v>160.47</v>
      </c>
      <c r="E35" s="337">
        <v>223.79000000000002</v>
      </c>
      <c r="F35" s="337">
        <v>484.9</v>
      </c>
      <c r="G35" s="337">
        <v>1023.37</v>
      </c>
      <c r="I35" s="20"/>
      <c r="J35" s="20"/>
      <c r="K35" s="21"/>
      <c r="L35" s="21"/>
      <c r="M35" s="22"/>
      <c r="N35" s="22"/>
      <c r="O35" s="11"/>
      <c r="P35" s="22"/>
      <c r="Q35" s="20"/>
      <c r="R35" s="20"/>
      <c r="S35" s="44"/>
    </row>
    <row r="36" spans="1:19" outlineLevel="1" x14ac:dyDescent="0.2">
      <c r="A36" s="203" t="s">
        <v>63</v>
      </c>
      <c r="B36" s="337"/>
      <c r="C36" s="337">
        <v>154.20999999999998</v>
      </c>
      <c r="D36" s="337">
        <v>160.47</v>
      </c>
      <c r="E36" s="337">
        <v>223.79000000000002</v>
      </c>
      <c r="F36" s="337">
        <v>484.9</v>
      </c>
      <c r="G36" s="337">
        <v>1023.37</v>
      </c>
      <c r="H36" s="12"/>
      <c r="I36" s="20"/>
      <c r="J36" s="20"/>
      <c r="K36" s="21"/>
      <c r="L36" s="21"/>
      <c r="M36" s="22"/>
      <c r="N36" s="22"/>
      <c r="O36" s="11"/>
      <c r="P36" s="22"/>
      <c r="Q36" s="20"/>
      <c r="R36" s="20"/>
      <c r="S36" s="44"/>
    </row>
    <row r="37" spans="1:19" outlineLevel="1" x14ac:dyDescent="0.2">
      <c r="A37" s="19" t="s">
        <v>365</v>
      </c>
      <c r="B37" s="337"/>
      <c r="C37" s="337">
        <v>267.25</v>
      </c>
      <c r="D37" s="337">
        <v>192.06</v>
      </c>
      <c r="E37" s="337">
        <v>243.74</v>
      </c>
      <c r="F37" s="337">
        <v>572.67999999999995</v>
      </c>
      <c r="G37" s="337">
        <v>1275.73</v>
      </c>
      <c r="H37" s="12"/>
      <c r="I37" s="20"/>
      <c r="J37" s="20"/>
      <c r="K37" s="21"/>
      <c r="L37" s="21"/>
      <c r="M37" s="22"/>
      <c r="N37" s="22"/>
      <c r="O37" s="11"/>
      <c r="P37" s="22"/>
      <c r="Q37" s="20"/>
      <c r="R37" s="20"/>
      <c r="S37" s="44"/>
    </row>
    <row r="38" spans="1:19" outlineLevel="1" x14ac:dyDescent="0.2">
      <c r="A38" s="203" t="s">
        <v>63</v>
      </c>
      <c r="B38" s="337"/>
      <c r="C38" s="337">
        <v>267.25</v>
      </c>
      <c r="D38" s="337">
        <v>192.06</v>
      </c>
      <c r="E38" s="337">
        <v>243.74</v>
      </c>
      <c r="F38" s="337">
        <v>572.67999999999995</v>
      </c>
      <c r="G38" s="337">
        <v>1275.73</v>
      </c>
      <c r="H38" s="12"/>
      <c r="I38" s="20"/>
      <c r="J38" s="20"/>
      <c r="K38" s="21"/>
      <c r="L38" s="21"/>
      <c r="M38" s="22"/>
      <c r="N38" s="22"/>
      <c r="O38" s="11"/>
      <c r="P38" s="22"/>
      <c r="Q38" s="20"/>
      <c r="R38" s="20"/>
      <c r="S38" s="44"/>
    </row>
    <row r="39" spans="1:19" outlineLevel="1" x14ac:dyDescent="0.2">
      <c r="A39" s="19" t="s">
        <v>297</v>
      </c>
      <c r="B39" s="337"/>
      <c r="C39" s="337">
        <v>1823.31</v>
      </c>
      <c r="D39" s="337">
        <v>3330.58</v>
      </c>
      <c r="E39" s="337">
        <v>1135.74</v>
      </c>
      <c r="F39" s="337">
        <v>1057.58</v>
      </c>
      <c r="G39" s="337">
        <v>7347.2099999999991</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15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45910.35429398148</v>
      </c>
      <c r="B927" t="s">
        <v>1455</v>
      </c>
      <c r="C927" t="s">
        <v>27</v>
      </c>
      <c r="D927" t="s">
        <v>777</v>
      </c>
      <c r="E927">
        <v>4.42</v>
      </c>
    </row>
    <row r="928" spans="1:5" x14ac:dyDescent="0.2">
      <c r="A928" s="269">
        <v>45910.354560185187</v>
      </c>
      <c r="B928" t="s">
        <v>1455</v>
      </c>
      <c r="C928" t="s">
        <v>27</v>
      </c>
      <c r="D928" t="s">
        <v>956</v>
      </c>
      <c r="E928" t="s">
        <v>1456</v>
      </c>
    </row>
    <row r="929" spans="1:5" x14ac:dyDescent="0.2">
      <c r="A929" s="269">
        <v>45910.354594907411</v>
      </c>
      <c r="B929" t="s">
        <v>1455</v>
      </c>
      <c r="C929" t="s">
        <v>27</v>
      </c>
      <c r="D929" t="s">
        <v>1457</v>
      </c>
      <c r="E929" t="s">
        <v>37</v>
      </c>
    </row>
    <row r="930" spans="1:5" x14ac:dyDescent="0.2">
      <c r="A930" s="269">
        <v>45910.354618055557</v>
      </c>
      <c r="B930" t="s">
        <v>1455</v>
      </c>
      <c r="C930" t="s">
        <v>27</v>
      </c>
      <c r="D930" t="s">
        <v>1458</v>
      </c>
      <c r="E930" t="s">
        <v>338</v>
      </c>
    </row>
    <row r="931" spans="1:5" x14ac:dyDescent="0.2">
      <c r="A931" s="269">
        <v>45910.354664351849</v>
      </c>
      <c r="B931" t="s">
        <v>1455</v>
      </c>
      <c r="C931" t="s">
        <v>27</v>
      </c>
      <c r="D931" t="s">
        <v>1459</v>
      </c>
      <c r="E931">
        <v>14</v>
      </c>
    </row>
    <row r="932" spans="1:5" x14ac:dyDescent="0.2">
      <c r="A932" s="269">
        <v>45910.354780092595</v>
      </c>
      <c r="B932" t="s">
        <v>1455</v>
      </c>
      <c r="C932" t="s">
        <v>27</v>
      </c>
      <c r="D932" t="s">
        <v>658</v>
      </c>
      <c r="E932" t="s">
        <v>1460</v>
      </c>
    </row>
    <row r="933" spans="1:5" x14ac:dyDescent="0.2">
      <c r="A933" s="269">
        <v>45910.354814814818</v>
      </c>
      <c r="B933" t="s">
        <v>1455</v>
      </c>
      <c r="C933" t="s">
        <v>27</v>
      </c>
      <c r="D933" t="s">
        <v>1191</v>
      </c>
      <c r="E933" t="s">
        <v>37</v>
      </c>
    </row>
    <row r="934" spans="1:5" x14ac:dyDescent="0.2">
      <c r="A934" s="269">
        <v>45910.354837962965</v>
      </c>
      <c r="B934" t="s">
        <v>1455</v>
      </c>
      <c r="C934" t="s">
        <v>27</v>
      </c>
      <c r="D934" t="s">
        <v>795</v>
      </c>
      <c r="E934" t="s">
        <v>37</v>
      </c>
    </row>
    <row r="935" spans="1:5" x14ac:dyDescent="0.2">
      <c r="A935" s="269">
        <v>45910.354861111111</v>
      </c>
      <c r="B935" t="s">
        <v>1455</v>
      </c>
      <c r="C935" t="s">
        <v>27</v>
      </c>
      <c r="D935" t="s">
        <v>1013</v>
      </c>
      <c r="E935" t="s">
        <v>37</v>
      </c>
    </row>
    <row r="936" spans="1:5" x14ac:dyDescent="0.2">
      <c r="A936" s="269">
        <v>45910.354872685188</v>
      </c>
      <c r="B936" t="s">
        <v>1455</v>
      </c>
      <c r="C936" t="s">
        <v>27</v>
      </c>
      <c r="D936" t="s">
        <v>747</v>
      </c>
      <c r="E936" t="s">
        <v>37</v>
      </c>
    </row>
    <row r="937" spans="1:5" x14ac:dyDescent="0.2">
      <c r="A937" s="269">
        <v>45910.354907407411</v>
      </c>
      <c r="B937" t="s">
        <v>1455</v>
      </c>
      <c r="C937" t="s">
        <v>27</v>
      </c>
      <c r="D937" t="s">
        <v>1461</v>
      </c>
      <c r="E937" t="s">
        <v>37</v>
      </c>
    </row>
    <row r="938" spans="1:5" x14ac:dyDescent="0.2">
      <c r="A938" s="269">
        <v>45910.354942129627</v>
      </c>
      <c r="B938" t="s">
        <v>1455</v>
      </c>
      <c r="C938" t="s">
        <v>27</v>
      </c>
      <c r="D938" t="s">
        <v>1462</v>
      </c>
      <c r="E938" t="s">
        <v>37</v>
      </c>
    </row>
    <row r="939" spans="1:5" x14ac:dyDescent="0.2">
      <c r="A939" s="269">
        <v>45910.35497685185</v>
      </c>
      <c r="B939" t="s">
        <v>1455</v>
      </c>
      <c r="C939" t="s">
        <v>27</v>
      </c>
      <c r="D939" t="s">
        <v>1463</v>
      </c>
      <c r="E939" t="s">
        <v>37</v>
      </c>
    </row>
    <row r="940" spans="1:5" x14ac:dyDescent="0.2">
      <c r="A940" s="269">
        <v>45910.355000000003</v>
      </c>
      <c r="B940" t="s">
        <v>1455</v>
      </c>
      <c r="C940" t="s">
        <v>27</v>
      </c>
      <c r="D940" t="s">
        <v>672</v>
      </c>
      <c r="E940" t="s">
        <v>37</v>
      </c>
    </row>
    <row r="941" spans="1:5" x14ac:dyDescent="0.2">
      <c r="A941" s="269">
        <v>45910.355034722219</v>
      </c>
      <c r="B941" t="s">
        <v>1455</v>
      </c>
      <c r="C941" t="s">
        <v>27</v>
      </c>
      <c r="D941" t="s">
        <v>1457</v>
      </c>
      <c r="E941" t="s">
        <v>37</v>
      </c>
    </row>
    <row r="942" spans="1:5" x14ac:dyDescent="0.2">
      <c r="A942" s="269">
        <v>45910.355057870373</v>
      </c>
      <c r="B942" t="s">
        <v>1455</v>
      </c>
      <c r="C942" t="s">
        <v>27</v>
      </c>
      <c r="D942" t="s">
        <v>1191</v>
      </c>
      <c r="E942" t="s">
        <v>37</v>
      </c>
    </row>
    <row r="943" spans="1:5" x14ac:dyDescent="0.2">
      <c r="A943" s="269">
        <v>45910.355104166665</v>
      </c>
      <c r="B943" t="s">
        <v>1455</v>
      </c>
      <c r="C943" t="s">
        <v>27</v>
      </c>
      <c r="D943" t="s">
        <v>674</v>
      </c>
      <c r="E943" t="s">
        <v>37</v>
      </c>
    </row>
    <row r="944" spans="1:5" x14ac:dyDescent="0.2">
      <c r="A944" s="269">
        <v>45910.355138888888</v>
      </c>
      <c r="B944" t="s">
        <v>1455</v>
      </c>
      <c r="C944" t="s">
        <v>27</v>
      </c>
      <c r="D944" t="s">
        <v>1010</v>
      </c>
      <c r="E944" t="s">
        <v>89</v>
      </c>
    </row>
    <row r="945" spans="1:5" x14ac:dyDescent="0.2">
      <c r="A945" s="269">
        <v>45910.355208333334</v>
      </c>
      <c r="B945" t="s">
        <v>1455</v>
      </c>
      <c r="C945" t="s">
        <v>27</v>
      </c>
      <c r="D945" t="s">
        <v>995</v>
      </c>
      <c r="E945" t="s">
        <v>89</v>
      </c>
    </row>
    <row r="946" spans="1:5" x14ac:dyDescent="0.2">
      <c r="A946" s="269">
        <v>45910.35527777778</v>
      </c>
      <c r="B946" t="s">
        <v>1455</v>
      </c>
      <c r="C946" t="s">
        <v>27</v>
      </c>
      <c r="D946" t="s">
        <v>973</v>
      </c>
      <c r="E946">
        <v>4.67</v>
      </c>
    </row>
    <row r="947" spans="1:5" x14ac:dyDescent="0.2">
      <c r="A947" s="269">
        <v>45910.355439814812</v>
      </c>
      <c r="B947" t="s">
        <v>1455</v>
      </c>
      <c r="C947" t="s">
        <v>27</v>
      </c>
      <c r="D947" t="s">
        <v>1464</v>
      </c>
      <c r="E947" t="s">
        <v>1456</v>
      </c>
    </row>
    <row r="948" spans="1:5" x14ac:dyDescent="0.2">
      <c r="A948" s="269">
        <v>45910.355740740742</v>
      </c>
      <c r="B948" t="s">
        <v>1455</v>
      </c>
      <c r="C948" t="s">
        <v>27</v>
      </c>
      <c r="D948" t="s">
        <v>976</v>
      </c>
      <c r="E948">
        <v>14</v>
      </c>
    </row>
    <row r="949" spans="1:5" x14ac:dyDescent="0.2">
      <c r="A949" s="269">
        <v>45910.355833333335</v>
      </c>
      <c r="B949" t="s">
        <v>1455</v>
      </c>
      <c r="C949" t="s">
        <v>27</v>
      </c>
      <c r="D949" t="s">
        <v>996</v>
      </c>
      <c r="E949" t="s">
        <v>1460</v>
      </c>
    </row>
    <row r="950" spans="1:5" x14ac:dyDescent="0.2">
      <c r="A950" s="269">
        <v>45910.355879629627</v>
      </c>
      <c r="B950" t="s">
        <v>1455</v>
      </c>
      <c r="C950" t="s">
        <v>27</v>
      </c>
      <c r="D950" t="s">
        <v>1014</v>
      </c>
      <c r="E950" t="s">
        <v>362</v>
      </c>
    </row>
    <row r="951" spans="1:5" x14ac:dyDescent="0.2">
      <c r="A951" s="269">
        <v>45910.355914351851</v>
      </c>
      <c r="B951" t="s">
        <v>1455</v>
      </c>
      <c r="C951" t="s">
        <v>27</v>
      </c>
      <c r="D951" t="s">
        <v>1017</v>
      </c>
      <c r="E951" t="s">
        <v>362</v>
      </c>
    </row>
    <row r="952" spans="1:5" x14ac:dyDescent="0.2">
      <c r="A952" s="269">
        <v>45910.355983796297</v>
      </c>
      <c r="B952" t="s">
        <v>1455</v>
      </c>
      <c r="C952" t="s">
        <v>27</v>
      </c>
      <c r="D952" t="s">
        <v>977</v>
      </c>
      <c r="E952">
        <v>5.2</v>
      </c>
    </row>
    <row r="953" spans="1:5" x14ac:dyDescent="0.2">
      <c r="A953" s="269">
        <v>45910.356064814812</v>
      </c>
      <c r="B953" t="s">
        <v>1455</v>
      </c>
      <c r="C953" t="s">
        <v>27</v>
      </c>
      <c r="D953" t="s">
        <v>1465</v>
      </c>
      <c r="E953" t="s">
        <v>1456</v>
      </c>
    </row>
    <row r="954" spans="1:5" x14ac:dyDescent="0.2">
      <c r="A954" s="269">
        <v>45910.356157407405</v>
      </c>
      <c r="B954" t="s">
        <v>1455</v>
      </c>
      <c r="C954" t="s">
        <v>27</v>
      </c>
      <c r="D954" t="s">
        <v>923</v>
      </c>
      <c r="E954">
        <v>16.66</v>
      </c>
    </row>
    <row r="955" spans="1:5" x14ac:dyDescent="0.2">
      <c r="A955" s="269">
        <v>45910.356215277781</v>
      </c>
      <c r="B955" t="s">
        <v>1455</v>
      </c>
      <c r="C955" t="s">
        <v>27</v>
      </c>
      <c r="D955" t="s">
        <v>1019</v>
      </c>
      <c r="E955" t="s">
        <v>1460</v>
      </c>
    </row>
    <row r="956" spans="1:5" x14ac:dyDescent="0.2">
      <c r="A956" s="269">
        <v>45910.356261574074</v>
      </c>
      <c r="B956" t="s">
        <v>1455</v>
      </c>
      <c r="C956" t="s">
        <v>27</v>
      </c>
      <c r="D956" t="s">
        <v>1466</v>
      </c>
      <c r="E956" t="s">
        <v>371</v>
      </c>
    </row>
    <row r="957" spans="1:5" x14ac:dyDescent="0.2">
      <c r="A957" s="269">
        <v>45910.356296296297</v>
      </c>
      <c r="B957" t="s">
        <v>1455</v>
      </c>
      <c r="C957" t="s">
        <v>27</v>
      </c>
      <c r="D957" t="s">
        <v>1467</v>
      </c>
      <c r="E957" t="s">
        <v>371</v>
      </c>
    </row>
    <row r="958" spans="1:5" x14ac:dyDescent="0.2">
      <c r="A958" s="269">
        <v>45910.356423611112</v>
      </c>
      <c r="B958" t="s">
        <v>1455</v>
      </c>
      <c r="C958" t="s">
        <v>27</v>
      </c>
      <c r="D958" t="s">
        <v>918</v>
      </c>
      <c r="E958">
        <v>3.92</v>
      </c>
    </row>
    <row r="959" spans="1:5" x14ac:dyDescent="0.2">
      <c r="A959" s="269">
        <v>45910.356493055559</v>
      </c>
      <c r="B959" t="s">
        <v>1455</v>
      </c>
      <c r="C959" t="s">
        <v>27</v>
      </c>
      <c r="D959" t="s">
        <v>924</v>
      </c>
      <c r="E959">
        <v>15.67</v>
      </c>
    </row>
    <row r="960" spans="1:5" x14ac:dyDescent="0.2">
      <c r="A960" s="269">
        <v>45910.356562499997</v>
      </c>
      <c r="B960" t="s">
        <v>1455</v>
      </c>
      <c r="C960" t="s">
        <v>27</v>
      </c>
      <c r="D960" t="s">
        <v>1468</v>
      </c>
      <c r="E960" t="s">
        <v>1456</v>
      </c>
    </row>
    <row r="961" spans="1:5" x14ac:dyDescent="0.2">
      <c r="A961" s="269">
        <v>45910.356608796297</v>
      </c>
      <c r="B961" t="s">
        <v>1455</v>
      </c>
      <c r="C961" t="s">
        <v>27</v>
      </c>
      <c r="D961" t="s">
        <v>1469</v>
      </c>
      <c r="E961" t="s">
        <v>1460</v>
      </c>
    </row>
    <row r="962" spans="1:5" x14ac:dyDescent="0.2">
      <c r="A962" s="269">
        <v>45910.356689814813</v>
      </c>
      <c r="B962" t="s">
        <v>1455</v>
      </c>
      <c r="C962" t="s">
        <v>27</v>
      </c>
      <c r="D962" t="s">
        <v>1470</v>
      </c>
      <c r="E962" t="s">
        <v>379</v>
      </c>
    </row>
    <row r="963" spans="1:5" x14ac:dyDescent="0.2">
      <c r="A963" s="269">
        <v>45910.356724537036</v>
      </c>
      <c r="B963" t="s">
        <v>1455</v>
      </c>
      <c r="C963" t="s">
        <v>27</v>
      </c>
      <c r="D963" t="s">
        <v>1471</v>
      </c>
      <c r="E963" t="s">
        <v>379</v>
      </c>
    </row>
    <row r="964" spans="1:5" x14ac:dyDescent="0.2">
      <c r="A964" s="269">
        <v>45910.35701388889</v>
      </c>
      <c r="B964" t="s">
        <v>1455</v>
      </c>
      <c r="C964" t="s">
        <v>27</v>
      </c>
      <c r="D964" t="s">
        <v>1472</v>
      </c>
      <c r="E964">
        <v>13.55</v>
      </c>
    </row>
    <row r="965" spans="1:5" x14ac:dyDescent="0.2">
      <c r="A965" s="269">
        <v>45910.357060185182</v>
      </c>
      <c r="B965" t="s">
        <v>1455</v>
      </c>
      <c r="C965" t="s">
        <v>27</v>
      </c>
      <c r="D965" t="s">
        <v>981</v>
      </c>
      <c r="E965">
        <v>81</v>
      </c>
    </row>
    <row r="966" spans="1:5" x14ac:dyDescent="0.2">
      <c r="A966" s="269">
        <v>45910.357106481482</v>
      </c>
      <c r="B966" t="s">
        <v>1455</v>
      </c>
      <c r="C966" t="s">
        <v>27</v>
      </c>
      <c r="D966" t="s">
        <v>1473</v>
      </c>
      <c r="E966" t="s">
        <v>1456</v>
      </c>
    </row>
    <row r="967" spans="1:5" x14ac:dyDescent="0.2">
      <c r="A967" s="269">
        <v>45910.357141203705</v>
      </c>
      <c r="B967" t="s">
        <v>1455</v>
      </c>
      <c r="C967" t="s">
        <v>27</v>
      </c>
      <c r="D967" t="s">
        <v>1474</v>
      </c>
      <c r="E967" t="s">
        <v>1460</v>
      </c>
    </row>
    <row r="968" spans="1:5" x14ac:dyDescent="0.2">
      <c r="A968" s="269">
        <v>45910.357187499998</v>
      </c>
      <c r="B968" t="s">
        <v>1455</v>
      </c>
      <c r="C968" t="s">
        <v>27</v>
      </c>
      <c r="D968" t="s">
        <v>1475</v>
      </c>
      <c r="E968" t="s">
        <v>386</v>
      </c>
    </row>
    <row r="969" spans="1:5" x14ac:dyDescent="0.2">
      <c r="A969" s="269">
        <v>45910.357222222221</v>
      </c>
      <c r="B969" t="s">
        <v>1455</v>
      </c>
      <c r="C969" t="s">
        <v>27</v>
      </c>
      <c r="D969" t="s">
        <v>1476</v>
      </c>
      <c r="E969" t="s">
        <v>386</v>
      </c>
    </row>
    <row r="970" spans="1:5" x14ac:dyDescent="0.2">
      <c r="A970" s="269">
        <v>45910.357256944444</v>
      </c>
      <c r="B970" t="s">
        <v>1455</v>
      </c>
      <c r="C970" t="s">
        <v>27</v>
      </c>
      <c r="D970" t="s">
        <v>675</v>
      </c>
      <c r="E970" t="s">
        <v>37</v>
      </c>
    </row>
    <row r="971" spans="1:5" x14ac:dyDescent="0.2">
      <c r="A971" s="269">
        <v>45910.357395833336</v>
      </c>
      <c r="B971" t="s">
        <v>1455</v>
      </c>
      <c r="C971" t="s">
        <v>27</v>
      </c>
      <c r="D971" t="s">
        <v>1477</v>
      </c>
      <c r="E971">
        <v>3.33</v>
      </c>
    </row>
    <row r="972" spans="1:5" x14ac:dyDescent="0.2">
      <c r="A972" s="269">
        <v>45910.357418981483</v>
      </c>
      <c r="B972" t="s">
        <v>1455</v>
      </c>
      <c r="C972" t="s">
        <v>27</v>
      </c>
      <c r="D972" t="s">
        <v>1478</v>
      </c>
      <c r="E972">
        <v>165</v>
      </c>
    </row>
    <row r="973" spans="1:5" x14ac:dyDescent="0.2">
      <c r="A973" s="269">
        <v>45910.357476851852</v>
      </c>
      <c r="B973" t="s">
        <v>1455</v>
      </c>
      <c r="C973" t="s">
        <v>27</v>
      </c>
      <c r="D973" t="s">
        <v>1479</v>
      </c>
      <c r="E973" t="s">
        <v>1456</v>
      </c>
    </row>
    <row r="974" spans="1:5" x14ac:dyDescent="0.2">
      <c r="A974" s="269">
        <v>45910.357511574075</v>
      </c>
      <c r="B974" t="s">
        <v>1455</v>
      </c>
      <c r="C974" t="s">
        <v>27</v>
      </c>
      <c r="D974" t="s">
        <v>1480</v>
      </c>
      <c r="E974" t="s">
        <v>1460</v>
      </c>
    </row>
    <row r="975" spans="1:5" x14ac:dyDescent="0.2">
      <c r="A975" s="269">
        <v>45910.35765046296</v>
      </c>
      <c r="B975" t="s">
        <v>1455</v>
      </c>
      <c r="C975" t="s">
        <v>27</v>
      </c>
      <c r="D975" t="s">
        <v>676</v>
      </c>
      <c r="E975" t="s">
        <v>37</v>
      </c>
    </row>
    <row r="976" spans="1:5" x14ac:dyDescent="0.2">
      <c r="A976" s="269">
        <v>45910.357673611114</v>
      </c>
      <c r="B976" t="s">
        <v>1455</v>
      </c>
      <c r="C976" t="s">
        <v>27</v>
      </c>
      <c r="D976" t="s">
        <v>677</v>
      </c>
      <c r="E976" t="s">
        <v>37</v>
      </c>
    </row>
    <row r="977" spans="1:5" x14ac:dyDescent="0.2">
      <c r="A977" s="269">
        <v>45910.35769675926</v>
      </c>
      <c r="B977" t="s">
        <v>1455</v>
      </c>
      <c r="C977" t="s">
        <v>27</v>
      </c>
      <c r="D977" t="s">
        <v>678</v>
      </c>
      <c r="E977" t="s">
        <v>37</v>
      </c>
    </row>
    <row r="978" spans="1:5" x14ac:dyDescent="0.2">
      <c r="A978" s="269">
        <v>45910.357708333337</v>
      </c>
      <c r="B978" t="s">
        <v>1455</v>
      </c>
      <c r="C978" t="s">
        <v>27</v>
      </c>
      <c r="D978" t="s">
        <v>1481</v>
      </c>
      <c r="E978" t="s">
        <v>37</v>
      </c>
    </row>
    <row r="979" spans="1:5" x14ac:dyDescent="0.2">
      <c r="A979" s="269">
        <v>45910.357731481483</v>
      </c>
      <c r="B979" t="s">
        <v>1455</v>
      </c>
      <c r="C979" t="s">
        <v>27</v>
      </c>
      <c r="D979" t="s">
        <v>1482</v>
      </c>
      <c r="E979" t="s">
        <v>37</v>
      </c>
    </row>
    <row r="980" spans="1:5" x14ac:dyDescent="0.2">
      <c r="A980" s="269">
        <v>45910.357743055552</v>
      </c>
      <c r="B980" t="s">
        <v>1455</v>
      </c>
      <c r="C980" t="s">
        <v>27</v>
      </c>
      <c r="D980" t="s">
        <v>1483</v>
      </c>
      <c r="E980" t="s">
        <v>37</v>
      </c>
    </row>
    <row r="981" spans="1:5" x14ac:dyDescent="0.2">
      <c r="A981" s="269">
        <v>45910.357766203706</v>
      </c>
      <c r="B981" t="s">
        <v>1455</v>
      </c>
      <c r="C981" t="s">
        <v>27</v>
      </c>
      <c r="D981" t="s">
        <v>1484</v>
      </c>
      <c r="E981" t="s">
        <v>37</v>
      </c>
    </row>
    <row r="982" spans="1:5" x14ac:dyDescent="0.2">
      <c r="A982" s="269">
        <v>45910.357812499999</v>
      </c>
      <c r="B982" t="s">
        <v>1455</v>
      </c>
      <c r="C982" t="s">
        <v>27</v>
      </c>
      <c r="D982" t="s">
        <v>1485</v>
      </c>
      <c r="E982" t="s">
        <v>390</v>
      </c>
    </row>
    <row r="983" spans="1:5" x14ac:dyDescent="0.2">
      <c r="A983" s="269">
        <v>45910.357847222222</v>
      </c>
      <c r="B983" t="s">
        <v>1455</v>
      </c>
      <c r="C983" t="s">
        <v>27</v>
      </c>
      <c r="D983" t="s">
        <v>1486</v>
      </c>
      <c r="E983" t="s">
        <v>390</v>
      </c>
    </row>
    <row r="984" spans="1:5" x14ac:dyDescent="0.2">
      <c r="A984" s="269">
        <v>45910.357928240737</v>
      </c>
      <c r="B984" t="s">
        <v>1455</v>
      </c>
      <c r="C984" t="s">
        <v>27</v>
      </c>
      <c r="D984" t="s">
        <v>1487</v>
      </c>
      <c r="E984">
        <v>2.67</v>
      </c>
    </row>
    <row r="985" spans="1:5" x14ac:dyDescent="0.2">
      <c r="A985" s="269">
        <v>45910.357974537037</v>
      </c>
      <c r="B985" t="s">
        <v>1455</v>
      </c>
      <c r="C985" t="s">
        <v>27</v>
      </c>
      <c r="D985" t="s">
        <v>1488</v>
      </c>
      <c r="E985">
        <v>16.670000000000002</v>
      </c>
    </row>
    <row r="986" spans="1:5" x14ac:dyDescent="0.2">
      <c r="A986" s="269">
        <v>45910.358043981483</v>
      </c>
      <c r="B986" t="s">
        <v>1455</v>
      </c>
      <c r="C986" t="s">
        <v>27</v>
      </c>
      <c r="D986" t="s">
        <v>1489</v>
      </c>
      <c r="E986" t="s">
        <v>1456</v>
      </c>
    </row>
    <row r="987" spans="1:5" x14ac:dyDescent="0.2">
      <c r="A987" s="269">
        <v>45910.358078703706</v>
      </c>
      <c r="B987" t="s">
        <v>1455</v>
      </c>
      <c r="C987" t="s">
        <v>27</v>
      </c>
      <c r="D987" t="s">
        <v>1490</v>
      </c>
      <c r="E987" t="s">
        <v>1460</v>
      </c>
    </row>
    <row r="988" spans="1:5" x14ac:dyDescent="0.2">
      <c r="A988" s="269">
        <v>45910.358124999999</v>
      </c>
      <c r="B988" t="s">
        <v>1455</v>
      </c>
      <c r="C988" t="s">
        <v>27</v>
      </c>
      <c r="D988" t="s">
        <v>1491</v>
      </c>
      <c r="E988" t="s">
        <v>41</v>
      </c>
    </row>
    <row r="989" spans="1:5" x14ac:dyDescent="0.2">
      <c r="A989" s="269">
        <v>45910.358159722222</v>
      </c>
      <c r="B989" t="s">
        <v>1455</v>
      </c>
      <c r="C989" t="s">
        <v>27</v>
      </c>
      <c r="D989" t="s">
        <v>1492</v>
      </c>
      <c r="E989" t="s">
        <v>41</v>
      </c>
    </row>
    <row r="990" spans="1:5" x14ac:dyDescent="0.2">
      <c r="A990" s="269">
        <v>45910.358217592591</v>
      </c>
      <c r="B990" t="s">
        <v>1455</v>
      </c>
      <c r="C990" t="s">
        <v>27</v>
      </c>
      <c r="D990" t="s">
        <v>1493</v>
      </c>
      <c r="E990">
        <v>3.33</v>
      </c>
    </row>
    <row r="991" spans="1:5" x14ac:dyDescent="0.2">
      <c r="A991" s="269">
        <v>45910.358252314814</v>
      </c>
      <c r="B991" t="s">
        <v>1455</v>
      </c>
      <c r="C991" t="s">
        <v>27</v>
      </c>
      <c r="D991" t="s">
        <v>1494</v>
      </c>
      <c r="E991">
        <v>16.66</v>
      </c>
    </row>
    <row r="992" spans="1:5" x14ac:dyDescent="0.2">
      <c r="A992" s="269">
        <v>45910.358310185184</v>
      </c>
      <c r="B992" t="s">
        <v>1455</v>
      </c>
      <c r="C992" t="s">
        <v>27</v>
      </c>
      <c r="D992" t="s">
        <v>1495</v>
      </c>
      <c r="E992" t="s">
        <v>1456</v>
      </c>
    </row>
    <row r="993" spans="1:5" x14ac:dyDescent="0.2">
      <c r="A993" s="269">
        <v>45910.358344907407</v>
      </c>
      <c r="B993" t="s">
        <v>1455</v>
      </c>
      <c r="C993" t="s">
        <v>27</v>
      </c>
      <c r="D993" t="s">
        <v>1496</v>
      </c>
      <c r="E993" t="s">
        <v>1460</v>
      </c>
    </row>
    <row r="994" spans="1:5" x14ac:dyDescent="0.2">
      <c r="A994" s="269">
        <v>45910.358923611115</v>
      </c>
      <c r="B994" t="s">
        <v>1455</v>
      </c>
      <c r="C994" t="s">
        <v>27</v>
      </c>
      <c r="D994" t="s">
        <v>1497</v>
      </c>
      <c r="E994" t="s">
        <v>397</v>
      </c>
    </row>
    <row r="995" spans="1:5" x14ac:dyDescent="0.2">
      <c r="A995" s="269">
        <v>45910.358946759261</v>
      </c>
      <c r="B995" t="s">
        <v>1455</v>
      </c>
      <c r="C995" t="s">
        <v>27</v>
      </c>
      <c r="D995" t="s">
        <v>1498</v>
      </c>
      <c r="E995" t="s">
        <v>397</v>
      </c>
    </row>
    <row r="996" spans="1:5" x14ac:dyDescent="0.2">
      <c r="A996" s="269">
        <v>45910.359027777777</v>
      </c>
      <c r="B996" t="s">
        <v>1455</v>
      </c>
      <c r="C996" t="s">
        <v>27</v>
      </c>
      <c r="D996" t="s">
        <v>1499</v>
      </c>
      <c r="E996">
        <v>2.67</v>
      </c>
    </row>
    <row r="997" spans="1:5" x14ac:dyDescent="0.2">
      <c r="A997" s="269">
        <v>45910.3590625</v>
      </c>
      <c r="B997" t="s">
        <v>1455</v>
      </c>
      <c r="C997" t="s">
        <v>27</v>
      </c>
      <c r="D997" t="s">
        <v>1500</v>
      </c>
      <c r="E997">
        <v>17</v>
      </c>
    </row>
    <row r="998" spans="1:5" x14ac:dyDescent="0.2">
      <c r="A998" s="269">
        <v>45910.3591087963</v>
      </c>
      <c r="B998" t="s">
        <v>1455</v>
      </c>
      <c r="C998" t="s">
        <v>27</v>
      </c>
      <c r="D998" t="s">
        <v>1501</v>
      </c>
      <c r="E998" t="s">
        <v>1456</v>
      </c>
    </row>
    <row r="999" spans="1:5" x14ac:dyDescent="0.2">
      <c r="A999" s="269">
        <v>45910.359166666669</v>
      </c>
      <c r="B999" t="s">
        <v>1455</v>
      </c>
      <c r="C999" t="s">
        <v>27</v>
      </c>
      <c r="D999" t="s">
        <v>1502</v>
      </c>
      <c r="E999" t="s">
        <v>1460</v>
      </c>
    </row>
    <row r="1000" spans="1:5" x14ac:dyDescent="0.2">
      <c r="A1000" s="269">
        <v>45910.359212962961</v>
      </c>
      <c r="B1000" t="s">
        <v>1455</v>
      </c>
      <c r="C1000" t="s">
        <v>27</v>
      </c>
      <c r="D1000" t="s">
        <v>1503</v>
      </c>
      <c r="E1000" t="s">
        <v>37</v>
      </c>
    </row>
    <row r="1001" spans="1:5" x14ac:dyDescent="0.2">
      <c r="A1001" s="269">
        <v>45910.359236111108</v>
      </c>
      <c r="B1001" t="s">
        <v>1455</v>
      </c>
      <c r="C1001" t="s">
        <v>27</v>
      </c>
      <c r="D1001" t="s">
        <v>1504</v>
      </c>
      <c r="E1001" t="s">
        <v>37</v>
      </c>
    </row>
    <row r="1002" spans="1:5" x14ac:dyDescent="0.2">
      <c r="A1002" s="269">
        <v>45910.359282407408</v>
      </c>
      <c r="B1002" t="s">
        <v>1455</v>
      </c>
      <c r="C1002" t="s">
        <v>27</v>
      </c>
      <c r="D1002" t="s">
        <v>1505</v>
      </c>
      <c r="E1002" t="s">
        <v>37</v>
      </c>
    </row>
    <row r="1003" spans="1:5" x14ac:dyDescent="0.2">
      <c r="A1003" s="269">
        <v>45910.3593287037</v>
      </c>
      <c r="B1003" t="s">
        <v>1455</v>
      </c>
      <c r="C1003" t="s">
        <v>27</v>
      </c>
      <c r="D1003" t="s">
        <v>1506</v>
      </c>
      <c r="E1003" t="s">
        <v>400</v>
      </c>
    </row>
    <row r="1004" spans="1:5" x14ac:dyDescent="0.2">
      <c r="A1004" s="269">
        <v>45910.359363425923</v>
      </c>
      <c r="B1004" t="s">
        <v>1455</v>
      </c>
      <c r="C1004" t="s">
        <v>27</v>
      </c>
      <c r="D1004" t="s">
        <v>1507</v>
      </c>
      <c r="E1004" t="s">
        <v>400</v>
      </c>
    </row>
    <row r="1005" spans="1:5" x14ac:dyDescent="0.2">
      <c r="A1005" s="269">
        <v>45910.359398148146</v>
      </c>
      <c r="B1005" t="s">
        <v>1455</v>
      </c>
      <c r="C1005" t="s">
        <v>27</v>
      </c>
      <c r="D1005" t="s">
        <v>1508</v>
      </c>
      <c r="E1005" t="s">
        <v>404</v>
      </c>
    </row>
    <row r="1006" spans="1:5" x14ac:dyDescent="0.2">
      <c r="A1006" s="269">
        <v>45910.359444444446</v>
      </c>
      <c r="B1006" t="s">
        <v>1455</v>
      </c>
      <c r="C1006" t="s">
        <v>27</v>
      </c>
      <c r="D1006" t="s">
        <v>1509</v>
      </c>
      <c r="E1006" t="s">
        <v>404</v>
      </c>
    </row>
    <row r="1007" spans="1:5" x14ac:dyDescent="0.2">
      <c r="A1007" s="269">
        <v>45910.359467592592</v>
      </c>
      <c r="B1007" t="s">
        <v>1455</v>
      </c>
      <c r="C1007" t="s">
        <v>27</v>
      </c>
      <c r="D1007" t="s">
        <v>1510</v>
      </c>
      <c r="E1007" t="s">
        <v>407</v>
      </c>
    </row>
    <row r="1008" spans="1:5" x14ac:dyDescent="0.2">
      <c r="A1008" s="269">
        <v>45910.359513888892</v>
      </c>
      <c r="B1008" t="s">
        <v>1455</v>
      </c>
      <c r="C1008" t="s">
        <v>27</v>
      </c>
      <c r="D1008" t="s">
        <v>1511</v>
      </c>
      <c r="E1008" t="s">
        <v>407</v>
      </c>
    </row>
    <row r="1009" spans="1:5" x14ac:dyDescent="0.2">
      <c r="A1009" s="269">
        <v>45910.359571759262</v>
      </c>
      <c r="B1009" t="s">
        <v>1455</v>
      </c>
      <c r="C1009" t="s">
        <v>27</v>
      </c>
      <c r="D1009" t="s">
        <v>1512</v>
      </c>
      <c r="E1009" t="s">
        <v>37</v>
      </c>
    </row>
    <row r="1010" spans="1:5" x14ac:dyDescent="0.2">
      <c r="A1010" s="269">
        <v>45910.359594907408</v>
      </c>
      <c r="B1010" t="s">
        <v>1455</v>
      </c>
      <c r="C1010" t="s">
        <v>27</v>
      </c>
      <c r="D1010" t="s">
        <v>1513</v>
      </c>
      <c r="E1010" t="s">
        <v>37</v>
      </c>
    </row>
    <row r="1011" spans="1:5" x14ac:dyDescent="0.2">
      <c r="A1011" s="269">
        <v>45910.359606481485</v>
      </c>
      <c r="B1011" t="s">
        <v>1455</v>
      </c>
      <c r="C1011" t="s">
        <v>27</v>
      </c>
      <c r="D1011" t="s">
        <v>1514</v>
      </c>
      <c r="E1011" t="s">
        <v>37</v>
      </c>
    </row>
    <row r="1012" spans="1:5" x14ac:dyDescent="0.2">
      <c r="A1012" s="269">
        <v>45910.359629629631</v>
      </c>
      <c r="B1012" t="s">
        <v>1455</v>
      </c>
      <c r="C1012" t="s">
        <v>27</v>
      </c>
      <c r="D1012" t="s">
        <v>1515</v>
      </c>
      <c r="E1012" t="s">
        <v>37</v>
      </c>
    </row>
    <row r="1013" spans="1:5" x14ac:dyDescent="0.2">
      <c r="A1013" s="269">
        <v>45910.359652777777</v>
      </c>
      <c r="B1013" t="s">
        <v>1455</v>
      </c>
      <c r="C1013" t="s">
        <v>27</v>
      </c>
      <c r="D1013" t="s">
        <v>1516</v>
      </c>
      <c r="E1013" t="s">
        <v>37</v>
      </c>
    </row>
    <row r="1014" spans="1:5" x14ac:dyDescent="0.2">
      <c r="A1014" s="269">
        <v>45910.359664351854</v>
      </c>
      <c r="B1014" t="s">
        <v>1455</v>
      </c>
      <c r="C1014" t="s">
        <v>27</v>
      </c>
      <c r="D1014" t="s">
        <v>1517</v>
      </c>
      <c r="E1014" t="s">
        <v>37</v>
      </c>
    </row>
    <row r="1015" spans="1:5" x14ac:dyDescent="0.2">
      <c r="A1015" s="269">
        <v>45910.3596875</v>
      </c>
      <c r="B1015" t="s">
        <v>1455</v>
      </c>
      <c r="C1015" t="s">
        <v>27</v>
      </c>
      <c r="D1015" t="s">
        <v>1518</v>
      </c>
      <c r="E1015" t="s">
        <v>37</v>
      </c>
    </row>
    <row r="1016" spans="1:5" x14ac:dyDescent="0.2">
      <c r="A1016" s="269">
        <v>45910.359837962962</v>
      </c>
      <c r="B1016" t="s">
        <v>1455</v>
      </c>
      <c r="C1016" t="s">
        <v>27</v>
      </c>
      <c r="D1016" t="s">
        <v>1514</v>
      </c>
    </row>
    <row r="1017" spans="1:5" x14ac:dyDescent="0.2">
      <c r="A1017" s="269">
        <v>45910.359849537039</v>
      </c>
      <c r="B1017" t="s">
        <v>1455</v>
      </c>
      <c r="C1017" t="s">
        <v>27</v>
      </c>
      <c r="D1017" t="s">
        <v>1515</v>
      </c>
    </row>
    <row r="1018" spans="1:5" x14ac:dyDescent="0.2">
      <c r="A1018" s="269">
        <v>45910.359861111108</v>
      </c>
      <c r="B1018" t="s">
        <v>1455</v>
      </c>
      <c r="C1018" t="s">
        <v>27</v>
      </c>
      <c r="D1018" t="s">
        <v>1516</v>
      </c>
    </row>
    <row r="1019" spans="1:5" x14ac:dyDescent="0.2">
      <c r="A1019" s="269">
        <v>45910.359872685185</v>
      </c>
      <c r="B1019" t="s">
        <v>1455</v>
      </c>
      <c r="C1019" t="s">
        <v>27</v>
      </c>
      <c r="D1019" t="s">
        <v>1517</v>
      </c>
    </row>
    <row r="1020" spans="1:5" x14ac:dyDescent="0.2">
      <c r="A1020" s="269">
        <v>45910.359895833331</v>
      </c>
      <c r="B1020" t="s">
        <v>1455</v>
      </c>
      <c r="C1020" t="s">
        <v>27</v>
      </c>
      <c r="D1020" t="s">
        <v>1518</v>
      </c>
    </row>
    <row r="1021" spans="1:5" x14ac:dyDescent="0.2">
      <c r="A1021" s="269">
        <v>45910.36</v>
      </c>
      <c r="B1021" t="s">
        <v>1455</v>
      </c>
      <c r="C1021" t="s">
        <v>27</v>
      </c>
      <c r="D1021" t="s">
        <v>1519</v>
      </c>
      <c r="E1021">
        <v>2.67</v>
      </c>
    </row>
    <row r="1022" spans="1:5" x14ac:dyDescent="0.2">
      <c r="A1022" s="269">
        <v>45910.360011574077</v>
      </c>
      <c r="B1022" t="s">
        <v>1455</v>
      </c>
      <c r="C1022" t="s">
        <v>27</v>
      </c>
      <c r="D1022" t="s">
        <v>1520</v>
      </c>
      <c r="E1022">
        <v>31</v>
      </c>
    </row>
    <row r="1023" spans="1:5" x14ac:dyDescent="0.2">
      <c r="A1023" s="269">
        <v>45910.360081018516</v>
      </c>
      <c r="B1023" t="s">
        <v>1455</v>
      </c>
      <c r="C1023" t="s">
        <v>27</v>
      </c>
      <c r="D1023" t="s">
        <v>1521</v>
      </c>
      <c r="E1023">
        <v>28.58</v>
      </c>
    </row>
    <row r="1024" spans="1:5" x14ac:dyDescent="0.2">
      <c r="A1024" s="269">
        <v>45910.360115740739</v>
      </c>
      <c r="B1024" t="s">
        <v>1455</v>
      </c>
      <c r="C1024" t="s">
        <v>27</v>
      </c>
      <c r="D1024" t="s">
        <v>1522</v>
      </c>
      <c r="E1024">
        <v>38</v>
      </c>
    </row>
    <row r="1025" spans="1:5" x14ac:dyDescent="0.2">
      <c r="A1025" s="269">
        <v>45910.360358796293</v>
      </c>
      <c r="B1025" t="s">
        <v>1455</v>
      </c>
      <c r="C1025" t="s">
        <v>27</v>
      </c>
      <c r="D1025" t="s">
        <v>1523</v>
      </c>
      <c r="E1025">
        <v>32.79</v>
      </c>
    </row>
    <row r="1026" spans="1:5" x14ac:dyDescent="0.2">
      <c r="A1026" s="269">
        <v>45910.360381944447</v>
      </c>
      <c r="B1026" t="s">
        <v>1455</v>
      </c>
      <c r="C1026" t="s">
        <v>27</v>
      </c>
      <c r="D1026" t="s">
        <v>1524</v>
      </c>
      <c r="E1026">
        <v>15</v>
      </c>
    </row>
    <row r="1027" spans="1:5" x14ac:dyDescent="0.2">
      <c r="A1027" s="269">
        <v>45910.360439814816</v>
      </c>
      <c r="B1027" t="s">
        <v>1455</v>
      </c>
      <c r="C1027" t="s">
        <v>27</v>
      </c>
      <c r="D1027" t="s">
        <v>1525</v>
      </c>
      <c r="E1027" t="s">
        <v>1456</v>
      </c>
    </row>
    <row r="1028" spans="1:5" x14ac:dyDescent="0.2">
      <c r="A1028" s="269">
        <v>45910.360486111109</v>
      </c>
      <c r="B1028" t="s">
        <v>1455</v>
      </c>
      <c r="C1028" t="s">
        <v>27</v>
      </c>
      <c r="D1028" t="s">
        <v>1526</v>
      </c>
      <c r="E1028" t="s">
        <v>1460</v>
      </c>
    </row>
    <row r="1029" spans="1:5" x14ac:dyDescent="0.2">
      <c r="A1029" s="269">
        <v>45910.360520833332</v>
      </c>
      <c r="B1029" t="s">
        <v>1455</v>
      </c>
      <c r="C1029" t="s">
        <v>27</v>
      </c>
      <c r="D1029" t="s">
        <v>1527</v>
      </c>
      <c r="E1029" t="s">
        <v>1456</v>
      </c>
    </row>
    <row r="1030" spans="1:5" x14ac:dyDescent="0.2">
      <c r="A1030" s="269">
        <v>45910.360578703701</v>
      </c>
      <c r="B1030" t="s">
        <v>1455</v>
      </c>
      <c r="C1030" t="s">
        <v>27</v>
      </c>
      <c r="D1030" t="s">
        <v>1528</v>
      </c>
      <c r="E1030" t="s">
        <v>1460</v>
      </c>
    </row>
    <row r="1031" spans="1:5" x14ac:dyDescent="0.2">
      <c r="A1031" s="269">
        <v>45910.360613425924</v>
      </c>
      <c r="B1031" t="s">
        <v>1455</v>
      </c>
      <c r="C1031" t="s">
        <v>27</v>
      </c>
      <c r="D1031" t="s">
        <v>1529</v>
      </c>
      <c r="E1031" t="s">
        <v>1456</v>
      </c>
    </row>
    <row r="1032" spans="1:5" x14ac:dyDescent="0.2">
      <c r="A1032" s="269">
        <v>45910.360648148147</v>
      </c>
      <c r="B1032" t="s">
        <v>1455</v>
      </c>
      <c r="C1032" t="s">
        <v>27</v>
      </c>
      <c r="D1032" t="s">
        <v>1530</v>
      </c>
      <c r="E1032" t="s">
        <v>1460</v>
      </c>
    </row>
    <row r="1033" spans="1:5" x14ac:dyDescent="0.2">
      <c r="A1033" s="269">
        <v>45910.36204861111</v>
      </c>
      <c r="B1033" t="s">
        <v>1455</v>
      </c>
      <c r="C1033" t="s">
        <v>27</v>
      </c>
      <c r="D1033" t="s">
        <v>1531</v>
      </c>
      <c r="E1033" t="s">
        <v>1435</v>
      </c>
    </row>
    <row r="1034" spans="1:5" x14ac:dyDescent="0.2">
      <c r="A1034" s="269">
        <v>45910.362291666665</v>
      </c>
      <c r="B1034" t="s">
        <v>1455</v>
      </c>
      <c r="C1034" t="s">
        <v>27</v>
      </c>
      <c r="D1034" t="s">
        <v>1532</v>
      </c>
      <c r="E1034" s="442">
        <v>45910</v>
      </c>
    </row>
    <row r="1035" spans="1:5" x14ac:dyDescent="0.2">
      <c r="A1035" s="269">
        <v>45910.36246527778</v>
      </c>
      <c r="B1035" t="s">
        <v>1455</v>
      </c>
      <c r="C1035" t="s">
        <v>58</v>
      </c>
      <c r="D1035" t="s">
        <v>1532</v>
      </c>
      <c r="E1035" s="442">
        <v>45910</v>
      </c>
    </row>
    <row r="1036" spans="1:5" x14ac:dyDescent="0.2">
      <c r="A1036" s="269">
        <v>45910.362812500003</v>
      </c>
      <c r="B1036" t="s">
        <v>1455</v>
      </c>
      <c r="C1036" t="s">
        <v>15</v>
      </c>
      <c r="D1036" t="s">
        <v>1532</v>
      </c>
      <c r="E1036" t="s">
        <v>1450</v>
      </c>
    </row>
    <row r="1037" spans="1:5" x14ac:dyDescent="0.2">
      <c r="A1037" s="269">
        <v>45910.362870370373</v>
      </c>
      <c r="B1037" t="s">
        <v>1455</v>
      </c>
      <c r="C1037" t="s">
        <v>15</v>
      </c>
      <c r="D1037" t="s">
        <v>1533</v>
      </c>
      <c r="E1037" t="s">
        <v>1450</v>
      </c>
    </row>
    <row r="1038" spans="1:5" x14ac:dyDescent="0.2">
      <c r="A1038" s="269">
        <v>45910.362893518519</v>
      </c>
      <c r="B1038" t="s">
        <v>1455</v>
      </c>
      <c r="C1038" t="s">
        <v>15</v>
      </c>
      <c r="D1038" t="s">
        <v>1533</v>
      </c>
    </row>
    <row r="1039" spans="1:5" x14ac:dyDescent="0.2">
      <c r="A1039" s="269">
        <v>45910.362939814811</v>
      </c>
      <c r="B1039" t="s">
        <v>1455</v>
      </c>
      <c r="C1039" t="s">
        <v>15</v>
      </c>
      <c r="D1039" t="s">
        <v>1534</v>
      </c>
      <c r="E1039" t="s">
        <v>1450</v>
      </c>
    </row>
    <row r="1040" spans="1:5" x14ac:dyDescent="0.2">
      <c r="A1040" s="269">
        <v>45910.362997685188</v>
      </c>
      <c r="B1040" t="s">
        <v>1455</v>
      </c>
      <c r="C1040" t="s">
        <v>15</v>
      </c>
      <c r="D1040" t="s">
        <v>1532</v>
      </c>
      <c r="E1040" s="442">
        <v>45910</v>
      </c>
    </row>
    <row r="1041" spans="1:5" x14ac:dyDescent="0.2">
      <c r="A1041" s="269">
        <v>45910.363171296296</v>
      </c>
      <c r="B1041" t="s">
        <v>1455</v>
      </c>
      <c r="C1041" t="s">
        <v>103</v>
      </c>
      <c r="D1041" t="s">
        <v>1532</v>
      </c>
      <c r="E1041" s="442">
        <v>45910</v>
      </c>
    </row>
    <row r="1042" spans="1:5" x14ac:dyDescent="0.2">
      <c r="A1042" s="269">
        <v>45910.363518518519</v>
      </c>
      <c r="B1042" t="s">
        <v>1455</v>
      </c>
      <c r="C1042" t="s">
        <v>26</v>
      </c>
      <c r="D1042" t="s">
        <v>1532</v>
      </c>
      <c r="E1042" s="442">
        <v>45910</v>
      </c>
    </row>
    <row r="1043" spans="1:5" x14ac:dyDescent="0.2">
      <c r="A1043" s="269">
        <v>45910.363645833335</v>
      </c>
      <c r="B1043" t="s">
        <v>1455</v>
      </c>
      <c r="C1043" t="s">
        <v>28</v>
      </c>
      <c r="D1043" t="s">
        <v>1532</v>
      </c>
      <c r="E1043" t="s">
        <v>1535</v>
      </c>
    </row>
    <row r="1044" spans="1:5" x14ac:dyDescent="0.2">
      <c r="A1044" s="269">
        <v>45910.363703703704</v>
      </c>
      <c r="B1044" t="s">
        <v>1455</v>
      </c>
      <c r="C1044" t="s">
        <v>28</v>
      </c>
      <c r="D1044" t="s">
        <v>1532</v>
      </c>
      <c r="E1044" s="442">
        <v>45910</v>
      </c>
    </row>
    <row r="1045" spans="1:5" x14ac:dyDescent="0.2">
      <c r="A1045" s="269">
        <v>45910.363993055558</v>
      </c>
      <c r="B1045" t="s">
        <v>1455</v>
      </c>
      <c r="C1045" t="s">
        <v>28</v>
      </c>
      <c r="D1045" t="s">
        <v>1534</v>
      </c>
      <c r="E1045" t="s">
        <v>1434</v>
      </c>
    </row>
    <row r="1046" spans="1:5" x14ac:dyDescent="0.2">
      <c r="A1046" s="269">
        <v>45910.365439814814</v>
      </c>
      <c r="B1046" t="s">
        <v>1455</v>
      </c>
      <c r="C1046" t="s">
        <v>15</v>
      </c>
      <c r="D1046" t="s">
        <v>1010</v>
      </c>
      <c r="E1046" t="s">
        <v>200</v>
      </c>
    </row>
    <row r="1047" spans="1:5" x14ac:dyDescent="0.2">
      <c r="A1047" s="269">
        <v>45910.365474537037</v>
      </c>
      <c r="B1047" t="s">
        <v>1455</v>
      </c>
      <c r="C1047" t="s">
        <v>15</v>
      </c>
      <c r="D1047" t="s">
        <v>995</v>
      </c>
      <c r="E1047" t="s">
        <v>200</v>
      </c>
    </row>
    <row r="1048" spans="1:5" x14ac:dyDescent="0.2">
      <c r="A1048" s="269">
        <v>45910.365497685183</v>
      </c>
      <c r="B1048" t="s">
        <v>1455</v>
      </c>
      <c r="C1048" t="s">
        <v>15</v>
      </c>
      <c r="D1048" t="s">
        <v>1014</v>
      </c>
      <c r="E1048" t="s">
        <v>200</v>
      </c>
    </row>
    <row r="1049" spans="1:5" x14ac:dyDescent="0.2">
      <c r="A1049" s="269">
        <v>45910.365520833337</v>
      </c>
      <c r="B1049" t="s">
        <v>1455</v>
      </c>
      <c r="C1049" t="s">
        <v>15</v>
      </c>
      <c r="D1049" t="s">
        <v>1017</v>
      </c>
      <c r="E1049" t="s">
        <v>200</v>
      </c>
    </row>
    <row r="1050" spans="1:5" x14ac:dyDescent="0.2">
      <c r="A1050" s="269">
        <v>45910.372511574074</v>
      </c>
      <c r="B1050" t="s">
        <v>1455</v>
      </c>
      <c r="C1050" t="s">
        <v>597</v>
      </c>
      <c r="D1050" t="s">
        <v>1536</v>
      </c>
      <c r="E1050" t="s">
        <v>39</v>
      </c>
    </row>
    <row r="1051" spans="1:5" x14ac:dyDescent="0.2">
      <c r="A1051" s="269">
        <v>45910.398854166669</v>
      </c>
      <c r="B1051" t="s">
        <v>1455</v>
      </c>
      <c r="C1051" t="s">
        <v>58</v>
      </c>
      <c r="D1051" t="s">
        <v>1537</v>
      </c>
      <c r="E1051">
        <v>84.38</v>
      </c>
    </row>
    <row r="1052" spans="1:5" x14ac:dyDescent="0.2">
      <c r="A1052" s="269">
        <v>45910.41207175926</v>
      </c>
      <c r="B1052" t="s">
        <v>1455</v>
      </c>
      <c r="C1052" t="s">
        <v>2</v>
      </c>
      <c r="D1052" t="s">
        <v>1538</v>
      </c>
      <c r="E1052" t="s">
        <v>389</v>
      </c>
    </row>
    <row r="1053" spans="1:5" x14ac:dyDescent="0.2">
      <c r="A1053" s="269">
        <v>45910.41207175926</v>
      </c>
      <c r="B1053" t="s">
        <v>1455</v>
      </c>
      <c r="C1053" t="s">
        <v>2</v>
      </c>
      <c r="D1053" t="s">
        <v>1538</v>
      </c>
      <c r="E1053" t="s">
        <v>389</v>
      </c>
    </row>
    <row r="1054" spans="1:5" x14ac:dyDescent="0.2">
      <c r="A1054" s="269">
        <v>45910.594236111108</v>
      </c>
      <c r="B1054" t="s">
        <v>1455</v>
      </c>
      <c r="C1054" t="s">
        <v>15</v>
      </c>
      <c r="D1054" t="s">
        <v>1066</v>
      </c>
      <c r="E1054">
        <v>2</v>
      </c>
    </row>
    <row r="1055" spans="1:5" x14ac:dyDescent="0.2">
      <c r="A1055" s="269">
        <v>45910.594236111108</v>
      </c>
      <c r="B1055" t="s">
        <v>1455</v>
      </c>
      <c r="C1055" t="s">
        <v>15</v>
      </c>
      <c r="D1055" t="s">
        <v>994</v>
      </c>
      <c r="E1055">
        <v>2</v>
      </c>
    </row>
    <row r="1056" spans="1:5" x14ac:dyDescent="0.2">
      <c r="A1056" s="269">
        <v>45910.594247685185</v>
      </c>
      <c r="B1056" t="s">
        <v>1455</v>
      </c>
      <c r="C1056" t="s">
        <v>15</v>
      </c>
      <c r="D1056" t="s">
        <v>1015</v>
      </c>
      <c r="E1056">
        <v>2</v>
      </c>
    </row>
    <row r="1057" spans="1:5" x14ac:dyDescent="0.2">
      <c r="A1057" s="269">
        <v>45910.594259259262</v>
      </c>
      <c r="B1057" t="s">
        <v>1455</v>
      </c>
      <c r="C1057" t="s">
        <v>15</v>
      </c>
      <c r="D1057" t="s">
        <v>1018</v>
      </c>
      <c r="E1057">
        <v>2</v>
      </c>
    </row>
    <row r="1058" spans="1:5" x14ac:dyDescent="0.2">
      <c r="A1058" s="269">
        <v>45910.594641203701</v>
      </c>
      <c r="B1058" t="s">
        <v>1455</v>
      </c>
      <c r="C1058" t="s">
        <v>15</v>
      </c>
      <c r="D1058" t="s">
        <v>1018</v>
      </c>
      <c r="E1058">
        <v>8</v>
      </c>
    </row>
    <row r="1059" spans="1:5" x14ac:dyDescent="0.2">
      <c r="A1059" s="269">
        <v>45910.594652777778</v>
      </c>
      <c r="B1059" t="s">
        <v>1455</v>
      </c>
      <c r="C1059" t="s">
        <v>15</v>
      </c>
      <c r="D1059" t="s">
        <v>1015</v>
      </c>
      <c r="E1059">
        <v>8</v>
      </c>
    </row>
    <row r="1060" spans="1:5" x14ac:dyDescent="0.2">
      <c r="A1060" s="269">
        <v>45910.594652777778</v>
      </c>
      <c r="B1060" t="s">
        <v>1455</v>
      </c>
      <c r="C1060" t="s">
        <v>15</v>
      </c>
      <c r="D1060" t="s">
        <v>994</v>
      </c>
      <c r="E1060">
        <v>11</v>
      </c>
    </row>
    <row r="1061" spans="1:5" x14ac:dyDescent="0.2">
      <c r="A1061" s="269">
        <v>45910.594652777778</v>
      </c>
      <c r="B1061" t="s">
        <v>1455</v>
      </c>
      <c r="C1061" t="s">
        <v>15</v>
      </c>
      <c r="D1061" t="s">
        <v>1066</v>
      </c>
      <c r="E1061">
        <v>9</v>
      </c>
    </row>
    <row r="1062" spans="1:5" x14ac:dyDescent="0.2">
      <c r="A1062" s="269">
        <v>45910.594837962963</v>
      </c>
      <c r="B1062" t="s">
        <v>1455</v>
      </c>
      <c r="C1062" t="s">
        <v>15</v>
      </c>
      <c r="D1062" t="s">
        <v>1539</v>
      </c>
      <c r="E1062" t="s">
        <v>1441</v>
      </c>
    </row>
    <row r="1063" spans="1:5" x14ac:dyDescent="0.2">
      <c r="A1063" s="269">
        <v>45910.595069444447</v>
      </c>
      <c r="B1063" t="s">
        <v>1455</v>
      </c>
      <c r="C1063" t="s">
        <v>15</v>
      </c>
      <c r="D1063" t="s">
        <v>1540</v>
      </c>
      <c r="E1063" t="s">
        <v>1438</v>
      </c>
    </row>
    <row r="1064" spans="1:5" x14ac:dyDescent="0.2">
      <c r="A1064" s="269">
        <v>45910.59542824074</v>
      </c>
      <c r="B1064" t="s">
        <v>1455</v>
      </c>
      <c r="C1064" t="s">
        <v>15</v>
      </c>
      <c r="D1064" t="s">
        <v>1541</v>
      </c>
      <c r="E1064" t="s">
        <v>380</v>
      </c>
    </row>
    <row r="1065" spans="1:5" x14ac:dyDescent="0.2">
      <c r="A1065" s="269">
        <v>45910.595682870371</v>
      </c>
      <c r="B1065" t="s">
        <v>1455</v>
      </c>
      <c r="C1065" t="s">
        <v>15</v>
      </c>
      <c r="D1065" t="s">
        <v>924</v>
      </c>
      <c r="E1065" t="s">
        <v>380</v>
      </c>
    </row>
    <row r="1066" spans="1:5" x14ac:dyDescent="0.2">
      <c r="A1066" s="269">
        <v>45910.595717592594</v>
      </c>
      <c r="B1066" t="s">
        <v>1455</v>
      </c>
      <c r="C1066" t="s">
        <v>15</v>
      </c>
      <c r="D1066" t="s">
        <v>1472</v>
      </c>
      <c r="E1066" t="s">
        <v>380</v>
      </c>
    </row>
    <row r="1067" spans="1:5" x14ac:dyDescent="0.2">
      <c r="A1067" s="269">
        <v>45910.595972222225</v>
      </c>
      <c r="B1067" t="s">
        <v>1455</v>
      </c>
      <c r="C1067" t="s">
        <v>15</v>
      </c>
      <c r="D1067" t="s">
        <v>1542</v>
      </c>
      <c r="E1067" t="s">
        <v>188</v>
      </c>
    </row>
    <row r="1068" spans="1:5" x14ac:dyDescent="0.2">
      <c r="A1068" s="269">
        <v>45910.596226851849</v>
      </c>
      <c r="B1068" t="s">
        <v>1455</v>
      </c>
      <c r="C1068" t="s">
        <v>15</v>
      </c>
      <c r="D1068" t="s">
        <v>1543</v>
      </c>
      <c r="E1068" t="s">
        <v>404</v>
      </c>
    </row>
    <row r="1069" spans="1:5" x14ac:dyDescent="0.2">
      <c r="A1069" s="269">
        <v>45910.596307870372</v>
      </c>
      <c r="B1069" t="s">
        <v>1455</v>
      </c>
      <c r="C1069" t="s">
        <v>15</v>
      </c>
      <c r="D1069" t="s">
        <v>1543</v>
      </c>
      <c r="E1069" t="s">
        <v>404</v>
      </c>
    </row>
    <row r="1070" spans="1:5" x14ac:dyDescent="0.2">
      <c r="A1070" s="269">
        <v>45910.596608796295</v>
      </c>
      <c r="B1070" t="s">
        <v>1455</v>
      </c>
      <c r="C1070" t="s">
        <v>15</v>
      </c>
      <c r="D1070" t="s">
        <v>1544</v>
      </c>
      <c r="E1070" t="s">
        <v>404</v>
      </c>
    </row>
    <row r="1071" spans="1:5" x14ac:dyDescent="0.2">
      <c r="A1071" s="269">
        <v>45910.598402777781</v>
      </c>
      <c r="B1071" t="s">
        <v>1455</v>
      </c>
      <c r="C1071" t="s">
        <v>15</v>
      </c>
      <c r="D1071" t="s">
        <v>795</v>
      </c>
      <c r="E1071" t="s">
        <v>1437</v>
      </c>
    </row>
    <row r="1072" spans="1:5" x14ac:dyDescent="0.2">
      <c r="A1072" s="269">
        <v>45910.59847222222</v>
      </c>
      <c r="B1072" t="s">
        <v>1455</v>
      </c>
      <c r="C1072" t="s">
        <v>15</v>
      </c>
      <c r="D1072" t="s">
        <v>1013</v>
      </c>
      <c r="E1072" t="s">
        <v>1545</v>
      </c>
    </row>
    <row r="1073" spans="1:5" x14ac:dyDescent="0.2">
      <c r="A1073" s="269">
        <v>45910.59851851852</v>
      </c>
      <c r="B1073" t="s">
        <v>1455</v>
      </c>
      <c r="C1073" t="s">
        <v>15</v>
      </c>
      <c r="D1073" t="s">
        <v>747</v>
      </c>
      <c r="E1073" t="s">
        <v>1545</v>
      </c>
    </row>
    <row r="1074" spans="1:5" x14ac:dyDescent="0.2">
      <c r="A1074" s="269">
        <v>45910.598576388889</v>
      </c>
      <c r="B1074" t="s">
        <v>1455</v>
      </c>
      <c r="C1074" t="s">
        <v>15</v>
      </c>
      <c r="D1074" t="s">
        <v>1461</v>
      </c>
      <c r="E1074" t="s">
        <v>1546</v>
      </c>
    </row>
    <row r="1075" spans="1:5" x14ac:dyDescent="0.2">
      <c r="A1075" s="269">
        <v>45910.598993055559</v>
      </c>
      <c r="B1075" t="s">
        <v>1455</v>
      </c>
      <c r="C1075" t="s">
        <v>15</v>
      </c>
      <c r="D1075" t="s">
        <v>1547</v>
      </c>
      <c r="E1075" t="s">
        <v>1444</v>
      </c>
    </row>
    <row r="1076" spans="1:5" x14ac:dyDescent="0.2">
      <c r="A1076" s="269">
        <v>45910.599050925928</v>
      </c>
      <c r="B1076" t="s">
        <v>1455</v>
      </c>
      <c r="C1076" t="s">
        <v>15</v>
      </c>
      <c r="D1076" t="s">
        <v>672</v>
      </c>
      <c r="E1076" t="s">
        <v>1439</v>
      </c>
    </row>
    <row r="1077" spans="1:5" x14ac:dyDescent="0.2">
      <c r="A1077" s="269">
        <v>45910.599166666667</v>
      </c>
      <c r="B1077" t="s">
        <v>1455</v>
      </c>
      <c r="C1077" t="s">
        <v>15</v>
      </c>
      <c r="D1077" t="s">
        <v>1066</v>
      </c>
      <c r="E1077">
        <v>1</v>
      </c>
    </row>
    <row r="1078" spans="1:5" x14ac:dyDescent="0.2">
      <c r="A1078" s="269">
        <v>45910.599166666667</v>
      </c>
      <c r="B1078" t="s">
        <v>1455</v>
      </c>
      <c r="C1078" t="s">
        <v>15</v>
      </c>
      <c r="D1078" t="s">
        <v>994</v>
      </c>
      <c r="E1078">
        <v>1</v>
      </c>
    </row>
    <row r="1079" spans="1:5" x14ac:dyDescent="0.2">
      <c r="A1079" s="269">
        <v>45910.599178240744</v>
      </c>
      <c r="B1079" t="s">
        <v>1455</v>
      </c>
      <c r="C1079" t="s">
        <v>15</v>
      </c>
      <c r="D1079" t="s">
        <v>1015</v>
      </c>
      <c r="E1079">
        <v>1</v>
      </c>
    </row>
    <row r="1080" spans="1:5" x14ac:dyDescent="0.2">
      <c r="A1080" s="269">
        <v>45910.599178240744</v>
      </c>
      <c r="B1080" t="s">
        <v>1455</v>
      </c>
      <c r="C1080" t="s">
        <v>15</v>
      </c>
      <c r="D1080" t="s">
        <v>1018</v>
      </c>
      <c r="E1080">
        <v>1</v>
      </c>
    </row>
    <row r="1081" spans="1:5" x14ac:dyDescent="0.2">
      <c r="A1081" s="269">
        <v>45910.599178240744</v>
      </c>
      <c r="B1081" t="s">
        <v>1455</v>
      </c>
      <c r="C1081" t="s">
        <v>15</v>
      </c>
      <c r="D1081" t="s">
        <v>1068</v>
      </c>
      <c r="E1081">
        <v>1</v>
      </c>
    </row>
    <row r="1082" spans="1:5" x14ac:dyDescent="0.2">
      <c r="A1082" s="269">
        <v>45910.599189814813</v>
      </c>
      <c r="B1082" t="s">
        <v>1455</v>
      </c>
      <c r="C1082" t="s">
        <v>15</v>
      </c>
      <c r="D1082" t="s">
        <v>1069</v>
      </c>
      <c r="E1082">
        <v>1</v>
      </c>
    </row>
    <row r="1083" spans="1:5" x14ac:dyDescent="0.2">
      <c r="A1083" s="269">
        <v>45910.599189814813</v>
      </c>
      <c r="B1083" t="s">
        <v>1455</v>
      </c>
      <c r="C1083" t="s">
        <v>15</v>
      </c>
      <c r="D1083" t="s">
        <v>1548</v>
      </c>
      <c r="E1083">
        <v>1</v>
      </c>
    </row>
    <row r="1084" spans="1:5" x14ac:dyDescent="0.2">
      <c r="A1084" s="269">
        <v>45910.59920138889</v>
      </c>
      <c r="B1084" t="s">
        <v>1455</v>
      </c>
      <c r="C1084" t="s">
        <v>15</v>
      </c>
      <c r="D1084" t="s">
        <v>1549</v>
      </c>
      <c r="E1084">
        <v>1</v>
      </c>
    </row>
    <row r="1085" spans="1:5" x14ac:dyDescent="0.2">
      <c r="A1085" s="269">
        <v>45910.599270833336</v>
      </c>
      <c r="B1085" t="s">
        <v>1455</v>
      </c>
      <c r="C1085" t="s">
        <v>15</v>
      </c>
      <c r="D1085" t="s">
        <v>1550</v>
      </c>
      <c r="E1085" t="s">
        <v>188</v>
      </c>
    </row>
    <row r="1086" spans="1:5" x14ac:dyDescent="0.2">
      <c r="A1086" s="269">
        <v>45910.599317129629</v>
      </c>
      <c r="B1086" t="s">
        <v>1455</v>
      </c>
      <c r="C1086" t="s">
        <v>15</v>
      </c>
      <c r="D1086" t="s">
        <v>1551</v>
      </c>
      <c r="E1086" t="s">
        <v>188</v>
      </c>
    </row>
    <row r="1087" spans="1:5" x14ac:dyDescent="0.2">
      <c r="A1087" s="269">
        <v>45910.599386574075</v>
      </c>
      <c r="B1087" t="s">
        <v>1455</v>
      </c>
      <c r="C1087" t="s">
        <v>15</v>
      </c>
      <c r="D1087" t="s">
        <v>1552</v>
      </c>
    </row>
    <row r="1088" spans="1:5" x14ac:dyDescent="0.2">
      <c r="A1088" s="269">
        <v>45910.599421296298</v>
      </c>
      <c r="B1088" t="s">
        <v>1455</v>
      </c>
      <c r="C1088" t="s">
        <v>15</v>
      </c>
      <c r="D1088" t="s">
        <v>1553</v>
      </c>
    </row>
    <row r="1089" spans="1:5" x14ac:dyDescent="0.2">
      <c r="A1089" s="269">
        <v>45910.599502314813</v>
      </c>
      <c r="B1089" t="s">
        <v>1455</v>
      </c>
      <c r="C1089" t="s">
        <v>15</v>
      </c>
      <c r="D1089" t="s">
        <v>1469</v>
      </c>
      <c r="E1089" t="s">
        <v>404</v>
      </c>
    </row>
    <row r="1090" spans="1:5" x14ac:dyDescent="0.2">
      <c r="A1090" s="269">
        <v>45910.599537037036</v>
      </c>
      <c r="B1090" t="s">
        <v>1455</v>
      </c>
      <c r="C1090" t="s">
        <v>15</v>
      </c>
      <c r="D1090" t="s">
        <v>1474</v>
      </c>
      <c r="E1090" t="s">
        <v>404</v>
      </c>
    </row>
    <row r="1091" spans="1:5" x14ac:dyDescent="0.2">
      <c r="A1091" s="269">
        <v>45910.599918981483</v>
      </c>
      <c r="B1091" t="s">
        <v>1455</v>
      </c>
      <c r="C1091" t="s">
        <v>15</v>
      </c>
      <c r="D1091" t="s">
        <v>975</v>
      </c>
      <c r="E1091">
        <v>9.8000000000000007</v>
      </c>
    </row>
    <row r="1092" spans="1:5" x14ac:dyDescent="0.2">
      <c r="A1092" s="269">
        <v>45910.599953703706</v>
      </c>
      <c r="B1092" t="s">
        <v>1455</v>
      </c>
      <c r="C1092" t="s">
        <v>15</v>
      </c>
      <c r="D1092" t="s">
        <v>974</v>
      </c>
      <c r="E1092">
        <v>5.8</v>
      </c>
    </row>
    <row r="1093" spans="1:5" x14ac:dyDescent="0.2">
      <c r="A1093" s="269">
        <v>45910.6</v>
      </c>
      <c r="B1093" t="s">
        <v>1455</v>
      </c>
      <c r="C1093" t="s">
        <v>15</v>
      </c>
      <c r="D1093" t="s">
        <v>1554</v>
      </c>
      <c r="E1093">
        <v>9.8000000000000007</v>
      </c>
    </row>
    <row r="1094" spans="1:5" x14ac:dyDescent="0.2">
      <c r="A1094" s="269">
        <v>45910.600046296298</v>
      </c>
      <c r="B1094" t="s">
        <v>1455</v>
      </c>
      <c r="C1094" t="s">
        <v>15</v>
      </c>
      <c r="D1094" t="s">
        <v>1555</v>
      </c>
      <c r="E1094">
        <v>5.8</v>
      </c>
    </row>
    <row r="1095" spans="1:5" x14ac:dyDescent="0.2">
      <c r="A1095" s="269">
        <v>45910.600115740737</v>
      </c>
      <c r="B1095" t="s">
        <v>1455</v>
      </c>
      <c r="C1095" t="s">
        <v>15</v>
      </c>
      <c r="D1095" t="s">
        <v>925</v>
      </c>
      <c r="E1095">
        <v>6</v>
      </c>
    </row>
    <row r="1096" spans="1:5" x14ac:dyDescent="0.2">
      <c r="A1096" s="269">
        <v>45910.60015046296</v>
      </c>
      <c r="B1096" t="s">
        <v>1455</v>
      </c>
      <c r="C1096" t="s">
        <v>15</v>
      </c>
      <c r="D1096" t="s">
        <v>1556</v>
      </c>
      <c r="E1096">
        <v>5.8</v>
      </c>
    </row>
    <row r="1097" spans="1:5" x14ac:dyDescent="0.2">
      <c r="A1097" s="269">
        <v>45910.600185185183</v>
      </c>
      <c r="B1097" t="s">
        <v>1455</v>
      </c>
      <c r="C1097" t="s">
        <v>15</v>
      </c>
      <c r="D1097" t="s">
        <v>1557</v>
      </c>
      <c r="E1097">
        <v>9.8000000000000007</v>
      </c>
    </row>
    <row r="1098" spans="1:5" x14ac:dyDescent="0.2">
      <c r="A1098" s="269">
        <v>45910.600208333337</v>
      </c>
      <c r="B1098" t="s">
        <v>1455</v>
      </c>
      <c r="C1098" t="s">
        <v>15</v>
      </c>
      <c r="D1098" t="s">
        <v>668</v>
      </c>
      <c r="E1098">
        <v>5.5</v>
      </c>
    </row>
    <row r="1099" spans="1:5" x14ac:dyDescent="0.2">
      <c r="A1099" s="269">
        <v>45910.600324074076</v>
      </c>
      <c r="B1099" t="s">
        <v>1455</v>
      </c>
      <c r="C1099" t="s">
        <v>15</v>
      </c>
      <c r="D1099" t="s">
        <v>1558</v>
      </c>
    </row>
    <row r="1100" spans="1:5" x14ac:dyDescent="0.2">
      <c r="A1100" s="269">
        <v>45910.600347222222</v>
      </c>
      <c r="B1100" t="s">
        <v>1455</v>
      </c>
      <c r="C1100" t="s">
        <v>15</v>
      </c>
      <c r="D1100" t="s">
        <v>1559</v>
      </c>
    </row>
    <row r="1101" spans="1:5" x14ac:dyDescent="0.2">
      <c r="A1101" s="269">
        <v>45910.60083333333</v>
      </c>
      <c r="B1101" t="s">
        <v>1455</v>
      </c>
      <c r="C1101" t="s">
        <v>15</v>
      </c>
      <c r="D1101" t="s">
        <v>1539</v>
      </c>
      <c r="E1101" t="s">
        <v>1441</v>
      </c>
    </row>
    <row r="1102" spans="1:5" x14ac:dyDescent="0.2">
      <c r="A1102" s="269">
        <v>45910.600902777776</v>
      </c>
      <c r="B1102" t="s">
        <v>1455</v>
      </c>
      <c r="C1102" t="s">
        <v>15</v>
      </c>
      <c r="D1102" t="s">
        <v>1492</v>
      </c>
      <c r="E1102" t="s">
        <v>200</v>
      </c>
    </row>
    <row r="1103" spans="1:5" x14ac:dyDescent="0.2">
      <c r="A1103" s="269">
        <v>45910.600960648146</v>
      </c>
      <c r="B1103" t="s">
        <v>1455</v>
      </c>
      <c r="C1103" t="s">
        <v>15</v>
      </c>
      <c r="D1103" t="s">
        <v>1497</v>
      </c>
      <c r="E1103" t="s">
        <v>200</v>
      </c>
    </row>
    <row r="1104" spans="1:5" x14ac:dyDescent="0.2">
      <c r="A1104" s="269">
        <v>45910.600983796299</v>
      </c>
      <c r="B1104" t="s">
        <v>1455</v>
      </c>
      <c r="C1104" t="s">
        <v>15</v>
      </c>
      <c r="D1104" t="s">
        <v>1498</v>
      </c>
      <c r="E1104" t="s">
        <v>200</v>
      </c>
    </row>
    <row r="1105" spans="1:5" x14ac:dyDescent="0.2">
      <c r="A1105" s="269">
        <v>45910.601006944446</v>
      </c>
      <c r="B1105" t="s">
        <v>1455</v>
      </c>
      <c r="C1105" t="s">
        <v>15</v>
      </c>
      <c r="D1105" t="s">
        <v>1506</v>
      </c>
      <c r="E1105" t="s">
        <v>200</v>
      </c>
    </row>
    <row r="1106" spans="1:5" x14ac:dyDescent="0.2">
      <c r="A1106" s="269">
        <v>45910.601041666669</v>
      </c>
      <c r="B1106" t="s">
        <v>1455</v>
      </c>
      <c r="C1106" t="s">
        <v>15</v>
      </c>
      <c r="D1106" t="s">
        <v>1507</v>
      </c>
      <c r="E1106" t="s">
        <v>200</v>
      </c>
    </row>
    <row r="1107" spans="1:5" x14ac:dyDescent="0.2">
      <c r="A1107" s="269">
        <v>45910.6012962963</v>
      </c>
      <c r="B1107" t="s">
        <v>1455</v>
      </c>
      <c r="C1107" t="s">
        <v>15</v>
      </c>
      <c r="D1107" t="s">
        <v>1503</v>
      </c>
    </row>
    <row r="1108" spans="1:5" x14ac:dyDescent="0.2">
      <c r="A1108" s="269">
        <v>45910.601307870369</v>
      </c>
      <c r="B1108" t="s">
        <v>1455</v>
      </c>
      <c r="C1108" t="s">
        <v>15</v>
      </c>
      <c r="D1108" t="s">
        <v>1507</v>
      </c>
    </row>
    <row r="1109" spans="1:5" x14ac:dyDescent="0.2">
      <c r="A1109" s="269">
        <v>45910.6015162037</v>
      </c>
      <c r="B1109" t="s">
        <v>1455</v>
      </c>
      <c r="C1109" t="s">
        <v>15</v>
      </c>
      <c r="D1109" t="s">
        <v>1560</v>
      </c>
      <c r="E1109">
        <v>1</v>
      </c>
    </row>
    <row r="1110" spans="1:5" x14ac:dyDescent="0.2">
      <c r="A1110" s="269">
        <v>45910.6015162037</v>
      </c>
      <c r="B1110" t="s">
        <v>1455</v>
      </c>
      <c r="C1110" t="s">
        <v>15</v>
      </c>
      <c r="D1110" t="s">
        <v>1561</v>
      </c>
      <c r="E1110">
        <v>1</v>
      </c>
    </row>
    <row r="1111" spans="1:5" x14ac:dyDescent="0.2">
      <c r="A1111" s="269">
        <v>45910.6015162037</v>
      </c>
      <c r="B1111" t="s">
        <v>1455</v>
      </c>
      <c r="C1111" t="s">
        <v>15</v>
      </c>
      <c r="D1111" t="s">
        <v>1562</v>
      </c>
      <c r="E1111">
        <v>1</v>
      </c>
    </row>
    <row r="1112" spans="1:5" x14ac:dyDescent="0.2">
      <c r="A1112" s="269">
        <v>45910.601527777777</v>
      </c>
      <c r="B1112" t="s">
        <v>1455</v>
      </c>
      <c r="C1112" t="s">
        <v>15</v>
      </c>
      <c r="D1112" t="s">
        <v>1563</v>
      </c>
      <c r="E1112">
        <v>1</v>
      </c>
    </row>
    <row r="1113" spans="1:5" x14ac:dyDescent="0.2">
      <c r="A1113" s="269">
        <v>45910.601956018516</v>
      </c>
      <c r="B1113" t="s">
        <v>1455</v>
      </c>
      <c r="C1113" t="s">
        <v>15</v>
      </c>
      <c r="D1113" t="s">
        <v>1564</v>
      </c>
      <c r="E1113" t="s">
        <v>404</v>
      </c>
    </row>
    <row r="1114" spans="1:5" x14ac:dyDescent="0.2">
      <c r="A1114" s="269">
        <v>45910.601990740739</v>
      </c>
      <c r="B1114" t="s">
        <v>1455</v>
      </c>
      <c r="C1114" t="s">
        <v>15</v>
      </c>
      <c r="D1114" t="s">
        <v>1565</v>
      </c>
    </row>
    <row r="1115" spans="1:5" x14ac:dyDescent="0.2">
      <c r="A1115" s="269">
        <v>45910.602013888885</v>
      </c>
      <c r="B1115" t="s">
        <v>1455</v>
      </c>
      <c r="C1115" t="s">
        <v>15</v>
      </c>
      <c r="D1115" t="s">
        <v>1566</v>
      </c>
    </row>
    <row r="1116" spans="1:5" x14ac:dyDescent="0.2">
      <c r="A1116" s="269">
        <v>45910.602071759262</v>
      </c>
      <c r="B1116" t="s">
        <v>1455</v>
      </c>
      <c r="C1116" t="s">
        <v>15</v>
      </c>
      <c r="D1116" t="s">
        <v>1567</v>
      </c>
      <c r="E1116">
        <v>4.3</v>
      </c>
    </row>
    <row r="1117" spans="1:5" x14ac:dyDescent="0.2">
      <c r="A1117" s="269">
        <v>45910.602152777778</v>
      </c>
      <c r="B1117" t="s">
        <v>1455</v>
      </c>
      <c r="C1117" t="s">
        <v>15</v>
      </c>
      <c r="D1117" t="s">
        <v>1567</v>
      </c>
      <c r="E1117">
        <v>0.43</v>
      </c>
    </row>
    <row r="1118" spans="1:5" x14ac:dyDescent="0.2">
      <c r="A1118" s="269">
        <v>45910.602361111109</v>
      </c>
      <c r="B1118" t="s">
        <v>1455</v>
      </c>
      <c r="C1118" t="s">
        <v>15</v>
      </c>
      <c r="D1118" t="s">
        <v>1568</v>
      </c>
      <c r="E1118">
        <v>3</v>
      </c>
    </row>
    <row r="1119" spans="1:5" x14ac:dyDescent="0.2">
      <c r="A1119" s="269">
        <v>45910.602442129632</v>
      </c>
      <c r="B1119" t="s">
        <v>1455</v>
      </c>
      <c r="C1119" t="s">
        <v>15</v>
      </c>
      <c r="D1119" t="s">
        <v>1569</v>
      </c>
      <c r="E1119">
        <v>3.5</v>
      </c>
    </row>
    <row r="1120" spans="1:5" x14ac:dyDescent="0.2">
      <c r="A1120" s="269">
        <v>45910.602812500001</v>
      </c>
      <c r="B1120" t="s">
        <v>1455</v>
      </c>
      <c r="C1120" t="s">
        <v>15</v>
      </c>
      <c r="D1120" t="s">
        <v>1570</v>
      </c>
    </row>
    <row r="1121" spans="1:5" x14ac:dyDescent="0.2">
      <c r="A1121" s="269">
        <v>45910.602881944447</v>
      </c>
      <c r="B1121" t="s">
        <v>1455</v>
      </c>
      <c r="C1121" t="s">
        <v>15</v>
      </c>
      <c r="D1121" t="s">
        <v>1571</v>
      </c>
      <c r="E1121">
        <v>3.8</v>
      </c>
    </row>
    <row r="1122" spans="1:5" x14ac:dyDescent="0.2">
      <c r="A1122" s="269">
        <v>45910.603043981479</v>
      </c>
      <c r="B1122" t="s">
        <v>1455</v>
      </c>
      <c r="C1122" t="s">
        <v>15</v>
      </c>
      <c r="D1122" t="s">
        <v>1572</v>
      </c>
      <c r="E1122">
        <v>3.8</v>
      </c>
    </row>
    <row r="1123" spans="1:5" x14ac:dyDescent="0.2">
      <c r="A1123" s="269">
        <v>45910.603449074071</v>
      </c>
      <c r="B1123" t="s">
        <v>1455</v>
      </c>
      <c r="C1123" t="s">
        <v>15</v>
      </c>
      <c r="D1123" t="s">
        <v>1573</v>
      </c>
      <c r="E1123">
        <v>3.8</v>
      </c>
    </row>
    <row r="1124" spans="1:5" x14ac:dyDescent="0.2">
      <c r="A1124" s="269">
        <v>45910.603587962964</v>
      </c>
      <c r="B1124" t="s">
        <v>1455</v>
      </c>
      <c r="C1124" t="s">
        <v>15</v>
      </c>
      <c r="D1124" t="s">
        <v>1574</v>
      </c>
      <c r="E1124">
        <v>0.5</v>
      </c>
    </row>
    <row r="1125" spans="1:5" x14ac:dyDescent="0.2">
      <c r="A1125" s="269">
        <v>45910.603668981479</v>
      </c>
      <c r="B1125" t="s">
        <v>1455</v>
      </c>
      <c r="C1125" t="s">
        <v>15</v>
      </c>
      <c r="D1125" t="s">
        <v>1567</v>
      </c>
      <c r="E1125">
        <v>0.43</v>
      </c>
    </row>
    <row r="1126" spans="1:5" x14ac:dyDescent="0.2">
      <c r="A1126" s="269">
        <v>45910.603877314818</v>
      </c>
      <c r="B1126" t="s">
        <v>1455</v>
      </c>
      <c r="C1126" t="s">
        <v>15</v>
      </c>
      <c r="D1126" t="s">
        <v>1575</v>
      </c>
      <c r="E1126" t="s">
        <v>404</v>
      </c>
    </row>
    <row r="1127" spans="1:5" x14ac:dyDescent="0.2">
      <c r="A1127" s="269">
        <v>45910.603912037041</v>
      </c>
      <c r="B1127" t="s">
        <v>1455</v>
      </c>
      <c r="C1127" t="s">
        <v>15</v>
      </c>
      <c r="D1127" t="s">
        <v>1576</v>
      </c>
      <c r="E1127" t="s">
        <v>404</v>
      </c>
    </row>
    <row r="1128" spans="1:5" x14ac:dyDescent="0.2">
      <c r="A1128" s="269">
        <v>45910.603935185187</v>
      </c>
      <c r="B1128" t="s">
        <v>1455</v>
      </c>
      <c r="C1128" t="s">
        <v>15</v>
      </c>
      <c r="D1128" t="s">
        <v>1577</v>
      </c>
      <c r="E1128" t="s">
        <v>404</v>
      </c>
    </row>
    <row r="1129" spans="1:5" x14ac:dyDescent="0.2">
      <c r="A1129" s="269">
        <v>45910.613668981481</v>
      </c>
      <c r="B1129" t="s">
        <v>1455</v>
      </c>
      <c r="C1129" t="s">
        <v>15</v>
      </c>
      <c r="D1129" t="s">
        <v>1578</v>
      </c>
    </row>
    <row r="1130" spans="1:5" x14ac:dyDescent="0.2">
      <c r="A1130" s="269">
        <v>45910.613946759258</v>
      </c>
      <c r="B1130" t="s">
        <v>1455</v>
      </c>
      <c r="C1130" t="s">
        <v>15</v>
      </c>
      <c r="D1130" t="s">
        <v>1578</v>
      </c>
      <c r="E1130" t="s">
        <v>1437</v>
      </c>
    </row>
    <row r="1131" spans="1:5" x14ac:dyDescent="0.2">
      <c r="A1131" s="269">
        <v>45910.614398148151</v>
      </c>
      <c r="B1131" t="s">
        <v>1455</v>
      </c>
      <c r="C1131" t="s">
        <v>15</v>
      </c>
      <c r="D1131" t="s">
        <v>1579</v>
      </c>
    </row>
    <row r="1132" spans="1:5" x14ac:dyDescent="0.2">
      <c r="A1132" s="269">
        <v>45910.614444444444</v>
      </c>
      <c r="B1132" t="s">
        <v>1455</v>
      </c>
      <c r="C1132" t="s">
        <v>15</v>
      </c>
      <c r="D1132" t="s">
        <v>1580</v>
      </c>
    </row>
    <row r="1133" spans="1:5" x14ac:dyDescent="0.2">
      <c r="A1133" s="269">
        <v>45910.614525462966</v>
      </c>
      <c r="B1133" t="s">
        <v>1455</v>
      </c>
      <c r="C1133" t="s">
        <v>15</v>
      </c>
      <c r="D1133" t="s">
        <v>1580</v>
      </c>
      <c r="E1133" t="s">
        <v>404</v>
      </c>
    </row>
    <row r="1134" spans="1:5" x14ac:dyDescent="0.2">
      <c r="A1134" s="269">
        <v>45910.614525462966</v>
      </c>
      <c r="B1134" t="s">
        <v>1455</v>
      </c>
      <c r="C1134" t="s">
        <v>15</v>
      </c>
      <c r="D1134" t="s">
        <v>1579</v>
      </c>
      <c r="E1134" t="s">
        <v>404</v>
      </c>
    </row>
    <row r="1135" spans="1:5" x14ac:dyDescent="0.2">
      <c r="A1135" s="269">
        <v>45910.623194444444</v>
      </c>
      <c r="B1135" t="s">
        <v>1455</v>
      </c>
      <c r="C1135" t="s">
        <v>15</v>
      </c>
      <c r="D1135" t="s">
        <v>1464</v>
      </c>
      <c r="E1135" t="s">
        <v>407</v>
      </c>
    </row>
    <row r="1136" spans="1:5" x14ac:dyDescent="0.2">
      <c r="A1136" s="269">
        <v>45910.623229166667</v>
      </c>
      <c r="B1136" t="s">
        <v>1455</v>
      </c>
      <c r="C1136" t="s">
        <v>15</v>
      </c>
      <c r="D1136" t="s">
        <v>996</v>
      </c>
      <c r="E1136" t="s">
        <v>407</v>
      </c>
    </row>
    <row r="1137" spans="1:5" x14ac:dyDescent="0.2">
      <c r="A1137" s="269">
        <v>45910.623263888891</v>
      </c>
      <c r="B1137" t="s">
        <v>1455</v>
      </c>
      <c r="C1137" t="s">
        <v>15</v>
      </c>
      <c r="D1137" t="s">
        <v>1465</v>
      </c>
      <c r="E1137" t="s">
        <v>407</v>
      </c>
    </row>
    <row r="1138" spans="1:5" x14ac:dyDescent="0.2">
      <c r="A1138" s="269">
        <v>45910.623287037037</v>
      </c>
      <c r="B1138" t="s">
        <v>1455</v>
      </c>
      <c r="C1138" t="s">
        <v>15</v>
      </c>
      <c r="D1138" t="s">
        <v>1019</v>
      </c>
      <c r="E1138" t="s">
        <v>407</v>
      </c>
    </row>
    <row r="1139" spans="1:5" x14ac:dyDescent="0.2">
      <c r="A1139" s="269">
        <v>45910.623356481483</v>
      </c>
      <c r="B1139" t="s">
        <v>1455</v>
      </c>
      <c r="C1139" t="s">
        <v>15</v>
      </c>
      <c r="D1139" t="s">
        <v>1468</v>
      </c>
      <c r="E1139" t="s">
        <v>407</v>
      </c>
    </row>
    <row r="1140" spans="1:5" x14ac:dyDescent="0.2">
      <c r="A1140" s="269">
        <v>45910.623425925929</v>
      </c>
      <c r="B1140" t="s">
        <v>1455</v>
      </c>
      <c r="C1140" t="s">
        <v>15</v>
      </c>
      <c r="D1140" t="s">
        <v>1581</v>
      </c>
      <c r="E1140" t="s">
        <v>407</v>
      </c>
    </row>
    <row r="1141" spans="1:5" x14ac:dyDescent="0.2">
      <c r="A1141" s="269">
        <v>45910.623506944445</v>
      </c>
      <c r="B1141" t="s">
        <v>1455</v>
      </c>
      <c r="C1141" t="s">
        <v>15</v>
      </c>
      <c r="D1141" t="s">
        <v>1582</v>
      </c>
      <c r="E1141" t="s">
        <v>407</v>
      </c>
    </row>
    <row r="1142" spans="1:5" x14ac:dyDescent="0.2">
      <c r="A1142" s="269">
        <v>45910.623530092591</v>
      </c>
      <c r="B1142" t="s">
        <v>1455</v>
      </c>
      <c r="C1142" t="s">
        <v>15</v>
      </c>
      <c r="D1142" t="s">
        <v>1480</v>
      </c>
    </row>
    <row r="1143" spans="1:5" x14ac:dyDescent="0.2">
      <c r="A1143" s="269">
        <v>45910.623553240737</v>
      </c>
      <c r="B1143" t="s">
        <v>1455</v>
      </c>
      <c r="C1143" t="s">
        <v>15</v>
      </c>
      <c r="D1143" t="s">
        <v>1490</v>
      </c>
    </row>
    <row r="1144" spans="1:5" x14ac:dyDescent="0.2">
      <c r="A1144" s="269">
        <v>45910.623564814814</v>
      </c>
      <c r="B1144" t="s">
        <v>1455</v>
      </c>
      <c r="C1144" t="s">
        <v>15</v>
      </c>
      <c r="D1144" t="s">
        <v>1496</v>
      </c>
    </row>
    <row r="1145" spans="1:5" x14ac:dyDescent="0.2">
      <c r="A1145" s="269">
        <v>45910.623611111114</v>
      </c>
      <c r="B1145" t="s">
        <v>1455</v>
      </c>
      <c r="C1145" t="s">
        <v>15</v>
      </c>
      <c r="D1145" t="s">
        <v>1502</v>
      </c>
      <c r="E1145" t="s">
        <v>407</v>
      </c>
    </row>
    <row r="1146" spans="1:5" x14ac:dyDescent="0.2">
      <c r="A1146" s="269">
        <v>45910.623657407406</v>
      </c>
      <c r="B1146" t="s">
        <v>1455</v>
      </c>
      <c r="C1146" t="s">
        <v>15</v>
      </c>
      <c r="D1146" t="s">
        <v>1564</v>
      </c>
      <c r="E1146" t="s">
        <v>407</v>
      </c>
    </row>
    <row r="1147" spans="1:5" x14ac:dyDescent="0.2">
      <c r="A1147" s="269">
        <v>45910.623657407406</v>
      </c>
      <c r="B1147" t="s">
        <v>1455</v>
      </c>
      <c r="C1147" t="s">
        <v>15</v>
      </c>
      <c r="D1147" t="s">
        <v>1564</v>
      </c>
      <c r="E1147" t="s">
        <v>407</v>
      </c>
    </row>
    <row r="1148" spans="1:5" x14ac:dyDescent="0.2">
      <c r="A1148" s="269">
        <v>45910.623692129629</v>
      </c>
      <c r="B1148" t="s">
        <v>1455</v>
      </c>
      <c r="C1148" t="s">
        <v>15</v>
      </c>
      <c r="D1148" t="s">
        <v>1577</v>
      </c>
      <c r="E1148" t="s">
        <v>407</v>
      </c>
    </row>
    <row r="1149" spans="1:5" x14ac:dyDescent="0.2">
      <c r="A1149" s="269">
        <v>45910.623726851853</v>
      </c>
      <c r="B1149" t="s">
        <v>1455</v>
      </c>
      <c r="C1149" t="s">
        <v>15</v>
      </c>
      <c r="D1149" t="s">
        <v>1576</v>
      </c>
      <c r="E1149" t="s">
        <v>407</v>
      </c>
    </row>
    <row r="1150" spans="1:5" x14ac:dyDescent="0.2">
      <c r="A1150" s="269">
        <v>45910.623761574076</v>
      </c>
      <c r="B1150" t="s">
        <v>1455</v>
      </c>
      <c r="C1150" t="s">
        <v>15</v>
      </c>
      <c r="D1150" t="s">
        <v>1575</v>
      </c>
      <c r="E1150" t="s">
        <v>407</v>
      </c>
    </row>
    <row r="1151" spans="1:5" x14ac:dyDescent="0.2">
      <c r="A1151" s="269">
        <v>45916.88894675926</v>
      </c>
      <c r="B1151" t="s">
        <v>596</v>
      </c>
      <c r="C1151" t="s">
        <v>597</v>
      </c>
      <c r="D1151" t="s">
        <v>1536</v>
      </c>
      <c r="E1151" t="s">
        <v>39</v>
      </c>
    </row>
    <row r="1152" spans="1:5" x14ac:dyDescent="0.2">
      <c r="A1152" s="269">
        <v>45916.889201388891</v>
      </c>
      <c r="B1152" t="s">
        <v>596</v>
      </c>
      <c r="C1152" t="s">
        <v>27</v>
      </c>
      <c r="D1152" t="s">
        <v>1585</v>
      </c>
      <c r="E1152" t="s">
        <v>53</v>
      </c>
    </row>
    <row r="1153" spans="1:5" x14ac:dyDescent="0.2">
      <c r="A1153" s="269">
        <v>45916.889305555553</v>
      </c>
      <c r="B1153" t="s">
        <v>596</v>
      </c>
      <c r="C1153" t="s">
        <v>27</v>
      </c>
      <c r="D1153" t="s">
        <v>1586</v>
      </c>
    </row>
    <row r="1154" spans="1:5" x14ac:dyDescent="0.2">
      <c r="A1154" s="269">
        <v>45916.889363425929</v>
      </c>
      <c r="B1154" t="s">
        <v>596</v>
      </c>
      <c r="C1154" t="s">
        <v>27</v>
      </c>
      <c r="D1154" t="s">
        <v>1587</v>
      </c>
      <c r="E1154">
        <v>1</v>
      </c>
    </row>
    <row r="1155" spans="1:5" x14ac:dyDescent="0.2">
      <c r="A1155" s="269">
        <v>45916.889386574076</v>
      </c>
      <c r="B1155" t="s">
        <v>596</v>
      </c>
      <c r="C1155" t="s">
        <v>27</v>
      </c>
      <c r="D1155" t="s">
        <v>1588</v>
      </c>
    </row>
    <row r="1156" spans="1:5" x14ac:dyDescent="0.2">
      <c r="A1156" s="269">
        <v>45916.889444444445</v>
      </c>
      <c r="B1156" t="s">
        <v>596</v>
      </c>
      <c r="C1156" t="s">
        <v>27</v>
      </c>
      <c r="D1156" t="s">
        <v>794</v>
      </c>
      <c r="E1156">
        <v>1</v>
      </c>
    </row>
    <row r="1157" spans="1:5" x14ac:dyDescent="0.2">
      <c r="A1157" s="269">
        <v>45916.889479166668</v>
      </c>
      <c r="B1157" t="s">
        <v>596</v>
      </c>
      <c r="C1157" t="s">
        <v>27</v>
      </c>
      <c r="D1157" t="s">
        <v>936</v>
      </c>
      <c r="E1157">
        <v>1</v>
      </c>
    </row>
    <row r="1158" spans="1:5" x14ac:dyDescent="0.2">
      <c r="A1158" s="269">
        <v>45916.889594907407</v>
      </c>
      <c r="B1158" t="s">
        <v>596</v>
      </c>
      <c r="C1158" t="s">
        <v>27</v>
      </c>
      <c r="D1158" t="s">
        <v>936</v>
      </c>
      <c r="E1158">
        <v>2</v>
      </c>
    </row>
    <row r="1159" spans="1:5" x14ac:dyDescent="0.2">
      <c r="A1159" s="269">
        <v>45916.88962962963</v>
      </c>
      <c r="B1159" t="s">
        <v>596</v>
      </c>
      <c r="C1159" t="s">
        <v>27</v>
      </c>
      <c r="D1159" t="s">
        <v>1588</v>
      </c>
      <c r="E1159">
        <v>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2025-09-16T13:21:06Z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