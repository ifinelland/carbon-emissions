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Cabanatuan Branch/"/>
    </mc:Choice>
  </mc:AlternateContent>
  <xr:revisionPtr revIDLastSave="0" documentId="13_ncr:1_{BF995D94-C46D-0842-BFF2-012B9EF39085}"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2 Refrigerants" sheetId="38" r:id="rId4"/>
    <sheet name="2.1b Fuel - Vehicles" sheetId="44"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_xleta.IF" hidden="1" xlm="1">#NAME?</definedName>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481" r:id="rId19"/>
    <pivotCache cacheId="482" r:id="rId20"/>
    <pivotCache cacheId="483" r:id="rId21"/>
    <pivotCache cacheId="484" r:id="rId22"/>
    <pivotCache cacheId="485" r:id="rId23"/>
    <pivotCache cacheId="493"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I11" i="34"/>
  <c r="I12" i="34" s="1"/>
  <c r="I13" i="34" s="1"/>
  <c r="I14" i="34" s="1"/>
  <c r="I15" i="34" s="1"/>
  <c r="I16" i="34" s="1"/>
  <c r="I17" i="34" s="1"/>
  <c r="I18" i="34" s="1"/>
  <c r="I7" i="34"/>
  <c r="M11" i="40"/>
  <c r="M10" i="40"/>
  <c r="M8" i="40"/>
  <c r="M9" i="40"/>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12" i="40"/>
  <c r="I13" i="40" s="1"/>
  <c r="I14" i="40" s="1"/>
  <c r="I15" i="40" s="1"/>
  <c r="I16" i="40" s="1"/>
  <c r="I17" i="40" s="1"/>
  <c r="I18" i="40" s="1"/>
  <c r="I10" i="40"/>
  <c r="I11" i="40" s="1"/>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E12" i="38" s="1"/>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s="1"/>
  <c r="I12" i="41" s="1"/>
  <c r="I13" i="41" s="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2" i="38" l="1"/>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E26" i="37" l="1"/>
  <c r="N15" i="34"/>
  <c r="N16" i="34"/>
  <c r="N17" i="34"/>
  <c r="N18" i="34"/>
  <c r="N13" i="34"/>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G13" i="37" s="1"/>
  <c r="F11" i="41"/>
  <c r="F13" i="37" s="1"/>
  <c r="E11" i="41"/>
  <c r="E13" i="37" s="1"/>
  <c r="D11" i="41"/>
  <c r="D13" i="37" s="1"/>
  <c r="F15" i="40"/>
  <c r="G16" i="40"/>
  <c r="E15" i="40"/>
  <c r="D16" i="40"/>
  <c r="E16" i="40"/>
  <c r="G15" i="40"/>
  <c r="D15" i="40"/>
  <c r="F16" i="40"/>
  <c r="E11" i="50"/>
  <c r="D11" i="50"/>
  <c r="G11" i="50"/>
  <c r="F11" i="50"/>
  <c r="E12" i="39"/>
  <c r="G12" i="39"/>
  <c r="G11" i="37" s="1" a="1"/>
  <c r="G11" i="37" s="1"/>
  <c r="F12" i="39"/>
  <c r="F11" i="37" s="1" a="1"/>
  <c r="F11" i="37" s="1"/>
  <c r="F12" i="50" l="1"/>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4" i="34" l="1"/>
  <c r="F14" i="34"/>
  <c r="D14" i="34"/>
  <c r="E14" i="34"/>
  <c r="D13" i="34"/>
  <c r="E13" i="34"/>
  <c r="F13" i="34"/>
  <c r="G13" i="34"/>
  <c r="F12" i="34"/>
  <c r="D12" i="34"/>
  <c r="G12" i="34"/>
  <c r="E12" i="34"/>
  <c r="G11" i="34"/>
  <c r="F11" i="34"/>
  <c r="E11" i="34"/>
  <c r="D11" i="34"/>
  <c r="F15" i="34"/>
  <c r="G15" i="34"/>
  <c r="E15" i="34"/>
  <c r="D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F22" i="43"/>
  <c r="J22" i="43" s="1"/>
  <c r="E27" i="37"/>
  <c r="F23" i="43" s="1"/>
  <c r="J23" i="43" s="1"/>
  <c r="G13" i="43"/>
  <c r="G17" i="43"/>
  <c r="G15" i="43"/>
  <c r="G16" i="43"/>
  <c r="G14" i="43"/>
  <c r="E18" i="37" l="1"/>
  <c r="D8" i="37" a="1"/>
  <c r="D8" i="37" s="1"/>
  <c r="G8" i="37" a="1"/>
  <c r="G8" i="37" s="1"/>
  <c r="F8" i="37" a="1"/>
  <c r="F8" i="37" s="1"/>
  <c r="E8" i="37" a="1"/>
  <c r="E8" i="37" s="1"/>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<sst xmlns="http://schemas.openxmlformats.org/spreadsheetml/2006/main" count="6099" uniqueCount="1440">
  <si>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</si>
  <si>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</si>
  <si>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</si>
  <si>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</si>
  <si>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</si>
  <si>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</si>
  <si>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</si>
  <si>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</si>
  <si>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</si>
  <si>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</si>
  <si>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</si>
  <si>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</si>
  <si>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</si>
  <si>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</si>
  <si>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</si>
  <si>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</si>
  <si>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</si>
  <si>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</si>
  <si>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</si>
  <si>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</si>
  <si>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</si>
  <si>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</si>
  <si>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</si>
  <si>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</si>
  <si>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</si>
  <si>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</si>
  <si>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</si>
  <si>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</si>
  <si>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</si>
  <si>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</si>
  <si>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</si>
  <si>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</si>
  <si>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</si>
  <si>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</si>
  <si>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</si>
  <si>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</si>
  <si>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</si>
  <si>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</si>
  <si>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</si>
  <si>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</si>
  <si>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</si>
  <si>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</si>
  <si>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</si>
  <si>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</si>
  <si>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</si>
  <si>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</si>
  <si>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</si>
  <si>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</si>
  <si>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</si>
  <si>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</si>
  <si>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</si>
  <si>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</si>
  <si>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</si>
  <si>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</si>
  <si>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</si>
  <si>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</si>
  <si>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</si>
  <si>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</si>
  <si>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</si>
  <si>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</si>
  <si>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</si>
  <si>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</si>
  <si>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</si>
  <si>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</si>
  <si>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</si>
  <si>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</si>
  <si>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</si>
  <si>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</si>
  <si>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</si>
  <si>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</si>
  <si>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</si>
  <si>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</si>
  <si>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</si>
  <si>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</si>
  <si>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</si>
  <si>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</si>
  <si>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</si>
  <si>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</si>
  <si>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</si>
  <si>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</si>
  <si>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</si>
  <si>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</si>
  <si>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</si>
  <si>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</si>
  <si>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</si>
  <si>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</si>
  <si>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</si>
  <si>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</si>
  <si>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</si>
  <si>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</si>
  <si>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</si>
  <si>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</si>
  <si>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</si>
  <si>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</si>
  <si>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</si>
  <si>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</si>
  <si>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</si>
  <si>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</si>
  <si>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</si>
  <si>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</si>
  <si>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</si>
  <si>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</si>
  <si>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</si>
  <si>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</si>
  <si>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</si>
  <si>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</si>
  <si>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</si>
  <si>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</si>
  <si>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</si>
  <si>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</si>
  <si>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</si>
  <si>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</si>
  <si>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</si>
  <si>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</si>
  <si>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</si>
  <si>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</si>
  <si>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</si>
  <si>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</si>
  <si>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</si>
  <si>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</si>
  <si>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</si>
  <si>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</si>
  <si>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</si>
  <si>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</si>
  <si>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</si>
  <si>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</si>
  <si>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</si>
  <si>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</si>
  <si>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</si>
  <si>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</si>
  <si>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</si>
  <si>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</si>
  <si>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</si>
  <si>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</si>
  <si>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</si>
  <si>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</si>
  <si>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</si>
  <si>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</si>
  <si>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</si>
  <si>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</si>
  <si>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</si>
  <si>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</si>
  <si>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</si>
  <si>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</si>
  <si>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</si>
  <si>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</si>
  <si>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</si>
  <si>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</si>
  <si>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</si>
  <si>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</si>
  <si>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</si>
  <si>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</si>
  <si>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</si>
  <si>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</si>
  <si>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</si>
  <si>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</si>
  <si>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</si>
  <si>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</si>
  <si>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</si>
  <si>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</si>
  <si>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</si>
  <si>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</si>
  <si>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</si>
  <si>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</si>
  <si>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</si>
  <si>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</si>
  <si>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</si>
  <si>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</si>
  <si>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</si>
  <si>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</si>
  <si>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</si>
  <si>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</si>
  <si>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</si>
  <si>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</si>
  <si>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</si>
  <si>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</si>
  <si>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</si>
  <si>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</si>
  <si>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</si>
  <si>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</si>
  <si>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</si>
  <si>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</si>
  <si>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</si>
  <si>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</si>
  <si>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</si>
  <si>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</si>
  <si>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</si>
  <si>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</si>
  <si>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</si>
  <si>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</si>
  <si>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</si>
  <si>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</si>
  <si>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</si>
  <si>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</si>
  <si>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</si>
  <si>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</si>
  <si>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</si>
  <si>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</si>
  <si>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</si>
  <si>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</si>
  <si>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</si>
  <si>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</si>
  <si>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</si>
  <si>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</si>
  <si>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</si>
  <si>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</si>
  <si>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</si>
  <si>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</si>
  <si>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</si>
  <si>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</si>
  <si>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</si>
  <si>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</si>
  <si>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</si>
  <si>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</si>
  <si>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</si>
  <si>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</si>
  <si>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</si>
  <si>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</si>
  <si>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</si>
  <si>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</si>
  <si>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</si>
  <si>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</si>
  <si>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</si>
  <si>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</si>
  <si>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</si>
  <si>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</si>
  <si>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</si>
  <si>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</si>
  <si>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</si>
  <si>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</si>
  <si>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</si>
  <si>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</si>
  <si>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</si>
  <si>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</si>
  <si>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</si>
  <si>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</si>
  <si>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</si>
  <si>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</si>
  <si>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</si>
  <si>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</si>
  <si>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</si>
  <si>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</si>
  <si>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</si>
  <si>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</si>
  <si>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</si>
  <si>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</si>
  <si>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</si>
  <si>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</si>
  <si>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</si>
  <si>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</si>
  <si>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</si>
  <si>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</si>
  <si>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</si>
  <si>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</si>
  <si>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</si>
  <si>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</si>
  <si>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</si>
  <si>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</si>
  <si>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</si>
  <si>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</si>
  <si>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</si>
  <si>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</si>
  <si>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</si>
  <si>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</si>
  <si>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</si>
  <si>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</si>
  <si>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</si>
  <si>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</si>
  <si>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</si>
  <si>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</si>
  <si>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</si>
  <si>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</si>
  <si>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</si>
  <si>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</si>
  <si>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</si>
  <si>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</si>
  <si>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</si>
  <si>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</si>
  <si>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</si>
  <si>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</si>
  <si>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</si>
  <si>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</si>
  <si>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</si>
  <si>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</si>
  <si>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</si>
  <si>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</si>
  <si>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</si>
  <si>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</si>
  <si>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</si>
  <si>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</si>
  <si>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</si>
  <si>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</si>
  <si>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</si>
  <si>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</si>
  <si>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</si>
  <si>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</si>
  <si>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</si>
  <si>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</si>
  <si>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</si>
  <si>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</si>
  <si>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</si>
  <si>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</si>
  <si>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</si>
  <si>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</si>
  <si>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</si>
  <si>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</si>
  <si>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</si>
  <si>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</si>
  <si>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</si>
  <si>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</si>
  <si>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</si>
  <si>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</si>
  <si>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</si>
  <si>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</si>
  <si>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</si>
  <si>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</si>
  <si>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</si>
  <si>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</si>
  <si>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</si>
  <si>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</si>
  <si>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</si>
  <si>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</si>
  <si>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</si>
  <si>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</si>
  <si>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</si>
  <si>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</si>
  <si>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</si>
  <si>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</si>
  <si>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</si>
  <si>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</si>
  <si>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</si>
  <si>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</si>
  <si>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</si>
  <si>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</si>
  <si>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</si>
  <si>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</si>
  <si>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</si>
  <si>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</si>
  <si>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</si>
  <si>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</si>
  <si>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</si>
  <si>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</si>
  <si>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</si>
  <si>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</si>
  <si>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</si>
  <si>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</si>
  <si>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</si>
  <si>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</si>
  <si>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</si>
  <si>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</si>
  <si>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</si>
  <si>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</si>
  <si>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</si>
  <si>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</si>
  <si>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</si>
  <si>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</si>
  <si>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</si>
  <si>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</si>
  <si>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</si>
  <si>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</si>
  <si>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</si>
  <si>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</si>
  <si>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</si>
  <si>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</si>
  <si>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</si>
  <si>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</si>
  <si>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</si>
  <si>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</si>
  <si>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</si>
  <si>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</si>
  <si>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</si>
  <si>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</si>
  <si>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</si>
  <si>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</si>
  <si>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</si>
  <si>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</si>
  <si>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</si>
  <si>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</si>
  <si>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</si>
  <si>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</si>
  <si>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</si>
  <si>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</si>
  <si>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</si>
  <si>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</si>
  <si>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</si>
  <si>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</si>
  <si>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</si>
  <si>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</si>
  <si>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</si>
  <si>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</si>
  <si>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</si>
  <si>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</si>
  <si>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</si>
  <si>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</si>
  <si>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</si>
  <si>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</si>
  <si>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</si>
  <si>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</si>
  <si>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</si>
  <si>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</si>
  <si>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</si>
  <si>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</si>
  <si>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</si>
  <si>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</si>
  <si>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</si>
  <si>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</si>
  <si>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</si>
  <si>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</si>
  <si>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</si>
  <si>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</si>
  <si>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</si>
  <si>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</si>
  <si>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</si>
  <si>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</si>
  <si>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</si>
  <si>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</si>
  <si>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</si>
  <si>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</si>
  <si>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</si>
  <si>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</si>
  <si>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</si>
  <si>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</si>
  <si>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</si>
  <si>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</si>
  <si>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</si>
  <si>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</si>
  <si>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</si>
  <si>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</si>
  <si>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</si>
  <si>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</si>
  <si>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</si>
  <si>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</si>
  <si>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</si>
  <si>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</si>
  <si>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</si>
  <si>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</si>
  <si>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</si>
  <si>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</si>
  <si>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</si>
  <si>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</si>
  <si>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</si>
  <si>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</si>
  <si>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</si>
  <si>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</si>
  <si>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</si>
  <si>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</si>
  <si>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</si>
  <si>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</si>
  <si>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</si>
  <si>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</si>
  <si>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</si>
  <si>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</si>
  <si>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</si>
  <si>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</si>
  <si>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</si>
  <si>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</si>
  <si>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</si>
  <si>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</si>
  <si>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</si>
  <si>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</si>
  <si>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</si>
  <si>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</si>
  <si>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</si>
  <si>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</si>
  <si>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</si>
  <si>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</si>
  <si>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</si>
  <si>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</si>
  <si>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</si>
  <si>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</si>
  <si>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</si>
  <si>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</si>
  <si>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</si>
  <si>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</si>
  <si>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</si>
  <si>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</si>
  <si>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</si>
  <si>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</si>
  <si>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</si>
  <si>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</si>
  <si>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</si>
  <si>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</si>
  <si>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</si>
  <si>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</si>
  <si>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</si>
  <si>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</si>
  <si>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</si>
  <si>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</si>
  <si>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</si>
  <si>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</si>
  <si>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</si>
  <si>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</si>
  <si>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</si>
  <si>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</si>
  <si>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</si>
  <si>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</si>
  <si>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</si>
  <si>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</si>
  <si>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</si>
  <si>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</si>
  <si>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</si>
  <si>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</si>
  <si>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</si>
  <si>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</si>
  <si>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</si>
  <si>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</si>
  <si>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</si>
  <si>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</si>
  <si>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</si>
  <si>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</si>
  <si>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</si>
  <si>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</si>
  <si>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</si>
  <si>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</si>
  <si>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</si>
  <si>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</si>
  <si>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</si>
  <si>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</si>
  <si>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</si>
  <si>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</si>
  <si>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</si>
  <si>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</si>
  <si>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</si>
  <si>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</si>
  <si>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</si>
  <si>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</si>
  <si>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</si>
  <si>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</si>
  <si>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</si>
  <si>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</si>
  <si>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</si>
  <si>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</si>
  <si>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</si>
  <si>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</si>
  <si>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</si>
  <si>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</si>
  <si>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</si>
  <si>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</si>
  <si>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</si>
  <si>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</si>
  <si>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</si>
  <si>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</si>
  <si>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</si>
  <si>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</si>
  <si>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</si>
  <si>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</si>
  <si>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</si>
  <si>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</si>
  <si>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</si>
  <si>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</si>
  <si>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</si>
  <si>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</si>
  <si>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</si>
  <si>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</si>
  <si>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</si>
  <si>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</si>
  <si>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</si>
  <si>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</si>
  <si>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</si>
  <si>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</si>
  <si>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</si>
  <si>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</si>
  <si>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</si>
  <si>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</si>
  <si>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</si>
  <si>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</si>
  <si>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</si>
  <si>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</si>
  <si>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</si>
  <si>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</si>
  <si>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</si>
  <si>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</si>
  <si>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</si>
  <si>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</si>
  <si>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</si>
  <si>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</si>
  <si>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</si>
  <si>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</si>
  <si>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</si>
  <si>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</si>
  <si>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</si>
  <si>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</si>
  <si>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</si>
  <si>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</si>
  <si>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</si>
  <si>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</si>
  <si>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</si>
  <si>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</si>
  <si>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</si>
  <si>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</si>
  <si>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</si>
  <si>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</si>
  <si>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</si>
  <si>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</si>
  <si>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</si>
  <si>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</si>
  <si>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</si>
  <si>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</si>
  <si>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</si>
  <si>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</si>
  <si>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</si>
  <si>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</si>
  <si>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</si>
  <si>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</si>
  <si>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</si>
  <si>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</si>
  <si>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</si>
  <si>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</si>
  <si>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</si>
  <si>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</si>
  <si>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</si>
  <si>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</si>
  <si>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</si>
  <si>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</si>
  <si>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</si>
  <si>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</si>
  <si>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</si>
  <si>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</si>
  <si>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</si>
  <si>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</si>
  <si>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</si>
  <si>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</si>
  <si>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</si>
  <si>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</si>
  <si>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</si>
  <si>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</si>
  <si>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</si>
  <si>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</si>
  <si>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</si>
  <si>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</si>
  <si>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</si>
  <si>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</si>
  <si>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</si>
  <si>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</si>
  <si>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</si>
  <si>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</si>
  <si>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</si>
  <si>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</si>
  <si>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</si>
  <si>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</si>
  <si>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</si>
  <si>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</si>
  <si>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</si>
  <si>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</si>
  <si>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</si>
  <si>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</si>
  <si>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</si>
  <si>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</si>
  <si>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</si>
  <si>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</si>
  <si>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</si>
  <si>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</si>
  <si>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</si>
  <si>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</si>
  <si>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</si>
  <si>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</si>
  <si>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</si>
  <si>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</si>
  <si>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</si>
  <si>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</si>
  <si>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</si>
  <si>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</si>
  <si>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</si>
  <si>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</si>
  <si>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</si>
  <si>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</si>
  <si>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</si>
  <si>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</si>
  <si>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</si>
  <si>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</si>
  <si>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</si>
  <si>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</si>
  <si>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</si>
  <si>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</si>
  <si>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</si>
  <si>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</si>
  <si>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</si>
  <si>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</si>
  <si>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</si>
  <si>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</si>
  <si>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</si>
  <si>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</si>
  <si>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</si>
  <si>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</si>
  <si>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</si>
  <si>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</si>
  <si>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</si>
  <si>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</si>
  <si>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</si>
  <si>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</si>
  <si>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</si>
  <si>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</si>
  <si>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</si>
  <si>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</si>
  <si>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</si>
  <si>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</si>
  <si>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</si>
  <si>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</si>
  <si>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</si>
  <si>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</si>
  <si>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</si>
  <si>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</si>
  <si>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</si>
  <si>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</si>
  <si>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</si>
  <si>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</si>
  <si>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</si>
  <si>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</si>
  <si>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</si>
  <si>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</si>
  <si>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</si>
  <si>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</si>
  <si>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</si>
  <si>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</si>
  <si>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</si>
  <si>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</si>
  <si>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</si>
  <si>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</si>
  <si>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</si>
  <si>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</si>
  <si>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</si>
  <si>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</si>
  <si>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</si>
  <si>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</si>
  <si>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</si>
  <si>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</si>
  <si>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</si>
  <si>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</si>
  <si>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</si>
  <si>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</si>
  <si>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</si>
  <si>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</si>
  <si>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</si>
  <si>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</si>
  <si>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</si>
  <si>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</si>
  <si>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</si>
  <si>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</si>
  <si>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</si>
  <si>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</si>
  <si>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</si>
  <si>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</si>
  <si>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</si>
  <si>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</si>
  <si>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</si>
  <si>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</si>
  <si>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</si>
  <si>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</si>
  <si>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</si>
  <si>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</si>
  <si>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</si>
  <si>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</si>
  <si>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</si>
  <si>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</si>
  <si>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</si>
  <si>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</si>
  <si>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</si>
  <si>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</si>
  <si>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</si>
  <si>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</si>
  <si>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</si>
  <si>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</si>
  <si>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</si>
  <si>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</si>
  <si>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</si>
  <si>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</si>
  <si>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</si>
  <si>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</si>
  <si>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</si>
  <si>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</si>
  <si>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</si>
  <si>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</si>
  <si>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</si>
  <si>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</si>
  <si>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</si>
  <si>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</si>
  <si>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</si>
  <si>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</si>
  <si>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</si>
  <si>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</si>
  <si>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</si>
  <si>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</si>
  <si>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</si>
  <si>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</si>
  <si>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</si>
  <si>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</si>
  <si>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</si>
  <si>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</si>
  <si>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</si>
  <si>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</si>
  <si>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</si>
  <si>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</si>
  <si>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</si>
  <si>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</si>
  <si>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</si>
  <si>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</si>
  <si>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</si>
  <si>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</si>
  <si>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</si>
  <si>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</si>
  <si>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</si>
  <si>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</si>
  <si>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</si>
  <si>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</si>
  <si>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</si>
  <si>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</si>
  <si>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</si>
  <si>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</si>
  <si>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</si>
  <si>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</si>
  <si>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</si>
  <si>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</si>
  <si>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</si>
  <si>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</si>
  <si>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</si>
  <si>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</si>
  <si>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</si>
  <si>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</si>
  <si>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</si>
  <si>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</si>
  <si>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</si>
  <si>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</si>
  <si>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</si>
  <si>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</si>
  <si>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</si>
  <si>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</si>
  <si>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</si>
  <si>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</si>
  <si>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</si>
  <si>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</si>
  <si>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</si>
  <si>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</si>
  <si>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</si>
  <si>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</si>
  <si>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</si>
  <si>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</si>
  <si>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</si>
  <si>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</si>
  <si>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</si>
  <si>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</si>
  <si>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</si>
  <si>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</si>
  <si>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</si>
  <si>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</si>
  <si>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</si>
  <si>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</si>
  <si>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</si>
  <si>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</si>
  <si>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</si>
  <si>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</si>
  <si>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</si>
  <si>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</si>
  <si>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</si>
  <si>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</si>
  <si>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</si>
  <si>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</si>
  <si>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</si>
  <si>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</si>
  <si>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</si>
  <si>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</si>
  <si>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</si>
  <si>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</si>
  <si>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</si>
  <si>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</si>
  <si>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</si>
  <si>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</si>
  <si>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</si>
  <si>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</si>
  <si>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</si>
  <si>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</si>
  <si>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</si>
  <si>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</si>
  <si>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</si>
  <si>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</si>
  <si>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</si>
  <si>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</si>
  <si>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</si>
  <si>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</si>
  <si>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</si>
  <si>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</si>
  <si>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</si>
  <si>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</si>
  <si>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</si>
  <si>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</si>
  <si>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</si>
  <si>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</si>
  <si>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</si>
  <si>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</si>
  <si>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</si>
  <si>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</si>
  <si>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</si>
  <si>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</si>
  <si>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</si>
  <si>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</si>
  <si>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</si>
  <si>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</si>
  <si>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</si>
  <si>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</si>
  <si>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</si>
  <si>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</si>
  <si>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</si>
  <si>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</si>
  <si>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</si>
  <si>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</si>
  <si>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</si>
  <si>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</si>
  <si>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</si>
  <si>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</si>
  <si>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</si>
  <si>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</si>
  <si>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</si>
  <si>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</si>
  <si>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</si>
  <si>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</si>
  <si>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</si>
  <si>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</si>
  <si>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</si>
  <si>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</si>
  <si>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</si>
  <si>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</si>
  <si>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</si>
  <si>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</si>
  <si>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</si>
  <si>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</si>
  <si>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</si>
  <si>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</si>
  <si>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</si>
  <si>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</si>
  <si>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</si>
  <si>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</si>
  <si>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</si>
  <si>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</si>
  <si>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</si>
  <si>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</si>
  <si>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</si>
  <si>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</si>
  <si>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</si>
  <si>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</si>
  <si>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</si>
  <si>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</si>
  <si>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</si>
  <si>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</si>
  <si>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</si>
  <si>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</si>
  <si>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</si>
  <si>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</si>
  <si>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</si>
  <si>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</si>
  <si>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</si>
  <si>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</si>
  <si>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</si>
  <si>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</si>
  <si>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</si>
  <si>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</si>
  <si>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</si>
  <si>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</si>
  <si>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</si>
  <si>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</si>
  <si>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</si>
  <si>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</si>
  <si>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</si>
  <si>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</si>
  <si>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</si>
  <si>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</si>
  <si>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</si>
  <si>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</si>
  <si>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</si>
  <si>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</si>
  <si>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</si>
  <si>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</si>
  <si>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</si>
  <si>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</si>
  <si>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</si>
  <si>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</si>
  <si>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</si>
  <si>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</si>
  <si>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</si>
  <si>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</si>
  <si>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</si>
  <si>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</si>
  <si>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</si>
  <si>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</si>
  <si>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</si>
  <si>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</si>
  <si>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</si>
  <si>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</si>
  <si>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</si>
  <si>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</si>
  <si>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</si>
  <si>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</si>
  <si>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</si>
  <si>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</si>
  <si>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</si>
  <si>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</si>
  <si>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</si>
  <si>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</si>
  <si>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</si>
  <si>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</si>
  <si>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</si>
  <si>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</si>
  <si>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</si>
  <si>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</si>
  <si>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</si>
  <si>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</si>
  <si>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</si>
  <si>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</si>
  <si>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</si>
  <si>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</si>
  <si>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</si>
  <si>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</si>
  <si>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</si>
  <si>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</si>
  <si>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</si>
  <si>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</si>
  <si>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</si>
  <si>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</si>
  <si>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</si>
  <si>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</si>
  <si>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</si>
  <si>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</si>
  <si>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</si>
  <si>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</si>
  <si>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</si>
  <si>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</si>
  <si>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</si>
  <si>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</si>
  <si>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</si>
  <si>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</si>
  <si>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</si>
  <si>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</si>
  <si>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</si>
  <si>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</si>
  <si>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</si>
  <si>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</si>
  <si>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</si>
  <si>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</si>
  <si>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</si>
  <si>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</si>
  <si>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</si>
  <si>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</si>
  <si>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</si>
  <si>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</si>
  <si>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</si>
  <si>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</si>
  <si>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</si>
  <si>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</si>
  <si>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</si>
  <si>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</si>
  <si>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</si>
  <si>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</si>
  <si>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</si>
  <si>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</si>
  <si>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</si>
  <si>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</si>
  <si>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</si>
  <si>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</si>
  <si>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</si>
  <si>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</si>
  <si>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</si>
  <si>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</si>
  <si>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</si>
  <si>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</si>
  <si>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</si>
  <si>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</si>
  <si>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</si>
  <si>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</si>
  <si>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</si>
  <si>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</si>
  <si>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</si>
  <si>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</si>
  <si>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</si>
  <si>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</si>
  <si>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</si>
  <si>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</si>
  <si>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</si>
  <si>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</si>
  <si>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</si>
  <si>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</si>
  <si>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</si>
  <si>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</si>
  <si>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</si>
  <si>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</si>
  <si>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</si>
  <si>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</si>
  <si>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</si>
  <si>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</si>
  <si>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</si>
  <si>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</si>
  <si>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</si>
  <si>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</si>
  <si>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</si>
  <si>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</si>
  <si>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</si>
  <si>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</si>
  <si>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</si>
  <si>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</si>
  <si>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</si>
  <si>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</si>
  <si>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</si>
  <si>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</si>
  <si>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</si>
  <si>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</si>
  <si>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</si>
  <si>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</si>
  <si>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</si>
  <si>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</si>
  <si>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</si>
  <si>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</si>
  <si>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</si>
  <si>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</si>
  <si>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</si>
  <si>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</si>
  <si>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</si>
  <si>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</si>
  <si>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</si>
  <si>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</si>
  <si>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</si>
  <si>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</si>
  <si>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</si>
  <si>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</si>
  <si>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</si>
  <si>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</si>
  <si>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</si>
  <si>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</si>
  <si>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</si>
  <si>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</si>
  <si>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</si>
  <si>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</si>
  <si>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</si>
  <si>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</si>
  <si>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</si>
  <si>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</si>
  <si>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</si>
  <si>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</si>
  <si>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</si>
  <si>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</si>
  <si>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</si>
  <si>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</si>
  <si>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</si>
  <si>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</si>
  <si>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</si>
  <si>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</si>
  <si>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</si>
  <si>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</si>
  <si>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</si>
  <si>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</si>
  <si>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</si>
  <si>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</si>
  <si>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</si>
  <si>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</si>
  <si>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</si>
  <si>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</si>
  <si>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</si>
  <si>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</si>
  <si>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</si>
  <si>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</si>
  <si>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</si>
  <si>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</si>
  <si>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</si>
  <si>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</si>
  <si>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</si>
  <si>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</si>
  <si>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</si>
  <si>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</si>
  <si>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</si>
  <si>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</si>
  <si>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</si>
  <si>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</si>
  <si>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</si>
  <si>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</si>
  <si>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</si>
  <si>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</si>
  <si>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</si>
  <si>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</si>
  <si>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</si>
  <si>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</si>
  <si>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</si>
  <si>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</si>
  <si>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</si>
  <si>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</si>
  <si>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</si>
  <si>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</si>
  <si>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</si>
  <si>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</si>
  <si>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</si>
  <si>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</si>
  <si>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</si>
  <si>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</si>
  <si>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</si>
  <si>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</si>
  <si>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</si>
  <si>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</si>
  <si>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</si>
  <si>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</si>
  <si>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</si>
  <si>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</si>
  <si>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</si>
  <si>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</si>
  <si>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</si>
  <si>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</si>
  <si>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</si>
  <si>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</si>
  <si>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</si>
  <si>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</si>
  <si>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</si>
  <si>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</si>
  <si>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</si>
  <si>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</si>
  <si>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</si>
  <si>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</si>
  <si>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</si>
  <si>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</si>
  <si>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</si>
  <si>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</si>
  <si>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</si>
  <si>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</si>
  <si>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</si>
  <si>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</si>
  <si>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</si>
  <si>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</si>
  <si>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</si>
  <si>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</si>
  <si>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</si>
  <si>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</si>
  <si>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</si>
  <si>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</si>
  <si>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</si>
  <si>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</si>
  <si>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</si>
  <si>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</si>
  <si>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</si>
  <si>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</si>
  <si>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</si>
  <si>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</si>
  <si>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</si>
  <si>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</si>
  <si>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</si>
  <si>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</si>
  <si>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</si>
  <si>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</si>
  <si>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</si>
  <si>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</si>
  <si>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</si>
  <si>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</si>
  <si>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</si>
  <si>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</si>
  <si>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</si>
  <si>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</si>
  <si>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</si>
  <si>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</si>
  <si>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</si>
  <si>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</si>
  <si>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</si>
  <si>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</si>
  <si>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</si>
  <si>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</si>
  <si>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</si>
  <si>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</si>
  <si>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</si>
  <si>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</si>
  <si>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</si>
  <si>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</si>
  <si>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</si>
  <si>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</si>
  <si>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</si>
  <si>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</si>
  <si>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</si>
  <si>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</si>
  <si>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</si>
  <si>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</si>
  <si>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</si>
  <si>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</si>
  <si>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</si>
  <si>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</si>
  <si>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</si>
  <si>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</si>
  <si>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</si>
  <si>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</si>
  <si>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</si>
  <si>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</si>
  <si>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</si>
  <si>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</si>
  <si>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</si>
  <si>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</si>
  <si>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</si>
  <si>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</si>
  <si>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</si>
  <si>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</si>
  <si>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</si>
  <si>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</si>
  <si>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</si>
  <si>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</si>
  <si>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</si>
  <si>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</si>
  <si>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</si>
  <si>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</si>
  <si>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</si>
  <si>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</si>
  <si>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</si>
  <si>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</si>
  <si>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</si>
  <si>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</si>
  <si>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</si>
  <si>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</si>
  <si>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</si>
  <si>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</si>
  <si>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</si>
  <si>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</si>
  <si>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</si>
  <si>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</si>
  <si>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</si>
  <si>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</si>
  <si>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</si>
  <si>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</si>
  <si>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</si>
  <si>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</si>
  <si>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</si>
  <si>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</si>
  <si>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</si>
  <si>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</si>
  <si>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</si>
  <si>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</si>
  <si>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</si>
  <si>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</si>
  <si>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</si>
  <si>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</si>
  <si>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</si>
  <si>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</si>
  <si>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</si>
  <si>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</si>
  <si>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</si>
  <si>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</si>
  <si>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</si>
  <si>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</si>
  <si>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</si>
  <si>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</si>
  <si>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</si>
  <si>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</si>
  <si>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</si>
  <si>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</si>
  <si>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</si>
  <si>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</si>
  <si>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</si>
  <si>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</si>
  <si>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</si>
  <si>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</si>
  <si>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</si>
  <si>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</si>
  <si>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</si>
  <si>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</si>
  <si>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</si>
  <si>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</si>
  <si>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</si>
  <si>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</si>
  <si>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</si>
  <si>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</si>
  <si>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</si>
  <si>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</si>
  <si>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</si>
  <si>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</si>
  <si>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</si>
  <si>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</si>
  <si>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</si>
  <si>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</si>
  <si>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</si>
  <si>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</si>
  <si>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</si>
  <si>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</si>
  <si>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</si>
  <si>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</si>
  <si>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</si>
  <si>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</si>
  <si>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</si>
  <si>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</si>
  <si>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</si>
  <si>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</si>
  <si>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</si>
  <si>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</si>
  <si>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</si>
  <si>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</si>
  <si>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</si>
  <si>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</si>
  <si>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</si>
  <si>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</si>
  <si>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</si>
  <si>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</si>
  <si>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</si>
  <si>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</si>
  <si>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</si>
  <si>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</si>
  <si>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</si>
  <si>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</si>
  <si>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</si>
  <si>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</si>
  <si>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</si>
  <si>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</si>
  <si>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</si>
  <si>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</si>
  <si>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</si>
  <si>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</si>
  <si>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</si>
  <si>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</si>
  <si>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</si>
  <si>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</si>
  <si>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</si>
  <si>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</si>
  <si>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</si>
  <si>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</si>
  <si>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</si>
  <si>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</si>
  <si>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</si>
  <si>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</si>
  <si>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</si>
  <si>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</si>
  <si>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</si>
  <si>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</si>
  <si>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</si>
  <si>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</si>
  <si>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</si>
  <si>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</si>
  <si>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</si>
  <si>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</si>
  <si>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</si>
  <si>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</si>
  <si>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</si>
  <si>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</si>
  <si>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</si>
  <si>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</si>
  <si>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</si>
  <si>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</si>
  <si>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</si>
  <si>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ESQUILY C. BAUTISTA</t>
  </si>
  <si>
    <t>Shredded notes</t>
  </si>
  <si>
    <t>D406,D407,M506,I101,I104 &amp; WEE</t>
  </si>
  <si>
    <t>Van</t>
  </si>
  <si>
    <t>$A$27:$G$43</t>
  </si>
  <si>
    <t>$I$7:$I$18</t>
  </si>
  <si>
    <t>$I$8:$I$18</t>
  </si>
  <si>
    <t>$I$19:$O$106</t>
  </si>
  <si>
    <t>$N$7:$N$10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</si>
</sst>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4" fontId="0" fillId="3" borderId="3" xfId="0" applyNumberFormat="1" applyFill="1" applyBorder="1" applyProtection="1">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4"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ont>
        <color theme="1"/>
      </font>
      <fill>
        <patternFill patternType="solid">
          <bgColor theme="1"/>
        </patternFill>
      </fill>
      <border>
        <left style="thin">
          <color rgb="FF000000"/>
        </left>
        <right style="thin">
          <color rgb="FF000000"/>
        </right>
        <top style="thin">
          <color rgb="FF000000"/>
        </top>
        <bottom style="thin">
          <color rgb="FF000000"/>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79221875002"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51"/>
    </cacheField>
    <cacheField name="Vehicle Type" numFmtId="0">
      <sharedItems containsBlank="1" count="13">
        <s v="Multi-Purpose Vehicle"/>
        <s v="Van  "/>
        <s v="Van"/>
        <s v="Armored Vehicle"/>
        <s v="Mini Bus/Coaster"/>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Apr"/>
        <s v="May"/>
        <s v="Jun"/>
        <s v="Jul"/>
        <s v="Aug"/>
        <s v="Sep"/>
        <s v="Oct"/>
        <s v="Nov"/>
        <s v="Dec"/>
        <s v="Mar"/>
        <m/>
      </sharedItems>
    </cacheField>
    <cacheField name="Quarter" numFmtId="0">
      <sharedItems containsBlank="1" count="6">
        <s v="Q1"/>
        <s v="Q2"/>
        <s v="Q3"/>
        <s v="Q4"/>
        <s v=""/>
        <m u="1"/>
      </sharedItems>
    </cacheField>
    <cacheField name="Consumption" numFmtId="4">
      <sharedItems containsString="0" containsBlank="1" containsNumber="1" minValue="12.664999999999999" maxValue="825.20299999999997"/>
    </cacheField>
    <cacheField name="Unit" numFmtId="0">
      <sharedItems containsBlank="1"/>
    </cacheField>
    <cacheField name="Total kilometers travelled (all vehicles)" numFmtId="4">
      <sharedItems containsString="0" containsBlank="1" containsNumber="1" containsInteger="1" minValue="32" maxValue="4538"/>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2.664999999999999"/>
    <s v="Liters"/>
    <n v="114"/>
    <s v="Kilometers"/>
    <m/>
  </r>
  <r>
    <n v="2"/>
    <x v="0"/>
    <x v="0"/>
    <x v="1"/>
    <x v="0"/>
    <n v="117.678"/>
    <m/>
    <n v="1216"/>
    <s v="Kilometers"/>
    <m/>
  </r>
  <r>
    <n v="3"/>
    <x v="0"/>
    <x v="0"/>
    <x v="2"/>
    <x v="1"/>
    <n v="168.161"/>
    <s v="Liters"/>
    <n v="1639"/>
    <s v="Kilometers"/>
    <m/>
  </r>
  <r>
    <n v="4"/>
    <x v="0"/>
    <x v="0"/>
    <x v="3"/>
    <x v="1"/>
    <n v="41.509"/>
    <s v="Liters"/>
    <n v="429"/>
    <s v="Kilometers"/>
    <m/>
  </r>
  <r>
    <n v="5"/>
    <x v="0"/>
    <x v="0"/>
    <x v="4"/>
    <x v="1"/>
    <n v="105.887"/>
    <s v="Liters"/>
    <n v="1098"/>
    <s v="Kilometers"/>
    <m/>
  </r>
  <r>
    <n v="6"/>
    <x v="0"/>
    <x v="0"/>
    <x v="5"/>
    <x v="2"/>
    <n v="126.886"/>
    <s v="Liters"/>
    <n v="1604"/>
    <s v="Kilometers"/>
    <m/>
  </r>
  <r>
    <n v="7"/>
    <x v="0"/>
    <x v="0"/>
    <x v="6"/>
    <x v="2"/>
    <n v="170.47499999999999"/>
    <s v="Liters"/>
    <n v="2273"/>
    <s v="Kilometers"/>
    <m/>
  </r>
  <r>
    <n v="8"/>
    <x v="0"/>
    <x v="0"/>
    <x v="7"/>
    <x v="2"/>
    <n v="84.503"/>
    <s v="Liters"/>
    <n v="1355"/>
    <s v="Kilometers"/>
    <m/>
  </r>
  <r>
    <n v="9"/>
    <x v="0"/>
    <x v="0"/>
    <x v="8"/>
    <x v="3"/>
    <n v="115.926"/>
    <s v="Liters"/>
    <n v="1389"/>
    <s v="Kilometers"/>
    <m/>
  </r>
  <r>
    <n v="10"/>
    <x v="0"/>
    <x v="0"/>
    <x v="9"/>
    <x v="3"/>
    <n v="121.274"/>
    <s v="Liters"/>
    <n v="1474"/>
    <s v="Kilometers"/>
    <m/>
  </r>
  <r>
    <n v="11"/>
    <x v="0"/>
    <x v="0"/>
    <x v="10"/>
    <x v="3"/>
    <n v="49.162999999999997"/>
    <s v="Liters"/>
    <n v="648"/>
    <s v="Kilometers"/>
    <m/>
  </r>
  <r>
    <n v="12"/>
    <x v="1"/>
    <x v="0"/>
    <x v="0"/>
    <x v="0"/>
    <n v="260.5"/>
    <s v="Liters"/>
    <n v="1143"/>
    <s v="Kilometers"/>
    <m/>
  </r>
  <r>
    <n v="13"/>
    <x v="2"/>
    <x v="0"/>
    <x v="11"/>
    <x v="0"/>
    <n v="631.43799999999999"/>
    <s v="Liters"/>
    <n v="2525"/>
    <s v="Kilometers"/>
    <m/>
  </r>
  <r>
    <n v="14"/>
    <x v="2"/>
    <x v="0"/>
    <x v="2"/>
    <x v="1"/>
    <n v="96.488"/>
    <s v="Liters"/>
    <n v="498"/>
    <s v="Kilometers"/>
    <m/>
  </r>
  <r>
    <n v="15"/>
    <x v="2"/>
    <x v="0"/>
    <x v="0"/>
    <x v="0"/>
    <n v="265.68400000000003"/>
    <s v="Liters"/>
    <n v="1197"/>
    <s v="Kilometers"/>
    <m/>
  </r>
  <r>
    <n v="16"/>
    <x v="2"/>
    <x v="0"/>
    <x v="3"/>
    <x v="1"/>
    <n v="97.242999999999995"/>
    <s v="Liters"/>
    <n v="142"/>
    <s v="Kilometers"/>
    <m/>
  </r>
  <r>
    <n v="17"/>
    <x v="2"/>
    <x v="0"/>
    <x v="1"/>
    <x v="0"/>
    <n v="29.736000000000001"/>
    <s v="Liters"/>
    <n v="113"/>
    <s v="Kilometers"/>
    <m/>
  </r>
  <r>
    <n v="18"/>
    <x v="3"/>
    <x v="0"/>
    <x v="1"/>
    <x v="0"/>
    <n v="60.942999999999998"/>
    <s v="Liters"/>
    <n v="585"/>
    <s v="Kilometers"/>
    <m/>
  </r>
  <r>
    <n v="19"/>
    <x v="3"/>
    <x v="0"/>
    <x v="11"/>
    <x v="0"/>
    <n v="119.866"/>
    <s v="Liters"/>
    <n v="941"/>
    <s v="Kilometers"/>
    <m/>
  </r>
  <r>
    <n v="20"/>
    <x v="4"/>
    <x v="0"/>
    <x v="0"/>
    <x v="0"/>
    <n v="40.069000000000003"/>
    <s v="Liters"/>
    <n v="516"/>
    <s v="Kilometers"/>
    <m/>
  </r>
  <r>
    <n v="21"/>
    <x v="4"/>
    <x v="0"/>
    <x v="2"/>
    <x v="1"/>
    <n v="39.997"/>
    <s v="Liters"/>
    <n v="426"/>
    <s v="Kilometers"/>
    <m/>
  </r>
  <r>
    <n v="22"/>
    <x v="4"/>
    <x v="0"/>
    <x v="3"/>
    <x v="1"/>
    <n v="49.216000000000001"/>
    <s v="Liters"/>
    <n v="363"/>
    <s v="Kilometers"/>
    <m/>
  </r>
  <r>
    <n v="23"/>
    <x v="4"/>
    <x v="0"/>
    <x v="4"/>
    <x v="1"/>
    <n v="24.486000000000001"/>
    <s v="Liters"/>
    <n v="188"/>
    <s v="Kilometers"/>
    <m/>
  </r>
  <r>
    <n v="24"/>
    <x v="4"/>
    <x v="0"/>
    <x v="5"/>
    <x v="2"/>
    <n v="43.927999999999997"/>
    <s v="Liters"/>
    <n v="373"/>
    <s v="Kilometers"/>
    <m/>
  </r>
  <r>
    <n v="25"/>
    <x v="4"/>
    <x v="0"/>
    <x v="6"/>
    <x v="2"/>
    <n v="99.861000000000004"/>
    <s v="Liters"/>
    <n v="822"/>
    <s v="Kilometers"/>
    <m/>
  </r>
  <r>
    <n v="26"/>
    <x v="4"/>
    <x v="0"/>
    <x v="7"/>
    <x v="2"/>
    <n v="81.350999999999999"/>
    <s v="Liters"/>
    <n v="804"/>
    <s v="Kilometers"/>
    <m/>
  </r>
  <r>
    <n v="27"/>
    <x v="4"/>
    <x v="0"/>
    <x v="8"/>
    <x v="3"/>
    <n v="18.837"/>
    <s v="Liters"/>
    <n v="167"/>
    <s v="Kilometers"/>
    <m/>
  </r>
  <r>
    <n v="28"/>
    <x v="4"/>
    <x v="0"/>
    <x v="9"/>
    <x v="3"/>
    <n v="43.667000000000002"/>
    <s v="Liters"/>
    <n v="147"/>
    <s v="Kilometers"/>
    <m/>
  </r>
  <r>
    <n v="29"/>
    <x v="4"/>
    <x v="0"/>
    <x v="10"/>
    <x v="3"/>
    <n v="72.655000000000001"/>
    <s v="Liters"/>
    <n v="553"/>
    <s v="Kilometers"/>
    <m/>
  </r>
  <r>
    <n v="30"/>
    <x v="3"/>
    <x v="0"/>
    <x v="0"/>
    <x v="0"/>
    <n v="825.20299999999997"/>
    <s v="Liters"/>
    <n v="4538"/>
    <s v="Kilometers"/>
    <m/>
  </r>
  <r>
    <n v="31"/>
    <x v="3"/>
    <x v="0"/>
    <x v="1"/>
    <x v="0"/>
    <n v="333.95800000000003"/>
    <s v="Liters"/>
    <n v="1560"/>
    <s v="Kilometers"/>
    <m/>
  </r>
  <r>
    <n v="32"/>
    <x v="3"/>
    <x v="0"/>
    <x v="11"/>
    <x v="0"/>
    <n v="551.65899999999999"/>
    <s v="Liters"/>
    <n v="2639"/>
    <s v="Kilometers"/>
    <m/>
  </r>
  <r>
    <n v="33"/>
    <x v="3"/>
    <x v="0"/>
    <x v="2"/>
    <x v="1"/>
    <n v="472.29"/>
    <s v="Liters"/>
    <n v="1717"/>
    <s v="Kilometers"/>
    <m/>
  </r>
  <r>
    <n v="34"/>
    <x v="3"/>
    <x v="0"/>
    <x v="3"/>
    <x v="1"/>
    <n v="326.00900000000001"/>
    <s v="Liters"/>
    <n v="1430"/>
    <s v="Kilometers"/>
    <m/>
  </r>
  <r>
    <n v="35"/>
    <x v="3"/>
    <x v="0"/>
    <x v="4"/>
    <x v="1"/>
    <n v="405.57299999999998"/>
    <s v="Liters"/>
    <n v="1768"/>
    <s v="Kilometers"/>
    <m/>
  </r>
  <r>
    <n v="36"/>
    <x v="3"/>
    <x v="0"/>
    <x v="5"/>
    <x v="2"/>
    <n v="70"/>
    <s v="Liters"/>
    <n v="317"/>
    <s v="Kilometers"/>
    <m/>
  </r>
  <r>
    <n v="37"/>
    <x v="3"/>
    <x v="0"/>
    <x v="6"/>
    <x v="2"/>
    <n v="55.246000000000002"/>
    <s v="Liters"/>
    <n v="170"/>
    <s v="Kilometers"/>
    <m/>
  </r>
  <r>
    <n v="38"/>
    <x v="3"/>
    <x v="0"/>
    <x v="7"/>
    <x v="2"/>
    <n v="298.57400000000001"/>
    <s v="Liters"/>
    <n v="1410"/>
    <s v="Kilometers"/>
    <m/>
  </r>
  <r>
    <n v="39"/>
    <x v="3"/>
    <x v="0"/>
    <x v="8"/>
    <x v="3"/>
    <n v="138.46600000000001"/>
    <s v="Liters"/>
    <n v="643"/>
    <s v="Kilometers"/>
    <m/>
  </r>
  <r>
    <n v="40"/>
    <x v="3"/>
    <x v="0"/>
    <x v="9"/>
    <x v="3"/>
    <n v="234.13"/>
    <s v="Liters"/>
    <n v="1039"/>
    <s v="Kilometers"/>
    <m/>
  </r>
  <r>
    <n v="41"/>
    <x v="3"/>
    <x v="0"/>
    <x v="10"/>
    <x v="3"/>
    <n v="537.02"/>
    <s v="Liters"/>
    <n v="2267"/>
    <s v="Kilometers"/>
    <m/>
  </r>
  <r>
    <n v="42"/>
    <x v="2"/>
    <x v="0"/>
    <x v="0"/>
    <x v="0"/>
    <n v="632.19100000000003"/>
    <s v="Liters"/>
    <n v="3118"/>
    <s v="Kilometers"/>
    <m/>
  </r>
  <r>
    <n v="43"/>
    <x v="2"/>
    <x v="0"/>
    <x v="1"/>
    <x v="0"/>
    <n v="70.789000000000001"/>
    <s v="Liters"/>
    <n v="269"/>
    <s v="Kilometers"/>
    <m/>
  </r>
  <r>
    <n v="44"/>
    <x v="2"/>
    <x v="0"/>
    <x v="11"/>
    <x v="0"/>
    <n v="98.277000000000001"/>
    <s v="Liters"/>
    <n v="980"/>
    <s v="Kilometers"/>
    <m/>
  </r>
  <r>
    <n v="45"/>
    <x v="2"/>
    <x v="0"/>
    <x v="3"/>
    <x v="1"/>
    <n v="105.006"/>
    <s v="Liters"/>
    <n v="32"/>
    <s v="Kilometers"/>
    <m/>
  </r>
  <r>
    <n v="46"/>
    <x v="2"/>
    <x v="0"/>
    <x v="4"/>
    <x v="1"/>
    <n v="456.60500000000002"/>
    <s v="Liters"/>
    <n v="1757"/>
    <s v="Kilometers"/>
    <m/>
  </r>
  <r>
    <n v="47"/>
    <x v="2"/>
    <x v="0"/>
    <x v="5"/>
    <x v="2"/>
    <n v="75.018000000000001"/>
    <s v="Liters"/>
    <n v="317"/>
    <s v="Kilometers"/>
    <m/>
  </r>
  <r>
    <n v="48"/>
    <x v="2"/>
    <x v="0"/>
    <x v="7"/>
    <x v="2"/>
    <n v="267.93099999999998"/>
    <s v="Liters"/>
    <n v="1420"/>
    <s v="Kilometers"/>
    <m/>
  </r>
  <r>
    <n v="49"/>
    <x v="2"/>
    <x v="0"/>
    <x v="8"/>
    <x v="3"/>
    <n v="158.11000000000001"/>
    <s v="Liters"/>
    <n v="647"/>
    <s v="Kilometers"/>
    <m/>
  </r>
  <r>
    <n v="50"/>
    <x v="2"/>
    <x v="0"/>
    <x v="9"/>
    <x v="3"/>
    <n v="245.62100000000001"/>
    <s v="Liters"/>
    <n v="1039"/>
    <s v="Kilometers"/>
    <m/>
  </r>
  <r>
    <n v="51"/>
    <x v="2"/>
    <x v="0"/>
    <x v="10"/>
    <x v="3"/>
    <n v="581.71199999999999"/>
    <s v="Liters"/>
    <n v="2345"/>
    <s v="Kilometers"/>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r>
    <s v=""/>
    <x v="5"/>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4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4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4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4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43" firstHeaderRow="1" firstDataRow="2" firstDataCol="1" rowPageCount="1" colPageCount="1"/>
  <pivotFields count="10">
    <pivotField showAll="0"/>
    <pivotField axis="axisRow" showAll="0">
      <items count="14">
        <item m="1" x="12"/>
        <item m="1" x="11"/>
        <item x="5"/>
        <item m="1" x="6"/>
        <item m="1" x="10"/>
        <item m="1" x="7"/>
        <item m="1" x="8"/>
        <item m="1" x="9"/>
        <item x="3"/>
        <item x="0"/>
        <item x="1"/>
        <item x="2"/>
        <item x="4"/>
        <item t="default"/>
      </items>
    </pivotField>
    <pivotField axis="axisRow" showAll="0">
      <items count="5">
        <item x="0"/>
        <item m="1" x="2"/>
        <item x="1"/>
        <item m="1" x="3"/>
        <item t="default"/>
      </items>
    </pivotField>
    <pivotField axis="axisPage" showAll="0">
      <items count="14">
        <item x="0"/>
        <item x="1"/>
        <item x="8"/>
        <item x="12"/>
        <item x="3"/>
        <item x="7"/>
        <item x="11"/>
        <item x="2"/>
        <item x="4"/>
        <item x="5"/>
        <item x="6"/>
        <item x="9"/>
        <item x="10"/>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13">
    <i>
      <x v="2"/>
    </i>
    <i r="1">
      <x v="2"/>
    </i>
    <i>
      <x v="8"/>
    </i>
    <i r="1">
      <x/>
    </i>
    <i>
      <x v="9"/>
    </i>
    <i r="1">
      <x/>
    </i>
    <i>
      <x v="10"/>
    </i>
    <i r="1">
      <x/>
    </i>
    <i>
      <x v="11"/>
    </i>
    <i r="1">
      <x/>
    </i>
    <i>
      <x v="12"/>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4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3">
        <i x="3" s="1"/>
        <i x="4" s="1"/>
        <i x="0" s="1"/>
        <i x="2" s="1"/>
        <i x="1" s="1"/>
        <i x="12" s="1" nd="1"/>
        <i x="7" s="1" nd="1"/>
        <i x="8" s="1" nd="1"/>
        <i x="9" s="1" nd="1"/>
        <i x="6" s="1" nd="1"/>
        <i x="11" s="1" nd="1"/>
        <i x="10"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11" s="1"/>
        <i x="2" s="1"/>
        <i x="3" s="1"/>
        <i x="4" s="1"/>
        <i x="5" s="1"/>
        <i x="6" s="1"/>
        <i x="7" s="1"/>
        <i x="8"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98" dataDxfId="97">
  <autoFilter ref="I8:W107" xr:uid="{4EA7077C-50F7-42D2-96F2-51568F67E7B2}"/>
  <tableColumns count="15">
    <tableColumn id="1" xr3:uid="{F5FCA22D-7063-431B-9399-42C43DB71411}" name="No." dataDxfId="96">
      <calculatedColumnFormula>IF($K9="","",$I8+1)</calculatedColumnFormula>
    </tableColumn>
    <tableColumn id="2" xr3:uid="{132030AD-4541-47EB-A337-EEE87637C1DE}" name="Location" dataDxfId="95"/>
    <tableColumn id="3" xr3:uid="{E38A8A42-DF98-463F-8F43-42FB3365C31D}" name="Equipment Category" dataDxfId="94"/>
    <tableColumn id="4" xr3:uid="{73A30FFB-A2D9-422E-811C-B1A1BA4CF2FF}" name="No. of Units" dataDxfId="93"/>
    <tableColumn id="5" xr3:uid="{C542C367-6C7C-4A2E-AFC0-70AA09658289}" name="Refrigerant" dataDxfId="92"/>
    <tableColumn id="6" xr3:uid="{A49CD649-8CDA-4BDE-9E6C-7CED9E0C5258}" name="Equipment Status" dataDxfId="91"/>
    <tableColumn id="7" xr3:uid="{496D94A5-FA4D-4CAE-BA86-0076C8252260}" name="Month Purchased" dataDxfId="90"/>
    <tableColumn id="8" xr3:uid="{C2C4A362-BE62-4AD9-8A32-0EE063613BFF}" name="Charge (kg)" dataDxfId="89"/>
    <tableColumn id="9" xr3:uid="{72FA09EB-82CD-4F9D-B0C6-9BC0E94D6119}" name="Month Recharged" dataDxfId="88"/>
    <tableColumn id="10" xr3:uid="{47F108D4-F5B0-471A-95AA-199B8E9D5D51}" name="Recharge (kg)" dataDxfId="87"/>
    <tableColumn id="11" xr3:uid="{7F5D579B-DB98-4EE1-9316-59541598F54B}" name="Month Disposed" dataDxfId="86"/>
    <tableColumn id="12" xr3:uid="{27D4DE6A-84A7-49EE-85CD-4A4C4CF0E9C1}" name="Capacity (kg)" dataDxfId="85"/>
    <tableColumn id="13" xr3:uid="{57B4A461-924D-48EC-A43C-5A1EEE91ED09}" name="Recovered (kg)" dataDxfId="84"/>
    <tableColumn id="14" xr3:uid="{4A88164E-A6C3-4FE4-8DE4-0C0950D809F0}" name="Quarter" dataDxfId="83">
      <calculatedColumnFormula>IFERROR(VLOOKUP($O9, dropdown!$S$4:$T$15, 2, FALSE),
 IFERROR(VLOOKUP($Q9, dropdown!$S$4:$T$15, 2, FALSE),
 IFERROR(VLOOKUP($S9, dropdown!$S$4:$T$15, 2, FALSE),
 "")))</calculatedColumnFormula>
    </tableColumn>
    <tableColumn id="15" xr3:uid="{D18D61D3-B9DB-40F4-9EBB-61DAFC976BF5}" name="Remarks" dataDxfId="8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81" dataDxfId="79" headerRowBorderDxfId="80" tableBorderDxfId="78" totalsRowBorderDxfId="77">
  <autoFilter ref="I6:R106" xr:uid="{A85D45EB-1572-A543-812E-815536D59C14}"/>
  <tableColumns count="10">
    <tableColumn id="1" xr3:uid="{CA340CBE-9D85-6C42-9CA1-DDAD368521C3}" name="No." dataDxfId="76">
      <calculatedColumnFormula>IF($J7="","",$I6+1)</calculatedColumnFormula>
    </tableColumn>
    <tableColumn id="2" xr3:uid="{CFAD3D96-F137-044A-AE4C-49E5188E1144}" name="Vehicle Type" dataDxfId="75"/>
    <tableColumn id="3" xr3:uid="{5A421D87-7A43-B14E-BA71-EABB4924A663}" name="Fuel Type" dataDxfId="74"/>
    <tableColumn id="4" xr3:uid="{9C4094CC-7613-9147-BAF8-A31087280A9A}" name="Month" dataDxfId="73"/>
    <tableColumn id="10" xr3:uid="{5211A67F-348D-494D-AD2E-AD4A362BCD78}" name="Quarter" dataDxfId="72">
      <calculatedColumnFormula>IF(Fuel_Veh[[#This Row],[Month]]&lt;&gt;"",VLOOKUP(Fuel_Veh[[#This Row],[Month]], dropdown!$S$4:$T$15, 2, FALSE),"")</calculatedColumnFormula>
    </tableColumn>
    <tableColumn id="5" xr3:uid="{6EDA12F9-55D0-694A-BAB9-B15BDE58CA76}" name="Consumption" dataDxfId="71"/>
    <tableColumn id="7" xr3:uid="{E7761959-51F4-954F-B8FB-F46DCC54C53F}" name="Unit" dataDxfId="70">
      <calculatedColumnFormula>IF($K7="","",VLOOKUP($K7,dropdown!$P$14:$Q$18,2,FALSE))</calculatedColumnFormula>
    </tableColumn>
    <tableColumn id="8" xr3:uid="{AD5D0247-3B56-D146-B22E-45D44E44A249}" name="Total kilometers travelled (all vehicles)" dataDxfId="69"/>
    <tableColumn id="6" xr3:uid="{7D9E5DFA-64C2-4B06-A40F-0BC8CB602574}" name="Unit2" dataDxfId="68">
      <calculatedColumnFormula>IF($P7="","","Kilometers")</calculatedColumnFormula>
    </tableColumn>
    <tableColumn id="9" xr3:uid="{3C24034E-2544-5447-B927-0F565A869F60}" name="Remarks" dataDxfId="6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36" totalsRowShown="0" headerRowDxfId="8">
  <autoFilter ref="A1:E936"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C1"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D3" sqref="D3:G3"/>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369</v>
      </c>
      <c r="E2" s="445"/>
      <c r="F2" s="445"/>
      <c r="G2" s="446"/>
    </row>
    <row r="3" spans="3:7" x14ac:dyDescent="0.2">
      <c r="C3" s="117" t="s">
        <v>12</v>
      </c>
      <c r="D3" s="444">
        <v>2024</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2775.3500000000004</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10129.48</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361360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929</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70" zoomScaleNormal="70" workbookViewId="0">
      <selection activeCell="I11" sqref="I1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Cabanatuan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7" t="s">
        <v>1431</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45913</v>
      </c>
      <c r="D7" s="448"/>
      <c r="E7" s="448"/>
      <c r="F7" s="448"/>
      <c r="G7" s="449"/>
      <c r="I7" s="194">
        <f>IF($M7="","",1)</f>
        <v>1</v>
      </c>
      <c r="J7" s="57" t="s">
        <v>37</v>
      </c>
      <c r="K7" s="58" t="s">
        <v>338</v>
      </c>
      <c r="L7" s="18" t="str">
        <f>IF(Fuel_Blg[[#This Row],[Month]]&lt;&gt;"",VLOOKUP(Fuel_Blg[[#This Row],[Month]], dropdown!$S$4:$T$15, 2, FALSE),"")</f>
        <v>Q1</v>
      </c>
      <c r="M7" s="29">
        <v>17.3</v>
      </c>
      <c r="N7" s="17" t="str">
        <f>IF($J7="","",VLOOKUP($J7,dropdown!$P$3:$Q$8,2,FALSE))</f>
        <v>Liters</v>
      </c>
      <c r="O7" s="195"/>
      <c r="P7" s="20"/>
    </row>
    <row r="8" spans="2:16" x14ac:dyDescent="0.2">
      <c r="I8" s="194">
        <v>2</v>
      </c>
      <c r="J8" s="57" t="s">
        <v>37</v>
      </c>
      <c r="K8" s="58" t="s">
        <v>89</v>
      </c>
      <c r="L8" s="18" t="str">
        <f>IF(Fuel_Blg[[#This Row],[Month]]&lt;&gt;"",VLOOKUP(Fuel_Blg[[#This Row],[Month]], dropdown!$S$4:$T$15, 2, FALSE),"")</f>
        <v>Q1</v>
      </c>
      <c r="M8" s="29">
        <v>27.1</v>
      </c>
      <c r="N8" s="17" t="str">
        <f>IF($J8="","",VLOOKUP($J8,dropdown!$P$3:$Q$8,2,FALSE))</f>
        <v>Liters</v>
      </c>
      <c r="O8" s="195"/>
      <c r="P8" s="20"/>
    </row>
    <row r="9" spans="2:16" x14ac:dyDescent="0.2">
      <c r="B9" s="14" t="s">
        <v>33</v>
      </c>
      <c r="C9" s="14"/>
      <c r="D9" s="14"/>
      <c r="E9" s="14"/>
      <c r="F9" s="14"/>
      <c r="G9" s="14"/>
      <c r="I9" s="194">
        <v>3</v>
      </c>
      <c r="J9" s="57" t="s">
        <v>37</v>
      </c>
      <c r="K9" s="58" t="s">
        <v>362</v>
      </c>
      <c r="L9" s="18" t="str">
        <f>IF(Fuel_Blg[[#This Row],[Month]]&lt;&gt;"",VLOOKUP(Fuel_Blg[[#This Row],[Month]], dropdown!$S$4:$T$15, 2, FALSE),"")</f>
        <v>Q1</v>
      </c>
      <c r="M9" s="29">
        <v>30.04</v>
      </c>
      <c r="N9" s="17" t="str">
        <f>IF($J9="","",VLOOKUP($J9,dropdown!$P$3:$Q$8,2,FALSE))</f>
        <v>Liters</v>
      </c>
      <c r="O9" s="195"/>
      <c r="P9" s="20"/>
    </row>
    <row r="10" spans="2:16" x14ac:dyDescent="0.2">
      <c r="B10" s="13" t="s">
        <v>35</v>
      </c>
      <c r="C10" s="13" t="s">
        <v>51</v>
      </c>
      <c r="D10" s="40" t="s">
        <v>45</v>
      </c>
      <c r="E10" s="40" t="s">
        <v>149</v>
      </c>
      <c r="F10" s="40" t="s">
        <v>150</v>
      </c>
      <c r="G10" s="40" t="s">
        <v>151</v>
      </c>
      <c r="I10" s="194">
        <v>4</v>
      </c>
      <c r="J10" s="57" t="s">
        <v>37</v>
      </c>
      <c r="K10" s="58" t="s">
        <v>371</v>
      </c>
      <c r="L10" s="18" t="str">
        <f>IF(Fuel_Blg[[#This Row],[Month]]&lt;&gt;"",VLOOKUP(Fuel_Blg[[#This Row],[Month]], dropdown!$S$4:$T$15, 2, FALSE),"")</f>
        <v>Q2</v>
      </c>
      <c r="M10" s="29">
        <v>213.2</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74.44</v>
      </c>
      <c r="E11" s="41">
        <f>SUMIFS(Fuel_Blg[Consumption],Fuel_Blg[Quarter],E$10,Fuel_Blg[Fuel Type],$B$11)</f>
        <v>1622.3600000000001</v>
      </c>
      <c r="F11" s="41">
        <f>SUMIFS(Fuel_Blg[Consumption],Fuel_Blg[Quarter],F$10,Fuel_Blg[Fuel Type],$B$11)</f>
        <v>247.5</v>
      </c>
      <c r="G11" s="41">
        <f>SUMIFS(Fuel_Blg[Consumption],Fuel_Blg[Quarter],G$10,Fuel_Blg[Fuel Type],$B$11)</f>
        <v>831.05</v>
      </c>
      <c r="I11" s="194">
        <f t="shared" ref="I10:I18" si="0">IF($M11="","",$I10+1)</f>
        <v>5</v>
      </c>
      <c r="J11" s="57" t="s">
        <v>37</v>
      </c>
      <c r="K11" s="58" t="s">
        <v>379</v>
      </c>
      <c r="L11" s="18" t="str">
        <f>IF(Fuel_Blg[[#This Row],[Month]]&lt;&gt;"",VLOOKUP(Fuel_Blg[[#This Row],[Month]], dropdown!$S$4:$T$15, 2, FALSE),"")</f>
        <v>Q2</v>
      </c>
      <c r="M11" s="29">
        <v>761.25</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6</v>
      </c>
      <c r="J12" s="57" t="s">
        <v>37</v>
      </c>
      <c r="K12" s="58" t="s">
        <v>386</v>
      </c>
      <c r="L12" s="18" t="str">
        <f>IF(Fuel_Blg[[#This Row],[Month]]&lt;&gt;"",VLOOKUP(Fuel_Blg[[#This Row],[Month]], dropdown!$S$4:$T$15, 2, FALSE),"")</f>
        <v>Q2</v>
      </c>
      <c r="M12" s="29">
        <v>647.91</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7</v>
      </c>
      <c r="J13" s="57" t="s">
        <v>37</v>
      </c>
      <c r="K13" s="58" t="s">
        <v>390</v>
      </c>
      <c r="L13" s="18" t="str">
        <f>IF(Fuel_Blg[[#This Row],[Month]]&lt;&gt;"",VLOOKUP(Fuel_Blg[[#This Row],[Month]], dropdown!$S$4:$T$15, 2, FALSE),"")</f>
        <v>Q3</v>
      </c>
      <c r="M13" s="29">
        <v>145.5</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8</v>
      </c>
      <c r="J14" s="57" t="s">
        <v>37</v>
      </c>
      <c r="K14" s="58" t="s">
        <v>41</v>
      </c>
      <c r="L14" s="18" t="str">
        <f>IF(Fuel_Blg[[#This Row],[Month]]&lt;&gt;"",VLOOKUP(Fuel_Blg[[#This Row],[Month]], dropdown!$S$4:$T$15, 2, FALSE),"")</f>
        <v>Q3</v>
      </c>
      <c r="M14" s="29">
        <v>42.85</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9</v>
      </c>
      <c r="J15" s="57" t="s">
        <v>37</v>
      </c>
      <c r="K15" s="58" t="s">
        <v>397</v>
      </c>
      <c r="L15" s="18" t="str">
        <f>IF(Fuel_Blg[[#This Row],[Month]]&lt;&gt;"",VLOOKUP(Fuel_Blg[[#This Row],[Month]], dropdown!$S$4:$T$15, 2, FALSE),"")</f>
        <v>Q3</v>
      </c>
      <c r="M15" s="29">
        <v>59.15</v>
      </c>
      <c r="N15" s="17" t="str">
        <f>IF($J15="","",VLOOKUP($J15,dropdown!$P$3:$Q$8,2,FALSE))</f>
        <v>Liters</v>
      </c>
      <c r="O15" s="195"/>
      <c r="P15" s="20"/>
    </row>
    <row r="16" spans="2:16" x14ac:dyDescent="0.2">
      <c r="I16" s="194">
        <f t="shared" si="0"/>
        <v>10</v>
      </c>
      <c r="J16" s="57" t="s">
        <v>37</v>
      </c>
      <c r="K16" s="58" t="s">
        <v>400</v>
      </c>
      <c r="L16" s="18" t="str">
        <f>IF(Fuel_Blg[[#This Row],[Month]]&lt;&gt;"",VLOOKUP(Fuel_Blg[[#This Row],[Month]], dropdown!$S$4:$T$15, 2, FALSE),"")</f>
        <v>Q4</v>
      </c>
      <c r="M16" s="29">
        <v>681.88</v>
      </c>
      <c r="N16" s="17" t="str">
        <f>IF($J16="","",VLOOKUP($J16,dropdown!$P$3:$Q$8,2,FALSE))</f>
        <v>Liters</v>
      </c>
      <c r="O16" s="195"/>
      <c r="P16" s="20"/>
    </row>
    <row r="17" spans="2:16" x14ac:dyDescent="0.2">
      <c r="B17" s="267" t="s">
        <v>38</v>
      </c>
      <c r="I17" s="194">
        <f t="shared" si="0"/>
        <v>11</v>
      </c>
      <c r="J17" s="57" t="s">
        <v>37</v>
      </c>
      <c r="K17" s="58" t="s">
        <v>404</v>
      </c>
      <c r="L17" s="18" t="str">
        <f>IF(Fuel_Blg[[#This Row],[Month]]&lt;&gt;"",VLOOKUP(Fuel_Blg[[#This Row],[Month]], dropdown!$S$4:$T$15, 2, FALSE),"")</f>
        <v>Q4</v>
      </c>
      <c r="M17" s="29">
        <v>26.67</v>
      </c>
      <c r="N17" s="17" t="str">
        <f>IF($J17="","",VLOOKUP($J17,dropdown!$P$3:$Q$8,2,FALSE))</f>
        <v>Liters</v>
      </c>
      <c r="O17" s="195"/>
      <c r="P17" s="20"/>
    </row>
    <row r="18" spans="2:16" x14ac:dyDescent="0.2">
      <c r="B18" s="268" t="s">
        <v>175</v>
      </c>
      <c r="I18" s="194">
        <f t="shared" si="0"/>
        <v>12</v>
      </c>
      <c r="J18" s="57" t="s">
        <v>37</v>
      </c>
      <c r="K18" s="58" t="s">
        <v>407</v>
      </c>
      <c r="L18" s="18" t="str">
        <f>IF(Fuel_Blg[[#This Row],[Month]]&lt;&gt;"",VLOOKUP(Fuel_Blg[[#This Row],[Month]], dropdown!$S$4:$T$15, 2, FALSE),"")</f>
        <v>Q4</v>
      </c>
      <c r="M18" s="29">
        <v>122.5</v>
      </c>
      <c r="N18" s="17" t="str">
        <f>IF($J18="","",VLOOKUP($J18,dropdown!$P$3:$Q$8,2,FALSE))</f>
        <v>Liters</v>
      </c>
      <c r="O18" s="195"/>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J13" sqref="J13"/>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Cabanatuan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1431</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0">
        <v>45913</v>
      </c>
      <c r="D7" s="448"/>
      <c r="E7" s="448"/>
      <c r="F7" s="448"/>
      <c r="G7" s="449"/>
      <c r="I7" s="418" t="s">
        <v>154</v>
      </c>
      <c r="J7" s="417"/>
      <c r="K7" s="415"/>
      <c r="L7" s="415"/>
      <c r="M7" s="415"/>
      <c r="N7" s="415"/>
      <c r="O7" s="455" t="s">
        <v>183</v>
      </c>
      <c r="P7" s="455"/>
      <c r="Q7" s="456" t="s">
        <v>184</v>
      </c>
      <c r="R7" s="457"/>
      <c r="S7" s="458" t="s">
        <v>86</v>
      </c>
      <c r="T7" s="459"/>
      <c r="U7" s="459"/>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60" t="s">
        <v>192</v>
      </c>
      <c r="C22" s="451" t="s">
        <v>5</v>
      </c>
      <c r="D22" s="452"/>
      <c r="E22" s="451" t="s">
        <v>193</v>
      </c>
      <c r="F22" s="453"/>
      <c r="G22" s="453"/>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61"/>
      <c r="C23" s="451"/>
      <c r="D23" s="452"/>
      <c r="E23" s="451"/>
      <c r="F23" s="453"/>
      <c r="G23" s="453"/>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W8:W107 K8:U107 J8:J15 J17:J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6" priority="6">
      <formula>$N9="New installation"</formula>
    </cfRule>
  </conditionalFormatting>
  <conditionalFormatting sqref="P9:P107">
    <cfRule type="expression" dxfId="5" priority="5">
      <formula>$N9="New installation"</formula>
    </cfRule>
  </conditionalFormatting>
  <conditionalFormatting sqref="Q9:Q107">
    <cfRule type="expression" dxfId="4" priority="4">
      <formula>$N9="In operation"</formula>
    </cfRule>
  </conditionalFormatting>
  <conditionalFormatting sqref="R9:R107">
    <cfRule type="expression" dxfId="3" priority="3">
      <formula>$N9="In operation"</formula>
    </cfRule>
  </conditionalFormatting>
  <conditionalFormatting sqref="S9:S107">
    <cfRule type="expression" dxfId="2" priority="2">
      <formula>$N9="Disposed"</formula>
    </cfRule>
  </conditionalFormatting>
  <conditionalFormatting sqref="T9:U107">
    <cfRule type="expression" dxfId="1"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A9" zoomScale="85" zoomScaleNormal="85" workbookViewId="0">
      <selection activeCell="R15" sqref="R15"/>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Cabanatuan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1431</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45913</v>
      </c>
      <c r="D7" s="448"/>
      <c r="E7" s="448"/>
      <c r="F7" s="448"/>
      <c r="G7" s="449"/>
      <c r="I7" s="194">
        <f>IF($J7="","",1)</f>
        <v>1</v>
      </c>
      <c r="J7" s="57" t="s">
        <v>365</v>
      </c>
      <c r="K7" s="57" t="s">
        <v>63</v>
      </c>
      <c r="L7" s="58" t="s">
        <v>338</v>
      </c>
      <c r="M7" s="18" t="str">
        <f>IF(Fuel_Veh[[#This Row],[Month]]&lt;&gt;"",VLOOKUP(Fuel_Veh[[#This Row],[Month]], dropdown!$S$4:$T$15, 2, FALSE),"")</f>
        <v>Q1</v>
      </c>
      <c r="N7" s="29">
        <v>12.664999999999999</v>
      </c>
      <c r="O7" s="17" t="str">
        <f>IF($K7="","",VLOOKUP($K7,dropdown!$P$14:$Q$18,2,FALSE))</f>
        <v>Liters</v>
      </c>
      <c r="P7" s="29">
        <v>114</v>
      </c>
      <c r="Q7" s="17" t="str">
        <f t="shared" ref="Q7:Q70" si="0">IF($P7="","","Kilometers")</f>
        <v>Kilometers</v>
      </c>
      <c r="R7" s="195"/>
    </row>
    <row r="8" spans="2:18" x14ac:dyDescent="0.2">
      <c r="I8" s="194">
        <f>IF($J8="","",$I7+1)</f>
        <v>2</v>
      </c>
      <c r="J8" s="57" t="s">
        <v>365</v>
      </c>
      <c r="K8" s="57" t="s">
        <v>63</v>
      </c>
      <c r="L8" s="58" t="s">
        <v>89</v>
      </c>
      <c r="M8" s="18" t="str">
        <f>IF(Fuel_Veh[[#This Row],[Month]]&lt;&gt;"",VLOOKUP(Fuel_Veh[[#This Row],[Month]], dropdown!$S$4:$T$15, 2, FALSE),"")</f>
        <v>Q1</v>
      </c>
      <c r="N8" s="29">
        <v>117.678</v>
      </c>
      <c r="O8" s="17"/>
      <c r="P8" s="29">
        <v>1216</v>
      </c>
      <c r="Q8" s="17" t="str">
        <f t="shared" si="0"/>
        <v>Kilometers</v>
      </c>
      <c r="R8" s="195"/>
    </row>
    <row r="9" spans="2:18" x14ac:dyDescent="0.2">
      <c r="B9" s="14" t="s">
        <v>33</v>
      </c>
      <c r="C9" s="14"/>
      <c r="D9" s="14"/>
      <c r="E9" s="14"/>
      <c r="F9" s="14"/>
      <c r="G9" s="14"/>
      <c r="I9" s="194">
        <f>IF($J9="","",$I8+1)</f>
        <v>3</v>
      </c>
      <c r="J9" s="57" t="s">
        <v>365</v>
      </c>
      <c r="K9" s="57" t="s">
        <v>63</v>
      </c>
      <c r="L9" s="58" t="s">
        <v>371</v>
      </c>
      <c r="M9" s="18" t="str">
        <f>IF(Fuel_Veh[[#This Row],[Month]]&lt;&gt;"",VLOOKUP(Fuel_Veh[[#This Row],[Month]], dropdown!$S$4:$T$15, 2, FALSE),"")</f>
        <v>Q2</v>
      </c>
      <c r="N9" s="29">
        <v>168.161</v>
      </c>
      <c r="O9" s="17" t="str">
        <f>IF($K9="","",VLOOKUP($K9,dropdown!$P$14:$Q$18,2,FALSE))</f>
        <v>Liters</v>
      </c>
      <c r="P9" s="29">
        <v>1639</v>
      </c>
      <c r="Q9" s="17" t="str">
        <f t="shared" si="0"/>
        <v>Kilometers</v>
      </c>
      <c r="R9" s="195"/>
    </row>
    <row r="10" spans="2:18" x14ac:dyDescent="0.2">
      <c r="B10" s="13" t="s">
        <v>35</v>
      </c>
      <c r="C10" s="13" t="s">
        <v>51</v>
      </c>
      <c r="D10" s="40" t="s">
        <v>45</v>
      </c>
      <c r="E10" s="40" t="s">
        <v>149</v>
      </c>
      <c r="F10" s="40" t="s">
        <v>150</v>
      </c>
      <c r="G10" s="40" t="s">
        <v>151</v>
      </c>
      <c r="I10" s="194">
        <f>IF($J10="","",$I9+1)</f>
        <v>4</v>
      </c>
      <c r="J10" s="57" t="s">
        <v>365</v>
      </c>
      <c r="K10" s="57" t="s">
        <v>63</v>
      </c>
      <c r="L10" s="58" t="s">
        <v>379</v>
      </c>
      <c r="M10" s="18" t="str">
        <f>IF(Fuel_Veh[[#This Row],[Month]]&lt;&gt;"",VLOOKUP(Fuel_Veh[[#This Row],[Month]], dropdown!$S$4:$T$15, 2, FALSE),"")</f>
        <v>Q2</v>
      </c>
      <c r="N10" s="29">
        <v>41.509</v>
      </c>
      <c r="O10" s="17" t="str">
        <f>IF($K10="","",VLOOKUP($K10,dropdown!$P$14:$Q$18,2,FALSE))</f>
        <v>Liters</v>
      </c>
      <c r="P10" s="29">
        <v>429</v>
      </c>
      <c r="Q10" s="17" t="str">
        <f t="shared" si="0"/>
        <v>Kilometers</v>
      </c>
      <c r="R10" s="195"/>
    </row>
    <row r="11" spans="2:18" x14ac:dyDescent="0.2">
      <c r="B11" s="17" t="str">
        <f>dropdown!$P15</f>
        <v>Diesel - Transport vehicles</v>
      </c>
      <c r="C11" s="17" t="str">
        <f>dropdown!$Q15</f>
        <v>Liters</v>
      </c>
      <c r="D11" s="41">
        <f>SUMIFS(Fuel_Veh[Consumption],Fuel_Veh[Quarter],D$10,Fuel_Veh[Fuel Type],$B$11)</f>
        <v>4050.6560000000004</v>
      </c>
      <c r="E11" s="41">
        <f>SUMIFS(Fuel_Veh[Consumption],Fuel_Veh[Quarter],E$10,Fuel_Veh[Fuel Type],$B$11)</f>
        <v>2388.4700000000003</v>
      </c>
      <c r="F11" s="41">
        <f>SUMIFS(Fuel_Veh[Consumption],Fuel_Veh[Quarter],F$10,Fuel_Veh[Fuel Type],$B$11)</f>
        <v>1373.7730000000001</v>
      </c>
      <c r="G11" s="41">
        <f>SUMIFS(Fuel_Veh[Consumption],Fuel_Veh[Quarter],G$10,Fuel_Veh[Fuel Type],$B$11)</f>
        <v>2316.5810000000001</v>
      </c>
      <c r="I11" s="194">
        <f>IF($J11="","",$I10+1)</f>
        <v>5</v>
      </c>
      <c r="J11" s="57" t="s">
        <v>365</v>
      </c>
      <c r="K11" s="57" t="s">
        <v>63</v>
      </c>
      <c r="L11" s="58" t="s">
        <v>386</v>
      </c>
      <c r="M11" s="18" t="str">
        <f>IF(Fuel_Veh[[#This Row],[Month]]&lt;&gt;"",VLOOKUP(Fuel_Veh[[#This Row],[Month]], dropdown!$S$4:$T$15, 2, FALSE),"")</f>
        <v>Q2</v>
      </c>
      <c r="N11" s="29">
        <v>105.887</v>
      </c>
      <c r="O11" s="17" t="str">
        <f>IF($K11="","",VLOOKUP($K11,dropdown!$P$14:$Q$18,2,FALSE))</f>
        <v>Liters</v>
      </c>
      <c r="P11" s="29">
        <v>1098</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390</v>
      </c>
      <c r="M12" s="18" t="str">
        <f>IF(Fuel_Veh[[#This Row],[Month]]&lt;&gt;"",VLOOKUP(Fuel_Veh[[#This Row],[Month]], dropdown!$S$4:$T$15, 2, FALSE),"")</f>
        <v>Q3</v>
      </c>
      <c r="N12" s="29">
        <v>126.886</v>
      </c>
      <c r="O12" s="17" t="str">
        <f>IF($K12="","",VLOOKUP($K12,dropdown!$P$14:$Q$18,2,FALSE))</f>
        <v>Liters</v>
      </c>
      <c r="P12" s="29">
        <v>1604</v>
      </c>
      <c r="Q12" s="17" t="str">
        <f t="shared" si="0"/>
        <v>Kilometers</v>
      </c>
      <c r="R12" s="195"/>
    </row>
    <row r="13" spans="2:18" ht="14" customHeight="1" x14ac:dyDescent="0.2">
      <c r="I13" s="194">
        <f t="shared" si="1"/>
        <v>7</v>
      </c>
      <c r="J13" s="57" t="s">
        <v>365</v>
      </c>
      <c r="K13" s="57" t="s">
        <v>63</v>
      </c>
      <c r="L13" s="58" t="s">
        <v>41</v>
      </c>
      <c r="M13" s="18" t="str">
        <f>IF(Fuel_Veh[[#This Row],[Month]]&lt;&gt;"",VLOOKUP(Fuel_Veh[[#This Row],[Month]], dropdown!$S$4:$T$15, 2, FALSE),"")</f>
        <v>Q3</v>
      </c>
      <c r="N13" s="29">
        <v>170.47499999999999</v>
      </c>
      <c r="O13" s="17" t="str">
        <f>IF($K13="","",VLOOKUP($K13,dropdown!$P$14:$Q$18,2,FALSE))</f>
        <v>Liters</v>
      </c>
      <c r="P13" s="29">
        <v>2273</v>
      </c>
      <c r="Q13" s="17" t="str">
        <f t="shared" si="0"/>
        <v>Kilometers</v>
      </c>
      <c r="R13" s="195"/>
    </row>
    <row r="14" spans="2:18" x14ac:dyDescent="0.2">
      <c r="B14" s="267" t="s">
        <v>38</v>
      </c>
      <c r="I14" s="194">
        <f t="shared" si="1"/>
        <v>8</v>
      </c>
      <c r="J14" s="57" t="s">
        <v>365</v>
      </c>
      <c r="K14" s="57" t="s">
        <v>63</v>
      </c>
      <c r="L14" s="58" t="s">
        <v>397</v>
      </c>
      <c r="M14" s="18" t="str">
        <f>IF(Fuel_Veh[[#This Row],[Month]]&lt;&gt;"",VLOOKUP(Fuel_Veh[[#This Row],[Month]], dropdown!$S$4:$T$15, 2, FALSE),"")</f>
        <v>Q3</v>
      </c>
      <c r="N14" s="29">
        <v>84.503</v>
      </c>
      <c r="O14" s="17" t="str">
        <f>IF($K14="","",VLOOKUP($K14,dropdown!$P$14:$Q$18,2,FALSE))</f>
        <v>Liters</v>
      </c>
      <c r="P14" s="29">
        <v>1355</v>
      </c>
      <c r="Q14" s="17" t="str">
        <f t="shared" si="0"/>
        <v>Kilometers</v>
      </c>
      <c r="R14" s="195"/>
    </row>
    <row r="15" spans="2:18" x14ac:dyDescent="0.2">
      <c r="B15" s="268" t="s">
        <v>175</v>
      </c>
      <c r="I15" s="194">
        <f t="shared" si="1"/>
        <v>9</v>
      </c>
      <c r="J15" s="57" t="s">
        <v>365</v>
      </c>
      <c r="K15" s="57" t="s">
        <v>63</v>
      </c>
      <c r="L15" s="58" t="s">
        <v>400</v>
      </c>
      <c r="M15" s="18" t="str">
        <f>IF(Fuel_Veh[[#This Row],[Month]]&lt;&gt;"",VLOOKUP(Fuel_Veh[[#This Row],[Month]], dropdown!$S$4:$T$15, 2, FALSE),"")</f>
        <v>Q4</v>
      </c>
      <c r="N15" s="29">
        <v>115.926</v>
      </c>
      <c r="O15" s="17" t="str">
        <f>IF($K15="","",VLOOKUP($K15,dropdown!$P$14:$Q$18,2,FALSE))</f>
        <v>Liters</v>
      </c>
      <c r="P15" s="29">
        <v>1389</v>
      </c>
      <c r="Q15" s="17" t="str">
        <f t="shared" si="0"/>
        <v>Kilometers</v>
      </c>
      <c r="R15" s="195"/>
    </row>
    <row r="16" spans="2:18" x14ac:dyDescent="0.2">
      <c r="B16" s="266" t="s">
        <v>176</v>
      </c>
      <c r="I16" s="194">
        <f t="shared" si="1"/>
        <v>10</v>
      </c>
      <c r="J16" s="57" t="s">
        <v>365</v>
      </c>
      <c r="K16" s="57" t="s">
        <v>63</v>
      </c>
      <c r="L16" s="58" t="s">
        <v>404</v>
      </c>
      <c r="M16" s="18" t="str">
        <f>IF(Fuel_Veh[[#This Row],[Month]]&lt;&gt;"",VLOOKUP(Fuel_Veh[[#This Row],[Month]], dropdown!$S$4:$T$15, 2, FALSE),"")</f>
        <v>Q4</v>
      </c>
      <c r="N16" s="29">
        <v>121.274</v>
      </c>
      <c r="O16" s="17" t="str">
        <f>IF($K16="","",VLOOKUP($K16,dropdown!$P$14:$Q$18,2,FALSE))</f>
        <v>Liters</v>
      </c>
      <c r="P16" s="29">
        <v>1474</v>
      </c>
      <c r="Q16" s="17" t="str">
        <f t="shared" si="0"/>
        <v>Kilometers</v>
      </c>
      <c r="R16" s="195"/>
    </row>
    <row r="17" spans="2:18" x14ac:dyDescent="0.2">
      <c r="B17" s="17" t="s">
        <v>177</v>
      </c>
      <c r="I17" s="194">
        <f t="shared" si="1"/>
        <v>11</v>
      </c>
      <c r="J17" s="57" t="s">
        <v>365</v>
      </c>
      <c r="K17" s="57" t="s">
        <v>63</v>
      </c>
      <c r="L17" s="58" t="s">
        <v>407</v>
      </c>
      <c r="M17" s="18" t="str">
        <f>IF(Fuel_Veh[[#This Row],[Month]]&lt;&gt;"",VLOOKUP(Fuel_Veh[[#This Row],[Month]], dropdown!$S$4:$T$15, 2, FALSE),"")</f>
        <v>Q4</v>
      </c>
      <c r="N17" s="29">
        <v>49.162999999999997</v>
      </c>
      <c r="O17" s="17" t="str">
        <f>IF($K17="","",VLOOKUP($K17,dropdown!$P$14:$Q$18,2,FALSE))</f>
        <v>Liters</v>
      </c>
      <c r="P17" s="29">
        <v>648</v>
      </c>
      <c r="Q17" s="17" t="str">
        <f t="shared" si="0"/>
        <v>Kilometers</v>
      </c>
      <c r="R17" s="195"/>
    </row>
    <row r="18" spans="2:18" x14ac:dyDescent="0.2">
      <c r="I18" s="194">
        <f t="shared" si="1"/>
        <v>12</v>
      </c>
      <c r="J18" s="57" t="s">
        <v>381</v>
      </c>
      <c r="K18" s="57" t="s">
        <v>63</v>
      </c>
      <c r="L18" s="58" t="s">
        <v>338</v>
      </c>
      <c r="M18" s="18" t="str">
        <f>IF(Fuel_Veh[[#This Row],[Month]]&lt;&gt;"",VLOOKUP(Fuel_Veh[[#This Row],[Month]], dropdown!$S$4:$T$15, 2, FALSE),"")</f>
        <v>Q1</v>
      </c>
      <c r="N18" s="29">
        <v>260.5</v>
      </c>
      <c r="O18" s="17" t="str">
        <f>IF($K18="","",VLOOKUP($K18,dropdown!$P$14:$Q$18,2,FALSE))</f>
        <v>Liters</v>
      </c>
      <c r="P18" s="29">
        <v>1143</v>
      </c>
      <c r="Q18" s="17" t="str">
        <f t="shared" si="0"/>
        <v>Kilometers</v>
      </c>
      <c r="R18" s="195"/>
    </row>
    <row r="19" spans="2:18" x14ac:dyDescent="0.2">
      <c r="I19" s="194">
        <f t="shared" si="1"/>
        <v>13</v>
      </c>
      <c r="J19" s="57" t="s">
        <v>1434</v>
      </c>
      <c r="K19" s="57" t="s">
        <v>63</v>
      </c>
      <c r="L19" s="58" t="s">
        <v>362</v>
      </c>
      <c r="M19" s="18" t="str">
        <f>IF(Fuel_Veh[[#This Row],[Month]]&lt;&gt;"",VLOOKUP(Fuel_Veh[[#This Row],[Month]], dropdown!$S$4:$T$15, 2, FALSE),"")</f>
        <v>Q1</v>
      </c>
      <c r="N19" s="29">
        <v>631.43799999999999</v>
      </c>
      <c r="O19" s="17" t="str">
        <f>IF($K19="","",VLOOKUP($K19,dropdown!$P$14:$Q$18,2,FALSE))</f>
        <v>Liters</v>
      </c>
      <c r="P19" s="29">
        <v>2525</v>
      </c>
      <c r="Q19" s="17" t="str">
        <f t="shared" si="0"/>
        <v>Kilometers</v>
      </c>
      <c r="R19" s="195"/>
    </row>
    <row r="20" spans="2:18" x14ac:dyDescent="0.2">
      <c r="I20" s="194">
        <f t="shared" si="1"/>
        <v>14</v>
      </c>
      <c r="J20" s="57" t="s">
        <v>1434</v>
      </c>
      <c r="K20" s="57" t="s">
        <v>63</v>
      </c>
      <c r="L20" s="58" t="s">
        <v>371</v>
      </c>
      <c r="M20" s="18" t="str">
        <f>IF(Fuel_Veh[[#This Row],[Month]]&lt;&gt;"",VLOOKUP(Fuel_Veh[[#This Row],[Month]], dropdown!$S$4:$T$15, 2, FALSE),"")</f>
        <v>Q2</v>
      </c>
      <c r="N20" s="29">
        <v>96.488</v>
      </c>
      <c r="O20" s="17" t="str">
        <f>IF($K20="","",VLOOKUP($K20,dropdown!$P$14:$Q$18,2,FALSE))</f>
        <v>Liters</v>
      </c>
      <c r="P20" s="29">
        <v>498</v>
      </c>
      <c r="Q20" s="17" t="str">
        <f t="shared" si="0"/>
        <v>Kilometers</v>
      </c>
      <c r="R20" s="195"/>
    </row>
    <row r="21" spans="2:18" x14ac:dyDescent="0.2">
      <c r="I21" s="194">
        <f t="shared" si="1"/>
        <v>15</v>
      </c>
      <c r="J21" s="57" t="s">
        <v>1434</v>
      </c>
      <c r="K21" s="57" t="s">
        <v>63</v>
      </c>
      <c r="L21" s="58" t="s">
        <v>338</v>
      </c>
      <c r="M21" s="18" t="str">
        <f>IF(Fuel_Veh[[#This Row],[Month]]&lt;&gt;"",VLOOKUP(Fuel_Veh[[#This Row],[Month]], dropdown!$S$4:$T$15, 2, FALSE),"")</f>
        <v>Q1</v>
      </c>
      <c r="N21" s="29">
        <v>265.68400000000003</v>
      </c>
      <c r="O21" s="17" t="str">
        <f>IF($K21="","",VLOOKUP($K21,dropdown!$P$14:$Q$18,2,FALSE))</f>
        <v>Liters</v>
      </c>
      <c r="P21" s="29">
        <v>1197</v>
      </c>
      <c r="Q21" s="17" t="str">
        <f t="shared" si="0"/>
        <v>Kilometers</v>
      </c>
      <c r="R21" s="195"/>
    </row>
    <row r="22" spans="2:18" x14ac:dyDescent="0.2">
      <c r="I22" s="194">
        <f t="shared" si="1"/>
        <v>16</v>
      </c>
      <c r="J22" s="57" t="s">
        <v>1434</v>
      </c>
      <c r="K22" s="57" t="s">
        <v>63</v>
      </c>
      <c r="L22" s="58" t="s">
        <v>379</v>
      </c>
      <c r="M22" s="18" t="str">
        <f>IF(Fuel_Veh[[#This Row],[Month]]&lt;&gt;"",VLOOKUP(Fuel_Veh[[#This Row],[Month]], dropdown!$S$4:$T$15, 2, FALSE),"")</f>
        <v>Q2</v>
      </c>
      <c r="N22" s="29">
        <v>97.242999999999995</v>
      </c>
      <c r="O22" s="17" t="str">
        <f>IF($K22="","",VLOOKUP($K22,dropdown!$P$14:$Q$18,2,FALSE))</f>
        <v>Liters</v>
      </c>
      <c r="P22" s="29">
        <v>142</v>
      </c>
      <c r="Q22" s="17" t="str">
        <f t="shared" si="0"/>
        <v>Kilometers</v>
      </c>
      <c r="R22" s="195"/>
    </row>
    <row r="23" spans="2:18" x14ac:dyDescent="0.2">
      <c r="I23" s="194">
        <f t="shared" si="1"/>
        <v>17</v>
      </c>
      <c r="J23" s="57" t="s">
        <v>1434</v>
      </c>
      <c r="K23" s="57" t="s">
        <v>63</v>
      </c>
      <c r="L23" s="58" t="s">
        <v>89</v>
      </c>
      <c r="M23" s="18" t="str">
        <f>IF(Fuel_Veh[[#This Row],[Month]]&lt;&gt;"",VLOOKUP(Fuel_Veh[[#This Row],[Month]], dropdown!$S$4:$T$15, 2, FALSE),"")</f>
        <v>Q1</v>
      </c>
      <c r="N23" s="29">
        <v>29.736000000000001</v>
      </c>
      <c r="O23" s="17" t="str">
        <f>IF($K23="","",VLOOKUP($K23,dropdown!$P$14:$Q$18,2,FALSE))</f>
        <v>Liters</v>
      </c>
      <c r="P23" s="29">
        <v>113</v>
      </c>
      <c r="Q23" s="17" t="str">
        <f t="shared" si="0"/>
        <v>Kilometers</v>
      </c>
      <c r="R23" s="195"/>
    </row>
    <row r="24" spans="2:18" x14ac:dyDescent="0.2">
      <c r="I24" s="194">
        <f t="shared" si="1"/>
        <v>18</v>
      </c>
      <c r="J24" s="57" t="s">
        <v>343</v>
      </c>
      <c r="K24" s="57" t="s">
        <v>63</v>
      </c>
      <c r="L24" s="58" t="s">
        <v>89</v>
      </c>
      <c r="M24" s="18" t="str">
        <f>IF(Fuel_Veh[[#This Row],[Month]]&lt;&gt;"",VLOOKUP(Fuel_Veh[[#This Row],[Month]], dropdown!$S$4:$T$15, 2, FALSE),"")</f>
        <v>Q1</v>
      </c>
      <c r="N24" s="29">
        <v>60.942999999999998</v>
      </c>
      <c r="O24" s="17" t="str">
        <f>IF($K24="","",VLOOKUP($K24,dropdown!$P$14:$Q$18,2,FALSE))</f>
        <v>Liters</v>
      </c>
      <c r="P24" s="29">
        <v>585</v>
      </c>
      <c r="Q24" s="17" t="str">
        <f t="shared" si="0"/>
        <v>Kilometers</v>
      </c>
      <c r="R24" s="195"/>
    </row>
    <row r="25" spans="2:18" x14ac:dyDescent="0.2">
      <c r="I25" s="194">
        <f t="shared" si="1"/>
        <v>19</v>
      </c>
      <c r="J25" s="57" t="s">
        <v>343</v>
      </c>
      <c r="K25" s="57" t="s">
        <v>63</v>
      </c>
      <c r="L25" s="58" t="s">
        <v>362</v>
      </c>
      <c r="M25" s="18" t="str">
        <f>IF(Fuel_Veh[[#This Row],[Month]]&lt;&gt;"",VLOOKUP(Fuel_Veh[[#This Row],[Month]], dropdown!$S$4:$T$15, 2, FALSE),"")</f>
        <v>Q1</v>
      </c>
      <c r="N25" s="29">
        <v>119.866</v>
      </c>
      <c r="O25" s="17" t="str">
        <f>IF($K25="","",VLOOKUP($K25,dropdown!$P$14:$Q$18,2,FALSE))</f>
        <v>Liters</v>
      </c>
      <c r="P25" s="29">
        <v>941</v>
      </c>
      <c r="Q25" s="17" t="str">
        <f t="shared" si="0"/>
        <v>Kilometers</v>
      </c>
      <c r="R25" s="195"/>
    </row>
    <row r="26" spans="2:18" x14ac:dyDescent="0.2">
      <c r="I26" s="194">
        <f t="shared" si="1"/>
        <v>20</v>
      </c>
      <c r="J26" s="57" t="s">
        <v>387</v>
      </c>
      <c r="K26" s="57" t="s">
        <v>63</v>
      </c>
      <c r="L26" s="196" t="s">
        <v>338</v>
      </c>
      <c r="M26" s="18" t="str">
        <f>IF(Fuel_Veh[[#This Row],[Month]]&lt;&gt;"",VLOOKUP(Fuel_Veh[[#This Row],[Month]], dropdown!$S$4:$T$15, 2, FALSE),"")</f>
        <v>Q1</v>
      </c>
      <c r="N26" s="197">
        <v>40.069000000000003</v>
      </c>
      <c r="O26" s="198" t="str">
        <f>IF($K26="","",VLOOKUP($K26,dropdown!$P$14:$Q$18,2,FALSE))</f>
        <v>Liters</v>
      </c>
      <c r="P26" s="197">
        <v>516</v>
      </c>
      <c r="Q26" s="17" t="str">
        <f t="shared" si="0"/>
        <v>Kilometers</v>
      </c>
      <c r="R26" s="199"/>
    </row>
    <row r="27" spans="2:18" x14ac:dyDescent="0.2">
      <c r="I27" s="194">
        <f t="shared" si="1"/>
        <v>21</v>
      </c>
      <c r="J27" s="57" t="s">
        <v>387</v>
      </c>
      <c r="K27" s="57" t="s">
        <v>63</v>
      </c>
      <c r="L27" s="58" t="s">
        <v>371</v>
      </c>
      <c r="M27" s="18" t="str">
        <f>IF(Fuel_Veh[[#This Row],[Month]]&lt;&gt;"",VLOOKUP(Fuel_Veh[[#This Row],[Month]], dropdown!$S$4:$T$15, 2, FALSE),"")</f>
        <v>Q2</v>
      </c>
      <c r="N27" s="29">
        <v>39.997</v>
      </c>
      <c r="O27" s="17" t="str">
        <f>IF($K27="","",VLOOKUP($K27,dropdown!$P$14:$Q$18,2,FALSE))</f>
        <v>Liters</v>
      </c>
      <c r="P27" s="29">
        <v>426</v>
      </c>
      <c r="Q27" s="17" t="str">
        <f t="shared" si="0"/>
        <v>Kilometers</v>
      </c>
      <c r="R27" s="195"/>
    </row>
    <row r="28" spans="2:18" x14ac:dyDescent="0.2">
      <c r="I28" s="194">
        <f t="shared" si="1"/>
        <v>22</v>
      </c>
      <c r="J28" s="57" t="s">
        <v>387</v>
      </c>
      <c r="K28" s="57" t="s">
        <v>63</v>
      </c>
      <c r="L28" s="58" t="s">
        <v>379</v>
      </c>
      <c r="M28" s="18" t="str">
        <f>IF(Fuel_Veh[[#This Row],[Month]]&lt;&gt;"",VLOOKUP(Fuel_Veh[[#This Row],[Month]], dropdown!$S$4:$T$15, 2, FALSE),"")</f>
        <v>Q2</v>
      </c>
      <c r="N28" s="29">
        <v>49.216000000000001</v>
      </c>
      <c r="O28" s="17" t="str">
        <f>IF($K28="","",VLOOKUP($K28,dropdown!$P$14:$Q$18,2,FALSE))</f>
        <v>Liters</v>
      </c>
      <c r="P28" s="29">
        <v>363</v>
      </c>
      <c r="Q28" s="17" t="str">
        <f t="shared" si="0"/>
        <v>Kilometers</v>
      </c>
      <c r="R28" s="195"/>
    </row>
    <row r="29" spans="2:18" x14ac:dyDescent="0.2">
      <c r="I29" s="194">
        <f t="shared" si="1"/>
        <v>23</v>
      </c>
      <c r="J29" s="57" t="s">
        <v>387</v>
      </c>
      <c r="K29" s="57" t="s">
        <v>63</v>
      </c>
      <c r="L29" s="58" t="s">
        <v>386</v>
      </c>
      <c r="M29" s="18" t="str">
        <f>IF(Fuel_Veh[[#This Row],[Month]]&lt;&gt;"",VLOOKUP(Fuel_Veh[[#This Row],[Month]], dropdown!$S$4:$T$15, 2, FALSE),"")</f>
        <v>Q2</v>
      </c>
      <c r="N29" s="29">
        <v>24.486000000000001</v>
      </c>
      <c r="O29" s="17" t="str">
        <f>IF($K29="","",VLOOKUP($K29,dropdown!$P$14:$Q$18,2,FALSE))</f>
        <v>Liters</v>
      </c>
      <c r="P29" s="29">
        <v>188</v>
      </c>
      <c r="Q29" s="17" t="str">
        <f t="shared" si="0"/>
        <v>Kilometers</v>
      </c>
      <c r="R29" s="195"/>
    </row>
    <row r="30" spans="2:18" x14ac:dyDescent="0.2">
      <c r="I30" s="194">
        <f t="shared" si="1"/>
        <v>24</v>
      </c>
      <c r="J30" s="57" t="s">
        <v>387</v>
      </c>
      <c r="K30" s="345" t="s">
        <v>63</v>
      </c>
      <c r="L30" s="196" t="s">
        <v>390</v>
      </c>
      <c r="M30" s="18" t="str">
        <f>IF(Fuel_Veh[[#This Row],[Month]]&lt;&gt;"",VLOOKUP(Fuel_Veh[[#This Row],[Month]], dropdown!$S$4:$T$15, 2, FALSE),"")</f>
        <v>Q3</v>
      </c>
      <c r="N30" s="197">
        <v>43.927999999999997</v>
      </c>
      <c r="O30" s="198" t="str">
        <f>IF($K30="","",VLOOKUP($K30,dropdown!$P$14:$Q$18,2,FALSE))</f>
        <v>Liters</v>
      </c>
      <c r="P30" s="197">
        <v>373</v>
      </c>
      <c r="Q30" s="17" t="str">
        <f t="shared" si="0"/>
        <v>Kilometers</v>
      </c>
      <c r="R30" s="199"/>
    </row>
    <row r="31" spans="2:18" x14ac:dyDescent="0.2">
      <c r="I31" s="194">
        <f t="shared" si="1"/>
        <v>25</v>
      </c>
      <c r="J31" s="57" t="s">
        <v>387</v>
      </c>
      <c r="K31" s="57" t="s">
        <v>63</v>
      </c>
      <c r="L31" s="58" t="s">
        <v>41</v>
      </c>
      <c r="M31" s="18" t="str">
        <f>IF(Fuel_Veh[[#This Row],[Month]]&lt;&gt;"",VLOOKUP(Fuel_Veh[[#This Row],[Month]], dropdown!$S$4:$T$15, 2, FALSE),"")</f>
        <v>Q3</v>
      </c>
      <c r="N31" s="29">
        <v>99.861000000000004</v>
      </c>
      <c r="O31" s="17" t="str">
        <f>IF($K31="","",VLOOKUP($K31,dropdown!$P$14:$Q$18,2,FALSE))</f>
        <v>Liters</v>
      </c>
      <c r="P31" s="29">
        <v>822</v>
      </c>
      <c r="Q31" s="17" t="str">
        <f t="shared" si="0"/>
        <v>Kilometers</v>
      </c>
      <c r="R31" s="199"/>
    </row>
    <row r="32" spans="2:18" x14ac:dyDescent="0.2">
      <c r="I32" s="194">
        <f t="shared" si="1"/>
        <v>26</v>
      </c>
      <c r="J32" s="57" t="s">
        <v>387</v>
      </c>
      <c r="K32" s="57" t="s">
        <v>63</v>
      </c>
      <c r="L32" s="58" t="s">
        <v>397</v>
      </c>
      <c r="M32" s="18" t="str">
        <f>IF(Fuel_Veh[[#This Row],[Month]]&lt;&gt;"",VLOOKUP(Fuel_Veh[[#This Row],[Month]], dropdown!$S$4:$T$15, 2, FALSE),"")</f>
        <v>Q3</v>
      </c>
      <c r="N32" s="29">
        <v>81.350999999999999</v>
      </c>
      <c r="O32" s="17" t="str">
        <f>IF($K32="","",VLOOKUP($K32,dropdown!$P$14:$Q$18,2,FALSE))</f>
        <v>Liters</v>
      </c>
      <c r="P32" s="29">
        <v>804</v>
      </c>
      <c r="Q32" s="17" t="str">
        <f t="shared" si="0"/>
        <v>Kilometers</v>
      </c>
      <c r="R32" s="199"/>
    </row>
    <row r="33" spans="9:18" x14ac:dyDescent="0.2">
      <c r="I33" s="194">
        <f t="shared" si="1"/>
        <v>27</v>
      </c>
      <c r="J33" s="57" t="s">
        <v>387</v>
      </c>
      <c r="K33" s="57" t="s">
        <v>63</v>
      </c>
      <c r="L33" s="58" t="s">
        <v>400</v>
      </c>
      <c r="M33" s="18" t="str">
        <f>IF(Fuel_Veh[[#This Row],[Month]]&lt;&gt;"",VLOOKUP(Fuel_Veh[[#This Row],[Month]], dropdown!$S$4:$T$15, 2, FALSE),"")</f>
        <v>Q4</v>
      </c>
      <c r="N33" s="29">
        <v>18.837</v>
      </c>
      <c r="O33" s="17" t="str">
        <f>IF($K33="","",VLOOKUP($K33,dropdown!$P$14:$Q$18,2,FALSE))</f>
        <v>Liters</v>
      </c>
      <c r="P33" s="29">
        <v>167</v>
      </c>
      <c r="Q33" s="17" t="str">
        <f t="shared" si="0"/>
        <v>Kilometers</v>
      </c>
      <c r="R33" s="199"/>
    </row>
    <row r="34" spans="9:18" x14ac:dyDescent="0.2">
      <c r="I34" s="194">
        <f t="shared" si="1"/>
        <v>28</v>
      </c>
      <c r="J34" s="57" t="s">
        <v>387</v>
      </c>
      <c r="K34" s="57" t="s">
        <v>63</v>
      </c>
      <c r="L34" s="58" t="s">
        <v>404</v>
      </c>
      <c r="M34" s="18" t="str">
        <f>IF(Fuel_Veh[[#This Row],[Month]]&lt;&gt;"",VLOOKUP(Fuel_Veh[[#This Row],[Month]], dropdown!$S$4:$T$15, 2, FALSE),"")</f>
        <v>Q4</v>
      </c>
      <c r="N34" s="29">
        <v>43.667000000000002</v>
      </c>
      <c r="O34" s="17" t="str">
        <f>IF($K34="","",VLOOKUP($K34,dropdown!$P$14:$Q$18,2,FALSE))</f>
        <v>Liters</v>
      </c>
      <c r="P34" s="29">
        <v>147</v>
      </c>
      <c r="Q34" s="17" t="str">
        <f t="shared" si="0"/>
        <v>Kilometers</v>
      </c>
      <c r="R34" s="199"/>
    </row>
    <row r="35" spans="9:18" x14ac:dyDescent="0.2">
      <c r="I35" s="194">
        <f t="shared" si="1"/>
        <v>29</v>
      </c>
      <c r="J35" s="57" t="s">
        <v>387</v>
      </c>
      <c r="K35" s="57" t="s">
        <v>63</v>
      </c>
      <c r="L35" s="58" t="s">
        <v>407</v>
      </c>
      <c r="M35" s="18" t="str">
        <f>IF(Fuel_Veh[[#This Row],[Month]]&lt;&gt;"",VLOOKUP(Fuel_Veh[[#This Row],[Month]], dropdown!$S$4:$T$15, 2, FALSE),"")</f>
        <v>Q4</v>
      </c>
      <c r="N35" s="29">
        <v>72.655000000000001</v>
      </c>
      <c r="O35" s="17" t="str">
        <f>IF($K35="","",VLOOKUP($K35,dropdown!$P$14:$Q$18,2,FALSE))</f>
        <v>Liters</v>
      </c>
      <c r="P35" s="29">
        <v>553</v>
      </c>
      <c r="Q35" s="17" t="str">
        <f t="shared" si="0"/>
        <v>Kilometers</v>
      </c>
      <c r="R35" s="199"/>
    </row>
    <row r="36" spans="9:18" x14ac:dyDescent="0.2">
      <c r="I36" s="194">
        <f t="shared" si="1"/>
        <v>30</v>
      </c>
      <c r="J36" s="57" t="s">
        <v>343</v>
      </c>
      <c r="K36" s="57" t="s">
        <v>63</v>
      </c>
      <c r="L36" s="58" t="s">
        <v>338</v>
      </c>
      <c r="M36" s="18" t="str">
        <f>IF(Fuel_Veh[[#This Row],[Month]]&lt;&gt;"",VLOOKUP(Fuel_Veh[[#This Row],[Month]], dropdown!$S$4:$T$15, 2, FALSE),"")</f>
        <v>Q1</v>
      </c>
      <c r="N36" s="29">
        <v>825.20299999999997</v>
      </c>
      <c r="O36" s="17" t="str">
        <f>IF($K36="","",VLOOKUP($K36,dropdown!$P$14:$Q$18,2,FALSE))</f>
        <v>Liters</v>
      </c>
      <c r="P36" s="29">
        <v>4538</v>
      </c>
      <c r="Q36" s="17" t="str">
        <f t="shared" si="0"/>
        <v>Kilometers</v>
      </c>
      <c r="R36" s="199"/>
    </row>
    <row r="37" spans="9:18" x14ac:dyDescent="0.2">
      <c r="I37" s="194">
        <f t="shared" si="1"/>
        <v>31</v>
      </c>
      <c r="J37" s="57" t="s">
        <v>343</v>
      </c>
      <c r="K37" s="57" t="s">
        <v>63</v>
      </c>
      <c r="L37" s="58" t="s">
        <v>89</v>
      </c>
      <c r="M37" s="18" t="str">
        <f>IF(Fuel_Veh[[#This Row],[Month]]&lt;&gt;"",VLOOKUP(Fuel_Veh[[#This Row],[Month]], dropdown!$S$4:$T$15, 2, FALSE),"")</f>
        <v>Q1</v>
      </c>
      <c r="N37" s="29">
        <v>333.95800000000003</v>
      </c>
      <c r="O37" s="17" t="str">
        <f>IF($K37="","",VLOOKUP($K37,dropdown!$P$14:$Q$18,2,FALSE))</f>
        <v>Liters</v>
      </c>
      <c r="P37" s="29">
        <v>1560</v>
      </c>
      <c r="Q37" s="17" t="str">
        <f t="shared" si="0"/>
        <v>Kilometers</v>
      </c>
      <c r="R37" s="199"/>
    </row>
    <row r="38" spans="9:18" x14ac:dyDescent="0.2">
      <c r="I38" s="194">
        <f t="shared" si="1"/>
        <v>32</v>
      </c>
      <c r="J38" s="57" t="s">
        <v>343</v>
      </c>
      <c r="K38" s="57" t="s">
        <v>63</v>
      </c>
      <c r="L38" s="58" t="s">
        <v>362</v>
      </c>
      <c r="M38" s="18" t="str">
        <f>IF(Fuel_Veh[[#This Row],[Month]]&lt;&gt;"",VLOOKUP(Fuel_Veh[[#This Row],[Month]], dropdown!$S$4:$T$15, 2, FALSE),"")</f>
        <v>Q1</v>
      </c>
      <c r="N38" s="29">
        <v>551.65899999999999</v>
      </c>
      <c r="O38" s="17" t="str">
        <f>IF($K38="","",VLOOKUP($K38,dropdown!$P$14:$Q$18,2,FALSE))</f>
        <v>Liters</v>
      </c>
      <c r="P38" s="29">
        <v>2639</v>
      </c>
      <c r="Q38" s="17" t="str">
        <f t="shared" si="0"/>
        <v>Kilometers</v>
      </c>
      <c r="R38" s="199"/>
    </row>
    <row r="39" spans="9:18" x14ac:dyDescent="0.2">
      <c r="I39" s="194">
        <f t="shared" si="1"/>
        <v>33</v>
      </c>
      <c r="J39" s="57" t="s">
        <v>343</v>
      </c>
      <c r="K39" s="57" t="s">
        <v>63</v>
      </c>
      <c r="L39" s="58" t="s">
        <v>371</v>
      </c>
      <c r="M39" s="18" t="str">
        <f>IF(Fuel_Veh[[#This Row],[Month]]&lt;&gt;"",VLOOKUP(Fuel_Veh[[#This Row],[Month]], dropdown!$S$4:$T$15, 2, FALSE),"")</f>
        <v>Q2</v>
      </c>
      <c r="N39" s="29">
        <v>472.29</v>
      </c>
      <c r="O39" s="17" t="str">
        <f>IF($K39="","",VLOOKUP($K39,dropdown!$P$14:$Q$18,2,FALSE))</f>
        <v>Liters</v>
      </c>
      <c r="P39" s="29">
        <v>1717</v>
      </c>
      <c r="Q39" s="17" t="str">
        <f t="shared" si="0"/>
        <v>Kilometers</v>
      </c>
      <c r="R39" s="199"/>
    </row>
    <row r="40" spans="9:18" x14ac:dyDescent="0.2">
      <c r="I40" s="194">
        <f t="shared" si="1"/>
        <v>34</v>
      </c>
      <c r="J40" s="57" t="s">
        <v>343</v>
      </c>
      <c r="K40" s="57" t="s">
        <v>63</v>
      </c>
      <c r="L40" s="58" t="s">
        <v>379</v>
      </c>
      <c r="M40" s="18" t="str">
        <f>IF(Fuel_Veh[[#This Row],[Month]]&lt;&gt;"",VLOOKUP(Fuel_Veh[[#This Row],[Month]], dropdown!$S$4:$T$15, 2, FALSE),"")</f>
        <v>Q2</v>
      </c>
      <c r="N40" s="29">
        <v>326.00900000000001</v>
      </c>
      <c r="O40" s="17" t="str">
        <f>IF($K40="","",VLOOKUP($K40,dropdown!$P$14:$Q$18,2,FALSE))</f>
        <v>Liters</v>
      </c>
      <c r="P40" s="29">
        <v>1430</v>
      </c>
      <c r="Q40" s="17" t="str">
        <f t="shared" si="0"/>
        <v>Kilometers</v>
      </c>
      <c r="R40" s="199"/>
    </row>
    <row r="41" spans="9:18" x14ac:dyDescent="0.2">
      <c r="I41" s="194">
        <f t="shared" si="1"/>
        <v>35</v>
      </c>
      <c r="J41" s="57" t="s">
        <v>343</v>
      </c>
      <c r="K41" s="57" t="s">
        <v>63</v>
      </c>
      <c r="L41" s="58" t="s">
        <v>386</v>
      </c>
      <c r="M41" s="18" t="str">
        <f>IF(Fuel_Veh[[#This Row],[Month]]&lt;&gt;"",VLOOKUP(Fuel_Veh[[#This Row],[Month]], dropdown!$S$4:$T$15, 2, FALSE),"")</f>
        <v>Q2</v>
      </c>
      <c r="N41" s="29">
        <v>405.57299999999998</v>
      </c>
      <c r="O41" s="17" t="str">
        <f>IF($K41="","",VLOOKUP($K41,dropdown!$P$14:$Q$18,2,FALSE))</f>
        <v>Liters</v>
      </c>
      <c r="P41" s="29">
        <v>1768</v>
      </c>
      <c r="Q41" s="17" t="str">
        <f t="shared" si="0"/>
        <v>Kilometers</v>
      </c>
      <c r="R41" s="199"/>
    </row>
    <row r="42" spans="9:18" x14ac:dyDescent="0.2">
      <c r="I42" s="194">
        <f t="shared" si="1"/>
        <v>36</v>
      </c>
      <c r="J42" s="57" t="s">
        <v>343</v>
      </c>
      <c r="K42" s="57" t="s">
        <v>63</v>
      </c>
      <c r="L42" s="58" t="s">
        <v>390</v>
      </c>
      <c r="M42" s="18" t="str">
        <f>IF(Fuel_Veh[[#This Row],[Month]]&lt;&gt;"",VLOOKUP(Fuel_Veh[[#This Row],[Month]], dropdown!$S$4:$T$15, 2, FALSE),"")</f>
        <v>Q3</v>
      </c>
      <c r="N42" s="29">
        <v>70</v>
      </c>
      <c r="O42" s="17" t="str">
        <f>IF($K42="","",VLOOKUP($K42,dropdown!$P$14:$Q$18,2,FALSE))</f>
        <v>Liters</v>
      </c>
      <c r="P42" s="29">
        <v>317</v>
      </c>
      <c r="Q42" s="17" t="str">
        <f t="shared" si="0"/>
        <v>Kilometers</v>
      </c>
      <c r="R42" s="199"/>
    </row>
    <row r="43" spans="9:18" x14ac:dyDescent="0.2">
      <c r="I43" s="194">
        <f t="shared" si="1"/>
        <v>37</v>
      </c>
      <c r="J43" s="57" t="s">
        <v>343</v>
      </c>
      <c r="K43" s="57" t="s">
        <v>63</v>
      </c>
      <c r="L43" s="58" t="s">
        <v>41</v>
      </c>
      <c r="M43" s="18" t="str">
        <f>IF(Fuel_Veh[[#This Row],[Month]]&lt;&gt;"",VLOOKUP(Fuel_Veh[[#This Row],[Month]], dropdown!$S$4:$T$15, 2, FALSE),"")</f>
        <v>Q3</v>
      </c>
      <c r="N43" s="29">
        <v>55.246000000000002</v>
      </c>
      <c r="O43" s="17" t="str">
        <f>IF($K43="","",VLOOKUP($K43,dropdown!$P$14:$Q$18,2,FALSE))</f>
        <v>Liters</v>
      </c>
      <c r="P43" s="29">
        <v>170</v>
      </c>
      <c r="Q43" s="17" t="str">
        <f t="shared" si="0"/>
        <v>Kilometers</v>
      </c>
      <c r="R43" s="199"/>
    </row>
    <row r="44" spans="9:18" x14ac:dyDescent="0.2">
      <c r="I44" s="194">
        <f t="shared" si="1"/>
        <v>38</v>
      </c>
      <c r="J44" s="57" t="s">
        <v>343</v>
      </c>
      <c r="K44" s="57" t="s">
        <v>63</v>
      </c>
      <c r="L44" s="58" t="s">
        <v>397</v>
      </c>
      <c r="M44" s="18" t="str">
        <f>IF(Fuel_Veh[[#This Row],[Month]]&lt;&gt;"",VLOOKUP(Fuel_Veh[[#This Row],[Month]], dropdown!$S$4:$T$15, 2, FALSE),"")</f>
        <v>Q3</v>
      </c>
      <c r="N44" s="29">
        <v>298.57400000000001</v>
      </c>
      <c r="O44" s="17" t="str">
        <f>IF($K44="","",VLOOKUP($K44,dropdown!$P$14:$Q$18,2,FALSE))</f>
        <v>Liters</v>
      </c>
      <c r="P44" s="29">
        <v>1410</v>
      </c>
      <c r="Q44" s="17" t="str">
        <f t="shared" si="0"/>
        <v>Kilometers</v>
      </c>
      <c r="R44" s="199"/>
    </row>
    <row r="45" spans="9:18" x14ac:dyDescent="0.2">
      <c r="I45" s="194">
        <f t="shared" si="1"/>
        <v>39</v>
      </c>
      <c r="J45" s="57" t="s">
        <v>343</v>
      </c>
      <c r="K45" s="57" t="s">
        <v>63</v>
      </c>
      <c r="L45" s="58" t="s">
        <v>400</v>
      </c>
      <c r="M45" s="18" t="str">
        <f>IF(Fuel_Veh[[#This Row],[Month]]&lt;&gt;"",VLOOKUP(Fuel_Veh[[#This Row],[Month]], dropdown!$S$4:$T$15, 2, FALSE),"")</f>
        <v>Q4</v>
      </c>
      <c r="N45" s="29">
        <v>138.46600000000001</v>
      </c>
      <c r="O45" s="17" t="str">
        <f>IF($K45="","",VLOOKUP($K45,dropdown!$P$14:$Q$18,2,FALSE))</f>
        <v>Liters</v>
      </c>
      <c r="P45" s="29">
        <v>643</v>
      </c>
      <c r="Q45" s="17" t="str">
        <f t="shared" si="0"/>
        <v>Kilometers</v>
      </c>
      <c r="R45" s="199"/>
    </row>
    <row r="46" spans="9:18" x14ac:dyDescent="0.2">
      <c r="I46" s="194">
        <f t="shared" si="1"/>
        <v>40</v>
      </c>
      <c r="J46" s="57" t="s">
        <v>343</v>
      </c>
      <c r="K46" s="57" t="s">
        <v>63</v>
      </c>
      <c r="L46" s="58" t="s">
        <v>404</v>
      </c>
      <c r="M46" s="18" t="str">
        <f>IF(Fuel_Veh[[#This Row],[Month]]&lt;&gt;"",VLOOKUP(Fuel_Veh[[#This Row],[Month]], dropdown!$S$4:$T$15, 2, FALSE),"")</f>
        <v>Q4</v>
      </c>
      <c r="N46" s="29">
        <v>234.13</v>
      </c>
      <c r="O46" s="17" t="str">
        <f>IF($K46="","",VLOOKUP($K46,dropdown!$P$14:$Q$18,2,FALSE))</f>
        <v>Liters</v>
      </c>
      <c r="P46" s="29">
        <v>1039</v>
      </c>
      <c r="Q46" s="17" t="str">
        <f t="shared" si="0"/>
        <v>Kilometers</v>
      </c>
      <c r="R46" s="199"/>
    </row>
    <row r="47" spans="9:18" x14ac:dyDescent="0.2">
      <c r="I47" s="194">
        <f t="shared" si="1"/>
        <v>41</v>
      </c>
      <c r="J47" s="57" t="s">
        <v>343</v>
      </c>
      <c r="K47" s="57" t="s">
        <v>63</v>
      </c>
      <c r="L47" s="58" t="s">
        <v>407</v>
      </c>
      <c r="M47" s="18" t="str">
        <f>IF(Fuel_Veh[[#This Row],[Month]]&lt;&gt;"",VLOOKUP(Fuel_Veh[[#This Row],[Month]], dropdown!$S$4:$T$15, 2, FALSE),"")</f>
        <v>Q4</v>
      </c>
      <c r="N47" s="29">
        <v>537.02</v>
      </c>
      <c r="O47" s="17" t="str">
        <f>IF($K47="","",VLOOKUP($K47,dropdown!$P$14:$Q$18,2,FALSE))</f>
        <v>Liters</v>
      </c>
      <c r="P47" s="29">
        <v>2267</v>
      </c>
      <c r="Q47" s="17" t="str">
        <f t="shared" si="0"/>
        <v>Kilometers</v>
      </c>
      <c r="R47" s="199"/>
    </row>
    <row r="48" spans="9:18" x14ac:dyDescent="0.2">
      <c r="I48" s="194">
        <f t="shared" si="1"/>
        <v>42</v>
      </c>
      <c r="J48" s="57" t="s">
        <v>1434</v>
      </c>
      <c r="K48" s="57" t="s">
        <v>63</v>
      </c>
      <c r="L48" s="58" t="s">
        <v>338</v>
      </c>
      <c r="M48" s="18" t="str">
        <f>IF(Fuel_Veh[[#This Row],[Month]]&lt;&gt;"",VLOOKUP(Fuel_Veh[[#This Row],[Month]], dropdown!$S$4:$T$15, 2, FALSE),"")</f>
        <v>Q1</v>
      </c>
      <c r="N48" s="29">
        <v>632.19100000000003</v>
      </c>
      <c r="O48" s="17" t="str">
        <f>IF($K48="","",VLOOKUP($K48,dropdown!$P$14:$Q$18,2,FALSE))</f>
        <v>Liters</v>
      </c>
      <c r="P48" s="29">
        <v>3118</v>
      </c>
      <c r="Q48" s="17" t="str">
        <f t="shared" si="0"/>
        <v>Kilometers</v>
      </c>
      <c r="R48" s="199"/>
    </row>
    <row r="49" spans="9:18" x14ac:dyDescent="0.2">
      <c r="I49" s="194">
        <f t="shared" si="1"/>
        <v>43</v>
      </c>
      <c r="J49" s="57" t="s">
        <v>1434</v>
      </c>
      <c r="K49" s="57" t="s">
        <v>63</v>
      </c>
      <c r="L49" s="58" t="s">
        <v>89</v>
      </c>
      <c r="M49" s="18" t="str">
        <f>IF(Fuel_Veh[[#This Row],[Month]]&lt;&gt;"",VLOOKUP(Fuel_Veh[[#This Row],[Month]], dropdown!$S$4:$T$15, 2, FALSE),"")</f>
        <v>Q1</v>
      </c>
      <c r="N49" s="29">
        <v>70.789000000000001</v>
      </c>
      <c r="O49" s="17" t="str">
        <f>IF($K49="","",VLOOKUP($K49,dropdown!$P$14:$Q$18,2,FALSE))</f>
        <v>Liters</v>
      </c>
      <c r="P49" s="29">
        <v>269</v>
      </c>
      <c r="Q49" s="17" t="str">
        <f t="shared" si="0"/>
        <v>Kilometers</v>
      </c>
      <c r="R49" s="199"/>
    </row>
    <row r="50" spans="9:18" x14ac:dyDescent="0.2">
      <c r="I50" s="194">
        <f t="shared" si="1"/>
        <v>44</v>
      </c>
      <c r="J50" s="57" t="s">
        <v>1434</v>
      </c>
      <c r="K50" s="57" t="s">
        <v>63</v>
      </c>
      <c r="L50" s="58" t="s">
        <v>362</v>
      </c>
      <c r="M50" s="18" t="str">
        <f>IF(Fuel_Veh[[#This Row],[Month]]&lt;&gt;"",VLOOKUP(Fuel_Veh[[#This Row],[Month]], dropdown!$S$4:$T$15, 2, FALSE),"")</f>
        <v>Q1</v>
      </c>
      <c r="N50" s="29">
        <v>98.277000000000001</v>
      </c>
      <c r="O50" s="17" t="str">
        <f>IF($K50="","",VLOOKUP($K50,dropdown!$P$14:$Q$18,2,FALSE))</f>
        <v>Liters</v>
      </c>
      <c r="P50" s="29">
        <v>980</v>
      </c>
      <c r="Q50" s="17" t="str">
        <f t="shared" si="0"/>
        <v>Kilometers</v>
      </c>
      <c r="R50" s="199"/>
    </row>
    <row r="51" spans="9:18" x14ac:dyDescent="0.2">
      <c r="I51" s="194">
        <f t="shared" si="1"/>
        <v>45</v>
      </c>
      <c r="J51" s="57" t="s">
        <v>1434</v>
      </c>
      <c r="K51" s="57" t="s">
        <v>63</v>
      </c>
      <c r="L51" s="58" t="s">
        <v>379</v>
      </c>
      <c r="M51" s="18" t="str">
        <f>IF(Fuel_Veh[[#This Row],[Month]]&lt;&gt;"",VLOOKUP(Fuel_Veh[[#This Row],[Month]], dropdown!$S$4:$T$15, 2, FALSE),"")</f>
        <v>Q2</v>
      </c>
      <c r="N51" s="29">
        <v>105.006</v>
      </c>
      <c r="O51" s="17" t="str">
        <f>IF($K51="","",VLOOKUP($K51,dropdown!$P$14:$Q$18,2,FALSE))</f>
        <v>Liters</v>
      </c>
      <c r="P51" s="29">
        <v>32</v>
      </c>
      <c r="Q51" s="17" t="str">
        <f t="shared" si="0"/>
        <v>Kilometers</v>
      </c>
      <c r="R51" s="199"/>
    </row>
    <row r="52" spans="9:18" x14ac:dyDescent="0.2">
      <c r="I52" s="194">
        <f t="shared" si="1"/>
        <v>46</v>
      </c>
      <c r="J52" s="57" t="s">
        <v>1434</v>
      </c>
      <c r="K52" s="57" t="s">
        <v>63</v>
      </c>
      <c r="L52" s="58" t="s">
        <v>386</v>
      </c>
      <c r="M52" s="18" t="str">
        <f>IF(Fuel_Veh[[#This Row],[Month]]&lt;&gt;"",VLOOKUP(Fuel_Veh[[#This Row],[Month]], dropdown!$S$4:$T$15, 2, FALSE),"")</f>
        <v>Q2</v>
      </c>
      <c r="N52" s="29">
        <v>456.60500000000002</v>
      </c>
      <c r="O52" s="17" t="str">
        <f>IF($K52="","",VLOOKUP($K52,dropdown!$P$14:$Q$18,2,FALSE))</f>
        <v>Liters</v>
      </c>
      <c r="P52" s="29">
        <v>1757</v>
      </c>
      <c r="Q52" s="17" t="str">
        <f t="shared" si="0"/>
        <v>Kilometers</v>
      </c>
      <c r="R52" s="199"/>
    </row>
    <row r="53" spans="9:18" x14ac:dyDescent="0.2">
      <c r="I53" s="194">
        <f t="shared" si="1"/>
        <v>47</v>
      </c>
      <c r="J53" s="57" t="s">
        <v>1434</v>
      </c>
      <c r="K53" s="57" t="s">
        <v>63</v>
      </c>
      <c r="L53" s="58" t="s">
        <v>390</v>
      </c>
      <c r="M53" s="18" t="str">
        <f>IF(Fuel_Veh[[#This Row],[Month]]&lt;&gt;"",VLOOKUP(Fuel_Veh[[#This Row],[Month]], dropdown!$S$4:$T$15, 2, FALSE),"")</f>
        <v>Q3</v>
      </c>
      <c r="N53" s="29">
        <v>75.018000000000001</v>
      </c>
      <c r="O53" s="17" t="str">
        <f>IF($K53="","",VLOOKUP($K53,dropdown!$P$14:$Q$18,2,FALSE))</f>
        <v>Liters</v>
      </c>
      <c r="P53" s="29">
        <v>317</v>
      </c>
      <c r="Q53" s="17" t="str">
        <f t="shared" si="0"/>
        <v>Kilometers</v>
      </c>
      <c r="R53" s="199"/>
    </row>
    <row r="54" spans="9:18" x14ac:dyDescent="0.2">
      <c r="I54" s="194">
        <f t="shared" si="1"/>
        <v>48</v>
      </c>
      <c r="J54" s="57" t="s">
        <v>1434</v>
      </c>
      <c r="K54" s="57" t="s">
        <v>63</v>
      </c>
      <c r="L54" s="58" t="s">
        <v>397</v>
      </c>
      <c r="M54" s="18" t="str">
        <f>IF(Fuel_Veh[[#This Row],[Month]]&lt;&gt;"",VLOOKUP(Fuel_Veh[[#This Row],[Month]], dropdown!$S$4:$T$15, 2, FALSE),"")</f>
        <v>Q3</v>
      </c>
      <c r="N54" s="29">
        <v>267.93099999999998</v>
      </c>
      <c r="O54" s="17" t="str">
        <f>IF($K54="","",VLOOKUP($K54,dropdown!$P$14:$Q$18,2,FALSE))</f>
        <v>Liters</v>
      </c>
      <c r="P54" s="29">
        <v>1420</v>
      </c>
      <c r="Q54" s="17" t="str">
        <f t="shared" si="0"/>
        <v>Kilometers</v>
      </c>
      <c r="R54" s="199"/>
    </row>
    <row r="55" spans="9:18" x14ac:dyDescent="0.2">
      <c r="I55" s="194">
        <f t="shared" si="1"/>
        <v>49</v>
      </c>
      <c r="J55" s="57" t="s">
        <v>1434</v>
      </c>
      <c r="K55" s="57" t="s">
        <v>63</v>
      </c>
      <c r="L55" s="58" t="s">
        <v>400</v>
      </c>
      <c r="M55" s="18" t="str">
        <f>IF(Fuel_Veh[[#This Row],[Month]]&lt;&gt;"",VLOOKUP(Fuel_Veh[[#This Row],[Month]], dropdown!$S$4:$T$15, 2, FALSE),"")</f>
        <v>Q4</v>
      </c>
      <c r="N55" s="29">
        <v>158.11000000000001</v>
      </c>
      <c r="O55" s="17" t="str">
        <f>IF($K55="","",VLOOKUP($K55,dropdown!$P$14:$Q$18,2,FALSE))</f>
        <v>Liters</v>
      </c>
      <c r="P55" s="29">
        <v>647</v>
      </c>
      <c r="Q55" s="17" t="str">
        <f t="shared" si="0"/>
        <v>Kilometers</v>
      </c>
      <c r="R55" s="199"/>
    </row>
    <row r="56" spans="9:18" x14ac:dyDescent="0.2">
      <c r="I56" s="194">
        <f t="shared" si="1"/>
        <v>50</v>
      </c>
      <c r="J56" s="57" t="s">
        <v>1434</v>
      </c>
      <c r="K56" s="57" t="s">
        <v>63</v>
      </c>
      <c r="L56" s="58" t="s">
        <v>404</v>
      </c>
      <c r="M56" s="18" t="str">
        <f>IF(Fuel_Veh[[#This Row],[Month]]&lt;&gt;"",VLOOKUP(Fuel_Veh[[#This Row],[Month]], dropdown!$S$4:$T$15, 2, FALSE),"")</f>
        <v>Q4</v>
      </c>
      <c r="N56" s="29">
        <v>245.62100000000001</v>
      </c>
      <c r="O56" s="17" t="str">
        <f>IF($K56="","",VLOOKUP($K56,dropdown!$P$14:$Q$18,2,FALSE))</f>
        <v>Liters</v>
      </c>
      <c r="P56" s="29">
        <v>1039</v>
      </c>
      <c r="Q56" s="17" t="str">
        <f t="shared" si="0"/>
        <v>Kilometers</v>
      </c>
      <c r="R56" s="199"/>
    </row>
    <row r="57" spans="9:18" x14ac:dyDescent="0.2">
      <c r="I57" s="194">
        <f t="shared" si="1"/>
        <v>51</v>
      </c>
      <c r="J57" s="57" t="s">
        <v>1434</v>
      </c>
      <c r="K57" s="57" t="s">
        <v>63</v>
      </c>
      <c r="L57" s="58" t="s">
        <v>407</v>
      </c>
      <c r="M57" s="18" t="str">
        <f>IF(Fuel_Veh[[#This Row],[Month]]&lt;&gt;"",VLOOKUP(Fuel_Veh[[#This Row],[Month]], dropdown!$S$4:$T$15, 2, FALSE),"")</f>
        <v>Q4</v>
      </c>
      <c r="N57" s="29">
        <v>581.71199999999999</v>
      </c>
      <c r="O57" s="17" t="str">
        <f>IF($K57="","",VLOOKUP($K57,dropdown!$P$14:$Q$18,2,FALSE))</f>
        <v>Liters</v>
      </c>
      <c r="P57" s="29">
        <v>2345</v>
      </c>
      <c r="Q57" s="17" t="str">
        <f t="shared" si="0"/>
        <v>Kilometers</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0"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85" zoomScaleNormal="85" workbookViewId="0">
      <selection activeCell="J22" sqref="J21:J2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Cabanatuan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1431</v>
      </c>
      <c r="D6" s="448"/>
      <c r="E6" s="448"/>
      <c r="F6" s="448"/>
      <c r="G6" s="449"/>
    </row>
    <row r="7" spans="2:17" ht="12.75" customHeight="1" x14ac:dyDescent="0.2">
      <c r="B7" s="278" t="s">
        <v>174</v>
      </c>
      <c r="C7" s="450">
        <v>45913</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26080</v>
      </c>
      <c r="M8" s="47">
        <v>219478.02</v>
      </c>
      <c r="N8" s="165" t="s">
        <v>450</v>
      </c>
      <c r="O8" s="195"/>
      <c r="P8" s="48"/>
      <c r="Q8" s="20"/>
    </row>
    <row r="9" spans="2:17" x14ac:dyDescent="0.2">
      <c r="I9" s="194"/>
      <c r="J9" s="58" t="s">
        <v>89</v>
      </c>
      <c r="K9" s="426" t="str">
        <f>IF(Electricity[[#This Row],[Month]]&lt;&gt;"",VLOOKUP(Electricity[[#This Row],[Month]], dropdown!$S$4:$T$15, 2, FALSE),"")</f>
        <v>Q1</v>
      </c>
      <c r="L9" s="29">
        <v>24880</v>
      </c>
      <c r="M9" s="47">
        <v>213294.51</v>
      </c>
      <c r="N9" s="165" t="s">
        <v>450</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25360</v>
      </c>
      <c r="M10" s="47">
        <v>234745.18</v>
      </c>
      <c r="N10" s="165" t="s">
        <v>450</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35520</v>
      </c>
      <c r="M11" s="47">
        <v>328406.09999999998</v>
      </c>
      <c r="N11" s="165" t="s">
        <v>450</v>
      </c>
      <c r="O11" s="195"/>
      <c r="P11" s="48"/>
      <c r="Q11" s="20"/>
    </row>
    <row r="12" spans="2:17" x14ac:dyDescent="0.2">
      <c r="B12" s="17" t="s">
        <v>207</v>
      </c>
      <c r="C12" s="17" t="s">
        <v>208</v>
      </c>
      <c r="D12" s="41">
        <f>SUMIFS(Electricity[Consumption (kWh)],Electricity[Quarter],D$11)</f>
        <v>76320</v>
      </c>
      <c r="E12" s="41">
        <f>SUMIFS(Electricity[Consumption (kWh)],Electricity[Quarter],E$11)</f>
        <v>99120</v>
      </c>
      <c r="F12" s="41">
        <f>SUMIFS(Electricity[Consumption (kWh)],Electricity[Quarter],F$11)</f>
        <v>96720</v>
      </c>
      <c r="G12" s="41">
        <f>SUMIFS(Electricity[Consumption (kWh)],Electricity[Quarter],G$11)</f>
        <v>89200</v>
      </c>
      <c r="I12" s="194"/>
      <c r="J12" s="58" t="s">
        <v>379</v>
      </c>
      <c r="K12" s="426" t="str">
        <f>IF(Electricity[[#This Row],[Month]]&lt;&gt;"",VLOOKUP(Electricity[[#This Row],[Month]], dropdown!$S$4:$T$15, 2, FALSE),"")</f>
        <v>Q2</v>
      </c>
      <c r="L12" s="29">
        <v>32800</v>
      </c>
      <c r="M12" s="47">
        <v>354822.46</v>
      </c>
      <c r="N12" s="165" t="s">
        <v>450</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30800</v>
      </c>
      <c r="M13" s="47">
        <v>394466.4</v>
      </c>
      <c r="N13" s="165" t="s">
        <v>450</v>
      </c>
      <c r="O13" s="195"/>
      <c r="P13" s="48"/>
      <c r="Q13" s="20"/>
    </row>
    <row r="14" spans="2:17" x14ac:dyDescent="0.2">
      <c r="B14" s="119" t="s">
        <v>38</v>
      </c>
      <c r="D14" s="168"/>
      <c r="I14" s="194"/>
      <c r="J14" s="58" t="s">
        <v>390</v>
      </c>
      <c r="K14" s="426" t="str">
        <f>IF(Electricity[[#This Row],[Month]]&lt;&gt;"",VLOOKUP(Electricity[[#This Row],[Month]], dropdown!$S$4:$T$15, 2, FALSE),"")</f>
        <v>Q3</v>
      </c>
      <c r="L14" s="29">
        <v>32320</v>
      </c>
      <c r="M14" s="47">
        <v>324079.02</v>
      </c>
      <c r="N14" s="165" t="s">
        <v>450</v>
      </c>
      <c r="O14" s="195"/>
      <c r="P14" s="48"/>
      <c r="Q14" s="20"/>
    </row>
    <row r="15" spans="2:17" x14ac:dyDescent="0.2">
      <c r="B15" s="120" t="s">
        <v>175</v>
      </c>
      <c r="D15" s="168"/>
      <c r="I15" s="194"/>
      <c r="J15" s="58" t="s">
        <v>41</v>
      </c>
      <c r="K15" s="426" t="str">
        <f>IF(Electricity[[#This Row],[Month]]&lt;&gt;"",VLOOKUP(Electricity[[#This Row],[Month]], dropdown!$S$4:$T$15, 2, FALSE),"")</f>
        <v>Q3</v>
      </c>
      <c r="L15" s="29">
        <v>33520</v>
      </c>
      <c r="M15" s="47">
        <v>363093.54</v>
      </c>
      <c r="N15" s="165" t="s">
        <v>450</v>
      </c>
      <c r="O15" s="195"/>
      <c r="P15" s="48"/>
      <c r="Q15" s="20"/>
    </row>
    <row r="16" spans="2:17" x14ac:dyDescent="0.2">
      <c r="B16" s="121" t="s">
        <v>176</v>
      </c>
      <c r="I16" s="194"/>
      <c r="J16" s="58" t="s">
        <v>397</v>
      </c>
      <c r="K16" s="426" t="str">
        <f>IF(Electricity[[#This Row],[Month]]&lt;&gt;"",VLOOKUP(Electricity[[#This Row],[Month]], dropdown!$S$4:$T$15, 2, FALSE),"")</f>
        <v>Q3</v>
      </c>
      <c r="L16" s="29">
        <v>30880</v>
      </c>
      <c r="M16" s="47">
        <v>338527.99</v>
      </c>
      <c r="N16" s="165" t="s">
        <v>450</v>
      </c>
      <c r="O16" s="195"/>
      <c r="P16" s="48"/>
      <c r="Q16" s="20"/>
    </row>
    <row r="17" spans="2:17" x14ac:dyDescent="0.2">
      <c r="B17" s="122" t="s">
        <v>177</v>
      </c>
      <c r="I17" s="194"/>
      <c r="J17" s="58" t="s">
        <v>400</v>
      </c>
      <c r="K17" s="426" t="str">
        <f>IF(Electricity[[#This Row],[Month]]&lt;&gt;"",VLOOKUP(Electricity[[#This Row],[Month]], dropdown!$S$4:$T$15, 2, FALSE),"")</f>
        <v>Q4</v>
      </c>
      <c r="L17" s="29">
        <v>32960</v>
      </c>
      <c r="M17" s="47">
        <v>345371.84</v>
      </c>
      <c r="N17" s="165" t="s">
        <v>450</v>
      </c>
      <c r="O17" s="195"/>
      <c r="P17" s="48"/>
      <c r="Q17" s="20"/>
    </row>
    <row r="18" spans="2:17" x14ac:dyDescent="0.2">
      <c r="I18" s="194">
        <f t="shared" ref="I18:I49" si="0">IF($L18="","",$I17+1)</f>
        <v>1</v>
      </c>
      <c r="J18" s="58" t="s">
        <v>404</v>
      </c>
      <c r="K18" s="426" t="str">
        <f>IF(Electricity[[#This Row],[Month]]&lt;&gt;"",VLOOKUP(Electricity[[#This Row],[Month]], dropdown!$S$4:$T$15, 2, FALSE),"")</f>
        <v>Q4</v>
      </c>
      <c r="L18" s="29">
        <v>30160</v>
      </c>
      <c r="M18" s="47">
        <v>316031.99922330101</v>
      </c>
      <c r="N18" s="165" t="s">
        <v>450</v>
      </c>
      <c r="O18" s="195"/>
      <c r="P18" s="48"/>
      <c r="Q18" s="20"/>
    </row>
    <row r="19" spans="2:17" x14ac:dyDescent="0.2">
      <c r="I19" s="194">
        <f t="shared" si="0"/>
        <v>2</v>
      </c>
      <c r="J19" s="58" t="s">
        <v>407</v>
      </c>
      <c r="K19" s="426" t="str">
        <f>IF(Electricity[[#This Row],[Month]]&lt;&gt;"",VLOOKUP(Electricity[[#This Row],[Month]], dropdown!$S$4:$T$15, 2, FALSE),"")</f>
        <v>Q4</v>
      </c>
      <c r="L19" s="29">
        <v>26080</v>
      </c>
      <c r="M19" s="47">
        <v>273279.65980582527</v>
      </c>
      <c r="N19" s="165" t="s">
        <v>450</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C7" sqref="C7:G7"/>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Cabanatuan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7"/>
      <c r="D6" s="448"/>
      <c r="E6" s="448"/>
      <c r="F6" s="448"/>
      <c r="G6" s="449"/>
      <c r="I6" s="248" t="s">
        <v>173</v>
      </c>
      <c r="J6" s="249" t="s">
        <v>39</v>
      </c>
      <c r="K6" s="249" t="s">
        <v>43</v>
      </c>
      <c r="L6" s="250" t="s">
        <v>115</v>
      </c>
      <c r="M6" s="352" t="s">
        <v>212</v>
      </c>
      <c r="N6" s="253" t="s">
        <v>54</v>
      </c>
      <c r="O6" s="349"/>
    </row>
    <row r="7" spans="2:16" x14ac:dyDescent="0.2">
      <c r="B7" s="278" t="s">
        <v>174</v>
      </c>
      <c r="C7" s="447"/>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L22" sqref="L21:L22"/>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Cabanatuan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1431</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45913</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114</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106</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54</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274</v>
      </c>
      <c r="E11" s="41">
        <f>SUMIFS(water_in[Volume (m3)],water_in[Quarter],E$10)</f>
        <v>242</v>
      </c>
      <c r="F11" s="41">
        <f>SUMIFS(water_in[Volume (m3)],water_in[Quarter],F$10)</f>
        <v>156</v>
      </c>
      <c r="G11" s="41">
        <f>SUMIFS(water_in[Volume (m3)],water_in[Quarter],G$10)</f>
        <v>257</v>
      </c>
      <c r="I11" s="194">
        <f t="shared" si="0"/>
        <v>4</v>
      </c>
      <c r="J11" s="58" t="s">
        <v>371</v>
      </c>
      <c r="K11" s="426" t="str">
        <f>IF(water_in[[#This Row],[Month]]&lt;&gt;"",VLOOKUP(water_in[[#This Row],[Month]], dropdown!$S$4:$T$15, 2, FALSE),"")</f>
        <v>Q2</v>
      </c>
      <c r="L11" s="58" t="s">
        <v>124</v>
      </c>
      <c r="M11" s="29">
        <v>93</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103</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46</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31</v>
      </c>
      <c r="N14" s="195"/>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59</v>
      </c>
      <c r="N15" s="195"/>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66</v>
      </c>
      <c r="N16" s="195"/>
      <c r="O16" s="44" t="str">
        <f>IF(J16="","",VLOOKUP($J16,dropdown!$S$3:$T$15,2,FALSE))</f>
        <v>Q3</v>
      </c>
      <c r="P16" s="194" t="str">
        <f t="shared" si="1"/>
        <v/>
      </c>
      <c r="Q16" s="58"/>
      <c r="R16" s="18" t="str">
        <f>IF(water_out[[#This Row],[Month]]&lt;&gt;"",VLOOKUP(water_out[[#This Row],[Month]], dropdown!$S$4:$T$15, 2, FALSE),"")</f>
        <v/>
      </c>
      <c r="S16" s="60"/>
      <c r="T16" s="29"/>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69</v>
      </c>
      <c r="N17" s="195"/>
      <c r="O17" s="44" t="str">
        <f>IF(J17="","",VLOOKUP($J17,dropdown!$S$3:$T$15,2,FALSE))</f>
        <v>Q4</v>
      </c>
      <c r="P17" s="194" t="str">
        <f t="shared" si="1"/>
        <v/>
      </c>
      <c r="Q17" s="58"/>
      <c r="R17" s="18" t="str">
        <f>IF(water_out[[#This Row],[Month]]&lt;&gt;"",VLOOKUP(water_out[[#This Row],[Month]], dropdown!$S$4:$T$15, 2, FALSE),"")</f>
        <v/>
      </c>
      <c r="S17" s="60"/>
      <c r="T17" s="29"/>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63</v>
      </c>
      <c r="N18" s="195"/>
      <c r="O18" s="44" t="str">
        <f>IF(J18="","",VLOOKUP($J18,dropdown!$S$3:$T$15,2,FALSE))</f>
        <v>Q4</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f t="shared" si="0"/>
        <v>12</v>
      </c>
      <c r="J19" s="58" t="s">
        <v>407</v>
      </c>
      <c r="K19" s="426" t="str">
        <f>IF(water_in[[#This Row],[Month]]&lt;&gt;"",VLOOKUP(water_in[[#This Row],[Month]], dropdown!$S$4:$T$15, 2, FALSE),"")</f>
        <v>Q4</v>
      </c>
      <c r="L19" s="58" t="s">
        <v>124</v>
      </c>
      <c r="M19" s="29">
        <v>125</v>
      </c>
      <c r="N19" s="195"/>
      <c r="O19" s="44" t="str">
        <f>IF(J19="","",VLOOKUP($J19,dropdown!$S$3:$T$15,2,FALSE))</f>
        <v>Q4</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Cabanatuan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1" zoomScale="70" zoomScaleNormal="70" workbookViewId="0">
      <selection activeCell="W13" sqref="W13"/>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Cabanatuan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1431</v>
      </c>
      <c r="D6" s="448"/>
      <c r="E6" s="448"/>
      <c r="F6" s="448"/>
      <c r="G6" s="449"/>
      <c r="I6" s="409" t="s">
        <v>282</v>
      </c>
      <c r="J6" s="407"/>
      <c r="K6" s="407"/>
      <c r="L6" s="407"/>
      <c r="M6" s="408"/>
      <c r="N6" s="407"/>
      <c r="O6" s="407"/>
      <c r="Q6" s="44"/>
    </row>
    <row r="7" spans="2:17" ht="25.5" customHeight="1" x14ac:dyDescent="0.2">
      <c r="B7" s="278" t="s">
        <v>174</v>
      </c>
      <c r="C7" s="450">
        <v>45913</v>
      </c>
      <c r="D7" s="448"/>
      <c r="E7" s="448"/>
      <c r="F7" s="448"/>
      <c r="G7" s="449"/>
      <c r="I7" s="248" t="s">
        <v>173</v>
      </c>
      <c r="J7" s="249" t="s">
        <v>39</v>
      </c>
      <c r="K7" s="249" t="s">
        <v>43</v>
      </c>
      <c r="L7" s="249" t="s">
        <v>137</v>
      </c>
      <c r="M7" s="254" t="s">
        <v>140</v>
      </c>
      <c r="N7" s="255" t="s">
        <v>142</v>
      </c>
      <c r="O7" s="253" t="s">
        <v>54</v>
      </c>
      <c r="Q7" s="44"/>
    </row>
    <row r="8" spans="2:17" ht="15" x14ac:dyDescent="0.2">
      <c r="I8" s="194">
        <f>IF($J8="","",1)</f>
        <v>1</v>
      </c>
      <c r="J8" s="58" t="s">
        <v>362</v>
      </c>
      <c r="K8" s="194" t="str">
        <f>IF(Waste[[#This Row],[Month]]&lt;&gt;"",VLOOKUP(Waste[[#This Row],[Month]], dropdown!$S$4:$T$15, 2, FALSE),"")</f>
        <v>Q1</v>
      </c>
      <c r="L8" s="57" t="s">
        <v>317</v>
      </c>
      <c r="M8" s="442">
        <f>1.0467*1000</f>
        <v>1046.7</v>
      </c>
      <c r="N8" s="57" t="s">
        <v>345</v>
      </c>
      <c r="O8" s="195" t="s">
        <v>1433</v>
      </c>
      <c r="Q8" s="44"/>
    </row>
    <row r="9" spans="2:17" ht="15" x14ac:dyDescent="0.2">
      <c r="B9" s="14" t="s">
        <v>134</v>
      </c>
      <c r="C9" s="14"/>
      <c r="D9" s="14"/>
      <c r="E9" s="14"/>
      <c r="F9" s="14"/>
      <c r="G9" s="14"/>
      <c r="I9" s="194">
        <f t="shared" ref="I9:I72" si="0">IF($J9="","",$I8+1)</f>
        <v>2</v>
      </c>
      <c r="J9" s="58" t="s">
        <v>386</v>
      </c>
      <c r="K9" s="194" t="str">
        <f>IF(Waste[[#This Row],[Month]]&lt;&gt;"",VLOOKUP(Waste[[#This Row],[Month]], dropdown!$S$4:$T$15, 2, FALSE),"")</f>
        <v>Q2</v>
      </c>
      <c r="L9" s="57" t="s">
        <v>317</v>
      </c>
      <c r="M9" s="442">
        <f>0.0912*1000</f>
        <v>91.2</v>
      </c>
      <c r="N9" s="57" t="s">
        <v>345</v>
      </c>
      <c r="O9" s="195" t="s">
        <v>1433</v>
      </c>
      <c r="Q9" s="44"/>
    </row>
    <row r="10" spans="2:17" x14ac:dyDescent="0.2">
      <c r="B10" s="13" t="s">
        <v>137</v>
      </c>
      <c r="C10" s="13" t="s">
        <v>51</v>
      </c>
      <c r="D10" s="40" t="s">
        <v>45</v>
      </c>
      <c r="E10" s="40" t="s">
        <v>149</v>
      </c>
      <c r="F10" s="40" t="s">
        <v>150</v>
      </c>
      <c r="G10" s="40" t="s">
        <v>151</v>
      </c>
      <c r="I10" s="194">
        <f t="shared" si="0"/>
        <v>3</v>
      </c>
      <c r="J10" s="58" t="s">
        <v>397</v>
      </c>
      <c r="K10" s="194" t="str">
        <f>IF(Waste[[#This Row],[Month]]&lt;&gt;"",VLOOKUP(Waste[[#This Row],[Month]], dropdown!$S$4:$T$15, 2, FALSE),"")</f>
        <v>Q3</v>
      </c>
      <c r="L10" s="57" t="s">
        <v>317</v>
      </c>
      <c r="M10" s="29">
        <f>1.126*1000</f>
        <v>1126</v>
      </c>
      <c r="N10" s="57" t="s">
        <v>345</v>
      </c>
      <c r="O10" s="195" t="s">
        <v>1433</v>
      </c>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407</v>
      </c>
      <c r="K11" s="194" t="str">
        <f>IF(Waste[[#This Row],[Month]]&lt;&gt;"",VLOOKUP(Waste[[#This Row],[Month]], dropdown!$S$4:$T$15, 2, FALSE),"")</f>
        <v>Q4</v>
      </c>
      <c r="L11" s="57" t="s">
        <v>317</v>
      </c>
      <c r="M11" s="29">
        <f>1000*0.00607</f>
        <v>6.07</v>
      </c>
      <c r="N11" s="57" t="s">
        <v>345</v>
      </c>
      <c r="O11" s="195" t="s">
        <v>1433</v>
      </c>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338</v>
      </c>
      <c r="K12" s="194" t="str">
        <f>IF(Waste[[#This Row],[Month]]&lt;&gt;"",VLOOKUP(Waste[[#This Row],[Month]], dropdown!$S$4:$T$15, 2, FALSE),"")</f>
        <v>Q1</v>
      </c>
      <c r="L12" s="57" t="s">
        <v>383</v>
      </c>
      <c r="M12" s="29">
        <v>2500</v>
      </c>
      <c r="N12" s="57" t="s">
        <v>313</v>
      </c>
      <c r="O12" s="195" t="s">
        <v>1432</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383</v>
      </c>
      <c r="M13" s="29">
        <v>5500</v>
      </c>
      <c r="N13" s="57" t="s">
        <v>313</v>
      </c>
      <c r="O13" s="195" t="s">
        <v>1432</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362</v>
      </c>
      <c r="K14" s="194" t="str">
        <f>IF(Waste[[#This Row],[Month]]&lt;&gt;"",VLOOKUP(Waste[[#This Row],[Month]], dropdown!$S$4:$T$15, 2, FALSE),"")</f>
        <v>Q1</v>
      </c>
      <c r="L14" s="57" t="s">
        <v>383</v>
      </c>
      <c r="M14" s="29">
        <v>1675</v>
      </c>
      <c r="N14" s="57" t="s">
        <v>313</v>
      </c>
      <c r="O14" s="195" t="s">
        <v>1432</v>
      </c>
      <c r="Q14" s="44"/>
    </row>
    <row r="15" spans="2:17" ht="15" customHeight="1" x14ac:dyDescent="0.2">
      <c r="B15" s="17" t="str">
        <f>dropdown!$B8</f>
        <v>Hazardous</v>
      </c>
      <c r="C15" s="17" t="s">
        <v>283</v>
      </c>
      <c r="D15" s="41">
        <f>SUMIFS(Waste[Weight (kg)],Waste[Quarter],D$10,Waste[Waste Composition],$B15)</f>
        <v>1046.7</v>
      </c>
      <c r="E15" s="41">
        <f>SUMIFS(Waste[Weight (kg)],Waste[Quarter],E$10,Waste[Waste Composition],$B15)</f>
        <v>91.2</v>
      </c>
      <c r="F15" s="41">
        <f>SUMIFS(Waste[Weight (kg)],Waste[Quarter],F$10,Waste[Waste Composition],$B15)</f>
        <v>1126</v>
      </c>
      <c r="G15" s="41">
        <f>SUMIFS(Waste[Weight (kg)],Waste[Quarter],G$10,Waste[Waste Composition],$B15)</f>
        <v>6.07</v>
      </c>
      <c r="I15" s="194">
        <f t="shared" si="0"/>
        <v>8</v>
      </c>
      <c r="J15" s="58" t="s">
        <v>371</v>
      </c>
      <c r="K15" s="194" t="str">
        <f>IF(Waste[[#This Row],[Month]]&lt;&gt;"",VLOOKUP(Waste[[#This Row],[Month]], dropdown!$S$4:$T$15, 2, FALSE),"")</f>
        <v>Q2</v>
      </c>
      <c r="L15" s="57" t="s">
        <v>383</v>
      </c>
      <c r="M15" s="29">
        <v>2350</v>
      </c>
      <c r="N15" s="57" t="s">
        <v>313</v>
      </c>
      <c r="O15" s="195" t="s">
        <v>1432</v>
      </c>
    </row>
    <row r="16" spans="2:17" x14ac:dyDescent="0.2">
      <c r="B16" s="17" t="str">
        <f>dropdown!$B9</f>
        <v>Residual/Landfill</v>
      </c>
      <c r="C16" s="17" t="s">
        <v>283</v>
      </c>
      <c r="D16" s="41">
        <f>SUMIFS(Waste[Weight (kg)],Waste[Quarter],D$10,Waste[Waste Composition],$B16)</f>
        <v>9675</v>
      </c>
      <c r="E16" s="41">
        <f>SUMIFS(Waste[Weight (kg)],Waste[Quarter],E$10,Waste[Waste Composition],$B16)</f>
        <v>9925</v>
      </c>
      <c r="F16" s="41">
        <f>SUMIFS(Waste[Weight (kg)],Waste[Quarter],F$10,Waste[Waste Composition],$B16)</f>
        <v>9750</v>
      </c>
      <c r="G16" s="41">
        <f>SUMIFS(Waste[Weight (kg)],Waste[Quarter],G$10,Waste[Waste Composition],$B16)</f>
        <v>6750</v>
      </c>
      <c r="I16" s="194">
        <f t="shared" si="0"/>
        <v>9</v>
      </c>
      <c r="J16" s="58" t="s">
        <v>379</v>
      </c>
      <c r="K16" s="194" t="str">
        <f>IF(Waste[[#This Row],[Month]]&lt;&gt;"",VLOOKUP(Waste[[#This Row],[Month]], dropdown!$S$4:$T$15, 2, FALSE),"")</f>
        <v>Q2</v>
      </c>
      <c r="L16" s="57" t="s">
        <v>383</v>
      </c>
      <c r="M16" s="29">
        <v>4450</v>
      </c>
      <c r="N16" s="57" t="s">
        <v>313</v>
      </c>
      <c r="O16" s="195" t="s">
        <v>1432</v>
      </c>
    </row>
    <row r="17" spans="2:15" x14ac:dyDescent="0.2">
      <c r="I17" s="194">
        <f t="shared" si="0"/>
        <v>10</v>
      </c>
      <c r="J17" s="58" t="s">
        <v>386</v>
      </c>
      <c r="K17" s="194" t="str">
        <f>IF(Waste[[#This Row],[Month]]&lt;&gt;"",VLOOKUP(Waste[[#This Row],[Month]], dropdown!$S$4:$T$15, 2, FALSE),"")</f>
        <v>Q2</v>
      </c>
      <c r="L17" s="57" t="s">
        <v>383</v>
      </c>
      <c r="M17" s="29">
        <v>3125</v>
      </c>
      <c r="N17" s="57" t="s">
        <v>313</v>
      </c>
      <c r="O17" s="195" t="s">
        <v>1432</v>
      </c>
    </row>
    <row r="18" spans="2:15" x14ac:dyDescent="0.2">
      <c r="B18" s="267" t="s">
        <v>38</v>
      </c>
      <c r="I18" s="194">
        <f t="shared" si="0"/>
        <v>11</v>
      </c>
      <c r="J18" s="58" t="s">
        <v>390</v>
      </c>
      <c r="K18" s="194" t="str">
        <f>IF(Waste[[#This Row],[Month]]&lt;&gt;"",VLOOKUP(Waste[[#This Row],[Month]], dropdown!$S$4:$T$15, 2, FALSE),"")</f>
        <v>Q3</v>
      </c>
      <c r="L18" s="57" t="s">
        <v>383</v>
      </c>
      <c r="M18" s="29">
        <v>2375</v>
      </c>
      <c r="N18" s="57" t="s">
        <v>313</v>
      </c>
      <c r="O18" s="195" t="s">
        <v>1432</v>
      </c>
    </row>
    <row r="19" spans="2:15" x14ac:dyDescent="0.2">
      <c r="B19" s="268" t="s">
        <v>175</v>
      </c>
      <c r="I19" s="194">
        <f t="shared" ref="I19" si="1">IF($J19="","",$I18+1)</f>
        <v>12</v>
      </c>
      <c r="J19" s="58" t="s">
        <v>41</v>
      </c>
      <c r="K19" s="194" t="str">
        <f>IF(Waste[[#This Row],[Month]]&lt;&gt;"",VLOOKUP(Waste[[#This Row],[Month]], dropdown!$S$4:$T$15, 2, FALSE),"")</f>
        <v>Q3</v>
      </c>
      <c r="L19" s="57" t="s">
        <v>383</v>
      </c>
      <c r="M19" s="29">
        <v>3050</v>
      </c>
      <c r="N19" s="57" t="s">
        <v>313</v>
      </c>
      <c r="O19" s="195" t="s">
        <v>1432</v>
      </c>
    </row>
    <row r="20" spans="2:15" x14ac:dyDescent="0.2">
      <c r="B20" s="266" t="s">
        <v>176</v>
      </c>
      <c r="I20" s="194">
        <f t="shared" si="0"/>
        <v>13</v>
      </c>
      <c r="J20" s="58" t="s">
        <v>397</v>
      </c>
      <c r="K20" s="194" t="str">
        <f>IF(Waste[[#This Row],[Month]]&lt;&gt;"",VLOOKUP(Waste[[#This Row],[Month]], dropdown!$S$4:$T$15, 2, FALSE),"")</f>
        <v>Q3</v>
      </c>
      <c r="L20" s="57" t="s">
        <v>383</v>
      </c>
      <c r="M20" s="29">
        <v>4325</v>
      </c>
      <c r="N20" s="57" t="s">
        <v>313</v>
      </c>
      <c r="O20" s="195" t="s">
        <v>1432</v>
      </c>
    </row>
    <row r="21" spans="2:15" x14ac:dyDescent="0.2">
      <c r="B21" s="17" t="s">
        <v>177</v>
      </c>
      <c r="I21" s="194">
        <f t="shared" si="0"/>
        <v>14</v>
      </c>
      <c r="J21" s="58" t="s">
        <v>400</v>
      </c>
      <c r="K21" s="194" t="str">
        <f>IF(Waste[[#This Row],[Month]]&lt;&gt;"",VLOOKUP(Waste[[#This Row],[Month]], dropdown!$S$4:$T$15, 2, FALSE),"")</f>
        <v>Q4</v>
      </c>
      <c r="L21" s="57" t="s">
        <v>383</v>
      </c>
      <c r="M21" s="29">
        <v>1425</v>
      </c>
      <c r="N21" s="57" t="s">
        <v>313</v>
      </c>
      <c r="O21" s="195" t="s">
        <v>1432</v>
      </c>
    </row>
    <row r="22" spans="2:15" x14ac:dyDescent="0.2">
      <c r="I22" s="194">
        <f t="shared" si="0"/>
        <v>15</v>
      </c>
      <c r="J22" s="58" t="s">
        <v>404</v>
      </c>
      <c r="K22" s="194" t="str">
        <f>IF(Waste[[#This Row],[Month]]&lt;&gt;"",VLOOKUP(Waste[[#This Row],[Month]], dropdown!$S$4:$T$15, 2, FALSE),"")</f>
        <v>Q4</v>
      </c>
      <c r="L22" s="57" t="s">
        <v>383</v>
      </c>
      <c r="M22" s="29">
        <v>3025</v>
      </c>
      <c r="N22" s="57" t="s">
        <v>313</v>
      </c>
      <c r="O22" s="195" t="s">
        <v>1432</v>
      </c>
    </row>
    <row r="23" spans="2:15" x14ac:dyDescent="0.2">
      <c r="I23" s="194">
        <f t="shared" si="0"/>
        <v>16</v>
      </c>
      <c r="J23" s="58" t="s">
        <v>407</v>
      </c>
      <c r="K23" s="194" t="str">
        <f>IF(Waste[[#This Row],[Month]]&lt;&gt;"",VLOOKUP(Waste[[#This Row],[Month]], dropdown!$S$4:$T$15, 2, FALSE),"")</f>
        <v>Q4</v>
      </c>
      <c r="L23" s="57" t="s">
        <v>383</v>
      </c>
      <c r="M23" s="29">
        <v>2300</v>
      </c>
      <c r="N23" s="57" t="s">
        <v>313</v>
      </c>
      <c r="O23" s="195" t="s">
        <v>1432</v>
      </c>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Cabanatuan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2024</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2775.3500000000004</v>
      </c>
      <c r="G13" s="73" t="str">
        <f>'1. Data Info and Summary'!$D18</f>
        <v>Liters</v>
      </c>
      <c r="I13" s="76">
        <f>VLOOKUP($E13,Emission_Factors!$A$1:$G$20,5,FALSE)</f>
        <v>2.68</v>
      </c>
      <c r="J13" s="141">
        <f>F13*I13</f>
        <v>7437.938000000001</v>
      </c>
      <c r="L13" s="73" t="s">
        <v>155</v>
      </c>
      <c r="M13" s="78">
        <f>SUM('2.3a Electricity'!$D$12:$G$12)</f>
        <v>361360</v>
      </c>
      <c r="N13" s="73" t="str">
        <f>'2.3a Electricity'!$C$12</f>
        <v>Kilowatt-hour</v>
      </c>
      <c r="P13" s="76">
        <f>VLOOKUP($L13,Emission_Factors!$A$1:$G$20,5,FALSE)</f>
        <v>0.56000000000000005</v>
      </c>
      <c r="Q13" s="141">
        <f>M13*P13</f>
        <v>202361.60000000001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7437.938000000001</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10129.48</v>
      </c>
      <c r="G22" s="73" t="str">
        <f>'1. Data Info and Summary'!$D26</f>
        <v>Liters</v>
      </c>
      <c r="I22" s="76">
        <f>VLOOKUP($E22,Emission_Factors!$A$1:$G$20,5,FALSE)</f>
        <v>2.68</v>
      </c>
      <c r="J22" s="141">
        <f>F22*I22</f>
        <v>27147.006400000002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27147.006400000002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7.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1891.6289999999999</v>
      </c>
      <c r="D33" s="337">
        <v>909.61599999999999</v>
      </c>
      <c r="E33" s="337">
        <v>1203.8719999999998</v>
      </c>
      <c r="F33" s="337">
        <v>423.82000000000005</v>
      </c>
      <c r="G33" s="337">
        <v>4428.9369999999999</v>
      </c>
      <c r="I33" s="20"/>
      <c r="J33" s="20"/>
      <c r="K33" s="21"/>
      <c r="L33" s="21"/>
      <c r="M33" s="22"/>
      <c r="N33" s="22"/>
      <c r="O33" s="11"/>
      <c r="P33" s="22"/>
      <c r="Q33" s="20"/>
      <c r="R33" s="20"/>
      <c r="S33" s="44"/>
    </row>
    <row r="34" spans="1:19" outlineLevel="1" x14ac:dyDescent="0.2">
      <c r="A34" s="203" t="s">
        <v>63</v>
      </c>
      <c r="B34" s="337"/>
      <c r="C34" s="337">
        <v>1891.6289999999999</v>
      </c>
      <c r="D34" s="337">
        <v>909.61599999999999</v>
      </c>
      <c r="E34" s="337">
        <v>1203.8719999999998</v>
      </c>
      <c r="F34" s="337">
        <v>423.82000000000005</v>
      </c>
      <c r="G34" s="337">
        <v>4428.9369999999999</v>
      </c>
      <c r="I34" s="20"/>
      <c r="J34" s="20"/>
      <c r="K34" s="21"/>
      <c r="L34" s="21"/>
      <c r="M34" s="22"/>
      <c r="N34" s="22"/>
      <c r="O34" s="11"/>
      <c r="P34" s="22"/>
      <c r="Q34" s="20"/>
      <c r="R34" s="20"/>
      <c r="S34" s="44"/>
    </row>
    <row r="35" spans="1:19" outlineLevel="1" x14ac:dyDescent="0.2">
      <c r="A35" s="19" t="s">
        <v>365</v>
      </c>
      <c r="B35" s="337"/>
      <c r="C35" s="337">
        <v>130.34299999999999</v>
      </c>
      <c r="D35" s="337">
        <v>286.363</v>
      </c>
      <c r="E35" s="337">
        <v>315.55700000000002</v>
      </c>
      <c r="F35" s="337">
        <v>381.86399999999998</v>
      </c>
      <c r="G35" s="337">
        <v>1114.127</v>
      </c>
      <c r="I35" s="20"/>
      <c r="J35" s="20"/>
      <c r="K35" s="21"/>
      <c r="L35" s="21"/>
      <c r="M35" s="22"/>
      <c r="N35" s="22"/>
      <c r="O35" s="11"/>
      <c r="P35" s="22"/>
      <c r="Q35" s="20"/>
      <c r="R35" s="20"/>
      <c r="S35" s="44"/>
    </row>
    <row r="36" spans="1:19" outlineLevel="1" x14ac:dyDescent="0.2">
      <c r="A36" s="203" t="s">
        <v>63</v>
      </c>
      <c r="B36" s="337"/>
      <c r="C36" s="337">
        <v>130.34299999999999</v>
      </c>
      <c r="D36" s="337">
        <v>286.363</v>
      </c>
      <c r="E36" s="337">
        <v>315.55700000000002</v>
      </c>
      <c r="F36" s="337">
        <v>381.86399999999998</v>
      </c>
      <c r="G36" s="337">
        <v>1114.127</v>
      </c>
      <c r="H36" s="12"/>
      <c r="I36" s="20"/>
      <c r="J36" s="20"/>
      <c r="K36" s="21"/>
      <c r="L36" s="21"/>
      <c r="M36" s="22"/>
      <c r="N36" s="22"/>
      <c r="O36" s="11"/>
      <c r="P36" s="22"/>
      <c r="Q36" s="20"/>
      <c r="R36" s="20"/>
      <c r="S36" s="44"/>
    </row>
    <row r="37" spans="1:19" outlineLevel="1" x14ac:dyDescent="0.2">
      <c r="A37" s="19" t="s">
        <v>381</v>
      </c>
      <c r="B37" s="337"/>
      <c r="C37" s="337">
        <v>260.5</v>
      </c>
      <c r="D37" s="337"/>
      <c r="E37" s="337"/>
      <c r="F37" s="337"/>
      <c r="G37" s="337">
        <v>260.5</v>
      </c>
      <c r="H37" s="12"/>
      <c r="I37" s="20"/>
      <c r="J37" s="20"/>
      <c r="K37" s="21"/>
      <c r="L37" s="21"/>
      <c r="M37" s="22"/>
      <c r="N37" s="22"/>
      <c r="O37" s="11"/>
      <c r="P37" s="22"/>
      <c r="Q37" s="20"/>
      <c r="R37" s="20"/>
      <c r="S37" s="44"/>
    </row>
    <row r="38" spans="1:19" outlineLevel="1" x14ac:dyDescent="0.2">
      <c r="A38" s="203" t="s">
        <v>63</v>
      </c>
      <c r="B38" s="337"/>
      <c r="C38" s="337">
        <v>260.5</v>
      </c>
      <c r="D38" s="337"/>
      <c r="E38" s="337"/>
      <c r="F38" s="337"/>
      <c r="G38" s="337">
        <v>260.5</v>
      </c>
      <c r="H38" s="12"/>
      <c r="I38" s="20"/>
      <c r="J38" s="20"/>
      <c r="K38" s="21"/>
      <c r="L38" s="21"/>
      <c r="M38" s="22"/>
      <c r="N38" s="22"/>
      <c r="O38" s="11"/>
      <c r="P38" s="22"/>
      <c r="Q38" s="20"/>
      <c r="R38" s="20"/>
      <c r="S38" s="44"/>
    </row>
    <row r="39" spans="1:19" outlineLevel="1" x14ac:dyDescent="0.2">
      <c r="A39" s="19" t="s">
        <v>1434</v>
      </c>
      <c r="B39" s="337"/>
      <c r="C39" s="337">
        <v>1728.115</v>
      </c>
      <c r="D39" s="337">
        <v>985.44299999999998</v>
      </c>
      <c r="E39" s="337">
        <v>755.34199999999998</v>
      </c>
      <c r="F39" s="337">
        <v>342.94899999999996</v>
      </c>
      <c r="G39" s="337">
        <v>3811.8490000000002</v>
      </c>
      <c r="H39" s="12"/>
      <c r="I39" s="20"/>
      <c r="J39" s="20"/>
      <c r="K39" s="21"/>
      <c r="L39" s="21"/>
      <c r="M39" s="22"/>
      <c r="N39" s="22"/>
      <c r="O39" s="11"/>
      <c r="P39" s="22"/>
      <c r="Q39" s="20"/>
      <c r="R39" s="20"/>
      <c r="S39" s="44"/>
    </row>
    <row r="40" spans="1:19" outlineLevel="1" x14ac:dyDescent="0.2">
      <c r="A40" s="203" t="s">
        <v>63</v>
      </c>
      <c r="B40" s="337"/>
      <c r="C40" s="337">
        <v>1728.115</v>
      </c>
      <c r="D40" s="337">
        <v>985.44299999999998</v>
      </c>
      <c r="E40" s="337">
        <v>755.34199999999998</v>
      </c>
      <c r="F40" s="337">
        <v>342.94899999999996</v>
      </c>
      <c r="G40" s="337">
        <v>3811.8490000000002</v>
      </c>
      <c r="H40" s="12"/>
      <c r="I40" s="20"/>
      <c r="J40" s="20"/>
      <c r="K40" s="21"/>
      <c r="L40" s="21"/>
      <c r="M40" s="22"/>
      <c r="N40" s="22"/>
      <c r="O40" s="11"/>
      <c r="P40" s="22"/>
      <c r="Q40" s="20"/>
      <c r="R40" s="20"/>
      <c r="S40" s="44"/>
    </row>
    <row r="41" spans="1:19" outlineLevel="1" x14ac:dyDescent="0.2">
      <c r="A41" s="19" t="s">
        <v>387</v>
      </c>
      <c r="B41" s="337"/>
      <c r="C41" s="337">
        <v>40.069000000000003</v>
      </c>
      <c r="D41" s="337">
        <v>135.15899999999999</v>
      </c>
      <c r="E41" s="337">
        <v>113.699</v>
      </c>
      <c r="F41" s="337">
        <v>225.14</v>
      </c>
      <c r="G41" s="337">
        <v>514.06700000000001</v>
      </c>
      <c r="H41" s="12"/>
      <c r="I41" s="20"/>
      <c r="J41" s="20"/>
      <c r="K41" s="21"/>
      <c r="L41" s="21"/>
      <c r="M41" s="22"/>
      <c r="N41" s="22"/>
      <c r="O41" s="11"/>
      <c r="P41" s="22"/>
      <c r="Q41" s="20"/>
      <c r="R41" s="20"/>
      <c r="S41" s="44"/>
    </row>
    <row r="42" spans="1:19" outlineLevel="1" x14ac:dyDescent="0.2">
      <c r="A42" s="203" t="s">
        <v>63</v>
      </c>
      <c r="B42" s="337"/>
      <c r="C42" s="337">
        <v>40.069000000000003</v>
      </c>
      <c r="D42" s="337">
        <v>135.15899999999999</v>
      </c>
      <c r="E42" s="337">
        <v>113.699</v>
      </c>
      <c r="F42" s="337">
        <v>225.14</v>
      </c>
      <c r="G42" s="337">
        <v>514.06700000000001</v>
      </c>
      <c r="H42" s="12"/>
      <c r="I42" s="20"/>
      <c r="J42" s="20"/>
      <c r="K42" s="21"/>
      <c r="L42" s="21"/>
      <c r="M42" s="22"/>
      <c r="N42" s="22"/>
      <c r="O42" s="11"/>
      <c r="P42" s="22"/>
      <c r="Q42" s="20"/>
      <c r="R42" s="20"/>
      <c r="S42" s="44"/>
    </row>
    <row r="43" spans="1:19" outlineLevel="1" x14ac:dyDescent="0.2">
      <c r="A43" s="19" t="s">
        <v>297</v>
      </c>
      <c r="B43" s="337"/>
      <c r="C43" s="337">
        <v>4050.6559999999995</v>
      </c>
      <c r="D43" s="337">
        <v>2316.5810000000001</v>
      </c>
      <c r="E43" s="337">
        <v>2388.4699999999998</v>
      </c>
      <c r="F43" s="337">
        <v>1373.7729999999997</v>
      </c>
      <c r="G43" s="337">
        <v>10129.48</v>
      </c>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36"/>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45916.879212962966</v>
      </c>
      <c r="B927" t="s">
        <v>596</v>
      </c>
      <c r="C927" t="s">
        <v>597</v>
      </c>
      <c r="D927" t="s">
        <v>1435</v>
      </c>
      <c r="E927" t="s">
        <v>39</v>
      </c>
    </row>
    <row r="928" spans="1:5" x14ac:dyDescent="0.2">
      <c r="A928" s="269">
        <v>45916.879490740743</v>
      </c>
      <c r="B928" t="s">
        <v>596</v>
      </c>
      <c r="C928" t="s">
        <v>27</v>
      </c>
      <c r="D928" t="s">
        <v>1436</v>
      </c>
      <c r="E928">
        <v>1</v>
      </c>
    </row>
    <row r="929" spans="1:5" x14ac:dyDescent="0.2">
      <c r="A929" s="269">
        <v>45916.879537037035</v>
      </c>
      <c r="B929" t="s">
        <v>596</v>
      </c>
      <c r="C929" t="s">
        <v>27</v>
      </c>
      <c r="D929" t="s">
        <v>934</v>
      </c>
    </row>
    <row r="930" spans="1:5" x14ac:dyDescent="0.2">
      <c r="A930" s="269">
        <v>45916.879548611112</v>
      </c>
      <c r="B930" t="s">
        <v>596</v>
      </c>
      <c r="C930" t="s">
        <v>27</v>
      </c>
      <c r="D930" t="s">
        <v>934</v>
      </c>
      <c r="E930">
        <v>1</v>
      </c>
    </row>
    <row r="931" spans="1:5" x14ac:dyDescent="0.2">
      <c r="A931" s="269">
        <v>45916.879548611112</v>
      </c>
      <c r="B931" t="s">
        <v>596</v>
      </c>
      <c r="C931" t="s">
        <v>27</v>
      </c>
      <c r="D931" t="s">
        <v>1437</v>
      </c>
    </row>
    <row r="932" spans="1:5" x14ac:dyDescent="0.2">
      <c r="A932" s="269">
        <v>45916.879664351851</v>
      </c>
      <c r="B932" t="s">
        <v>596</v>
      </c>
      <c r="C932" t="s">
        <v>27</v>
      </c>
      <c r="D932" t="s">
        <v>1438</v>
      </c>
    </row>
    <row r="933" spans="1:5" x14ac:dyDescent="0.2">
      <c r="A933" s="269">
        <v>45916.879687499997</v>
      </c>
      <c r="B933" t="s">
        <v>596</v>
      </c>
      <c r="C933" t="s">
        <v>27</v>
      </c>
      <c r="D933" t="s">
        <v>1439</v>
      </c>
      <c r="E933" t="s">
        <v>53</v>
      </c>
    </row>
    <row r="934" spans="1:5" x14ac:dyDescent="0.2">
      <c r="A934" s="269">
        <v>45916.879791666666</v>
      </c>
      <c r="B934" t="s">
        <v>596</v>
      </c>
      <c r="C934" t="s">
        <v>27</v>
      </c>
      <c r="D934" t="s">
        <v>936</v>
      </c>
      <c r="E934">
        <v>2</v>
      </c>
    </row>
    <row r="935" spans="1:5" x14ac:dyDescent="0.2">
      <c r="A935" s="269">
        <v>45916.879791666666</v>
      </c>
      <c r="B935" t="s">
        <v>596</v>
      </c>
      <c r="C935" t="s">
        <v>27</v>
      </c>
      <c r="D935" t="s">
        <v>1220</v>
      </c>
      <c r="E935">
        <v>3</v>
      </c>
    </row>
    <row r="936" spans="1:5" x14ac:dyDescent="0.2">
      <c r="A936" s="269">
        <v>45916.879791666666</v>
      </c>
      <c r="B936" t="s">
        <v>596</v>
      </c>
      <c r="C936" t="s">
        <v>27</v>
      </c>
      <c r="D936" t="s">
        <v>794</v>
      </c>
      <c r="E936">
        <v>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2.2 Refrigerants</vt:lpstr>
      <vt:lpstr>2.1b Fuel - Vehicles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2025-09-16T13:06:58Z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