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Cabanatuan Branch/"/>
    </mc:Choice>
  </mc:AlternateContent>
  <xr:revisionPtr revIDLastSave="0" documentId="13_ncr:1_{D074B829-CB25-1C4C-B325-4F00A369D6F2}" xr6:coauthVersionLast="47" xr6:coauthVersionMax="47" xr10:uidLastSave="{00000000-0000-0000-0000-000000000000}"/>
  <bookViews>
    <workbookView xWindow="0" yWindow="740" windowWidth="29400" windowHeight="17100" tabRatio="781" firstSheet="2" activeTab="2" xr2:uid="{886A8D89-6609-4846-8644-18317714B220}"/>
  </bookViews>
  <sheets>
    <sheet name="Instructions" sheetId="1" r:id="rId1"/>
    <sheet name="1. Data Info and Summary" sheetId="37" r:id="rId2"/>
    <sheet name="2.1a Fuel - Buildings" sheetId="34" r:id="rId3"/>
    <sheet name="2.2 Refrigerants" sheetId="38" r:id="rId4"/>
    <sheet name="2.1b Fuel - Vehicles" sheetId="44"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_xleta.IF" hidden="1" xlm="1">#NAME?</definedName>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468" r:id="rId19"/>
    <pivotCache cacheId="469" r:id="rId20"/>
    <pivotCache cacheId="470" r:id="rId21"/>
    <pivotCache cacheId="471" r:id="rId22"/>
    <pivotCache cacheId="472" r:id="rId23"/>
    <pivotCache cacheId="480"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M8" i="40"/>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10" i="40"/>
  <c r="I11" i="40" s="1"/>
  <c r="I12" i="40" s="1"/>
  <c r="I13" i="40" s="1"/>
  <c r="I14" i="40" s="1"/>
  <c r="I15" i="40" s="1"/>
  <c r="I16" i="40" s="1"/>
  <c r="I17" i="40" s="1"/>
  <c r="I18" i="40" s="1"/>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E12" i="38" s="1"/>
  <c r="G13" i="38"/>
  <c r="G11" i="38"/>
  <c r="F13" i="38"/>
  <c r="F11" i="38"/>
  <c r="E13" i="38"/>
  <c r="E11" i="38"/>
  <c r="D13"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I14" i="41" s="1"/>
  <c r="I15" i="41" s="1"/>
  <c r="I16" i="41" s="1"/>
  <c r="I17" i="41" s="1"/>
  <c r="I18" i="41" s="1"/>
  <c r="I1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I20" i="40" s="1"/>
  <c r="I21" i="40" s="1"/>
  <c r="I22" i="40" s="1"/>
  <c r="I23"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G12" i="38" l="1"/>
  <c r="F12" i="38"/>
  <c r="D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E26" i="37" l="1"/>
  <c r="N12" i="34"/>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G13" i="37" s="1"/>
  <c r="F11" i="41"/>
  <c r="F13" i="37" s="1"/>
  <c r="E11" i="41"/>
  <c r="E13" i="37" s="1"/>
  <c r="D11" i="41"/>
  <c r="D13" i="37" s="1"/>
  <c r="F15" i="40"/>
  <c r="G16" i="40"/>
  <c r="E15" i="40"/>
  <c r="D16" i="40"/>
  <c r="E16" i="40"/>
  <c r="G15" i="40"/>
  <c r="D15" i="40"/>
  <c r="F16" i="40"/>
  <c r="E11" i="50"/>
  <c r="D11" i="50"/>
  <c r="G11" i="50"/>
  <c r="F11" i="50"/>
  <c r="E12" i="39"/>
  <c r="G12" i="39"/>
  <c r="G11" i="37" s="1" a="1"/>
  <c r="G11" i="37" s="1"/>
  <c r="F12" i="39"/>
  <c r="F11" i="37" s="1" a="1"/>
  <c r="F11" i="37" s="1"/>
  <c r="F12" i="50" l="1"/>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G14" i="34" l="1"/>
  <c r="D14" i="34"/>
  <c r="F14" i="34"/>
  <c r="E14" i="34"/>
  <c r="E12" i="34"/>
  <c r="G12" i="34"/>
  <c r="F12" i="34"/>
  <c r="D12" i="34"/>
  <c r="E13" i="34"/>
  <c r="D13" i="34"/>
  <c r="G13" i="34"/>
  <c r="F13" i="34"/>
  <c r="E11" i="34"/>
  <c r="G11" i="34"/>
  <c r="F11" i="34"/>
  <c r="D11" i="34"/>
  <c r="D15" i="34"/>
  <c r="G15" i="34"/>
  <c r="F15" i="34"/>
  <c r="E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F22" i="43"/>
  <c r="J22" i="43" s="1"/>
  <c r="E27" i="37"/>
  <c r="F23" i="43" s="1"/>
  <c r="J23" i="43" s="1"/>
  <c r="G13" i="43"/>
  <c r="G17" i="43"/>
  <c r="G15" i="43"/>
  <c r="G16" i="43"/>
  <c r="G14" i="43"/>
  <c r="E18" i="37" l="1"/>
  <c r="D8" i="37" a="1"/>
  <c r="D8" i="37" s="1"/>
  <c r="G8" i="37" a="1"/>
  <c r="G8" i="37" s="1"/>
  <c r="F8" i="37" a="1"/>
  <c r="F8" i="37" s="1"/>
  <c r="E8" i="37" a="1"/>
  <c r="E8" i="37" s="1"/>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<sst xmlns="http://schemas.openxmlformats.org/spreadsheetml/2006/main" count="5925" uniqueCount="1439">
  <si>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</si>
  <si>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</si>
  <si>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</si>
  <si>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</si>
  <si>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</si>
  <si>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</si>
  <si>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</si>
  <si>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</si>
  <si>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</si>
  <si>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</si>
  <si>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</si>
  <si>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</si>
  <si>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</si>
  <si>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</si>
  <si>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</si>
  <si>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</si>
  <si>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</si>
  <si>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</si>
  <si>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</si>
  <si>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</si>
  <si>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</si>
  <si>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</si>
  <si>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</si>
  <si>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</si>
  <si>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</si>
  <si>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</si>
  <si>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</si>
  <si>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</si>
  <si>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</si>
  <si>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</si>
  <si>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</si>
  <si>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</si>
  <si>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</si>
  <si>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</si>
  <si>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</si>
  <si>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</si>
  <si>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</si>
  <si>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</si>
  <si>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</si>
  <si>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</si>
  <si>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</si>
  <si>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</si>
  <si>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</si>
  <si>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</si>
  <si>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</si>
  <si>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</si>
  <si>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</si>
  <si>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</si>
  <si>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</si>
  <si>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</si>
  <si>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</si>
  <si>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</si>
  <si>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</si>
  <si>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</si>
  <si>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</si>
  <si>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</si>
  <si>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</si>
  <si>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</si>
  <si>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</si>
  <si>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</si>
  <si>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</si>
  <si>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</si>
  <si>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</si>
  <si>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</si>
  <si>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</si>
  <si>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</si>
  <si>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</si>
  <si>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</si>
  <si>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</si>
  <si>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</si>
  <si>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</si>
  <si>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</si>
  <si>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</si>
  <si>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</si>
  <si>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</si>
  <si>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</si>
  <si>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</si>
  <si>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</si>
  <si>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</si>
  <si>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</si>
  <si>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</si>
  <si>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</si>
  <si>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</si>
  <si>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</si>
  <si>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</si>
  <si>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</si>
  <si>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</si>
  <si>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</si>
  <si>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</si>
  <si>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</si>
  <si>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</si>
  <si>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</si>
  <si>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</si>
  <si>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</si>
  <si>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</si>
  <si>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</si>
  <si>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</si>
  <si>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</si>
  <si>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</si>
  <si>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</si>
  <si>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</si>
  <si>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</si>
  <si>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</si>
  <si>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</si>
  <si>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</si>
  <si>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</si>
  <si>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</si>
  <si>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</si>
  <si>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</si>
  <si>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</si>
  <si>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</si>
  <si>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</si>
  <si>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</si>
  <si>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</si>
  <si>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</si>
  <si>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</si>
  <si>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</si>
  <si>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</si>
  <si>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</si>
  <si>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</si>
  <si>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</si>
  <si>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</si>
  <si>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</si>
  <si>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</si>
  <si>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</si>
  <si>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</si>
  <si>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</si>
  <si>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</si>
  <si>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</si>
  <si>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</si>
  <si>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</si>
  <si>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</si>
  <si>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</si>
  <si>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</si>
  <si>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</si>
  <si>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</si>
  <si>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</si>
  <si>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</si>
  <si>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</si>
  <si>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</si>
  <si>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</si>
  <si>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</si>
  <si>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</si>
  <si>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</si>
  <si>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</si>
  <si>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</si>
  <si>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</si>
  <si>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</si>
  <si>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</si>
  <si>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</si>
  <si>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</si>
  <si>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</si>
  <si>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</si>
  <si>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</si>
  <si>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</si>
  <si>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</si>
  <si>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</si>
  <si>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</si>
  <si>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</si>
  <si>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</si>
  <si>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</si>
  <si>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</si>
  <si>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</si>
  <si>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</si>
  <si>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</si>
  <si>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</si>
  <si>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</si>
  <si>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</si>
  <si>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</si>
  <si>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</si>
  <si>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</si>
  <si>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</si>
  <si>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</si>
  <si>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</si>
  <si>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</si>
  <si>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</si>
  <si>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</si>
  <si>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</si>
  <si>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</si>
  <si>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</si>
  <si>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</si>
  <si>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</si>
  <si>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</si>
  <si>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</si>
  <si>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</si>
  <si>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</si>
  <si>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</si>
  <si>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</si>
  <si>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</si>
  <si>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</si>
  <si>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</si>
  <si>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</si>
  <si>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</si>
  <si>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</si>
  <si>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</si>
  <si>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</si>
  <si>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</si>
  <si>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</si>
  <si>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</si>
  <si>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</si>
  <si>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</si>
  <si>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</si>
  <si>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</si>
  <si>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</si>
  <si>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</si>
  <si>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</si>
  <si>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</si>
  <si>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</si>
  <si>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</si>
  <si>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</si>
  <si>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</si>
  <si>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</si>
  <si>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</si>
  <si>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</si>
  <si>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</si>
  <si>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</si>
  <si>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</si>
  <si>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</si>
  <si>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</si>
  <si>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</si>
  <si>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</si>
  <si>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</si>
  <si>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</si>
  <si>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</si>
  <si>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</si>
  <si>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</si>
  <si>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</si>
  <si>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</si>
  <si>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</si>
  <si>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</si>
  <si>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</si>
  <si>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</si>
  <si>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</si>
  <si>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</si>
  <si>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</si>
  <si>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</si>
  <si>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</si>
  <si>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</si>
  <si>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</si>
  <si>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</si>
  <si>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</si>
  <si>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</si>
  <si>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</si>
  <si>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</si>
  <si>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</si>
  <si>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</si>
  <si>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</si>
  <si>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</si>
  <si>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</si>
  <si>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</si>
  <si>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</si>
  <si>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</si>
  <si>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</si>
  <si>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</si>
  <si>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</si>
  <si>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</si>
  <si>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</si>
  <si>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</si>
  <si>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</si>
  <si>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</si>
  <si>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</si>
  <si>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</si>
  <si>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</si>
  <si>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</si>
  <si>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</si>
  <si>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</si>
  <si>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</si>
  <si>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</si>
  <si>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</si>
  <si>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</si>
  <si>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</si>
  <si>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</si>
  <si>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</si>
  <si>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</si>
  <si>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</si>
  <si>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</si>
  <si>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</si>
  <si>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</si>
  <si>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</si>
  <si>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</si>
  <si>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</si>
  <si>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</si>
  <si>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</si>
  <si>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</si>
  <si>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</si>
  <si>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</si>
  <si>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</si>
  <si>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</si>
  <si>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</si>
  <si>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</si>
  <si>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</si>
  <si>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</si>
  <si>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</si>
  <si>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</si>
  <si>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</si>
  <si>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</si>
  <si>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</si>
  <si>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</si>
  <si>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</si>
  <si>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</si>
  <si>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</si>
  <si>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</si>
  <si>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</si>
  <si>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</si>
  <si>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</si>
  <si>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</si>
  <si>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</si>
  <si>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</si>
  <si>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</si>
  <si>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</si>
  <si>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</si>
  <si>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</si>
  <si>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</si>
  <si>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</si>
  <si>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</si>
  <si>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</si>
  <si>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</si>
  <si>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</si>
  <si>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</si>
  <si>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</si>
  <si>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</si>
  <si>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</si>
  <si>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</si>
  <si>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</si>
  <si>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</si>
  <si>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</si>
  <si>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</si>
  <si>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</si>
  <si>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</si>
  <si>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</si>
  <si>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</si>
  <si>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</si>
  <si>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</si>
  <si>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</si>
  <si>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</si>
  <si>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</si>
  <si>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</si>
  <si>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</si>
  <si>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</si>
  <si>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</si>
  <si>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</si>
  <si>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</si>
  <si>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</si>
  <si>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</si>
  <si>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</si>
  <si>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</si>
  <si>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</si>
  <si>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</si>
  <si>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</si>
  <si>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</si>
  <si>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</si>
  <si>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</si>
  <si>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</si>
  <si>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</si>
  <si>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</si>
  <si>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</si>
  <si>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</si>
  <si>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</si>
  <si>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</si>
  <si>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</si>
  <si>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</si>
  <si>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</si>
  <si>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</si>
  <si>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</si>
  <si>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</si>
  <si>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</si>
  <si>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</si>
  <si>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</si>
  <si>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</si>
  <si>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</si>
  <si>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</si>
  <si>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</si>
  <si>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</si>
  <si>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</si>
  <si>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</si>
  <si>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</si>
  <si>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</si>
  <si>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</si>
  <si>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</si>
  <si>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</si>
  <si>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</si>
  <si>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</si>
  <si>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</si>
  <si>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</si>
  <si>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</si>
  <si>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</si>
  <si>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</si>
  <si>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</si>
  <si>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</si>
  <si>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</si>
  <si>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</si>
  <si>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</si>
  <si>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</si>
  <si>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</si>
  <si>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</si>
  <si>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</si>
  <si>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</si>
  <si>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</si>
  <si>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</si>
  <si>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</si>
  <si>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</si>
  <si>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</si>
  <si>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</si>
  <si>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</si>
  <si>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</si>
  <si>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</si>
  <si>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</si>
  <si>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</si>
  <si>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</si>
  <si>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</si>
  <si>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</si>
  <si>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</si>
  <si>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</si>
  <si>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</si>
  <si>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</si>
  <si>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</si>
  <si>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</si>
  <si>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</si>
  <si>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</si>
  <si>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</si>
  <si>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</si>
  <si>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</si>
  <si>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</si>
  <si>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</si>
  <si>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</si>
  <si>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</si>
  <si>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</si>
  <si>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</si>
  <si>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</si>
  <si>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</si>
  <si>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</si>
  <si>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</si>
  <si>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</si>
  <si>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</si>
  <si>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</si>
  <si>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</si>
  <si>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</si>
  <si>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</si>
  <si>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</si>
  <si>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</si>
  <si>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</si>
  <si>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</si>
  <si>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</si>
  <si>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</si>
  <si>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</si>
  <si>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</si>
  <si>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</si>
  <si>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</si>
  <si>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</si>
  <si>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</si>
  <si>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</si>
  <si>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</si>
  <si>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</si>
  <si>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</si>
  <si>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</si>
  <si>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</si>
  <si>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</si>
  <si>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</si>
  <si>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</si>
  <si>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</si>
  <si>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</si>
  <si>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</si>
  <si>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</si>
  <si>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</si>
  <si>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</si>
  <si>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</si>
  <si>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</si>
  <si>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</si>
  <si>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</si>
  <si>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</si>
  <si>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</si>
  <si>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</si>
  <si>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</si>
  <si>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</si>
  <si>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</si>
  <si>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</si>
  <si>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</si>
  <si>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</si>
  <si>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</si>
  <si>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</si>
  <si>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</si>
  <si>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</si>
  <si>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</si>
  <si>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</si>
  <si>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</si>
  <si>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</si>
  <si>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</si>
  <si>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</si>
  <si>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</si>
  <si>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</si>
  <si>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</si>
  <si>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</si>
  <si>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</si>
  <si>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</si>
  <si>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</si>
  <si>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</si>
  <si>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</si>
  <si>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</si>
  <si>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</si>
  <si>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</si>
  <si>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</si>
  <si>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</si>
  <si>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</si>
  <si>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</si>
  <si>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</si>
  <si>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</si>
  <si>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</si>
  <si>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</si>
  <si>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</si>
  <si>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</si>
  <si>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</si>
  <si>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</si>
  <si>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</si>
  <si>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</si>
  <si>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</si>
  <si>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</si>
  <si>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</si>
  <si>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</si>
  <si>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</si>
  <si>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</si>
  <si>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</si>
  <si>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</si>
  <si>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</si>
  <si>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</si>
  <si>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</si>
  <si>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</si>
  <si>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</si>
  <si>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</si>
  <si>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</si>
  <si>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</si>
  <si>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</si>
  <si>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</si>
  <si>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</si>
  <si>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</si>
  <si>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</si>
  <si>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</si>
  <si>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</si>
  <si>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</si>
  <si>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</si>
  <si>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</si>
  <si>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</si>
  <si>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</si>
  <si>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</si>
  <si>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</si>
  <si>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</si>
  <si>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</si>
  <si>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</si>
  <si>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</si>
  <si>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</si>
  <si>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</si>
  <si>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</si>
  <si>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</si>
  <si>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</si>
  <si>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</si>
  <si>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</si>
  <si>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</si>
  <si>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</si>
  <si>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</si>
  <si>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</si>
  <si>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</si>
  <si>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</si>
  <si>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</si>
  <si>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</si>
  <si>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</si>
  <si>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</si>
  <si>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</si>
  <si>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</si>
  <si>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</si>
  <si>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</si>
  <si>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</si>
  <si>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</si>
  <si>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</si>
  <si>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</si>
  <si>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</si>
  <si>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</si>
  <si>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</si>
  <si>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</si>
  <si>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</si>
  <si>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</si>
  <si>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</si>
  <si>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</si>
  <si>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</si>
  <si>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</si>
  <si>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</si>
  <si>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</si>
  <si>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</si>
  <si>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</si>
  <si>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</si>
  <si>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</si>
  <si>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</si>
  <si>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</si>
  <si>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</si>
  <si>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</si>
  <si>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</si>
  <si>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</si>
  <si>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</si>
  <si>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</si>
  <si>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</si>
  <si>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</si>
  <si>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</si>
  <si>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</si>
  <si>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</si>
  <si>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</si>
  <si>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</si>
  <si>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</si>
  <si>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</si>
  <si>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</si>
  <si>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</si>
  <si>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</si>
  <si>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</si>
  <si>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</si>
  <si>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</si>
  <si>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</si>
  <si>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</si>
  <si>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</si>
  <si>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</si>
  <si>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</si>
  <si>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</si>
  <si>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</si>
  <si>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</si>
  <si>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</si>
  <si>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</si>
  <si>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</si>
  <si>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</si>
  <si>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</si>
  <si>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</si>
  <si>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</si>
  <si>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</si>
  <si>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</si>
  <si>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</si>
  <si>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</si>
  <si>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</si>
  <si>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</si>
  <si>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</si>
  <si>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</si>
  <si>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</si>
  <si>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</si>
  <si>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</si>
  <si>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</si>
  <si>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</si>
  <si>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</si>
  <si>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</si>
  <si>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</si>
  <si>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</si>
  <si>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</si>
  <si>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</si>
  <si>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</si>
  <si>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</si>
  <si>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</si>
  <si>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</si>
  <si>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</si>
  <si>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</si>
  <si>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</si>
  <si>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</si>
  <si>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</si>
  <si>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</si>
  <si>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</si>
  <si>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</si>
  <si>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</si>
  <si>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</si>
  <si>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</si>
  <si>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</si>
  <si>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</si>
  <si>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</si>
  <si>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</si>
  <si>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</si>
  <si>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</si>
  <si>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</si>
  <si>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</si>
  <si>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</si>
  <si>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</si>
  <si>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</si>
  <si>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</si>
  <si>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</si>
  <si>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</si>
  <si>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</si>
  <si>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</si>
  <si>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</si>
  <si>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</si>
  <si>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</si>
  <si>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</si>
  <si>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</si>
  <si>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</si>
  <si>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</si>
  <si>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</si>
  <si>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</si>
  <si>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</si>
  <si>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</si>
  <si>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</si>
  <si>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</si>
  <si>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</si>
  <si>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</si>
  <si>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</si>
  <si>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</si>
  <si>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</si>
  <si>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</si>
  <si>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</si>
  <si>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</si>
  <si>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</si>
  <si>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</si>
  <si>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</si>
  <si>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</si>
  <si>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</si>
  <si>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</si>
  <si>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</si>
  <si>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</si>
  <si>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</si>
  <si>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</si>
  <si>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</si>
  <si>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</si>
  <si>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</si>
  <si>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</si>
  <si>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</si>
  <si>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</si>
  <si>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</si>
  <si>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</si>
  <si>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</si>
  <si>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</si>
  <si>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</si>
  <si>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</si>
  <si>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</si>
  <si>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</si>
  <si>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</si>
  <si>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</si>
  <si>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</si>
  <si>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</si>
  <si>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</si>
  <si>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</si>
  <si>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</si>
  <si>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</si>
  <si>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</si>
  <si>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</si>
  <si>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</si>
  <si>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</si>
  <si>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</si>
  <si>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</si>
  <si>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</si>
  <si>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</si>
  <si>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</si>
  <si>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</si>
  <si>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</si>
  <si>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</si>
  <si>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</si>
  <si>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</si>
  <si>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</si>
  <si>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</si>
  <si>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</si>
  <si>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</si>
  <si>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</si>
  <si>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</si>
  <si>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</si>
  <si>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</si>
  <si>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</si>
  <si>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</si>
  <si>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</si>
  <si>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</si>
  <si>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</si>
  <si>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</si>
  <si>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</si>
  <si>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</si>
  <si>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</si>
  <si>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</si>
  <si>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</si>
  <si>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</si>
  <si>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</si>
  <si>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</si>
  <si>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</si>
  <si>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</si>
  <si>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</si>
  <si>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</si>
  <si>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</si>
  <si>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</si>
  <si>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</si>
  <si>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</si>
  <si>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</si>
  <si>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</si>
  <si>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</si>
  <si>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</si>
  <si>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</si>
  <si>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</si>
  <si>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</si>
  <si>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</si>
  <si>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</si>
  <si>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</si>
  <si>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</si>
  <si>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</si>
  <si>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</si>
  <si>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</si>
  <si>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</si>
  <si>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</si>
  <si>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</si>
  <si>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</si>
  <si>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</si>
  <si>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</si>
  <si>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</si>
  <si>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</si>
  <si>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</si>
  <si>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</si>
  <si>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</si>
  <si>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</si>
  <si>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</si>
  <si>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</si>
  <si>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</si>
  <si>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</si>
  <si>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</si>
  <si>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</si>
  <si>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</si>
  <si>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</si>
  <si>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</si>
  <si>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</si>
  <si>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</si>
  <si>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</si>
  <si>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</si>
  <si>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</si>
  <si>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</si>
  <si>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</si>
  <si>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</si>
  <si>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</si>
  <si>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</si>
  <si>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</si>
  <si>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</si>
  <si>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</si>
  <si>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</si>
  <si>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</si>
  <si>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</si>
  <si>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</si>
  <si>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</si>
  <si>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</si>
  <si>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</si>
  <si>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</si>
  <si>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</si>
  <si>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</si>
  <si>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</si>
  <si>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</si>
  <si>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</si>
  <si>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</si>
  <si>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</si>
  <si>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</si>
  <si>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</si>
  <si>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</si>
  <si>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</si>
  <si>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</si>
  <si>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</si>
  <si>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</si>
  <si>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</si>
  <si>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</si>
  <si>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</si>
  <si>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</si>
  <si>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</si>
  <si>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</si>
  <si>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</si>
  <si>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</si>
  <si>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</si>
  <si>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</si>
  <si>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</si>
  <si>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</si>
  <si>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</si>
  <si>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</si>
  <si>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</si>
  <si>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</si>
  <si>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</si>
  <si>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</si>
  <si>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</si>
  <si>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</si>
  <si>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</si>
  <si>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</si>
  <si>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</si>
  <si>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</si>
  <si>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</si>
  <si>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</si>
  <si>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</si>
  <si>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</si>
  <si>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</si>
  <si>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</si>
  <si>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</si>
  <si>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</si>
  <si>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</si>
  <si>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</si>
  <si>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</si>
  <si>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</si>
  <si>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</si>
  <si>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</si>
  <si>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</si>
  <si>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</si>
  <si>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</si>
  <si>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</si>
  <si>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</si>
  <si>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</si>
  <si>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</si>
  <si>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</si>
  <si>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</si>
  <si>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</si>
  <si>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</si>
  <si>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</si>
  <si>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</si>
  <si>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</si>
  <si>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</si>
  <si>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</si>
  <si>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</si>
  <si>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</si>
  <si>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</si>
  <si>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</si>
  <si>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</si>
  <si>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</si>
  <si>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</si>
  <si>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</si>
  <si>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</si>
  <si>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</si>
  <si>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</si>
  <si>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</si>
  <si>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</si>
  <si>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</si>
  <si>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</si>
  <si>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</si>
  <si>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</si>
  <si>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</si>
  <si>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</si>
  <si>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</si>
  <si>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</si>
  <si>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</si>
  <si>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</si>
  <si>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</si>
  <si>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</si>
  <si>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</si>
  <si>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</si>
  <si>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</si>
  <si>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</si>
  <si>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</si>
  <si>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</si>
  <si>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</si>
  <si>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</si>
  <si>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</si>
  <si>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</si>
  <si>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</si>
  <si>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</si>
  <si>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</si>
  <si>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</si>
  <si>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</si>
  <si>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</si>
  <si>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</si>
  <si>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</si>
  <si>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</si>
  <si>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</si>
  <si>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</si>
  <si>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</si>
  <si>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</si>
  <si>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</si>
  <si>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</si>
  <si>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</si>
  <si>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</si>
  <si>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</si>
  <si>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</si>
  <si>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</si>
  <si>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</si>
  <si>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</si>
  <si>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</si>
  <si>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</si>
  <si>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</si>
  <si>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</si>
  <si>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</si>
  <si>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</si>
  <si>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</si>
  <si>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</si>
  <si>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</si>
  <si>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</si>
  <si>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</si>
  <si>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</si>
  <si>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</si>
  <si>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</si>
  <si>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</si>
  <si>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</si>
  <si>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</si>
  <si>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</si>
  <si>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</si>
  <si>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</si>
  <si>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</si>
  <si>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</si>
  <si>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</si>
  <si>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</si>
  <si>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</si>
  <si>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</si>
  <si>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</si>
  <si>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</si>
  <si>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</si>
  <si>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</si>
  <si>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</si>
  <si>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</si>
  <si>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</si>
  <si>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</si>
  <si>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</si>
  <si>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</si>
  <si>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</si>
  <si>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</si>
  <si>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</si>
  <si>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</si>
  <si>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</si>
  <si>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</si>
  <si>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</si>
  <si>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</si>
  <si>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</si>
  <si>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</si>
  <si>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</si>
  <si>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</si>
  <si>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</si>
  <si>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</si>
  <si>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</si>
  <si>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</si>
  <si>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</si>
  <si>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</si>
  <si>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</si>
  <si>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</si>
  <si>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</si>
  <si>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</si>
  <si>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</si>
  <si>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</si>
  <si>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</si>
  <si>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</si>
  <si>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</si>
  <si>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</si>
  <si>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</si>
  <si>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</si>
  <si>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</si>
  <si>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</si>
  <si>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</si>
  <si>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</si>
  <si>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</si>
  <si>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</si>
  <si>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</si>
  <si>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</si>
  <si>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</si>
  <si>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</si>
  <si>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</si>
  <si>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</si>
  <si>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</si>
  <si>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</si>
  <si>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</si>
  <si>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</si>
  <si>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</si>
  <si>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</si>
  <si>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</si>
  <si>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</si>
  <si>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</si>
  <si>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</si>
  <si>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</si>
  <si>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</si>
  <si>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</si>
  <si>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</si>
  <si>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</si>
  <si>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</si>
  <si>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</si>
  <si>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</si>
  <si>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</si>
  <si>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</si>
  <si>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</si>
  <si>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</si>
  <si>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</si>
  <si>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</si>
  <si>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</si>
  <si>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</si>
  <si>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</si>
  <si>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</si>
  <si>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</si>
  <si>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</si>
  <si>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</si>
  <si>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</si>
  <si>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</si>
  <si>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</si>
  <si>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</si>
  <si>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</si>
  <si>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</si>
  <si>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</si>
  <si>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</si>
  <si>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</si>
  <si>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</si>
  <si>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</si>
  <si>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</si>
  <si>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</si>
  <si>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</si>
  <si>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</si>
  <si>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</si>
  <si>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</si>
  <si>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</si>
  <si>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</si>
  <si>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</si>
  <si>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</si>
  <si>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</si>
  <si>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</si>
  <si>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</si>
  <si>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</si>
  <si>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</si>
  <si>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</si>
  <si>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</si>
  <si>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</si>
  <si>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</si>
  <si>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</si>
  <si>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</si>
  <si>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</si>
  <si>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</si>
  <si>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</si>
  <si>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</si>
  <si>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</si>
  <si>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</si>
  <si>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</si>
  <si>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</si>
  <si>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</si>
  <si>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</si>
  <si>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</si>
  <si>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</si>
  <si>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</si>
  <si>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</si>
  <si>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</si>
  <si>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</si>
  <si>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</si>
  <si>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</si>
  <si>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</si>
  <si>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</si>
  <si>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</si>
  <si>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</si>
  <si>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</si>
  <si>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</si>
  <si>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</si>
  <si>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</si>
  <si>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</si>
  <si>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</si>
  <si>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</si>
  <si>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</si>
  <si>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</si>
  <si>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</si>
  <si>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</si>
  <si>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</si>
  <si>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</si>
  <si>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</si>
  <si>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</si>
  <si>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</si>
  <si>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</si>
  <si>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</si>
  <si>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</si>
  <si>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</si>
  <si>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</si>
  <si>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</si>
  <si>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</si>
  <si>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</si>
  <si>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</si>
  <si>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</si>
  <si>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</si>
  <si>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</si>
  <si>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</si>
  <si>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</si>
  <si>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</si>
  <si>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</si>
  <si>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</si>
  <si>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</si>
  <si>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</si>
  <si>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</si>
  <si>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</si>
  <si>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</si>
  <si>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</si>
  <si>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</si>
  <si>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</si>
  <si>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</si>
  <si>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</si>
  <si>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</si>
  <si>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</si>
  <si>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</si>
  <si>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</si>
  <si>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</si>
  <si>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</si>
  <si>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</si>
  <si>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</si>
  <si>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</si>
  <si>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</si>
  <si>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</si>
  <si>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</si>
  <si>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</si>
  <si>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</si>
  <si>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</si>
  <si>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</si>
  <si>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</si>
  <si>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</si>
  <si>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</si>
  <si>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</si>
  <si>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</si>
  <si>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</si>
  <si>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</si>
  <si>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</si>
  <si>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</si>
  <si>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</si>
  <si>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</si>
  <si>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</si>
  <si>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</si>
  <si>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</si>
  <si>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</si>
  <si>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</si>
  <si>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</si>
  <si>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</si>
  <si>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</si>
  <si>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</si>
  <si>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</si>
  <si>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</si>
  <si>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</si>
  <si>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</si>
  <si>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</si>
  <si>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</si>
  <si>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</si>
  <si>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</si>
  <si>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</si>
  <si>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</si>
  <si>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</si>
  <si>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</si>
  <si>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</si>
  <si>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</si>
  <si>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</si>
  <si>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</si>
  <si>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</si>
  <si>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</si>
  <si>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</si>
  <si>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</si>
  <si>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</si>
  <si>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</si>
  <si>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</si>
  <si>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</si>
  <si>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</si>
  <si>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</si>
  <si>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</si>
  <si>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</si>
  <si>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</si>
  <si>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</si>
  <si>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</si>
  <si>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</si>
  <si>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</si>
  <si>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</si>
  <si>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</si>
  <si>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</si>
  <si>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</si>
  <si>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</si>
  <si>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</si>
  <si>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</si>
  <si>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</si>
  <si>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</si>
  <si>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</si>
  <si>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</si>
  <si>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</si>
  <si>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</si>
  <si>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</si>
  <si>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</si>
  <si>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</si>
  <si>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</si>
  <si>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</si>
  <si>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</si>
  <si>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</si>
  <si>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</si>
  <si>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</si>
  <si>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</si>
  <si>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</si>
  <si>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</si>
  <si>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</si>
  <si>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</si>
  <si>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</si>
  <si>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</si>
  <si>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</si>
  <si>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</si>
  <si>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</si>
  <si>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</si>
  <si>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</si>
  <si>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</si>
  <si>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</si>
  <si>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</si>
  <si>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</si>
  <si>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</si>
  <si>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</si>
  <si>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</si>
  <si>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</si>
  <si>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</si>
  <si>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</si>
  <si>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</si>
  <si>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</si>
  <si>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</si>
  <si>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</si>
  <si>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</si>
  <si>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</si>
  <si>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</si>
  <si>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</si>
  <si>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</si>
  <si>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</si>
  <si>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</si>
  <si>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</si>
  <si>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</si>
  <si>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</si>
  <si>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</si>
  <si>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</si>
  <si>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</si>
  <si>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</si>
  <si>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</si>
  <si>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</si>
  <si>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</si>
  <si>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</si>
  <si>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</si>
  <si>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</si>
  <si>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</si>
  <si>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</si>
  <si>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</si>
  <si>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</si>
  <si>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</si>
  <si>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</si>
  <si>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</si>
  <si>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</si>
  <si>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</si>
  <si>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</si>
  <si>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</si>
  <si>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</si>
  <si>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</si>
  <si>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</si>
  <si>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</si>
  <si>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</si>
  <si>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</si>
  <si>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</si>
  <si>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</si>
  <si>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</si>
  <si>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</si>
  <si>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</si>
  <si>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</si>
  <si>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</si>
  <si>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</si>
  <si>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</si>
  <si>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</si>
  <si>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</si>
  <si>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</si>
  <si>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</si>
  <si>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</si>
  <si>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</si>
  <si>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</si>
  <si>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</si>
  <si>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</si>
  <si>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</si>
  <si>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</si>
  <si>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</si>
  <si>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</si>
  <si>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</si>
  <si>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</si>
  <si>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</si>
  <si>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</si>
  <si>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</si>
  <si>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</si>
  <si>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</si>
  <si>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</si>
  <si>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</si>
  <si>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</si>
  <si>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</si>
  <si>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</si>
  <si>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</si>
  <si>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</si>
  <si>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</si>
  <si>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</si>
  <si>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</si>
  <si>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</si>
  <si>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</si>
  <si>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</si>
  <si>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</si>
  <si>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</si>
  <si>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</si>
  <si>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</si>
  <si>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</si>
  <si>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</si>
  <si>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</si>
  <si>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</si>
  <si>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</si>
  <si>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</si>
  <si>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</si>
  <si>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</si>
  <si>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</si>
  <si>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</si>
  <si>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</si>
  <si>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</si>
  <si>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</si>
  <si>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</si>
  <si>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</si>
  <si>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</si>
  <si>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</si>
  <si>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</si>
  <si>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</si>
  <si>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</si>
  <si>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</si>
  <si>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</si>
  <si>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</si>
  <si>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</si>
  <si>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</si>
  <si>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</si>
  <si>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</si>
  <si>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</si>
  <si>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</si>
  <si>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</si>
  <si>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</si>
  <si>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</si>
  <si>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</si>
  <si>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</si>
  <si>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</si>
  <si>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</si>
  <si>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</si>
  <si>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</si>
  <si>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</si>
  <si>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</si>
  <si>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</si>
  <si>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</si>
  <si>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</si>
  <si>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</si>
  <si>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</si>
  <si>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</si>
  <si>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</si>
  <si>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</si>
  <si>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</si>
  <si>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</si>
  <si>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</si>
  <si>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</si>
  <si>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</si>
  <si>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</si>
  <si>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</si>
  <si>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</si>
  <si>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</si>
  <si>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</si>
  <si>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</si>
  <si>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</si>
  <si>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</si>
  <si>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</si>
  <si>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</si>
  <si>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</si>
  <si>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</si>
  <si>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</si>
  <si>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</si>
  <si>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</si>
  <si>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</si>
  <si>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</si>
  <si>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ESQUILY C. BAUTISTA</t>
  </si>
  <si>
    <t>HUB ROOM MEZZANINE</t>
  </si>
  <si>
    <t>Van</t>
  </si>
  <si>
    <t>D406,D407,M506,I101,I104,J201 &amp; WEE</t>
  </si>
  <si>
    <t>shredde notes</t>
  </si>
  <si>
    <t>$A$27:$E$41</t>
  </si>
  <si>
    <t>$N$7:$N$10</t>
  </si>
  <si>
    <t>$I$13:$O$106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</si>
</sst>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5">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4" fontId="0" fillId="3" borderId="3" xfId="0" applyNumberFormat="1" applyFill="1" applyBorder="1" applyProtection="1">
      <protection locked="0"/>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4" fontId="8" fillId="3" borderId="4" xfId="0" applyNumberFormat="1"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ont>
        <color theme="1"/>
      </font>
      <fill>
        <patternFill patternType="solid">
          <bgColor theme="1"/>
        </patternFill>
      </fill>
      <border>
        <left style="thin">
          <color rgb="FF000000"/>
        </left>
        <right style="thin">
          <color rgb="FF000000"/>
        </right>
        <top style="thin">
          <color rgb="FF000000"/>
        </top>
        <bottom style="thin">
          <color rgb="FF000000"/>
        </bottom>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78725810187"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25"/>
    </cacheField>
    <cacheField name="Vehicle Type" numFmtId="0">
      <sharedItems containsBlank="1" count="14">
        <s v="Multi-Purpose Vehicle"/>
        <s v="Van"/>
        <s v="Armored Vehicle"/>
        <s v="Mini Bus"/>
        <m/>
        <s v="Van  " u="1"/>
        <s v="Mini Bus/Coaster" u="1"/>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m/>
        <s v="Jul" u="1"/>
        <s v="Aug" u="1"/>
        <s v="Sep" u="1"/>
        <s v="Oct" u="1"/>
        <s v="Nov" u="1"/>
        <s v="Dec" u="1"/>
      </sharedItems>
    </cacheField>
    <cacheField name="Quarter" numFmtId="0">
      <sharedItems containsBlank="1" count="6">
        <s v="Q1"/>
        <s v="Q2"/>
        <s v=""/>
        <s v="Q3" u="1"/>
        <s v="Q4" u="1"/>
        <m u="1"/>
      </sharedItems>
    </cacheField>
    <cacheField name="Consumption" numFmtId="4">
      <sharedItems containsString="0" containsBlank="1" containsNumber="1" minValue="6.15" maxValue="239.4"/>
    </cacheField>
    <cacheField name="Unit" numFmtId="0">
      <sharedItems containsBlank="1"/>
    </cacheField>
    <cacheField name="Total kilometers travelled (all vehicles)" numFmtId="4">
      <sharedItems containsString="0" containsBlank="1" containsNumber="1" minValue="67" maxValue="1010"/>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108"/>
    <s v="Liters"/>
    <n v="923"/>
    <s v="Kilometers"/>
    <m/>
  </r>
  <r>
    <n v="2"/>
    <x v="0"/>
    <x v="0"/>
    <x v="1"/>
    <x v="0"/>
    <n v="108"/>
    <m/>
    <n v="923"/>
    <s v="Kilometers"/>
    <m/>
  </r>
  <r>
    <n v="3"/>
    <x v="0"/>
    <x v="0"/>
    <x v="2"/>
    <x v="0"/>
    <n v="108"/>
    <s v="Liters"/>
    <n v="923"/>
    <s v="Kilometers"/>
    <m/>
  </r>
  <r>
    <n v="4"/>
    <x v="0"/>
    <x v="0"/>
    <x v="3"/>
    <x v="1"/>
    <n v="108"/>
    <s v="Liters"/>
    <n v="923"/>
    <s v="Kilometers"/>
    <m/>
  </r>
  <r>
    <n v="5"/>
    <x v="0"/>
    <x v="0"/>
    <x v="4"/>
    <x v="1"/>
    <n v="108"/>
    <s v="Liters"/>
    <n v="923"/>
    <s v="Kilometers"/>
    <m/>
  </r>
  <r>
    <n v="6"/>
    <x v="0"/>
    <x v="0"/>
    <x v="5"/>
    <x v="1"/>
    <n v="108.43"/>
    <s v="Liters"/>
    <n v="927"/>
    <s v="Kilometers"/>
    <m/>
  </r>
  <r>
    <n v="7"/>
    <x v="1"/>
    <x v="0"/>
    <x v="1"/>
    <x v="0"/>
    <n v="180"/>
    <s v="Liters"/>
    <n v="877"/>
    <s v="Kilometers"/>
    <m/>
  </r>
  <r>
    <n v="8"/>
    <x v="1"/>
    <x v="0"/>
    <x v="2"/>
    <x v="0"/>
    <n v="180"/>
    <s v="Liters"/>
    <n v="877"/>
    <s v="Kilometers"/>
    <m/>
  </r>
  <r>
    <n v="9"/>
    <x v="1"/>
    <x v="0"/>
    <x v="3"/>
    <x v="1"/>
    <n v="180"/>
    <s v="Liters"/>
    <n v="877"/>
    <s v="Kilometers"/>
    <m/>
  </r>
  <r>
    <n v="10"/>
    <x v="1"/>
    <x v="0"/>
    <x v="4"/>
    <x v="1"/>
    <n v="180"/>
    <s v="Liters"/>
    <n v="877"/>
    <s v="Kilometers"/>
    <m/>
  </r>
  <r>
    <n v="11"/>
    <x v="1"/>
    <x v="0"/>
    <x v="5"/>
    <x v="1"/>
    <n v="174.69"/>
    <s v="Liters"/>
    <n v="877"/>
    <s v="Kilometers"/>
    <m/>
  </r>
  <r>
    <n v="12"/>
    <x v="2"/>
    <x v="0"/>
    <x v="1"/>
    <x v="0"/>
    <n v="239.4"/>
    <s v="Liters"/>
    <n v="1008"/>
    <s v="Kilometers"/>
    <m/>
  </r>
  <r>
    <n v="13"/>
    <x v="2"/>
    <x v="0"/>
    <x v="2"/>
    <x v="0"/>
    <n v="239.4"/>
    <s v="Liters"/>
    <n v="1008"/>
    <s v="Kilometers"/>
    <m/>
  </r>
  <r>
    <n v="14"/>
    <x v="2"/>
    <x v="0"/>
    <x v="3"/>
    <x v="1"/>
    <n v="239.4"/>
    <s v="Liters"/>
    <n v="1008"/>
    <s v="Kilometers"/>
    <m/>
  </r>
  <r>
    <n v="15"/>
    <x v="2"/>
    <x v="0"/>
    <x v="4"/>
    <x v="1"/>
    <n v="239.4"/>
    <s v="Liters"/>
    <n v="1008"/>
    <s v="Kilometers"/>
    <m/>
  </r>
  <r>
    <n v="16"/>
    <x v="2"/>
    <x v="0"/>
    <x v="5"/>
    <x v="1"/>
    <n v="239.4"/>
    <s v="Liters"/>
    <n v="1010"/>
    <s v="Kilometers"/>
    <m/>
  </r>
  <r>
    <n v="17"/>
    <x v="3"/>
    <x v="0"/>
    <x v="0"/>
    <x v="0"/>
    <n v="52"/>
    <s v="Liters"/>
    <n v="305"/>
    <s v="Kilometers"/>
    <m/>
  </r>
  <r>
    <n v="18"/>
    <x v="3"/>
    <x v="0"/>
    <x v="2"/>
    <x v="0"/>
    <n v="52"/>
    <s v="Liters"/>
    <n v="305"/>
    <s v="Kilometers"/>
    <m/>
  </r>
  <r>
    <n v="19"/>
    <x v="3"/>
    <x v="0"/>
    <x v="3"/>
    <x v="1"/>
    <n v="52"/>
    <s v="Liters"/>
    <n v="305"/>
    <s v="Kilometers"/>
    <m/>
  </r>
  <r>
    <n v="20"/>
    <x v="3"/>
    <x v="0"/>
    <x v="4"/>
    <x v="1"/>
    <n v="52"/>
    <s v="Liters"/>
    <n v="305"/>
    <s v="Kilometers"/>
    <m/>
  </r>
  <r>
    <n v="21"/>
    <x v="3"/>
    <x v="0"/>
    <x v="5"/>
    <x v="1"/>
    <n v="52.81"/>
    <s v="Liters"/>
    <n v="304"/>
    <s v="Kilometers"/>
    <m/>
  </r>
  <r>
    <n v="22"/>
    <x v="1"/>
    <x v="0"/>
    <x v="0"/>
    <x v="0"/>
    <n v="6.15"/>
    <s v="Liters"/>
    <n v="68"/>
    <s v="Kilometers"/>
    <m/>
  </r>
  <r>
    <n v="23"/>
    <x v="1"/>
    <x v="0"/>
    <x v="1"/>
    <x v="0"/>
    <n v="6.15"/>
    <s v="Liters"/>
    <n v="68"/>
    <s v="Kilometers"/>
    <m/>
  </r>
  <r>
    <n v="24"/>
    <x v="1"/>
    <x v="0"/>
    <x v="2"/>
    <x v="0"/>
    <n v="6.15"/>
    <s v="Liters"/>
    <n v="67"/>
    <s v="Kilometers"/>
    <m/>
  </r>
  <r>
    <n v="25"/>
    <x v="1"/>
    <x v="0"/>
    <x v="2"/>
    <x v="0"/>
    <n v="100"/>
    <s v="Liters"/>
    <n v="79.209999999999994"/>
    <s v="Kilometers"/>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r>
    <s v=""/>
    <x v="4"/>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4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46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4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4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41" firstHeaderRow="1" firstDataRow="2" firstDataCol="1" rowPageCount="1" colPageCount="1"/>
  <pivotFields count="10">
    <pivotField showAll="0"/>
    <pivotField axis="axisRow" showAll="0">
      <items count="15">
        <item m="1" x="13"/>
        <item m="1" x="12"/>
        <item x="4"/>
        <item m="1" x="7"/>
        <item m="1" x="11"/>
        <item m="1" x="8"/>
        <item m="1" x="9"/>
        <item m="1" x="10"/>
        <item x="2"/>
        <item x="0"/>
        <item m="1" x="5"/>
        <item x="1"/>
        <item m="1" x="6"/>
        <item x="3"/>
        <item t="default"/>
      </items>
    </pivotField>
    <pivotField axis="axisRow" showAll="0">
      <items count="5">
        <item x="0"/>
        <item m="1" x="2"/>
        <item x="1"/>
        <item m="1" x="3"/>
        <item t="default"/>
      </items>
    </pivotField>
    <pivotField axis="axisPage" showAll="0">
      <items count="14">
        <item x="0"/>
        <item x="1"/>
        <item m="1" x="10"/>
        <item x="6"/>
        <item x="4"/>
        <item m="1" x="9"/>
        <item x="2"/>
        <item x="3"/>
        <item x="5"/>
        <item m="1" x="7"/>
        <item m="1" x="8"/>
        <item m="1" x="11"/>
        <item m="1" x="12"/>
        <item t="default"/>
      </items>
    </pivotField>
    <pivotField axis="axisCol" showAll="0">
      <items count="7">
        <item x="2"/>
        <item x="0"/>
        <item m="1" x="4"/>
        <item x="1"/>
        <item m="1" x="3"/>
        <item m="1" x="5"/>
        <item t="default"/>
      </items>
    </pivotField>
    <pivotField dataField="1" showAll="0"/>
    <pivotField showAll="0"/>
    <pivotField showAll="0"/>
    <pivotField showAll="0"/>
    <pivotField showAll="0"/>
  </pivotFields>
  <rowFields count="2">
    <field x="1"/>
    <field x="2"/>
  </rowFields>
  <rowItems count="11">
    <i>
      <x v="2"/>
    </i>
    <i r="1">
      <x v="2"/>
    </i>
    <i>
      <x v="8"/>
    </i>
    <i r="1">
      <x/>
    </i>
    <i>
      <x v="9"/>
    </i>
    <i r="1">
      <x/>
    </i>
    <i>
      <x v="11"/>
    </i>
    <i r="1">
      <x/>
    </i>
    <i>
      <x v="13"/>
    </i>
    <i r="1">
      <x/>
    </i>
    <i t="grand">
      <x/>
    </i>
  </rowItems>
  <colFields count="1">
    <field x="4"/>
  </colFields>
  <colItems count="4">
    <i>
      <x/>
    </i>
    <i>
      <x v="1"/>
    </i>
    <i>
      <x v="3"/>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4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4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4">
        <i x="2" s="1"/>
        <i x="3" s="1"/>
        <i x="0" s="1"/>
        <i x="1" s="1"/>
        <i x="13" s="1" nd="1"/>
        <i x="8" s="1" nd="1"/>
        <i x="9" s="1" nd="1"/>
        <i x="6" s="1" nd="1"/>
        <i x="10" s="1" nd="1"/>
        <i x="7" s="1" nd="1"/>
        <i x="12" s="1" nd="1"/>
        <i x="11" s="1" nd="1"/>
        <i x="5"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7" s="1" nd="1"/>
        <i x="8" s="1" nd="1"/>
        <i x="9" s="1" nd="1"/>
        <i x="10" s="1" nd="1"/>
        <i x="11" s="1" nd="1"/>
        <i x="12"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3" s="1" nd="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2" totalsRowShown="0" headerRowDxfId="109" dataDxfId="107" headerRowBorderDxfId="108" tableBorderDxfId="106">
  <autoFilter ref="I6:O12"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98" dataDxfId="97">
  <autoFilter ref="I8:W107" xr:uid="{4EA7077C-50F7-42D2-96F2-51568F67E7B2}"/>
  <tableColumns count="15">
    <tableColumn id="1" xr3:uid="{F5FCA22D-7063-431B-9399-42C43DB71411}" name="No." dataDxfId="96">
      <calculatedColumnFormula>IF($K9="","",$I8+1)</calculatedColumnFormula>
    </tableColumn>
    <tableColumn id="2" xr3:uid="{132030AD-4541-47EB-A337-EEE87637C1DE}" name="Location" dataDxfId="95"/>
    <tableColumn id="3" xr3:uid="{E38A8A42-DF98-463F-8F43-42FB3365C31D}" name="Equipment Category" dataDxfId="94"/>
    <tableColumn id="4" xr3:uid="{73A30FFB-A2D9-422E-811C-B1A1BA4CF2FF}" name="No. of Units" dataDxfId="93"/>
    <tableColumn id="5" xr3:uid="{C542C367-6C7C-4A2E-AFC0-70AA09658289}" name="Refrigerant" dataDxfId="92"/>
    <tableColumn id="6" xr3:uid="{A49CD649-8CDA-4BDE-9E6C-7CED9E0C5258}" name="Equipment Status" dataDxfId="91"/>
    <tableColumn id="7" xr3:uid="{496D94A5-FA4D-4CAE-BA86-0076C8252260}" name="Month Purchased" dataDxfId="90"/>
    <tableColumn id="8" xr3:uid="{C2C4A362-BE62-4AD9-8A32-0EE063613BFF}" name="Charge (kg)" dataDxfId="89"/>
    <tableColumn id="9" xr3:uid="{72FA09EB-82CD-4F9D-B0C6-9BC0E94D6119}" name="Month Recharged" dataDxfId="88"/>
    <tableColumn id="10" xr3:uid="{47F108D4-F5B0-471A-95AA-199B8E9D5D51}" name="Recharge (kg)" dataDxfId="87"/>
    <tableColumn id="11" xr3:uid="{7F5D579B-DB98-4EE1-9316-59541598F54B}" name="Month Disposed" dataDxfId="86"/>
    <tableColumn id="12" xr3:uid="{27D4DE6A-84A7-49EE-85CD-4A4C4CF0E9C1}" name="Capacity (kg)" dataDxfId="85"/>
    <tableColumn id="13" xr3:uid="{57B4A461-924D-48EC-A43C-5A1EEE91ED09}" name="Recovered (kg)" dataDxfId="84"/>
    <tableColumn id="14" xr3:uid="{4A88164E-A6C3-4FE4-8DE4-0C0950D809F0}" name="Quarter" dataDxfId="83">
      <calculatedColumnFormula>IFERROR(VLOOKUP($O9, dropdown!$S$4:$T$15, 2, FALSE),
 IFERROR(VLOOKUP($Q9, dropdown!$S$4:$T$15, 2, FALSE),
 IFERROR(VLOOKUP($S9, dropdown!$S$4:$T$15, 2, FALSE),
 "")))</calculatedColumnFormula>
    </tableColumn>
    <tableColumn id="15" xr3:uid="{D18D61D3-B9DB-40F4-9EBB-61DAFC976BF5}" name="Remarks" dataDxfId="82"/>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81" dataDxfId="79" headerRowBorderDxfId="80" tableBorderDxfId="78" totalsRowBorderDxfId="77">
  <autoFilter ref="I6:R106" xr:uid="{A85D45EB-1572-A543-812E-815536D59C14}"/>
  <tableColumns count="10">
    <tableColumn id="1" xr3:uid="{CA340CBE-9D85-6C42-9CA1-DDAD368521C3}" name="No." dataDxfId="76">
      <calculatedColumnFormula>IF($J7="","",$I6+1)</calculatedColumnFormula>
    </tableColumn>
    <tableColumn id="2" xr3:uid="{CFAD3D96-F137-044A-AE4C-49E5188E1144}" name="Vehicle Type" dataDxfId="75"/>
    <tableColumn id="3" xr3:uid="{5A421D87-7A43-B14E-BA71-EABB4924A663}" name="Fuel Type" dataDxfId="74"/>
    <tableColumn id="4" xr3:uid="{9C4094CC-7613-9147-BAF8-A31087280A9A}" name="Month" dataDxfId="73"/>
    <tableColumn id="10" xr3:uid="{5211A67F-348D-494D-AD2E-AD4A362BCD78}" name="Quarter" dataDxfId="72">
      <calculatedColumnFormula>IF(Fuel_Veh[[#This Row],[Month]]&lt;&gt;"",VLOOKUP(Fuel_Veh[[#This Row],[Month]], dropdown!$S$4:$T$15, 2, FALSE),"")</calculatedColumnFormula>
    </tableColumn>
    <tableColumn id="5" xr3:uid="{6EDA12F9-55D0-694A-BAB9-B15BDE58CA76}" name="Consumption" dataDxfId="71"/>
    <tableColumn id="7" xr3:uid="{E7761959-51F4-954F-B8FB-F46DCC54C53F}" name="Unit" dataDxfId="70">
      <calculatedColumnFormula>IF($K7="","",VLOOKUP($K7,dropdown!$P$14:$Q$18,2,FALSE))</calculatedColumnFormula>
    </tableColumn>
    <tableColumn id="8" xr3:uid="{AD5D0247-3B56-D146-B22E-45D44E44A249}" name="Total kilometers travelled (all vehicles)" dataDxfId="69"/>
    <tableColumn id="6" xr3:uid="{7D9E5DFA-64C2-4B06-A40F-0BC8CB602574}" name="Unit2" dataDxfId="68">
      <calculatedColumnFormula>IF($P7="","","Kilometers")</calculatedColumnFormula>
    </tableColumn>
    <tableColumn id="9" xr3:uid="{3C24034E-2544-5447-B927-0F565A869F60}" name="Remarks" dataDxfId="6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calculatedColumnFormula>0.87193*1000</calculatedColumnFormula>
    </tableColumn>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929" totalsRowShown="0" headerRowDxfId="8">
  <autoFilter ref="A1:E929"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C111"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40" zoomScaleNormal="40" workbookViewId="0">
      <selection activeCell="D3" sqref="D3:G3"/>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4" t="s">
        <v>369</v>
      </c>
      <c r="E2" s="445"/>
      <c r="F2" s="445"/>
      <c r="G2" s="446"/>
    </row>
    <row r="3" spans="3:7" x14ac:dyDescent="0.2">
      <c r="C3" s="117" t="s">
        <v>12</v>
      </c>
      <c r="D3" s="444">
        <v>2025</v>
      </c>
      <c r="E3" s="445"/>
      <c r="F3" s="445"/>
      <c r="G3" s="446"/>
    </row>
    <row r="5" spans="3:7" ht="19" customHeight="1" x14ac:dyDescent="0.2">
      <c r="C5" s="443" t="s">
        <v>148</v>
      </c>
      <c r="D5" s="443"/>
      <c r="E5" s="443"/>
      <c r="F5" s="443"/>
      <c r="G5" s="443"/>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524.29</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3119.3800000000006</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176800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259</v>
      </c>
    </row>
    <row r="40" spans="3:5" x14ac:dyDescent="0.2">
      <c r="C40" s="189" t="str">
        <f>'2.4 Water'!B12</f>
        <v>Water Discharge</v>
      </c>
      <c r="D40" s="189" t="str">
        <f>'2.4 Water'!C12</f>
        <v>Cubic meters</v>
      </c>
      <c r="E40" s="190">
        <f>SUM('2.4 Water'!$D$12:$G$12)</f>
        <v>0</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70" zoomScaleNormal="70" workbookViewId="0">
      <selection activeCell="N19" sqref="N19"/>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Cabanatuan Branch</v>
      </c>
      <c r="C4" s="37"/>
      <c r="D4" s="38">
        <f>IF('1. Data Info and Summary'!$D$3=0,"-",'1. Data Info and Summary'!$D$3)</f>
        <v>2025</v>
      </c>
      <c r="E4" s="37"/>
      <c r="F4" s="37" t="s">
        <v>171</v>
      </c>
      <c r="G4" s="39"/>
      <c r="I4" s="338"/>
      <c r="J4" s="276"/>
      <c r="K4" s="276"/>
      <c r="L4" s="276"/>
      <c r="M4" s="277"/>
      <c r="N4" s="277"/>
      <c r="O4" s="414"/>
      <c r="P4" s="213"/>
    </row>
    <row r="5" spans="2:16" x14ac:dyDescent="0.2">
      <c r="I5" s="20"/>
      <c r="J5" s="272"/>
    </row>
    <row r="6" spans="2:16" x14ac:dyDescent="0.2">
      <c r="B6" s="278" t="s">
        <v>172</v>
      </c>
      <c r="C6" s="447" t="s">
        <v>1431</v>
      </c>
      <c r="D6" s="448"/>
      <c r="E6" s="448"/>
      <c r="F6" s="448"/>
      <c r="G6" s="449"/>
      <c r="I6" s="209" t="s">
        <v>173</v>
      </c>
      <c r="J6" s="209" t="s">
        <v>35</v>
      </c>
      <c r="K6" s="209" t="s">
        <v>39</v>
      </c>
      <c r="L6" s="209" t="s">
        <v>43</v>
      </c>
      <c r="M6" s="209" t="s">
        <v>47</v>
      </c>
      <c r="N6" s="209" t="s">
        <v>51</v>
      </c>
      <c r="O6" s="209" t="s">
        <v>54</v>
      </c>
      <c r="P6" s="20"/>
    </row>
    <row r="7" spans="2:16" x14ac:dyDescent="0.2">
      <c r="B7" s="278" t="s">
        <v>174</v>
      </c>
      <c r="C7" s="450">
        <v>45913</v>
      </c>
      <c r="D7" s="448"/>
      <c r="E7" s="448"/>
      <c r="F7" s="448"/>
      <c r="G7" s="449"/>
      <c r="I7" s="194">
        <f>IF($M7="","",1)</f>
        <v>1</v>
      </c>
      <c r="J7" s="57" t="s">
        <v>37</v>
      </c>
      <c r="K7" s="58" t="s">
        <v>338</v>
      </c>
      <c r="L7" s="18" t="str">
        <f>IF(Fuel_Blg[[#This Row],[Month]]&lt;&gt;"",VLOOKUP(Fuel_Blg[[#This Row],[Month]], dropdown!$S$4:$T$15, 2, FALSE),"")</f>
        <v>Q1</v>
      </c>
      <c r="M7" s="29">
        <v>27.21</v>
      </c>
      <c r="N7" s="17" t="str">
        <f>IF($J7="","",VLOOKUP($J7,dropdown!$P$3:$Q$8,2,FALSE))</f>
        <v>Liters</v>
      </c>
      <c r="O7" s="195"/>
      <c r="P7" s="20"/>
    </row>
    <row r="8" spans="2:16" x14ac:dyDescent="0.2">
      <c r="I8" s="194"/>
      <c r="J8" s="57" t="s">
        <v>37</v>
      </c>
      <c r="K8" s="58" t="s">
        <v>89</v>
      </c>
      <c r="L8" s="18" t="str">
        <f>IF(Fuel_Blg[[#This Row],[Month]]&lt;&gt;"",VLOOKUP(Fuel_Blg[[#This Row],[Month]], dropdown!$S$4:$T$15, 2, FALSE),"")</f>
        <v>Q1</v>
      </c>
      <c r="M8" s="29">
        <v>26.67</v>
      </c>
      <c r="N8" s="17" t="str">
        <f>IF($J8="","",VLOOKUP($J8,dropdown!$P$3:$Q$8,2,FALSE))</f>
        <v>Liters</v>
      </c>
      <c r="O8" s="195"/>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92.58</v>
      </c>
      <c r="N9" s="17" t="str">
        <f>IF($J9="","",VLOOKUP($J9,dropdown!$P$3:$Q$8,2,FALSE))</f>
        <v>Liters</v>
      </c>
      <c r="O9" s="195"/>
      <c r="P9" s="20"/>
    </row>
    <row r="10" spans="2:16" x14ac:dyDescent="0.2">
      <c r="B10" s="13" t="s">
        <v>35</v>
      </c>
      <c r="C10" s="13" t="s">
        <v>51</v>
      </c>
      <c r="D10" s="40" t="s">
        <v>45</v>
      </c>
      <c r="E10" s="40" t="s">
        <v>149</v>
      </c>
      <c r="F10" s="40" t="s">
        <v>150</v>
      </c>
      <c r="G10" s="40" t="s">
        <v>151</v>
      </c>
      <c r="I10" s="194">
        <f>IF($M10="","",$I9+1)</f>
        <v>1</v>
      </c>
      <c r="J10" s="57" t="s">
        <v>37</v>
      </c>
      <c r="K10" s="58" t="s">
        <v>371</v>
      </c>
      <c r="L10" s="18" t="str">
        <f>IF(Fuel_Blg[[#This Row],[Month]]&lt;&gt;"",VLOOKUP(Fuel_Blg[[#This Row],[Month]], dropdown!$S$4:$T$15, 2, FALSE),"")</f>
        <v>Q2</v>
      </c>
      <c r="M10" s="29">
        <v>74.58</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146.46</v>
      </c>
      <c r="E11" s="41">
        <f>SUMIFS(Fuel_Blg[Consumption],Fuel_Blg[Quarter],E$10,Fuel_Blg[Fuel Type],$B$11)</f>
        <v>377.83</v>
      </c>
      <c r="F11" s="41">
        <f>SUMIFS(Fuel_Blg[Consumption],Fuel_Blg[Quarter],F$10,Fuel_Blg[Fuel Type],$B$11)</f>
        <v>0</v>
      </c>
      <c r="G11" s="41">
        <f>SUMIFS(Fuel_Blg[Consumption],Fuel_Blg[Quarter],G$10,Fuel_Blg[Fuel Type],$B$11)</f>
        <v>0</v>
      </c>
      <c r="I11" s="194">
        <f>IF($M11="","",$I10+1)</f>
        <v>2</v>
      </c>
      <c r="J11" s="57" t="s">
        <v>37</v>
      </c>
      <c r="K11" s="58" t="s">
        <v>379</v>
      </c>
      <c r="L11" s="18" t="str">
        <f>IF(Fuel_Blg[[#This Row],[Month]]&lt;&gt;"",VLOOKUP(Fuel_Blg[[#This Row],[Month]], dropdown!$S$4:$T$15, 2, FALSE),"")</f>
        <v>Q2</v>
      </c>
      <c r="M11" s="29">
        <v>276.58</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IF($M12="","",$I11+1)</f>
        <v>3</v>
      </c>
      <c r="J12" s="57" t="s">
        <v>37</v>
      </c>
      <c r="K12" s="58" t="s">
        <v>386</v>
      </c>
      <c r="L12" s="18" t="str">
        <f>IF(Fuel_Blg[[#This Row],[Month]]&lt;&gt;"",VLOOKUP(Fuel_Blg[[#This Row],[Month]], dropdown!$S$4:$T$15, 2, FALSE),"")</f>
        <v>Q2</v>
      </c>
      <c r="M12" s="29">
        <v>26.67</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322" t="s">
        <v>178</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2 O6:O12 J6:K12"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J7:J12</xm:sqref>
        </x14:dataValidation>
        <x14:dataValidation type="list" allowBlank="1" showInputMessage="1" showErrorMessage="1" xr:uid="{3A41C1D1-FB7A-9447-9EAB-0BFDEC48FE4C}">
          <x14:formula1>
            <xm:f>dropdown!$S$4:$S$15</xm:f>
          </x14:formula1>
          <xm:sqref>K7:K12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J17" sqref="J17"/>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Cabanatuan Branch</v>
      </c>
      <c r="C4" s="37"/>
      <c r="D4" s="38">
        <f>IF('1. Data Info and Summary'!$D$3=0,"-",'1. Data Info and Summary'!$D$3)</f>
        <v>2025</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7" t="s">
        <v>1431</v>
      </c>
      <c r="D6" s="448"/>
      <c r="E6" s="448"/>
      <c r="F6" s="448"/>
      <c r="G6" s="449"/>
      <c r="I6" s="298"/>
      <c r="J6" s="298"/>
      <c r="K6" s="298"/>
      <c r="L6" s="298"/>
      <c r="M6" s="298"/>
      <c r="N6" s="298"/>
      <c r="O6" s="298"/>
      <c r="P6" s="298"/>
      <c r="Q6" s="298"/>
      <c r="R6" s="298"/>
      <c r="S6" s="298"/>
      <c r="T6" s="298"/>
      <c r="U6" s="298"/>
      <c r="V6" s="298"/>
    </row>
    <row r="7" spans="2:31" ht="15" customHeight="1" x14ac:dyDescent="0.2">
      <c r="B7" s="278" t="s">
        <v>174</v>
      </c>
      <c r="C7" s="450">
        <v>45913</v>
      </c>
      <c r="D7" s="448"/>
      <c r="E7" s="448"/>
      <c r="F7" s="448"/>
      <c r="G7" s="449"/>
      <c r="I7" s="418" t="s">
        <v>154</v>
      </c>
      <c r="J7" s="417"/>
      <c r="K7" s="415"/>
      <c r="L7" s="415"/>
      <c r="M7" s="415"/>
      <c r="N7" s="415"/>
      <c r="O7" s="451" t="s">
        <v>183</v>
      </c>
      <c r="P7" s="451"/>
      <c r="Q7" s="452" t="s">
        <v>184</v>
      </c>
      <c r="R7" s="453"/>
      <c r="S7" s="454" t="s">
        <v>86</v>
      </c>
      <c r="T7" s="455"/>
      <c r="U7" s="455"/>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1432</v>
      </c>
      <c r="K9" s="391" t="s">
        <v>200</v>
      </c>
      <c r="L9" s="392"/>
      <c r="M9" s="393" t="s">
        <v>380</v>
      </c>
      <c r="N9" s="419" t="s">
        <v>352</v>
      </c>
      <c r="O9" s="397"/>
      <c r="P9" s="398"/>
      <c r="Q9" s="397" t="s">
        <v>362</v>
      </c>
      <c r="R9" s="399">
        <v>22.6</v>
      </c>
      <c r="S9" s="397"/>
      <c r="T9" s="399"/>
      <c r="U9" s="399"/>
      <c r="V9" s="430" t="str">
        <f>IFERROR(VLOOKUP($O9, dropdown!$S$4:$T$15, 2, FALSE),
 IFERROR(VLOOKUP($Q9, dropdown!$S$4:$T$15, 2, FALSE),
 IFERROR(VLOOKUP($S9, dropdown!$S$4:$T$15, 2, FALSE),
 "")))</f>
        <v>Q1</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7" t="s">
        <v>192</v>
      </c>
      <c r="C22" s="459" t="s">
        <v>5</v>
      </c>
      <c r="D22" s="460"/>
      <c r="E22" s="459" t="s">
        <v>193</v>
      </c>
      <c r="F22" s="461"/>
      <c r="G22" s="461"/>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8"/>
      <c r="C23" s="459"/>
      <c r="D23" s="460"/>
      <c r="E23" s="459"/>
      <c r="F23" s="461"/>
      <c r="G23" s="461"/>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6" t="s">
        <v>194</v>
      </c>
      <c r="C24" s="456" t="s">
        <v>195</v>
      </c>
      <c r="D24" s="456"/>
      <c r="E24" s="456" t="s">
        <v>196</v>
      </c>
      <c r="F24" s="456"/>
      <c r="G24" s="456"/>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6"/>
      <c r="C25" s="456"/>
      <c r="D25" s="456"/>
      <c r="E25" s="456"/>
      <c r="F25" s="456"/>
      <c r="G25" s="456"/>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6" t="s">
        <v>197</v>
      </c>
      <c r="C26" s="456" t="s">
        <v>198</v>
      </c>
      <c r="D26" s="456"/>
      <c r="E26" s="456" t="s">
        <v>199</v>
      </c>
      <c r="F26" s="456"/>
      <c r="G26" s="456"/>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6"/>
      <c r="C27" s="456"/>
      <c r="D27" s="456"/>
      <c r="E27" s="456"/>
      <c r="F27" s="456"/>
      <c r="G27" s="456"/>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6" t="s">
        <v>200</v>
      </c>
      <c r="C28" s="456" t="s">
        <v>201</v>
      </c>
      <c r="D28" s="456"/>
      <c r="E28" s="456" t="s">
        <v>202</v>
      </c>
      <c r="F28" s="456"/>
      <c r="G28" s="456"/>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6"/>
      <c r="C29" s="456"/>
      <c r="D29" s="456"/>
      <c r="E29" s="456"/>
      <c r="F29" s="456"/>
      <c r="G29" s="456"/>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6" t="s">
        <v>203</v>
      </c>
      <c r="C30" s="456" t="s">
        <v>204</v>
      </c>
      <c r="D30" s="456"/>
      <c r="E30" s="456" t="s">
        <v>205</v>
      </c>
      <c r="F30" s="456"/>
      <c r="G30" s="456"/>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6"/>
      <c r="C31" s="456"/>
      <c r="D31" s="456"/>
      <c r="E31" s="456"/>
      <c r="F31" s="456"/>
      <c r="G31" s="456"/>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W8:W107 K8:U107 J8:J15 J17:J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6" priority="6">
      <formula>$N9="New installation"</formula>
    </cfRule>
  </conditionalFormatting>
  <conditionalFormatting sqref="P9:P107">
    <cfRule type="expression" dxfId="5" priority="5">
      <formula>$N9="New installation"</formula>
    </cfRule>
  </conditionalFormatting>
  <conditionalFormatting sqref="Q9:Q107">
    <cfRule type="expression" dxfId="4" priority="4">
      <formula>$N9="In operation"</formula>
    </cfRule>
  </conditionalFormatting>
  <conditionalFormatting sqref="R9:R107">
    <cfRule type="expression" dxfId="3" priority="3">
      <formula>$N9="In operation"</formula>
    </cfRule>
  </conditionalFormatting>
  <conditionalFormatting sqref="S9:S107">
    <cfRule type="expression" dxfId="2" priority="2">
      <formula>$N9="Disposed"</formula>
    </cfRule>
  </conditionalFormatting>
  <conditionalFormatting sqref="T9:U107">
    <cfRule type="expression" dxfId="1"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B1" zoomScaleNormal="100" workbookViewId="0">
      <selection activeCell="P32" sqref="P32"/>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Cabanatuan Branch</v>
      </c>
      <c r="C4" s="201"/>
      <c r="D4" s="38">
        <f>IF('1. Data Info and Summary'!$D$3=0,"-",'1. Data Info and Summary'!$D$3)</f>
        <v>2025</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7" t="s">
        <v>1431</v>
      </c>
      <c r="D6" s="448"/>
      <c r="E6" s="448"/>
      <c r="F6" s="448"/>
      <c r="G6" s="449"/>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0">
        <v>45913</v>
      </c>
      <c r="D7" s="448"/>
      <c r="E7" s="448"/>
      <c r="F7" s="448"/>
      <c r="G7" s="449"/>
      <c r="I7" s="194">
        <f>IF($J7="","",1)</f>
        <v>1</v>
      </c>
      <c r="J7" s="57" t="s">
        <v>365</v>
      </c>
      <c r="K7" s="57" t="s">
        <v>63</v>
      </c>
      <c r="L7" s="58" t="s">
        <v>338</v>
      </c>
      <c r="M7" s="18" t="str">
        <f>IF(Fuel_Veh[[#This Row],[Month]]&lt;&gt;"",VLOOKUP(Fuel_Veh[[#This Row],[Month]], dropdown!$S$4:$T$15, 2, FALSE),"")</f>
        <v>Q1</v>
      </c>
      <c r="N7" s="29">
        <v>108</v>
      </c>
      <c r="O7" s="17" t="str">
        <f>IF($K7="","",VLOOKUP($K7,dropdown!$P$14:$Q$18,2,FALSE))</f>
        <v>Liters</v>
      </c>
      <c r="P7" s="29">
        <v>923</v>
      </c>
      <c r="Q7" s="17" t="str">
        <f t="shared" ref="Q7:Q70" si="0">IF($P7="","","Kilometers")</f>
        <v>Kilometers</v>
      </c>
      <c r="R7" s="195"/>
    </row>
    <row r="8" spans="2:18" x14ac:dyDescent="0.2">
      <c r="I8" s="194">
        <f>IF($J8="","",$I7+1)</f>
        <v>2</v>
      </c>
      <c r="J8" s="57" t="s">
        <v>365</v>
      </c>
      <c r="K8" s="57" t="s">
        <v>63</v>
      </c>
      <c r="L8" s="58" t="s">
        <v>89</v>
      </c>
      <c r="M8" s="18" t="str">
        <f>IF(Fuel_Veh[[#This Row],[Month]]&lt;&gt;"",VLOOKUP(Fuel_Veh[[#This Row],[Month]], dropdown!$S$4:$T$15, 2, FALSE),"")</f>
        <v>Q1</v>
      </c>
      <c r="N8" s="29">
        <v>108</v>
      </c>
      <c r="O8" s="17"/>
      <c r="P8" s="29">
        <v>923</v>
      </c>
      <c r="Q8" s="17" t="str">
        <f t="shared" si="0"/>
        <v>Kilometers</v>
      </c>
      <c r="R8" s="195"/>
    </row>
    <row r="9" spans="2:18" x14ac:dyDescent="0.2">
      <c r="B9" s="14" t="s">
        <v>33</v>
      </c>
      <c r="C9" s="14"/>
      <c r="D9" s="14"/>
      <c r="E9" s="14"/>
      <c r="F9" s="14"/>
      <c r="G9" s="14"/>
      <c r="I9" s="194">
        <f>IF($J9="","",$I8+1)</f>
        <v>3</v>
      </c>
      <c r="J9" s="57" t="s">
        <v>365</v>
      </c>
      <c r="K9" s="57" t="s">
        <v>63</v>
      </c>
      <c r="L9" s="58" t="s">
        <v>362</v>
      </c>
      <c r="M9" s="18" t="str">
        <f>IF(Fuel_Veh[[#This Row],[Month]]&lt;&gt;"",VLOOKUP(Fuel_Veh[[#This Row],[Month]], dropdown!$S$4:$T$15, 2, FALSE),"")</f>
        <v>Q1</v>
      </c>
      <c r="N9" s="29">
        <v>108</v>
      </c>
      <c r="O9" s="17" t="str">
        <f>IF($K9="","",VLOOKUP($K9,dropdown!$P$14:$Q$18,2,FALSE))</f>
        <v>Liters</v>
      </c>
      <c r="P9" s="29">
        <v>923</v>
      </c>
      <c r="Q9" s="17" t="str">
        <f t="shared" si="0"/>
        <v>Kilometers</v>
      </c>
      <c r="R9" s="195"/>
    </row>
    <row r="10" spans="2:18" x14ac:dyDescent="0.2">
      <c r="B10" s="13" t="s">
        <v>35</v>
      </c>
      <c r="C10" s="13" t="s">
        <v>51</v>
      </c>
      <c r="D10" s="40" t="s">
        <v>45</v>
      </c>
      <c r="E10" s="40" t="s">
        <v>149</v>
      </c>
      <c r="F10" s="40" t="s">
        <v>150</v>
      </c>
      <c r="G10" s="40" t="s">
        <v>151</v>
      </c>
      <c r="I10" s="194">
        <f>IF($J10="","",$I9+1)</f>
        <v>4</v>
      </c>
      <c r="J10" s="57" t="s">
        <v>365</v>
      </c>
      <c r="K10" s="57" t="s">
        <v>63</v>
      </c>
      <c r="L10" s="58" t="s">
        <v>371</v>
      </c>
      <c r="M10" s="18" t="str">
        <f>IF(Fuel_Veh[[#This Row],[Month]]&lt;&gt;"",VLOOKUP(Fuel_Veh[[#This Row],[Month]], dropdown!$S$4:$T$15, 2, FALSE),"")</f>
        <v>Q2</v>
      </c>
      <c r="N10" s="29">
        <v>108</v>
      </c>
      <c r="O10" s="17" t="str">
        <f>IF($K10="","",VLOOKUP($K10,dropdown!$P$14:$Q$18,2,FALSE))</f>
        <v>Liters</v>
      </c>
      <c r="P10" s="29">
        <v>923</v>
      </c>
      <c r="Q10" s="17" t="str">
        <f t="shared" si="0"/>
        <v>Kilometers</v>
      </c>
      <c r="R10" s="195"/>
    </row>
    <row r="11" spans="2:18" x14ac:dyDescent="0.2">
      <c r="B11" s="17" t="str">
        <f>dropdown!$P15</f>
        <v>Diesel - Transport vehicles</v>
      </c>
      <c r="C11" s="17" t="str">
        <f>dropdown!$Q15</f>
        <v>Liters</v>
      </c>
      <c r="D11" s="41">
        <f>SUMIFS(Fuel_Veh[Consumption],Fuel_Veh[Quarter],D$10,Fuel_Veh[Fuel Type],$B$11)</f>
        <v>1385.2500000000002</v>
      </c>
      <c r="E11" s="41">
        <f>SUMIFS(Fuel_Veh[Consumption],Fuel_Veh[Quarter],E$10,Fuel_Veh[Fuel Type],$B$11)</f>
        <v>1734.1300000000003</v>
      </c>
      <c r="F11" s="41">
        <f>SUMIFS(Fuel_Veh[Consumption],Fuel_Veh[Quarter],F$10,Fuel_Veh[Fuel Type],$B$11)</f>
        <v>0</v>
      </c>
      <c r="G11" s="41">
        <f>SUMIFS(Fuel_Veh[Consumption],Fuel_Veh[Quarter],G$10,Fuel_Veh[Fuel Type],$B$11)</f>
        <v>0</v>
      </c>
      <c r="I11" s="194">
        <f>IF($J11="","",$I10+1)</f>
        <v>5</v>
      </c>
      <c r="J11" s="57" t="s">
        <v>365</v>
      </c>
      <c r="K11" s="57" t="s">
        <v>63</v>
      </c>
      <c r="L11" s="58" t="s">
        <v>379</v>
      </c>
      <c r="M11" s="18" t="str">
        <f>IF(Fuel_Veh[[#This Row],[Month]]&lt;&gt;"",VLOOKUP(Fuel_Veh[[#This Row],[Month]], dropdown!$S$4:$T$15, 2, FALSE),"")</f>
        <v>Q2</v>
      </c>
      <c r="N11" s="29">
        <v>108</v>
      </c>
      <c r="O11" s="17" t="str">
        <f>IF($K11="","",VLOOKUP($K11,dropdown!$P$14:$Q$18,2,FALSE))</f>
        <v>Liters</v>
      </c>
      <c r="P11" s="29">
        <v>923</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365</v>
      </c>
      <c r="K12" s="57" t="s">
        <v>63</v>
      </c>
      <c r="L12" s="58" t="s">
        <v>386</v>
      </c>
      <c r="M12" s="18" t="str">
        <f>IF(Fuel_Veh[[#This Row],[Month]]&lt;&gt;"",VLOOKUP(Fuel_Veh[[#This Row],[Month]], dropdown!$S$4:$T$15, 2, FALSE),"")</f>
        <v>Q2</v>
      </c>
      <c r="N12" s="29">
        <v>108.43</v>
      </c>
      <c r="O12" s="17" t="str">
        <f>IF($K12="","",VLOOKUP($K12,dropdown!$P$14:$Q$18,2,FALSE))</f>
        <v>Liters</v>
      </c>
      <c r="P12" s="29">
        <v>927</v>
      </c>
      <c r="Q12" s="17" t="str">
        <f t="shared" si="0"/>
        <v>Kilometers</v>
      </c>
      <c r="R12" s="195"/>
    </row>
    <row r="13" spans="2:18" ht="14" customHeight="1" x14ac:dyDescent="0.2">
      <c r="I13" s="194">
        <f t="shared" si="1"/>
        <v>7</v>
      </c>
      <c r="J13" s="57" t="s">
        <v>1433</v>
      </c>
      <c r="K13" s="57" t="s">
        <v>63</v>
      </c>
      <c r="L13" s="58" t="s">
        <v>89</v>
      </c>
      <c r="M13" s="18" t="str">
        <f>IF(Fuel_Veh[[#This Row],[Month]]&lt;&gt;"",VLOOKUP(Fuel_Veh[[#This Row],[Month]], dropdown!$S$4:$T$15, 2, FALSE),"")</f>
        <v>Q1</v>
      </c>
      <c r="N13" s="29">
        <v>180</v>
      </c>
      <c r="O13" s="17" t="str">
        <f>IF($K13="","",VLOOKUP($K13,dropdown!$P$14:$Q$18,2,FALSE))</f>
        <v>Liters</v>
      </c>
      <c r="P13" s="29">
        <v>877</v>
      </c>
      <c r="Q13" s="17" t="str">
        <f t="shared" si="0"/>
        <v>Kilometers</v>
      </c>
      <c r="R13" s="195"/>
    </row>
    <row r="14" spans="2:18" x14ac:dyDescent="0.2">
      <c r="B14" s="267" t="s">
        <v>38</v>
      </c>
      <c r="I14" s="194">
        <f t="shared" si="1"/>
        <v>8</v>
      </c>
      <c r="J14" s="57" t="s">
        <v>1433</v>
      </c>
      <c r="K14" s="57" t="s">
        <v>63</v>
      </c>
      <c r="L14" s="58" t="s">
        <v>362</v>
      </c>
      <c r="M14" s="18" t="str">
        <f>IF(Fuel_Veh[[#This Row],[Month]]&lt;&gt;"",VLOOKUP(Fuel_Veh[[#This Row],[Month]], dropdown!$S$4:$T$15, 2, FALSE),"")</f>
        <v>Q1</v>
      </c>
      <c r="N14" s="29">
        <v>180</v>
      </c>
      <c r="O14" s="17" t="str">
        <f>IF($K14="","",VLOOKUP($K14,dropdown!$P$14:$Q$18,2,FALSE))</f>
        <v>Liters</v>
      </c>
      <c r="P14" s="29">
        <v>877</v>
      </c>
      <c r="Q14" s="17" t="str">
        <f t="shared" si="0"/>
        <v>Kilometers</v>
      </c>
      <c r="R14" s="195"/>
    </row>
    <row r="15" spans="2:18" x14ac:dyDescent="0.2">
      <c r="B15" s="268" t="s">
        <v>175</v>
      </c>
      <c r="I15" s="194">
        <f t="shared" si="1"/>
        <v>9</v>
      </c>
      <c r="J15" s="57" t="s">
        <v>1433</v>
      </c>
      <c r="K15" s="57" t="s">
        <v>63</v>
      </c>
      <c r="L15" s="58" t="s">
        <v>371</v>
      </c>
      <c r="M15" s="18" t="str">
        <f>IF(Fuel_Veh[[#This Row],[Month]]&lt;&gt;"",VLOOKUP(Fuel_Veh[[#This Row],[Month]], dropdown!$S$4:$T$15, 2, FALSE),"")</f>
        <v>Q2</v>
      </c>
      <c r="N15" s="29">
        <v>180</v>
      </c>
      <c r="O15" s="17" t="str">
        <f>IF($K15="","",VLOOKUP($K15,dropdown!$P$14:$Q$18,2,FALSE))</f>
        <v>Liters</v>
      </c>
      <c r="P15" s="29">
        <v>877</v>
      </c>
      <c r="Q15" s="17" t="str">
        <f t="shared" si="0"/>
        <v>Kilometers</v>
      </c>
      <c r="R15" s="195"/>
    </row>
    <row r="16" spans="2:18" x14ac:dyDescent="0.2">
      <c r="B16" s="266" t="s">
        <v>176</v>
      </c>
      <c r="I16" s="194">
        <f t="shared" si="1"/>
        <v>10</v>
      </c>
      <c r="J16" s="57" t="s">
        <v>1433</v>
      </c>
      <c r="K16" s="57" t="s">
        <v>63</v>
      </c>
      <c r="L16" s="58" t="s">
        <v>379</v>
      </c>
      <c r="M16" s="18" t="str">
        <f>IF(Fuel_Veh[[#This Row],[Month]]&lt;&gt;"",VLOOKUP(Fuel_Veh[[#This Row],[Month]], dropdown!$S$4:$T$15, 2, FALSE),"")</f>
        <v>Q2</v>
      </c>
      <c r="N16" s="29">
        <v>180</v>
      </c>
      <c r="O16" s="17" t="str">
        <f>IF($K16="","",VLOOKUP($K16,dropdown!$P$14:$Q$18,2,FALSE))</f>
        <v>Liters</v>
      </c>
      <c r="P16" s="29">
        <v>877</v>
      </c>
      <c r="Q16" s="17" t="str">
        <f t="shared" si="0"/>
        <v>Kilometers</v>
      </c>
      <c r="R16" s="195"/>
    </row>
    <row r="17" spans="2:18" x14ac:dyDescent="0.2">
      <c r="B17" s="17" t="s">
        <v>177</v>
      </c>
      <c r="I17" s="194">
        <f t="shared" si="1"/>
        <v>11</v>
      </c>
      <c r="J17" s="57" t="s">
        <v>1433</v>
      </c>
      <c r="K17" s="57" t="s">
        <v>63</v>
      </c>
      <c r="L17" s="58" t="s">
        <v>386</v>
      </c>
      <c r="M17" s="18" t="str">
        <f>IF(Fuel_Veh[[#This Row],[Month]]&lt;&gt;"",VLOOKUP(Fuel_Veh[[#This Row],[Month]], dropdown!$S$4:$T$15, 2, FALSE),"")</f>
        <v>Q2</v>
      </c>
      <c r="N17" s="29">
        <v>174.69</v>
      </c>
      <c r="O17" s="17" t="str">
        <f>IF($K17="","",VLOOKUP($K17,dropdown!$P$14:$Q$18,2,FALSE))</f>
        <v>Liters</v>
      </c>
      <c r="P17" s="29">
        <v>877</v>
      </c>
      <c r="Q17" s="17" t="str">
        <f t="shared" si="0"/>
        <v>Kilometers</v>
      </c>
      <c r="R17" s="195"/>
    </row>
    <row r="18" spans="2:18" x14ac:dyDescent="0.2">
      <c r="I18" s="194">
        <f t="shared" si="1"/>
        <v>12</v>
      </c>
      <c r="J18" s="57" t="s">
        <v>343</v>
      </c>
      <c r="K18" s="57" t="s">
        <v>63</v>
      </c>
      <c r="L18" s="58" t="s">
        <v>89</v>
      </c>
      <c r="M18" s="18" t="str">
        <f>IF(Fuel_Veh[[#This Row],[Month]]&lt;&gt;"",VLOOKUP(Fuel_Veh[[#This Row],[Month]], dropdown!$S$4:$T$15, 2, FALSE),"")</f>
        <v>Q1</v>
      </c>
      <c r="N18" s="29">
        <v>239.4</v>
      </c>
      <c r="O18" s="17" t="str">
        <f>IF($K18="","",VLOOKUP($K18,dropdown!$P$14:$Q$18,2,FALSE))</f>
        <v>Liters</v>
      </c>
      <c r="P18" s="29">
        <v>1008</v>
      </c>
      <c r="Q18" s="17" t="str">
        <f t="shared" si="0"/>
        <v>Kilometers</v>
      </c>
      <c r="R18" s="195"/>
    </row>
    <row r="19" spans="2:18" x14ac:dyDescent="0.2">
      <c r="I19" s="194">
        <f t="shared" si="1"/>
        <v>13</v>
      </c>
      <c r="J19" s="57" t="s">
        <v>343</v>
      </c>
      <c r="K19" s="57" t="s">
        <v>63</v>
      </c>
      <c r="L19" s="58" t="s">
        <v>362</v>
      </c>
      <c r="M19" s="18" t="str">
        <f>IF(Fuel_Veh[[#This Row],[Month]]&lt;&gt;"",VLOOKUP(Fuel_Veh[[#This Row],[Month]], dropdown!$S$4:$T$15, 2, FALSE),"")</f>
        <v>Q1</v>
      </c>
      <c r="N19" s="29">
        <v>239.4</v>
      </c>
      <c r="O19" s="17" t="str">
        <f>IF($K19="","",VLOOKUP($K19,dropdown!$P$14:$Q$18,2,FALSE))</f>
        <v>Liters</v>
      </c>
      <c r="P19" s="29">
        <v>1008</v>
      </c>
      <c r="Q19" s="17" t="str">
        <f t="shared" si="0"/>
        <v>Kilometers</v>
      </c>
      <c r="R19" s="195"/>
    </row>
    <row r="20" spans="2:18" x14ac:dyDescent="0.2">
      <c r="I20" s="194">
        <f t="shared" si="1"/>
        <v>14</v>
      </c>
      <c r="J20" s="57" t="s">
        <v>343</v>
      </c>
      <c r="K20" s="57" t="s">
        <v>63</v>
      </c>
      <c r="L20" s="58" t="s">
        <v>371</v>
      </c>
      <c r="M20" s="18" t="str">
        <f>IF(Fuel_Veh[[#This Row],[Month]]&lt;&gt;"",VLOOKUP(Fuel_Veh[[#This Row],[Month]], dropdown!$S$4:$T$15, 2, FALSE),"")</f>
        <v>Q2</v>
      </c>
      <c r="N20" s="29">
        <v>239.4</v>
      </c>
      <c r="O20" s="17" t="str">
        <f>IF($K20="","",VLOOKUP($K20,dropdown!$P$14:$Q$18,2,FALSE))</f>
        <v>Liters</v>
      </c>
      <c r="P20" s="29">
        <v>1008</v>
      </c>
      <c r="Q20" s="17" t="str">
        <f t="shared" si="0"/>
        <v>Kilometers</v>
      </c>
      <c r="R20" s="195"/>
    </row>
    <row r="21" spans="2:18" x14ac:dyDescent="0.2">
      <c r="I21" s="194">
        <f t="shared" si="1"/>
        <v>15</v>
      </c>
      <c r="J21" s="57" t="s">
        <v>343</v>
      </c>
      <c r="K21" s="57" t="s">
        <v>63</v>
      </c>
      <c r="L21" s="58" t="s">
        <v>379</v>
      </c>
      <c r="M21" s="18" t="str">
        <f>IF(Fuel_Veh[[#This Row],[Month]]&lt;&gt;"",VLOOKUP(Fuel_Veh[[#This Row],[Month]], dropdown!$S$4:$T$15, 2, FALSE),"")</f>
        <v>Q2</v>
      </c>
      <c r="N21" s="29">
        <v>239.4</v>
      </c>
      <c r="O21" s="17" t="str">
        <f>IF($K21="","",VLOOKUP($K21,dropdown!$P$14:$Q$18,2,FALSE))</f>
        <v>Liters</v>
      </c>
      <c r="P21" s="29">
        <v>1008</v>
      </c>
      <c r="Q21" s="17" t="str">
        <f t="shared" si="0"/>
        <v>Kilometers</v>
      </c>
      <c r="R21" s="195"/>
    </row>
    <row r="22" spans="2:18" x14ac:dyDescent="0.2">
      <c r="I22" s="194">
        <f t="shared" si="1"/>
        <v>16</v>
      </c>
      <c r="J22" s="57" t="s">
        <v>343</v>
      </c>
      <c r="K22" s="57" t="s">
        <v>63</v>
      </c>
      <c r="L22" s="58" t="s">
        <v>386</v>
      </c>
      <c r="M22" s="18" t="str">
        <f>IF(Fuel_Veh[[#This Row],[Month]]&lt;&gt;"",VLOOKUP(Fuel_Veh[[#This Row],[Month]], dropdown!$S$4:$T$15, 2, FALSE),"")</f>
        <v>Q2</v>
      </c>
      <c r="N22" s="29">
        <v>239.4</v>
      </c>
      <c r="O22" s="17" t="str">
        <f>IF($K22="","",VLOOKUP($K22,dropdown!$P$14:$Q$18,2,FALSE))</f>
        <v>Liters</v>
      </c>
      <c r="P22" s="29">
        <v>1010</v>
      </c>
      <c r="Q22" s="17" t="str">
        <f t="shared" si="0"/>
        <v>Kilometers</v>
      </c>
      <c r="R22" s="195"/>
    </row>
    <row r="23" spans="2:18" x14ac:dyDescent="0.2">
      <c r="I23" s="194">
        <f t="shared" si="1"/>
        <v>17</v>
      </c>
      <c r="J23" s="57" t="s">
        <v>864</v>
      </c>
      <c r="K23" s="57" t="s">
        <v>63</v>
      </c>
      <c r="L23" s="58" t="s">
        <v>338</v>
      </c>
      <c r="M23" s="18" t="str">
        <f>IF(Fuel_Veh[[#This Row],[Month]]&lt;&gt;"",VLOOKUP(Fuel_Veh[[#This Row],[Month]], dropdown!$S$4:$T$15, 2, FALSE),"")</f>
        <v>Q1</v>
      </c>
      <c r="N23" s="29">
        <v>52</v>
      </c>
      <c r="O23" s="17" t="str">
        <f>IF($K23="","",VLOOKUP($K23,dropdown!$P$14:$Q$18,2,FALSE))</f>
        <v>Liters</v>
      </c>
      <c r="P23" s="29">
        <v>305</v>
      </c>
      <c r="Q23" s="17" t="str">
        <f t="shared" si="0"/>
        <v>Kilometers</v>
      </c>
      <c r="R23" s="195"/>
    </row>
    <row r="24" spans="2:18" x14ac:dyDescent="0.2">
      <c r="I24" s="194">
        <f t="shared" si="1"/>
        <v>18</v>
      </c>
      <c r="J24" s="57" t="s">
        <v>864</v>
      </c>
      <c r="K24" s="57" t="s">
        <v>63</v>
      </c>
      <c r="L24" s="58" t="s">
        <v>362</v>
      </c>
      <c r="M24" s="18" t="str">
        <f>IF(Fuel_Veh[[#This Row],[Month]]&lt;&gt;"",VLOOKUP(Fuel_Veh[[#This Row],[Month]], dropdown!$S$4:$T$15, 2, FALSE),"")</f>
        <v>Q1</v>
      </c>
      <c r="N24" s="29">
        <v>52</v>
      </c>
      <c r="O24" s="17" t="str">
        <f>IF($K24="","",VLOOKUP($K24,dropdown!$P$14:$Q$18,2,FALSE))</f>
        <v>Liters</v>
      </c>
      <c r="P24" s="29">
        <v>305</v>
      </c>
      <c r="Q24" s="17" t="str">
        <f t="shared" si="0"/>
        <v>Kilometers</v>
      </c>
      <c r="R24" s="195"/>
    </row>
    <row r="25" spans="2:18" x14ac:dyDescent="0.2">
      <c r="I25" s="194">
        <f t="shared" si="1"/>
        <v>19</v>
      </c>
      <c r="J25" s="57" t="s">
        <v>864</v>
      </c>
      <c r="K25" s="57" t="s">
        <v>63</v>
      </c>
      <c r="L25" s="58" t="s">
        <v>371</v>
      </c>
      <c r="M25" s="18" t="str">
        <f>IF(Fuel_Veh[[#This Row],[Month]]&lt;&gt;"",VLOOKUP(Fuel_Veh[[#This Row],[Month]], dropdown!$S$4:$T$15, 2, FALSE),"")</f>
        <v>Q2</v>
      </c>
      <c r="N25" s="29">
        <v>52</v>
      </c>
      <c r="O25" s="17" t="str">
        <f>IF($K25="","",VLOOKUP($K25,dropdown!$P$14:$Q$18,2,FALSE))</f>
        <v>Liters</v>
      </c>
      <c r="P25" s="29">
        <v>305</v>
      </c>
      <c r="Q25" s="17" t="str">
        <f t="shared" si="0"/>
        <v>Kilometers</v>
      </c>
      <c r="R25" s="195"/>
    </row>
    <row r="26" spans="2:18" x14ac:dyDescent="0.2">
      <c r="I26" s="194">
        <f t="shared" si="1"/>
        <v>20</v>
      </c>
      <c r="J26" s="57" t="s">
        <v>864</v>
      </c>
      <c r="K26" s="57" t="s">
        <v>63</v>
      </c>
      <c r="L26" s="196" t="s">
        <v>379</v>
      </c>
      <c r="M26" s="18" t="str">
        <f>IF(Fuel_Veh[[#This Row],[Month]]&lt;&gt;"",VLOOKUP(Fuel_Veh[[#This Row],[Month]], dropdown!$S$4:$T$15, 2, FALSE),"")</f>
        <v>Q2</v>
      </c>
      <c r="N26" s="197">
        <v>52</v>
      </c>
      <c r="O26" s="198" t="str">
        <f>IF($K26="","",VLOOKUP($K26,dropdown!$P$14:$Q$18,2,FALSE))</f>
        <v>Liters</v>
      </c>
      <c r="P26" s="197">
        <v>305</v>
      </c>
      <c r="Q26" s="17" t="str">
        <f t="shared" si="0"/>
        <v>Kilometers</v>
      </c>
      <c r="R26" s="199"/>
    </row>
    <row r="27" spans="2:18" x14ac:dyDescent="0.2">
      <c r="I27" s="194">
        <f t="shared" si="1"/>
        <v>21</v>
      </c>
      <c r="J27" s="57" t="s">
        <v>864</v>
      </c>
      <c r="K27" s="57" t="s">
        <v>63</v>
      </c>
      <c r="L27" s="58" t="s">
        <v>386</v>
      </c>
      <c r="M27" s="18" t="str">
        <f>IF(Fuel_Veh[[#This Row],[Month]]&lt;&gt;"",VLOOKUP(Fuel_Veh[[#This Row],[Month]], dropdown!$S$4:$T$15, 2, FALSE),"")</f>
        <v>Q2</v>
      </c>
      <c r="N27" s="29">
        <v>52.81</v>
      </c>
      <c r="O27" s="17" t="str">
        <f>IF($K27="","",VLOOKUP($K27,dropdown!$P$14:$Q$18,2,FALSE))</f>
        <v>Liters</v>
      </c>
      <c r="P27" s="29">
        <v>304</v>
      </c>
      <c r="Q27" s="17" t="str">
        <f t="shared" si="0"/>
        <v>Kilometers</v>
      </c>
      <c r="R27" s="195"/>
    </row>
    <row r="28" spans="2:18" x14ac:dyDescent="0.2">
      <c r="I28" s="194">
        <f t="shared" si="1"/>
        <v>22</v>
      </c>
      <c r="J28" s="57" t="s">
        <v>1433</v>
      </c>
      <c r="K28" s="57" t="s">
        <v>63</v>
      </c>
      <c r="L28" s="58" t="s">
        <v>338</v>
      </c>
      <c r="M28" s="18" t="str">
        <f>IF(Fuel_Veh[[#This Row],[Month]]&lt;&gt;"",VLOOKUP(Fuel_Veh[[#This Row],[Month]], dropdown!$S$4:$T$15, 2, FALSE),"")</f>
        <v>Q1</v>
      </c>
      <c r="N28" s="29">
        <v>6.15</v>
      </c>
      <c r="O28" s="17" t="str">
        <f>IF($K28="","",VLOOKUP($K28,dropdown!$P$14:$Q$18,2,FALSE))</f>
        <v>Liters</v>
      </c>
      <c r="P28" s="29">
        <v>68</v>
      </c>
      <c r="Q28" s="17" t="str">
        <f t="shared" si="0"/>
        <v>Kilometers</v>
      </c>
      <c r="R28" s="195"/>
    </row>
    <row r="29" spans="2:18" x14ac:dyDescent="0.2">
      <c r="I29" s="194">
        <f t="shared" si="1"/>
        <v>23</v>
      </c>
      <c r="J29" s="57" t="s">
        <v>1433</v>
      </c>
      <c r="K29" s="57" t="s">
        <v>63</v>
      </c>
      <c r="L29" s="58" t="s">
        <v>89</v>
      </c>
      <c r="M29" s="18" t="str">
        <f>IF(Fuel_Veh[[#This Row],[Month]]&lt;&gt;"",VLOOKUP(Fuel_Veh[[#This Row],[Month]], dropdown!$S$4:$T$15, 2, FALSE),"")</f>
        <v>Q1</v>
      </c>
      <c r="N29" s="29">
        <v>6.15</v>
      </c>
      <c r="O29" s="17" t="str">
        <f>IF($K29="","",VLOOKUP($K29,dropdown!$P$14:$Q$18,2,FALSE))</f>
        <v>Liters</v>
      </c>
      <c r="P29" s="29">
        <v>68</v>
      </c>
      <c r="Q29" s="17" t="str">
        <f t="shared" si="0"/>
        <v>Kilometers</v>
      </c>
      <c r="R29" s="195"/>
    </row>
    <row r="30" spans="2:18" x14ac:dyDescent="0.2">
      <c r="I30" s="194">
        <f t="shared" si="1"/>
        <v>24</v>
      </c>
      <c r="J30" s="57" t="s">
        <v>1433</v>
      </c>
      <c r="K30" s="345" t="s">
        <v>63</v>
      </c>
      <c r="L30" s="196" t="s">
        <v>362</v>
      </c>
      <c r="M30" s="18" t="str">
        <f>IF(Fuel_Veh[[#This Row],[Month]]&lt;&gt;"",VLOOKUP(Fuel_Veh[[#This Row],[Month]], dropdown!$S$4:$T$15, 2, FALSE),"")</f>
        <v>Q1</v>
      </c>
      <c r="N30" s="197">
        <v>6.15</v>
      </c>
      <c r="O30" s="198" t="str">
        <f>IF($K30="","",VLOOKUP($K30,dropdown!$P$14:$Q$18,2,FALSE))</f>
        <v>Liters</v>
      </c>
      <c r="P30" s="197">
        <v>67</v>
      </c>
      <c r="Q30" s="17" t="str">
        <f t="shared" si="0"/>
        <v>Kilometers</v>
      </c>
      <c r="R30" s="199"/>
    </row>
    <row r="31" spans="2:18" x14ac:dyDescent="0.2">
      <c r="I31" s="194">
        <f t="shared" si="1"/>
        <v>25</v>
      </c>
      <c r="J31" s="57" t="s">
        <v>1433</v>
      </c>
      <c r="K31" s="57" t="s">
        <v>63</v>
      </c>
      <c r="L31" s="58" t="s">
        <v>362</v>
      </c>
      <c r="M31" s="18" t="str">
        <f>IF(Fuel_Veh[[#This Row],[Month]]&lt;&gt;"",VLOOKUP(Fuel_Veh[[#This Row],[Month]], dropdown!$S$4:$T$15, 2, FALSE),"")</f>
        <v>Q1</v>
      </c>
      <c r="N31" s="29">
        <v>100</v>
      </c>
      <c r="O31" s="17" t="str">
        <f>IF($K31="","",VLOOKUP($K31,dropdown!$P$14:$Q$18,2,FALSE))</f>
        <v>Liters</v>
      </c>
      <c r="P31" s="29">
        <v>79.209999999999994</v>
      </c>
      <c r="Q31" s="17" t="str">
        <f t="shared" si="0"/>
        <v>Kilometers</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0"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85" zoomScaleNormal="85" workbookViewId="0">
      <selection activeCell="O11" sqref="O11"/>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Cabanatuan Branch</v>
      </c>
      <c r="C4" s="37"/>
      <c r="D4" s="38">
        <f>IF('1. Data Info and Summary'!$D$3=0,"-",'1. Data Info and Summary'!$D$3)</f>
        <v>2025</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7" t="s">
        <v>1431</v>
      </c>
      <c r="D6" s="448"/>
      <c r="E6" s="448"/>
      <c r="F6" s="448"/>
      <c r="G6" s="449"/>
    </row>
    <row r="7" spans="2:17" ht="12.75" customHeight="1" x14ac:dyDescent="0.2">
      <c r="B7" s="278" t="s">
        <v>174</v>
      </c>
      <c r="C7" s="450">
        <v>45913</v>
      </c>
      <c r="D7" s="448"/>
      <c r="E7" s="448"/>
      <c r="F7" s="448"/>
      <c r="G7" s="449"/>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26160</v>
      </c>
      <c r="M8" s="47">
        <v>256507.17</v>
      </c>
      <c r="N8" s="165" t="s">
        <v>450</v>
      </c>
      <c r="O8" s="195"/>
      <c r="P8" s="48"/>
      <c r="Q8" s="20"/>
    </row>
    <row r="9" spans="2:17" x14ac:dyDescent="0.2">
      <c r="I9" s="194"/>
      <c r="J9" s="58" t="s">
        <v>89</v>
      </c>
      <c r="K9" s="426" t="str">
        <f>IF(Electricity[[#This Row],[Month]]&lt;&gt;"",VLOOKUP(Electricity[[#This Row],[Month]], dropdown!$S$4:$T$15, 2, FALSE),"")</f>
        <v>Q1</v>
      </c>
      <c r="L9" s="29">
        <v>27520</v>
      </c>
      <c r="M9" s="47">
        <v>270260.74</v>
      </c>
      <c r="N9" s="165" t="s">
        <v>450</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27440</v>
      </c>
      <c r="M10" s="47">
        <v>272744.65000000002</v>
      </c>
      <c r="N10" s="165" t="s">
        <v>450</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33680</v>
      </c>
      <c r="M11" s="47">
        <v>339969.91</v>
      </c>
      <c r="N11" s="165" t="s">
        <v>450</v>
      </c>
      <c r="O11" s="195"/>
      <c r="P11" s="48"/>
      <c r="Q11" s="20"/>
    </row>
    <row r="12" spans="2:17" x14ac:dyDescent="0.2">
      <c r="B12" s="17" t="s">
        <v>207</v>
      </c>
      <c r="C12" s="17" t="s">
        <v>208</v>
      </c>
      <c r="D12" s="41">
        <f>SUMIFS(Electricity[Consumption (kWh)],Electricity[Quarter],D$11)</f>
        <v>81120</v>
      </c>
      <c r="E12" s="41">
        <f>SUMIFS(Electricity[Consumption (kWh)],Electricity[Quarter],E$11)</f>
        <v>95680</v>
      </c>
      <c r="F12" s="41">
        <f>SUMIFS(Electricity[Consumption (kWh)],Electricity[Quarter],F$11)</f>
        <v>0</v>
      </c>
      <c r="G12" s="41">
        <f>SUMIFS(Electricity[Consumption (kWh)],Electricity[Quarter],G$11)</f>
        <v>0</v>
      </c>
      <c r="I12" s="194"/>
      <c r="J12" s="58" t="s">
        <v>379</v>
      </c>
      <c r="K12" s="426" t="str">
        <f>IF(Electricity[[#This Row],[Month]]&lt;&gt;"",VLOOKUP(Electricity[[#This Row],[Month]], dropdown!$S$4:$T$15, 2, FALSE),"")</f>
        <v>Q2</v>
      </c>
      <c r="L12" s="29">
        <v>30160</v>
      </c>
      <c r="M12" s="47">
        <v>282320.76</v>
      </c>
      <c r="N12" s="165" t="s">
        <v>450</v>
      </c>
      <c r="O12" s="195"/>
      <c r="P12" s="48"/>
      <c r="Q12" s="20"/>
    </row>
    <row r="13" spans="2:17" x14ac:dyDescent="0.2">
      <c r="D13" s="167" t="str">
        <f>IF(SUM(D$12:D$12)&gt;0,"x","")</f>
        <v>x</v>
      </c>
      <c r="E13" s="167" t="str">
        <f>IF(SUM(E$12:E$12)&gt;0,"x","")</f>
        <v>x</v>
      </c>
      <c r="F13" s="167" t="str">
        <f>IF(SUM(F$12:F$12)&gt;0,"x","")</f>
        <v/>
      </c>
      <c r="G13" s="167" t="str">
        <f>IF(SUM(G$12:G$12)&gt;0,"x","")</f>
        <v/>
      </c>
      <c r="I13" s="194"/>
      <c r="J13" s="58" t="s">
        <v>386</v>
      </c>
      <c r="K13" s="426" t="str">
        <f>IF(Electricity[[#This Row],[Month]]&lt;&gt;"",VLOOKUP(Electricity[[#This Row],[Month]], dropdown!$S$4:$T$15, 2, FALSE),"")</f>
        <v>Q2</v>
      </c>
      <c r="L13" s="29">
        <v>31840</v>
      </c>
      <c r="M13" s="47">
        <v>294699.27</v>
      </c>
      <c r="N13" s="165" t="s">
        <v>450</v>
      </c>
      <c r="O13" s="195"/>
      <c r="P13" s="48"/>
      <c r="Q13" s="20"/>
    </row>
    <row r="14" spans="2:17" x14ac:dyDescent="0.2">
      <c r="B14" s="119" t="s">
        <v>38</v>
      </c>
      <c r="D14" s="168"/>
      <c r="I14" s="194"/>
      <c r="J14" s="58"/>
      <c r="K14" s="426" t="str">
        <f>IF(Electricity[[#This Row],[Month]]&lt;&gt;"",VLOOKUP(Electricity[[#This Row],[Month]], dropdown!$S$4:$T$15, 2, FALSE),"")</f>
        <v/>
      </c>
      <c r="L14" s="29"/>
      <c r="M14" s="47"/>
      <c r="N14" s="165"/>
      <c r="O14" s="195"/>
      <c r="P14" s="48"/>
      <c r="Q14" s="20"/>
    </row>
    <row r="15" spans="2:17" x14ac:dyDescent="0.2">
      <c r="B15" s="120" t="s">
        <v>175</v>
      </c>
      <c r="D15" s="168"/>
      <c r="I15" s="194"/>
      <c r="J15" s="58"/>
      <c r="K15" s="426" t="str">
        <f>IF(Electricity[[#This Row],[Month]]&lt;&gt;"",VLOOKUP(Electricity[[#This Row],[Month]], dropdown!$S$4:$T$15, 2, FALSE),"")</f>
        <v/>
      </c>
      <c r="L15" s="29"/>
      <c r="M15" s="47"/>
      <c r="N15" s="165"/>
      <c r="O15" s="195"/>
      <c r="P15" s="48"/>
      <c r="Q15" s="20"/>
    </row>
    <row r="16" spans="2:17" x14ac:dyDescent="0.2">
      <c r="B16" s="121" t="s">
        <v>176</v>
      </c>
      <c r="I16" s="194"/>
      <c r="J16" s="58"/>
      <c r="K16" s="426" t="str">
        <f>IF(Electricity[[#This Row],[Month]]&lt;&gt;"",VLOOKUP(Electricity[[#This Row],[Month]], dropdown!$S$4:$T$15, 2, FALSE),"")</f>
        <v/>
      </c>
      <c r="L16" s="29"/>
      <c r="M16" s="47"/>
      <c r="N16" s="165"/>
      <c r="O16" s="195"/>
      <c r="P16" s="48"/>
      <c r="Q16" s="20"/>
    </row>
    <row r="17" spans="2:17" x14ac:dyDescent="0.2">
      <c r="B17" s="122" t="s">
        <v>177</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C7" sqref="C7:G7"/>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Cabanatuan Branch</v>
      </c>
      <c r="C4" s="37"/>
      <c r="D4" s="38">
        <f>IF('1. Data Info and Summary'!$D$3=0,"-",'1. Data Info and Summary'!$D$3)</f>
        <v>2025</v>
      </c>
      <c r="E4" s="37"/>
      <c r="F4" s="37" t="s">
        <v>211</v>
      </c>
      <c r="G4" s="39"/>
      <c r="I4" s="429"/>
      <c r="J4" s="293"/>
      <c r="K4" s="293"/>
      <c r="L4" s="293"/>
      <c r="M4" s="293"/>
      <c r="N4" s="297"/>
    </row>
    <row r="5" spans="2:16" x14ac:dyDescent="0.2">
      <c r="B5" s="271"/>
      <c r="D5" s="271"/>
    </row>
    <row r="6" spans="2:16" ht="30" x14ac:dyDescent="0.2">
      <c r="B6" s="278" t="s">
        <v>172</v>
      </c>
      <c r="C6" s="447"/>
      <c r="D6" s="448"/>
      <c r="E6" s="448"/>
      <c r="F6" s="448"/>
      <c r="G6" s="449"/>
      <c r="I6" s="248" t="s">
        <v>173</v>
      </c>
      <c r="J6" s="249" t="s">
        <v>39</v>
      </c>
      <c r="K6" s="249" t="s">
        <v>43</v>
      </c>
      <c r="L6" s="250" t="s">
        <v>115</v>
      </c>
      <c r="M6" s="352" t="s">
        <v>212</v>
      </c>
      <c r="N6" s="253" t="s">
        <v>54</v>
      </c>
      <c r="O6" s="349"/>
    </row>
    <row r="7" spans="2:16" x14ac:dyDescent="0.2">
      <c r="B7" s="278" t="s">
        <v>174</v>
      </c>
      <c r="C7" s="447"/>
      <c r="D7" s="448"/>
      <c r="E7" s="448"/>
      <c r="F7" s="448"/>
      <c r="G7" s="449"/>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N9" sqref="N9"/>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Cabanatuan Branch</v>
      </c>
      <c r="C4" s="37"/>
      <c r="D4" s="38">
        <f>IF('1. Data Info and Summary'!$D$3=0,"-",'1. Data Info and Summary'!$D$3)</f>
        <v>2025</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7" t="s">
        <v>1431</v>
      </c>
      <c r="D6" s="448"/>
      <c r="E6" s="448"/>
      <c r="F6" s="448"/>
      <c r="G6" s="449"/>
      <c r="I6" s="134" t="s">
        <v>120</v>
      </c>
      <c r="J6" s="65"/>
      <c r="K6" s="65"/>
      <c r="L6" s="65"/>
      <c r="M6" s="65"/>
      <c r="N6" s="66"/>
      <c r="P6" s="134" t="s">
        <v>128</v>
      </c>
      <c r="Q6" s="65"/>
      <c r="R6" s="65"/>
      <c r="S6" s="65"/>
      <c r="T6" s="66"/>
      <c r="U6" s="66"/>
      <c r="W6" s="20"/>
    </row>
    <row r="7" spans="2:23" ht="12.75" customHeight="1" x14ac:dyDescent="0.2">
      <c r="B7" s="278" t="s">
        <v>174</v>
      </c>
      <c r="C7" s="450">
        <v>45913</v>
      </c>
      <c r="D7" s="448"/>
      <c r="E7" s="448"/>
      <c r="F7" s="448"/>
      <c r="G7" s="449"/>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37</v>
      </c>
      <c r="N8" s="195"/>
      <c r="O8" s="44"/>
      <c r="P8" s="194" t="str">
        <f>IF($T8="","",1)</f>
        <v/>
      </c>
      <c r="Q8" s="58"/>
      <c r="R8" s="18" t="str">
        <f>IF(water_out[[#This Row],[Month]]&lt;&gt;"",VLOOKUP(water_out[[#This Row],[Month]], dropdown!$S$4:$T$15, 2, FALSE),"")</f>
        <v/>
      </c>
      <c r="S8" s="60"/>
      <c r="T8" s="29"/>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22</v>
      </c>
      <c r="N9" s="195"/>
      <c r="O9" s="44"/>
      <c r="P9" s="194" t="str">
        <f>IF($T9="","",$P8+1)</f>
        <v/>
      </c>
      <c r="Q9" s="58"/>
      <c r="R9" s="18" t="str">
        <f>IF(water_out[[#This Row],[Month]]&lt;&gt;"",VLOOKUP(water_out[[#This Row],[Month]], dropdown!$S$4:$T$15, 2, FALSE),"")</f>
        <v/>
      </c>
      <c r="S9" s="60"/>
      <c r="T9" s="29"/>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26</v>
      </c>
      <c r="N10" s="195"/>
      <c r="O10" s="44"/>
      <c r="P10" s="194" t="str">
        <f t="shared" ref="P10:P73" si="1">IF($T10="","",$P9+1)</f>
        <v/>
      </c>
      <c r="Q10" s="58"/>
      <c r="R10" s="18" t="str">
        <f>IF(water_out[[#This Row],[Month]]&lt;&gt;"",VLOOKUP(water_out[[#This Row],[Month]], dropdown!$S$4:$T$15, 2, FALSE),"")</f>
        <v/>
      </c>
      <c r="S10" s="60"/>
      <c r="T10" s="29"/>
      <c r="U10" s="195"/>
      <c r="W10" s="20"/>
    </row>
    <row r="11" spans="2:23" ht="14" x14ac:dyDescent="0.2">
      <c r="B11" s="17" t="s">
        <v>120</v>
      </c>
      <c r="C11" s="17" t="s">
        <v>220</v>
      </c>
      <c r="D11" s="41">
        <f>SUMIFS(water_in[Volume (m3)],water_in[Quarter],D$10)</f>
        <v>85</v>
      </c>
      <c r="E11" s="41">
        <f>SUMIFS(water_in[Volume (m3)],water_in[Quarter],E$10)</f>
        <v>174</v>
      </c>
      <c r="F11" s="41">
        <f>SUMIFS(water_in[Volume (m3)],water_in[Quarter],F$10)</f>
        <v>0</v>
      </c>
      <c r="G11" s="41">
        <f>SUMIFS(water_in[Volume (m3)],water_in[Quarter],G$10)</f>
        <v>0</v>
      </c>
      <c r="I11" s="194">
        <f t="shared" si="0"/>
        <v>4</v>
      </c>
      <c r="J11" s="58" t="s">
        <v>371</v>
      </c>
      <c r="K11" s="426" t="str">
        <f>IF(water_in[[#This Row],[Month]]&lt;&gt;"",VLOOKUP(water_in[[#This Row],[Month]], dropdown!$S$4:$T$15, 2, FALSE),"")</f>
        <v>Q2</v>
      </c>
      <c r="L11" s="58" t="s">
        <v>124</v>
      </c>
      <c r="M11" s="29">
        <v>110</v>
      </c>
      <c r="N11" s="195"/>
      <c r="O11" s="44"/>
      <c r="P11" s="194" t="str">
        <f t="shared" si="1"/>
        <v/>
      </c>
      <c r="Q11" s="58"/>
      <c r="R11" s="18" t="str">
        <f>IF(water_out[[#This Row],[Month]]&lt;&gt;"",VLOOKUP(water_out[[#This Row],[Month]], dropdown!$S$4:$T$15, 2, FALSE),"")</f>
        <v/>
      </c>
      <c r="S11" s="60"/>
      <c r="T11" s="29"/>
      <c r="U11" s="195"/>
      <c r="W11" s="20"/>
    </row>
    <row r="12" spans="2:23" ht="14" x14ac:dyDescent="0.2">
      <c r="B12" s="17" t="s">
        <v>128</v>
      </c>
      <c r="C12" s="17" t="s">
        <v>220</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51</v>
      </c>
      <c r="N12" s="195"/>
      <c r="O12" s="44" t="str">
        <f>IF(J12="","",VLOOKUP($J12,dropdown!$S$3:$T$15,2,FALSE))</f>
        <v>Q2</v>
      </c>
      <c r="P12" s="194" t="str">
        <f t="shared" si="1"/>
        <v/>
      </c>
      <c r="Q12" s="58"/>
      <c r="R12" s="18" t="str">
        <f>IF(water_out[[#This Row],[Month]]&lt;&gt;"",VLOOKUP(water_out[[#This Row],[Month]], dropdown!$S$4:$T$15, 2, FALSE),"")</f>
        <v/>
      </c>
      <c r="S12" s="60"/>
      <c r="T12" s="29"/>
      <c r="U12" s="195"/>
      <c r="W12" s="20"/>
    </row>
    <row r="13" spans="2:23" ht="14" x14ac:dyDescent="0.2">
      <c r="D13" s="167" t="str">
        <f>IF(SUM(D$11:D$12)&gt;0,"x","")</f>
        <v>x</v>
      </c>
      <c r="E13" s="167" t="str">
        <f>IF(SUM(E$11:E$12)&gt;0,"x","")</f>
        <v>x</v>
      </c>
      <c r="F13" s="167" t="str">
        <f>IF(SUM(F$11:F$12)&gt;0,"x","")</f>
        <v/>
      </c>
      <c r="G13" s="167" t="str">
        <f>IF(SUM(G$11:G$12)&gt;0,"x","")</f>
        <v/>
      </c>
      <c r="I13" s="194">
        <f t="shared" si="0"/>
        <v>6</v>
      </c>
      <c r="J13" s="58" t="s">
        <v>386</v>
      </c>
      <c r="K13" s="426" t="str">
        <f>IF(water_in[[#This Row],[Month]]&lt;&gt;"",VLOOKUP(water_in[[#This Row],[Month]], dropdown!$S$4:$T$15, 2, FALSE),"")</f>
        <v>Q2</v>
      </c>
      <c r="L13" s="58" t="s">
        <v>124</v>
      </c>
      <c r="M13" s="29">
        <v>13</v>
      </c>
      <c r="N13" s="195"/>
      <c r="O13" s="44" t="str">
        <f>IF(J13="","",VLOOKUP($J13,dropdown!$S$3:$T$15,2,FALSE))</f>
        <v>Q2</v>
      </c>
      <c r="P13" s="194" t="str">
        <f t="shared" si="1"/>
        <v/>
      </c>
      <c r="Q13" s="58"/>
      <c r="R13" s="18" t="str">
        <f>IF(water_out[[#This Row],[Month]]&lt;&gt;"",VLOOKUP(water_out[[#This Row],[Month]], dropdown!$S$4:$T$15, 2, FALSE),"")</f>
        <v/>
      </c>
      <c r="S13" s="60"/>
      <c r="T13" s="29"/>
      <c r="U13" s="195"/>
      <c r="W13" s="20"/>
    </row>
    <row r="14" spans="2:23" ht="14" x14ac:dyDescent="0.2">
      <c r="B14" s="119" t="s">
        <v>38</v>
      </c>
      <c r="I14" s="194" t="str">
        <f t="shared" si="0"/>
        <v/>
      </c>
      <c r="J14" s="58"/>
      <c r="K14" s="426"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6"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Cabanatuan Branch</v>
      </c>
      <c r="C4" s="37"/>
      <c r="D4" s="38">
        <f>'1. Data Info and Summary'!$D$3</f>
        <v>2025</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election activeCell="L17" sqref="L17"/>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Cabanatuan Branch</v>
      </c>
      <c r="C4" s="37"/>
      <c r="D4" s="38">
        <f>IF('1. Data Info and Summary'!$D$3=0,"-",'1. Data Info and Summary'!$D$3)</f>
        <v>2025</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7" t="s">
        <v>1431</v>
      </c>
      <c r="D6" s="448"/>
      <c r="E6" s="448"/>
      <c r="F6" s="448"/>
      <c r="G6" s="449"/>
      <c r="I6" s="409" t="s">
        <v>282</v>
      </c>
      <c r="J6" s="407"/>
      <c r="K6" s="407"/>
      <c r="L6" s="407"/>
      <c r="M6" s="408"/>
      <c r="N6" s="407"/>
      <c r="O6" s="407"/>
      <c r="Q6" s="44"/>
    </row>
    <row r="7" spans="2:17" ht="25.5" customHeight="1" x14ac:dyDescent="0.2">
      <c r="B7" s="278" t="s">
        <v>174</v>
      </c>
      <c r="C7" s="450">
        <v>45913</v>
      </c>
      <c r="D7" s="448"/>
      <c r="E7" s="448"/>
      <c r="F7" s="448"/>
      <c r="G7" s="449"/>
      <c r="I7" s="248" t="s">
        <v>173</v>
      </c>
      <c r="J7" s="249" t="s">
        <v>39</v>
      </c>
      <c r="K7" s="249" t="s">
        <v>43</v>
      </c>
      <c r="L7" s="249" t="s">
        <v>137</v>
      </c>
      <c r="M7" s="254" t="s">
        <v>140</v>
      </c>
      <c r="N7" s="255" t="s">
        <v>142</v>
      </c>
      <c r="O7" s="253" t="s">
        <v>54</v>
      </c>
      <c r="Q7" s="44"/>
    </row>
    <row r="8" spans="2:17" ht="15" x14ac:dyDescent="0.2">
      <c r="I8" s="194">
        <f>IF($J8="","",1)</f>
        <v>1</v>
      </c>
      <c r="J8" s="58" t="s">
        <v>362</v>
      </c>
      <c r="K8" s="194" t="str">
        <f>IF(Waste[[#This Row],[Month]]&lt;&gt;"",VLOOKUP(Waste[[#This Row],[Month]], dropdown!$S$4:$T$15, 2, FALSE),"")</f>
        <v>Q1</v>
      </c>
      <c r="L8" s="57" t="s">
        <v>317</v>
      </c>
      <c r="M8" s="442">
        <f t="shared" ref="M8" si="0">0.87193*1000</f>
        <v>871.93</v>
      </c>
      <c r="N8" s="57" t="s">
        <v>345</v>
      </c>
      <c r="O8" s="195" t="s">
        <v>1434</v>
      </c>
      <c r="Q8" s="44"/>
    </row>
    <row r="9" spans="2:17" ht="15" x14ac:dyDescent="0.2">
      <c r="B9" s="14" t="s">
        <v>134</v>
      </c>
      <c r="C9" s="14"/>
      <c r="D9" s="14"/>
      <c r="E9" s="14"/>
      <c r="F9" s="14"/>
      <c r="G9" s="14"/>
      <c r="I9" s="194" t="e">
        <f>IF(#REF!="","",$I8+1)</f>
        <v>#REF!</v>
      </c>
      <c r="J9" s="58" t="s">
        <v>371</v>
      </c>
      <c r="K9" s="194" t="str">
        <f>IF(Waste[[#This Row],[Month]]&lt;&gt;"",VLOOKUP(Waste[[#This Row],[Month]], dropdown!$S$4:$T$15, 2, FALSE),"")</f>
        <v>Q2</v>
      </c>
      <c r="L9" s="57" t="s">
        <v>383</v>
      </c>
      <c r="M9" s="442">
        <v>3900</v>
      </c>
      <c r="N9" s="57" t="s">
        <v>313</v>
      </c>
      <c r="O9" s="195" t="s">
        <v>1435</v>
      </c>
      <c r="Q9" s="44"/>
    </row>
    <row r="10" spans="2:17" x14ac:dyDescent="0.2">
      <c r="B10" s="13" t="s">
        <v>137</v>
      </c>
      <c r="C10" s="13" t="s">
        <v>51</v>
      </c>
      <c r="D10" s="40" t="s">
        <v>45</v>
      </c>
      <c r="E10" s="40" t="s">
        <v>149</v>
      </c>
      <c r="F10" s="40" t="s">
        <v>150</v>
      </c>
      <c r="G10" s="40" t="s">
        <v>151</v>
      </c>
      <c r="I10" s="194" t="e">
        <f>IF(#REF!="","",$I9+1)</f>
        <v>#REF!</v>
      </c>
      <c r="J10" s="58" t="s">
        <v>379</v>
      </c>
      <c r="K10" s="194" t="str">
        <f>IF(Waste[[#This Row],[Month]]&lt;&gt;"",VLOOKUP(Waste[[#This Row],[Month]], dropdown!$S$4:$T$15, 2, FALSE),"")</f>
        <v>Q2</v>
      </c>
      <c r="L10" s="57" t="s">
        <v>383</v>
      </c>
      <c r="M10" s="29">
        <v>4275</v>
      </c>
      <c r="N10" s="57" t="s">
        <v>313</v>
      </c>
      <c r="O10" s="195" t="s">
        <v>1435</v>
      </c>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t="e">
        <f>IF(#REF!="","",$I10+1)</f>
        <v>#REF!</v>
      </c>
      <c r="J11" s="58" t="s">
        <v>386</v>
      </c>
      <c r="K11" s="194" t="str">
        <f>IF(Waste[[#This Row],[Month]]&lt;&gt;"",VLOOKUP(Waste[[#This Row],[Month]], dropdown!$S$4:$T$15, 2, FALSE),"")</f>
        <v>Q2</v>
      </c>
      <c r="L11" s="57" t="s">
        <v>383</v>
      </c>
      <c r="M11" s="29">
        <v>3350</v>
      </c>
      <c r="N11" s="57" t="s">
        <v>313</v>
      </c>
      <c r="O11" s="195" t="s">
        <v>1435</v>
      </c>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t="e">
        <f t="shared" ref="I12:I17" si="1">IF($J9="","",$I11+1)</f>
        <v>#REF!</v>
      </c>
      <c r="J12" s="58" t="s">
        <v>390</v>
      </c>
      <c r="K12" s="194" t="str">
        <f>IF(Waste[[#This Row],[Month]]&lt;&gt;"",VLOOKUP(Waste[[#This Row],[Month]], dropdown!$S$4:$T$15, 2, FALSE),"")</f>
        <v>Q3</v>
      </c>
      <c r="L12" s="57" t="s">
        <v>383</v>
      </c>
      <c r="M12" s="29">
        <v>5400</v>
      </c>
      <c r="N12" s="57" t="s">
        <v>313</v>
      </c>
      <c r="O12" s="195" t="s">
        <v>1435</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t="e">
        <f t="shared" si="1"/>
        <v>#REF!</v>
      </c>
      <c r="J13" s="58" t="s">
        <v>41</v>
      </c>
      <c r="K13" s="194" t="str">
        <f>IF(Waste[[#This Row],[Month]]&lt;&gt;"",VLOOKUP(Waste[[#This Row],[Month]], dropdown!$S$4:$T$15, 2, FALSE),"")</f>
        <v>Q3</v>
      </c>
      <c r="L13" s="57" t="s">
        <v>383</v>
      </c>
      <c r="M13" s="29">
        <v>2600</v>
      </c>
      <c r="N13" s="57" t="s">
        <v>313</v>
      </c>
      <c r="O13" s="195" t="s">
        <v>1435</v>
      </c>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t="e">
        <f t="shared" si="1"/>
        <v>#REF!</v>
      </c>
      <c r="J14" s="58"/>
      <c r="K14" s="194" t="str">
        <f>IF(Waste[[#This Row],[Month]]&lt;&gt;"",VLOOKUP(Waste[[#This Row],[Month]], dropdown!$S$4:$T$15, 2, FALSE),"")</f>
        <v/>
      </c>
      <c r="L14" s="57"/>
      <c r="M14" s="29"/>
      <c r="N14" s="57"/>
      <c r="O14" s="195"/>
      <c r="Q14" s="44"/>
    </row>
    <row r="15" spans="2:17" ht="15" customHeight="1" x14ac:dyDescent="0.2">
      <c r="B15" s="17" t="str">
        <f>dropdown!$B8</f>
        <v>Hazardous</v>
      </c>
      <c r="C15" s="17" t="s">
        <v>283</v>
      </c>
      <c r="D15" s="41">
        <f>SUMIFS(Waste[Weight (kg)],Waste[Quarter],D$10,Waste[Waste Composition],$B15)</f>
        <v>871.93</v>
      </c>
      <c r="E15" s="41">
        <f>SUMIFS(Waste[Weight (kg)],Waste[Quarter],E$10,Waste[Waste Composition],$B15)</f>
        <v>0</v>
      </c>
      <c r="F15" s="41">
        <f>SUMIFS(Waste[Weight (kg)],Waste[Quarter],F$10,Waste[Waste Composition],$B15)</f>
        <v>0</v>
      </c>
      <c r="G15" s="41">
        <f>SUMIFS(Waste[Weight (kg)],Waste[Quarter],G$10,Waste[Waste Composition],$B15)</f>
        <v>0</v>
      </c>
      <c r="I15" s="194" t="e">
        <f t="shared" si="1"/>
        <v>#REF!</v>
      </c>
      <c r="J15" s="58"/>
      <c r="K15" s="194" t="str">
        <f>IF(Waste[[#This Row],[Month]]&lt;&gt;"",VLOOKUP(Waste[[#This Row],[Month]], dropdown!$S$4:$T$15, 2, FALSE),"")</f>
        <v/>
      </c>
      <c r="L15" s="57"/>
      <c r="M15" s="29"/>
      <c r="N15" s="57"/>
      <c r="O15" s="195"/>
    </row>
    <row r="16" spans="2:17" x14ac:dyDescent="0.2">
      <c r="B16" s="17" t="str">
        <f>dropdown!$B9</f>
        <v>Residual/Landfill</v>
      </c>
      <c r="C16" s="17" t="s">
        <v>283</v>
      </c>
      <c r="D16" s="41">
        <f>SUMIFS(Waste[Weight (kg)],Waste[Quarter],D$10,Waste[Waste Composition],$B16)</f>
        <v>0</v>
      </c>
      <c r="E16" s="41">
        <f>SUMIFS(Waste[Weight (kg)],Waste[Quarter],E$10,Waste[Waste Composition],$B16)</f>
        <v>11525</v>
      </c>
      <c r="F16" s="41">
        <f>SUMIFS(Waste[Weight (kg)],Waste[Quarter],F$10,Waste[Waste Composition],$B16)</f>
        <v>8000</v>
      </c>
      <c r="G16" s="41">
        <f>SUMIFS(Waste[Weight (kg)],Waste[Quarter],G$10,Waste[Waste Composition],$B16)</f>
        <v>0</v>
      </c>
      <c r="I16" s="194" t="e">
        <f t="shared" si="1"/>
        <v>#REF!</v>
      </c>
      <c r="J16" s="58"/>
      <c r="K16" s="194" t="str">
        <f>IF(Waste[[#This Row],[Month]]&lt;&gt;"",VLOOKUP(Waste[[#This Row],[Month]], dropdown!$S$4:$T$15, 2, FALSE),"")</f>
        <v/>
      </c>
      <c r="L16" s="57"/>
      <c r="M16" s="29"/>
      <c r="N16" s="57"/>
      <c r="O16" s="195"/>
    </row>
    <row r="17" spans="2:15" x14ac:dyDescent="0.2">
      <c r="I17" s="194" t="str">
        <f t="shared" si="1"/>
        <v/>
      </c>
      <c r="J17" s="58"/>
      <c r="K17" s="194" t="str">
        <f>IF(Waste[[#This Row],[Month]]&lt;&gt;"",VLOOKUP(Waste[[#This Row],[Month]], dropdown!$S$4:$T$15, 2, FALSE),"")</f>
        <v/>
      </c>
      <c r="L17" s="57"/>
      <c r="M17" s="29"/>
      <c r="N17" s="57"/>
      <c r="O17" s="195"/>
    </row>
    <row r="18" spans="2:15" x14ac:dyDescent="0.2">
      <c r="B18" s="267" t="s">
        <v>38</v>
      </c>
      <c r="I18" s="194" t="str">
        <f t="shared" ref="I18:I23" si="2">IF($J16="","",$I17+1)</f>
        <v/>
      </c>
      <c r="J18" s="58"/>
      <c r="K18" s="194" t="str">
        <f>IF(Waste[[#This Row],[Month]]&lt;&gt;"",VLOOKUP(Waste[[#This Row],[Month]], dropdown!$S$4:$T$15, 2, FALSE),"")</f>
        <v/>
      </c>
      <c r="L18" s="57"/>
      <c r="M18" s="29"/>
      <c r="N18" s="57"/>
      <c r="O18" s="195"/>
    </row>
    <row r="19" spans="2:15" x14ac:dyDescent="0.2">
      <c r="B19" s="268" t="s">
        <v>175</v>
      </c>
      <c r="I19" s="194" t="str">
        <f t="shared" si="2"/>
        <v/>
      </c>
      <c r="J19" s="58"/>
      <c r="K19" s="194" t="str">
        <f>IF(Waste[[#This Row],[Month]]&lt;&gt;"",VLOOKUP(Waste[[#This Row],[Month]], dropdown!$S$4:$T$15, 2, FALSE),"")</f>
        <v/>
      </c>
      <c r="L19" s="57"/>
      <c r="M19" s="29"/>
      <c r="N19" s="57"/>
      <c r="O19" s="195"/>
    </row>
    <row r="20" spans="2:15" x14ac:dyDescent="0.2">
      <c r="B20" s="266" t="s">
        <v>176</v>
      </c>
      <c r="I20" s="194" t="str">
        <f t="shared" si="2"/>
        <v/>
      </c>
      <c r="J20" s="58"/>
      <c r="K20" s="194" t="str">
        <f>IF(Waste[[#This Row],[Month]]&lt;&gt;"",VLOOKUP(Waste[[#This Row],[Month]], dropdown!$S$4:$T$15, 2, FALSE),"")</f>
        <v/>
      </c>
      <c r="L20" s="57"/>
      <c r="M20" s="29"/>
      <c r="N20" s="57"/>
      <c r="O20" s="195"/>
    </row>
    <row r="21" spans="2:15" x14ac:dyDescent="0.2">
      <c r="B21" s="17" t="s">
        <v>177</v>
      </c>
      <c r="I21" s="194" t="str">
        <f t="shared" si="2"/>
        <v/>
      </c>
      <c r="J21" s="58"/>
      <c r="K21" s="194" t="str">
        <f>IF(Waste[[#This Row],[Month]]&lt;&gt;"",VLOOKUP(Waste[[#This Row],[Month]], dropdown!$S$4:$T$15, 2, FALSE),"")</f>
        <v/>
      </c>
      <c r="L21" s="57"/>
      <c r="M21" s="29"/>
      <c r="N21" s="57"/>
      <c r="O21" s="195"/>
    </row>
    <row r="22" spans="2:15" x14ac:dyDescent="0.2">
      <c r="I22" s="194" t="str">
        <f t="shared" si="2"/>
        <v/>
      </c>
      <c r="J22" s="58"/>
      <c r="K22" s="194" t="str">
        <f>IF(Waste[[#This Row],[Month]]&lt;&gt;"",VLOOKUP(Waste[[#This Row],[Month]], dropdown!$S$4:$T$15, 2, FALSE),"")</f>
        <v/>
      </c>
      <c r="L22" s="57"/>
      <c r="M22" s="29"/>
      <c r="N22" s="57"/>
      <c r="O22" s="195"/>
    </row>
    <row r="23" spans="2:15" x14ac:dyDescent="0.2">
      <c r="I23" s="194" t="str">
        <f t="shared" si="2"/>
        <v/>
      </c>
      <c r="J23" s="58"/>
      <c r="K23" s="194" t="str">
        <f>IF(Waste[[#This Row],[Month]]&lt;&gt;"",VLOOKUP(Waste[[#This Row],[Month]], dropdown!$S$4:$T$15, 2, FALSE),"")</f>
        <v/>
      </c>
      <c r="L23" s="57"/>
      <c r="M23" s="29"/>
      <c r="N23" s="57"/>
      <c r="O23" s="195"/>
    </row>
    <row r="24" spans="2:15" x14ac:dyDescent="0.2">
      <c r="I24" s="194" t="str">
        <f t="shared" ref="I24:I72" si="3">IF($J24="","",$I23+1)</f>
        <v/>
      </c>
      <c r="J24" s="58"/>
      <c r="K24" s="194" t="str">
        <f>IF(Waste[[#This Row],[Month]]&lt;&gt;"",VLOOKUP(Waste[[#This Row],[Month]], dropdown!$S$4:$T$15, 2, FALSE),"")</f>
        <v/>
      </c>
      <c r="L24" s="57"/>
      <c r="M24" s="29"/>
      <c r="N24" s="57"/>
      <c r="O24" s="195"/>
    </row>
    <row r="25" spans="2:15" x14ac:dyDescent="0.2">
      <c r="I25" s="194" t="str">
        <f t="shared" si="3"/>
        <v/>
      </c>
      <c r="J25" s="58"/>
      <c r="K25" s="194" t="str">
        <f>IF(Waste[[#This Row],[Month]]&lt;&gt;"",VLOOKUP(Waste[[#This Row],[Month]], dropdown!$S$4:$T$15, 2, FALSE),"")</f>
        <v/>
      </c>
      <c r="L25" s="57"/>
      <c r="M25" s="29"/>
      <c r="N25" s="57"/>
      <c r="O25" s="195"/>
    </row>
    <row r="26" spans="2:15" x14ac:dyDescent="0.2">
      <c r="I26" s="194" t="str">
        <f t="shared" si="3"/>
        <v/>
      </c>
      <c r="J26" s="58"/>
      <c r="K26" s="194" t="str">
        <f>IF(Waste[[#This Row],[Month]]&lt;&gt;"",VLOOKUP(Waste[[#This Row],[Month]], dropdown!$S$4:$T$15, 2, FALSE),"")</f>
        <v/>
      </c>
      <c r="L26" s="57"/>
      <c r="M26" s="29"/>
      <c r="N26" s="57"/>
      <c r="O26" s="195"/>
    </row>
    <row r="27" spans="2:15" x14ac:dyDescent="0.2">
      <c r="I27" s="194" t="str">
        <f t="shared" si="3"/>
        <v/>
      </c>
      <c r="J27" s="58"/>
      <c r="K27" s="194" t="str">
        <f>IF(Waste[[#This Row],[Month]]&lt;&gt;"",VLOOKUP(Waste[[#This Row],[Month]], dropdown!$S$4:$T$15, 2, FALSE),"")</f>
        <v/>
      </c>
      <c r="L27" s="57"/>
      <c r="M27" s="29"/>
      <c r="N27" s="57"/>
      <c r="O27" s="195"/>
    </row>
    <row r="28" spans="2:15" x14ac:dyDescent="0.2">
      <c r="I28" s="194" t="str">
        <f t="shared" si="3"/>
        <v/>
      </c>
      <c r="J28" s="58"/>
      <c r="K28" s="194" t="str">
        <f>IF(Waste[[#This Row],[Month]]&lt;&gt;"",VLOOKUP(Waste[[#This Row],[Month]], dropdown!$S$4:$T$15, 2, FALSE),"")</f>
        <v/>
      </c>
      <c r="L28" s="57"/>
      <c r="M28" s="29"/>
      <c r="N28" s="57"/>
      <c r="O28" s="195"/>
    </row>
    <row r="29" spans="2:15" x14ac:dyDescent="0.2">
      <c r="I29" s="194" t="str">
        <f t="shared" si="3"/>
        <v/>
      </c>
      <c r="J29" s="58"/>
      <c r="K29" s="194" t="str">
        <f>IF(Waste[[#This Row],[Month]]&lt;&gt;"",VLOOKUP(Waste[[#This Row],[Month]], dropdown!$S$4:$T$15, 2, FALSE),"")</f>
        <v/>
      </c>
      <c r="L29" s="57"/>
      <c r="M29" s="29"/>
      <c r="N29" s="57"/>
      <c r="O29" s="195"/>
    </row>
    <row r="30" spans="2:15" x14ac:dyDescent="0.2">
      <c r="I30" s="194" t="str">
        <f t="shared" si="3"/>
        <v/>
      </c>
      <c r="J30" s="58"/>
      <c r="K30" s="194" t="str">
        <f>IF(Waste[[#This Row],[Month]]&lt;&gt;"",VLOOKUP(Waste[[#This Row],[Month]], dropdown!$S$4:$T$15, 2, FALSE),"")</f>
        <v/>
      </c>
      <c r="L30" s="57"/>
      <c r="M30" s="29"/>
      <c r="N30" s="57"/>
      <c r="O30" s="195"/>
    </row>
    <row r="31" spans="2:15" x14ac:dyDescent="0.2">
      <c r="I31" s="194" t="str">
        <f t="shared" si="3"/>
        <v/>
      </c>
      <c r="J31" s="58"/>
      <c r="K31" s="194" t="str">
        <f>IF(Waste[[#This Row],[Month]]&lt;&gt;"",VLOOKUP(Waste[[#This Row],[Month]], dropdown!$S$4:$T$15, 2, FALSE),"")</f>
        <v/>
      </c>
      <c r="L31" s="57"/>
      <c r="M31" s="29"/>
      <c r="N31" s="57"/>
      <c r="O31" s="195"/>
    </row>
    <row r="32" spans="2:15" x14ac:dyDescent="0.2">
      <c r="I32" s="194" t="str">
        <f t="shared" si="3"/>
        <v/>
      </c>
      <c r="J32" s="58"/>
      <c r="K32" s="194" t="str">
        <f>IF(Waste[[#This Row],[Month]]&lt;&gt;"",VLOOKUP(Waste[[#This Row],[Month]], dropdown!$S$4:$T$15, 2, FALSE),"")</f>
        <v/>
      </c>
      <c r="L32" s="57"/>
      <c r="M32" s="29"/>
      <c r="N32" s="57"/>
      <c r="O32" s="195"/>
    </row>
    <row r="33" spans="9:15" x14ac:dyDescent="0.2">
      <c r="I33" s="194" t="str">
        <f t="shared" si="3"/>
        <v/>
      </c>
      <c r="J33" s="58"/>
      <c r="K33" s="194" t="str">
        <f>IF(Waste[[#This Row],[Month]]&lt;&gt;"",VLOOKUP(Waste[[#This Row],[Month]], dropdown!$S$4:$T$15, 2, FALSE),"")</f>
        <v/>
      </c>
      <c r="L33" s="57"/>
      <c r="M33" s="29"/>
      <c r="N33" s="57"/>
      <c r="O33" s="195"/>
    </row>
    <row r="34" spans="9:15" x14ac:dyDescent="0.2">
      <c r="I34" s="194" t="str">
        <f t="shared" si="3"/>
        <v/>
      </c>
      <c r="J34" s="58"/>
      <c r="K34" s="194" t="str">
        <f>IF(Waste[[#This Row],[Month]]&lt;&gt;"",VLOOKUP(Waste[[#This Row],[Month]], dropdown!$S$4:$T$15, 2, FALSE),"")</f>
        <v/>
      </c>
      <c r="L34" s="57"/>
      <c r="M34" s="29"/>
      <c r="N34" s="57"/>
      <c r="O34" s="195"/>
    </row>
    <row r="35" spans="9:15" x14ac:dyDescent="0.2">
      <c r="I35" s="194" t="str">
        <f t="shared" si="3"/>
        <v/>
      </c>
      <c r="J35" s="58"/>
      <c r="K35" s="194" t="str">
        <f>IF(Waste[[#This Row],[Month]]&lt;&gt;"",VLOOKUP(Waste[[#This Row],[Month]], dropdown!$S$4:$T$15, 2, FALSE),"")</f>
        <v/>
      </c>
      <c r="L35" s="57"/>
      <c r="M35" s="29"/>
      <c r="N35" s="57"/>
      <c r="O35" s="195"/>
    </row>
    <row r="36" spans="9:15" x14ac:dyDescent="0.2">
      <c r="I36" s="194" t="str">
        <f t="shared" si="3"/>
        <v/>
      </c>
      <c r="J36" s="58"/>
      <c r="K36" s="194" t="str">
        <f>IF(Waste[[#This Row],[Month]]&lt;&gt;"",VLOOKUP(Waste[[#This Row],[Month]], dropdown!$S$4:$T$15, 2, FALSE),"")</f>
        <v/>
      </c>
      <c r="L36" s="57"/>
      <c r="M36" s="29"/>
      <c r="N36" s="57"/>
      <c r="O36" s="195"/>
    </row>
    <row r="37" spans="9:15" x14ac:dyDescent="0.2">
      <c r="I37" s="194" t="str">
        <f t="shared" si="3"/>
        <v/>
      </c>
      <c r="J37" s="58"/>
      <c r="K37" s="194" t="str">
        <f>IF(Waste[[#This Row],[Month]]&lt;&gt;"",VLOOKUP(Waste[[#This Row],[Month]], dropdown!$S$4:$T$15, 2, FALSE),"")</f>
        <v/>
      </c>
      <c r="L37" s="57"/>
      <c r="M37" s="29"/>
      <c r="N37" s="57"/>
      <c r="O37" s="195"/>
    </row>
    <row r="38" spans="9:15" x14ac:dyDescent="0.2">
      <c r="I38" s="194" t="str">
        <f t="shared" si="3"/>
        <v/>
      </c>
      <c r="J38" s="58"/>
      <c r="K38" s="194" t="str">
        <f>IF(Waste[[#This Row],[Month]]&lt;&gt;"",VLOOKUP(Waste[[#This Row],[Month]], dropdown!$S$4:$T$15, 2, FALSE),"")</f>
        <v/>
      </c>
      <c r="L38" s="57"/>
      <c r="M38" s="29"/>
      <c r="N38" s="57"/>
      <c r="O38" s="195"/>
    </row>
    <row r="39" spans="9:15" x14ac:dyDescent="0.2">
      <c r="I39" s="194" t="str">
        <f t="shared" si="3"/>
        <v/>
      </c>
      <c r="J39" s="58"/>
      <c r="K39" s="194" t="str">
        <f>IF(Waste[[#This Row],[Month]]&lt;&gt;"",VLOOKUP(Waste[[#This Row],[Month]], dropdown!$S$4:$T$15, 2, FALSE),"")</f>
        <v/>
      </c>
      <c r="L39" s="57"/>
      <c r="M39" s="29"/>
      <c r="N39" s="57"/>
      <c r="O39" s="195"/>
    </row>
    <row r="40" spans="9:15" x14ac:dyDescent="0.2">
      <c r="I40" s="194" t="str">
        <f t="shared" si="3"/>
        <v/>
      </c>
      <c r="J40" s="58"/>
      <c r="K40" s="194" t="str">
        <f>IF(Waste[[#This Row],[Month]]&lt;&gt;"",VLOOKUP(Waste[[#This Row],[Month]], dropdown!$S$4:$T$15, 2, FALSE),"")</f>
        <v/>
      </c>
      <c r="L40" s="57"/>
      <c r="M40" s="29"/>
      <c r="N40" s="57"/>
      <c r="O40" s="195"/>
    </row>
    <row r="41" spans="9:15" x14ac:dyDescent="0.2">
      <c r="I41" s="194" t="str">
        <f t="shared" si="3"/>
        <v/>
      </c>
      <c r="J41" s="58"/>
      <c r="K41" s="194" t="str">
        <f>IF(Waste[[#This Row],[Month]]&lt;&gt;"",VLOOKUP(Waste[[#This Row],[Month]], dropdown!$S$4:$T$15, 2, FALSE),"")</f>
        <v/>
      </c>
      <c r="L41" s="57"/>
      <c r="M41" s="29"/>
      <c r="N41" s="57"/>
      <c r="O41" s="195"/>
    </row>
    <row r="42" spans="9:15" x14ac:dyDescent="0.2">
      <c r="I42" s="194" t="str">
        <f t="shared" si="3"/>
        <v/>
      </c>
      <c r="J42" s="58"/>
      <c r="K42" s="194" t="str">
        <f>IF(Waste[[#This Row],[Month]]&lt;&gt;"",VLOOKUP(Waste[[#This Row],[Month]], dropdown!$S$4:$T$15, 2, FALSE),"")</f>
        <v/>
      </c>
      <c r="L42" s="57"/>
      <c r="M42" s="29"/>
      <c r="N42" s="57"/>
      <c r="O42" s="195"/>
    </row>
    <row r="43" spans="9:15" x14ac:dyDescent="0.2">
      <c r="I43" s="194" t="str">
        <f t="shared" si="3"/>
        <v/>
      </c>
      <c r="J43" s="58"/>
      <c r="K43" s="194" t="str">
        <f>IF(Waste[[#This Row],[Month]]&lt;&gt;"",VLOOKUP(Waste[[#This Row],[Month]], dropdown!$S$4:$T$15, 2, FALSE),"")</f>
        <v/>
      </c>
      <c r="L43" s="57"/>
      <c r="M43" s="29"/>
      <c r="N43" s="57"/>
      <c r="O43" s="195"/>
    </row>
    <row r="44" spans="9:15" x14ac:dyDescent="0.2">
      <c r="I44" s="194" t="str">
        <f t="shared" si="3"/>
        <v/>
      </c>
      <c r="J44" s="58"/>
      <c r="K44" s="194" t="str">
        <f>IF(Waste[[#This Row],[Month]]&lt;&gt;"",VLOOKUP(Waste[[#This Row],[Month]], dropdown!$S$4:$T$15, 2, FALSE),"")</f>
        <v/>
      </c>
      <c r="L44" s="57"/>
      <c r="M44" s="29"/>
      <c r="N44" s="57"/>
      <c r="O44" s="195"/>
    </row>
    <row r="45" spans="9:15" x14ac:dyDescent="0.2">
      <c r="I45" s="194" t="str">
        <f t="shared" si="3"/>
        <v/>
      </c>
      <c r="J45" s="58"/>
      <c r="K45" s="194" t="str">
        <f>IF(Waste[[#This Row],[Month]]&lt;&gt;"",VLOOKUP(Waste[[#This Row],[Month]], dropdown!$S$4:$T$15, 2, FALSE),"")</f>
        <v/>
      </c>
      <c r="L45" s="57"/>
      <c r="M45" s="29"/>
      <c r="N45" s="57"/>
      <c r="O45" s="195"/>
    </row>
    <row r="46" spans="9:15" x14ac:dyDescent="0.2">
      <c r="I46" s="194" t="str">
        <f t="shared" si="3"/>
        <v/>
      </c>
      <c r="J46" s="58"/>
      <c r="K46" s="194" t="str">
        <f>IF(Waste[[#This Row],[Month]]&lt;&gt;"",VLOOKUP(Waste[[#This Row],[Month]], dropdown!$S$4:$T$15, 2, FALSE),"")</f>
        <v/>
      </c>
      <c r="L46" s="57"/>
      <c r="M46" s="29"/>
      <c r="N46" s="57"/>
      <c r="O46" s="195"/>
    </row>
    <row r="47" spans="9:15" x14ac:dyDescent="0.2">
      <c r="I47" s="194" t="str">
        <f t="shared" si="3"/>
        <v/>
      </c>
      <c r="J47" s="58"/>
      <c r="K47" s="194" t="str">
        <f>IF(Waste[[#This Row],[Month]]&lt;&gt;"",VLOOKUP(Waste[[#This Row],[Month]], dropdown!$S$4:$T$15, 2, FALSE),"")</f>
        <v/>
      </c>
      <c r="L47" s="57"/>
      <c r="M47" s="29"/>
      <c r="N47" s="57"/>
      <c r="O47" s="195"/>
    </row>
    <row r="48" spans="9:15" x14ac:dyDescent="0.2">
      <c r="I48" s="194" t="str">
        <f t="shared" si="3"/>
        <v/>
      </c>
      <c r="J48" s="58"/>
      <c r="K48" s="194" t="str">
        <f>IF(Waste[[#This Row],[Month]]&lt;&gt;"",VLOOKUP(Waste[[#This Row],[Month]], dropdown!$S$4:$T$15, 2, FALSE),"")</f>
        <v/>
      </c>
      <c r="L48" s="57"/>
      <c r="M48" s="29"/>
      <c r="N48" s="57"/>
      <c r="O48" s="195"/>
    </row>
    <row r="49" spans="9:15" x14ac:dyDescent="0.2">
      <c r="I49" s="194" t="str">
        <f t="shared" si="3"/>
        <v/>
      </c>
      <c r="J49" s="58"/>
      <c r="K49" s="194" t="str">
        <f>IF(Waste[[#This Row],[Month]]&lt;&gt;"",VLOOKUP(Waste[[#This Row],[Month]], dropdown!$S$4:$T$15, 2, FALSE),"")</f>
        <v/>
      </c>
      <c r="L49" s="57"/>
      <c r="M49" s="29"/>
      <c r="N49" s="57"/>
      <c r="O49" s="195"/>
    </row>
    <row r="50" spans="9:15" x14ac:dyDescent="0.2">
      <c r="I50" s="194" t="str">
        <f t="shared" si="3"/>
        <v/>
      </c>
      <c r="J50" s="58"/>
      <c r="K50" s="194" t="str">
        <f>IF(Waste[[#This Row],[Month]]&lt;&gt;"",VLOOKUP(Waste[[#This Row],[Month]], dropdown!$S$4:$T$15, 2, FALSE),"")</f>
        <v/>
      </c>
      <c r="L50" s="57"/>
      <c r="M50" s="29"/>
      <c r="N50" s="57"/>
      <c r="O50" s="195"/>
    </row>
    <row r="51" spans="9:15" x14ac:dyDescent="0.2">
      <c r="I51" s="194" t="str">
        <f t="shared" si="3"/>
        <v/>
      </c>
      <c r="J51" s="58"/>
      <c r="K51" s="194" t="str">
        <f>IF(Waste[[#This Row],[Month]]&lt;&gt;"",VLOOKUP(Waste[[#This Row],[Month]], dropdown!$S$4:$T$15, 2, FALSE),"")</f>
        <v/>
      </c>
      <c r="L51" s="57"/>
      <c r="M51" s="29"/>
      <c r="N51" s="57"/>
      <c r="O51" s="195"/>
    </row>
    <row r="52" spans="9:15" x14ac:dyDescent="0.2">
      <c r="I52" s="194" t="str">
        <f t="shared" si="3"/>
        <v/>
      </c>
      <c r="J52" s="58"/>
      <c r="K52" s="194" t="str">
        <f>IF(Waste[[#This Row],[Month]]&lt;&gt;"",VLOOKUP(Waste[[#This Row],[Month]], dropdown!$S$4:$T$15, 2, FALSE),"")</f>
        <v/>
      </c>
      <c r="L52" s="57"/>
      <c r="M52" s="29"/>
      <c r="N52" s="57"/>
      <c r="O52" s="195"/>
    </row>
    <row r="53" spans="9:15" x14ac:dyDescent="0.2">
      <c r="I53" s="194" t="str">
        <f t="shared" si="3"/>
        <v/>
      </c>
      <c r="J53" s="58"/>
      <c r="K53" s="194" t="str">
        <f>IF(Waste[[#This Row],[Month]]&lt;&gt;"",VLOOKUP(Waste[[#This Row],[Month]], dropdown!$S$4:$T$15, 2, FALSE),"")</f>
        <v/>
      </c>
      <c r="L53" s="57"/>
      <c r="M53" s="29"/>
      <c r="N53" s="57"/>
      <c r="O53" s="195"/>
    </row>
    <row r="54" spans="9:15" x14ac:dyDescent="0.2">
      <c r="I54" s="194" t="str">
        <f t="shared" si="3"/>
        <v/>
      </c>
      <c r="J54" s="58"/>
      <c r="K54" s="194" t="str">
        <f>IF(Waste[[#This Row],[Month]]&lt;&gt;"",VLOOKUP(Waste[[#This Row],[Month]], dropdown!$S$4:$T$15, 2, FALSE),"")</f>
        <v/>
      </c>
      <c r="L54" s="57"/>
      <c r="M54" s="29"/>
      <c r="N54" s="57"/>
      <c r="O54" s="195"/>
    </row>
    <row r="55" spans="9:15" x14ac:dyDescent="0.2">
      <c r="I55" s="194" t="str">
        <f t="shared" si="3"/>
        <v/>
      </c>
      <c r="J55" s="58"/>
      <c r="K55" s="194" t="str">
        <f>IF(Waste[[#This Row],[Month]]&lt;&gt;"",VLOOKUP(Waste[[#This Row],[Month]], dropdown!$S$4:$T$15, 2, FALSE),"")</f>
        <v/>
      </c>
      <c r="L55" s="57"/>
      <c r="M55" s="29"/>
      <c r="N55" s="57"/>
      <c r="O55" s="195"/>
    </row>
    <row r="56" spans="9:15" x14ac:dyDescent="0.2">
      <c r="I56" s="194" t="str">
        <f t="shared" si="3"/>
        <v/>
      </c>
      <c r="J56" s="58"/>
      <c r="K56" s="194" t="str">
        <f>IF(Waste[[#This Row],[Month]]&lt;&gt;"",VLOOKUP(Waste[[#This Row],[Month]], dropdown!$S$4:$T$15, 2, FALSE),"")</f>
        <v/>
      </c>
      <c r="L56" s="57"/>
      <c r="M56" s="29"/>
      <c r="N56" s="57"/>
      <c r="O56" s="195"/>
    </row>
    <row r="57" spans="9:15" x14ac:dyDescent="0.2">
      <c r="I57" s="194" t="str">
        <f t="shared" si="3"/>
        <v/>
      </c>
      <c r="J57" s="58"/>
      <c r="K57" s="194" t="str">
        <f>IF(Waste[[#This Row],[Month]]&lt;&gt;"",VLOOKUP(Waste[[#This Row],[Month]], dropdown!$S$4:$T$15, 2, FALSE),"")</f>
        <v/>
      </c>
      <c r="L57" s="57"/>
      <c r="M57" s="29"/>
      <c r="N57" s="57"/>
      <c r="O57" s="195"/>
    </row>
    <row r="58" spans="9:15" x14ac:dyDescent="0.2">
      <c r="I58" s="194" t="str">
        <f t="shared" si="3"/>
        <v/>
      </c>
      <c r="J58" s="58"/>
      <c r="K58" s="194" t="str">
        <f>IF(Waste[[#This Row],[Month]]&lt;&gt;"",VLOOKUP(Waste[[#This Row],[Month]], dropdown!$S$4:$T$15, 2, FALSE),"")</f>
        <v/>
      </c>
      <c r="L58" s="57"/>
      <c r="M58" s="29"/>
      <c r="N58" s="57"/>
      <c r="O58" s="195"/>
    </row>
    <row r="59" spans="9:15" x14ac:dyDescent="0.2">
      <c r="I59" s="194" t="str">
        <f t="shared" si="3"/>
        <v/>
      </c>
      <c r="J59" s="58"/>
      <c r="K59" s="194" t="str">
        <f>IF(Waste[[#This Row],[Month]]&lt;&gt;"",VLOOKUP(Waste[[#This Row],[Month]], dropdown!$S$4:$T$15, 2, FALSE),"")</f>
        <v/>
      </c>
      <c r="L59" s="57"/>
      <c r="M59" s="29"/>
      <c r="N59" s="57"/>
      <c r="O59" s="195"/>
    </row>
    <row r="60" spans="9:15" x14ac:dyDescent="0.2">
      <c r="I60" s="194" t="str">
        <f t="shared" si="3"/>
        <v/>
      </c>
      <c r="J60" s="58"/>
      <c r="K60" s="194" t="str">
        <f>IF(Waste[[#This Row],[Month]]&lt;&gt;"",VLOOKUP(Waste[[#This Row],[Month]], dropdown!$S$4:$T$15, 2, FALSE),"")</f>
        <v/>
      </c>
      <c r="L60" s="57"/>
      <c r="M60" s="29"/>
      <c r="N60" s="57"/>
      <c r="O60" s="195"/>
    </row>
    <row r="61" spans="9:15" x14ac:dyDescent="0.2">
      <c r="I61" s="194" t="str">
        <f t="shared" si="3"/>
        <v/>
      </c>
      <c r="J61" s="58"/>
      <c r="K61" s="194" t="str">
        <f>IF(Waste[[#This Row],[Month]]&lt;&gt;"",VLOOKUP(Waste[[#This Row],[Month]], dropdown!$S$4:$T$15, 2, FALSE),"")</f>
        <v/>
      </c>
      <c r="L61" s="57"/>
      <c r="M61" s="29"/>
      <c r="N61" s="57"/>
      <c r="O61" s="195"/>
    </row>
    <row r="62" spans="9:15" x14ac:dyDescent="0.2">
      <c r="I62" s="194" t="str">
        <f t="shared" si="3"/>
        <v/>
      </c>
      <c r="J62" s="58"/>
      <c r="K62" s="194" t="str">
        <f>IF(Waste[[#This Row],[Month]]&lt;&gt;"",VLOOKUP(Waste[[#This Row],[Month]], dropdown!$S$4:$T$15, 2, FALSE),"")</f>
        <v/>
      </c>
      <c r="L62" s="57"/>
      <c r="M62" s="29"/>
      <c r="N62" s="57"/>
      <c r="O62" s="195"/>
    </row>
    <row r="63" spans="9:15" x14ac:dyDescent="0.2">
      <c r="I63" s="194" t="str">
        <f t="shared" si="3"/>
        <v/>
      </c>
      <c r="J63" s="58"/>
      <c r="K63" s="194" t="str">
        <f>IF(Waste[[#This Row],[Month]]&lt;&gt;"",VLOOKUP(Waste[[#This Row],[Month]], dropdown!$S$4:$T$15, 2, FALSE),"")</f>
        <v/>
      </c>
      <c r="L63" s="57"/>
      <c r="M63" s="29"/>
      <c r="N63" s="57"/>
      <c r="O63" s="195"/>
    </row>
    <row r="64" spans="9:15" x14ac:dyDescent="0.2">
      <c r="I64" s="194" t="str">
        <f t="shared" si="3"/>
        <v/>
      </c>
      <c r="J64" s="58"/>
      <c r="K64" s="194" t="str">
        <f>IF(Waste[[#This Row],[Month]]&lt;&gt;"",VLOOKUP(Waste[[#This Row],[Month]], dropdown!$S$4:$T$15, 2, FALSE),"")</f>
        <v/>
      </c>
      <c r="L64" s="57"/>
      <c r="M64" s="29"/>
      <c r="N64" s="57"/>
      <c r="O64" s="195"/>
    </row>
    <row r="65" spans="9:15" x14ac:dyDescent="0.2">
      <c r="I65" s="194" t="str">
        <f t="shared" si="3"/>
        <v/>
      </c>
      <c r="J65" s="58"/>
      <c r="K65" s="194" t="str">
        <f>IF(Waste[[#This Row],[Month]]&lt;&gt;"",VLOOKUP(Waste[[#This Row],[Month]], dropdown!$S$4:$T$15, 2, FALSE),"")</f>
        <v/>
      </c>
      <c r="L65" s="57"/>
      <c r="M65" s="29"/>
      <c r="N65" s="57"/>
      <c r="O65" s="195"/>
    </row>
    <row r="66" spans="9:15" x14ac:dyDescent="0.2">
      <c r="I66" s="194" t="str">
        <f t="shared" si="3"/>
        <v/>
      </c>
      <c r="J66" s="58"/>
      <c r="K66" s="194" t="str">
        <f>IF(Waste[[#This Row],[Month]]&lt;&gt;"",VLOOKUP(Waste[[#This Row],[Month]], dropdown!$S$4:$T$15, 2, FALSE),"")</f>
        <v/>
      </c>
      <c r="L66" s="57"/>
      <c r="M66" s="29"/>
      <c r="N66" s="57"/>
      <c r="O66" s="195"/>
    </row>
    <row r="67" spans="9:15" x14ac:dyDescent="0.2">
      <c r="I67" s="194" t="str">
        <f t="shared" si="3"/>
        <v/>
      </c>
      <c r="J67" s="58"/>
      <c r="K67" s="194" t="str">
        <f>IF(Waste[[#This Row],[Month]]&lt;&gt;"",VLOOKUP(Waste[[#This Row],[Month]], dropdown!$S$4:$T$15, 2, FALSE),"")</f>
        <v/>
      </c>
      <c r="L67" s="57"/>
      <c r="M67" s="29"/>
      <c r="N67" s="57"/>
      <c r="O67" s="195"/>
    </row>
    <row r="68" spans="9:15" x14ac:dyDescent="0.2">
      <c r="I68" s="194" t="str">
        <f t="shared" si="3"/>
        <v/>
      </c>
      <c r="J68" s="58"/>
      <c r="K68" s="194" t="str">
        <f>IF(Waste[[#This Row],[Month]]&lt;&gt;"",VLOOKUP(Waste[[#This Row],[Month]], dropdown!$S$4:$T$15, 2, FALSE),"")</f>
        <v/>
      </c>
      <c r="L68" s="57"/>
      <c r="M68" s="29"/>
      <c r="N68" s="57"/>
      <c r="O68" s="195"/>
    </row>
    <row r="69" spans="9:15" x14ac:dyDescent="0.2">
      <c r="I69" s="194" t="str">
        <f t="shared" si="3"/>
        <v/>
      </c>
      <c r="J69" s="58"/>
      <c r="K69" s="194" t="str">
        <f>IF(Waste[[#This Row],[Month]]&lt;&gt;"",VLOOKUP(Waste[[#This Row],[Month]], dropdown!$S$4:$T$15, 2, FALSE),"")</f>
        <v/>
      </c>
      <c r="L69" s="57"/>
      <c r="M69" s="29"/>
      <c r="N69" s="57"/>
      <c r="O69" s="195"/>
    </row>
    <row r="70" spans="9:15" x14ac:dyDescent="0.2">
      <c r="I70" s="194" t="str">
        <f t="shared" si="3"/>
        <v/>
      </c>
      <c r="J70" s="58"/>
      <c r="K70" s="194" t="str">
        <f>IF(Waste[[#This Row],[Month]]&lt;&gt;"",VLOOKUP(Waste[[#This Row],[Month]], dropdown!$S$4:$T$15, 2, FALSE),"")</f>
        <v/>
      </c>
      <c r="L70" s="57"/>
      <c r="M70" s="29"/>
      <c r="N70" s="57"/>
      <c r="O70" s="195"/>
    </row>
    <row r="71" spans="9:15" x14ac:dyDescent="0.2">
      <c r="I71" s="194" t="str">
        <f t="shared" si="3"/>
        <v/>
      </c>
      <c r="J71" s="58"/>
      <c r="K71" s="194" t="str">
        <f>IF(Waste[[#This Row],[Month]]&lt;&gt;"",VLOOKUP(Waste[[#This Row],[Month]], dropdown!$S$4:$T$15, 2, FALSE),"")</f>
        <v/>
      </c>
      <c r="L71" s="57"/>
      <c r="M71" s="29"/>
      <c r="N71" s="57"/>
      <c r="O71" s="195"/>
    </row>
    <row r="72" spans="9:15" x14ac:dyDescent="0.2">
      <c r="I72" s="194" t="str">
        <f t="shared" si="3"/>
        <v/>
      </c>
      <c r="J72" s="58"/>
      <c r="K72" s="194" t="str">
        <f>IF(Waste[[#This Row],[Month]]&lt;&gt;"",VLOOKUP(Waste[[#This Row],[Month]], dropdown!$S$4:$T$15, 2, FALSE),"")</f>
        <v/>
      </c>
      <c r="L72" s="57"/>
      <c r="M72" s="29"/>
      <c r="N72" s="57"/>
      <c r="O72" s="195"/>
    </row>
    <row r="73" spans="9:15" x14ac:dyDescent="0.2">
      <c r="I73" s="194" t="str">
        <f t="shared" ref="I73:I104" si="4">IF($J73="","",$I72+1)</f>
        <v/>
      </c>
      <c r="J73" s="58"/>
      <c r="K73" s="194" t="str">
        <f>IF(Waste[[#This Row],[Month]]&lt;&gt;"",VLOOKUP(Waste[[#This Row],[Month]], dropdown!$S$4:$T$15, 2, FALSE),"")</f>
        <v/>
      </c>
      <c r="L73" s="57"/>
      <c r="M73" s="29"/>
      <c r="N73" s="57"/>
      <c r="O73" s="195"/>
    </row>
    <row r="74" spans="9:15" x14ac:dyDescent="0.2">
      <c r="I74" s="194" t="str">
        <f t="shared" si="4"/>
        <v/>
      </c>
      <c r="J74" s="58"/>
      <c r="K74" s="194" t="str">
        <f>IF(Waste[[#This Row],[Month]]&lt;&gt;"",VLOOKUP(Waste[[#This Row],[Month]], dropdown!$S$4:$T$15, 2, FALSE),"")</f>
        <v/>
      </c>
      <c r="L74" s="57"/>
      <c r="M74" s="29"/>
      <c r="N74" s="57"/>
      <c r="O74" s="195"/>
    </row>
    <row r="75" spans="9:15" x14ac:dyDescent="0.2">
      <c r="I75" s="194" t="str">
        <f t="shared" si="4"/>
        <v/>
      </c>
      <c r="J75" s="58"/>
      <c r="K75" s="194" t="str">
        <f>IF(Waste[[#This Row],[Month]]&lt;&gt;"",VLOOKUP(Waste[[#This Row],[Month]], dropdown!$S$4:$T$15, 2, FALSE),"")</f>
        <v/>
      </c>
      <c r="L75" s="57"/>
      <c r="M75" s="29"/>
      <c r="N75" s="57"/>
      <c r="O75" s="195"/>
    </row>
    <row r="76" spans="9:15" x14ac:dyDescent="0.2">
      <c r="I76" s="194" t="str">
        <f t="shared" si="4"/>
        <v/>
      </c>
      <c r="J76" s="58"/>
      <c r="K76" s="194" t="str">
        <f>IF(Waste[[#This Row],[Month]]&lt;&gt;"",VLOOKUP(Waste[[#This Row],[Month]], dropdown!$S$4:$T$15, 2, FALSE),"")</f>
        <v/>
      </c>
      <c r="L76" s="57"/>
      <c r="M76" s="29"/>
      <c r="N76" s="57"/>
      <c r="O76" s="195"/>
    </row>
    <row r="77" spans="9:15" x14ac:dyDescent="0.2">
      <c r="I77" s="194" t="str">
        <f t="shared" si="4"/>
        <v/>
      </c>
      <c r="J77" s="58"/>
      <c r="K77" s="194" t="str">
        <f>IF(Waste[[#This Row],[Month]]&lt;&gt;"",VLOOKUP(Waste[[#This Row],[Month]], dropdown!$S$4:$T$15, 2, FALSE),"")</f>
        <v/>
      </c>
      <c r="L77" s="57"/>
      <c r="M77" s="29"/>
      <c r="N77" s="57"/>
      <c r="O77" s="195"/>
    </row>
    <row r="78" spans="9:15" x14ac:dyDescent="0.2">
      <c r="I78" s="194" t="str">
        <f t="shared" si="4"/>
        <v/>
      </c>
      <c r="J78" s="58"/>
      <c r="K78" s="194" t="str">
        <f>IF(Waste[[#This Row],[Month]]&lt;&gt;"",VLOOKUP(Waste[[#This Row],[Month]], dropdown!$S$4:$T$15, 2, FALSE),"")</f>
        <v/>
      </c>
      <c r="L78" s="57"/>
      <c r="M78" s="29"/>
      <c r="N78" s="57"/>
      <c r="O78" s="195"/>
    </row>
    <row r="79" spans="9:15" x14ac:dyDescent="0.2">
      <c r="I79" s="194" t="str">
        <f t="shared" si="4"/>
        <v/>
      </c>
      <c r="J79" s="58"/>
      <c r="K79" s="194" t="str">
        <f>IF(Waste[[#This Row],[Month]]&lt;&gt;"",VLOOKUP(Waste[[#This Row],[Month]], dropdown!$S$4:$T$15, 2, FALSE),"")</f>
        <v/>
      </c>
      <c r="L79" s="57"/>
      <c r="M79" s="29"/>
      <c r="N79" s="57"/>
      <c r="O79" s="195"/>
    </row>
    <row r="80" spans="9:15" x14ac:dyDescent="0.2">
      <c r="I80" s="194" t="str">
        <f t="shared" si="4"/>
        <v/>
      </c>
      <c r="J80" s="58"/>
      <c r="K80" s="194" t="str">
        <f>IF(Waste[[#This Row],[Month]]&lt;&gt;"",VLOOKUP(Waste[[#This Row],[Month]], dropdown!$S$4:$T$15, 2, FALSE),"")</f>
        <v/>
      </c>
      <c r="L80" s="57"/>
      <c r="M80" s="29"/>
      <c r="N80" s="57"/>
      <c r="O80" s="195"/>
    </row>
    <row r="81" spans="9:15" x14ac:dyDescent="0.2">
      <c r="I81" s="194" t="str">
        <f t="shared" si="4"/>
        <v/>
      </c>
      <c r="J81" s="58"/>
      <c r="K81" s="194" t="str">
        <f>IF(Waste[[#This Row],[Month]]&lt;&gt;"",VLOOKUP(Waste[[#This Row],[Month]], dropdown!$S$4:$T$15, 2, FALSE),"")</f>
        <v/>
      </c>
      <c r="L81" s="57"/>
      <c r="M81" s="29"/>
      <c r="N81" s="57"/>
      <c r="O81" s="195"/>
    </row>
    <row r="82" spans="9:15" x14ac:dyDescent="0.2">
      <c r="I82" s="194" t="str">
        <f t="shared" si="4"/>
        <v/>
      </c>
      <c r="J82" s="58"/>
      <c r="K82" s="194" t="str">
        <f>IF(Waste[[#This Row],[Month]]&lt;&gt;"",VLOOKUP(Waste[[#This Row],[Month]], dropdown!$S$4:$T$15, 2, FALSE),"")</f>
        <v/>
      </c>
      <c r="L82" s="57"/>
      <c r="M82" s="29"/>
      <c r="N82" s="57"/>
      <c r="O82" s="195"/>
    </row>
    <row r="83" spans="9:15" x14ac:dyDescent="0.2">
      <c r="I83" s="194" t="str">
        <f t="shared" si="4"/>
        <v/>
      </c>
      <c r="J83" s="58"/>
      <c r="K83" s="194" t="str">
        <f>IF(Waste[[#This Row],[Month]]&lt;&gt;"",VLOOKUP(Waste[[#This Row],[Month]], dropdown!$S$4:$T$15, 2, FALSE),"")</f>
        <v/>
      </c>
      <c r="L83" s="57"/>
      <c r="M83" s="29"/>
      <c r="N83" s="57"/>
      <c r="O83" s="195"/>
    </row>
    <row r="84" spans="9:15" x14ac:dyDescent="0.2">
      <c r="I84" s="194" t="str">
        <f t="shared" si="4"/>
        <v/>
      </c>
      <c r="J84" s="58"/>
      <c r="K84" s="194" t="str">
        <f>IF(Waste[[#This Row],[Month]]&lt;&gt;"",VLOOKUP(Waste[[#This Row],[Month]], dropdown!$S$4:$T$15, 2, FALSE),"")</f>
        <v/>
      </c>
      <c r="L84" s="57"/>
      <c r="M84" s="29"/>
      <c r="N84" s="57"/>
      <c r="O84" s="195"/>
    </row>
    <row r="85" spans="9:15" x14ac:dyDescent="0.2">
      <c r="I85" s="194" t="str">
        <f t="shared" si="4"/>
        <v/>
      </c>
      <c r="J85" s="58"/>
      <c r="K85" s="194" t="str">
        <f>IF(Waste[[#This Row],[Month]]&lt;&gt;"",VLOOKUP(Waste[[#This Row],[Month]], dropdown!$S$4:$T$15, 2, FALSE),"")</f>
        <v/>
      </c>
      <c r="L85" s="57"/>
      <c r="M85" s="29"/>
      <c r="N85" s="57"/>
      <c r="O85" s="195"/>
    </row>
    <row r="86" spans="9:15" x14ac:dyDescent="0.2">
      <c r="I86" s="194" t="str">
        <f t="shared" si="4"/>
        <v/>
      </c>
      <c r="J86" s="58"/>
      <c r="K86" s="194" t="str">
        <f>IF(Waste[[#This Row],[Month]]&lt;&gt;"",VLOOKUP(Waste[[#This Row],[Month]], dropdown!$S$4:$T$15, 2, FALSE),"")</f>
        <v/>
      </c>
      <c r="L86" s="57"/>
      <c r="M86" s="29"/>
      <c r="N86" s="57"/>
      <c r="O86" s="195"/>
    </row>
    <row r="87" spans="9:15" x14ac:dyDescent="0.2">
      <c r="I87" s="194" t="str">
        <f t="shared" si="4"/>
        <v/>
      </c>
      <c r="J87" s="58"/>
      <c r="K87" s="194" t="str">
        <f>IF(Waste[[#This Row],[Month]]&lt;&gt;"",VLOOKUP(Waste[[#This Row],[Month]], dropdown!$S$4:$T$15, 2, FALSE),"")</f>
        <v/>
      </c>
      <c r="L87" s="57"/>
      <c r="M87" s="29"/>
      <c r="N87" s="57"/>
      <c r="O87" s="195"/>
    </row>
    <row r="88" spans="9:15" x14ac:dyDescent="0.2">
      <c r="I88" s="194" t="str">
        <f t="shared" si="4"/>
        <v/>
      </c>
      <c r="J88" s="58"/>
      <c r="K88" s="194" t="str">
        <f>IF(Waste[[#This Row],[Month]]&lt;&gt;"",VLOOKUP(Waste[[#This Row],[Month]], dropdown!$S$4:$T$15, 2, FALSE),"")</f>
        <v/>
      </c>
      <c r="L88" s="57"/>
      <c r="M88" s="29"/>
      <c r="N88" s="57"/>
      <c r="O88" s="195"/>
    </row>
    <row r="89" spans="9:15" x14ac:dyDescent="0.2">
      <c r="I89" s="194" t="str">
        <f t="shared" si="4"/>
        <v/>
      </c>
      <c r="J89" s="58"/>
      <c r="K89" s="194" t="str">
        <f>IF(Waste[[#This Row],[Month]]&lt;&gt;"",VLOOKUP(Waste[[#This Row],[Month]], dropdown!$S$4:$T$15, 2, FALSE),"")</f>
        <v/>
      </c>
      <c r="L89" s="57"/>
      <c r="M89" s="29"/>
      <c r="N89" s="57"/>
      <c r="O89" s="195"/>
    </row>
    <row r="90" spans="9:15" x14ac:dyDescent="0.2">
      <c r="I90" s="194" t="str">
        <f t="shared" si="4"/>
        <v/>
      </c>
      <c r="J90" s="58"/>
      <c r="K90" s="194" t="str">
        <f>IF(Waste[[#This Row],[Month]]&lt;&gt;"",VLOOKUP(Waste[[#This Row],[Month]], dropdown!$S$4:$T$15, 2, FALSE),"")</f>
        <v/>
      </c>
      <c r="L90" s="57"/>
      <c r="M90" s="29"/>
      <c r="N90" s="57"/>
      <c r="O90" s="195"/>
    </row>
    <row r="91" spans="9:15" x14ac:dyDescent="0.2">
      <c r="I91" s="194" t="str">
        <f t="shared" si="4"/>
        <v/>
      </c>
      <c r="J91" s="58"/>
      <c r="K91" s="194" t="str">
        <f>IF(Waste[[#This Row],[Month]]&lt;&gt;"",VLOOKUP(Waste[[#This Row],[Month]], dropdown!$S$4:$T$15, 2, FALSE),"")</f>
        <v/>
      </c>
      <c r="L91" s="57"/>
      <c r="M91" s="29"/>
      <c r="N91" s="57"/>
      <c r="O91" s="195"/>
    </row>
    <row r="92" spans="9:15" x14ac:dyDescent="0.2">
      <c r="I92" s="194" t="str">
        <f t="shared" si="4"/>
        <v/>
      </c>
      <c r="J92" s="58"/>
      <c r="K92" s="194" t="str">
        <f>IF(Waste[[#This Row],[Month]]&lt;&gt;"",VLOOKUP(Waste[[#This Row],[Month]], dropdown!$S$4:$T$15, 2, FALSE),"")</f>
        <v/>
      </c>
      <c r="L92" s="57"/>
      <c r="M92" s="29"/>
      <c r="N92" s="57"/>
      <c r="O92" s="195"/>
    </row>
    <row r="93" spans="9:15" x14ac:dyDescent="0.2">
      <c r="I93" s="194" t="str">
        <f t="shared" si="4"/>
        <v/>
      </c>
      <c r="J93" s="58"/>
      <c r="K93" s="194" t="str">
        <f>IF(Waste[[#This Row],[Month]]&lt;&gt;"",VLOOKUP(Waste[[#This Row],[Month]], dropdown!$S$4:$T$15, 2, FALSE),"")</f>
        <v/>
      </c>
      <c r="L93" s="57"/>
      <c r="M93" s="29"/>
      <c r="N93" s="57"/>
      <c r="O93" s="195"/>
    </row>
    <row r="94" spans="9:15" x14ac:dyDescent="0.2">
      <c r="I94" s="194" t="str">
        <f t="shared" si="4"/>
        <v/>
      </c>
      <c r="J94" s="58"/>
      <c r="K94" s="194" t="str">
        <f>IF(Waste[[#This Row],[Month]]&lt;&gt;"",VLOOKUP(Waste[[#This Row],[Month]], dropdown!$S$4:$T$15, 2, FALSE),"")</f>
        <v/>
      </c>
      <c r="L94" s="57"/>
      <c r="M94" s="29"/>
      <c r="N94" s="57"/>
      <c r="O94" s="195"/>
    </row>
    <row r="95" spans="9:15" x14ac:dyDescent="0.2">
      <c r="I95" s="194" t="str">
        <f t="shared" si="4"/>
        <v/>
      </c>
      <c r="J95" s="58"/>
      <c r="K95" s="194" t="str">
        <f>IF(Waste[[#This Row],[Month]]&lt;&gt;"",VLOOKUP(Waste[[#This Row],[Month]], dropdown!$S$4:$T$15, 2, FALSE),"")</f>
        <v/>
      </c>
      <c r="L95" s="57"/>
      <c r="M95" s="29"/>
      <c r="N95" s="57"/>
      <c r="O95" s="195"/>
    </row>
    <row r="96" spans="9:15" x14ac:dyDescent="0.2">
      <c r="I96" s="194" t="str">
        <f t="shared" si="4"/>
        <v/>
      </c>
      <c r="J96" s="58"/>
      <c r="K96" s="194" t="str">
        <f>IF(Waste[[#This Row],[Month]]&lt;&gt;"",VLOOKUP(Waste[[#This Row],[Month]], dropdown!$S$4:$T$15, 2, FALSE),"")</f>
        <v/>
      </c>
      <c r="L96" s="57"/>
      <c r="M96" s="29"/>
      <c r="N96" s="57"/>
      <c r="O96" s="195"/>
    </row>
    <row r="97" spans="9:15" x14ac:dyDescent="0.2">
      <c r="I97" s="194" t="str">
        <f t="shared" si="4"/>
        <v/>
      </c>
      <c r="J97" s="58"/>
      <c r="K97" s="194" t="str">
        <f>IF(Waste[[#This Row],[Month]]&lt;&gt;"",VLOOKUP(Waste[[#This Row],[Month]], dropdown!$S$4:$T$15, 2, FALSE),"")</f>
        <v/>
      </c>
      <c r="L97" s="57"/>
      <c r="M97" s="29"/>
      <c r="N97" s="57"/>
      <c r="O97" s="195"/>
    </row>
    <row r="98" spans="9:15" x14ac:dyDescent="0.2">
      <c r="I98" s="194" t="str">
        <f t="shared" si="4"/>
        <v/>
      </c>
      <c r="J98" s="58"/>
      <c r="K98" s="194" t="str">
        <f>IF(Waste[[#This Row],[Month]]&lt;&gt;"",VLOOKUP(Waste[[#This Row],[Month]], dropdown!$S$4:$T$15, 2, FALSE),"")</f>
        <v/>
      </c>
      <c r="L98" s="57"/>
      <c r="M98" s="29"/>
      <c r="N98" s="57"/>
      <c r="O98" s="195"/>
    </row>
    <row r="99" spans="9:15" x14ac:dyDescent="0.2">
      <c r="I99" s="194" t="str">
        <f t="shared" si="4"/>
        <v/>
      </c>
      <c r="J99" s="58"/>
      <c r="K99" s="194" t="str">
        <f>IF(Waste[[#This Row],[Month]]&lt;&gt;"",VLOOKUP(Waste[[#This Row],[Month]], dropdown!$S$4:$T$15, 2, FALSE),"")</f>
        <v/>
      </c>
      <c r="L99" s="57"/>
      <c r="M99" s="29"/>
      <c r="N99" s="57"/>
      <c r="O99" s="195"/>
    </row>
    <row r="100" spans="9:15" x14ac:dyDescent="0.2">
      <c r="I100" s="194" t="str">
        <f t="shared" si="4"/>
        <v/>
      </c>
      <c r="J100" s="58"/>
      <c r="K100" s="194" t="str">
        <f>IF(Waste[[#This Row],[Month]]&lt;&gt;"",VLOOKUP(Waste[[#This Row],[Month]], dropdown!$S$4:$T$15, 2, FALSE),"")</f>
        <v/>
      </c>
      <c r="L100" s="57"/>
      <c r="M100" s="29"/>
      <c r="N100" s="57"/>
      <c r="O100" s="195"/>
    </row>
    <row r="101" spans="9:15" x14ac:dyDescent="0.2">
      <c r="I101" s="194" t="str">
        <f t="shared" si="4"/>
        <v/>
      </c>
      <c r="J101" s="58"/>
      <c r="K101" s="194" t="str">
        <f>IF(Waste[[#This Row],[Month]]&lt;&gt;"",VLOOKUP(Waste[[#This Row],[Month]], dropdown!$S$4:$T$15, 2, FALSE),"")</f>
        <v/>
      </c>
      <c r="L101" s="57"/>
      <c r="M101" s="29"/>
      <c r="N101" s="57"/>
      <c r="O101" s="195"/>
    </row>
    <row r="102" spans="9:15" x14ac:dyDescent="0.2">
      <c r="I102" s="194" t="str">
        <f t="shared" si="4"/>
        <v/>
      </c>
      <c r="J102" s="58"/>
      <c r="K102" s="194" t="str">
        <f>IF(Waste[[#This Row],[Month]]&lt;&gt;"",VLOOKUP(Waste[[#This Row],[Month]], dropdown!$S$4:$T$15, 2, FALSE),"")</f>
        <v/>
      </c>
      <c r="L102" s="57"/>
      <c r="M102" s="29"/>
      <c r="N102" s="57"/>
      <c r="O102" s="195"/>
    </row>
    <row r="103" spans="9:15" x14ac:dyDescent="0.2">
      <c r="I103" s="194" t="str">
        <f t="shared" si="4"/>
        <v/>
      </c>
      <c r="J103" s="58"/>
      <c r="K103" s="194" t="str">
        <f>IF(Waste[[#This Row],[Month]]&lt;&gt;"",VLOOKUP(Waste[[#This Row],[Month]], dropdown!$S$4:$T$15, 2, FALSE),"")</f>
        <v/>
      </c>
      <c r="L103" s="57"/>
      <c r="M103" s="29"/>
      <c r="N103" s="57"/>
      <c r="O103" s="195"/>
    </row>
    <row r="104" spans="9:15" x14ac:dyDescent="0.2">
      <c r="I104" s="431" t="str">
        <f t="shared" si="4"/>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24:J104 L24:L104 M7:M104 N22:O104 J7:J14 J16:J21 L7:L14 L16:L21 N7:O14 N16:O19"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J24:J104 J8:J14 J16:J21</xm:sqref>
        </x14:dataValidation>
        <x14:dataValidation type="list" allowBlank="1" showInputMessage="1" showErrorMessage="1" xr:uid="{5856050E-3DE3-2445-B059-D3013DFE24FC}">
          <x14:formula1>
            <xm:f>dropdown!$B$4:$B$9</xm:f>
          </x14:formula1>
          <xm:sqref>L24:L104 L8:L14 L16:L21</xm:sqref>
        </x14:dataValidation>
        <x14:dataValidation type="list" allowBlank="1" showInputMessage="1" showErrorMessage="1" xr:uid="{651CB0F0-3F28-CD48-8F08-2C709B6F2E73}">
          <x14:formula1>
            <xm:f>dropdown!$D$4:$D$10</xm:f>
          </x14:formula1>
          <xm:sqref>N22:N104 N8:N14 N16:N19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Cabanatuan Branch</v>
      </c>
      <c r="E6" s="462" t="s">
        <v>284</v>
      </c>
      <c r="F6" s="462"/>
      <c r="G6" s="462"/>
      <c r="H6" s="462"/>
      <c r="I6" s="462"/>
      <c r="J6" s="462"/>
      <c r="K6" s="462"/>
      <c r="L6" s="462"/>
      <c r="M6" s="462"/>
      <c r="N6" s="462"/>
      <c r="O6" s="462"/>
      <c r="P6" s="462"/>
      <c r="Q6" s="462"/>
    </row>
    <row r="7" spans="2:17" ht="20" customHeight="1" x14ac:dyDescent="0.2">
      <c r="B7" s="70" t="s">
        <v>12</v>
      </c>
      <c r="C7" s="59">
        <f>'1. Data Info and Summary'!$D$3</f>
        <v>2025</v>
      </c>
      <c r="E7" s="462"/>
      <c r="F7" s="462"/>
      <c r="G7" s="462"/>
      <c r="H7" s="462"/>
      <c r="I7" s="462"/>
      <c r="J7" s="462"/>
      <c r="K7" s="462"/>
      <c r="L7" s="462"/>
      <c r="M7" s="462"/>
      <c r="N7" s="462"/>
      <c r="O7" s="462"/>
      <c r="P7" s="462"/>
      <c r="Q7" s="462"/>
    </row>
    <row r="8" spans="2:17" ht="20" customHeight="1" x14ac:dyDescent="0.2">
      <c r="B8" s="71"/>
    </row>
    <row r="9" spans="2:17" x14ac:dyDescent="0.2">
      <c r="C9" s="53"/>
      <c r="E9" s="464" t="s">
        <v>285</v>
      </c>
      <c r="F9" s="464"/>
      <c r="G9" s="464"/>
      <c r="H9" s="464"/>
      <c r="I9" s="464"/>
      <c r="J9" s="464"/>
      <c r="L9" s="464" t="s">
        <v>286</v>
      </c>
      <c r="M9" s="464"/>
      <c r="N9" s="464"/>
      <c r="O9" s="464"/>
      <c r="P9" s="464"/>
      <c r="Q9" s="464"/>
    </row>
    <row r="10" spans="2:17" ht="8" customHeight="1" x14ac:dyDescent="0.2">
      <c r="B10" s="71"/>
    </row>
    <row r="11" spans="2:17" x14ac:dyDescent="0.2">
      <c r="E11" s="463" t="s">
        <v>287</v>
      </c>
      <c r="F11" s="463"/>
      <c r="G11" s="463"/>
      <c r="H11" s="463"/>
      <c r="I11" s="463"/>
      <c r="J11" s="463"/>
      <c r="L11" s="463" t="s">
        <v>288</v>
      </c>
      <c r="M11" s="463"/>
      <c r="N11" s="463"/>
      <c r="O11" s="463"/>
      <c r="P11" s="463"/>
      <c r="Q11" s="463"/>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524.29</v>
      </c>
      <c r="G13" s="73" t="str">
        <f>'1. Data Info and Summary'!$D18</f>
        <v>Liters</v>
      </c>
      <c r="I13" s="76">
        <f>VLOOKUP($E13,Emission_Factors!$A$1:$G$20,5,FALSE)</f>
        <v>2.68</v>
      </c>
      <c r="J13" s="141">
        <f>F13*I13</f>
        <v>1405.0971999999999</v>
      </c>
      <c r="L13" s="73" t="s">
        <v>155</v>
      </c>
      <c r="M13" s="78">
        <f>SUM('2.3a Electricity'!$D$12:$G$12)</f>
        <v>176800</v>
      </c>
      <c r="N13" s="73" t="str">
        <f>'2.3a Electricity'!$C$12</f>
        <v>Kilowatt-hour</v>
      </c>
      <c r="P13" s="76">
        <f>VLOOKUP($L13,Emission_Factors!$A$1:$G$20,5,FALSE)</f>
        <v>0.56000000000000005</v>
      </c>
      <c r="Q13" s="141">
        <f>M13*P13</f>
        <v>99008.000000000015</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1405.0971999999999</v>
      </c>
    </row>
    <row r="20" spans="5:10" x14ac:dyDescent="0.2">
      <c r="E20" s="463" t="s">
        <v>293</v>
      </c>
      <c r="F20" s="463"/>
      <c r="G20" s="463"/>
      <c r="H20" s="463"/>
      <c r="I20" s="463"/>
      <c r="J20" s="463"/>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3119.3800000000006</v>
      </c>
      <c r="G22" s="73" t="str">
        <f>'1. Data Info and Summary'!$D26</f>
        <v>Liters</v>
      </c>
      <c r="I22" s="76">
        <f>VLOOKUP($E22,Emission_Factors!$A$1:$G$20,5,FALSE)</f>
        <v>2.68</v>
      </c>
      <c r="J22" s="141">
        <f>F22*I22</f>
        <v>8359.9384000000027</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8359.9384000000027</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7.6640625" bestFit="1" customWidth="1"/>
    <col min="5" max="5" width="10" bestFit="1" customWidth="1"/>
    <col min="6" max="6" width="7.5" bestFit="1" customWidth="1"/>
    <col min="7" max="7" width="10.83203125"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c r="D31" s="337"/>
      <c r="E31" s="337"/>
      <c r="I31" s="20"/>
      <c r="J31" s="20"/>
      <c r="K31" s="21"/>
      <c r="L31" s="21"/>
      <c r="M31" s="22"/>
      <c r="N31" s="22"/>
      <c r="O31" s="11"/>
      <c r="P31" s="22"/>
      <c r="Q31" s="20"/>
      <c r="R31" s="20"/>
      <c r="S31" s="44"/>
    </row>
    <row r="32" spans="1:19" outlineLevel="1" x14ac:dyDescent="0.2">
      <c r="A32" s="203" t="s">
        <v>300</v>
      </c>
      <c r="B32" s="337"/>
      <c r="C32" s="337"/>
      <c r="D32" s="337"/>
      <c r="E32" s="337"/>
      <c r="I32" s="20"/>
      <c r="J32" s="20"/>
      <c r="K32" s="21"/>
      <c r="L32" s="21"/>
      <c r="M32" s="22"/>
      <c r="N32" s="22"/>
      <c r="O32" s="11"/>
      <c r="P32" s="22"/>
      <c r="Q32" s="20"/>
      <c r="R32" s="20"/>
      <c r="S32" s="44"/>
    </row>
    <row r="33" spans="1:19" outlineLevel="1" x14ac:dyDescent="0.2">
      <c r="A33" s="19" t="s">
        <v>343</v>
      </c>
      <c r="B33" s="337"/>
      <c r="C33" s="337">
        <v>478.8</v>
      </c>
      <c r="D33" s="337">
        <v>718.2</v>
      </c>
      <c r="E33" s="337">
        <v>1197</v>
      </c>
      <c r="I33" s="20"/>
      <c r="J33" s="20"/>
      <c r="K33" s="21"/>
      <c r="L33" s="21"/>
      <c r="M33" s="22"/>
      <c r="N33" s="22"/>
      <c r="O33" s="11"/>
      <c r="P33" s="22"/>
      <c r="Q33" s="20"/>
      <c r="R33" s="20"/>
      <c r="S33" s="44"/>
    </row>
    <row r="34" spans="1:19" outlineLevel="1" x14ac:dyDescent="0.2">
      <c r="A34" s="203" t="s">
        <v>63</v>
      </c>
      <c r="B34" s="337"/>
      <c r="C34" s="337">
        <v>478.8</v>
      </c>
      <c r="D34" s="337">
        <v>718.2</v>
      </c>
      <c r="E34" s="337">
        <v>1197</v>
      </c>
      <c r="I34" s="20"/>
      <c r="J34" s="20"/>
      <c r="K34" s="21"/>
      <c r="L34" s="21"/>
      <c r="M34" s="22"/>
      <c r="N34" s="22"/>
      <c r="O34" s="11"/>
      <c r="P34" s="22"/>
      <c r="Q34" s="20"/>
      <c r="R34" s="20"/>
      <c r="S34" s="44"/>
    </row>
    <row r="35" spans="1:19" outlineLevel="1" x14ac:dyDescent="0.2">
      <c r="A35" s="19" t="s">
        <v>365</v>
      </c>
      <c r="B35" s="337"/>
      <c r="C35" s="337">
        <v>324</v>
      </c>
      <c r="D35" s="337">
        <v>324.43</v>
      </c>
      <c r="E35" s="337">
        <v>648.43000000000006</v>
      </c>
      <c r="I35" s="20"/>
      <c r="J35" s="20"/>
      <c r="K35" s="21"/>
      <c r="L35" s="21"/>
      <c r="M35" s="22"/>
      <c r="N35" s="22"/>
      <c r="O35" s="11"/>
      <c r="P35" s="22"/>
      <c r="Q35" s="20"/>
      <c r="R35" s="20"/>
      <c r="S35" s="44"/>
    </row>
    <row r="36" spans="1:19" outlineLevel="1" x14ac:dyDescent="0.2">
      <c r="A36" s="203" t="s">
        <v>63</v>
      </c>
      <c r="B36" s="337"/>
      <c r="C36" s="337">
        <v>324</v>
      </c>
      <c r="D36" s="337">
        <v>324.43</v>
      </c>
      <c r="E36" s="337">
        <v>648.43000000000006</v>
      </c>
      <c r="H36" s="12"/>
      <c r="I36" s="20"/>
      <c r="J36" s="20"/>
      <c r="K36" s="21"/>
      <c r="L36" s="21"/>
      <c r="M36" s="22"/>
      <c r="N36" s="22"/>
      <c r="O36" s="11"/>
      <c r="P36" s="22"/>
      <c r="Q36" s="20"/>
      <c r="R36" s="20"/>
      <c r="S36" s="44"/>
    </row>
    <row r="37" spans="1:19" outlineLevel="1" x14ac:dyDescent="0.2">
      <c r="A37" s="19" t="s">
        <v>1433</v>
      </c>
      <c r="B37" s="337"/>
      <c r="C37" s="337">
        <v>478.44999999999993</v>
      </c>
      <c r="D37" s="337">
        <v>534.69000000000005</v>
      </c>
      <c r="E37" s="337">
        <v>1013.14</v>
      </c>
      <c r="H37" s="12"/>
      <c r="I37" s="20"/>
      <c r="J37" s="20"/>
      <c r="K37" s="21"/>
      <c r="L37" s="21"/>
      <c r="M37" s="22"/>
      <c r="N37" s="22"/>
      <c r="O37" s="11"/>
      <c r="P37" s="22"/>
      <c r="Q37" s="20"/>
      <c r="R37" s="20"/>
      <c r="S37" s="44"/>
    </row>
    <row r="38" spans="1:19" outlineLevel="1" x14ac:dyDescent="0.2">
      <c r="A38" s="203" t="s">
        <v>63</v>
      </c>
      <c r="B38" s="337"/>
      <c r="C38" s="337">
        <v>478.44999999999993</v>
      </c>
      <c r="D38" s="337">
        <v>534.69000000000005</v>
      </c>
      <c r="E38" s="337">
        <v>1013.14</v>
      </c>
      <c r="H38" s="12"/>
      <c r="I38" s="20"/>
      <c r="J38" s="20"/>
      <c r="K38" s="21"/>
      <c r="L38" s="21"/>
      <c r="M38" s="22"/>
      <c r="N38" s="22"/>
      <c r="O38" s="11"/>
      <c r="P38" s="22"/>
      <c r="Q38" s="20"/>
      <c r="R38" s="20"/>
      <c r="S38" s="44"/>
    </row>
    <row r="39" spans="1:19" outlineLevel="1" x14ac:dyDescent="0.2">
      <c r="A39" s="19" t="s">
        <v>864</v>
      </c>
      <c r="B39" s="337"/>
      <c r="C39" s="337">
        <v>104</v>
      </c>
      <c r="D39" s="337">
        <v>156.81</v>
      </c>
      <c r="E39" s="337">
        <v>260.81</v>
      </c>
      <c r="H39" s="12"/>
      <c r="I39" s="20"/>
      <c r="J39" s="20"/>
      <c r="K39" s="21"/>
      <c r="L39" s="21"/>
      <c r="M39" s="22"/>
      <c r="N39" s="22"/>
      <c r="O39" s="11"/>
      <c r="P39" s="22"/>
      <c r="Q39" s="20"/>
      <c r="R39" s="20"/>
      <c r="S39" s="44"/>
    </row>
    <row r="40" spans="1:19" outlineLevel="1" x14ac:dyDescent="0.2">
      <c r="A40" s="203" t="s">
        <v>63</v>
      </c>
      <c r="B40" s="337"/>
      <c r="C40" s="337">
        <v>104</v>
      </c>
      <c r="D40" s="337">
        <v>156.81</v>
      </c>
      <c r="E40" s="337">
        <v>260.81</v>
      </c>
      <c r="H40" s="12"/>
      <c r="I40" s="20"/>
      <c r="J40" s="20"/>
      <c r="K40" s="21"/>
      <c r="L40" s="21"/>
      <c r="M40" s="22"/>
      <c r="N40" s="22"/>
      <c r="O40" s="11"/>
      <c r="P40" s="22"/>
      <c r="Q40" s="20"/>
      <c r="R40" s="20"/>
      <c r="S40" s="44"/>
    </row>
    <row r="41" spans="1:19" outlineLevel="1" x14ac:dyDescent="0.2">
      <c r="A41" s="19" t="s">
        <v>297</v>
      </c>
      <c r="B41" s="337"/>
      <c r="C41" s="337">
        <v>1385.25</v>
      </c>
      <c r="D41" s="337">
        <v>1734.13</v>
      </c>
      <c r="E41" s="337">
        <v>3119.38</v>
      </c>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929"/>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45916.87871527778</v>
      </c>
      <c r="B927" t="s">
        <v>596</v>
      </c>
      <c r="C927" t="s">
        <v>597</v>
      </c>
      <c r="D927" t="s">
        <v>1436</v>
      </c>
      <c r="E927" t="s">
        <v>39</v>
      </c>
    </row>
    <row r="928" spans="1:5" x14ac:dyDescent="0.2">
      <c r="A928" s="269">
        <v>45916.878969907404</v>
      </c>
      <c r="B928" t="s">
        <v>596</v>
      </c>
      <c r="C928" t="s">
        <v>27</v>
      </c>
      <c r="D928" t="s">
        <v>1437</v>
      </c>
      <c r="E928" t="s">
        <v>53</v>
      </c>
    </row>
    <row r="929" spans="1:4" x14ac:dyDescent="0.2">
      <c r="A929" s="269">
        <v>45916.879074074073</v>
      </c>
      <c r="B929" t="s">
        <v>596</v>
      </c>
      <c r="C929" t="s">
        <v>27</v>
      </c>
      <c r="D929" t="s">
        <v>1438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2.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2.2 Refrigerants</vt:lpstr>
      <vt:lpstr>2.1b Fuel - Vehicles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2025-09-16T13:05:54Z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