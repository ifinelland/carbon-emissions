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Batac Branch/"/>
    </mc:Choice>
  </mc:AlternateContent>
  <xr:revisionPtr revIDLastSave="0" documentId="13_ncr:1_{9500106F-C6E5-9D44-B840-30D403B1D859}" xr6:coauthVersionLast="47" xr6:coauthVersionMax="47" xr10:uidLastSave="{00000000-0000-0000-0000-000000000000}"/>
  <bookViews>
    <workbookView xWindow="0" yWindow="740" windowWidth="29400" windowHeight="17100" tabRatio="781" firstSheet="2"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429" r:id="rId19"/>
    <pivotCache cacheId="430" r:id="rId20"/>
    <pivotCache cacheId="431" r:id="rId21"/>
    <pivotCache cacheId="432" r:id="rId22"/>
    <pivotCache cacheId="433" r:id="rId23"/>
    <pivotCache cacheId="441"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I104" i="40" l="1"/>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7" i="40"/>
  <c r="I36" i="40"/>
  <c r="I35" i="40"/>
  <c r="I34" i="40"/>
  <c r="I33" i="40"/>
  <c r="I32" i="40"/>
  <c r="I31" i="40"/>
  <c r="I30" i="40"/>
  <c r="I29" i="40"/>
  <c r="I28" i="40"/>
  <c r="I27" i="40"/>
  <c r="I26" i="40"/>
  <c r="I25" i="40"/>
  <c r="I24" i="40"/>
  <c r="I23" i="40"/>
  <c r="I22" i="40"/>
  <c r="I21" i="40"/>
  <c r="I8" i="40"/>
  <c r="I9" i="40" s="1"/>
  <c r="I10" i="40" s="1"/>
  <c r="I11" i="40" s="1"/>
  <c r="I12" i="40" s="1"/>
  <c r="I13" i="40" s="1"/>
  <c r="I14" i="40" s="1"/>
  <c r="I15" i="40" s="1"/>
  <c r="I16" i="40" s="1"/>
  <c r="I17" i="40" s="1"/>
  <c r="I18" i="40" s="1"/>
  <c r="K23" i="50"/>
  <c r="K22" i="50"/>
  <c r="K21" i="50"/>
  <c r="K20" i="50"/>
  <c r="K19" i="50"/>
  <c r="K18" i="50"/>
  <c r="K17" i="50"/>
  <c r="K16" i="50"/>
  <c r="K15" i="50"/>
  <c r="K14" i="50"/>
  <c r="K13" i="50"/>
  <c r="K12" i="50"/>
  <c r="K11" i="50"/>
  <c r="K10" i="50"/>
  <c r="K9" i="50"/>
  <c r="K8" i="50"/>
  <c r="I23" i="50"/>
  <c r="I22" i="50"/>
  <c r="I21" i="50"/>
  <c r="I20" i="50"/>
  <c r="I1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8" i="41"/>
  <c r="P9" i="41" s="1"/>
  <c r="P10" i="41" s="1"/>
  <c r="P11" i="41" s="1"/>
  <c r="P12" i="41" s="1"/>
  <c r="P13" i="41" s="1"/>
  <c r="P14" i="41" s="1"/>
  <c r="P15" i="41" s="1"/>
  <c r="P16" i="41" s="1"/>
  <c r="P17" i="41" s="1"/>
  <c r="P18" i="41" s="1"/>
  <c r="P19" i="41" s="1"/>
  <c r="I10" i="41"/>
  <c r="I11" i="41" s="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9" i="50" s="1"/>
  <c r="I10" i="50" s="1"/>
  <c r="I11" i="50" s="1"/>
  <c r="I12" i="50" s="1"/>
  <c r="I13" i="50" s="1"/>
  <c r="I14" i="50" s="1"/>
  <c r="I15" i="50" s="1"/>
  <c r="I16" i="50" s="1"/>
  <c r="I17" i="50" s="1"/>
  <c r="I18" i="50" s="1"/>
  <c r="I19" i="40"/>
  <c r="I20" i="40" s="1"/>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D14" i="1" l="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G13" i="37" l="1"/>
  <c r="D13" i="37"/>
  <c r="E13" i="37"/>
  <c r="F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3" i="34" l="1"/>
  <c r="D13" i="34"/>
  <c r="E13" i="34"/>
  <c r="G13" i="34"/>
  <c r="G14" i="34"/>
  <c r="E14" i="34"/>
  <c r="D14" i="34"/>
  <c r="F14" i="34"/>
  <c r="D12" i="34"/>
  <c r="E12" i="34"/>
  <c r="F12" i="34"/>
  <c r="G12" i="34"/>
  <c r="F11" i="34"/>
  <c r="G11" i="34"/>
  <c r="E11" i="34"/>
  <c r="D11" i="34"/>
  <c r="D15" i="34"/>
  <c r="G15" i="34"/>
  <c r="E15" i="34"/>
  <c r="F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<sst xmlns="http://schemas.openxmlformats.org/spreadsheetml/2006/main" count="7288" uniqueCount="1624">
  <si>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</si>
  <si>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</si>
  <si>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</si>
  <si>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</si>
  <si>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</si>
  <si>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</si>
  <si>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</si>
  <si>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</si>
  <si>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</si>
  <si>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</si>
  <si>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</si>
  <si>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</si>
  <si>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</si>
  <si>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</si>
  <si>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</si>
  <si>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</si>
  <si>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</si>
  <si>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</si>
  <si>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</si>
  <si>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</si>
  <si>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</si>
  <si>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</si>
  <si>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</si>
  <si>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</si>
  <si>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</si>
  <si>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</si>
  <si>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</si>
  <si>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</si>
  <si>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</si>
  <si>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</si>
  <si>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</si>
  <si>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</si>
  <si>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</si>
  <si>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</si>
  <si>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</si>
  <si>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</si>
  <si>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</si>
  <si>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</si>
  <si>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</si>
  <si>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</si>
  <si>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</si>
  <si>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</si>
  <si>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</si>
  <si>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</si>
  <si>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</si>
  <si>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</si>
  <si>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</si>
  <si>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</si>
  <si>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</si>
  <si>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</si>
  <si>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</si>
  <si>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</si>
  <si>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</si>
  <si>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</si>
  <si>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</si>
  <si>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</si>
  <si>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</si>
  <si>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</si>
  <si>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</si>
  <si>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</si>
  <si>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</si>
  <si>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</si>
  <si>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</si>
  <si>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</si>
  <si>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</si>
  <si>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</si>
  <si>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</si>
  <si>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</si>
  <si>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</si>
  <si>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</si>
  <si>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</si>
  <si>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</si>
  <si>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</si>
  <si>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</si>
  <si>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</si>
  <si>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</si>
  <si>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</si>
  <si>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</si>
  <si>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</si>
  <si>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</si>
  <si>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</si>
  <si>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</si>
  <si>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</si>
  <si>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</si>
  <si>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</si>
  <si>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</si>
  <si>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</si>
  <si>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</si>
  <si>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</si>
  <si>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</si>
  <si>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</si>
  <si>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</si>
  <si>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</si>
  <si>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</si>
  <si>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</si>
  <si>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</si>
  <si>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</si>
  <si>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</si>
  <si>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</si>
  <si>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</si>
  <si>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</si>
  <si>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</si>
  <si>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</si>
  <si>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</si>
  <si>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</si>
  <si>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</si>
  <si>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</si>
  <si>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</si>
  <si>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</si>
  <si>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</si>
  <si>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</si>
  <si>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</si>
  <si>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</si>
  <si>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</si>
  <si>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</si>
  <si>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</si>
  <si>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</si>
  <si>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</si>
  <si>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</si>
  <si>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</si>
  <si>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</si>
  <si>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</si>
  <si>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</si>
  <si>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</si>
  <si>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</si>
  <si>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</si>
  <si>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</si>
  <si>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</si>
  <si>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</si>
  <si>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</si>
  <si>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</si>
  <si>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</si>
  <si>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</si>
  <si>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</si>
  <si>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</si>
  <si>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</si>
  <si>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</si>
  <si>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</si>
  <si>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</si>
  <si>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</si>
  <si>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</si>
  <si>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</si>
  <si>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</si>
  <si>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</si>
  <si>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</si>
  <si>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</si>
  <si>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</si>
  <si>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</si>
  <si>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</si>
  <si>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</si>
  <si>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</si>
  <si>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</si>
  <si>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</si>
  <si>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</si>
  <si>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</si>
  <si>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</si>
  <si>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</si>
  <si>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</si>
  <si>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</si>
  <si>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</si>
  <si>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</si>
  <si>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</si>
  <si>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</si>
  <si>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</si>
  <si>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</si>
  <si>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</si>
  <si>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</si>
  <si>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</si>
  <si>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</si>
  <si>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</si>
  <si>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</si>
  <si>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</si>
  <si>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</si>
  <si>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</si>
  <si>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</si>
  <si>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</si>
  <si>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</si>
  <si>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</si>
  <si>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</si>
  <si>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</si>
  <si>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</si>
  <si>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</si>
  <si>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</si>
  <si>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</si>
  <si>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</si>
  <si>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</si>
  <si>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</si>
  <si>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</si>
  <si>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</si>
  <si>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</si>
  <si>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</si>
  <si>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</si>
  <si>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</si>
  <si>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</si>
  <si>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</si>
  <si>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</si>
  <si>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</si>
  <si>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</si>
  <si>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</si>
  <si>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</si>
  <si>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</si>
  <si>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</si>
  <si>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</si>
  <si>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</si>
  <si>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</si>
  <si>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</si>
  <si>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</si>
  <si>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</si>
  <si>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</si>
  <si>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</si>
  <si>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</si>
  <si>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</si>
  <si>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</si>
  <si>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</si>
  <si>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</si>
  <si>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</si>
  <si>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</si>
  <si>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</si>
  <si>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</si>
  <si>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</si>
  <si>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</si>
  <si>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</si>
  <si>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</si>
  <si>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</si>
  <si>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</si>
  <si>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</si>
  <si>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</si>
  <si>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</si>
  <si>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</si>
  <si>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</si>
  <si>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</si>
  <si>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</si>
  <si>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</si>
  <si>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</si>
  <si>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</si>
  <si>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</si>
  <si>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</si>
  <si>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</si>
  <si>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</si>
  <si>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</si>
  <si>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</si>
  <si>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</si>
  <si>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</si>
  <si>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</si>
  <si>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</si>
  <si>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</si>
  <si>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</si>
  <si>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</si>
  <si>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</si>
  <si>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</si>
  <si>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</si>
  <si>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</si>
  <si>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</si>
  <si>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</si>
  <si>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</si>
  <si>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</si>
  <si>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</si>
  <si>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</si>
  <si>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</si>
  <si>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</si>
  <si>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</si>
  <si>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</si>
  <si>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</si>
  <si>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</si>
  <si>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</si>
  <si>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</si>
  <si>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</si>
  <si>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</si>
  <si>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</si>
  <si>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</si>
  <si>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</si>
  <si>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</si>
  <si>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</si>
  <si>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</si>
  <si>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</si>
  <si>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</si>
  <si>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</si>
  <si>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</si>
  <si>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</si>
  <si>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</si>
  <si>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</si>
  <si>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</si>
  <si>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</si>
  <si>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</si>
  <si>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</si>
  <si>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</si>
  <si>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</si>
  <si>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</si>
  <si>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</si>
  <si>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</si>
  <si>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</si>
  <si>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</si>
  <si>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</si>
  <si>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</si>
  <si>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</si>
  <si>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</si>
  <si>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</si>
  <si>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</si>
  <si>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</si>
  <si>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</si>
  <si>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</si>
  <si>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</si>
  <si>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</si>
  <si>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</si>
  <si>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</si>
  <si>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</si>
  <si>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</si>
  <si>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</si>
  <si>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</si>
  <si>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</si>
  <si>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</si>
  <si>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</si>
  <si>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</si>
  <si>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</si>
  <si>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</si>
  <si>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</si>
  <si>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</si>
  <si>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</si>
  <si>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</si>
  <si>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</si>
  <si>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</si>
  <si>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</si>
  <si>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</si>
  <si>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</si>
  <si>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</si>
  <si>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</si>
  <si>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</si>
  <si>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</si>
  <si>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</si>
  <si>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</si>
  <si>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</si>
  <si>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</si>
  <si>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</si>
  <si>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</si>
  <si>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</si>
  <si>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</si>
  <si>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</si>
  <si>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</si>
  <si>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</si>
  <si>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</si>
  <si>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</si>
  <si>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</si>
  <si>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</si>
  <si>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</si>
  <si>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</si>
  <si>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</si>
  <si>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</si>
  <si>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</si>
  <si>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</si>
  <si>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</si>
  <si>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</si>
  <si>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</si>
  <si>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</si>
  <si>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</si>
  <si>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</si>
  <si>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</si>
  <si>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</si>
  <si>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</si>
  <si>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</si>
  <si>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</si>
  <si>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</si>
  <si>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</si>
  <si>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</si>
  <si>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</si>
  <si>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</si>
  <si>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</si>
  <si>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</si>
  <si>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</si>
  <si>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</si>
  <si>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</si>
  <si>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</si>
  <si>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</si>
  <si>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</si>
  <si>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</si>
  <si>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</si>
  <si>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</si>
  <si>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</si>
  <si>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</si>
  <si>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</si>
  <si>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</si>
  <si>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</si>
  <si>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</si>
  <si>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</si>
  <si>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</si>
  <si>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</si>
  <si>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</si>
  <si>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</si>
  <si>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</si>
  <si>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</si>
  <si>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</si>
  <si>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</si>
  <si>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</si>
  <si>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</si>
  <si>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</si>
  <si>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</si>
  <si>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</si>
  <si>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</si>
  <si>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</si>
  <si>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</si>
  <si>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</si>
  <si>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</si>
  <si>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</si>
  <si>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</si>
  <si>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</si>
  <si>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</si>
  <si>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</si>
  <si>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</si>
  <si>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</si>
  <si>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</si>
  <si>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</si>
  <si>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</si>
  <si>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</si>
  <si>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</si>
  <si>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</si>
  <si>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</si>
  <si>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</si>
  <si>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</si>
  <si>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</si>
  <si>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</si>
  <si>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</si>
  <si>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</si>
  <si>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</si>
  <si>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</si>
  <si>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</si>
  <si>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</si>
  <si>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</si>
  <si>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</si>
  <si>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</si>
  <si>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</si>
  <si>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</si>
  <si>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</si>
  <si>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</si>
  <si>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</si>
  <si>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</si>
  <si>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</si>
  <si>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</si>
  <si>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</si>
  <si>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</si>
  <si>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</si>
  <si>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</si>
  <si>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</si>
  <si>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</si>
  <si>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</si>
  <si>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</si>
  <si>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</si>
  <si>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</si>
  <si>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</si>
  <si>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</si>
  <si>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</si>
  <si>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</si>
  <si>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</si>
  <si>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</si>
  <si>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</si>
  <si>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</si>
  <si>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</si>
  <si>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</si>
  <si>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</si>
  <si>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</si>
  <si>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</si>
  <si>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</si>
  <si>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</si>
  <si>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</si>
  <si>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</si>
  <si>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</si>
  <si>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</si>
  <si>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</si>
  <si>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</si>
  <si>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</si>
  <si>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</si>
  <si>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</si>
  <si>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</si>
  <si>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</si>
  <si>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</si>
  <si>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</si>
  <si>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</si>
  <si>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</si>
  <si>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</si>
  <si>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</si>
  <si>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</si>
  <si>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</si>
  <si>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</si>
  <si>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</si>
  <si>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</si>
  <si>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</si>
  <si>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</si>
  <si>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</si>
  <si>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</si>
  <si>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</si>
  <si>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</si>
  <si>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</si>
  <si>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</si>
  <si>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</si>
  <si>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</si>
  <si>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</si>
  <si>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</si>
  <si>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</si>
  <si>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</si>
  <si>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</si>
  <si>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</si>
  <si>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</si>
  <si>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</si>
  <si>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</si>
  <si>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</si>
  <si>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</si>
  <si>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</si>
  <si>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</si>
  <si>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</si>
  <si>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</si>
  <si>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</si>
  <si>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</si>
  <si>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</si>
  <si>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</si>
  <si>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</si>
  <si>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</si>
  <si>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</si>
  <si>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</si>
  <si>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</si>
  <si>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</si>
  <si>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</si>
  <si>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</si>
  <si>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</si>
  <si>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</si>
  <si>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</si>
  <si>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</si>
  <si>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</si>
  <si>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</si>
  <si>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</si>
  <si>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</si>
  <si>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</si>
  <si>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</si>
  <si>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</si>
  <si>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</si>
  <si>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</si>
  <si>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</si>
  <si>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</si>
  <si>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</si>
  <si>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</si>
  <si>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</si>
  <si>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</si>
  <si>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</si>
  <si>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</si>
  <si>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</si>
  <si>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</si>
  <si>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</si>
  <si>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</si>
  <si>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</si>
  <si>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</si>
  <si>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</si>
  <si>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</si>
  <si>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</si>
  <si>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</si>
  <si>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</si>
  <si>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</si>
  <si>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</si>
  <si>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</si>
  <si>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</si>
  <si>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</si>
  <si>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</si>
  <si>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</si>
  <si>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</si>
  <si>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</si>
  <si>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</si>
  <si>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</si>
  <si>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</si>
  <si>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</si>
  <si>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</si>
  <si>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</si>
  <si>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</si>
  <si>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</si>
  <si>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</si>
  <si>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</si>
  <si>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</si>
  <si>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</si>
  <si>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</si>
  <si>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</si>
  <si>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</si>
  <si>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</si>
  <si>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</si>
  <si>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</si>
  <si>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</si>
  <si>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</si>
  <si>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</si>
  <si>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</si>
  <si>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</si>
  <si>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</si>
  <si>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</si>
  <si>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</si>
  <si>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</si>
  <si>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</si>
  <si>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</si>
  <si>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</si>
  <si>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</si>
  <si>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</si>
  <si>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</si>
  <si>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</si>
  <si>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</si>
  <si>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</si>
  <si>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</si>
  <si>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</si>
  <si>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</si>
  <si>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</si>
  <si>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</si>
  <si>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</si>
  <si>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</si>
  <si>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</si>
  <si>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</si>
  <si>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</si>
  <si>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</si>
  <si>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</si>
  <si>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</si>
  <si>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</si>
  <si>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</si>
  <si>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</si>
  <si>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</si>
  <si>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</si>
  <si>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</si>
  <si>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</si>
  <si>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</si>
  <si>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</si>
  <si>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</si>
  <si>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</si>
  <si>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</si>
  <si>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</si>
  <si>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</si>
  <si>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</si>
  <si>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</si>
  <si>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</si>
  <si>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</si>
  <si>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</si>
  <si>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</si>
  <si>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</si>
  <si>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</si>
  <si>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</si>
  <si>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</si>
  <si>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</si>
  <si>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</si>
  <si>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</si>
  <si>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</si>
  <si>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</si>
  <si>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</si>
  <si>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</si>
  <si>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</si>
  <si>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</si>
  <si>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</si>
  <si>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</si>
  <si>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</si>
  <si>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</si>
  <si>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</si>
  <si>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</si>
  <si>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</si>
  <si>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</si>
  <si>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</si>
  <si>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</si>
  <si>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</si>
  <si>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</si>
  <si>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</si>
  <si>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</si>
  <si>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</si>
  <si>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</si>
  <si>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</si>
  <si>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</si>
  <si>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</si>
  <si>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</si>
  <si>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</si>
  <si>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</si>
  <si>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</si>
  <si>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</si>
  <si>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</si>
  <si>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</si>
  <si>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</si>
  <si>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</si>
  <si>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</si>
  <si>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</si>
  <si>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</si>
  <si>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</si>
  <si>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</si>
  <si>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</si>
  <si>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</si>
  <si>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</si>
  <si>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</si>
  <si>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</si>
  <si>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</si>
  <si>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</si>
  <si>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</si>
  <si>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</si>
  <si>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</si>
  <si>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</si>
  <si>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</si>
  <si>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</si>
  <si>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</si>
  <si>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</si>
  <si>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</si>
  <si>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</si>
  <si>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</si>
  <si>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</si>
  <si>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</si>
  <si>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</si>
  <si>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</si>
  <si>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</si>
  <si>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</si>
  <si>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</si>
  <si>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</si>
  <si>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</si>
  <si>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</si>
  <si>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</si>
  <si>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</si>
  <si>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</si>
  <si>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</si>
  <si>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</si>
  <si>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</si>
  <si>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</si>
  <si>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</si>
  <si>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</si>
  <si>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</si>
  <si>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</si>
  <si>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</si>
  <si>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</si>
  <si>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</si>
  <si>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</si>
  <si>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</si>
  <si>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</si>
  <si>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</si>
  <si>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</si>
  <si>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</si>
  <si>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</si>
  <si>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</si>
  <si>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</si>
  <si>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</si>
  <si>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</si>
  <si>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</si>
  <si>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</si>
  <si>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</si>
  <si>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</si>
  <si>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</si>
  <si>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</si>
  <si>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</si>
  <si>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</si>
  <si>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</si>
  <si>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</si>
  <si>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</si>
  <si>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</si>
  <si>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</si>
  <si>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</si>
  <si>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</si>
  <si>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</si>
  <si>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</si>
  <si>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</si>
  <si>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</si>
  <si>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</si>
  <si>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</si>
  <si>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</si>
  <si>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</si>
  <si>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</si>
  <si>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</si>
  <si>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</si>
  <si>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</si>
  <si>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</si>
  <si>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</si>
  <si>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</si>
  <si>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</si>
  <si>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</si>
  <si>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</si>
  <si>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</si>
  <si>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</si>
  <si>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</si>
  <si>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</si>
  <si>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</si>
  <si>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</si>
  <si>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</si>
  <si>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</si>
  <si>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</si>
  <si>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</si>
  <si>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</si>
  <si>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</si>
  <si>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</si>
  <si>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</si>
  <si>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</si>
  <si>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</si>
  <si>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</si>
  <si>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</si>
  <si>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</si>
  <si>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</si>
  <si>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</si>
  <si>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</si>
  <si>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</si>
  <si>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</si>
  <si>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</si>
  <si>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</si>
  <si>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</si>
  <si>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</si>
  <si>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</si>
  <si>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</si>
  <si>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</si>
  <si>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</si>
  <si>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</si>
  <si>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</si>
  <si>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</si>
  <si>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</si>
  <si>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</si>
  <si>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</si>
  <si>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</si>
  <si>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</si>
  <si>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</si>
  <si>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</si>
  <si>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</si>
  <si>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</si>
  <si>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</si>
  <si>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</si>
  <si>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</si>
  <si>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</si>
  <si>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</si>
  <si>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</si>
  <si>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</si>
  <si>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</si>
  <si>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</si>
  <si>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</si>
  <si>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</si>
  <si>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</si>
  <si>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</si>
  <si>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</si>
  <si>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</si>
  <si>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</si>
  <si>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</si>
  <si>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</si>
  <si>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</si>
  <si>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</si>
  <si>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</si>
  <si>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</si>
  <si>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</si>
  <si>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</si>
  <si>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</si>
  <si>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</si>
  <si>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</si>
  <si>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</si>
  <si>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</si>
  <si>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</si>
  <si>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</si>
  <si>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</si>
  <si>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</si>
  <si>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</si>
  <si>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</si>
  <si>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</si>
  <si>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</si>
  <si>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</si>
  <si>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</si>
  <si>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</si>
  <si>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</si>
  <si>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</si>
  <si>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</si>
  <si>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</si>
  <si>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</si>
  <si>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</si>
  <si>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</si>
  <si>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</si>
  <si>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</si>
  <si>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</si>
  <si>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</si>
  <si>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</si>
  <si>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</si>
  <si>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</si>
  <si>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</si>
  <si>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</si>
  <si>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</si>
  <si>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</si>
  <si>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</si>
  <si>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</si>
  <si>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</si>
  <si>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</si>
  <si>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</si>
  <si>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</si>
  <si>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</si>
  <si>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</si>
  <si>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</si>
  <si>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</si>
  <si>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</si>
  <si>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</si>
  <si>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</si>
  <si>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</si>
  <si>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</si>
  <si>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</si>
  <si>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</si>
  <si>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</si>
  <si>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</si>
  <si>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</si>
  <si>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</si>
  <si>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</si>
  <si>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</si>
  <si>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</si>
  <si>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</si>
  <si>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</si>
  <si>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</si>
  <si>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</si>
  <si>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</si>
  <si>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</si>
  <si>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</si>
  <si>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</si>
  <si>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</si>
  <si>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</si>
  <si>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</si>
  <si>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</si>
  <si>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</si>
  <si>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</si>
  <si>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</si>
  <si>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</si>
  <si>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</si>
  <si>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</si>
  <si>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</si>
  <si>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</si>
  <si>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</si>
  <si>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</si>
  <si>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</si>
  <si>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</si>
  <si>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</si>
  <si>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</si>
  <si>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</si>
  <si>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</si>
  <si>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</si>
  <si>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</si>
  <si>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</si>
  <si>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</si>
  <si>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</si>
  <si>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</si>
  <si>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</si>
  <si>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</si>
  <si>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</si>
  <si>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</si>
  <si>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</si>
  <si>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</si>
  <si>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</si>
  <si>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</si>
  <si>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</si>
  <si>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</si>
  <si>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</si>
  <si>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</si>
  <si>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</si>
  <si>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</si>
  <si>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</si>
  <si>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</si>
  <si>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</si>
  <si>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</si>
  <si>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</si>
  <si>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</si>
  <si>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</si>
  <si>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</si>
  <si>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</si>
  <si>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</si>
  <si>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</si>
  <si>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</si>
  <si>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</si>
  <si>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</si>
  <si>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</si>
  <si>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</si>
  <si>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</si>
  <si>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</si>
  <si>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</si>
  <si>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</si>
  <si>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</si>
  <si>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</si>
  <si>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</si>
  <si>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</si>
  <si>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</si>
  <si>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</si>
  <si>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</si>
  <si>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</si>
  <si>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</si>
  <si>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</si>
  <si>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</si>
  <si>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</si>
  <si>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</si>
  <si>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</si>
  <si>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</si>
  <si>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</si>
  <si>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</si>
  <si>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</si>
  <si>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</si>
  <si>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</si>
  <si>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</si>
  <si>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</si>
  <si>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</si>
  <si>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</si>
  <si>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</si>
  <si>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</si>
  <si>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</si>
  <si>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</si>
  <si>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</si>
  <si>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</si>
  <si>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</si>
  <si>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</si>
  <si>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</si>
  <si>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</si>
  <si>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</si>
  <si>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</si>
  <si>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</si>
  <si>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</si>
  <si>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</si>
  <si>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</si>
  <si>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</si>
  <si>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</si>
  <si>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</si>
  <si>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</si>
  <si>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</si>
  <si>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</si>
  <si>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</si>
  <si>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</si>
  <si>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</si>
  <si>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</si>
  <si>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</si>
  <si>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</si>
  <si>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</si>
  <si>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</si>
  <si>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</si>
  <si>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</si>
  <si>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</si>
  <si>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</si>
  <si>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</si>
  <si>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</si>
  <si>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</si>
  <si>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</si>
  <si>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</si>
  <si>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</si>
  <si>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</si>
  <si>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</si>
  <si>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</si>
  <si>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</si>
  <si>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</si>
  <si>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</si>
  <si>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</si>
  <si>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</si>
  <si>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</si>
  <si>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</si>
  <si>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</si>
  <si>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</si>
  <si>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</si>
  <si>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</si>
  <si>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</si>
  <si>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</si>
  <si>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</si>
  <si>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</si>
  <si>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</si>
  <si>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</si>
  <si>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</si>
  <si>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</si>
  <si>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</si>
  <si>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</si>
  <si>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</si>
  <si>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</si>
  <si>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</si>
  <si>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</si>
  <si>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</si>
  <si>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</si>
  <si>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</si>
  <si>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</si>
  <si>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</si>
  <si>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</si>
  <si>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</si>
  <si>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</si>
  <si>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</si>
  <si>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</si>
  <si>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</si>
  <si>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</si>
  <si>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</si>
  <si>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</si>
  <si>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</si>
  <si>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</si>
  <si>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</si>
  <si>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</si>
  <si>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</si>
  <si>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</si>
  <si>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</si>
  <si>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</si>
  <si>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</si>
  <si>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</si>
  <si>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</si>
  <si>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</si>
  <si>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</si>
  <si>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</si>
  <si>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</si>
  <si>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</si>
  <si>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</si>
  <si>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</si>
  <si>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</si>
  <si>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</si>
  <si>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</si>
  <si>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</si>
  <si>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</si>
  <si>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</si>
  <si>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</si>
  <si>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</si>
  <si>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</si>
  <si>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</si>
  <si>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</si>
  <si>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</si>
  <si>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</si>
  <si>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</si>
  <si>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</si>
  <si>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</si>
  <si>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</si>
  <si>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</si>
  <si>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</si>
  <si>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</si>
  <si>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</si>
  <si>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</si>
  <si>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</si>
  <si>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</si>
  <si>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</si>
  <si>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</si>
  <si>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</si>
  <si>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</si>
  <si>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</si>
  <si>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</si>
  <si>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</si>
  <si>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</si>
  <si>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</si>
  <si>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</si>
  <si>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</si>
  <si>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</si>
  <si>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</si>
  <si>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</si>
  <si>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</si>
  <si>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</si>
  <si>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</si>
  <si>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</si>
  <si>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</si>
  <si>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</si>
  <si>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</si>
  <si>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</si>
  <si>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</si>
  <si>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</si>
  <si>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</si>
  <si>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</si>
  <si>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</si>
  <si>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</si>
  <si>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</si>
  <si>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</si>
  <si>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</si>
  <si>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</si>
  <si>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</si>
  <si>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</si>
  <si>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</si>
  <si>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</si>
  <si>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</si>
  <si>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</si>
  <si>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</si>
  <si>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</si>
  <si>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</si>
  <si>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</si>
  <si>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</si>
  <si>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</si>
  <si>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</si>
  <si>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</si>
  <si>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</si>
  <si>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</si>
  <si>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</si>
  <si>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</si>
  <si>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</si>
  <si>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</si>
  <si>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</si>
  <si>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</si>
  <si>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</si>
  <si>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</si>
  <si>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</si>
  <si>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</si>
  <si>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</si>
  <si>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</si>
  <si>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</si>
  <si>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</si>
  <si>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</si>
  <si>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</si>
  <si>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</si>
  <si>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</si>
  <si>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</si>
  <si>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</si>
  <si>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</si>
  <si>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</si>
  <si>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</si>
  <si>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</si>
  <si>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</si>
  <si>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</si>
  <si>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</si>
  <si>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</si>
  <si>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</si>
  <si>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</si>
  <si>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</si>
  <si>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</si>
  <si>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</si>
  <si>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</si>
  <si>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</si>
  <si>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</si>
  <si>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</si>
  <si>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</si>
  <si>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</si>
  <si>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</si>
  <si>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</si>
  <si>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</si>
  <si>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</si>
  <si>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</si>
  <si>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</si>
  <si>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</si>
  <si>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</si>
  <si>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</si>
  <si>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</si>
  <si>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</si>
  <si>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</si>
  <si>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</si>
  <si>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</si>
  <si>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</si>
  <si>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</si>
  <si>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</si>
  <si>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</si>
  <si>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</si>
  <si>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</si>
  <si>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</si>
  <si>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</si>
  <si>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</si>
  <si>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</si>
  <si>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</si>
  <si>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</si>
  <si>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</si>
  <si>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</si>
  <si>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</si>
  <si>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</si>
  <si>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</si>
  <si>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</si>
  <si>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</si>
  <si>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</si>
  <si>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</si>
  <si>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</si>
  <si>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</si>
  <si>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</si>
  <si>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</si>
  <si>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</si>
  <si>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</si>
  <si>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</si>
  <si>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</si>
  <si>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</si>
  <si>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</si>
  <si>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</si>
  <si>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</si>
  <si>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</si>
  <si>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</si>
  <si>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</si>
  <si>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</si>
  <si>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</si>
  <si>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</si>
  <si>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</si>
  <si>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</si>
  <si>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</si>
  <si>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</si>
  <si>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</si>
  <si>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</si>
  <si>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</si>
  <si>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</si>
  <si>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</si>
  <si>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</si>
  <si>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</si>
  <si>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</si>
  <si>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</si>
  <si>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</si>
  <si>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</si>
  <si>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</si>
  <si>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</si>
  <si>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</si>
  <si>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</si>
  <si>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</si>
  <si>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</si>
  <si>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</si>
  <si>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</si>
  <si>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</si>
  <si>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</si>
  <si>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</si>
  <si>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</si>
  <si>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</si>
  <si>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</si>
  <si>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</si>
  <si>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</si>
  <si>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</si>
  <si>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</si>
  <si>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</si>
  <si>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</si>
  <si>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</si>
  <si>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</si>
  <si>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</si>
  <si>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</si>
  <si>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</si>
  <si>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</si>
  <si>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</si>
  <si>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</si>
  <si>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</si>
  <si>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</si>
  <si>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</si>
  <si>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</si>
  <si>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</si>
  <si>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</si>
  <si>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</si>
  <si>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</si>
  <si>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</si>
  <si>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</si>
  <si>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</si>
  <si>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</si>
  <si>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</si>
  <si>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</si>
  <si>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</si>
  <si>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</si>
  <si>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</si>
  <si>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</si>
  <si>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</si>
  <si>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</si>
  <si>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</si>
  <si>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</si>
  <si>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</si>
  <si>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</si>
  <si>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</si>
  <si>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</si>
  <si>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</si>
  <si>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</si>
  <si>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</si>
  <si>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</si>
  <si>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</si>
  <si>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</si>
  <si>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</si>
  <si>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</si>
  <si>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</si>
  <si>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</si>
  <si>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</si>
  <si>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</si>
  <si>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</si>
  <si>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</si>
  <si>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</si>
  <si>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</si>
  <si>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</si>
  <si>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</si>
  <si>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</si>
  <si>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</si>
  <si>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</si>
  <si>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</si>
  <si>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</si>
  <si>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</si>
  <si>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</si>
  <si>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</si>
  <si>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</si>
  <si>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</si>
  <si>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</si>
  <si>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</si>
  <si>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</si>
  <si>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</si>
  <si>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</si>
  <si>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</si>
  <si>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</si>
  <si>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</si>
  <si>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</si>
  <si>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</si>
  <si>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</si>
  <si>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</si>
  <si>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</si>
  <si>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</si>
  <si>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</si>
  <si>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</si>
  <si>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</si>
  <si>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</si>
  <si>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</si>
  <si>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</si>
  <si>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</si>
  <si>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</si>
  <si>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</si>
  <si>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</si>
  <si>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</si>
  <si>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</si>
  <si>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</si>
  <si>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</si>
  <si>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</si>
  <si>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</si>
  <si>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</si>
  <si>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</si>
  <si>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</si>
  <si>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</si>
  <si>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</si>
  <si>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</si>
  <si>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</si>
  <si>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</si>
  <si>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</si>
  <si>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</si>
  <si>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</si>
  <si>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</si>
  <si>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</si>
  <si>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</si>
  <si>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</si>
  <si>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</si>
  <si>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</si>
  <si>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</si>
  <si>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</si>
  <si>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</si>
  <si>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</si>
  <si>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</si>
  <si>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</si>
  <si>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</si>
  <si>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</si>
  <si>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</si>
  <si>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</si>
  <si>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</si>
  <si>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</si>
  <si>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</si>
  <si>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</si>
  <si>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</si>
  <si>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</si>
  <si>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</si>
  <si>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</si>
  <si>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</si>
  <si>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</si>
  <si>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</si>
  <si>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</si>
  <si>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</si>
  <si>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</si>
  <si>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</si>
  <si>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</si>
  <si>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</si>
  <si>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</si>
  <si>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</si>
  <si>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</si>
  <si>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</si>
  <si>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</si>
  <si>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</si>
  <si>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</si>
  <si>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</si>
  <si>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</si>
  <si>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</si>
  <si>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</si>
  <si>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</si>
  <si>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</si>
  <si>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</si>
  <si>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</si>
  <si>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</si>
  <si>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Frank J. Madrid</t>
  </si>
  <si>
    <t>$D$2</t>
  </si>
  <si>
    <t>$D$3</t>
  </si>
  <si>
    <t>FRANK J. MADRID</t>
  </si>
  <si>
    <t>$C$6</t>
  </si>
  <si>
    <t>$J$8</t>
  </si>
  <si>
    <t>$J$13</t>
  </si>
  <si>
    <t>$J$14</t>
  </si>
  <si>
    <t>$J$15</t>
  </si>
  <si>
    <t>$L$8:$L$19</t>
  </si>
  <si>
    <t>$M$8:$M$19</t>
  </si>
  <si>
    <t>$N$9:$N$19</t>
  </si>
  <si>
    <t>$C$7</t>
  </si>
  <si>
    <t>$J$7:$J$18</t>
  </si>
  <si>
    <t>$L$15</t>
  </si>
  <si>
    <t>$L$16</t>
  </si>
  <si>
    <t>$L$17</t>
  </si>
  <si>
    <t>$L$18</t>
  </si>
  <si>
    <t>$M$8</t>
  </si>
  <si>
    <t>$M$15</t>
  </si>
  <si>
    <t>$M$17</t>
  </si>
  <si>
    <t>$M$18</t>
  </si>
  <si>
    <t>$J$8:$J$19</t>
  </si>
  <si>
    <t>$L$7:$M$18</t>
  </si>
  <si>
    <t>no salar facility for the Branch</t>
  </si>
  <si>
    <t>$N$7</t>
  </si>
  <si>
    <t>$L$9:$L$19</t>
  </si>
  <si>
    <t>$K$8</t>
  </si>
  <si>
    <t>09 September 2025</t>
  </si>
  <si>
    <t>$J$10:$K$12</t>
  </si>
  <si>
    <t>$J$13:$K$15</t>
  </si>
  <si>
    <t>$J$16:$K$18</t>
  </si>
  <si>
    <t>$J$19:$K$21</t>
  </si>
  <si>
    <t>$J$22:$K$24</t>
  </si>
  <si>
    <t>$J$25:$K$27</t>
  </si>
  <si>
    <t>$J$28:$K$30</t>
  </si>
  <si>
    <t>$J$31:$K$33</t>
  </si>
  <si>
    <t>$J$34:$K$36</t>
  </si>
  <si>
    <t>$J$37:$K$39</t>
  </si>
  <si>
    <t>$J$40:$K$42</t>
  </si>
  <si>
    <t>$L$19</t>
  </si>
  <si>
    <t>$L$20</t>
  </si>
  <si>
    <t>$L$21</t>
  </si>
  <si>
    <t>$L$22</t>
  </si>
  <si>
    <t>$L$23</t>
  </si>
  <si>
    <t>$L$24</t>
  </si>
  <si>
    <t>$L$25</t>
  </si>
  <si>
    <t>$L$26</t>
  </si>
  <si>
    <t>$L$27</t>
  </si>
  <si>
    <t>$L$28</t>
  </si>
  <si>
    <t>$L$29</t>
  </si>
  <si>
    <t>$L$30</t>
  </si>
  <si>
    <t>$L$31</t>
  </si>
  <si>
    <t>$L$32</t>
  </si>
  <si>
    <t>$L$33</t>
  </si>
  <si>
    <t>$L$34</t>
  </si>
  <si>
    <t>$L$35</t>
  </si>
  <si>
    <t>$L$36</t>
  </si>
  <si>
    <t>$L$37</t>
  </si>
  <si>
    <t>$L$38</t>
  </si>
  <si>
    <t>$L$39</t>
  </si>
  <si>
    <t>$L$40</t>
  </si>
  <si>
    <t>$L$41</t>
  </si>
  <si>
    <t>$L$42</t>
  </si>
  <si>
    <t>$N$7:$N$18</t>
  </si>
  <si>
    <t>$N$13</t>
  </si>
  <si>
    <t>$N$16</t>
  </si>
  <si>
    <t>$N$19</t>
  </si>
  <si>
    <t>$N$22</t>
  </si>
  <si>
    <t>$N$25</t>
  </si>
  <si>
    <t>$N$28</t>
  </si>
  <si>
    <t>$N$31</t>
  </si>
  <si>
    <t>$N$34</t>
  </si>
  <si>
    <t>$N$37</t>
  </si>
  <si>
    <t>$N$40</t>
  </si>
  <si>
    <t>$N$12</t>
  </si>
  <si>
    <t>Toyota Innova</t>
  </si>
  <si>
    <t>Toyota Grandia</t>
  </si>
  <si>
    <t>$R$10:$R$42</t>
  </si>
  <si>
    <t>$N$11</t>
  </si>
  <si>
    <t>$N$15</t>
  </si>
  <si>
    <t>$N$14</t>
  </si>
  <si>
    <t>$N$18</t>
  </si>
  <si>
    <t>$N$17</t>
  </si>
  <si>
    <t>$N$20</t>
  </si>
  <si>
    <t>$N$21</t>
  </si>
  <si>
    <t>$N$23</t>
  </si>
  <si>
    <t>$N$24</t>
  </si>
  <si>
    <t>$N$27</t>
  </si>
  <si>
    <t>$N$26</t>
  </si>
  <si>
    <t>$N$29</t>
  </si>
  <si>
    <t>$N$30</t>
  </si>
  <si>
    <t>$N$33</t>
  </si>
  <si>
    <t>$N$32</t>
  </si>
  <si>
    <t>$N$35</t>
  </si>
  <si>
    <t>$N$36</t>
  </si>
  <si>
    <t>$N$39</t>
  </si>
  <si>
    <t>$N$38</t>
  </si>
  <si>
    <t>$N$42</t>
  </si>
  <si>
    <t>$N$41</t>
  </si>
  <si>
    <t>$P$8</t>
  </si>
  <si>
    <t>$P$11</t>
  </si>
  <si>
    <t>$P$12</t>
  </si>
  <si>
    <t>$P$14</t>
  </si>
  <si>
    <t>$P$15</t>
  </si>
  <si>
    <t>$X$20</t>
  </si>
  <si>
    <t>$S$9:$S$19</t>
  </si>
  <si>
    <t>$Q$8:$Q$19</t>
  </si>
  <si>
    <t>$T$8:$T$19</t>
  </si>
  <si>
    <t>storage in septic vault</t>
  </si>
  <si>
    <t>$U$8</t>
  </si>
  <si>
    <t>storage in septic vault &amp; hauled bu external party</t>
  </si>
  <si>
    <t>storage in septic vault &amp; hauled by external party</t>
  </si>
  <si>
    <t>\</t>
  </si>
  <si>
    <t>$U$9:$U$19</t>
  </si>
  <si>
    <t>$P$18</t>
  </si>
  <si>
    <t>$P$17</t>
  </si>
  <si>
    <t>$P$19</t>
  </si>
  <si>
    <t>$P$22</t>
  </si>
  <si>
    <t>$P$25</t>
  </si>
  <si>
    <t>$P$28</t>
  </si>
  <si>
    <t>$P$31</t>
  </si>
  <si>
    <t>$P$34</t>
  </si>
  <si>
    <t>$P$37</t>
  </si>
  <si>
    <t>$P$40</t>
  </si>
  <si>
    <t>$P$42</t>
  </si>
  <si>
    <t>$P$39</t>
  </si>
  <si>
    <t>$P$36</t>
  </si>
  <si>
    <t>$P$33</t>
  </si>
  <si>
    <t>$P$30</t>
  </si>
  <si>
    <t>$P$27</t>
  </si>
  <si>
    <t>$P$24</t>
  </si>
  <si>
    <t>$P$21</t>
  </si>
  <si>
    <t>$P$20</t>
  </si>
  <si>
    <t>$P$23</t>
  </si>
  <si>
    <t>$P$26</t>
  </si>
  <si>
    <t>$P$29</t>
  </si>
  <si>
    <t>$P$32</t>
  </si>
  <si>
    <t>$P$35</t>
  </si>
  <si>
    <t>$P$38</t>
  </si>
  <si>
    <t>$P$41</t>
  </si>
  <si>
    <t>$N$43</t>
  </si>
  <si>
    <t>storage in septic vault &amp; hauled by external party, watering of plants</t>
  </si>
  <si>
    <t>$J$14:$J$19</t>
  </si>
  <si>
    <t>$L$14:$M$19</t>
  </si>
  <si>
    <t>$M$8:$M$13</t>
  </si>
  <si>
    <t>$Q$14:$Q$19</t>
  </si>
  <si>
    <t>$S$14:$S$19</t>
  </si>
  <si>
    <t>$U$14:$U$19</t>
  </si>
  <si>
    <t>no solar facility for the Branch</t>
  </si>
  <si>
    <t>$N$8:$N$19</t>
  </si>
  <si>
    <t>$J$25:$L$42</t>
  </si>
  <si>
    <t>$N$7:$N$42</t>
  </si>
  <si>
    <t>$P$7:$P$42</t>
  </si>
  <si>
    <t>$R$26:$R$43</t>
  </si>
  <si>
    <t>$K$7:$K$10</t>
  </si>
  <si>
    <t>$M$7:$M$10</t>
  </si>
  <si>
    <t>$J$8:$J$10</t>
  </si>
  <si>
    <t>$T$8:$T$13</t>
  </si>
  <si>
    <t>$L$8:$L$13</t>
  </si>
  <si>
    <t>$N$9:$N$13</t>
  </si>
  <si>
    <t>$J$10:$J$23</t>
  </si>
  <si>
    <t>$J$24</t>
  </si>
  <si>
    <t>$K$24</t>
  </si>
  <si>
    <t>$L$10:$L$24</t>
  </si>
  <si>
    <t>$K$15</t>
  </si>
  <si>
    <t>$K$18</t>
  </si>
  <si>
    <t>$J$15:$L$17</t>
  </si>
  <si>
    <t>$J$17:$L$24</t>
  </si>
  <si>
    <t>$R$10:$R$27</t>
  </si>
  <si>
    <t>$R$15:$R$24</t>
  </si>
  <si>
    <t>$R$17:$R$24</t>
  </si>
  <si>
    <t>Ground floor Area</t>
  </si>
  <si>
    <t>Second Floor Area</t>
  </si>
  <si>
    <t>3rd floor area</t>
  </si>
  <si>
    <t>Guardhouse</t>
  </si>
  <si>
    <t>Genset area</t>
  </si>
  <si>
    <t>$J$9:$N$13</t>
  </si>
  <si>
    <t>DAVINCI D. SAGSAGAT</t>
  </si>
  <si>
    <t>10 September 2025</t>
  </si>
  <si>
    <t>$J$8:$J$20</t>
  </si>
  <si>
    <t>Regular waste and Shredded notes</t>
  </si>
  <si>
    <t>$L$8:$O$20</t>
  </si>
  <si>
    <t>$J$14:$J$20</t>
  </si>
  <si>
    <t>$L$14:$L$20</t>
  </si>
  <si>
    <t>$M$14:$M$20</t>
  </si>
  <si>
    <t>$N$14:$N$20</t>
  </si>
  <si>
    <t>$O$14:$O$20</t>
  </si>
  <si>
    <t>$M$8:$N$13</t>
  </si>
  <si>
    <t>$A$27:$E$39</t>
  </si>
  <si>
    <t>Parking area</t>
  </si>
  <si>
    <t>$J$14:$N$15</t>
  </si>
  <si>
    <t>$I$8:$O$106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</si>
</sst>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quot;₱&quot;#,##0.00;\-&quot;₱&quot;#,##0.00"/>
    <numFmt numFmtId="165" formatCode="_-* #,##0.00_-;\-* #,##0.00_-;_-* &quot;-&quot;??_-;_-@_-"/>
    <numFmt numFmtId="166" formatCode="_-* #,##0.00\ _€_-;\-* #,##0.00\ _€_-;_-* &quot;-&quot;??\ _€_-;_-@_-"/>
    <numFmt numFmtId="167" formatCode="&quot;₱&quot;#,##0.00"/>
    <numFmt numFmtId="168" formatCode="0.0000"/>
    <numFmt numFmtId="169" formatCode="#,##0.0000"/>
    <numFmt numFmtId="170" formatCode="0.00;[Red]0.00"/>
    <numFmt numFmtId="171" formatCode="_(* #,##0.00_);_(* \(#,##0.00\);_(* \-??_);_(@_)"/>
  </numFmts>
  <fonts count="48"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
      <sz val="11"/>
      <color rgb="FF000000"/>
      <name val="Calibri"/>
      <family val="2"/>
      <charset val="1"/>
    </font>
    <font>
      <sz val="10"/>
      <name val="Arial"/>
      <family val="2"/>
      <charset val="1"/>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15">
    <xf numFmtId="0" fontId="0" fillId="0" borderId="0"/>
    <xf numFmtId="0" fontId="6" fillId="0" borderId="0"/>
    <xf numFmtId="0" fontId="7" fillId="0" borderId="0" applyNumberFormat="0" applyFill="0" applyBorder="0" applyAlignment="0" applyProtection="0"/>
    <xf numFmtId="166"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xf numFmtId="0" fontId="46" fillId="0" borderId="0"/>
    <xf numFmtId="171" fontId="46" fillId="0" borderId="0" applyBorder="0" applyProtection="0"/>
    <xf numFmtId="171" fontId="46" fillId="0" borderId="0" applyBorder="0" applyProtection="0"/>
    <xf numFmtId="171" fontId="46" fillId="0" borderId="0" applyBorder="0" applyProtection="0"/>
    <xf numFmtId="0" fontId="47" fillId="0" borderId="0"/>
    <xf numFmtId="0" fontId="33" fillId="0" borderId="0"/>
    <xf numFmtId="165" fontId="33" fillId="0" borderId="0" applyFont="0" applyFill="0" applyBorder="0" applyAlignment="0" applyProtection="0"/>
    <xf numFmtId="0" fontId="33" fillId="0" borderId="0"/>
  </cellStyleXfs>
  <cellXfs count="469">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7" fontId="8" fillId="3" borderId="0" xfId="0" applyNumberFormat="1" applyFont="1" applyFill="1" applyProtection="1">
      <protection locked="0"/>
    </xf>
    <xf numFmtId="167"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7" fontId="8" fillId="3" borderId="0" xfId="0" applyNumberFormat="1" applyFont="1" applyFill="1" applyAlignment="1" applyProtection="1">
      <alignment horizontal="center" vertical="center"/>
      <protection locked="0"/>
    </xf>
    <xf numFmtId="167"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7" fontId="12" fillId="25" borderId="6" xfId="0" applyNumberFormat="1" applyFont="1" applyFill="1" applyBorder="1" applyAlignment="1" applyProtection="1">
      <alignment horizontal="center" vertical="center"/>
      <protection locked="0"/>
    </xf>
    <xf numFmtId="167"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8" fontId="8" fillId="9" borderId="4" xfId="0" applyNumberFormat="1" applyFont="1" applyFill="1" applyBorder="1" applyProtection="1">
      <protection locked="0"/>
    </xf>
    <xf numFmtId="167"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9"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7"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7" fontId="8" fillId="3" borderId="7" xfId="0" applyNumberFormat="1" applyFont="1" applyFill="1" applyBorder="1" applyProtection="1">
      <protection locked="0"/>
    </xf>
    <xf numFmtId="167"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7" fontId="12" fillId="28" borderId="6" xfId="0" applyNumberFormat="1" applyFont="1" applyFill="1" applyBorder="1" applyAlignment="1" applyProtection="1">
      <alignment horizontal="center" vertical="center"/>
      <protection locked="0"/>
    </xf>
    <xf numFmtId="167"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7" fontId="8" fillId="13" borderId="26" xfId="0" applyNumberFormat="1" applyFont="1" applyFill="1" applyBorder="1" applyProtection="1">
      <protection locked="0"/>
    </xf>
    <xf numFmtId="167"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7" fontId="8" fillId="3" borderId="40" xfId="0" applyNumberFormat="1" applyFont="1" applyFill="1" applyBorder="1" applyProtection="1">
      <protection locked="0"/>
    </xf>
    <xf numFmtId="167"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7" fontId="8" fillId="3" borderId="45" xfId="0" applyNumberFormat="1" applyFont="1" applyFill="1" applyBorder="1" applyProtection="1">
      <protection locked="0"/>
    </xf>
    <xf numFmtId="167"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70"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7" fontId="8" fillId="13" borderId="50" xfId="0" applyNumberFormat="1" applyFont="1" applyFill="1" applyBorder="1" applyProtection="1">
      <protection locked="0"/>
    </xf>
    <xf numFmtId="167"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3" borderId="6"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164" fontId="0" fillId="0" borderId="0" xfId="0" applyNumberFormat="1"/>
    <xf numFmtId="14" fontId="0" fillId="0" borderId="0" xfId="0" applyNumberFormat="1"/>
    <xf numFmtId="15" fontId="0" fillId="0" borderId="0" xfId="0" applyNumberFormat="1"/>
    <xf numFmtId="0" fontId="8" fillId="11" borderId="6" xfId="0" applyFont="1" applyFill="1" applyBorder="1" applyProtection="1">
      <protection locked="0"/>
    </xf>
    <xf numFmtId="0" fontId="8" fillId="11" borderId="10" xfId="0" applyFont="1" applyFill="1" applyBorder="1" applyProtection="1">
      <protection locked="0"/>
    </xf>
    <xf numFmtId="0" fontId="8" fillId="11" borderId="61" xfId="0" applyFont="1" applyFill="1" applyBorder="1" applyProtection="1">
      <protection locked="0"/>
    </xf>
    <xf numFmtId="0" fontId="8" fillId="3" borderId="6" xfId="0" applyFont="1" applyFill="1" applyBorder="1" applyAlignment="1" applyProtection="1">
      <alignment horizontal="left"/>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16" fontId="8" fillId="3" borderId="4" xfId="0" quotePrefix="1" applyNumberFormat="1" applyFont="1" applyFill="1" applyBorder="1" applyAlignment="1" applyProtection="1">
      <alignment horizontal="center" vertical="center"/>
      <protection locked="0"/>
    </xf>
    <xf numFmtId="0" fontId="8" fillId="3" borderId="4" xfId="0" quotePrefix="1"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14" fontId="8" fillId="3" borderId="4" xfId="0" quotePrefix="1" applyNumberFormat="1" applyFont="1" applyFill="1" applyBorder="1" applyAlignment="1" applyProtection="1">
      <alignment horizontal="center" vertical="center"/>
      <protection locked="0"/>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15">
    <cellStyle name="Comma 2" xfId="3" xr:uid="{92BF5794-1AF9-44DE-8A45-97E2D247EB03}"/>
    <cellStyle name="Comma 2 2" xfId="9" xr:uid="{085DA396-DE17-40D8-B569-9E4598FA786E}"/>
    <cellStyle name="Comma 3" xfId="10" xr:uid="{2341B9F5-B90E-4D43-8C79-E63A9968C05D}"/>
    <cellStyle name="Comma 4" xfId="13" xr:uid="{C30F162D-9D15-410F-917F-5C5D4D54401D}"/>
    <cellStyle name="Comma 5" xfId="8" xr:uid="{15A6FD6C-139A-45B0-993A-3C7655456AB8}"/>
    <cellStyle name="Hyperlink" xfId="5" builtinId="8"/>
    <cellStyle name="Hyperlink 2" xfId="2" xr:uid="{985B9059-43AF-4B97-8D13-1508641BC7DB}"/>
    <cellStyle name="Normal" xfId="0" builtinId="0"/>
    <cellStyle name="Normal 2" xfId="1" xr:uid="{886A7E3E-2C28-48E7-AC10-101161A453A2}"/>
    <cellStyle name="Normal 2 2" xfId="11" xr:uid="{F0A2F1E4-FAD4-4F75-A8B2-A201693D2D32}"/>
    <cellStyle name="Normal 3" xfId="12" xr:uid="{860270E3-751B-4BE7-BD69-7CC8196BA45F}"/>
    <cellStyle name="Normal 4" xfId="14" xr:uid="{6F9E52DA-DB9C-41B2-9ED7-DD10FEBEAB68}"/>
    <cellStyle name="Normal 5" xfId="7" xr:uid="{8ECD3F24-F510-4BB5-B7A1-2E7711DE3F56}"/>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7"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7"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7"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7">
      <sharedItems containsString="0" containsBlank="1" containsNumber="1" containsInteger="1" minValue="100" maxValue="8000"/>
    </cacheField>
    <cacheField name="Utility Provider" numFmtId="167">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72027199075"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5"/>
    </cacheField>
    <cacheField name="Vehicle Type" numFmtId="0">
      <sharedItems containsBlank="1" count="11">
        <s v="Armored Vehicle"/>
        <s v="Multi-Purpose Vehicle"/>
        <s v="Van  "/>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m/>
        <s v="Jul" u="1"/>
        <s v="Aug" u="1"/>
        <s v="Sep" u="1"/>
        <s v="Oct" u="1"/>
        <s v="Nov" u="1"/>
        <s v="Dec" u="1"/>
      </sharedItems>
    </cacheField>
    <cacheField name="Quarter" numFmtId="0">
      <sharedItems containsBlank="1" count="6">
        <s v="Q1"/>
        <s v="Q2"/>
        <s v=""/>
        <s v="Q3" u="1"/>
        <s v="Q4" u="1"/>
        <m u="1"/>
      </sharedItems>
    </cacheField>
    <cacheField name="Consumption" numFmtId="4">
      <sharedItems containsString="0" containsBlank="1" containsNumber="1" minValue="26.59" maxValue="155.5"/>
    </cacheField>
    <cacheField name="Unit" numFmtId="0">
      <sharedItems containsBlank="1"/>
    </cacheField>
    <cacheField name="Total kilometers travelled (all vehicles)" numFmtId="4">
      <sharedItems containsString="0" containsBlank="1" containsNumber="1" minValue="49" maxValue="1799"/>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48.65"/>
    <s v="Liters"/>
    <n v="97.9"/>
    <s v="Kilometers"/>
    <m/>
  </r>
  <r>
    <n v="2"/>
    <x v="1"/>
    <x v="0"/>
    <x v="0"/>
    <x v="0"/>
    <n v="155.5"/>
    <m/>
    <n v="1799"/>
    <s v="Kilometers"/>
    <s v="Toyota Innova"/>
  </r>
  <r>
    <n v="3"/>
    <x v="2"/>
    <x v="0"/>
    <x v="0"/>
    <x v="0"/>
    <n v="53.95"/>
    <s v="Liters"/>
    <n v="602"/>
    <s v="Kilometers"/>
    <s v="Toyota Grandia"/>
  </r>
  <r>
    <n v="4"/>
    <x v="1"/>
    <x v="0"/>
    <x v="1"/>
    <x v="0"/>
    <n v="115.92"/>
    <s v="Liters"/>
    <n v="1145"/>
    <s v="Kilometers"/>
    <s v="Toyota Innova"/>
  </r>
  <r>
    <n v="5"/>
    <x v="2"/>
    <x v="0"/>
    <x v="1"/>
    <x v="0"/>
    <n v="97.72"/>
    <s v="Liters"/>
    <n v="1242"/>
    <s v="Kilometers"/>
    <s v="Toyota Grandia"/>
  </r>
  <r>
    <n v="6"/>
    <x v="0"/>
    <x v="0"/>
    <x v="2"/>
    <x v="0"/>
    <n v="26.59"/>
    <s v="Liters"/>
    <n v="49"/>
    <s v="Kilometers"/>
    <m/>
  </r>
  <r>
    <n v="7"/>
    <x v="1"/>
    <x v="0"/>
    <x v="2"/>
    <x v="0"/>
    <n v="134.46"/>
    <s v="Liters"/>
    <n v="1523"/>
    <s v="Kilometers"/>
    <s v="Toyota Innova"/>
  </r>
  <r>
    <n v="8"/>
    <x v="2"/>
    <x v="0"/>
    <x v="2"/>
    <x v="0"/>
    <n v="138.36000000000001"/>
    <s v="Liters"/>
    <n v="1370"/>
    <s v="Kilometers"/>
    <s v="Toyota Grandia"/>
  </r>
  <r>
    <n v="9"/>
    <x v="1"/>
    <x v="0"/>
    <x v="3"/>
    <x v="1"/>
    <n v="66.02"/>
    <s v="Liters"/>
    <n v="690"/>
    <s v="Kilometers"/>
    <s v="Toyota Innova"/>
  </r>
  <r>
    <n v="10"/>
    <x v="2"/>
    <x v="0"/>
    <x v="3"/>
    <x v="1"/>
    <n v="55.44"/>
    <s v="Liters"/>
    <n v="588"/>
    <s v="Kilometers"/>
    <s v="Toyota Grandia"/>
  </r>
  <r>
    <n v="11"/>
    <x v="1"/>
    <x v="0"/>
    <x v="4"/>
    <x v="1"/>
    <n v="50"/>
    <s v="Liters"/>
    <n v="487"/>
    <s v="Kilometers"/>
    <s v="Toyota Innova"/>
  </r>
  <r>
    <n v="12"/>
    <x v="2"/>
    <x v="0"/>
    <x v="4"/>
    <x v="1"/>
    <n v="57.52"/>
    <s v="Liters"/>
    <n v="601"/>
    <s v="Kilometers"/>
    <s v="Toyota Grandia"/>
  </r>
  <r>
    <n v="13"/>
    <x v="0"/>
    <x v="0"/>
    <x v="5"/>
    <x v="1"/>
    <n v="47.15"/>
    <s v="Liters"/>
    <n v="142.4"/>
    <s v="Kilometers"/>
    <m/>
  </r>
  <r>
    <n v="14"/>
    <x v="1"/>
    <x v="0"/>
    <x v="5"/>
    <x v="1"/>
    <n v="58.14"/>
    <s v="Liters"/>
    <n v="679"/>
    <s v="Kilometers"/>
    <s v="Toyota Innova"/>
  </r>
  <r>
    <n v="15"/>
    <x v="2"/>
    <x v="0"/>
    <x v="5"/>
    <x v="1"/>
    <n v="73.5"/>
    <s v="Liters"/>
    <n v="1042"/>
    <s v="Kilometers"/>
    <s v="Toyota Grandia"/>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44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4">
        <item x="0"/>
        <item x="1"/>
        <item m="1" x="10"/>
        <item x="6"/>
        <item x="4"/>
        <item m="1" x="9"/>
        <item x="2"/>
        <item x="3"/>
        <item x="5"/>
        <item m="1" x="7"/>
        <item m="1" x="8"/>
        <item m="1" x="11"/>
        <item m="1" x="12"/>
        <item t="default"/>
      </items>
    </pivotField>
    <pivotField axis="axisCol" showAll="0">
      <items count="7">
        <item x="2"/>
        <item x="0"/>
        <item m="1" x="4"/>
        <item x="1"/>
        <item m="1" x="3"/>
        <item m="1" x="5"/>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70"/>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4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4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4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70"/>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4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4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70"/>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43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1" s="1"/>
        <i x="2"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7" s="1" nd="1"/>
        <i x="8" s="1" nd="1"/>
        <i x="9" s="1" nd="1"/>
        <i x="10" s="1" nd="1"/>
        <i x="11" s="1" nd="1"/>
        <i x="1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3" s="1" nd="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7" totalsRowShown="0" headerRowDxfId="109" dataDxfId="107" headerRowBorderDxfId="108" tableBorderDxfId="106">
  <autoFilter ref="I6:O7"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330" totalsRowShown="0" headerRowDxfId="8">
  <autoFilter ref="A1:E1330"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zoomScaleNormal="130" workbookViewId="0">
      <selection activeCell="G16" sqref="G16"/>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2" t="s">
        <v>2</v>
      </c>
      <c r="D5" s="153" t="s">
        <v>3</v>
      </c>
      <c r="E5" s="154" t="s">
        <v>4</v>
      </c>
      <c r="F5" s="155" t="s">
        <v>5</v>
      </c>
      <c r="G5" s="154" t="s">
        <v>6</v>
      </c>
      <c r="H5" s="156" t="s">
        <v>7</v>
      </c>
    </row>
    <row r="6" spans="2:8" ht="16" x14ac:dyDescent="0.2">
      <c r="B6" s="433" t="s">
        <v>27</v>
      </c>
      <c r="D6" s="86">
        <v>1</v>
      </c>
      <c r="E6" s="90" t="s">
        <v>8</v>
      </c>
      <c r="F6" s="91" t="s">
        <v>9</v>
      </c>
      <c r="G6" s="92" t="s">
        <v>10</v>
      </c>
      <c r="H6" s="93" t="s">
        <v>11</v>
      </c>
    </row>
    <row r="7" spans="2:8" ht="16" x14ac:dyDescent="0.2">
      <c r="B7" s="433" t="s">
        <v>58</v>
      </c>
      <c r="D7" s="86">
        <f>D6+1</f>
        <v>2</v>
      </c>
      <c r="E7" s="90" t="s">
        <v>12</v>
      </c>
      <c r="F7" s="91" t="s">
        <v>13</v>
      </c>
      <c r="G7" s="92" t="s">
        <v>14</v>
      </c>
      <c r="H7" s="93">
        <v>2024</v>
      </c>
    </row>
    <row r="8" spans="2:8" ht="16" x14ac:dyDescent="0.2">
      <c r="B8" s="434" t="s">
        <v>15</v>
      </c>
      <c r="D8" s="383">
        <f>D7+1</f>
        <v>3</v>
      </c>
      <c r="E8" s="389" t="s">
        <v>16</v>
      </c>
      <c r="F8" s="390" t="s">
        <v>17</v>
      </c>
      <c r="G8" s="384" t="s">
        <v>18</v>
      </c>
      <c r="H8" s="385" t="s">
        <v>19</v>
      </c>
    </row>
    <row r="9" spans="2:8" ht="16" x14ac:dyDescent="0.2">
      <c r="B9" s="435" t="s">
        <v>20</v>
      </c>
      <c r="D9" s="86">
        <f>D8+1</f>
        <v>4</v>
      </c>
      <c r="E9" s="91" t="s">
        <v>21</v>
      </c>
      <c r="F9" s="91" t="s">
        <v>22</v>
      </c>
      <c r="G9" s="158" t="s">
        <v>23</v>
      </c>
      <c r="H9" s="159" t="s">
        <v>24</v>
      </c>
    </row>
    <row r="10" spans="2:8" x14ac:dyDescent="0.2">
      <c r="B10" s="435" t="s">
        <v>25</v>
      </c>
      <c r="D10" s="386"/>
      <c r="E10" s="387"/>
      <c r="F10" s="387"/>
      <c r="G10" s="174"/>
      <c r="H10" s="388"/>
    </row>
    <row r="11" spans="2:8" ht="16" x14ac:dyDescent="0.2">
      <c r="B11" s="436" t="s">
        <v>26</v>
      </c>
      <c r="D11" s="84" t="s">
        <v>27</v>
      </c>
      <c r="E11" s="96"/>
      <c r="F11" s="97"/>
      <c r="G11" s="96"/>
      <c r="H11" s="98"/>
    </row>
    <row r="12" spans="2:8" ht="16" x14ac:dyDescent="0.2">
      <c r="B12" s="437"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29"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09"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4" t="s">
        <v>138</v>
      </c>
      <c r="G109" s="92" t="s">
        <v>10</v>
      </c>
      <c r="H109" s="93" t="s">
        <v>139</v>
      </c>
    </row>
    <row r="110" spans="4:8" ht="16" x14ac:dyDescent="0.2">
      <c r="D110" s="86"/>
      <c r="E110" s="116" t="s">
        <v>140</v>
      </c>
      <c r="F110" s="91" t="s">
        <v>141</v>
      </c>
      <c r="G110" s="138" t="s">
        <v>66</v>
      </c>
      <c r="H110" s="108">
        <v>456.98</v>
      </c>
    </row>
    <row r="111" spans="4:8" ht="144" x14ac:dyDescent="0.2">
      <c r="D111" s="86"/>
      <c r="E111" s="421" t="s">
        <v>142</v>
      </c>
      <c r="F111" s="429" t="s">
        <v>143</v>
      </c>
      <c r="G111" s="92" t="s">
        <v>10</v>
      </c>
      <c r="H111" s="93" t="s">
        <v>144</v>
      </c>
    </row>
    <row r="112" spans="4:8" ht="32" x14ac:dyDescent="0.2">
      <c r="D112" s="86"/>
      <c r="E112" s="408"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K10" sqref="K10"/>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6" t="s">
        <v>349</v>
      </c>
      <c r="E2" s="447"/>
      <c r="F2" s="447"/>
      <c r="G2" s="448"/>
    </row>
    <row r="3" spans="3:7" x14ac:dyDescent="0.2">
      <c r="C3" s="117" t="s">
        <v>12</v>
      </c>
      <c r="D3" s="446">
        <v>2025</v>
      </c>
      <c r="E3" s="447"/>
      <c r="F3" s="447"/>
      <c r="G3" s="448"/>
    </row>
    <row r="5" spans="3:7" ht="19" customHeight="1" x14ac:dyDescent="0.2">
      <c r="C5" s="445" t="s">
        <v>148</v>
      </c>
      <c r="D5" s="445"/>
      <c r="E5" s="445"/>
      <c r="F5" s="445"/>
      <c r="G5" s="445"/>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178.08</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1178.92</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103000</v>
      </c>
    </row>
    <row r="32" spans="3:5" x14ac:dyDescent="0.2">
      <c r="E32" s="69"/>
    </row>
    <row r="33" spans="3:5" x14ac:dyDescent="0.2">
      <c r="C33" s="184" t="s">
        <v>163</v>
      </c>
      <c r="D33" s="185"/>
      <c r="E33" s="186"/>
    </row>
    <row r="34" spans="3:5" x14ac:dyDescent="0.2">
      <c r="C34" s="422"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252</v>
      </c>
    </row>
    <row r="40" spans="3:5" x14ac:dyDescent="0.2">
      <c r="C40" s="189" t="str">
        <f>'2.4 Water'!B12</f>
        <v>Water Discharge</v>
      </c>
      <c r="D40" s="189" t="str">
        <f>'2.4 Water'!C12</f>
        <v>Cubic meters</v>
      </c>
      <c r="E40" s="190">
        <f>SUM('2.4 Water'!$D$12:$G$12)</f>
        <v>252</v>
      </c>
    </row>
    <row r="42" spans="3:5" x14ac:dyDescent="0.2">
      <c r="C42" s="184" t="s">
        <v>165</v>
      </c>
      <c r="D42" s="185"/>
      <c r="E42" s="420"/>
    </row>
    <row r="43" spans="3:5" ht="40" x14ac:dyDescent="0.2">
      <c r="C43" s="187" t="str">
        <f>'2.5 Waste'!B10</f>
        <v>Waste Composition</v>
      </c>
      <c r="D43" s="187" t="str">
        <f>'2.5 Waste'!C10</f>
        <v>Unit</v>
      </c>
      <c r="E43" s="430" t="s">
        <v>166</v>
      </c>
    </row>
    <row r="44" spans="3:5" x14ac:dyDescent="0.2">
      <c r="C44" s="189" t="str">
        <f>'2.5 Waste'!B11</f>
        <v>Compostable</v>
      </c>
      <c r="D44" s="189" t="str">
        <f>'2.5 Waste'!C11</f>
        <v>Kilograms</v>
      </c>
      <c r="E44" s="191">
        <f>SUM('2.5 Waste'!$D$11:$G$11)</f>
        <v>12600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Waste'!$D$14:$G$14)</f>
        <v>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J10" sqref="J1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1"/>
      <c r="P3" s="410"/>
    </row>
    <row r="4" spans="2:16" x14ac:dyDescent="0.2">
      <c r="B4" s="161" t="str">
        <f>'1. Data Info and Summary'!$D$2</f>
        <v>Batac Branch</v>
      </c>
      <c r="C4" s="37"/>
      <c r="D4" s="38">
        <f>IF('1. Data Info and Summary'!$D$3=0,"-",'1. Data Info and Summary'!$D$3)</f>
        <v>2025</v>
      </c>
      <c r="E4" s="37"/>
      <c r="F4" s="37" t="s">
        <v>171</v>
      </c>
      <c r="G4" s="39"/>
      <c r="I4" s="338"/>
      <c r="J4" s="276"/>
      <c r="K4" s="276"/>
      <c r="L4" s="276"/>
      <c r="M4" s="277"/>
      <c r="N4" s="277"/>
      <c r="O4" s="412"/>
      <c r="P4" s="213"/>
    </row>
    <row r="5" spans="2:16" x14ac:dyDescent="0.2">
      <c r="I5" s="20"/>
      <c r="J5" s="272"/>
    </row>
    <row r="6" spans="2:16" x14ac:dyDescent="0.2">
      <c r="B6" s="278" t="s">
        <v>172</v>
      </c>
      <c r="C6" s="449" t="s">
        <v>1434</v>
      </c>
      <c r="D6" s="450"/>
      <c r="E6" s="450"/>
      <c r="F6" s="450"/>
      <c r="G6" s="451"/>
      <c r="I6" s="209" t="s">
        <v>173</v>
      </c>
      <c r="J6" s="209" t="s">
        <v>35</v>
      </c>
      <c r="K6" s="209" t="s">
        <v>39</v>
      </c>
      <c r="L6" s="209" t="s">
        <v>43</v>
      </c>
      <c r="M6" s="209" t="s">
        <v>47</v>
      </c>
      <c r="N6" s="209" t="s">
        <v>51</v>
      </c>
      <c r="O6" s="209" t="s">
        <v>54</v>
      </c>
      <c r="P6" s="20"/>
    </row>
    <row r="7" spans="2:16" x14ac:dyDescent="0.2">
      <c r="B7" s="278" t="s">
        <v>174</v>
      </c>
      <c r="C7" s="452" t="s">
        <v>1459</v>
      </c>
      <c r="D7" s="450"/>
      <c r="E7" s="450"/>
      <c r="F7" s="450"/>
      <c r="G7" s="451"/>
      <c r="I7" s="194">
        <f>IF($M7="","",1)</f>
        <v>1</v>
      </c>
      <c r="J7" s="57" t="s">
        <v>37</v>
      </c>
      <c r="K7" s="58" t="s">
        <v>338</v>
      </c>
      <c r="L7" s="18" t="str">
        <f>IF(Fuel_Blg[[#This Row],[Month]]&lt;&gt;"",VLOOKUP(Fuel_Blg[[#This Row],[Month]], dropdown!$S$4:$T$15, 2, FALSE),"")</f>
        <v>Q1</v>
      </c>
      <c r="M7" s="29">
        <v>178.08</v>
      </c>
      <c r="N7" s="17" t="str">
        <f>IF($J7="","",VLOOKUP($J7,dropdown!$P$3:$Q$8,2,FALSE))</f>
        <v>Liters</v>
      </c>
      <c r="O7" s="195"/>
      <c r="P7" s="20"/>
    </row>
    <row r="8" spans="2:16" x14ac:dyDescent="0.2">
      <c r="P8" s="20"/>
    </row>
    <row r="9" spans="2:16" x14ac:dyDescent="0.2">
      <c r="B9" s="14" t="s">
        <v>33</v>
      </c>
      <c r="C9" s="14"/>
      <c r="D9" s="14"/>
      <c r="E9" s="14"/>
      <c r="F9" s="14"/>
      <c r="G9" s="14"/>
      <c r="I9" s="322" t="s">
        <v>178</v>
      </c>
      <c r="P9" s="20"/>
    </row>
    <row r="10" spans="2:16" x14ac:dyDescent="0.2">
      <c r="B10" s="13" t="s">
        <v>35</v>
      </c>
      <c r="C10" s="13" t="s">
        <v>51</v>
      </c>
      <c r="D10" s="40" t="s">
        <v>45</v>
      </c>
      <c r="E10" s="40" t="s">
        <v>149</v>
      </c>
      <c r="F10" s="40" t="s">
        <v>150</v>
      </c>
      <c r="G10" s="40" t="s">
        <v>151</v>
      </c>
      <c r="P10" s="20"/>
    </row>
    <row r="11" spans="2:16" x14ac:dyDescent="0.2">
      <c r="B11" s="17" t="str">
        <f>dropdown!$P4</f>
        <v>Diesel - Standby generator sets</v>
      </c>
      <c r="C11" s="17" t="str">
        <f>dropdown!$Q4</f>
        <v>Liters</v>
      </c>
      <c r="D11" s="41">
        <f>SUMIFS(Fuel_Blg[Consumption],Fuel_Blg[Quarter],D$10,Fuel_Blg[Fuel Type],$B$11)</f>
        <v>178.08</v>
      </c>
      <c r="E11" s="41">
        <f>SUMIFS(Fuel_Blg[Consumption],Fuel_Blg[Quarter],E$10,Fuel_Blg[Fuel Type],$B$11)</f>
        <v>0</v>
      </c>
      <c r="F11" s="41">
        <f>SUMIFS(Fuel_Blg[Consumption],Fuel_Blg[Quarter],F$10,Fuel_Blg[Fuel Type],$B$11)</f>
        <v>0</v>
      </c>
      <c r="G11" s="41">
        <f>SUMIFS(Fuel_Blg[Consumption],Fuel_Blg[Quarter],G$10,Fuel_Blg[Fuel Type],$B$11)</f>
        <v>0</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7 O6:O7 J6:K7"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xm:sqref>
        </x14:dataValidation>
        <x14:dataValidation type="list" allowBlank="1" showInputMessage="1" showErrorMessage="1" xr:uid="{3A41C1D1-FB7A-9447-9EAB-0BFDEC48FE4C}">
          <x14:formula1>
            <xm:f>dropdown!$S$4:$S$15</xm:f>
          </x14:formula1>
          <xm:sqref>K7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B1" zoomScaleNormal="100" workbookViewId="0">
      <selection activeCell="H2" sqref="H2"/>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Batac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9" t="s">
        <v>1434</v>
      </c>
      <c r="D6" s="450"/>
      <c r="E6" s="450"/>
      <c r="F6" s="450"/>
      <c r="G6" s="451"/>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53" t="s">
        <v>1459</v>
      </c>
      <c r="D7" s="450"/>
      <c r="E7" s="450"/>
      <c r="F7" s="450"/>
      <c r="G7" s="451"/>
      <c r="I7" s="194">
        <f>IF($J7="","",1)</f>
        <v>1</v>
      </c>
      <c r="J7" s="57" t="s">
        <v>343</v>
      </c>
      <c r="K7" s="57" t="s">
        <v>63</v>
      </c>
      <c r="L7" s="58" t="s">
        <v>338</v>
      </c>
      <c r="M7" s="18" t="str">
        <f>IF(Fuel_Veh[[#This Row],[Month]]&lt;&gt;"",VLOOKUP(Fuel_Veh[[#This Row],[Month]], dropdown!$S$4:$T$15, 2, FALSE),"")</f>
        <v>Q1</v>
      </c>
      <c r="N7" s="29">
        <v>48.65</v>
      </c>
      <c r="O7" s="17" t="str">
        <f>IF($K7="","",VLOOKUP($K7,dropdown!$P$14:$Q$18,2,FALSE))</f>
        <v>Liters</v>
      </c>
      <c r="P7" s="29">
        <v>97.9</v>
      </c>
      <c r="Q7" s="17" t="str">
        <f t="shared" ref="Q7:Q70" si="0">IF($P7="","","Kilometers")</f>
        <v>Kilometers</v>
      </c>
      <c r="R7" s="195"/>
    </row>
    <row r="8" spans="2:18" x14ac:dyDescent="0.2">
      <c r="I8" s="194">
        <f>IF($J8="","",$I7+1)</f>
        <v>2</v>
      </c>
      <c r="J8" s="57" t="s">
        <v>365</v>
      </c>
      <c r="K8" s="57" t="s">
        <v>63</v>
      </c>
      <c r="L8" s="58" t="s">
        <v>338</v>
      </c>
      <c r="M8" s="18" t="str">
        <f>IF(Fuel_Veh[[#This Row],[Month]]&lt;&gt;"",VLOOKUP(Fuel_Veh[[#This Row],[Month]], dropdown!$S$4:$T$15, 2, FALSE),"")</f>
        <v>Q1</v>
      </c>
      <c r="N8" s="29">
        <v>155.5</v>
      </c>
      <c r="O8" s="17"/>
      <c r="P8" s="29">
        <v>1799</v>
      </c>
      <c r="Q8" s="17" t="str">
        <f t="shared" si="0"/>
        <v>Kilometers</v>
      </c>
      <c r="R8" s="195" t="s">
        <v>1507</v>
      </c>
    </row>
    <row r="9" spans="2:18" x14ac:dyDescent="0.2">
      <c r="B9" s="14" t="s">
        <v>33</v>
      </c>
      <c r="C9" s="14"/>
      <c r="D9" s="14"/>
      <c r="E9" s="14"/>
      <c r="F9" s="14"/>
      <c r="G9" s="14"/>
      <c r="I9" s="194">
        <f>IF($J9="","",$I8+1)</f>
        <v>3</v>
      </c>
      <c r="J9" s="57" t="s">
        <v>381</v>
      </c>
      <c r="K9" s="57" t="s">
        <v>63</v>
      </c>
      <c r="L9" s="58" t="s">
        <v>338</v>
      </c>
      <c r="M9" s="18" t="str">
        <f>IF(Fuel_Veh[[#This Row],[Month]]&lt;&gt;"",VLOOKUP(Fuel_Veh[[#This Row],[Month]], dropdown!$S$4:$T$15, 2, FALSE),"")</f>
        <v>Q1</v>
      </c>
      <c r="N9" s="29">
        <v>53.95</v>
      </c>
      <c r="O9" s="17" t="str">
        <f>IF($K9="","",VLOOKUP($K9,dropdown!$P$14:$Q$18,2,FALSE))</f>
        <v>Liters</v>
      </c>
      <c r="P9" s="29">
        <v>602</v>
      </c>
      <c r="Q9" s="17" t="str">
        <f t="shared" si="0"/>
        <v>Kilometers</v>
      </c>
      <c r="R9" s="195" t="s">
        <v>1508</v>
      </c>
    </row>
    <row r="10" spans="2:18" x14ac:dyDescent="0.2">
      <c r="B10" s="13" t="s">
        <v>35</v>
      </c>
      <c r="C10" s="13" t="s">
        <v>51</v>
      </c>
      <c r="D10" s="40" t="s">
        <v>45</v>
      </c>
      <c r="E10" s="40" t="s">
        <v>149</v>
      </c>
      <c r="F10" s="40" t="s">
        <v>150</v>
      </c>
      <c r="G10" s="40" t="s">
        <v>151</v>
      </c>
      <c r="I10" s="194">
        <f>IF($J10="","",$I9+1)</f>
        <v>4</v>
      </c>
      <c r="J10" s="57" t="s">
        <v>365</v>
      </c>
      <c r="K10" s="57" t="s">
        <v>63</v>
      </c>
      <c r="L10" s="58" t="s">
        <v>89</v>
      </c>
      <c r="M10" s="18" t="str">
        <f>IF(Fuel_Veh[[#This Row],[Month]]&lt;&gt;"",VLOOKUP(Fuel_Veh[[#This Row],[Month]], dropdown!$S$4:$T$15, 2, FALSE),"")</f>
        <v>Q1</v>
      </c>
      <c r="N10" s="29">
        <v>115.92</v>
      </c>
      <c r="O10" s="17" t="str">
        <f>IF($K10="","",VLOOKUP($K10,dropdown!$P$14:$Q$18,2,FALSE))</f>
        <v>Liters</v>
      </c>
      <c r="P10" s="29">
        <v>1145</v>
      </c>
      <c r="Q10" s="17" t="str">
        <f t="shared" si="0"/>
        <v>Kilometers</v>
      </c>
      <c r="R10" s="195" t="s">
        <v>1507</v>
      </c>
    </row>
    <row r="11" spans="2:18" x14ac:dyDescent="0.2">
      <c r="B11" s="17" t="str">
        <f>dropdown!$P15</f>
        <v>Diesel - Transport vehicles</v>
      </c>
      <c r="C11" s="17" t="str">
        <f>dropdown!$Q15</f>
        <v>Liters</v>
      </c>
      <c r="D11" s="41">
        <f>SUMIFS(Fuel_Veh[Consumption],Fuel_Veh[Quarter],D$10,Fuel_Veh[Fuel Type],$B$11)</f>
        <v>771.15</v>
      </c>
      <c r="E11" s="41">
        <f>SUMIFS(Fuel_Veh[Consumption],Fuel_Veh[Quarter],E$10,Fuel_Veh[Fuel Type],$B$11)</f>
        <v>407.77</v>
      </c>
      <c r="F11" s="41">
        <f>SUMIFS(Fuel_Veh[Consumption],Fuel_Veh[Quarter],F$10,Fuel_Veh[Fuel Type],$B$11)</f>
        <v>0</v>
      </c>
      <c r="G11" s="41">
        <f>SUMIFS(Fuel_Veh[Consumption],Fuel_Veh[Quarter],G$10,Fuel_Veh[Fuel Type],$B$11)</f>
        <v>0</v>
      </c>
      <c r="I11" s="194">
        <f>IF($J11="","",$I10+1)</f>
        <v>5</v>
      </c>
      <c r="J11" s="57" t="s">
        <v>381</v>
      </c>
      <c r="K11" s="57" t="s">
        <v>63</v>
      </c>
      <c r="L11" s="58" t="s">
        <v>89</v>
      </c>
      <c r="M11" s="18" t="str">
        <f>IF(Fuel_Veh[[#This Row],[Month]]&lt;&gt;"",VLOOKUP(Fuel_Veh[[#This Row],[Month]], dropdown!$S$4:$T$15, 2, FALSE),"")</f>
        <v>Q1</v>
      </c>
      <c r="N11" s="29">
        <v>97.72</v>
      </c>
      <c r="O11" s="17" t="str">
        <f>IF($K11="","",VLOOKUP($K11,dropdown!$P$14:$Q$18,2,FALSE))</f>
        <v>Liters</v>
      </c>
      <c r="P11" s="29">
        <v>1242</v>
      </c>
      <c r="Q11" s="17" t="str">
        <f t="shared" si="0"/>
        <v>Kilometers</v>
      </c>
      <c r="R11" s="195" t="s">
        <v>1508</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343</v>
      </c>
      <c r="K12" s="57" t="s">
        <v>63</v>
      </c>
      <c r="L12" s="58" t="s">
        <v>362</v>
      </c>
      <c r="M12" s="18" t="str">
        <f>IF(Fuel_Veh[[#This Row],[Month]]&lt;&gt;"",VLOOKUP(Fuel_Veh[[#This Row],[Month]], dropdown!$S$4:$T$15, 2, FALSE),"")</f>
        <v>Q1</v>
      </c>
      <c r="N12" s="29">
        <v>26.59</v>
      </c>
      <c r="O12" s="17" t="str">
        <f>IF($K12="","",VLOOKUP($K12,dropdown!$P$14:$Q$18,2,FALSE))</f>
        <v>Liters</v>
      </c>
      <c r="P12" s="29">
        <v>49</v>
      </c>
      <c r="Q12" s="17" t="str">
        <f t="shared" si="0"/>
        <v>Kilometers</v>
      </c>
      <c r="R12" s="195"/>
    </row>
    <row r="13" spans="2:18" ht="14" customHeight="1" x14ac:dyDescent="0.2">
      <c r="I13" s="194">
        <f t="shared" si="1"/>
        <v>7</v>
      </c>
      <c r="J13" s="57" t="s">
        <v>365</v>
      </c>
      <c r="K13" s="57" t="s">
        <v>63</v>
      </c>
      <c r="L13" s="58" t="s">
        <v>362</v>
      </c>
      <c r="M13" s="18" t="str">
        <f>IF(Fuel_Veh[[#This Row],[Month]]&lt;&gt;"",VLOOKUP(Fuel_Veh[[#This Row],[Month]], dropdown!$S$4:$T$15, 2, FALSE),"")</f>
        <v>Q1</v>
      </c>
      <c r="N13" s="29">
        <v>134.46</v>
      </c>
      <c r="O13" s="17" t="str">
        <f>IF($K13="","",VLOOKUP($K13,dropdown!$P$14:$Q$18,2,FALSE))</f>
        <v>Liters</v>
      </c>
      <c r="P13" s="29">
        <v>1523</v>
      </c>
      <c r="Q13" s="17" t="str">
        <f t="shared" si="0"/>
        <v>Kilometers</v>
      </c>
      <c r="R13" s="195" t="s">
        <v>1507</v>
      </c>
    </row>
    <row r="14" spans="2:18" x14ac:dyDescent="0.2">
      <c r="B14" s="267" t="s">
        <v>38</v>
      </c>
      <c r="I14" s="194">
        <f t="shared" si="1"/>
        <v>8</v>
      </c>
      <c r="J14" s="57" t="s">
        <v>381</v>
      </c>
      <c r="K14" s="57" t="s">
        <v>63</v>
      </c>
      <c r="L14" s="58" t="s">
        <v>362</v>
      </c>
      <c r="M14" s="18" t="str">
        <f>IF(Fuel_Veh[[#This Row],[Month]]&lt;&gt;"",VLOOKUP(Fuel_Veh[[#This Row],[Month]], dropdown!$S$4:$T$15, 2, FALSE),"")</f>
        <v>Q1</v>
      </c>
      <c r="N14" s="29">
        <v>138.36000000000001</v>
      </c>
      <c r="O14" s="17" t="str">
        <f>IF($K14="","",VLOOKUP($K14,dropdown!$P$14:$Q$18,2,FALSE))</f>
        <v>Liters</v>
      </c>
      <c r="P14" s="29">
        <v>1370</v>
      </c>
      <c r="Q14" s="17" t="str">
        <f t="shared" si="0"/>
        <v>Kilometers</v>
      </c>
      <c r="R14" s="195" t="s">
        <v>1508</v>
      </c>
    </row>
    <row r="15" spans="2:18" x14ac:dyDescent="0.2">
      <c r="B15" s="268" t="s">
        <v>175</v>
      </c>
      <c r="I15" s="194">
        <f t="shared" si="1"/>
        <v>9</v>
      </c>
      <c r="J15" s="57" t="s">
        <v>365</v>
      </c>
      <c r="K15" s="57" t="s">
        <v>63</v>
      </c>
      <c r="L15" s="58" t="s">
        <v>371</v>
      </c>
      <c r="M15" s="18" t="str">
        <f>IF(Fuel_Veh[[#This Row],[Month]]&lt;&gt;"",VLOOKUP(Fuel_Veh[[#This Row],[Month]], dropdown!$S$4:$T$15, 2, FALSE),"")</f>
        <v>Q2</v>
      </c>
      <c r="N15" s="29">
        <v>66.02</v>
      </c>
      <c r="O15" s="17" t="str">
        <f>IF($K15="","",VLOOKUP($K15,dropdown!$P$14:$Q$18,2,FALSE))</f>
        <v>Liters</v>
      </c>
      <c r="P15" s="29">
        <v>690</v>
      </c>
      <c r="Q15" s="17" t="str">
        <f t="shared" si="0"/>
        <v>Kilometers</v>
      </c>
      <c r="R15" s="195" t="s">
        <v>1507</v>
      </c>
    </row>
    <row r="16" spans="2:18" x14ac:dyDescent="0.2">
      <c r="B16" s="266" t="s">
        <v>176</v>
      </c>
      <c r="I16" s="194">
        <f t="shared" si="1"/>
        <v>10</v>
      </c>
      <c r="J16" s="57" t="s">
        <v>381</v>
      </c>
      <c r="K16" s="57" t="s">
        <v>63</v>
      </c>
      <c r="L16" s="58" t="s">
        <v>371</v>
      </c>
      <c r="M16" s="18" t="str">
        <f>IF(Fuel_Veh[[#This Row],[Month]]&lt;&gt;"",VLOOKUP(Fuel_Veh[[#This Row],[Month]], dropdown!$S$4:$T$15, 2, FALSE),"")</f>
        <v>Q2</v>
      </c>
      <c r="N16" s="29">
        <v>55.44</v>
      </c>
      <c r="O16" s="17" t="str">
        <f>IF($K16="","",VLOOKUP($K16,dropdown!$P$14:$Q$18,2,FALSE))</f>
        <v>Liters</v>
      </c>
      <c r="P16" s="29">
        <v>588</v>
      </c>
      <c r="Q16" s="17" t="str">
        <f t="shared" si="0"/>
        <v>Kilometers</v>
      </c>
      <c r="R16" s="195" t="s">
        <v>1508</v>
      </c>
    </row>
    <row r="17" spans="2:18" x14ac:dyDescent="0.2">
      <c r="B17" s="17" t="s">
        <v>177</v>
      </c>
      <c r="I17" s="194">
        <f t="shared" si="1"/>
        <v>11</v>
      </c>
      <c r="J17" s="57" t="s">
        <v>365</v>
      </c>
      <c r="K17" s="57" t="s">
        <v>63</v>
      </c>
      <c r="L17" s="58" t="s">
        <v>379</v>
      </c>
      <c r="M17" s="18" t="str">
        <f>IF(Fuel_Veh[[#This Row],[Month]]&lt;&gt;"",VLOOKUP(Fuel_Veh[[#This Row],[Month]], dropdown!$S$4:$T$15, 2, FALSE),"")</f>
        <v>Q2</v>
      </c>
      <c r="N17" s="29">
        <v>50</v>
      </c>
      <c r="O17" s="17" t="str">
        <f>IF($K17="","",VLOOKUP($K17,dropdown!$P$14:$Q$18,2,FALSE))</f>
        <v>Liters</v>
      </c>
      <c r="P17" s="29">
        <v>487</v>
      </c>
      <c r="Q17" s="17" t="str">
        <f t="shared" si="0"/>
        <v>Kilometers</v>
      </c>
      <c r="R17" s="195" t="s">
        <v>1507</v>
      </c>
    </row>
    <row r="18" spans="2:18" x14ac:dyDescent="0.2">
      <c r="I18" s="194">
        <f t="shared" si="1"/>
        <v>12</v>
      </c>
      <c r="J18" s="57" t="s">
        <v>381</v>
      </c>
      <c r="K18" s="57" t="s">
        <v>63</v>
      </c>
      <c r="L18" s="58" t="s">
        <v>379</v>
      </c>
      <c r="M18" s="18" t="str">
        <f>IF(Fuel_Veh[[#This Row],[Month]]&lt;&gt;"",VLOOKUP(Fuel_Veh[[#This Row],[Month]], dropdown!$S$4:$T$15, 2, FALSE),"")</f>
        <v>Q2</v>
      </c>
      <c r="N18" s="29">
        <v>57.52</v>
      </c>
      <c r="O18" s="17" t="str">
        <f>IF($K18="","",VLOOKUP($K18,dropdown!$P$14:$Q$18,2,FALSE))</f>
        <v>Liters</v>
      </c>
      <c r="P18" s="29">
        <v>601</v>
      </c>
      <c r="Q18" s="17" t="str">
        <f t="shared" si="0"/>
        <v>Kilometers</v>
      </c>
      <c r="R18" s="195" t="s">
        <v>1508</v>
      </c>
    </row>
    <row r="19" spans="2:18" x14ac:dyDescent="0.2">
      <c r="I19" s="194">
        <f t="shared" si="1"/>
        <v>13</v>
      </c>
      <c r="J19" s="57" t="s">
        <v>343</v>
      </c>
      <c r="K19" s="57" t="s">
        <v>63</v>
      </c>
      <c r="L19" s="58" t="s">
        <v>386</v>
      </c>
      <c r="M19" s="18" t="str">
        <f>IF(Fuel_Veh[[#This Row],[Month]]&lt;&gt;"",VLOOKUP(Fuel_Veh[[#This Row],[Month]], dropdown!$S$4:$T$15, 2, FALSE),"")</f>
        <v>Q2</v>
      </c>
      <c r="N19" s="29">
        <v>47.15</v>
      </c>
      <c r="O19" s="17" t="str">
        <f>IF($K19="","",VLOOKUP($K19,dropdown!$P$14:$Q$18,2,FALSE))</f>
        <v>Liters</v>
      </c>
      <c r="P19" s="29">
        <v>142.4</v>
      </c>
      <c r="Q19" s="17" t="str">
        <f t="shared" si="0"/>
        <v>Kilometers</v>
      </c>
      <c r="R19" s="195"/>
    </row>
    <row r="20" spans="2:18" x14ac:dyDescent="0.2">
      <c r="I20" s="194">
        <f t="shared" si="1"/>
        <v>14</v>
      </c>
      <c r="J20" s="57" t="s">
        <v>365</v>
      </c>
      <c r="K20" s="57" t="s">
        <v>63</v>
      </c>
      <c r="L20" s="58" t="s">
        <v>386</v>
      </c>
      <c r="M20" s="18" t="str">
        <f>IF(Fuel_Veh[[#This Row],[Month]]&lt;&gt;"",VLOOKUP(Fuel_Veh[[#This Row],[Month]], dropdown!$S$4:$T$15, 2, FALSE),"")</f>
        <v>Q2</v>
      </c>
      <c r="N20" s="29">
        <v>58.14</v>
      </c>
      <c r="O20" s="17" t="str">
        <f>IF($K20="","",VLOOKUP($K20,dropdown!$P$14:$Q$18,2,FALSE))</f>
        <v>Liters</v>
      </c>
      <c r="P20" s="29">
        <v>679</v>
      </c>
      <c r="Q20" s="17" t="str">
        <f t="shared" si="0"/>
        <v>Kilometers</v>
      </c>
      <c r="R20" s="195" t="s">
        <v>1507</v>
      </c>
    </row>
    <row r="21" spans="2:18" x14ac:dyDescent="0.2">
      <c r="I21" s="194">
        <f t="shared" si="1"/>
        <v>15</v>
      </c>
      <c r="J21" s="57" t="s">
        <v>381</v>
      </c>
      <c r="K21" s="57" t="s">
        <v>63</v>
      </c>
      <c r="L21" s="58" t="s">
        <v>386</v>
      </c>
      <c r="M21" s="18" t="str">
        <f>IF(Fuel_Veh[[#This Row],[Month]]&lt;&gt;"",VLOOKUP(Fuel_Veh[[#This Row],[Month]], dropdown!$S$4:$T$15, 2, FALSE),"")</f>
        <v>Q2</v>
      </c>
      <c r="N21" s="29">
        <v>73.5</v>
      </c>
      <c r="O21" s="17" t="str">
        <f>IF($K21="","",VLOOKUP($K21,dropdown!$P$14:$Q$18,2,FALSE))</f>
        <v>Liters</v>
      </c>
      <c r="P21" s="29">
        <v>1042</v>
      </c>
      <c r="Q21" s="17" t="str">
        <f t="shared" si="0"/>
        <v>Kilometers</v>
      </c>
      <c r="R21" s="195" t="s">
        <v>1508</v>
      </c>
    </row>
    <row r="22" spans="2:18" x14ac:dyDescent="0.2">
      <c r="I22" s="194" t="str">
        <f t="shared" si="1"/>
        <v/>
      </c>
      <c r="J22" s="57"/>
      <c r="K22" s="57"/>
      <c r="L22" s="58"/>
      <c r="M22" s="18" t="str">
        <f>IF(Fuel_Veh[[#This Row],[Month]]&lt;&gt;"",VLOOKUP(Fuel_Veh[[#This Row],[Month]], dropdown!$S$4:$T$15, 2, FALSE),"")</f>
        <v/>
      </c>
      <c r="N22" s="29"/>
      <c r="O22" s="17" t="str">
        <f>IF($K22="","",VLOOKUP($K22,dropdown!$P$14:$Q$18,2,FALSE))</f>
        <v/>
      </c>
      <c r="P22" s="29"/>
      <c r="Q22" s="17" t="str">
        <f t="shared" si="0"/>
        <v/>
      </c>
      <c r="R22" s="195"/>
    </row>
    <row r="23" spans="2:18" x14ac:dyDescent="0.2">
      <c r="I23" s="194" t="str">
        <f t="shared" si="1"/>
        <v/>
      </c>
      <c r="J23" s="57"/>
      <c r="K23" s="57"/>
      <c r="L23" s="58"/>
      <c r="M23" s="18" t="str">
        <f>IF(Fuel_Veh[[#This Row],[Month]]&lt;&gt;"",VLOOKUP(Fuel_Veh[[#This Row],[Month]], dropdown!$S$4:$T$15, 2, FALSE),"")</f>
        <v/>
      </c>
      <c r="N23" s="29"/>
      <c r="O23" s="17" t="str">
        <f>IF($K23="","",VLOOKUP($K23,dropdown!$P$14:$Q$18,2,FALSE))</f>
        <v/>
      </c>
      <c r="P23" s="29"/>
      <c r="Q23" s="17" t="str">
        <f t="shared" si="0"/>
        <v/>
      </c>
      <c r="R23" s="195"/>
    </row>
    <row r="24" spans="2:18" x14ac:dyDescent="0.2">
      <c r="I24" s="194" t="str">
        <f t="shared" si="1"/>
        <v/>
      </c>
      <c r="J24" s="57"/>
      <c r="K24" s="57"/>
      <c r="L24" s="58"/>
      <c r="M24" s="18" t="str">
        <f>IF(Fuel_Veh[[#This Row],[Month]]&lt;&gt;"",VLOOKUP(Fuel_Veh[[#This Row],[Month]], dropdown!$S$4:$T$15, 2, FALSE),"")</f>
        <v/>
      </c>
      <c r="N24" s="29"/>
      <c r="O24" s="17" t="str">
        <f>IF($K24="","",VLOOKUP($K24,dropdown!$P$14:$Q$18,2,FALSE))</f>
        <v/>
      </c>
      <c r="P24" s="29"/>
      <c r="Q24" s="17" t="str">
        <f t="shared" si="0"/>
        <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zoomScale="94" zoomScaleNormal="120" workbookViewId="0">
      <selection activeCell="K21" sqref="K2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1"/>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2"/>
    </row>
    <row r="4" spans="2:31" x14ac:dyDescent="0.2">
      <c r="B4" s="161" t="str">
        <f>'1. Data Info and Summary'!$D$2</f>
        <v>Batac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3"/>
    </row>
    <row r="5" spans="2:31" ht="14" x14ac:dyDescent="0.2">
      <c r="B5" s="271"/>
      <c r="D5" s="271"/>
      <c r="I5" s="301"/>
      <c r="J5" s="302"/>
      <c r="K5" s="302"/>
      <c r="L5" s="302"/>
      <c r="M5" s="302"/>
      <c r="N5" s="302"/>
      <c r="O5" s="303"/>
      <c r="P5" s="304"/>
      <c r="Q5" s="305"/>
      <c r="R5" s="305"/>
      <c r="S5" s="304"/>
      <c r="T5" s="304"/>
      <c r="U5" s="304"/>
      <c r="V5" s="404"/>
    </row>
    <row r="6" spans="2:31" ht="14" x14ac:dyDescent="0.2">
      <c r="B6" s="278" t="s">
        <v>172</v>
      </c>
      <c r="C6" s="449" t="s">
        <v>1609</v>
      </c>
      <c r="D6" s="450"/>
      <c r="E6" s="450"/>
      <c r="F6" s="450"/>
      <c r="G6" s="451"/>
      <c r="I6" s="298"/>
      <c r="J6" s="298"/>
      <c r="K6" s="298"/>
      <c r="L6" s="298"/>
      <c r="M6" s="298"/>
      <c r="N6" s="298"/>
      <c r="O6" s="298"/>
      <c r="P6" s="298"/>
      <c r="Q6" s="298"/>
      <c r="R6" s="298"/>
      <c r="S6" s="298"/>
      <c r="T6" s="298"/>
      <c r="U6" s="298"/>
      <c r="V6" s="298"/>
    </row>
    <row r="7" spans="2:31" ht="15" customHeight="1" x14ac:dyDescent="0.2">
      <c r="B7" s="278" t="s">
        <v>174</v>
      </c>
      <c r="C7" s="453" t="s">
        <v>1459</v>
      </c>
      <c r="D7" s="450"/>
      <c r="E7" s="450"/>
      <c r="F7" s="450"/>
      <c r="G7" s="451"/>
      <c r="I7" s="416" t="s">
        <v>154</v>
      </c>
      <c r="J7" s="415"/>
      <c r="K7" s="413"/>
      <c r="L7" s="413"/>
      <c r="M7" s="413"/>
      <c r="N7" s="413"/>
      <c r="O7" s="454" t="s">
        <v>183</v>
      </c>
      <c r="P7" s="454"/>
      <c r="Q7" s="455" t="s">
        <v>184</v>
      </c>
      <c r="R7" s="456"/>
      <c r="S7" s="457" t="s">
        <v>86</v>
      </c>
      <c r="T7" s="458"/>
      <c r="U7" s="458"/>
      <c r="V7" s="414"/>
      <c r="W7" s="413"/>
      <c r="X7" s="56"/>
      <c r="AB7" s="11"/>
      <c r="AE7" s="11"/>
    </row>
    <row r="8" spans="2:31" ht="25.5" customHeight="1" x14ac:dyDescent="0.2">
      <c r="I8" s="417" t="s">
        <v>173</v>
      </c>
      <c r="J8" s="417" t="s">
        <v>72</v>
      </c>
      <c r="K8" s="418" t="s">
        <v>75</v>
      </c>
      <c r="L8" s="418" t="s">
        <v>78</v>
      </c>
      <c r="M8" s="418" t="s">
        <v>81</v>
      </c>
      <c r="N8" s="418" t="s">
        <v>84</v>
      </c>
      <c r="O8" s="419" t="s">
        <v>185</v>
      </c>
      <c r="P8" s="400" t="s">
        <v>90</v>
      </c>
      <c r="Q8" s="392" t="s">
        <v>92</v>
      </c>
      <c r="R8" s="392" t="s">
        <v>186</v>
      </c>
      <c r="S8" s="392" t="s">
        <v>96</v>
      </c>
      <c r="T8" s="393" t="s">
        <v>187</v>
      </c>
      <c r="U8" s="398" t="s">
        <v>100</v>
      </c>
      <c r="V8" s="414" t="s">
        <v>43</v>
      </c>
      <c r="W8" s="413" t="s">
        <v>54</v>
      </c>
      <c r="X8" s="56"/>
      <c r="AB8" s="11"/>
      <c r="AE8" s="11"/>
    </row>
    <row r="9" spans="2:31" ht="14" x14ac:dyDescent="0.2">
      <c r="B9" s="14" t="s">
        <v>71</v>
      </c>
      <c r="C9" s="14"/>
      <c r="D9" s="14"/>
      <c r="E9" s="14"/>
      <c r="F9" s="14"/>
      <c r="G9" s="14"/>
      <c r="I9" s="394">
        <f>IF($K9="","",1)</f>
        <v>1</v>
      </c>
      <c r="J9" s="444" t="s">
        <v>1603</v>
      </c>
      <c r="K9" s="441" t="s">
        <v>200</v>
      </c>
      <c r="L9" s="391">
        <v>8</v>
      </c>
      <c r="M9" s="442" t="s">
        <v>380</v>
      </c>
      <c r="N9" s="443" t="s">
        <v>352</v>
      </c>
      <c r="O9" s="395"/>
      <c r="P9" s="396"/>
      <c r="Q9" s="395"/>
      <c r="R9" s="397"/>
      <c r="S9" s="395"/>
      <c r="T9" s="397"/>
      <c r="U9" s="397"/>
      <c r="V9" s="427" t="str">
        <f>IFERROR(VLOOKUP($O9, dropdown!$S$4:$T$15, 2, FALSE),
 IFERROR(VLOOKUP($Q9, dropdown!$S$4:$T$15, 2, FALSE),
 IFERROR(VLOOKUP($S9, dropdown!$S$4:$T$15, 2, FALSE),
 "")))</f>
        <v/>
      </c>
      <c r="W9" s="391"/>
      <c r="X9" s="56"/>
      <c r="AB9" s="11"/>
      <c r="AE9" s="11"/>
    </row>
    <row r="10" spans="2:31" ht="14" x14ac:dyDescent="0.2">
      <c r="B10" s="175" t="str">
        <f>$Q$7</f>
        <v>In Operation</v>
      </c>
      <c r="C10" s="13" t="s">
        <v>51</v>
      </c>
      <c r="D10" s="40" t="s">
        <v>45</v>
      </c>
      <c r="E10" s="40" t="s">
        <v>149</v>
      </c>
      <c r="F10" s="40" t="s">
        <v>150</v>
      </c>
      <c r="G10" s="40" t="s">
        <v>151</v>
      </c>
      <c r="I10" s="18">
        <f t="shared" ref="I10:I41" si="0">IF($K10="","",$I9+1)</f>
        <v>2</v>
      </c>
      <c r="J10" s="431" t="s">
        <v>1604</v>
      </c>
      <c r="K10" s="57" t="s">
        <v>200</v>
      </c>
      <c r="L10" s="28">
        <v>14</v>
      </c>
      <c r="M10" s="264" t="s">
        <v>380</v>
      </c>
      <c r="N10" s="399" t="s">
        <v>352</v>
      </c>
      <c r="O10" s="395"/>
      <c r="P10" s="396"/>
      <c r="Q10" s="395"/>
      <c r="R10" s="397"/>
      <c r="S10" s="395"/>
      <c r="T10" s="397"/>
      <c r="U10" s="397"/>
      <c r="V10" s="427"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f t="shared" si="0"/>
        <v>3</v>
      </c>
      <c r="J11" s="431" t="s">
        <v>1605</v>
      </c>
      <c r="K11" s="57" t="s">
        <v>200</v>
      </c>
      <c r="L11" s="28">
        <v>2</v>
      </c>
      <c r="M11" s="264" t="s">
        <v>380</v>
      </c>
      <c r="N11" s="399" t="s">
        <v>352</v>
      </c>
      <c r="O11" s="395"/>
      <c r="P11" s="396"/>
      <c r="Q11" s="395"/>
      <c r="R11" s="397"/>
      <c r="S11" s="395"/>
      <c r="T11" s="397"/>
      <c r="U11" s="397"/>
      <c r="V11" s="427"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f t="shared" si="0"/>
        <v>4</v>
      </c>
      <c r="J12" s="431" t="s">
        <v>1606</v>
      </c>
      <c r="K12" s="57" t="s">
        <v>200</v>
      </c>
      <c r="L12" s="28">
        <v>1</v>
      </c>
      <c r="M12" s="264" t="s">
        <v>380</v>
      </c>
      <c r="N12" s="399" t="s">
        <v>352</v>
      </c>
      <c r="O12" s="395"/>
      <c r="P12" s="396"/>
      <c r="Q12" s="395"/>
      <c r="R12" s="397"/>
      <c r="S12" s="395"/>
      <c r="T12" s="397"/>
      <c r="U12" s="397"/>
      <c r="V12" s="427"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f t="shared" si="0"/>
        <v>5</v>
      </c>
      <c r="J13" s="431" t="s">
        <v>1607</v>
      </c>
      <c r="K13" s="57" t="s">
        <v>200</v>
      </c>
      <c r="L13" s="28">
        <v>3</v>
      </c>
      <c r="M13" s="264" t="s">
        <v>380</v>
      </c>
      <c r="N13" s="399" t="s">
        <v>352</v>
      </c>
      <c r="O13" s="395"/>
      <c r="P13" s="396"/>
      <c r="Q13" s="395"/>
      <c r="R13" s="397"/>
      <c r="S13" s="395"/>
      <c r="T13" s="397"/>
      <c r="U13" s="397"/>
      <c r="V13" s="427"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f t="shared" si="0"/>
        <v>6</v>
      </c>
      <c r="J14" s="431" t="s">
        <v>1621</v>
      </c>
      <c r="K14" s="57" t="s">
        <v>203</v>
      </c>
      <c r="L14" s="28">
        <v>4</v>
      </c>
      <c r="M14" s="264" t="s">
        <v>339</v>
      </c>
      <c r="N14" s="399" t="s">
        <v>352</v>
      </c>
      <c r="O14" s="395"/>
      <c r="P14" s="396"/>
      <c r="Q14" s="395"/>
      <c r="R14" s="397"/>
      <c r="S14" s="395"/>
      <c r="T14" s="397"/>
      <c r="U14" s="397"/>
      <c r="V14" s="427" t="str">
        <f>IFERROR(VLOOKUP($O14, dropdown!$S$4:$T$15, 2, FALSE),
 IFERROR(VLOOKUP($Q14, dropdown!$S$4:$T$15, 2, FALSE),
 IFERROR(VLOOKUP($S14, dropdown!$S$4:$T$15, 2, FALSE),
 "")))</f>
        <v/>
      </c>
      <c r="W14" s="28"/>
      <c r="AB14" s="11"/>
      <c r="AE14" s="11"/>
    </row>
    <row r="15" spans="2:31" ht="17" customHeight="1" x14ac:dyDescent="0.2">
      <c r="B15" s="119" t="s">
        <v>38</v>
      </c>
      <c r="I15" s="18">
        <f t="shared" si="0"/>
        <v>7</v>
      </c>
      <c r="J15" s="431" t="s">
        <v>1621</v>
      </c>
      <c r="K15" s="57" t="s">
        <v>203</v>
      </c>
      <c r="L15" s="28">
        <v>2</v>
      </c>
      <c r="M15" s="264" t="s">
        <v>339</v>
      </c>
      <c r="N15" s="399" t="s">
        <v>352</v>
      </c>
      <c r="O15" s="395"/>
      <c r="P15" s="396"/>
      <c r="Q15" s="395"/>
      <c r="R15" s="397"/>
      <c r="S15" s="395"/>
      <c r="T15" s="397"/>
      <c r="U15" s="397"/>
      <c r="V15" s="427" t="str">
        <f>IFERROR(VLOOKUP($O15, dropdown!$S$4:$T$15, 2, FALSE),
 IFERROR(VLOOKUP($Q15, dropdown!$S$4:$T$15, 2, FALSE),
 IFERROR(VLOOKUP($S15, dropdown!$S$4:$T$15, 2, FALSE),
 "")))</f>
        <v/>
      </c>
      <c r="W15" s="28"/>
      <c r="AB15" s="11"/>
      <c r="AE15" s="11"/>
    </row>
    <row r="16" spans="2:31" ht="14" x14ac:dyDescent="0.2">
      <c r="B16" s="120" t="s">
        <v>175</v>
      </c>
      <c r="I16" s="18" t="str">
        <f t="shared" si="0"/>
        <v/>
      </c>
      <c r="J16" s="431"/>
      <c r="K16" s="57"/>
      <c r="L16" s="28"/>
      <c r="M16" s="264"/>
      <c r="N16" s="399"/>
      <c r="O16" s="395"/>
      <c r="P16" s="396"/>
      <c r="Q16" s="395"/>
      <c r="R16" s="397"/>
      <c r="S16" s="395"/>
      <c r="T16" s="397"/>
      <c r="U16" s="397"/>
      <c r="V16" s="427"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1"/>
      <c r="K17" s="57"/>
      <c r="L17" s="28"/>
      <c r="M17" s="264"/>
      <c r="N17" s="399"/>
      <c r="O17" s="395"/>
      <c r="P17" s="396"/>
      <c r="Q17" s="395"/>
      <c r="R17" s="397"/>
      <c r="S17" s="395"/>
      <c r="T17" s="397"/>
      <c r="U17" s="397"/>
      <c r="V17" s="427"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1"/>
      <c r="K18" s="57"/>
      <c r="L18" s="28"/>
      <c r="M18" s="264"/>
      <c r="N18" s="399"/>
      <c r="O18" s="395"/>
      <c r="P18" s="396"/>
      <c r="Q18" s="395"/>
      <c r="R18" s="397"/>
      <c r="S18" s="395"/>
      <c r="T18" s="397"/>
      <c r="U18" s="397"/>
      <c r="V18" s="427" t="str">
        <f>IFERROR(VLOOKUP($O18, dropdown!$S$4:$T$15, 2, FALSE),
 IFERROR(VLOOKUP($Q18, dropdown!$S$4:$T$15, 2, FALSE),
 IFERROR(VLOOKUP($S18, dropdown!$S$4:$T$15, 2, FALSE),
 "")))</f>
        <v/>
      </c>
      <c r="W18" s="28"/>
      <c r="AB18" s="11"/>
      <c r="AE18" s="11"/>
    </row>
    <row r="19" spans="2:31" ht="27" x14ac:dyDescent="0.2">
      <c r="B19" s="382" t="s">
        <v>190</v>
      </c>
      <c r="I19" s="18" t="str">
        <f t="shared" si="0"/>
        <v/>
      </c>
      <c r="J19" s="431"/>
      <c r="K19" s="57"/>
      <c r="L19" s="28"/>
      <c r="M19" s="264"/>
      <c r="N19" s="399"/>
      <c r="O19" s="395"/>
      <c r="P19" s="396"/>
      <c r="Q19" s="395"/>
      <c r="R19" s="397"/>
      <c r="S19" s="395"/>
      <c r="T19" s="397"/>
      <c r="U19" s="397"/>
      <c r="V19" s="427" t="str">
        <f>IFERROR(VLOOKUP($O19, dropdown!$S$4:$T$15, 2, FALSE),
 IFERROR(VLOOKUP($Q19, dropdown!$S$4:$T$15, 2, FALSE),
 IFERROR(VLOOKUP($S19, dropdown!$S$4:$T$15, 2, FALSE),
 "")))</f>
        <v/>
      </c>
      <c r="W19" s="28"/>
      <c r="AB19" s="11"/>
      <c r="AE19" s="11"/>
    </row>
    <row r="20" spans="2:31" ht="14" x14ac:dyDescent="0.2">
      <c r="I20" s="18" t="str">
        <f t="shared" si="0"/>
        <v/>
      </c>
      <c r="J20" s="431"/>
      <c r="K20" s="57"/>
      <c r="L20" s="28"/>
      <c r="M20" s="264"/>
      <c r="N20" s="399"/>
      <c r="O20" s="395"/>
      <c r="P20" s="396"/>
      <c r="Q20" s="395"/>
      <c r="R20" s="397"/>
      <c r="S20" s="395"/>
      <c r="T20" s="397"/>
      <c r="U20" s="397"/>
      <c r="V20" s="427" t="str">
        <f>IFERROR(VLOOKUP($O20, dropdown!$S$4:$T$15, 2, FALSE),
 IFERROR(VLOOKUP($Q20, dropdown!$S$4:$T$15, 2, FALSE),
 IFERROR(VLOOKUP($S20, dropdown!$S$4:$T$15, 2, FALSE),
 "")))</f>
        <v/>
      </c>
      <c r="W20" s="28"/>
      <c r="AB20" s="11"/>
      <c r="AE20" s="11"/>
    </row>
    <row r="21" spans="2:31" ht="14" x14ac:dyDescent="0.2">
      <c r="B21" s="166" t="s">
        <v>191</v>
      </c>
      <c r="I21" s="18" t="str">
        <f t="shared" si="0"/>
        <v/>
      </c>
      <c r="J21" s="431"/>
      <c r="K21" s="57"/>
      <c r="L21" s="28"/>
      <c r="M21" s="264"/>
      <c r="N21" s="399"/>
      <c r="O21" s="395"/>
      <c r="P21" s="396"/>
      <c r="Q21" s="395"/>
      <c r="R21" s="397"/>
      <c r="S21" s="395"/>
      <c r="T21" s="397"/>
      <c r="U21" s="397"/>
      <c r="V21" s="427" t="str">
        <f>IFERROR(VLOOKUP($O21, dropdown!$S$4:$T$15, 2, FALSE),
 IFERROR(VLOOKUP($Q21, dropdown!$S$4:$T$15, 2, FALSE),
 IFERROR(VLOOKUP($S21, dropdown!$S$4:$T$15, 2, FALSE),
 "")))</f>
        <v/>
      </c>
      <c r="W21" s="28"/>
      <c r="AB21" s="11"/>
      <c r="AE21" s="11"/>
    </row>
    <row r="22" spans="2:31" ht="14" x14ac:dyDescent="0.2">
      <c r="B22" s="460" t="s">
        <v>192</v>
      </c>
      <c r="C22" s="462" t="s">
        <v>5</v>
      </c>
      <c r="D22" s="463"/>
      <c r="E22" s="462" t="s">
        <v>193</v>
      </c>
      <c r="F22" s="464"/>
      <c r="G22" s="464"/>
      <c r="I22" s="18" t="str">
        <f t="shared" si="0"/>
        <v/>
      </c>
      <c r="J22" s="431"/>
      <c r="K22" s="57"/>
      <c r="L22" s="28"/>
      <c r="M22" s="264"/>
      <c r="N22" s="399"/>
      <c r="O22" s="395"/>
      <c r="P22" s="396"/>
      <c r="Q22" s="395"/>
      <c r="R22" s="397"/>
      <c r="S22" s="395"/>
      <c r="T22" s="397"/>
      <c r="U22" s="397"/>
      <c r="V22" s="427" t="str">
        <f>IFERROR(VLOOKUP($O22, dropdown!$S$4:$T$15, 2, FALSE),
 IFERROR(VLOOKUP($Q22, dropdown!$S$4:$T$15, 2, FALSE),
 IFERROR(VLOOKUP($S22, dropdown!$S$4:$T$15, 2, FALSE),
 "")))</f>
        <v/>
      </c>
      <c r="W22" s="28"/>
      <c r="AB22" s="11"/>
      <c r="AE22" s="11"/>
    </row>
    <row r="23" spans="2:31" ht="14" x14ac:dyDescent="0.2">
      <c r="B23" s="461"/>
      <c r="C23" s="462"/>
      <c r="D23" s="463"/>
      <c r="E23" s="462"/>
      <c r="F23" s="464"/>
      <c r="G23" s="464"/>
      <c r="I23" s="18" t="str">
        <f t="shared" si="0"/>
        <v/>
      </c>
      <c r="J23" s="431"/>
      <c r="K23" s="57"/>
      <c r="L23" s="28"/>
      <c r="M23" s="264"/>
      <c r="N23" s="399"/>
      <c r="O23" s="395"/>
      <c r="P23" s="396"/>
      <c r="Q23" s="395"/>
      <c r="R23" s="397"/>
      <c r="S23" s="395"/>
      <c r="T23" s="397"/>
      <c r="U23" s="397"/>
      <c r="V23" s="427" t="str">
        <f>IFERROR(VLOOKUP($O23, dropdown!$S$4:$T$15, 2, FALSE),
 IFERROR(VLOOKUP($Q23, dropdown!$S$4:$T$15, 2, FALSE),
 IFERROR(VLOOKUP($S23, dropdown!$S$4:$T$15, 2, FALSE),
 "")))</f>
        <v/>
      </c>
      <c r="W23" s="28"/>
      <c r="AB23" s="11"/>
      <c r="AE23" s="11"/>
    </row>
    <row r="24" spans="2:31" ht="14" x14ac:dyDescent="0.2">
      <c r="B24" s="459" t="s">
        <v>194</v>
      </c>
      <c r="C24" s="459" t="s">
        <v>195</v>
      </c>
      <c r="D24" s="459"/>
      <c r="E24" s="459" t="s">
        <v>196</v>
      </c>
      <c r="F24" s="459"/>
      <c r="G24" s="459"/>
      <c r="I24" s="18" t="str">
        <f t="shared" si="0"/>
        <v/>
      </c>
      <c r="J24" s="431"/>
      <c r="K24" s="57"/>
      <c r="L24" s="28"/>
      <c r="M24" s="264"/>
      <c r="N24" s="399"/>
      <c r="O24" s="395"/>
      <c r="P24" s="396"/>
      <c r="Q24" s="395"/>
      <c r="R24" s="397"/>
      <c r="S24" s="395"/>
      <c r="T24" s="397"/>
      <c r="U24" s="397"/>
      <c r="V24" s="427" t="str">
        <f>IFERROR(VLOOKUP($O24, dropdown!$S$4:$T$15, 2, FALSE),
 IFERROR(VLOOKUP($Q24, dropdown!$S$4:$T$15, 2, FALSE),
 IFERROR(VLOOKUP($S24, dropdown!$S$4:$T$15, 2, FALSE),
 "")))</f>
        <v/>
      </c>
      <c r="W24" s="28"/>
      <c r="X24" s="56"/>
      <c r="AB24" s="11"/>
      <c r="AE24" s="11"/>
    </row>
    <row r="25" spans="2:31" ht="14" x14ac:dyDescent="0.2">
      <c r="B25" s="459"/>
      <c r="C25" s="459"/>
      <c r="D25" s="459"/>
      <c r="E25" s="459"/>
      <c r="F25" s="459"/>
      <c r="G25" s="459"/>
      <c r="I25" s="18" t="str">
        <f t="shared" si="0"/>
        <v/>
      </c>
      <c r="J25" s="431"/>
      <c r="K25" s="57"/>
      <c r="L25" s="28"/>
      <c r="M25" s="264"/>
      <c r="N25" s="399"/>
      <c r="O25" s="395"/>
      <c r="P25" s="396"/>
      <c r="Q25" s="395"/>
      <c r="R25" s="397"/>
      <c r="S25" s="395"/>
      <c r="T25" s="397"/>
      <c r="U25" s="397"/>
      <c r="V25" s="427" t="str">
        <f>IFERROR(VLOOKUP($O25, dropdown!$S$4:$T$15, 2, FALSE),
 IFERROR(VLOOKUP($Q25, dropdown!$S$4:$T$15, 2, FALSE),
 IFERROR(VLOOKUP($S25, dropdown!$S$4:$T$15, 2, FALSE),
 "")))</f>
        <v/>
      </c>
      <c r="W25" s="28"/>
      <c r="X25" s="56"/>
      <c r="AB25" s="11"/>
      <c r="AE25" s="11"/>
    </row>
    <row r="26" spans="2:31" ht="14" x14ac:dyDescent="0.2">
      <c r="B26" s="459" t="s">
        <v>197</v>
      </c>
      <c r="C26" s="459" t="s">
        <v>198</v>
      </c>
      <c r="D26" s="459"/>
      <c r="E26" s="459" t="s">
        <v>199</v>
      </c>
      <c r="F26" s="459"/>
      <c r="G26" s="459"/>
      <c r="I26" s="18" t="str">
        <f t="shared" si="0"/>
        <v/>
      </c>
      <c r="J26" s="431"/>
      <c r="K26" s="57"/>
      <c r="L26" s="28"/>
      <c r="M26" s="264"/>
      <c r="N26" s="399"/>
      <c r="O26" s="395"/>
      <c r="P26" s="396"/>
      <c r="Q26" s="395"/>
      <c r="R26" s="397"/>
      <c r="S26" s="395"/>
      <c r="T26" s="397"/>
      <c r="U26" s="397"/>
      <c r="V26" s="427" t="str">
        <f>IFERROR(VLOOKUP($O26, dropdown!$S$4:$T$15, 2, FALSE),
 IFERROR(VLOOKUP($Q26, dropdown!$S$4:$T$15, 2, FALSE),
 IFERROR(VLOOKUP($S26, dropdown!$S$4:$T$15, 2, FALSE),
 "")))</f>
        <v/>
      </c>
      <c r="W26" s="28"/>
      <c r="X26" s="56"/>
      <c r="AB26" s="11"/>
      <c r="AE26" s="11"/>
    </row>
    <row r="27" spans="2:31" ht="14" x14ac:dyDescent="0.2">
      <c r="B27" s="459"/>
      <c r="C27" s="459"/>
      <c r="D27" s="459"/>
      <c r="E27" s="459"/>
      <c r="F27" s="459"/>
      <c r="G27" s="459"/>
      <c r="I27" s="18" t="str">
        <f t="shared" si="0"/>
        <v/>
      </c>
      <c r="J27" s="431"/>
      <c r="K27" s="57"/>
      <c r="L27" s="28"/>
      <c r="M27" s="264"/>
      <c r="N27" s="399"/>
      <c r="O27" s="395"/>
      <c r="P27" s="396"/>
      <c r="Q27" s="395"/>
      <c r="R27" s="397"/>
      <c r="S27" s="395"/>
      <c r="T27" s="397"/>
      <c r="U27" s="397"/>
      <c r="V27" s="427" t="str">
        <f>IFERROR(VLOOKUP($O27, dropdown!$S$4:$T$15, 2, FALSE),
 IFERROR(VLOOKUP($Q27, dropdown!$S$4:$T$15, 2, FALSE),
 IFERROR(VLOOKUP($S27, dropdown!$S$4:$T$15, 2, FALSE),
 "")))</f>
        <v/>
      </c>
      <c r="W27" s="28"/>
      <c r="X27" s="56"/>
      <c r="AB27" s="11"/>
      <c r="AE27" s="11"/>
    </row>
    <row r="28" spans="2:31" ht="14" x14ac:dyDescent="0.2">
      <c r="B28" s="459" t="s">
        <v>200</v>
      </c>
      <c r="C28" s="459" t="s">
        <v>201</v>
      </c>
      <c r="D28" s="459"/>
      <c r="E28" s="459" t="s">
        <v>202</v>
      </c>
      <c r="F28" s="459"/>
      <c r="G28" s="459"/>
      <c r="I28" s="18" t="str">
        <f t="shared" si="0"/>
        <v/>
      </c>
      <c r="J28" s="431"/>
      <c r="K28" s="57"/>
      <c r="L28" s="28"/>
      <c r="M28" s="264"/>
      <c r="N28" s="399"/>
      <c r="O28" s="395"/>
      <c r="P28" s="396"/>
      <c r="Q28" s="395"/>
      <c r="R28" s="397"/>
      <c r="S28" s="395"/>
      <c r="T28" s="397"/>
      <c r="U28" s="397"/>
      <c r="V28" s="427" t="str">
        <f>IFERROR(VLOOKUP($O28, dropdown!$S$4:$T$15, 2, FALSE),
 IFERROR(VLOOKUP($Q28, dropdown!$S$4:$T$15, 2, FALSE),
 IFERROR(VLOOKUP($S28, dropdown!$S$4:$T$15, 2, FALSE),
 "")))</f>
        <v/>
      </c>
      <c r="W28" s="28"/>
      <c r="X28" s="56"/>
      <c r="AB28" s="11"/>
      <c r="AE28" s="11"/>
    </row>
    <row r="29" spans="2:31" ht="14" x14ac:dyDescent="0.2">
      <c r="B29" s="459"/>
      <c r="C29" s="459"/>
      <c r="D29" s="459"/>
      <c r="E29" s="459"/>
      <c r="F29" s="459"/>
      <c r="G29" s="459"/>
      <c r="I29" s="18" t="str">
        <f t="shared" si="0"/>
        <v/>
      </c>
      <c r="J29" s="431"/>
      <c r="K29" s="57"/>
      <c r="L29" s="28"/>
      <c r="M29" s="264"/>
      <c r="N29" s="399"/>
      <c r="O29" s="395"/>
      <c r="P29" s="396"/>
      <c r="Q29" s="395"/>
      <c r="R29" s="397"/>
      <c r="S29" s="395"/>
      <c r="T29" s="397"/>
      <c r="U29" s="397"/>
      <c r="V29" s="427" t="str">
        <f>IFERROR(VLOOKUP($O29, dropdown!$S$4:$T$15, 2, FALSE),
 IFERROR(VLOOKUP($Q29, dropdown!$S$4:$T$15, 2, FALSE),
 IFERROR(VLOOKUP($S29, dropdown!$S$4:$T$15, 2, FALSE),
 "")))</f>
        <v/>
      </c>
      <c r="W29" s="28"/>
      <c r="X29" s="56"/>
      <c r="AB29" s="11"/>
      <c r="AE29" s="11"/>
    </row>
    <row r="30" spans="2:31" ht="14" x14ac:dyDescent="0.2">
      <c r="B30" s="459" t="s">
        <v>203</v>
      </c>
      <c r="C30" s="459" t="s">
        <v>204</v>
      </c>
      <c r="D30" s="459"/>
      <c r="E30" s="459" t="s">
        <v>205</v>
      </c>
      <c r="F30" s="459"/>
      <c r="G30" s="459"/>
      <c r="I30" s="18" t="str">
        <f t="shared" si="0"/>
        <v/>
      </c>
      <c r="J30" s="431"/>
      <c r="K30" s="57"/>
      <c r="L30" s="28"/>
      <c r="M30" s="264"/>
      <c r="N30" s="399"/>
      <c r="O30" s="395"/>
      <c r="P30" s="396"/>
      <c r="Q30" s="395"/>
      <c r="R30" s="397"/>
      <c r="S30" s="395"/>
      <c r="T30" s="397"/>
      <c r="U30" s="397"/>
      <c r="V30" s="427" t="str">
        <f>IFERROR(VLOOKUP($O30, dropdown!$S$4:$T$15, 2, FALSE),
 IFERROR(VLOOKUP($Q30, dropdown!$S$4:$T$15, 2, FALSE),
 IFERROR(VLOOKUP($S30, dropdown!$S$4:$T$15, 2, FALSE),
 "")))</f>
        <v/>
      </c>
      <c r="W30" s="28"/>
      <c r="X30" s="56"/>
      <c r="AB30" s="11"/>
      <c r="AE30" s="11"/>
    </row>
    <row r="31" spans="2:31" ht="14" x14ac:dyDescent="0.2">
      <c r="B31" s="459"/>
      <c r="C31" s="459"/>
      <c r="D31" s="459"/>
      <c r="E31" s="459"/>
      <c r="F31" s="459"/>
      <c r="G31" s="459"/>
      <c r="I31" s="18" t="str">
        <f t="shared" si="0"/>
        <v/>
      </c>
      <c r="J31" s="431"/>
      <c r="K31" s="57"/>
      <c r="L31" s="28"/>
      <c r="M31" s="264"/>
      <c r="N31" s="399"/>
      <c r="O31" s="395"/>
      <c r="P31" s="396"/>
      <c r="Q31" s="395"/>
      <c r="R31" s="397"/>
      <c r="S31" s="395"/>
      <c r="T31" s="397"/>
      <c r="U31" s="397"/>
      <c r="V31" s="427"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1"/>
      <c r="K32" s="57"/>
      <c r="L32" s="28"/>
      <c r="M32" s="264"/>
      <c r="N32" s="399"/>
      <c r="O32" s="395"/>
      <c r="P32" s="396"/>
      <c r="Q32" s="395"/>
      <c r="R32" s="397"/>
      <c r="S32" s="395"/>
      <c r="T32" s="397"/>
      <c r="U32" s="397"/>
      <c r="V32" s="427" t="str">
        <f>IFERROR(VLOOKUP($O32, dropdown!$S$4:$T$15, 2, FALSE),
 IFERROR(VLOOKUP($Q32, dropdown!$S$4:$T$15, 2, FALSE),
 IFERROR(VLOOKUP($S32, dropdown!$S$4:$T$15, 2, FALSE),
 "")))</f>
        <v/>
      </c>
      <c r="W32" s="28"/>
      <c r="X32" s="56"/>
      <c r="AB32" s="11"/>
      <c r="AE32" s="11"/>
    </row>
    <row r="33" spans="9:31" ht="14" x14ac:dyDescent="0.2">
      <c r="I33" s="18" t="str">
        <f t="shared" si="0"/>
        <v/>
      </c>
      <c r="J33" s="431"/>
      <c r="K33" s="57"/>
      <c r="L33" s="28"/>
      <c r="M33" s="264"/>
      <c r="N33" s="399"/>
      <c r="O33" s="395"/>
      <c r="P33" s="396"/>
      <c r="Q33" s="395"/>
      <c r="R33" s="397"/>
      <c r="S33" s="395"/>
      <c r="T33" s="397"/>
      <c r="U33" s="397"/>
      <c r="V33" s="427"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1"/>
      <c r="K34" s="57"/>
      <c r="L34" s="28"/>
      <c r="M34" s="264"/>
      <c r="N34" s="399"/>
      <c r="O34" s="395"/>
      <c r="P34" s="396"/>
      <c r="Q34" s="395"/>
      <c r="R34" s="397"/>
      <c r="S34" s="395"/>
      <c r="T34" s="397"/>
      <c r="U34" s="397"/>
      <c r="V34" s="427" t="str">
        <f>IFERROR(VLOOKUP($O34, dropdown!$S$4:$T$15, 2, FALSE),
 IFERROR(VLOOKUP($Q34, dropdown!$S$4:$T$15, 2, FALSE),
 IFERROR(VLOOKUP($S34, dropdown!$S$4:$T$15, 2, FALSE),
 "")))</f>
        <v/>
      </c>
      <c r="W34" s="28"/>
      <c r="X34" s="56"/>
      <c r="AB34" s="11"/>
      <c r="AE34" s="11"/>
    </row>
    <row r="35" spans="9:31" ht="14" x14ac:dyDescent="0.2">
      <c r="I35" s="18" t="str">
        <f t="shared" si="0"/>
        <v/>
      </c>
      <c r="J35" s="431"/>
      <c r="K35" s="57"/>
      <c r="L35" s="28"/>
      <c r="M35" s="264"/>
      <c r="N35" s="399"/>
      <c r="O35" s="395"/>
      <c r="P35" s="396"/>
      <c r="Q35" s="395"/>
      <c r="R35" s="397"/>
      <c r="S35" s="395"/>
      <c r="T35" s="397"/>
      <c r="U35" s="397"/>
      <c r="V35" s="427" t="str">
        <f>IFERROR(VLOOKUP($O35, dropdown!$S$4:$T$15, 2, FALSE),
 IFERROR(VLOOKUP($Q35, dropdown!$S$4:$T$15, 2, FALSE),
 IFERROR(VLOOKUP($S35, dropdown!$S$4:$T$15, 2, FALSE),
 "")))</f>
        <v/>
      </c>
      <c r="W35" s="28"/>
      <c r="X35" s="56"/>
      <c r="AB35" s="11"/>
      <c r="AE35" s="11"/>
    </row>
    <row r="36" spans="9:31" ht="14" x14ac:dyDescent="0.2">
      <c r="I36" s="18" t="str">
        <f t="shared" si="0"/>
        <v/>
      </c>
      <c r="J36" s="431"/>
      <c r="K36" s="57"/>
      <c r="L36" s="28"/>
      <c r="M36" s="264"/>
      <c r="N36" s="399"/>
      <c r="O36" s="395"/>
      <c r="P36" s="396"/>
      <c r="Q36" s="395"/>
      <c r="R36" s="397"/>
      <c r="S36" s="395"/>
      <c r="T36" s="397"/>
      <c r="U36" s="397"/>
      <c r="V36" s="427" t="str">
        <f>IFERROR(VLOOKUP($O36, dropdown!$S$4:$T$15, 2, FALSE),
 IFERROR(VLOOKUP($Q36, dropdown!$S$4:$T$15, 2, FALSE),
 IFERROR(VLOOKUP($S36, dropdown!$S$4:$T$15, 2, FALSE),
 "")))</f>
        <v/>
      </c>
      <c r="W36" s="28"/>
      <c r="X36" s="56"/>
      <c r="AB36" s="11"/>
      <c r="AE36" s="11"/>
    </row>
    <row r="37" spans="9:31" ht="14" x14ac:dyDescent="0.2">
      <c r="I37" s="18" t="str">
        <f t="shared" si="0"/>
        <v/>
      </c>
      <c r="J37" s="431"/>
      <c r="K37" s="57"/>
      <c r="L37" s="28"/>
      <c r="M37" s="264"/>
      <c r="N37" s="399"/>
      <c r="O37" s="395"/>
      <c r="P37" s="396"/>
      <c r="Q37" s="395"/>
      <c r="R37" s="397"/>
      <c r="S37" s="395"/>
      <c r="T37" s="397"/>
      <c r="U37" s="397"/>
      <c r="V37" s="427" t="str">
        <f>IFERROR(VLOOKUP($O37, dropdown!$S$4:$T$15, 2, FALSE),
 IFERROR(VLOOKUP($Q37, dropdown!$S$4:$T$15, 2, FALSE),
 IFERROR(VLOOKUP($S37, dropdown!$S$4:$T$15, 2, FALSE),
 "")))</f>
        <v/>
      </c>
      <c r="W37" s="28"/>
      <c r="X37" s="56"/>
      <c r="AB37" s="11"/>
      <c r="AE37" s="11"/>
    </row>
    <row r="38" spans="9:31" ht="14" x14ac:dyDescent="0.2">
      <c r="I38" s="18" t="str">
        <f t="shared" si="0"/>
        <v/>
      </c>
      <c r="J38" s="431"/>
      <c r="K38" s="57"/>
      <c r="L38" s="28"/>
      <c r="M38" s="264"/>
      <c r="N38" s="399"/>
      <c r="O38" s="395"/>
      <c r="P38" s="396"/>
      <c r="Q38" s="395"/>
      <c r="R38" s="397"/>
      <c r="S38" s="395"/>
      <c r="T38" s="397"/>
      <c r="U38" s="397"/>
      <c r="V38" s="427" t="str">
        <f>IFERROR(VLOOKUP($O38, dropdown!$S$4:$T$15, 2, FALSE),
 IFERROR(VLOOKUP($Q38, dropdown!$S$4:$T$15, 2, FALSE),
 IFERROR(VLOOKUP($S38, dropdown!$S$4:$T$15, 2, FALSE),
 "")))</f>
        <v/>
      </c>
      <c r="W38" s="28"/>
      <c r="X38" s="56"/>
      <c r="AB38" s="11"/>
      <c r="AE38" s="11"/>
    </row>
    <row r="39" spans="9:31" ht="14" x14ac:dyDescent="0.2">
      <c r="I39" s="18" t="str">
        <f t="shared" si="0"/>
        <v/>
      </c>
      <c r="J39" s="431"/>
      <c r="K39" s="57"/>
      <c r="L39" s="28"/>
      <c r="M39" s="264"/>
      <c r="N39" s="399"/>
      <c r="O39" s="395"/>
      <c r="P39" s="396"/>
      <c r="Q39" s="395"/>
      <c r="R39" s="397"/>
      <c r="S39" s="395"/>
      <c r="T39" s="397"/>
      <c r="U39" s="397"/>
      <c r="V39" s="427" t="str">
        <f>IFERROR(VLOOKUP($O39, dropdown!$S$4:$T$15, 2, FALSE),
 IFERROR(VLOOKUP($Q39, dropdown!$S$4:$T$15, 2, FALSE),
 IFERROR(VLOOKUP($S39, dropdown!$S$4:$T$15, 2, FALSE),
 "")))</f>
        <v/>
      </c>
      <c r="W39" s="28"/>
      <c r="X39" s="56"/>
      <c r="AB39" s="11"/>
      <c r="AE39" s="11"/>
    </row>
    <row r="40" spans="9:31" ht="14" x14ac:dyDescent="0.2">
      <c r="I40" s="18" t="str">
        <f t="shared" si="0"/>
        <v/>
      </c>
      <c r="J40" s="431"/>
      <c r="K40" s="57"/>
      <c r="L40" s="28"/>
      <c r="M40" s="264"/>
      <c r="N40" s="399"/>
      <c r="O40" s="395"/>
      <c r="P40" s="396"/>
      <c r="Q40" s="395"/>
      <c r="R40" s="397"/>
      <c r="S40" s="395"/>
      <c r="T40" s="397"/>
      <c r="U40" s="397"/>
      <c r="V40" s="427" t="str">
        <f>IFERROR(VLOOKUP($O40, dropdown!$S$4:$T$15, 2, FALSE),
 IFERROR(VLOOKUP($Q40, dropdown!$S$4:$T$15, 2, FALSE),
 IFERROR(VLOOKUP($S40, dropdown!$S$4:$T$15, 2, FALSE),
 "")))</f>
        <v/>
      </c>
      <c r="W40" s="28"/>
      <c r="X40" s="56"/>
      <c r="AB40" s="11"/>
      <c r="AE40" s="11"/>
    </row>
    <row r="41" spans="9:31" ht="14" x14ac:dyDescent="0.2">
      <c r="I41" s="18" t="str">
        <f t="shared" si="0"/>
        <v/>
      </c>
      <c r="J41" s="431"/>
      <c r="K41" s="57"/>
      <c r="L41" s="28"/>
      <c r="M41" s="264"/>
      <c r="N41" s="399"/>
      <c r="O41" s="395"/>
      <c r="P41" s="396"/>
      <c r="Q41" s="395"/>
      <c r="R41" s="397"/>
      <c r="S41" s="395"/>
      <c r="T41" s="397"/>
      <c r="U41" s="397"/>
      <c r="V41" s="427"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1"/>
      <c r="K42" s="57"/>
      <c r="L42" s="28"/>
      <c r="M42" s="264"/>
      <c r="N42" s="399"/>
      <c r="O42" s="395"/>
      <c r="P42" s="396"/>
      <c r="Q42" s="395"/>
      <c r="R42" s="397"/>
      <c r="S42" s="395"/>
      <c r="T42" s="397"/>
      <c r="U42" s="397"/>
      <c r="V42" s="427" t="str">
        <f>IFERROR(VLOOKUP($O42, dropdown!$S$4:$T$15, 2, FALSE),
 IFERROR(VLOOKUP($Q42, dropdown!$S$4:$T$15, 2, FALSE),
 IFERROR(VLOOKUP($S42, dropdown!$S$4:$T$15, 2, FALSE),
 "")))</f>
        <v/>
      </c>
      <c r="W42" s="28"/>
      <c r="X42" s="56"/>
      <c r="AB42" s="11"/>
      <c r="AE42" s="11"/>
    </row>
    <row r="43" spans="9:31" ht="14" x14ac:dyDescent="0.2">
      <c r="I43" s="18" t="str">
        <f t="shared" si="2"/>
        <v/>
      </c>
      <c r="J43" s="431"/>
      <c r="K43" s="57"/>
      <c r="L43" s="28"/>
      <c r="M43" s="264"/>
      <c r="N43" s="399"/>
      <c r="O43" s="395"/>
      <c r="P43" s="396"/>
      <c r="Q43" s="395"/>
      <c r="R43" s="397"/>
      <c r="S43" s="395"/>
      <c r="T43" s="397"/>
      <c r="U43" s="397"/>
      <c r="V43" s="427" t="str">
        <f>IFERROR(VLOOKUP($O43, dropdown!$S$4:$T$15, 2, FALSE),
 IFERROR(VLOOKUP($Q43, dropdown!$S$4:$T$15, 2, FALSE),
 IFERROR(VLOOKUP($S43, dropdown!$S$4:$T$15, 2, FALSE),
 "")))</f>
        <v/>
      </c>
      <c r="W43" s="28"/>
      <c r="X43" s="56"/>
      <c r="AB43" s="11"/>
      <c r="AE43" s="11"/>
    </row>
    <row r="44" spans="9:31" ht="14" x14ac:dyDescent="0.2">
      <c r="I44" s="18" t="str">
        <f t="shared" si="2"/>
        <v/>
      </c>
      <c r="J44" s="431"/>
      <c r="K44" s="57"/>
      <c r="L44" s="28"/>
      <c r="M44" s="264"/>
      <c r="N44" s="399"/>
      <c r="O44" s="395"/>
      <c r="P44" s="396"/>
      <c r="Q44" s="395"/>
      <c r="R44" s="397"/>
      <c r="S44" s="395"/>
      <c r="T44" s="397"/>
      <c r="U44" s="397"/>
      <c r="V44" s="427" t="str">
        <f>IFERROR(VLOOKUP($O44, dropdown!$S$4:$T$15, 2, FALSE),
 IFERROR(VLOOKUP($Q44, dropdown!$S$4:$T$15, 2, FALSE),
 IFERROR(VLOOKUP($S44, dropdown!$S$4:$T$15, 2, FALSE),
 "")))</f>
        <v/>
      </c>
      <c r="W44" s="28"/>
      <c r="X44" s="56"/>
      <c r="AB44" s="11"/>
      <c r="AE44" s="11"/>
    </row>
    <row r="45" spans="9:31" ht="14" x14ac:dyDescent="0.2">
      <c r="I45" s="18" t="str">
        <f t="shared" si="2"/>
        <v/>
      </c>
      <c r="J45" s="431"/>
      <c r="K45" s="57"/>
      <c r="L45" s="28"/>
      <c r="M45" s="264"/>
      <c r="N45" s="399"/>
      <c r="O45" s="395"/>
      <c r="P45" s="396"/>
      <c r="Q45" s="395"/>
      <c r="R45" s="397"/>
      <c r="S45" s="395"/>
      <c r="T45" s="397"/>
      <c r="U45" s="397"/>
      <c r="V45" s="427" t="str">
        <f>IFERROR(VLOOKUP($O45, dropdown!$S$4:$T$15, 2, FALSE),
 IFERROR(VLOOKUP($Q45, dropdown!$S$4:$T$15, 2, FALSE),
 IFERROR(VLOOKUP($S45, dropdown!$S$4:$T$15, 2, FALSE),
 "")))</f>
        <v/>
      </c>
      <c r="W45" s="28"/>
      <c r="X45" s="56"/>
      <c r="AB45" s="11"/>
      <c r="AE45" s="11"/>
    </row>
    <row r="46" spans="9:31" ht="14" x14ac:dyDescent="0.2">
      <c r="I46" s="18" t="str">
        <f t="shared" si="2"/>
        <v/>
      </c>
      <c r="J46" s="431"/>
      <c r="K46" s="57"/>
      <c r="L46" s="28"/>
      <c r="M46" s="264"/>
      <c r="N46" s="399"/>
      <c r="O46" s="395"/>
      <c r="P46" s="396"/>
      <c r="Q46" s="395"/>
      <c r="R46" s="397"/>
      <c r="S46" s="395"/>
      <c r="T46" s="397"/>
      <c r="U46" s="397"/>
      <c r="V46" s="427" t="str">
        <f>IFERROR(VLOOKUP($O46, dropdown!$S$4:$T$15, 2, FALSE),
 IFERROR(VLOOKUP($Q46, dropdown!$S$4:$T$15, 2, FALSE),
 IFERROR(VLOOKUP($S46, dropdown!$S$4:$T$15, 2, FALSE),
 "")))</f>
        <v/>
      </c>
      <c r="W46" s="28"/>
      <c r="X46" s="56"/>
      <c r="AB46" s="11"/>
      <c r="AE46" s="11"/>
    </row>
    <row r="47" spans="9:31" ht="14" x14ac:dyDescent="0.2">
      <c r="I47" s="18" t="str">
        <f t="shared" si="2"/>
        <v/>
      </c>
      <c r="J47" s="431"/>
      <c r="K47" s="57"/>
      <c r="L47" s="28"/>
      <c r="M47" s="264"/>
      <c r="N47" s="399"/>
      <c r="O47" s="395"/>
      <c r="P47" s="396"/>
      <c r="Q47" s="395"/>
      <c r="R47" s="397"/>
      <c r="S47" s="395"/>
      <c r="T47" s="397"/>
      <c r="U47" s="397"/>
      <c r="V47" s="427" t="str">
        <f>IFERROR(VLOOKUP($O47, dropdown!$S$4:$T$15, 2, FALSE),
 IFERROR(VLOOKUP($Q47, dropdown!$S$4:$T$15, 2, FALSE),
 IFERROR(VLOOKUP($S47, dropdown!$S$4:$T$15, 2, FALSE),
 "")))</f>
        <v/>
      </c>
      <c r="W47" s="28"/>
      <c r="X47" s="56"/>
      <c r="AB47" s="11"/>
      <c r="AE47" s="11"/>
    </row>
    <row r="48" spans="9:31" ht="14" x14ac:dyDescent="0.2">
      <c r="I48" s="18" t="str">
        <f t="shared" si="2"/>
        <v/>
      </c>
      <c r="J48" s="431"/>
      <c r="K48" s="57"/>
      <c r="L48" s="28"/>
      <c r="M48" s="264"/>
      <c r="N48" s="399"/>
      <c r="O48" s="395"/>
      <c r="P48" s="396"/>
      <c r="Q48" s="395"/>
      <c r="R48" s="397"/>
      <c r="S48" s="395"/>
      <c r="T48" s="397"/>
      <c r="U48" s="397"/>
      <c r="V48" s="427" t="str">
        <f>IFERROR(VLOOKUP($O48, dropdown!$S$4:$T$15, 2, FALSE),
 IFERROR(VLOOKUP($Q48, dropdown!$S$4:$T$15, 2, FALSE),
 IFERROR(VLOOKUP($S48, dropdown!$S$4:$T$15, 2, FALSE),
 "")))</f>
        <v/>
      </c>
      <c r="W48" s="28"/>
      <c r="X48" s="56"/>
      <c r="AB48" s="11"/>
      <c r="AE48" s="11"/>
    </row>
    <row r="49" spans="9:31" ht="14" x14ac:dyDescent="0.2">
      <c r="I49" s="18" t="str">
        <f t="shared" si="2"/>
        <v/>
      </c>
      <c r="J49" s="431"/>
      <c r="K49" s="57"/>
      <c r="L49" s="28"/>
      <c r="M49" s="264"/>
      <c r="N49" s="399"/>
      <c r="O49" s="395"/>
      <c r="P49" s="396"/>
      <c r="Q49" s="395"/>
      <c r="R49" s="397"/>
      <c r="S49" s="395"/>
      <c r="T49" s="397"/>
      <c r="U49" s="397"/>
      <c r="V49" s="427" t="str">
        <f>IFERROR(VLOOKUP($O49, dropdown!$S$4:$T$15, 2, FALSE),
 IFERROR(VLOOKUP($Q49, dropdown!$S$4:$T$15, 2, FALSE),
 IFERROR(VLOOKUP($S49, dropdown!$S$4:$T$15, 2, FALSE),
 "")))</f>
        <v/>
      </c>
      <c r="W49" s="28"/>
      <c r="X49" s="56"/>
      <c r="AB49" s="11"/>
      <c r="AE49" s="11"/>
    </row>
    <row r="50" spans="9:31" ht="14" x14ac:dyDescent="0.2">
      <c r="I50" s="18" t="str">
        <f t="shared" si="2"/>
        <v/>
      </c>
      <c r="J50" s="431"/>
      <c r="K50" s="57"/>
      <c r="L50" s="28"/>
      <c r="M50" s="264"/>
      <c r="N50" s="399"/>
      <c r="O50" s="395"/>
      <c r="P50" s="396"/>
      <c r="Q50" s="395"/>
      <c r="R50" s="397"/>
      <c r="S50" s="395"/>
      <c r="T50" s="397"/>
      <c r="U50" s="397"/>
      <c r="V50" s="427" t="str">
        <f>IFERROR(VLOOKUP($O50, dropdown!$S$4:$T$15, 2, FALSE),
 IFERROR(VLOOKUP($Q50, dropdown!$S$4:$T$15, 2, FALSE),
 IFERROR(VLOOKUP($S50, dropdown!$S$4:$T$15, 2, FALSE),
 "")))</f>
        <v/>
      </c>
      <c r="W50" s="28"/>
      <c r="X50" s="56"/>
      <c r="AB50" s="11"/>
      <c r="AE50" s="11"/>
    </row>
    <row r="51" spans="9:31" ht="14" x14ac:dyDescent="0.2">
      <c r="I51" s="18" t="str">
        <f t="shared" si="2"/>
        <v/>
      </c>
      <c r="J51" s="431"/>
      <c r="K51" s="57"/>
      <c r="L51" s="28"/>
      <c r="M51" s="264"/>
      <c r="N51" s="399"/>
      <c r="O51" s="395"/>
      <c r="P51" s="396"/>
      <c r="Q51" s="395"/>
      <c r="R51" s="397"/>
      <c r="S51" s="395"/>
      <c r="T51" s="397"/>
      <c r="U51" s="397"/>
      <c r="V51" s="427" t="str">
        <f>IFERROR(VLOOKUP($O51, dropdown!$S$4:$T$15, 2, FALSE),
 IFERROR(VLOOKUP($Q51, dropdown!$S$4:$T$15, 2, FALSE),
 IFERROR(VLOOKUP($S51, dropdown!$S$4:$T$15, 2, FALSE),
 "")))</f>
        <v/>
      </c>
      <c r="W51" s="28"/>
      <c r="X51" s="56"/>
      <c r="AB51" s="11"/>
      <c r="AE51" s="11"/>
    </row>
    <row r="52" spans="9:31" ht="14" x14ac:dyDescent="0.2">
      <c r="I52" s="18" t="str">
        <f t="shared" si="2"/>
        <v/>
      </c>
      <c r="J52" s="431"/>
      <c r="K52" s="57"/>
      <c r="L52" s="28"/>
      <c r="M52" s="264"/>
      <c r="N52" s="399"/>
      <c r="O52" s="395"/>
      <c r="P52" s="396"/>
      <c r="Q52" s="395"/>
      <c r="R52" s="397"/>
      <c r="S52" s="395"/>
      <c r="T52" s="397"/>
      <c r="U52" s="397"/>
      <c r="V52" s="427" t="str">
        <f>IFERROR(VLOOKUP($O52, dropdown!$S$4:$T$15, 2, FALSE),
 IFERROR(VLOOKUP($Q52, dropdown!$S$4:$T$15, 2, FALSE),
 IFERROR(VLOOKUP($S52, dropdown!$S$4:$T$15, 2, FALSE),
 "")))</f>
        <v/>
      </c>
      <c r="W52" s="28"/>
      <c r="X52" s="56"/>
      <c r="AB52" s="11"/>
      <c r="AE52" s="11"/>
    </row>
    <row r="53" spans="9:31" ht="14" x14ac:dyDescent="0.2">
      <c r="I53" s="18" t="str">
        <f t="shared" si="2"/>
        <v/>
      </c>
      <c r="J53" s="431"/>
      <c r="K53" s="57"/>
      <c r="L53" s="28"/>
      <c r="M53" s="264"/>
      <c r="N53" s="399"/>
      <c r="O53" s="395"/>
      <c r="P53" s="396"/>
      <c r="Q53" s="395"/>
      <c r="R53" s="397"/>
      <c r="S53" s="395"/>
      <c r="T53" s="397"/>
      <c r="U53" s="397"/>
      <c r="V53" s="427" t="str">
        <f>IFERROR(VLOOKUP($O53, dropdown!$S$4:$T$15, 2, FALSE),
 IFERROR(VLOOKUP($Q53, dropdown!$S$4:$T$15, 2, FALSE),
 IFERROR(VLOOKUP($S53, dropdown!$S$4:$T$15, 2, FALSE),
 "")))</f>
        <v/>
      </c>
      <c r="W53" s="28"/>
      <c r="X53" s="56"/>
      <c r="AB53" s="11"/>
      <c r="AE53" s="11"/>
    </row>
    <row r="54" spans="9:31" ht="14" x14ac:dyDescent="0.2">
      <c r="I54" s="18" t="str">
        <f t="shared" si="2"/>
        <v/>
      </c>
      <c r="J54" s="431"/>
      <c r="K54" s="57"/>
      <c r="L54" s="28"/>
      <c r="M54" s="264"/>
      <c r="N54" s="399"/>
      <c r="O54" s="395"/>
      <c r="P54" s="396"/>
      <c r="Q54" s="395"/>
      <c r="R54" s="397"/>
      <c r="S54" s="395"/>
      <c r="T54" s="397"/>
      <c r="U54" s="397"/>
      <c r="V54" s="427" t="str">
        <f>IFERROR(VLOOKUP($O54, dropdown!$S$4:$T$15, 2, FALSE),
 IFERROR(VLOOKUP($Q54, dropdown!$S$4:$T$15, 2, FALSE),
 IFERROR(VLOOKUP($S54, dropdown!$S$4:$T$15, 2, FALSE),
 "")))</f>
        <v/>
      </c>
      <c r="W54" s="28"/>
      <c r="X54" s="56"/>
      <c r="AB54" s="11"/>
      <c r="AE54" s="11"/>
    </row>
    <row r="55" spans="9:31" ht="14" x14ac:dyDescent="0.2">
      <c r="I55" s="18" t="str">
        <f t="shared" si="2"/>
        <v/>
      </c>
      <c r="J55" s="431"/>
      <c r="K55" s="57"/>
      <c r="L55" s="28"/>
      <c r="M55" s="264"/>
      <c r="N55" s="399"/>
      <c r="O55" s="395"/>
      <c r="P55" s="396"/>
      <c r="Q55" s="395"/>
      <c r="R55" s="397"/>
      <c r="S55" s="395"/>
      <c r="T55" s="397"/>
      <c r="U55" s="397"/>
      <c r="V55" s="427" t="str">
        <f>IFERROR(VLOOKUP($O55, dropdown!$S$4:$T$15, 2, FALSE),
 IFERROR(VLOOKUP($Q55, dropdown!$S$4:$T$15, 2, FALSE),
 IFERROR(VLOOKUP($S55, dropdown!$S$4:$T$15, 2, FALSE),
 "")))</f>
        <v/>
      </c>
      <c r="W55" s="28"/>
      <c r="X55" s="56"/>
      <c r="AB55" s="11"/>
      <c r="AE55" s="11"/>
    </row>
    <row r="56" spans="9:31" ht="14" x14ac:dyDescent="0.2">
      <c r="I56" s="18" t="str">
        <f t="shared" si="2"/>
        <v/>
      </c>
      <c r="J56" s="431"/>
      <c r="K56" s="57"/>
      <c r="L56" s="28"/>
      <c r="M56" s="264"/>
      <c r="N56" s="399"/>
      <c r="O56" s="395"/>
      <c r="P56" s="396"/>
      <c r="Q56" s="395"/>
      <c r="R56" s="397"/>
      <c r="S56" s="395"/>
      <c r="T56" s="397"/>
      <c r="U56" s="397"/>
      <c r="V56" s="427" t="str">
        <f>IFERROR(VLOOKUP($O56, dropdown!$S$4:$T$15, 2, FALSE),
 IFERROR(VLOOKUP($Q56, dropdown!$S$4:$T$15, 2, FALSE),
 IFERROR(VLOOKUP($S56, dropdown!$S$4:$T$15, 2, FALSE),
 "")))</f>
        <v/>
      </c>
      <c r="W56" s="28"/>
      <c r="X56" s="56"/>
      <c r="AB56" s="11"/>
      <c r="AE56" s="11"/>
    </row>
    <row r="57" spans="9:31" ht="14" x14ac:dyDescent="0.2">
      <c r="I57" s="18" t="str">
        <f t="shared" si="2"/>
        <v/>
      </c>
      <c r="J57" s="431"/>
      <c r="K57" s="57"/>
      <c r="L57" s="28"/>
      <c r="M57" s="264"/>
      <c r="N57" s="399"/>
      <c r="O57" s="395"/>
      <c r="P57" s="396"/>
      <c r="Q57" s="395"/>
      <c r="R57" s="397"/>
      <c r="S57" s="395"/>
      <c r="T57" s="397"/>
      <c r="U57" s="397"/>
      <c r="V57" s="427" t="str">
        <f>IFERROR(VLOOKUP($O57, dropdown!$S$4:$T$15, 2, FALSE),
 IFERROR(VLOOKUP($Q57, dropdown!$S$4:$T$15, 2, FALSE),
 IFERROR(VLOOKUP($S57, dropdown!$S$4:$T$15, 2, FALSE),
 "")))</f>
        <v/>
      </c>
      <c r="W57" s="28"/>
      <c r="X57" s="56"/>
      <c r="AB57" s="11"/>
      <c r="AE57" s="11"/>
    </row>
    <row r="58" spans="9:31" ht="14" x14ac:dyDescent="0.2">
      <c r="I58" s="18" t="str">
        <f t="shared" si="2"/>
        <v/>
      </c>
      <c r="J58" s="431"/>
      <c r="K58" s="57"/>
      <c r="L58" s="28"/>
      <c r="M58" s="264"/>
      <c r="N58" s="399"/>
      <c r="O58" s="395"/>
      <c r="P58" s="396"/>
      <c r="Q58" s="395"/>
      <c r="R58" s="397"/>
      <c r="S58" s="395"/>
      <c r="T58" s="397"/>
      <c r="U58" s="397"/>
      <c r="V58" s="427" t="str">
        <f>IFERROR(VLOOKUP($O58, dropdown!$S$4:$T$15, 2, FALSE),
 IFERROR(VLOOKUP($Q58, dropdown!$S$4:$T$15, 2, FALSE),
 IFERROR(VLOOKUP($S58, dropdown!$S$4:$T$15, 2, FALSE),
 "")))</f>
        <v/>
      </c>
      <c r="W58" s="28"/>
      <c r="X58" s="56"/>
      <c r="AB58" s="11"/>
      <c r="AE58" s="11"/>
    </row>
    <row r="59" spans="9:31" ht="14" x14ac:dyDescent="0.2">
      <c r="I59" s="18" t="str">
        <f t="shared" si="2"/>
        <v/>
      </c>
      <c r="J59" s="431"/>
      <c r="K59" s="57"/>
      <c r="L59" s="28"/>
      <c r="M59" s="264"/>
      <c r="N59" s="399"/>
      <c r="O59" s="395"/>
      <c r="P59" s="396"/>
      <c r="Q59" s="395"/>
      <c r="R59" s="397"/>
      <c r="S59" s="395"/>
      <c r="T59" s="397"/>
      <c r="U59" s="397"/>
      <c r="V59" s="427" t="str">
        <f>IFERROR(VLOOKUP($O59, dropdown!$S$4:$T$15, 2, FALSE),
 IFERROR(VLOOKUP($Q59, dropdown!$S$4:$T$15, 2, FALSE),
 IFERROR(VLOOKUP($S59, dropdown!$S$4:$T$15, 2, FALSE),
 "")))</f>
        <v/>
      </c>
      <c r="W59" s="28"/>
      <c r="X59" s="56"/>
      <c r="AB59" s="11"/>
      <c r="AE59" s="11"/>
    </row>
    <row r="60" spans="9:31" ht="14" x14ac:dyDescent="0.2">
      <c r="I60" s="18" t="str">
        <f t="shared" si="2"/>
        <v/>
      </c>
      <c r="J60" s="431"/>
      <c r="K60" s="57"/>
      <c r="L60" s="28"/>
      <c r="M60" s="264"/>
      <c r="N60" s="399"/>
      <c r="O60" s="395"/>
      <c r="P60" s="396"/>
      <c r="Q60" s="395"/>
      <c r="R60" s="397"/>
      <c r="S60" s="395"/>
      <c r="T60" s="397"/>
      <c r="U60" s="397"/>
      <c r="V60" s="427" t="str">
        <f>IFERROR(VLOOKUP($O60, dropdown!$S$4:$T$15, 2, FALSE),
 IFERROR(VLOOKUP($Q60, dropdown!$S$4:$T$15, 2, FALSE),
 IFERROR(VLOOKUP($S60, dropdown!$S$4:$T$15, 2, FALSE),
 "")))</f>
        <v/>
      </c>
      <c r="W60" s="28"/>
      <c r="X60" s="56"/>
      <c r="AB60" s="11"/>
      <c r="AE60" s="11"/>
    </row>
    <row r="61" spans="9:31" ht="14" x14ac:dyDescent="0.2">
      <c r="I61" s="18" t="str">
        <f t="shared" si="2"/>
        <v/>
      </c>
      <c r="J61" s="431"/>
      <c r="K61" s="57"/>
      <c r="L61" s="28"/>
      <c r="M61" s="264"/>
      <c r="N61" s="399"/>
      <c r="O61" s="395"/>
      <c r="P61" s="396"/>
      <c r="Q61" s="395"/>
      <c r="R61" s="397"/>
      <c r="S61" s="395"/>
      <c r="T61" s="397"/>
      <c r="U61" s="397"/>
      <c r="V61" s="427" t="str">
        <f>IFERROR(VLOOKUP($O61, dropdown!$S$4:$T$15, 2, FALSE),
 IFERROR(VLOOKUP($Q61, dropdown!$S$4:$T$15, 2, FALSE),
 IFERROR(VLOOKUP($S61, dropdown!$S$4:$T$15, 2, FALSE),
 "")))</f>
        <v/>
      </c>
      <c r="W61" s="28"/>
      <c r="X61" s="56"/>
      <c r="AB61" s="11"/>
      <c r="AE61" s="11"/>
    </row>
    <row r="62" spans="9:31" ht="14" x14ac:dyDescent="0.2">
      <c r="I62" s="18" t="str">
        <f t="shared" si="2"/>
        <v/>
      </c>
      <c r="J62" s="431"/>
      <c r="K62" s="57"/>
      <c r="L62" s="28"/>
      <c r="M62" s="264"/>
      <c r="N62" s="399"/>
      <c r="O62" s="395"/>
      <c r="P62" s="396"/>
      <c r="Q62" s="395"/>
      <c r="R62" s="397"/>
      <c r="S62" s="395"/>
      <c r="T62" s="397"/>
      <c r="U62" s="397"/>
      <c r="V62" s="427" t="str">
        <f>IFERROR(VLOOKUP($O62, dropdown!$S$4:$T$15, 2, FALSE),
 IFERROR(VLOOKUP($Q62, dropdown!$S$4:$T$15, 2, FALSE),
 IFERROR(VLOOKUP($S62, dropdown!$S$4:$T$15, 2, FALSE),
 "")))</f>
        <v/>
      </c>
      <c r="W62" s="28"/>
      <c r="X62" s="56"/>
      <c r="AB62" s="11"/>
      <c r="AE62" s="11"/>
    </row>
    <row r="63" spans="9:31" ht="14" x14ac:dyDescent="0.2">
      <c r="I63" s="18" t="str">
        <f t="shared" si="2"/>
        <v/>
      </c>
      <c r="J63" s="431"/>
      <c r="K63" s="57"/>
      <c r="L63" s="28"/>
      <c r="M63" s="264"/>
      <c r="N63" s="399"/>
      <c r="O63" s="395"/>
      <c r="P63" s="396"/>
      <c r="Q63" s="395"/>
      <c r="R63" s="397"/>
      <c r="S63" s="395"/>
      <c r="T63" s="397"/>
      <c r="U63" s="397"/>
      <c r="V63" s="427" t="str">
        <f>IFERROR(VLOOKUP($O63, dropdown!$S$4:$T$15, 2, FALSE),
 IFERROR(VLOOKUP($Q63, dropdown!$S$4:$T$15, 2, FALSE),
 IFERROR(VLOOKUP($S63, dropdown!$S$4:$T$15, 2, FALSE),
 "")))</f>
        <v/>
      </c>
      <c r="W63" s="28"/>
      <c r="X63" s="56"/>
      <c r="AB63" s="11"/>
      <c r="AE63" s="11"/>
    </row>
    <row r="64" spans="9:31" ht="14" x14ac:dyDescent="0.2">
      <c r="I64" s="18" t="str">
        <f t="shared" si="2"/>
        <v/>
      </c>
      <c r="J64" s="431"/>
      <c r="K64" s="57"/>
      <c r="L64" s="28"/>
      <c r="M64" s="264"/>
      <c r="N64" s="399"/>
      <c r="O64" s="395"/>
      <c r="P64" s="396"/>
      <c r="Q64" s="395"/>
      <c r="R64" s="397"/>
      <c r="S64" s="395"/>
      <c r="T64" s="397"/>
      <c r="U64" s="397"/>
      <c r="V64" s="427" t="str">
        <f>IFERROR(VLOOKUP($O64, dropdown!$S$4:$T$15, 2, FALSE),
 IFERROR(VLOOKUP($Q64, dropdown!$S$4:$T$15, 2, FALSE),
 IFERROR(VLOOKUP($S64, dropdown!$S$4:$T$15, 2, FALSE),
 "")))</f>
        <v/>
      </c>
      <c r="W64" s="28"/>
      <c r="X64" s="56"/>
      <c r="AB64" s="11"/>
      <c r="AE64" s="11"/>
    </row>
    <row r="65" spans="9:31" ht="14" x14ac:dyDescent="0.2">
      <c r="I65" s="18" t="str">
        <f t="shared" si="2"/>
        <v/>
      </c>
      <c r="J65" s="431"/>
      <c r="K65" s="57"/>
      <c r="L65" s="28"/>
      <c r="M65" s="264"/>
      <c r="N65" s="399"/>
      <c r="O65" s="395"/>
      <c r="P65" s="396"/>
      <c r="Q65" s="395"/>
      <c r="R65" s="397"/>
      <c r="S65" s="395"/>
      <c r="T65" s="397"/>
      <c r="U65" s="397"/>
      <c r="V65" s="427" t="str">
        <f>IFERROR(VLOOKUP($O65, dropdown!$S$4:$T$15, 2, FALSE),
 IFERROR(VLOOKUP($Q65, dropdown!$S$4:$T$15, 2, FALSE),
 IFERROR(VLOOKUP($S65, dropdown!$S$4:$T$15, 2, FALSE),
 "")))</f>
        <v/>
      </c>
      <c r="W65" s="28"/>
      <c r="X65" s="56"/>
      <c r="AB65" s="11"/>
      <c r="AE65" s="11"/>
    </row>
    <row r="66" spans="9:31" ht="14" x14ac:dyDescent="0.2">
      <c r="I66" s="18" t="str">
        <f t="shared" si="2"/>
        <v/>
      </c>
      <c r="J66" s="431"/>
      <c r="K66" s="57"/>
      <c r="L66" s="28"/>
      <c r="M66" s="264"/>
      <c r="N66" s="399"/>
      <c r="O66" s="395"/>
      <c r="P66" s="396"/>
      <c r="Q66" s="395"/>
      <c r="R66" s="397"/>
      <c r="S66" s="395"/>
      <c r="T66" s="397"/>
      <c r="U66" s="397"/>
      <c r="V66" s="427" t="str">
        <f>IFERROR(VLOOKUP($O66, dropdown!$S$4:$T$15, 2, FALSE),
 IFERROR(VLOOKUP($Q66, dropdown!$S$4:$T$15, 2, FALSE),
 IFERROR(VLOOKUP($S66, dropdown!$S$4:$T$15, 2, FALSE),
 "")))</f>
        <v/>
      </c>
      <c r="W66" s="28"/>
      <c r="X66" s="56"/>
      <c r="AB66" s="11"/>
      <c r="AE66" s="11"/>
    </row>
    <row r="67" spans="9:31" ht="14" x14ac:dyDescent="0.2">
      <c r="I67" s="18" t="str">
        <f t="shared" si="2"/>
        <v/>
      </c>
      <c r="J67" s="431"/>
      <c r="K67" s="57"/>
      <c r="L67" s="28"/>
      <c r="M67" s="264"/>
      <c r="N67" s="399"/>
      <c r="O67" s="395"/>
      <c r="P67" s="396"/>
      <c r="Q67" s="395"/>
      <c r="R67" s="397"/>
      <c r="S67" s="395"/>
      <c r="T67" s="397"/>
      <c r="U67" s="397"/>
      <c r="V67" s="427" t="str">
        <f>IFERROR(VLOOKUP($O67, dropdown!$S$4:$T$15, 2, FALSE),
 IFERROR(VLOOKUP($Q67, dropdown!$S$4:$T$15, 2, FALSE),
 IFERROR(VLOOKUP($S67, dropdown!$S$4:$T$15, 2, FALSE),
 "")))</f>
        <v/>
      </c>
      <c r="W67" s="28"/>
      <c r="X67" s="56"/>
      <c r="AB67" s="11"/>
      <c r="AE67" s="11"/>
    </row>
    <row r="68" spans="9:31" ht="14" x14ac:dyDescent="0.2">
      <c r="I68" s="18" t="str">
        <f t="shared" si="2"/>
        <v/>
      </c>
      <c r="J68" s="431"/>
      <c r="K68" s="57"/>
      <c r="L68" s="28"/>
      <c r="M68" s="264"/>
      <c r="N68" s="399"/>
      <c r="O68" s="395"/>
      <c r="P68" s="396"/>
      <c r="Q68" s="395"/>
      <c r="R68" s="397"/>
      <c r="S68" s="395"/>
      <c r="T68" s="397"/>
      <c r="U68" s="397"/>
      <c r="V68" s="427" t="str">
        <f>IFERROR(VLOOKUP($O68, dropdown!$S$4:$T$15, 2, FALSE),
 IFERROR(VLOOKUP($Q68, dropdown!$S$4:$T$15, 2, FALSE),
 IFERROR(VLOOKUP($S68, dropdown!$S$4:$T$15, 2, FALSE),
 "")))</f>
        <v/>
      </c>
      <c r="W68" s="28"/>
      <c r="X68" s="56"/>
      <c r="AB68" s="11"/>
      <c r="AE68" s="11"/>
    </row>
    <row r="69" spans="9:31" ht="14" x14ac:dyDescent="0.2">
      <c r="I69" s="18" t="str">
        <f t="shared" si="2"/>
        <v/>
      </c>
      <c r="J69" s="431"/>
      <c r="K69" s="57"/>
      <c r="L69" s="28"/>
      <c r="M69" s="264"/>
      <c r="N69" s="399"/>
      <c r="O69" s="395"/>
      <c r="P69" s="396"/>
      <c r="Q69" s="395"/>
      <c r="R69" s="397"/>
      <c r="S69" s="395"/>
      <c r="T69" s="397"/>
      <c r="U69" s="397"/>
      <c r="V69" s="427" t="str">
        <f>IFERROR(VLOOKUP($O69, dropdown!$S$4:$T$15, 2, FALSE),
 IFERROR(VLOOKUP($Q69, dropdown!$S$4:$T$15, 2, FALSE),
 IFERROR(VLOOKUP($S69, dropdown!$S$4:$T$15, 2, FALSE),
 "")))</f>
        <v/>
      </c>
      <c r="W69" s="28"/>
      <c r="X69" s="56"/>
      <c r="AB69" s="11"/>
      <c r="AE69" s="11"/>
    </row>
    <row r="70" spans="9:31" ht="14" x14ac:dyDescent="0.2">
      <c r="I70" s="18" t="str">
        <f t="shared" si="2"/>
        <v/>
      </c>
      <c r="J70" s="431"/>
      <c r="K70" s="57"/>
      <c r="L70" s="28"/>
      <c r="M70" s="264"/>
      <c r="N70" s="399"/>
      <c r="O70" s="395"/>
      <c r="P70" s="396"/>
      <c r="Q70" s="395"/>
      <c r="R70" s="397"/>
      <c r="S70" s="395"/>
      <c r="T70" s="397"/>
      <c r="U70" s="397"/>
      <c r="V70" s="427" t="str">
        <f>IFERROR(VLOOKUP($O70, dropdown!$S$4:$T$15, 2, FALSE),
 IFERROR(VLOOKUP($Q70, dropdown!$S$4:$T$15, 2, FALSE),
 IFERROR(VLOOKUP($S70, dropdown!$S$4:$T$15, 2, FALSE),
 "")))</f>
        <v/>
      </c>
      <c r="W70" s="28"/>
      <c r="X70" s="56"/>
      <c r="AB70" s="11"/>
      <c r="AE70" s="11"/>
    </row>
    <row r="71" spans="9:31" ht="14" x14ac:dyDescent="0.2">
      <c r="I71" s="18" t="str">
        <f t="shared" si="2"/>
        <v/>
      </c>
      <c r="J71" s="431"/>
      <c r="K71" s="57"/>
      <c r="L71" s="28"/>
      <c r="M71" s="264"/>
      <c r="N71" s="399"/>
      <c r="O71" s="395"/>
      <c r="P71" s="396"/>
      <c r="Q71" s="395"/>
      <c r="R71" s="397"/>
      <c r="S71" s="395"/>
      <c r="T71" s="397"/>
      <c r="U71" s="397"/>
      <c r="V71" s="427" t="str">
        <f>IFERROR(VLOOKUP($O71, dropdown!$S$4:$T$15, 2, FALSE),
 IFERROR(VLOOKUP($Q71, dropdown!$S$4:$T$15, 2, FALSE),
 IFERROR(VLOOKUP($S71, dropdown!$S$4:$T$15, 2, FALSE),
 "")))</f>
        <v/>
      </c>
      <c r="W71" s="28"/>
      <c r="X71" s="56"/>
      <c r="AB71" s="11"/>
      <c r="AE71" s="11"/>
    </row>
    <row r="72" spans="9:31" ht="14" x14ac:dyDescent="0.2">
      <c r="I72" s="18" t="str">
        <f t="shared" si="2"/>
        <v/>
      </c>
      <c r="J72" s="431"/>
      <c r="K72" s="57"/>
      <c r="L72" s="28"/>
      <c r="M72" s="264"/>
      <c r="N72" s="399"/>
      <c r="O72" s="395"/>
      <c r="P72" s="396"/>
      <c r="Q72" s="395"/>
      <c r="R72" s="397"/>
      <c r="S72" s="395"/>
      <c r="T72" s="397"/>
      <c r="U72" s="397"/>
      <c r="V72" s="427" t="str">
        <f>IFERROR(VLOOKUP($O72, dropdown!$S$4:$T$15, 2, FALSE),
 IFERROR(VLOOKUP($Q72, dropdown!$S$4:$T$15, 2, FALSE),
 IFERROR(VLOOKUP($S72, dropdown!$S$4:$T$15, 2, FALSE),
 "")))</f>
        <v/>
      </c>
      <c r="W72" s="28"/>
      <c r="X72" s="56"/>
      <c r="AB72" s="11"/>
      <c r="AE72" s="11"/>
    </row>
    <row r="73" spans="9:31" ht="14" x14ac:dyDescent="0.2">
      <c r="I73" s="18" t="str">
        <f t="shared" si="2"/>
        <v/>
      </c>
      <c r="J73" s="431"/>
      <c r="K73" s="57"/>
      <c r="L73" s="28"/>
      <c r="M73" s="264"/>
      <c r="N73" s="399"/>
      <c r="O73" s="395"/>
      <c r="P73" s="396"/>
      <c r="Q73" s="395"/>
      <c r="R73" s="397"/>
      <c r="S73" s="395"/>
      <c r="T73" s="397"/>
      <c r="U73" s="397"/>
      <c r="V73" s="427"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1"/>
      <c r="K74" s="57"/>
      <c r="L74" s="28"/>
      <c r="M74" s="264"/>
      <c r="N74" s="399"/>
      <c r="O74" s="395"/>
      <c r="P74" s="396"/>
      <c r="Q74" s="395"/>
      <c r="R74" s="397"/>
      <c r="S74" s="395"/>
      <c r="T74" s="397"/>
      <c r="U74" s="397"/>
      <c r="V74" s="427" t="str">
        <f>IFERROR(VLOOKUP($O74, dropdown!$S$4:$T$15, 2, FALSE),
 IFERROR(VLOOKUP($Q74, dropdown!$S$4:$T$15, 2, FALSE),
 IFERROR(VLOOKUP($S74, dropdown!$S$4:$T$15, 2, FALSE),
 "")))</f>
        <v/>
      </c>
      <c r="W74" s="28"/>
      <c r="X74" s="56"/>
      <c r="AB74" s="11"/>
      <c r="AE74" s="11"/>
    </row>
    <row r="75" spans="9:31" ht="14" x14ac:dyDescent="0.2">
      <c r="I75" s="18" t="str">
        <f t="shared" si="3"/>
        <v/>
      </c>
      <c r="J75" s="431"/>
      <c r="K75" s="57"/>
      <c r="L75" s="28"/>
      <c r="M75" s="264"/>
      <c r="N75" s="399"/>
      <c r="O75" s="395"/>
      <c r="P75" s="396"/>
      <c r="Q75" s="395"/>
      <c r="R75" s="397"/>
      <c r="S75" s="395"/>
      <c r="T75" s="397"/>
      <c r="U75" s="397"/>
      <c r="V75" s="427" t="str">
        <f>IFERROR(VLOOKUP($O75, dropdown!$S$4:$T$15, 2, FALSE),
 IFERROR(VLOOKUP($Q75, dropdown!$S$4:$T$15, 2, FALSE),
 IFERROR(VLOOKUP($S75, dropdown!$S$4:$T$15, 2, FALSE),
 "")))</f>
        <v/>
      </c>
      <c r="W75" s="28"/>
      <c r="X75" s="56"/>
      <c r="AB75" s="11"/>
      <c r="AE75" s="11"/>
    </row>
    <row r="76" spans="9:31" ht="14" x14ac:dyDescent="0.2">
      <c r="I76" s="18" t="str">
        <f t="shared" si="3"/>
        <v/>
      </c>
      <c r="J76" s="431"/>
      <c r="K76" s="57"/>
      <c r="L76" s="28"/>
      <c r="M76" s="264"/>
      <c r="N76" s="399"/>
      <c r="O76" s="395"/>
      <c r="P76" s="396"/>
      <c r="Q76" s="395"/>
      <c r="R76" s="397"/>
      <c r="S76" s="395"/>
      <c r="T76" s="397"/>
      <c r="U76" s="397"/>
      <c r="V76" s="427" t="str">
        <f>IFERROR(VLOOKUP($O76, dropdown!$S$4:$T$15, 2, FALSE),
 IFERROR(VLOOKUP($Q76, dropdown!$S$4:$T$15, 2, FALSE),
 IFERROR(VLOOKUP($S76, dropdown!$S$4:$T$15, 2, FALSE),
 "")))</f>
        <v/>
      </c>
      <c r="W76" s="28"/>
      <c r="X76" s="56"/>
      <c r="AB76" s="11"/>
      <c r="AE76" s="11"/>
    </row>
    <row r="77" spans="9:31" ht="14" x14ac:dyDescent="0.2">
      <c r="I77" s="18" t="str">
        <f t="shared" si="3"/>
        <v/>
      </c>
      <c r="J77" s="431"/>
      <c r="K77" s="57"/>
      <c r="L77" s="28"/>
      <c r="M77" s="264"/>
      <c r="N77" s="399"/>
      <c r="O77" s="395"/>
      <c r="P77" s="396"/>
      <c r="Q77" s="395"/>
      <c r="R77" s="397"/>
      <c r="S77" s="395"/>
      <c r="T77" s="397"/>
      <c r="U77" s="397"/>
      <c r="V77" s="427" t="str">
        <f>IFERROR(VLOOKUP($O77, dropdown!$S$4:$T$15, 2, FALSE),
 IFERROR(VLOOKUP($Q77, dropdown!$S$4:$T$15, 2, FALSE),
 IFERROR(VLOOKUP($S77, dropdown!$S$4:$T$15, 2, FALSE),
 "")))</f>
        <v/>
      </c>
      <c r="W77" s="28"/>
      <c r="X77" s="56"/>
      <c r="AB77" s="11"/>
      <c r="AE77" s="11"/>
    </row>
    <row r="78" spans="9:31" ht="14" x14ac:dyDescent="0.2">
      <c r="I78" s="18" t="str">
        <f t="shared" si="3"/>
        <v/>
      </c>
      <c r="J78" s="431"/>
      <c r="K78" s="57"/>
      <c r="L78" s="28"/>
      <c r="M78" s="264"/>
      <c r="N78" s="399"/>
      <c r="O78" s="395"/>
      <c r="P78" s="396"/>
      <c r="Q78" s="395"/>
      <c r="R78" s="397"/>
      <c r="S78" s="395"/>
      <c r="T78" s="397"/>
      <c r="U78" s="397"/>
      <c r="V78" s="427" t="str">
        <f>IFERROR(VLOOKUP($O78, dropdown!$S$4:$T$15, 2, FALSE),
 IFERROR(VLOOKUP($Q78, dropdown!$S$4:$T$15, 2, FALSE),
 IFERROR(VLOOKUP($S78, dropdown!$S$4:$T$15, 2, FALSE),
 "")))</f>
        <v/>
      </c>
      <c r="W78" s="28"/>
      <c r="X78" s="56"/>
      <c r="AB78" s="11"/>
      <c r="AE78" s="11"/>
    </row>
    <row r="79" spans="9:31" ht="14" x14ac:dyDescent="0.2">
      <c r="I79" s="18" t="str">
        <f t="shared" si="3"/>
        <v/>
      </c>
      <c r="J79" s="431"/>
      <c r="K79" s="57"/>
      <c r="L79" s="28"/>
      <c r="M79" s="264"/>
      <c r="N79" s="399"/>
      <c r="O79" s="395"/>
      <c r="P79" s="396"/>
      <c r="Q79" s="395"/>
      <c r="R79" s="397"/>
      <c r="S79" s="395"/>
      <c r="T79" s="397"/>
      <c r="U79" s="397"/>
      <c r="V79" s="427" t="str">
        <f>IFERROR(VLOOKUP($O79, dropdown!$S$4:$T$15, 2, FALSE),
 IFERROR(VLOOKUP($Q79, dropdown!$S$4:$T$15, 2, FALSE),
 IFERROR(VLOOKUP($S79, dropdown!$S$4:$T$15, 2, FALSE),
 "")))</f>
        <v/>
      </c>
      <c r="W79" s="28"/>
      <c r="X79" s="56"/>
      <c r="AB79" s="11"/>
      <c r="AE79" s="11"/>
    </row>
    <row r="80" spans="9:31" ht="14" x14ac:dyDescent="0.2">
      <c r="I80" s="18" t="str">
        <f t="shared" si="3"/>
        <v/>
      </c>
      <c r="J80" s="431"/>
      <c r="K80" s="57"/>
      <c r="L80" s="28"/>
      <c r="M80" s="264"/>
      <c r="N80" s="399"/>
      <c r="O80" s="395"/>
      <c r="P80" s="396"/>
      <c r="Q80" s="395"/>
      <c r="R80" s="397"/>
      <c r="S80" s="395"/>
      <c r="T80" s="397"/>
      <c r="U80" s="397"/>
      <c r="V80" s="427" t="str">
        <f>IFERROR(VLOOKUP($O80, dropdown!$S$4:$T$15, 2, FALSE),
 IFERROR(VLOOKUP($Q80, dropdown!$S$4:$T$15, 2, FALSE),
 IFERROR(VLOOKUP($S80, dropdown!$S$4:$T$15, 2, FALSE),
 "")))</f>
        <v/>
      </c>
      <c r="W80" s="28"/>
      <c r="X80" s="56"/>
      <c r="AB80" s="11"/>
      <c r="AE80" s="11"/>
    </row>
    <row r="81" spans="9:31" ht="14" x14ac:dyDescent="0.2">
      <c r="I81" s="18" t="str">
        <f t="shared" si="3"/>
        <v/>
      </c>
      <c r="J81" s="431"/>
      <c r="K81" s="57"/>
      <c r="L81" s="28"/>
      <c r="M81" s="264"/>
      <c r="N81" s="399"/>
      <c r="O81" s="395"/>
      <c r="P81" s="396"/>
      <c r="Q81" s="395"/>
      <c r="R81" s="397"/>
      <c r="S81" s="395"/>
      <c r="T81" s="397"/>
      <c r="U81" s="397"/>
      <c r="V81" s="427" t="str">
        <f>IFERROR(VLOOKUP($O81, dropdown!$S$4:$T$15, 2, FALSE),
 IFERROR(VLOOKUP($Q81, dropdown!$S$4:$T$15, 2, FALSE),
 IFERROR(VLOOKUP($S81, dropdown!$S$4:$T$15, 2, FALSE),
 "")))</f>
        <v/>
      </c>
      <c r="W81" s="28"/>
      <c r="X81" s="56"/>
      <c r="AB81" s="11"/>
      <c r="AE81" s="11"/>
    </row>
    <row r="82" spans="9:31" ht="14" x14ac:dyDescent="0.2">
      <c r="I82" s="18" t="str">
        <f t="shared" si="3"/>
        <v/>
      </c>
      <c r="J82" s="431"/>
      <c r="K82" s="57"/>
      <c r="L82" s="28"/>
      <c r="M82" s="264"/>
      <c r="N82" s="399"/>
      <c r="O82" s="395"/>
      <c r="P82" s="396"/>
      <c r="Q82" s="395"/>
      <c r="R82" s="397"/>
      <c r="S82" s="395"/>
      <c r="T82" s="397"/>
      <c r="U82" s="397"/>
      <c r="V82" s="427" t="str">
        <f>IFERROR(VLOOKUP($O82, dropdown!$S$4:$T$15, 2, FALSE),
 IFERROR(VLOOKUP($Q82, dropdown!$S$4:$T$15, 2, FALSE),
 IFERROR(VLOOKUP($S82, dropdown!$S$4:$T$15, 2, FALSE),
 "")))</f>
        <v/>
      </c>
      <c r="W82" s="28"/>
      <c r="X82" s="56"/>
      <c r="AB82" s="11"/>
      <c r="AE82" s="11"/>
    </row>
    <row r="83" spans="9:31" ht="14" x14ac:dyDescent="0.2">
      <c r="I83" s="18" t="str">
        <f t="shared" si="3"/>
        <v/>
      </c>
      <c r="J83" s="431"/>
      <c r="K83" s="57"/>
      <c r="L83" s="28"/>
      <c r="M83" s="264"/>
      <c r="N83" s="399"/>
      <c r="O83" s="395"/>
      <c r="P83" s="396"/>
      <c r="Q83" s="395"/>
      <c r="R83" s="397"/>
      <c r="S83" s="395"/>
      <c r="T83" s="397"/>
      <c r="U83" s="397"/>
      <c r="V83" s="427" t="str">
        <f>IFERROR(VLOOKUP($O83, dropdown!$S$4:$T$15, 2, FALSE),
 IFERROR(VLOOKUP($Q83, dropdown!$S$4:$T$15, 2, FALSE),
 IFERROR(VLOOKUP($S83, dropdown!$S$4:$T$15, 2, FALSE),
 "")))</f>
        <v/>
      </c>
      <c r="W83" s="28"/>
      <c r="X83" s="56"/>
      <c r="AB83" s="11"/>
      <c r="AE83" s="11"/>
    </row>
    <row r="84" spans="9:31" ht="14" x14ac:dyDescent="0.2">
      <c r="I84" s="18" t="str">
        <f t="shared" si="3"/>
        <v/>
      </c>
      <c r="J84" s="431"/>
      <c r="K84" s="57"/>
      <c r="L84" s="28"/>
      <c r="M84" s="264"/>
      <c r="N84" s="399"/>
      <c r="O84" s="395"/>
      <c r="P84" s="396"/>
      <c r="Q84" s="395"/>
      <c r="R84" s="397"/>
      <c r="S84" s="395"/>
      <c r="T84" s="397"/>
      <c r="U84" s="397"/>
      <c r="V84" s="427" t="str">
        <f>IFERROR(VLOOKUP($O84, dropdown!$S$4:$T$15, 2, FALSE),
 IFERROR(VLOOKUP($Q84, dropdown!$S$4:$T$15, 2, FALSE),
 IFERROR(VLOOKUP($S84, dropdown!$S$4:$T$15, 2, FALSE),
 "")))</f>
        <v/>
      </c>
      <c r="W84" s="28"/>
      <c r="X84" s="56"/>
      <c r="AB84" s="11"/>
      <c r="AE84" s="11"/>
    </row>
    <row r="85" spans="9:31" ht="14" x14ac:dyDescent="0.2">
      <c r="I85" s="18" t="str">
        <f t="shared" si="3"/>
        <v/>
      </c>
      <c r="J85" s="431"/>
      <c r="K85" s="57"/>
      <c r="L85" s="28"/>
      <c r="M85" s="264"/>
      <c r="N85" s="399"/>
      <c r="O85" s="395"/>
      <c r="P85" s="396"/>
      <c r="Q85" s="395"/>
      <c r="R85" s="397"/>
      <c r="S85" s="395"/>
      <c r="T85" s="397"/>
      <c r="U85" s="397"/>
      <c r="V85" s="427" t="str">
        <f>IFERROR(VLOOKUP($O85, dropdown!$S$4:$T$15, 2, FALSE),
 IFERROR(VLOOKUP($Q85, dropdown!$S$4:$T$15, 2, FALSE),
 IFERROR(VLOOKUP($S85, dropdown!$S$4:$T$15, 2, FALSE),
 "")))</f>
        <v/>
      </c>
      <c r="W85" s="28"/>
      <c r="X85" s="56"/>
      <c r="AB85" s="11"/>
      <c r="AE85" s="11"/>
    </row>
    <row r="86" spans="9:31" ht="14" x14ac:dyDescent="0.2">
      <c r="I86" s="18" t="str">
        <f t="shared" si="3"/>
        <v/>
      </c>
      <c r="J86" s="431"/>
      <c r="K86" s="57"/>
      <c r="L86" s="28"/>
      <c r="M86" s="264"/>
      <c r="N86" s="399"/>
      <c r="O86" s="395"/>
      <c r="P86" s="396"/>
      <c r="Q86" s="395"/>
      <c r="R86" s="397"/>
      <c r="S86" s="395"/>
      <c r="T86" s="397"/>
      <c r="U86" s="397"/>
      <c r="V86" s="427" t="str">
        <f>IFERROR(VLOOKUP($O86, dropdown!$S$4:$T$15, 2, FALSE),
 IFERROR(VLOOKUP($Q86, dropdown!$S$4:$T$15, 2, FALSE),
 IFERROR(VLOOKUP($S86, dropdown!$S$4:$T$15, 2, FALSE),
 "")))</f>
        <v/>
      </c>
      <c r="W86" s="28"/>
      <c r="X86" s="56"/>
      <c r="AB86" s="11"/>
      <c r="AE86" s="11"/>
    </row>
    <row r="87" spans="9:31" ht="14" x14ac:dyDescent="0.2">
      <c r="I87" s="18" t="str">
        <f t="shared" si="3"/>
        <v/>
      </c>
      <c r="J87" s="431"/>
      <c r="K87" s="57"/>
      <c r="L87" s="28"/>
      <c r="M87" s="264"/>
      <c r="N87" s="399"/>
      <c r="O87" s="395"/>
      <c r="P87" s="396"/>
      <c r="Q87" s="395"/>
      <c r="R87" s="397"/>
      <c r="S87" s="395"/>
      <c r="T87" s="397"/>
      <c r="U87" s="397"/>
      <c r="V87" s="427" t="str">
        <f>IFERROR(VLOOKUP($O87, dropdown!$S$4:$T$15, 2, FALSE),
 IFERROR(VLOOKUP($Q87, dropdown!$S$4:$T$15, 2, FALSE),
 IFERROR(VLOOKUP($S87, dropdown!$S$4:$T$15, 2, FALSE),
 "")))</f>
        <v/>
      </c>
      <c r="W87" s="28"/>
      <c r="X87" s="56"/>
      <c r="AB87" s="11"/>
      <c r="AE87" s="11"/>
    </row>
    <row r="88" spans="9:31" ht="14" x14ac:dyDescent="0.2">
      <c r="I88" s="18" t="str">
        <f t="shared" si="3"/>
        <v/>
      </c>
      <c r="J88" s="431"/>
      <c r="K88" s="57"/>
      <c r="L88" s="28"/>
      <c r="M88" s="264"/>
      <c r="N88" s="399"/>
      <c r="O88" s="395"/>
      <c r="P88" s="396"/>
      <c r="Q88" s="395"/>
      <c r="R88" s="397"/>
      <c r="S88" s="395"/>
      <c r="T88" s="397"/>
      <c r="U88" s="397"/>
      <c r="V88" s="427" t="str">
        <f>IFERROR(VLOOKUP($O88, dropdown!$S$4:$T$15, 2, FALSE),
 IFERROR(VLOOKUP($Q88, dropdown!$S$4:$T$15, 2, FALSE),
 IFERROR(VLOOKUP($S88, dropdown!$S$4:$T$15, 2, FALSE),
 "")))</f>
        <v/>
      </c>
      <c r="W88" s="28"/>
      <c r="X88" s="56"/>
      <c r="AB88" s="11"/>
      <c r="AE88" s="11"/>
    </row>
    <row r="89" spans="9:31" ht="14" x14ac:dyDescent="0.2">
      <c r="I89" s="18" t="str">
        <f t="shared" si="3"/>
        <v/>
      </c>
      <c r="J89" s="431"/>
      <c r="K89" s="57"/>
      <c r="L89" s="28"/>
      <c r="M89" s="264"/>
      <c r="N89" s="399"/>
      <c r="O89" s="395"/>
      <c r="P89" s="396"/>
      <c r="Q89" s="395"/>
      <c r="R89" s="397"/>
      <c r="S89" s="395"/>
      <c r="T89" s="397"/>
      <c r="U89" s="397"/>
      <c r="V89" s="427" t="str">
        <f>IFERROR(VLOOKUP($O89, dropdown!$S$4:$T$15, 2, FALSE),
 IFERROR(VLOOKUP($Q89, dropdown!$S$4:$T$15, 2, FALSE),
 IFERROR(VLOOKUP($S89, dropdown!$S$4:$T$15, 2, FALSE),
 "")))</f>
        <v/>
      </c>
      <c r="W89" s="28"/>
      <c r="X89" s="56"/>
      <c r="AB89" s="11"/>
      <c r="AE89" s="11"/>
    </row>
    <row r="90" spans="9:31" ht="14" x14ac:dyDescent="0.2">
      <c r="I90" s="18" t="str">
        <f t="shared" si="3"/>
        <v/>
      </c>
      <c r="J90" s="431"/>
      <c r="K90" s="57"/>
      <c r="L90" s="28"/>
      <c r="M90" s="264"/>
      <c r="N90" s="399"/>
      <c r="O90" s="395"/>
      <c r="P90" s="396"/>
      <c r="Q90" s="395"/>
      <c r="R90" s="397"/>
      <c r="S90" s="395"/>
      <c r="T90" s="397"/>
      <c r="U90" s="397"/>
      <c r="V90" s="427" t="str">
        <f>IFERROR(VLOOKUP($O90, dropdown!$S$4:$T$15, 2, FALSE),
 IFERROR(VLOOKUP($Q90, dropdown!$S$4:$T$15, 2, FALSE),
 IFERROR(VLOOKUP($S90, dropdown!$S$4:$T$15, 2, FALSE),
 "")))</f>
        <v/>
      </c>
      <c r="W90" s="28"/>
      <c r="X90" s="56"/>
      <c r="AB90" s="11"/>
      <c r="AE90" s="11"/>
    </row>
    <row r="91" spans="9:31" ht="14" x14ac:dyDescent="0.2">
      <c r="I91" s="18" t="str">
        <f t="shared" si="3"/>
        <v/>
      </c>
      <c r="J91" s="431"/>
      <c r="K91" s="57"/>
      <c r="L91" s="28"/>
      <c r="M91" s="264"/>
      <c r="N91" s="399"/>
      <c r="O91" s="395"/>
      <c r="P91" s="396"/>
      <c r="Q91" s="395"/>
      <c r="R91" s="397"/>
      <c r="S91" s="395"/>
      <c r="T91" s="397"/>
      <c r="U91" s="397"/>
      <c r="V91" s="427" t="str">
        <f>IFERROR(VLOOKUP($O91, dropdown!$S$4:$T$15, 2, FALSE),
 IFERROR(VLOOKUP($Q91, dropdown!$S$4:$T$15, 2, FALSE),
 IFERROR(VLOOKUP($S91, dropdown!$S$4:$T$15, 2, FALSE),
 "")))</f>
        <v/>
      </c>
      <c r="W91" s="28"/>
      <c r="X91" s="56"/>
      <c r="AB91" s="11"/>
      <c r="AE91" s="11"/>
    </row>
    <row r="92" spans="9:31" ht="14" x14ac:dyDescent="0.2">
      <c r="I92" s="18" t="str">
        <f t="shared" si="3"/>
        <v/>
      </c>
      <c r="J92" s="431"/>
      <c r="K92" s="57"/>
      <c r="L92" s="28"/>
      <c r="M92" s="264"/>
      <c r="N92" s="399"/>
      <c r="O92" s="395"/>
      <c r="P92" s="396"/>
      <c r="Q92" s="395"/>
      <c r="R92" s="397"/>
      <c r="S92" s="395"/>
      <c r="T92" s="397"/>
      <c r="U92" s="397"/>
      <c r="V92" s="427" t="str">
        <f>IFERROR(VLOOKUP($O92, dropdown!$S$4:$T$15, 2, FALSE),
 IFERROR(VLOOKUP($Q92, dropdown!$S$4:$T$15, 2, FALSE),
 IFERROR(VLOOKUP($S92, dropdown!$S$4:$T$15, 2, FALSE),
 "")))</f>
        <v/>
      </c>
      <c r="W92" s="28"/>
      <c r="X92" s="56"/>
      <c r="AB92" s="11"/>
      <c r="AE92" s="11"/>
    </row>
    <row r="93" spans="9:31" ht="14" x14ac:dyDescent="0.2">
      <c r="I93" s="18" t="str">
        <f t="shared" si="3"/>
        <v/>
      </c>
      <c r="J93" s="431"/>
      <c r="K93" s="57"/>
      <c r="L93" s="28"/>
      <c r="M93" s="264"/>
      <c r="N93" s="399"/>
      <c r="O93" s="395"/>
      <c r="P93" s="396"/>
      <c r="Q93" s="395"/>
      <c r="R93" s="397"/>
      <c r="S93" s="395"/>
      <c r="T93" s="397"/>
      <c r="U93" s="397"/>
      <c r="V93" s="427" t="str">
        <f>IFERROR(VLOOKUP($O93, dropdown!$S$4:$T$15, 2, FALSE),
 IFERROR(VLOOKUP($Q93, dropdown!$S$4:$T$15, 2, FALSE),
 IFERROR(VLOOKUP($S93, dropdown!$S$4:$T$15, 2, FALSE),
 "")))</f>
        <v/>
      </c>
      <c r="W93" s="28"/>
      <c r="X93" s="56"/>
      <c r="AB93" s="11"/>
      <c r="AE93" s="11"/>
    </row>
    <row r="94" spans="9:31" ht="14" x14ac:dyDescent="0.2">
      <c r="I94" s="18" t="str">
        <f t="shared" si="3"/>
        <v/>
      </c>
      <c r="J94" s="431"/>
      <c r="K94" s="57"/>
      <c r="L94" s="28"/>
      <c r="M94" s="264"/>
      <c r="N94" s="399"/>
      <c r="O94" s="395"/>
      <c r="P94" s="396"/>
      <c r="Q94" s="395"/>
      <c r="R94" s="397"/>
      <c r="S94" s="395"/>
      <c r="T94" s="397"/>
      <c r="U94" s="397"/>
      <c r="V94" s="427" t="str">
        <f>IFERROR(VLOOKUP($O94, dropdown!$S$4:$T$15, 2, FALSE),
 IFERROR(VLOOKUP($Q94, dropdown!$S$4:$T$15, 2, FALSE),
 IFERROR(VLOOKUP($S94, dropdown!$S$4:$T$15, 2, FALSE),
 "")))</f>
        <v/>
      </c>
      <c r="W94" s="28"/>
      <c r="X94" s="56"/>
      <c r="AB94" s="11"/>
      <c r="AE94" s="11"/>
    </row>
    <row r="95" spans="9:31" ht="14" x14ac:dyDescent="0.2">
      <c r="I95" s="18" t="str">
        <f t="shared" si="3"/>
        <v/>
      </c>
      <c r="J95" s="431"/>
      <c r="K95" s="57"/>
      <c r="L95" s="28"/>
      <c r="M95" s="264"/>
      <c r="N95" s="399"/>
      <c r="O95" s="395"/>
      <c r="P95" s="396"/>
      <c r="Q95" s="395"/>
      <c r="R95" s="397"/>
      <c r="S95" s="395"/>
      <c r="T95" s="397"/>
      <c r="U95" s="397"/>
      <c r="V95" s="427" t="str">
        <f>IFERROR(VLOOKUP($O95, dropdown!$S$4:$T$15, 2, FALSE),
 IFERROR(VLOOKUP($Q95, dropdown!$S$4:$T$15, 2, FALSE),
 IFERROR(VLOOKUP($S95, dropdown!$S$4:$T$15, 2, FALSE),
 "")))</f>
        <v/>
      </c>
      <c r="W95" s="28"/>
      <c r="X95" s="56"/>
      <c r="AB95" s="11"/>
      <c r="AE95" s="11"/>
    </row>
    <row r="96" spans="9:31" ht="14" x14ac:dyDescent="0.2">
      <c r="I96" s="18" t="str">
        <f t="shared" si="3"/>
        <v/>
      </c>
      <c r="J96" s="431"/>
      <c r="K96" s="57"/>
      <c r="L96" s="28"/>
      <c r="M96" s="264"/>
      <c r="N96" s="399"/>
      <c r="O96" s="395"/>
      <c r="P96" s="396"/>
      <c r="Q96" s="395"/>
      <c r="R96" s="397"/>
      <c r="S96" s="395"/>
      <c r="T96" s="397"/>
      <c r="U96" s="397"/>
      <c r="V96" s="427" t="str">
        <f>IFERROR(VLOOKUP($O96, dropdown!$S$4:$T$15, 2, FALSE),
 IFERROR(VLOOKUP($Q96, dropdown!$S$4:$T$15, 2, FALSE),
 IFERROR(VLOOKUP($S96, dropdown!$S$4:$T$15, 2, FALSE),
 "")))</f>
        <v/>
      </c>
      <c r="W96" s="28"/>
      <c r="X96" s="56"/>
      <c r="AB96" s="11"/>
      <c r="AE96" s="11"/>
    </row>
    <row r="97" spans="9:31" ht="14" x14ac:dyDescent="0.2">
      <c r="I97" s="18" t="str">
        <f t="shared" si="3"/>
        <v/>
      </c>
      <c r="J97" s="431"/>
      <c r="K97" s="57"/>
      <c r="L97" s="28"/>
      <c r="M97" s="264"/>
      <c r="N97" s="399"/>
      <c r="O97" s="395"/>
      <c r="P97" s="396"/>
      <c r="Q97" s="395"/>
      <c r="R97" s="397"/>
      <c r="S97" s="395"/>
      <c r="T97" s="397"/>
      <c r="U97" s="397"/>
      <c r="V97" s="427" t="str">
        <f>IFERROR(VLOOKUP($O97, dropdown!$S$4:$T$15, 2, FALSE),
 IFERROR(VLOOKUP($Q97, dropdown!$S$4:$T$15, 2, FALSE),
 IFERROR(VLOOKUP($S97, dropdown!$S$4:$T$15, 2, FALSE),
 "")))</f>
        <v/>
      </c>
      <c r="W97" s="28"/>
      <c r="X97" s="56"/>
      <c r="AB97" s="11"/>
      <c r="AE97" s="11"/>
    </row>
    <row r="98" spans="9:31" ht="14" x14ac:dyDescent="0.2">
      <c r="I98" s="18" t="str">
        <f t="shared" si="3"/>
        <v/>
      </c>
      <c r="J98" s="431"/>
      <c r="K98" s="57"/>
      <c r="L98" s="28"/>
      <c r="M98" s="264"/>
      <c r="N98" s="399"/>
      <c r="O98" s="395"/>
      <c r="P98" s="396"/>
      <c r="Q98" s="395"/>
      <c r="R98" s="397"/>
      <c r="S98" s="395"/>
      <c r="T98" s="397"/>
      <c r="U98" s="397"/>
      <c r="V98" s="427" t="str">
        <f>IFERROR(VLOOKUP($O98, dropdown!$S$4:$T$15, 2, FALSE),
 IFERROR(VLOOKUP($Q98, dropdown!$S$4:$T$15, 2, FALSE),
 IFERROR(VLOOKUP($S98, dropdown!$S$4:$T$15, 2, FALSE),
 "")))</f>
        <v/>
      </c>
      <c r="W98" s="28"/>
      <c r="X98" s="56"/>
      <c r="AB98" s="11"/>
      <c r="AE98" s="11"/>
    </row>
    <row r="99" spans="9:31" ht="14" x14ac:dyDescent="0.2">
      <c r="I99" s="18" t="str">
        <f t="shared" si="3"/>
        <v/>
      </c>
      <c r="J99" s="431"/>
      <c r="K99" s="57"/>
      <c r="L99" s="28"/>
      <c r="M99" s="264"/>
      <c r="N99" s="399"/>
      <c r="O99" s="395"/>
      <c r="P99" s="396"/>
      <c r="Q99" s="395"/>
      <c r="R99" s="397"/>
      <c r="S99" s="395"/>
      <c r="T99" s="397"/>
      <c r="U99" s="397"/>
      <c r="V99" s="427" t="str">
        <f>IFERROR(VLOOKUP($O99, dropdown!$S$4:$T$15, 2, FALSE),
 IFERROR(VLOOKUP($Q99, dropdown!$S$4:$T$15, 2, FALSE),
 IFERROR(VLOOKUP($S99, dropdown!$S$4:$T$15, 2, FALSE),
 "")))</f>
        <v/>
      </c>
      <c r="W99" s="28"/>
      <c r="X99" s="56"/>
      <c r="AB99" s="11"/>
      <c r="AE99" s="11"/>
    </row>
    <row r="100" spans="9:31" ht="14" x14ac:dyDescent="0.2">
      <c r="I100" s="18" t="str">
        <f t="shared" si="3"/>
        <v/>
      </c>
      <c r="J100" s="431"/>
      <c r="K100" s="57"/>
      <c r="L100" s="28"/>
      <c r="M100" s="264"/>
      <c r="N100" s="399"/>
      <c r="O100" s="395"/>
      <c r="P100" s="396"/>
      <c r="Q100" s="395"/>
      <c r="R100" s="397"/>
      <c r="S100" s="395"/>
      <c r="T100" s="397"/>
      <c r="U100" s="397"/>
      <c r="V100" s="427" t="str">
        <f>IFERROR(VLOOKUP($O100, dropdown!$S$4:$T$15, 2, FALSE),
 IFERROR(VLOOKUP($Q100, dropdown!$S$4:$T$15, 2, FALSE),
 IFERROR(VLOOKUP($S100, dropdown!$S$4:$T$15, 2, FALSE),
 "")))</f>
        <v/>
      </c>
      <c r="W100" s="28"/>
      <c r="X100" s="56"/>
      <c r="AB100" s="11"/>
      <c r="AE100" s="11"/>
    </row>
    <row r="101" spans="9:31" ht="14" x14ac:dyDescent="0.2">
      <c r="I101" s="18" t="str">
        <f t="shared" si="3"/>
        <v/>
      </c>
      <c r="J101" s="431"/>
      <c r="K101" s="57"/>
      <c r="L101" s="28"/>
      <c r="M101" s="264"/>
      <c r="N101" s="399"/>
      <c r="O101" s="395"/>
      <c r="P101" s="396"/>
      <c r="Q101" s="395"/>
      <c r="R101" s="397"/>
      <c r="S101" s="395"/>
      <c r="T101" s="397"/>
      <c r="U101" s="397"/>
      <c r="V101" s="427" t="str">
        <f>IFERROR(VLOOKUP($O101, dropdown!$S$4:$T$15, 2, FALSE),
 IFERROR(VLOOKUP($Q101, dropdown!$S$4:$T$15, 2, FALSE),
 IFERROR(VLOOKUP($S101, dropdown!$S$4:$T$15, 2, FALSE),
 "")))</f>
        <v/>
      </c>
      <c r="W101" s="28"/>
      <c r="X101" s="56"/>
      <c r="AB101" s="11"/>
      <c r="AE101" s="11"/>
    </row>
    <row r="102" spans="9:31" ht="14" x14ac:dyDescent="0.2">
      <c r="I102" s="18" t="str">
        <f t="shared" si="3"/>
        <v/>
      </c>
      <c r="J102" s="431"/>
      <c r="K102" s="57"/>
      <c r="L102" s="28"/>
      <c r="M102" s="264"/>
      <c r="N102" s="399"/>
      <c r="O102" s="395"/>
      <c r="P102" s="396"/>
      <c r="Q102" s="395"/>
      <c r="R102" s="397"/>
      <c r="S102" s="395"/>
      <c r="T102" s="397"/>
      <c r="U102" s="397"/>
      <c r="V102" s="427" t="str">
        <f>IFERROR(VLOOKUP($O102, dropdown!$S$4:$T$15, 2, FALSE),
 IFERROR(VLOOKUP($Q102, dropdown!$S$4:$T$15, 2, FALSE),
 IFERROR(VLOOKUP($S102, dropdown!$S$4:$T$15, 2, FALSE),
 "")))</f>
        <v/>
      </c>
      <c r="W102" s="28"/>
      <c r="X102" s="56"/>
      <c r="AB102" s="11"/>
      <c r="AE102" s="11"/>
    </row>
    <row r="103" spans="9:31" ht="14" x14ac:dyDescent="0.2">
      <c r="I103" s="18" t="str">
        <f t="shared" si="3"/>
        <v/>
      </c>
      <c r="J103" s="431"/>
      <c r="K103" s="57"/>
      <c r="L103" s="28"/>
      <c r="M103" s="264"/>
      <c r="N103" s="399"/>
      <c r="O103" s="395"/>
      <c r="P103" s="396"/>
      <c r="Q103" s="395"/>
      <c r="R103" s="397"/>
      <c r="S103" s="395"/>
      <c r="T103" s="397"/>
      <c r="U103" s="397"/>
      <c r="V103" s="427" t="str">
        <f>IFERROR(VLOOKUP($O103, dropdown!$S$4:$T$15, 2, FALSE),
 IFERROR(VLOOKUP($Q103, dropdown!$S$4:$T$15, 2, FALSE),
 IFERROR(VLOOKUP($S103, dropdown!$S$4:$T$15, 2, FALSE),
 "")))</f>
        <v/>
      </c>
      <c r="W103" s="28"/>
      <c r="X103" s="56"/>
      <c r="AB103" s="11"/>
      <c r="AE103" s="11"/>
    </row>
    <row r="104" spans="9:31" ht="14" x14ac:dyDescent="0.2">
      <c r="I104" s="18" t="str">
        <f t="shared" si="3"/>
        <v/>
      </c>
      <c r="J104" s="431"/>
      <c r="K104" s="57"/>
      <c r="L104" s="28"/>
      <c r="M104" s="264"/>
      <c r="N104" s="399"/>
      <c r="O104" s="395"/>
      <c r="P104" s="396"/>
      <c r="Q104" s="395"/>
      <c r="R104" s="397"/>
      <c r="S104" s="395"/>
      <c r="T104" s="397"/>
      <c r="U104" s="397"/>
      <c r="V104" s="427" t="str">
        <f>IFERROR(VLOOKUP($O104, dropdown!$S$4:$T$15, 2, FALSE),
 IFERROR(VLOOKUP($Q104, dropdown!$S$4:$T$15, 2, FALSE),
 IFERROR(VLOOKUP($S104, dropdown!$S$4:$T$15, 2, FALSE),
 "")))</f>
        <v/>
      </c>
      <c r="W104" s="28"/>
      <c r="X104" s="56"/>
      <c r="AB104" s="11"/>
      <c r="AE104" s="11"/>
    </row>
    <row r="105" spans="9:31" ht="14" x14ac:dyDescent="0.2">
      <c r="I105" s="18" t="str">
        <f t="shared" si="3"/>
        <v/>
      </c>
      <c r="J105" s="431"/>
      <c r="K105" s="57"/>
      <c r="L105" s="28"/>
      <c r="M105" s="264"/>
      <c r="N105" s="399"/>
      <c r="O105" s="395"/>
      <c r="P105" s="396"/>
      <c r="Q105" s="395"/>
      <c r="R105" s="397"/>
      <c r="S105" s="395"/>
      <c r="T105" s="397"/>
      <c r="U105" s="397"/>
      <c r="V105" s="427" t="str">
        <f>IFERROR(VLOOKUP($O105, dropdown!$S$4:$T$15, 2, FALSE),
 IFERROR(VLOOKUP($Q105, dropdown!$S$4:$T$15, 2, FALSE),
 IFERROR(VLOOKUP($S105, dropdown!$S$4:$T$15, 2, FALSE),
 "")))</f>
        <v/>
      </c>
      <c r="W105" s="28"/>
      <c r="X105" s="56"/>
      <c r="AB105" s="11"/>
      <c r="AE105" s="11"/>
    </row>
    <row r="106" spans="9:31" ht="14" x14ac:dyDescent="0.2">
      <c r="I106" s="18" t="str">
        <f t="shared" si="3"/>
        <v/>
      </c>
      <c r="J106" s="431"/>
      <c r="K106" s="57"/>
      <c r="L106" s="28"/>
      <c r="M106" s="264"/>
      <c r="N106" s="399"/>
      <c r="O106" s="395"/>
      <c r="P106" s="396"/>
      <c r="Q106" s="395"/>
      <c r="R106" s="397"/>
      <c r="S106" s="395"/>
      <c r="T106" s="397"/>
      <c r="U106" s="397"/>
      <c r="V106" s="427" t="str">
        <f>IFERROR(VLOOKUP($O106, dropdown!$S$4:$T$15, 2, FALSE),
 IFERROR(VLOOKUP($Q106, dropdown!$S$4:$T$15, 2, FALSE),
 IFERROR(VLOOKUP($S106, dropdown!$S$4:$T$15, 2, FALSE),
 "")))</f>
        <v/>
      </c>
      <c r="W106" s="28"/>
      <c r="X106" s="56"/>
      <c r="AB106" s="11"/>
      <c r="AE106" s="11"/>
    </row>
    <row r="107" spans="9:31" ht="14" x14ac:dyDescent="0.2">
      <c r="I107" s="18" t="str">
        <f t="shared" si="3"/>
        <v/>
      </c>
      <c r="J107" s="431"/>
      <c r="K107" s="57"/>
      <c r="L107" s="28"/>
      <c r="M107" s="264"/>
      <c r="N107" s="399"/>
      <c r="O107" s="395"/>
      <c r="P107" s="396"/>
      <c r="Q107" s="395"/>
      <c r="R107" s="397"/>
      <c r="S107" s="395"/>
      <c r="T107" s="397"/>
      <c r="U107" s="397"/>
      <c r="V107" s="427"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C7" sqref="C7:G7"/>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Batac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9" t="s">
        <v>1434</v>
      </c>
      <c r="D6" s="450"/>
      <c r="E6" s="450"/>
      <c r="F6" s="450"/>
      <c r="G6" s="451"/>
    </row>
    <row r="7" spans="2:17" ht="12.75" customHeight="1" x14ac:dyDescent="0.2">
      <c r="B7" s="278" t="s">
        <v>174</v>
      </c>
      <c r="C7" s="465" t="s">
        <v>1459</v>
      </c>
      <c r="D7" s="450"/>
      <c r="E7" s="450"/>
      <c r="F7" s="450"/>
      <c r="G7" s="451"/>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15400</v>
      </c>
      <c r="M8" s="47">
        <v>131747.17000000001</v>
      </c>
      <c r="N8" s="165" t="s">
        <v>479</v>
      </c>
      <c r="O8" s="195"/>
      <c r="P8" s="48"/>
      <c r="Q8" s="20"/>
    </row>
    <row r="9" spans="2:17" x14ac:dyDescent="0.2">
      <c r="I9" s="194"/>
      <c r="J9" s="58" t="s">
        <v>89</v>
      </c>
      <c r="K9" s="423" t="str">
        <f>IF(Electricity[[#This Row],[Month]]&lt;&gt;"",VLOOKUP(Electricity[[#This Row],[Month]], dropdown!$S$4:$T$15, 2, FALSE),"")</f>
        <v>Q1</v>
      </c>
      <c r="L9" s="29">
        <v>15040</v>
      </c>
      <c r="M9" s="47">
        <v>135857.53</v>
      </c>
      <c r="N9" s="165" t="s">
        <v>479</v>
      </c>
      <c r="O9" s="195"/>
      <c r="P9" s="48"/>
      <c r="Q9" s="20"/>
    </row>
    <row r="10" spans="2:17" ht="15" x14ac:dyDescent="0.2">
      <c r="B10" s="334" t="s">
        <v>104</v>
      </c>
      <c r="C10" s="14"/>
      <c r="D10" s="14"/>
      <c r="E10" s="14"/>
      <c r="F10" s="14"/>
      <c r="G10" s="14"/>
      <c r="I10" s="194"/>
      <c r="J10" s="58" t="s">
        <v>362</v>
      </c>
      <c r="K10" s="423" t="str">
        <f>IF(Electricity[[#This Row],[Month]]&lt;&gt;"",VLOOKUP(Electricity[[#This Row],[Month]], dropdown!$S$4:$T$15, 2, FALSE),"")</f>
        <v>Q1</v>
      </c>
      <c r="L10" s="29">
        <v>15800</v>
      </c>
      <c r="M10" s="47">
        <v>150908.64000000001</v>
      </c>
      <c r="N10" s="165" t="s">
        <v>479</v>
      </c>
      <c r="O10" s="195"/>
      <c r="P10" s="48"/>
      <c r="Q10" s="20"/>
    </row>
    <row r="11" spans="2:17" x14ac:dyDescent="0.2">
      <c r="B11" s="13" t="s">
        <v>155</v>
      </c>
      <c r="C11" s="13" t="s">
        <v>51</v>
      </c>
      <c r="D11" s="40" t="s">
        <v>45</v>
      </c>
      <c r="E11" s="40" t="s">
        <v>149</v>
      </c>
      <c r="F11" s="40" t="s">
        <v>150</v>
      </c>
      <c r="G11" s="40" t="s">
        <v>151</v>
      </c>
      <c r="I11" s="194"/>
      <c r="J11" s="58" t="s">
        <v>371</v>
      </c>
      <c r="K11" s="423" t="str">
        <f>IF(Electricity[[#This Row],[Month]]&lt;&gt;"",VLOOKUP(Electricity[[#This Row],[Month]], dropdown!$S$4:$T$15, 2, FALSE),"")</f>
        <v>Q2</v>
      </c>
      <c r="L11" s="29">
        <v>18240</v>
      </c>
      <c r="M11" s="47">
        <v>170685.54</v>
      </c>
      <c r="N11" s="165" t="s">
        <v>479</v>
      </c>
      <c r="O11" s="195"/>
      <c r="P11" s="48"/>
      <c r="Q11" s="20"/>
    </row>
    <row r="12" spans="2:17" x14ac:dyDescent="0.2">
      <c r="B12" s="17" t="s">
        <v>207</v>
      </c>
      <c r="C12" s="17" t="s">
        <v>208</v>
      </c>
      <c r="D12" s="41">
        <f>SUMIFS(Electricity[Consumption (kWh)],Electricity[Quarter],D$11)</f>
        <v>46240</v>
      </c>
      <c r="E12" s="41">
        <f>SUMIFS(Electricity[Consumption (kWh)],Electricity[Quarter],E$11)</f>
        <v>56760</v>
      </c>
      <c r="F12" s="41">
        <f>SUMIFS(Electricity[Consumption (kWh)],Electricity[Quarter],F$11)</f>
        <v>0</v>
      </c>
      <c r="G12" s="41">
        <f>SUMIFS(Electricity[Consumption (kWh)],Electricity[Quarter],G$11)</f>
        <v>0</v>
      </c>
      <c r="I12" s="194"/>
      <c r="J12" s="58" t="s">
        <v>379</v>
      </c>
      <c r="K12" s="423" t="str">
        <f>IF(Electricity[[#This Row],[Month]]&lt;&gt;"",VLOOKUP(Electricity[[#This Row],[Month]], dropdown!$S$4:$T$15, 2, FALSE),"")</f>
        <v>Q2</v>
      </c>
      <c r="L12" s="29">
        <v>18680</v>
      </c>
      <c r="M12" s="47">
        <v>174921.32</v>
      </c>
      <c r="N12" s="165" t="s">
        <v>479</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3" t="str">
        <f>IF(Electricity[[#This Row],[Month]]&lt;&gt;"",VLOOKUP(Electricity[[#This Row],[Month]], dropdown!$S$4:$T$15, 2, FALSE),"")</f>
        <v>Q2</v>
      </c>
      <c r="L13" s="29">
        <v>19840</v>
      </c>
      <c r="M13" s="47">
        <v>184276.93</v>
      </c>
      <c r="N13" s="165" t="s">
        <v>479</v>
      </c>
      <c r="O13" s="195"/>
      <c r="P13" s="48"/>
      <c r="Q13" s="20"/>
    </row>
    <row r="14" spans="2:17" x14ac:dyDescent="0.2">
      <c r="B14" s="119" t="s">
        <v>38</v>
      </c>
      <c r="D14" s="168"/>
      <c r="I14" s="194"/>
      <c r="J14" s="58"/>
      <c r="K14" s="423" t="str">
        <f>IF(Electricity[[#This Row],[Month]]&lt;&gt;"",VLOOKUP(Electricity[[#This Row],[Month]], dropdown!$S$4:$T$15, 2, FALSE),"")</f>
        <v/>
      </c>
      <c r="L14" s="29"/>
      <c r="M14" s="47"/>
      <c r="N14" s="165"/>
      <c r="O14" s="195"/>
      <c r="P14" s="48"/>
      <c r="Q14" s="20"/>
    </row>
    <row r="15" spans="2:17" x14ac:dyDescent="0.2">
      <c r="B15" s="120" t="s">
        <v>175</v>
      </c>
      <c r="D15" s="168"/>
      <c r="I15" s="194"/>
      <c r="J15" s="58"/>
      <c r="K15" s="423" t="str">
        <f>IF(Electricity[[#This Row],[Month]]&lt;&gt;"",VLOOKUP(Electricity[[#This Row],[Month]], dropdown!$S$4:$T$15, 2, FALSE),"")</f>
        <v/>
      </c>
      <c r="L15" s="29"/>
      <c r="M15" s="47"/>
      <c r="N15" s="165"/>
      <c r="O15" s="195"/>
      <c r="P15" s="48"/>
      <c r="Q15" s="20"/>
    </row>
    <row r="16" spans="2:17" x14ac:dyDescent="0.2">
      <c r="B16" s="121" t="s">
        <v>176</v>
      </c>
      <c r="I16" s="194"/>
      <c r="J16" s="58"/>
      <c r="K16" s="423" t="str">
        <f>IF(Electricity[[#This Row],[Month]]&lt;&gt;"",VLOOKUP(Electricity[[#This Row],[Month]], dropdown!$S$4:$T$15, 2, FALSE),"")</f>
        <v/>
      </c>
      <c r="L16" s="29"/>
      <c r="M16" s="47"/>
      <c r="N16" s="165"/>
      <c r="O16" s="195"/>
      <c r="P16" s="48"/>
      <c r="Q16" s="20"/>
    </row>
    <row r="17" spans="2:17" x14ac:dyDescent="0.2">
      <c r="B17" s="122" t="s">
        <v>177</v>
      </c>
      <c r="I17" s="194"/>
      <c r="J17" s="58"/>
      <c r="K17" s="423" t="str">
        <f>IF(Electricity[[#This Row],[Month]]&lt;&gt;"",VLOOKUP(Electricity[[#This Row],[Month]], dropdown!$S$4:$T$15, 2, FALSE),"")</f>
        <v/>
      </c>
      <c r="L17" s="29"/>
      <c r="M17" s="47"/>
      <c r="N17" s="165"/>
      <c r="O17" s="195"/>
      <c r="P17" s="48"/>
      <c r="Q17" s="20"/>
    </row>
    <row r="18" spans="2:17" x14ac:dyDescent="0.2">
      <c r="I18" s="194" t="str">
        <f t="shared" ref="I18:I49" si="0">IF($L18="","",$I17+1)</f>
        <v/>
      </c>
      <c r="J18" s="58"/>
      <c r="K18" s="423" t="str">
        <f>IF(Electricity[[#This Row],[Month]]&lt;&gt;"",VLOOKUP(Electricity[[#This Row],[Month]], dropdown!$S$4:$T$15, 2, FALSE),"")</f>
        <v/>
      </c>
      <c r="L18" s="29"/>
      <c r="M18" s="47"/>
      <c r="N18" s="165"/>
      <c r="O18" s="195"/>
      <c r="P18" s="48"/>
      <c r="Q18" s="20"/>
    </row>
    <row r="19" spans="2:17" x14ac:dyDescent="0.2">
      <c r="I19" s="194" t="str">
        <f t="shared" si="0"/>
        <v/>
      </c>
      <c r="J19" s="58"/>
      <c r="K19" s="423" t="str">
        <f>IF(Electricity[[#This Row],[Month]]&lt;&gt;"",VLOOKUP(Electricity[[#This Row],[Month]], dropdown!$S$4:$T$15, 2, FALSE),"")</f>
        <v/>
      </c>
      <c r="L19" s="29"/>
      <c r="M19" s="47"/>
      <c r="N19" s="165"/>
      <c r="O19" s="195"/>
      <c r="P19" s="48"/>
      <c r="Q19" s="20"/>
    </row>
    <row r="20" spans="2:17" x14ac:dyDescent="0.2">
      <c r="I20" s="194" t="str">
        <f t="shared" si="0"/>
        <v/>
      </c>
      <c r="J20" s="58"/>
      <c r="K20" s="423" t="str">
        <f>IF(Electricity[[#This Row],[Month]]&lt;&gt;"",VLOOKUP(Electricity[[#This Row],[Month]], dropdown!$S$4:$T$15, 2, FALSE),"")</f>
        <v/>
      </c>
      <c r="L20" s="29"/>
      <c r="M20" s="47"/>
      <c r="N20" s="165"/>
      <c r="O20" s="195"/>
      <c r="P20" s="48"/>
      <c r="Q20" s="20"/>
    </row>
    <row r="21" spans="2:17" x14ac:dyDescent="0.2">
      <c r="I21" s="194" t="str">
        <f t="shared" si="0"/>
        <v/>
      </c>
      <c r="J21" s="58"/>
      <c r="K21" s="423" t="str">
        <f>IF(Electricity[[#This Row],[Month]]&lt;&gt;"",VLOOKUP(Electricity[[#This Row],[Month]], dropdown!$S$4:$T$15, 2, FALSE),"")</f>
        <v/>
      </c>
      <c r="L21" s="29"/>
      <c r="M21" s="47"/>
      <c r="N21" s="165"/>
      <c r="O21" s="195"/>
      <c r="P21" s="48"/>
      <c r="Q21" s="20"/>
    </row>
    <row r="22" spans="2:17" x14ac:dyDescent="0.2">
      <c r="I22" s="194" t="str">
        <f t="shared" si="0"/>
        <v/>
      </c>
      <c r="J22" s="196"/>
      <c r="K22" s="423" t="str">
        <f>IF(Electricity[[#This Row],[Month]]&lt;&gt;"",VLOOKUP(Electricity[[#This Row],[Month]], dropdown!$S$4:$T$15, 2, FALSE),"")</f>
        <v/>
      </c>
      <c r="L22" s="197"/>
      <c r="M22" s="246"/>
      <c r="N22" s="247"/>
      <c r="O22" s="199"/>
      <c r="P22" s="48"/>
      <c r="Q22" s="20"/>
    </row>
    <row r="23" spans="2:17" x14ac:dyDescent="0.2">
      <c r="I23" s="194" t="str">
        <f t="shared" si="0"/>
        <v/>
      </c>
      <c r="J23" s="196"/>
      <c r="K23" s="423" t="str">
        <f>IF(Electricity[[#This Row],[Month]]&lt;&gt;"",VLOOKUP(Electricity[[#This Row],[Month]], dropdown!$S$4:$T$15, 2, FALSE),"")</f>
        <v/>
      </c>
      <c r="L23" s="197"/>
      <c r="M23" s="246"/>
      <c r="N23" s="247"/>
      <c r="O23" s="199"/>
      <c r="P23" s="48"/>
      <c r="Q23" s="20"/>
    </row>
    <row r="24" spans="2:17" x14ac:dyDescent="0.2">
      <c r="I24" s="194" t="str">
        <f t="shared" si="0"/>
        <v/>
      </c>
      <c r="J24" s="196"/>
      <c r="K24" s="423" t="str">
        <f>IF(Electricity[[#This Row],[Month]]&lt;&gt;"",VLOOKUP(Electricity[[#This Row],[Month]], dropdown!$S$4:$T$15, 2, FALSE),"")</f>
        <v/>
      </c>
      <c r="L24" s="197"/>
      <c r="M24" s="246"/>
      <c r="N24" s="247"/>
      <c r="O24" s="199"/>
      <c r="P24" s="48"/>
      <c r="Q24" s="20"/>
    </row>
    <row r="25" spans="2:17" x14ac:dyDescent="0.2">
      <c r="I25" s="194" t="str">
        <f t="shared" si="0"/>
        <v/>
      </c>
      <c r="J25" s="196"/>
      <c r="K25" s="423"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3"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3"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3"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3"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3"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3" t="str">
        <f>IF(Electricity[[#This Row],[Month]]&lt;&gt;"",VLOOKUP(Electricity[[#This Row],[Month]], dropdown!$S$4:$T$15, 2, FALSE),"")</f>
        <v/>
      </c>
      <c r="L31" s="197"/>
      <c r="M31" s="246"/>
      <c r="N31" s="247"/>
      <c r="O31" s="199"/>
      <c r="P31" s="48"/>
      <c r="Q31" s="20"/>
    </row>
    <row r="32" spans="2:17" x14ac:dyDescent="0.2">
      <c r="I32" s="194" t="str">
        <f t="shared" si="0"/>
        <v/>
      </c>
      <c r="J32" s="196"/>
      <c r="K32" s="423" t="str">
        <f>IF(Electricity[[#This Row],[Month]]&lt;&gt;"",VLOOKUP(Electricity[[#This Row],[Month]], dropdown!$S$4:$T$15, 2, FALSE),"")</f>
        <v/>
      </c>
      <c r="L32" s="197"/>
      <c r="M32" s="246"/>
      <c r="N32" s="247"/>
      <c r="O32" s="199"/>
      <c r="P32" s="48"/>
      <c r="Q32" s="20"/>
    </row>
    <row r="33" spans="9:17" x14ac:dyDescent="0.2">
      <c r="I33" s="194" t="str">
        <f t="shared" si="0"/>
        <v/>
      </c>
      <c r="J33" s="196"/>
      <c r="K33" s="423" t="str">
        <f>IF(Electricity[[#This Row],[Month]]&lt;&gt;"",VLOOKUP(Electricity[[#This Row],[Month]], dropdown!$S$4:$T$15, 2, FALSE),"")</f>
        <v/>
      </c>
      <c r="L33" s="197"/>
      <c r="M33" s="246"/>
      <c r="N33" s="247"/>
      <c r="O33" s="199"/>
      <c r="P33" s="48"/>
      <c r="Q33" s="20"/>
    </row>
    <row r="34" spans="9:17" x14ac:dyDescent="0.2">
      <c r="I34" s="194" t="str">
        <f t="shared" si="0"/>
        <v/>
      </c>
      <c r="J34" s="196"/>
      <c r="K34" s="423" t="str">
        <f>IF(Electricity[[#This Row],[Month]]&lt;&gt;"",VLOOKUP(Electricity[[#This Row],[Month]], dropdown!$S$4:$T$15, 2, FALSE),"")</f>
        <v/>
      </c>
      <c r="L34" s="197"/>
      <c r="M34" s="246"/>
      <c r="N34" s="247"/>
      <c r="O34" s="199"/>
      <c r="P34" s="48"/>
      <c r="Q34" s="20"/>
    </row>
    <row r="35" spans="9:17" x14ac:dyDescent="0.2">
      <c r="I35" s="194" t="str">
        <f t="shared" si="0"/>
        <v/>
      </c>
      <c r="J35" s="196"/>
      <c r="K35" s="423" t="str">
        <f>IF(Electricity[[#This Row],[Month]]&lt;&gt;"",VLOOKUP(Electricity[[#This Row],[Month]], dropdown!$S$4:$T$15, 2, FALSE),"")</f>
        <v/>
      </c>
      <c r="L35" s="197"/>
      <c r="M35" s="246"/>
      <c r="N35" s="247"/>
      <c r="O35" s="199"/>
      <c r="P35" s="48"/>
      <c r="Q35" s="20"/>
    </row>
    <row r="36" spans="9:17" x14ac:dyDescent="0.2">
      <c r="I36" s="194" t="str">
        <f t="shared" si="0"/>
        <v/>
      </c>
      <c r="J36" s="196"/>
      <c r="K36" s="423" t="str">
        <f>IF(Electricity[[#This Row],[Month]]&lt;&gt;"",VLOOKUP(Electricity[[#This Row],[Month]], dropdown!$S$4:$T$15, 2, FALSE),"")</f>
        <v/>
      </c>
      <c r="L36" s="197"/>
      <c r="M36" s="246"/>
      <c r="N36" s="247"/>
      <c r="O36" s="199"/>
      <c r="P36" s="48"/>
      <c r="Q36" s="20"/>
    </row>
    <row r="37" spans="9:17" x14ac:dyDescent="0.2">
      <c r="I37" s="194" t="str">
        <f t="shared" si="0"/>
        <v/>
      </c>
      <c r="J37" s="196"/>
      <c r="K37" s="423" t="str">
        <f>IF(Electricity[[#This Row],[Month]]&lt;&gt;"",VLOOKUP(Electricity[[#This Row],[Month]], dropdown!$S$4:$T$15, 2, FALSE),"")</f>
        <v/>
      </c>
      <c r="L37" s="197"/>
      <c r="M37" s="246"/>
      <c r="N37" s="247"/>
      <c r="O37" s="199"/>
      <c r="P37" s="48"/>
      <c r="Q37" s="20"/>
    </row>
    <row r="38" spans="9:17" x14ac:dyDescent="0.2">
      <c r="I38" s="194" t="str">
        <f t="shared" si="0"/>
        <v/>
      </c>
      <c r="J38" s="196"/>
      <c r="K38" s="423" t="str">
        <f>IF(Electricity[[#This Row],[Month]]&lt;&gt;"",VLOOKUP(Electricity[[#This Row],[Month]], dropdown!$S$4:$T$15, 2, FALSE),"")</f>
        <v/>
      </c>
      <c r="L38" s="197"/>
      <c r="M38" s="246"/>
      <c r="N38" s="247"/>
      <c r="O38" s="199"/>
      <c r="P38" s="48"/>
      <c r="Q38" s="20"/>
    </row>
    <row r="39" spans="9:17" x14ac:dyDescent="0.2">
      <c r="I39" s="194" t="str">
        <f t="shared" si="0"/>
        <v/>
      </c>
      <c r="J39" s="196"/>
      <c r="K39" s="423" t="str">
        <f>IF(Electricity[[#This Row],[Month]]&lt;&gt;"",VLOOKUP(Electricity[[#This Row],[Month]], dropdown!$S$4:$T$15, 2, FALSE),"")</f>
        <v/>
      </c>
      <c r="L39" s="197"/>
      <c r="M39" s="246"/>
      <c r="N39" s="247"/>
      <c r="O39" s="199"/>
      <c r="P39" s="48"/>
      <c r="Q39" s="20"/>
    </row>
    <row r="40" spans="9:17" x14ac:dyDescent="0.2">
      <c r="I40" s="194" t="str">
        <f t="shared" si="0"/>
        <v/>
      </c>
      <c r="J40" s="196"/>
      <c r="K40" s="423" t="str">
        <f>IF(Electricity[[#This Row],[Month]]&lt;&gt;"",VLOOKUP(Electricity[[#This Row],[Month]], dropdown!$S$4:$T$15, 2, FALSE),"")</f>
        <v/>
      </c>
      <c r="L40" s="197"/>
      <c r="M40" s="246"/>
      <c r="N40" s="247"/>
      <c r="O40" s="199"/>
      <c r="P40" s="48"/>
      <c r="Q40" s="20"/>
    </row>
    <row r="41" spans="9:17" x14ac:dyDescent="0.2">
      <c r="I41" s="194" t="str">
        <f t="shared" si="0"/>
        <v/>
      </c>
      <c r="J41" s="196"/>
      <c r="K41" s="423" t="str">
        <f>IF(Electricity[[#This Row],[Month]]&lt;&gt;"",VLOOKUP(Electricity[[#This Row],[Month]], dropdown!$S$4:$T$15, 2, FALSE),"")</f>
        <v/>
      </c>
      <c r="L41" s="197"/>
      <c r="M41" s="246"/>
      <c r="N41" s="247"/>
      <c r="O41" s="199"/>
      <c r="P41" s="48"/>
      <c r="Q41" s="20"/>
    </row>
    <row r="42" spans="9:17" x14ac:dyDescent="0.2">
      <c r="I42" s="194" t="str">
        <f t="shared" si="0"/>
        <v/>
      </c>
      <c r="J42" s="196"/>
      <c r="K42" s="423" t="str">
        <f>IF(Electricity[[#This Row],[Month]]&lt;&gt;"",VLOOKUP(Electricity[[#This Row],[Month]], dropdown!$S$4:$T$15, 2, FALSE),"")</f>
        <v/>
      </c>
      <c r="L42" s="197"/>
      <c r="M42" s="246"/>
      <c r="N42" s="247"/>
      <c r="O42" s="199"/>
      <c r="P42" s="48"/>
      <c r="Q42" s="20"/>
    </row>
    <row r="43" spans="9:17" x14ac:dyDescent="0.2">
      <c r="I43" s="194" t="str">
        <f t="shared" si="0"/>
        <v/>
      </c>
      <c r="J43" s="196"/>
      <c r="K43" s="423" t="str">
        <f>IF(Electricity[[#This Row],[Month]]&lt;&gt;"",VLOOKUP(Electricity[[#This Row],[Month]], dropdown!$S$4:$T$15, 2, FALSE),"")</f>
        <v/>
      </c>
      <c r="L43" s="197"/>
      <c r="M43" s="246"/>
      <c r="N43" s="247"/>
      <c r="O43" s="199"/>
      <c r="P43" s="48"/>
      <c r="Q43" s="20"/>
    </row>
    <row r="44" spans="9:17" x14ac:dyDescent="0.2">
      <c r="I44" s="194" t="str">
        <f t="shared" si="0"/>
        <v/>
      </c>
      <c r="J44" s="196"/>
      <c r="K44" s="423" t="str">
        <f>IF(Electricity[[#This Row],[Month]]&lt;&gt;"",VLOOKUP(Electricity[[#This Row],[Month]], dropdown!$S$4:$T$15, 2, FALSE),"")</f>
        <v/>
      </c>
      <c r="L44" s="197"/>
      <c r="M44" s="246"/>
      <c r="N44" s="247"/>
      <c r="O44" s="199"/>
      <c r="P44" s="48"/>
      <c r="Q44" s="20"/>
    </row>
    <row r="45" spans="9:17" x14ac:dyDescent="0.2">
      <c r="I45" s="194" t="str">
        <f t="shared" si="0"/>
        <v/>
      </c>
      <c r="J45" s="196"/>
      <c r="K45" s="423" t="str">
        <f>IF(Electricity[[#This Row],[Month]]&lt;&gt;"",VLOOKUP(Electricity[[#This Row],[Month]], dropdown!$S$4:$T$15, 2, FALSE),"")</f>
        <v/>
      </c>
      <c r="L45" s="197"/>
      <c r="M45" s="246"/>
      <c r="N45" s="247"/>
      <c r="O45" s="199"/>
      <c r="P45" s="48"/>
      <c r="Q45" s="20"/>
    </row>
    <row r="46" spans="9:17" x14ac:dyDescent="0.2">
      <c r="I46" s="194" t="str">
        <f t="shared" si="0"/>
        <v/>
      </c>
      <c r="J46" s="196"/>
      <c r="K46" s="423" t="str">
        <f>IF(Electricity[[#This Row],[Month]]&lt;&gt;"",VLOOKUP(Electricity[[#This Row],[Month]], dropdown!$S$4:$T$15, 2, FALSE),"")</f>
        <v/>
      </c>
      <c r="L46" s="197"/>
      <c r="M46" s="246"/>
      <c r="N46" s="247"/>
      <c r="O46" s="199"/>
      <c r="P46" s="48"/>
      <c r="Q46" s="20"/>
    </row>
    <row r="47" spans="9:17" x14ac:dyDescent="0.2">
      <c r="I47" s="194" t="str">
        <f t="shared" si="0"/>
        <v/>
      </c>
      <c r="J47" s="196"/>
      <c r="K47" s="423" t="str">
        <f>IF(Electricity[[#This Row],[Month]]&lt;&gt;"",VLOOKUP(Electricity[[#This Row],[Month]], dropdown!$S$4:$T$15, 2, FALSE),"")</f>
        <v/>
      </c>
      <c r="L47" s="197"/>
      <c r="M47" s="246"/>
      <c r="N47" s="247"/>
      <c r="O47" s="199"/>
      <c r="P47" s="48"/>
      <c r="Q47" s="20"/>
    </row>
    <row r="48" spans="9:17" x14ac:dyDescent="0.2">
      <c r="I48" s="194" t="str">
        <f t="shared" si="0"/>
        <v/>
      </c>
      <c r="J48" s="196"/>
      <c r="K48" s="423" t="str">
        <f>IF(Electricity[[#This Row],[Month]]&lt;&gt;"",VLOOKUP(Electricity[[#This Row],[Month]], dropdown!$S$4:$T$15, 2, FALSE),"")</f>
        <v/>
      </c>
      <c r="L48" s="197"/>
      <c r="M48" s="246"/>
      <c r="N48" s="247"/>
      <c r="O48" s="199"/>
      <c r="P48" s="48"/>
      <c r="Q48" s="20"/>
    </row>
    <row r="49" spans="9:17" x14ac:dyDescent="0.2">
      <c r="I49" s="194" t="str">
        <f t="shared" si="0"/>
        <v/>
      </c>
      <c r="J49" s="196"/>
      <c r="K49" s="423"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3" t="str">
        <f>IF(Electricity[[#This Row],[Month]]&lt;&gt;"",VLOOKUP(Electricity[[#This Row],[Month]], dropdown!$S$4:$T$15, 2, FALSE),"")</f>
        <v/>
      </c>
      <c r="L50" s="197"/>
      <c r="M50" s="246"/>
      <c r="N50" s="247"/>
      <c r="O50" s="199"/>
      <c r="P50" s="48"/>
      <c r="Q50" s="20"/>
    </row>
    <row r="51" spans="9:17" x14ac:dyDescent="0.2">
      <c r="I51" s="194" t="str">
        <f t="shared" si="1"/>
        <v/>
      </c>
      <c r="J51" s="196"/>
      <c r="K51" s="423" t="str">
        <f>IF(Electricity[[#This Row],[Month]]&lt;&gt;"",VLOOKUP(Electricity[[#This Row],[Month]], dropdown!$S$4:$T$15, 2, FALSE),"")</f>
        <v/>
      </c>
      <c r="L51" s="197"/>
      <c r="M51" s="246"/>
      <c r="N51" s="247"/>
      <c r="O51" s="199"/>
      <c r="P51" s="48"/>
      <c r="Q51" s="20"/>
    </row>
    <row r="52" spans="9:17" x14ac:dyDescent="0.2">
      <c r="I52" s="194" t="str">
        <f t="shared" si="1"/>
        <v/>
      </c>
      <c r="J52" s="196"/>
      <c r="K52" s="423" t="str">
        <f>IF(Electricity[[#This Row],[Month]]&lt;&gt;"",VLOOKUP(Electricity[[#This Row],[Month]], dropdown!$S$4:$T$15, 2, FALSE),"")</f>
        <v/>
      </c>
      <c r="L52" s="197"/>
      <c r="M52" s="246"/>
      <c r="N52" s="247"/>
      <c r="O52" s="199"/>
      <c r="P52" s="48"/>
      <c r="Q52" s="20"/>
    </row>
    <row r="53" spans="9:17" x14ac:dyDescent="0.2">
      <c r="I53" s="194" t="str">
        <f t="shared" si="1"/>
        <v/>
      </c>
      <c r="J53" s="196"/>
      <c r="K53" s="423" t="str">
        <f>IF(Electricity[[#This Row],[Month]]&lt;&gt;"",VLOOKUP(Electricity[[#This Row],[Month]], dropdown!$S$4:$T$15, 2, FALSE),"")</f>
        <v/>
      </c>
      <c r="L53" s="197"/>
      <c r="M53" s="246"/>
      <c r="N53" s="247"/>
      <c r="O53" s="199"/>
      <c r="P53" s="48"/>
      <c r="Q53" s="20"/>
    </row>
    <row r="54" spans="9:17" x14ac:dyDescent="0.2">
      <c r="I54" s="194" t="str">
        <f t="shared" si="1"/>
        <v/>
      </c>
      <c r="J54" s="196"/>
      <c r="K54" s="423" t="str">
        <f>IF(Electricity[[#This Row],[Month]]&lt;&gt;"",VLOOKUP(Electricity[[#This Row],[Month]], dropdown!$S$4:$T$15, 2, FALSE),"")</f>
        <v/>
      </c>
      <c r="L54" s="197"/>
      <c r="M54" s="246"/>
      <c r="N54" s="247"/>
      <c r="O54" s="199"/>
      <c r="P54" s="48"/>
      <c r="Q54" s="20"/>
    </row>
    <row r="55" spans="9:17" x14ac:dyDescent="0.2">
      <c r="I55" s="194" t="str">
        <f t="shared" si="1"/>
        <v/>
      </c>
      <c r="J55" s="196"/>
      <c r="K55" s="423" t="str">
        <f>IF(Electricity[[#This Row],[Month]]&lt;&gt;"",VLOOKUP(Electricity[[#This Row],[Month]], dropdown!$S$4:$T$15, 2, FALSE),"")</f>
        <v/>
      </c>
      <c r="L55" s="197"/>
      <c r="M55" s="246"/>
      <c r="N55" s="247"/>
      <c r="O55" s="199"/>
      <c r="P55" s="48"/>
      <c r="Q55" s="20"/>
    </row>
    <row r="56" spans="9:17" x14ac:dyDescent="0.2">
      <c r="I56" s="194" t="str">
        <f t="shared" si="1"/>
        <v/>
      </c>
      <c r="J56" s="196"/>
      <c r="K56" s="423" t="str">
        <f>IF(Electricity[[#This Row],[Month]]&lt;&gt;"",VLOOKUP(Electricity[[#This Row],[Month]], dropdown!$S$4:$T$15, 2, FALSE),"")</f>
        <v/>
      </c>
      <c r="L56" s="197"/>
      <c r="M56" s="246"/>
      <c r="N56" s="247"/>
      <c r="O56" s="199"/>
      <c r="P56" s="48"/>
      <c r="Q56" s="20"/>
    </row>
    <row r="57" spans="9:17" x14ac:dyDescent="0.2">
      <c r="I57" s="194" t="str">
        <f t="shared" si="1"/>
        <v/>
      </c>
      <c r="J57" s="196"/>
      <c r="K57" s="423" t="str">
        <f>IF(Electricity[[#This Row],[Month]]&lt;&gt;"",VLOOKUP(Electricity[[#This Row],[Month]], dropdown!$S$4:$T$15, 2, FALSE),"")</f>
        <v/>
      </c>
      <c r="L57" s="197"/>
      <c r="M57" s="246"/>
      <c r="N57" s="247"/>
      <c r="O57" s="199"/>
      <c r="P57" s="48"/>
      <c r="Q57" s="20"/>
    </row>
    <row r="58" spans="9:17" x14ac:dyDescent="0.2">
      <c r="I58" s="194" t="str">
        <f t="shared" si="1"/>
        <v/>
      </c>
      <c r="J58" s="196"/>
      <c r="K58" s="423" t="str">
        <f>IF(Electricity[[#This Row],[Month]]&lt;&gt;"",VLOOKUP(Electricity[[#This Row],[Month]], dropdown!$S$4:$T$15, 2, FALSE),"")</f>
        <v/>
      </c>
      <c r="L58" s="197"/>
      <c r="M58" s="246"/>
      <c r="N58" s="247"/>
      <c r="O58" s="199"/>
      <c r="P58" s="48"/>
      <c r="Q58" s="20"/>
    </row>
    <row r="59" spans="9:17" x14ac:dyDescent="0.2">
      <c r="I59" s="194" t="str">
        <f t="shared" si="1"/>
        <v/>
      </c>
      <c r="J59" s="196"/>
      <c r="K59" s="423" t="str">
        <f>IF(Electricity[[#This Row],[Month]]&lt;&gt;"",VLOOKUP(Electricity[[#This Row],[Month]], dropdown!$S$4:$T$15, 2, FALSE),"")</f>
        <v/>
      </c>
      <c r="L59" s="197"/>
      <c r="M59" s="246"/>
      <c r="N59" s="247"/>
      <c r="O59" s="199"/>
      <c r="P59" s="48"/>
      <c r="Q59" s="20"/>
    </row>
    <row r="60" spans="9:17" x14ac:dyDescent="0.2">
      <c r="I60" s="194" t="str">
        <f t="shared" si="1"/>
        <v/>
      </c>
      <c r="J60" s="196"/>
      <c r="K60" s="423" t="str">
        <f>IF(Electricity[[#This Row],[Month]]&lt;&gt;"",VLOOKUP(Electricity[[#This Row],[Month]], dropdown!$S$4:$T$15, 2, FALSE),"")</f>
        <v/>
      </c>
      <c r="L60" s="197"/>
      <c r="M60" s="246"/>
      <c r="N60" s="247"/>
      <c r="O60" s="199"/>
      <c r="P60" s="48"/>
      <c r="Q60" s="20"/>
    </row>
    <row r="61" spans="9:17" x14ac:dyDescent="0.2">
      <c r="I61" s="194" t="str">
        <f t="shared" si="1"/>
        <v/>
      </c>
      <c r="J61" s="196"/>
      <c r="K61" s="423" t="str">
        <f>IF(Electricity[[#This Row],[Month]]&lt;&gt;"",VLOOKUP(Electricity[[#This Row],[Month]], dropdown!$S$4:$T$15, 2, FALSE),"")</f>
        <v/>
      </c>
      <c r="L61" s="197"/>
      <c r="M61" s="246"/>
      <c r="N61" s="247"/>
      <c r="O61" s="199"/>
      <c r="P61" s="48"/>
      <c r="Q61" s="20"/>
    </row>
    <row r="62" spans="9:17" x14ac:dyDescent="0.2">
      <c r="I62" s="194" t="str">
        <f t="shared" si="1"/>
        <v/>
      </c>
      <c r="J62" s="196"/>
      <c r="K62" s="423" t="str">
        <f>IF(Electricity[[#This Row],[Month]]&lt;&gt;"",VLOOKUP(Electricity[[#This Row],[Month]], dropdown!$S$4:$T$15, 2, FALSE),"")</f>
        <v/>
      </c>
      <c r="L62" s="197"/>
      <c r="M62" s="246"/>
      <c r="N62" s="247"/>
      <c r="O62" s="199"/>
      <c r="P62" s="48"/>
      <c r="Q62" s="20"/>
    </row>
    <row r="63" spans="9:17" x14ac:dyDescent="0.2">
      <c r="I63" s="194" t="str">
        <f t="shared" si="1"/>
        <v/>
      </c>
      <c r="J63" s="196"/>
      <c r="K63" s="423" t="str">
        <f>IF(Electricity[[#This Row],[Month]]&lt;&gt;"",VLOOKUP(Electricity[[#This Row],[Month]], dropdown!$S$4:$T$15, 2, FALSE),"")</f>
        <v/>
      </c>
      <c r="L63" s="197"/>
      <c r="M63" s="246"/>
      <c r="N63" s="247"/>
      <c r="O63" s="199"/>
      <c r="P63" s="48"/>
      <c r="Q63" s="20"/>
    </row>
    <row r="64" spans="9:17" x14ac:dyDescent="0.2">
      <c r="I64" s="194" t="str">
        <f t="shared" si="1"/>
        <v/>
      </c>
      <c r="J64" s="196"/>
      <c r="K64" s="423" t="str">
        <f>IF(Electricity[[#This Row],[Month]]&lt;&gt;"",VLOOKUP(Electricity[[#This Row],[Month]], dropdown!$S$4:$T$15, 2, FALSE),"")</f>
        <v/>
      </c>
      <c r="L64" s="197"/>
      <c r="M64" s="246"/>
      <c r="N64" s="247"/>
      <c r="O64" s="199"/>
      <c r="P64" s="48"/>
      <c r="Q64" s="20"/>
    </row>
    <row r="65" spans="9:17" x14ac:dyDescent="0.2">
      <c r="I65" s="194" t="str">
        <f t="shared" si="1"/>
        <v/>
      </c>
      <c r="J65" s="196"/>
      <c r="K65" s="423" t="str">
        <f>IF(Electricity[[#This Row],[Month]]&lt;&gt;"",VLOOKUP(Electricity[[#This Row],[Month]], dropdown!$S$4:$T$15, 2, FALSE),"")</f>
        <v/>
      </c>
      <c r="L65" s="197"/>
      <c r="M65" s="246"/>
      <c r="N65" s="247"/>
      <c r="O65" s="199"/>
      <c r="P65" s="48"/>
      <c r="Q65" s="20"/>
    </row>
    <row r="66" spans="9:17" x14ac:dyDescent="0.2">
      <c r="I66" s="194" t="str">
        <f t="shared" si="1"/>
        <v/>
      </c>
      <c r="J66" s="196"/>
      <c r="K66" s="423" t="str">
        <f>IF(Electricity[[#This Row],[Month]]&lt;&gt;"",VLOOKUP(Electricity[[#This Row],[Month]], dropdown!$S$4:$T$15, 2, FALSE),"")</f>
        <v/>
      </c>
      <c r="L66" s="197"/>
      <c r="M66" s="246"/>
      <c r="N66" s="247"/>
      <c r="O66" s="199"/>
      <c r="P66" s="48"/>
      <c r="Q66" s="20"/>
    </row>
    <row r="67" spans="9:17" x14ac:dyDescent="0.2">
      <c r="I67" s="194" t="str">
        <f t="shared" si="1"/>
        <v/>
      </c>
      <c r="J67" s="196"/>
      <c r="K67" s="423" t="str">
        <f>IF(Electricity[[#This Row],[Month]]&lt;&gt;"",VLOOKUP(Electricity[[#This Row],[Month]], dropdown!$S$4:$T$15, 2, FALSE),"")</f>
        <v/>
      </c>
      <c r="L67" s="197"/>
      <c r="M67" s="246"/>
      <c r="N67" s="247"/>
      <c r="O67" s="199"/>
      <c r="P67" s="48"/>
      <c r="Q67" s="20"/>
    </row>
    <row r="68" spans="9:17" x14ac:dyDescent="0.2">
      <c r="I68" s="194" t="str">
        <f t="shared" si="1"/>
        <v/>
      </c>
      <c r="J68" s="196"/>
      <c r="K68" s="423" t="str">
        <f>IF(Electricity[[#This Row],[Month]]&lt;&gt;"",VLOOKUP(Electricity[[#This Row],[Month]], dropdown!$S$4:$T$15, 2, FALSE),"")</f>
        <v/>
      </c>
      <c r="L68" s="197"/>
      <c r="M68" s="246"/>
      <c r="N68" s="247"/>
      <c r="O68" s="199"/>
      <c r="P68" s="48"/>
      <c r="Q68" s="20"/>
    </row>
    <row r="69" spans="9:17" x14ac:dyDescent="0.2">
      <c r="I69" s="194" t="str">
        <f t="shared" si="1"/>
        <v/>
      </c>
      <c r="J69" s="196"/>
      <c r="K69" s="423" t="str">
        <f>IF(Electricity[[#This Row],[Month]]&lt;&gt;"",VLOOKUP(Electricity[[#This Row],[Month]], dropdown!$S$4:$T$15, 2, FALSE),"")</f>
        <v/>
      </c>
      <c r="L69" s="197"/>
      <c r="M69" s="246"/>
      <c r="N69" s="247"/>
      <c r="O69" s="199"/>
      <c r="P69" s="48"/>
      <c r="Q69" s="20"/>
    </row>
    <row r="70" spans="9:17" x14ac:dyDescent="0.2">
      <c r="I70" s="194" t="str">
        <f t="shared" si="1"/>
        <v/>
      </c>
      <c r="J70" s="196"/>
      <c r="K70" s="423" t="str">
        <f>IF(Electricity[[#This Row],[Month]]&lt;&gt;"",VLOOKUP(Electricity[[#This Row],[Month]], dropdown!$S$4:$T$15, 2, FALSE),"")</f>
        <v/>
      </c>
      <c r="L70" s="197"/>
      <c r="M70" s="246"/>
      <c r="N70" s="247"/>
      <c r="O70" s="199"/>
      <c r="P70" s="48"/>
      <c r="Q70" s="20"/>
    </row>
    <row r="71" spans="9:17" x14ac:dyDescent="0.2">
      <c r="I71" s="194" t="str">
        <f t="shared" si="1"/>
        <v/>
      </c>
      <c r="J71" s="196"/>
      <c r="K71" s="423" t="str">
        <f>IF(Electricity[[#This Row],[Month]]&lt;&gt;"",VLOOKUP(Electricity[[#This Row],[Month]], dropdown!$S$4:$T$15, 2, FALSE),"")</f>
        <v/>
      </c>
      <c r="L71" s="197"/>
      <c r="M71" s="246"/>
      <c r="N71" s="247"/>
      <c r="O71" s="199"/>
      <c r="P71" s="48"/>
      <c r="Q71" s="20"/>
    </row>
    <row r="72" spans="9:17" x14ac:dyDescent="0.2">
      <c r="I72" s="194" t="str">
        <f t="shared" si="1"/>
        <v/>
      </c>
      <c r="J72" s="196"/>
      <c r="K72" s="423" t="str">
        <f>IF(Electricity[[#This Row],[Month]]&lt;&gt;"",VLOOKUP(Electricity[[#This Row],[Month]], dropdown!$S$4:$T$15, 2, FALSE),"")</f>
        <v/>
      </c>
      <c r="L72" s="197"/>
      <c r="M72" s="246"/>
      <c r="N72" s="247"/>
      <c r="O72" s="199"/>
      <c r="P72" s="48"/>
      <c r="Q72" s="20"/>
    </row>
    <row r="73" spans="9:17" x14ac:dyDescent="0.2">
      <c r="I73" s="194" t="str">
        <f t="shared" si="1"/>
        <v/>
      </c>
      <c r="J73" s="196"/>
      <c r="K73" s="423" t="str">
        <f>IF(Electricity[[#This Row],[Month]]&lt;&gt;"",VLOOKUP(Electricity[[#This Row],[Month]], dropdown!$S$4:$T$15, 2, FALSE),"")</f>
        <v/>
      </c>
      <c r="L73" s="197"/>
      <c r="M73" s="246"/>
      <c r="N73" s="247"/>
      <c r="O73" s="199"/>
      <c r="P73" s="48"/>
      <c r="Q73" s="20"/>
    </row>
    <row r="74" spans="9:17" x14ac:dyDescent="0.2">
      <c r="I74" s="194" t="str">
        <f t="shared" si="1"/>
        <v/>
      </c>
      <c r="J74" s="196"/>
      <c r="K74" s="423" t="str">
        <f>IF(Electricity[[#This Row],[Month]]&lt;&gt;"",VLOOKUP(Electricity[[#This Row],[Month]], dropdown!$S$4:$T$15, 2, FALSE),"")</f>
        <v/>
      </c>
      <c r="L74" s="197"/>
      <c r="M74" s="246"/>
      <c r="N74" s="247"/>
      <c r="O74" s="199"/>
      <c r="P74" s="48"/>
      <c r="Q74" s="20"/>
    </row>
    <row r="75" spans="9:17" x14ac:dyDescent="0.2">
      <c r="I75" s="194" t="str">
        <f t="shared" si="1"/>
        <v/>
      </c>
      <c r="J75" s="196"/>
      <c r="K75" s="423" t="str">
        <f>IF(Electricity[[#This Row],[Month]]&lt;&gt;"",VLOOKUP(Electricity[[#This Row],[Month]], dropdown!$S$4:$T$15, 2, FALSE),"")</f>
        <v/>
      </c>
      <c r="L75" s="197"/>
      <c r="M75" s="246"/>
      <c r="N75" s="247"/>
      <c r="O75" s="199"/>
      <c r="P75" s="48"/>
      <c r="Q75" s="20"/>
    </row>
    <row r="76" spans="9:17" x14ac:dyDescent="0.2">
      <c r="I76" s="194" t="str">
        <f t="shared" si="1"/>
        <v/>
      </c>
      <c r="J76" s="196"/>
      <c r="K76" s="423" t="str">
        <f>IF(Electricity[[#This Row],[Month]]&lt;&gt;"",VLOOKUP(Electricity[[#This Row],[Month]], dropdown!$S$4:$T$15, 2, FALSE),"")</f>
        <v/>
      </c>
      <c r="L76" s="197"/>
      <c r="M76" s="246"/>
      <c r="N76" s="247"/>
      <c r="O76" s="199"/>
      <c r="P76" s="48"/>
      <c r="Q76" s="20"/>
    </row>
    <row r="77" spans="9:17" x14ac:dyDescent="0.2">
      <c r="I77" s="194" t="str">
        <f t="shared" si="1"/>
        <v/>
      </c>
      <c r="J77" s="196"/>
      <c r="K77" s="423" t="str">
        <f>IF(Electricity[[#This Row],[Month]]&lt;&gt;"",VLOOKUP(Electricity[[#This Row],[Month]], dropdown!$S$4:$T$15, 2, FALSE),"")</f>
        <v/>
      </c>
      <c r="L77" s="197"/>
      <c r="M77" s="246"/>
      <c r="N77" s="247"/>
      <c r="O77" s="199"/>
      <c r="P77" s="48"/>
      <c r="Q77" s="20"/>
    </row>
    <row r="78" spans="9:17" x14ac:dyDescent="0.2">
      <c r="I78" s="194" t="str">
        <f t="shared" si="1"/>
        <v/>
      </c>
      <c r="J78" s="196"/>
      <c r="K78" s="423" t="str">
        <f>IF(Electricity[[#This Row],[Month]]&lt;&gt;"",VLOOKUP(Electricity[[#This Row],[Month]], dropdown!$S$4:$T$15, 2, FALSE),"")</f>
        <v/>
      </c>
      <c r="L78" s="197"/>
      <c r="M78" s="246"/>
      <c r="N78" s="247"/>
      <c r="O78" s="199"/>
      <c r="P78" s="48"/>
      <c r="Q78" s="20"/>
    </row>
    <row r="79" spans="9:17" x14ac:dyDescent="0.2">
      <c r="I79" s="194" t="str">
        <f t="shared" si="1"/>
        <v/>
      </c>
      <c r="J79" s="196"/>
      <c r="K79" s="423" t="str">
        <f>IF(Electricity[[#This Row],[Month]]&lt;&gt;"",VLOOKUP(Electricity[[#This Row],[Month]], dropdown!$S$4:$T$15, 2, FALSE),"")</f>
        <v/>
      </c>
      <c r="L79" s="197"/>
      <c r="M79" s="246"/>
      <c r="N79" s="247"/>
      <c r="O79" s="199"/>
      <c r="P79" s="48"/>
      <c r="Q79" s="20"/>
    </row>
    <row r="80" spans="9:17" x14ac:dyDescent="0.2">
      <c r="I80" s="194" t="str">
        <f t="shared" si="1"/>
        <v/>
      </c>
      <c r="J80" s="196"/>
      <c r="K80" s="423" t="str">
        <f>IF(Electricity[[#This Row],[Month]]&lt;&gt;"",VLOOKUP(Electricity[[#This Row],[Month]], dropdown!$S$4:$T$15, 2, FALSE),"")</f>
        <v/>
      </c>
      <c r="L80" s="197"/>
      <c r="M80" s="246"/>
      <c r="N80" s="247"/>
      <c r="O80" s="199"/>
      <c r="P80" s="48"/>
      <c r="Q80" s="20"/>
    </row>
    <row r="81" spans="9:17" x14ac:dyDescent="0.2">
      <c r="I81" s="194" t="str">
        <f t="shared" si="1"/>
        <v/>
      </c>
      <c r="J81" s="196"/>
      <c r="K81" s="423"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3" t="str">
        <f>IF(Electricity[[#This Row],[Month]]&lt;&gt;"",VLOOKUP(Electricity[[#This Row],[Month]], dropdown!$S$4:$T$15, 2, FALSE),"")</f>
        <v/>
      </c>
      <c r="L82" s="197"/>
      <c r="M82" s="246"/>
      <c r="N82" s="247"/>
      <c r="O82" s="199"/>
      <c r="P82" s="48"/>
      <c r="Q82" s="20"/>
    </row>
    <row r="83" spans="9:17" x14ac:dyDescent="0.2">
      <c r="I83" s="194" t="str">
        <f t="shared" si="2"/>
        <v/>
      </c>
      <c r="J83" s="196"/>
      <c r="K83" s="423" t="str">
        <f>IF(Electricity[[#This Row],[Month]]&lt;&gt;"",VLOOKUP(Electricity[[#This Row],[Month]], dropdown!$S$4:$T$15, 2, FALSE),"")</f>
        <v/>
      </c>
      <c r="L83" s="197"/>
      <c r="M83" s="246"/>
      <c r="N83" s="247"/>
      <c r="O83" s="199"/>
      <c r="P83" s="48"/>
      <c r="Q83" s="20"/>
    </row>
    <row r="84" spans="9:17" x14ac:dyDescent="0.2">
      <c r="I84" s="194" t="str">
        <f t="shared" si="2"/>
        <v/>
      </c>
      <c r="J84" s="196"/>
      <c r="K84" s="423" t="str">
        <f>IF(Electricity[[#This Row],[Month]]&lt;&gt;"",VLOOKUP(Electricity[[#This Row],[Month]], dropdown!$S$4:$T$15, 2, FALSE),"")</f>
        <v/>
      </c>
      <c r="L84" s="197"/>
      <c r="M84" s="246"/>
      <c r="N84" s="247"/>
      <c r="O84" s="199"/>
      <c r="P84" s="48"/>
      <c r="Q84" s="20"/>
    </row>
    <row r="85" spans="9:17" x14ac:dyDescent="0.2">
      <c r="I85" s="194" t="str">
        <f t="shared" si="2"/>
        <v/>
      </c>
      <c r="J85" s="196"/>
      <c r="K85" s="423" t="str">
        <f>IF(Electricity[[#This Row],[Month]]&lt;&gt;"",VLOOKUP(Electricity[[#This Row],[Month]], dropdown!$S$4:$T$15, 2, FALSE),"")</f>
        <v/>
      </c>
      <c r="L85" s="197"/>
      <c r="M85" s="246"/>
      <c r="N85" s="247"/>
      <c r="O85" s="199"/>
      <c r="P85" s="48"/>
      <c r="Q85" s="20"/>
    </row>
    <row r="86" spans="9:17" x14ac:dyDescent="0.2">
      <c r="I86" s="194" t="str">
        <f t="shared" si="2"/>
        <v/>
      </c>
      <c r="J86" s="196"/>
      <c r="K86" s="423" t="str">
        <f>IF(Electricity[[#This Row],[Month]]&lt;&gt;"",VLOOKUP(Electricity[[#This Row],[Month]], dropdown!$S$4:$T$15, 2, FALSE),"")</f>
        <v/>
      </c>
      <c r="L86" s="197"/>
      <c r="M86" s="246"/>
      <c r="N86" s="247"/>
      <c r="O86" s="199"/>
      <c r="P86" s="48"/>
      <c r="Q86" s="20"/>
    </row>
    <row r="87" spans="9:17" x14ac:dyDescent="0.2">
      <c r="I87" s="194" t="str">
        <f t="shared" si="2"/>
        <v/>
      </c>
      <c r="J87" s="196"/>
      <c r="K87" s="423" t="str">
        <f>IF(Electricity[[#This Row],[Month]]&lt;&gt;"",VLOOKUP(Electricity[[#This Row],[Month]], dropdown!$S$4:$T$15, 2, FALSE),"")</f>
        <v/>
      </c>
      <c r="L87" s="197"/>
      <c r="M87" s="246"/>
      <c r="N87" s="247"/>
      <c r="O87" s="199"/>
      <c r="P87" s="48"/>
      <c r="Q87" s="20"/>
    </row>
    <row r="88" spans="9:17" x14ac:dyDescent="0.2">
      <c r="I88" s="194" t="str">
        <f t="shared" si="2"/>
        <v/>
      </c>
      <c r="J88" s="196"/>
      <c r="K88" s="423" t="str">
        <f>IF(Electricity[[#This Row],[Month]]&lt;&gt;"",VLOOKUP(Electricity[[#This Row],[Month]], dropdown!$S$4:$T$15, 2, FALSE),"")</f>
        <v/>
      </c>
      <c r="L88" s="197"/>
      <c r="M88" s="246"/>
      <c r="N88" s="247"/>
      <c r="O88" s="199"/>
      <c r="P88" s="48"/>
      <c r="Q88" s="20"/>
    </row>
    <row r="89" spans="9:17" x14ac:dyDescent="0.2">
      <c r="I89" s="194" t="str">
        <f t="shared" si="2"/>
        <v/>
      </c>
      <c r="J89" s="196"/>
      <c r="K89" s="423" t="str">
        <f>IF(Electricity[[#This Row],[Month]]&lt;&gt;"",VLOOKUP(Electricity[[#This Row],[Month]], dropdown!$S$4:$T$15, 2, FALSE),"")</f>
        <v/>
      </c>
      <c r="L89" s="197"/>
      <c r="M89" s="246"/>
      <c r="N89" s="247"/>
      <c r="O89" s="199"/>
      <c r="P89" s="48"/>
      <c r="Q89" s="20"/>
    </row>
    <row r="90" spans="9:17" x14ac:dyDescent="0.2">
      <c r="I90" s="194" t="str">
        <f t="shared" si="2"/>
        <v/>
      </c>
      <c r="J90" s="196"/>
      <c r="K90" s="423" t="str">
        <f>IF(Electricity[[#This Row],[Month]]&lt;&gt;"",VLOOKUP(Electricity[[#This Row],[Month]], dropdown!$S$4:$T$15, 2, FALSE),"")</f>
        <v/>
      </c>
      <c r="L90" s="197"/>
      <c r="M90" s="246"/>
      <c r="N90" s="247"/>
      <c r="O90" s="199"/>
      <c r="P90" s="48"/>
      <c r="Q90" s="20"/>
    </row>
    <row r="91" spans="9:17" x14ac:dyDescent="0.2">
      <c r="I91" s="194" t="str">
        <f t="shared" si="2"/>
        <v/>
      </c>
      <c r="J91" s="196"/>
      <c r="K91" s="423" t="str">
        <f>IF(Electricity[[#This Row],[Month]]&lt;&gt;"",VLOOKUP(Electricity[[#This Row],[Month]], dropdown!$S$4:$T$15, 2, FALSE),"")</f>
        <v/>
      </c>
      <c r="L91" s="197"/>
      <c r="M91" s="246"/>
      <c r="N91" s="247"/>
      <c r="O91" s="199"/>
      <c r="P91" s="48"/>
      <c r="Q91" s="20"/>
    </row>
    <row r="92" spans="9:17" x14ac:dyDescent="0.2">
      <c r="I92" s="194" t="str">
        <f t="shared" si="2"/>
        <v/>
      </c>
      <c r="J92" s="196"/>
      <c r="K92" s="423" t="str">
        <f>IF(Electricity[[#This Row],[Month]]&lt;&gt;"",VLOOKUP(Electricity[[#This Row],[Month]], dropdown!$S$4:$T$15, 2, FALSE),"")</f>
        <v/>
      </c>
      <c r="L92" s="197"/>
      <c r="M92" s="246"/>
      <c r="N92" s="247"/>
      <c r="O92" s="199"/>
      <c r="P92" s="48"/>
      <c r="Q92" s="20"/>
    </row>
    <row r="93" spans="9:17" x14ac:dyDescent="0.2">
      <c r="I93" s="194" t="str">
        <f t="shared" si="2"/>
        <v/>
      </c>
      <c r="J93" s="196"/>
      <c r="K93" s="423" t="str">
        <f>IF(Electricity[[#This Row],[Month]]&lt;&gt;"",VLOOKUP(Electricity[[#This Row],[Month]], dropdown!$S$4:$T$15, 2, FALSE),"")</f>
        <v/>
      </c>
      <c r="L93" s="197"/>
      <c r="M93" s="246"/>
      <c r="N93" s="247"/>
      <c r="O93" s="199"/>
      <c r="P93" s="48"/>
      <c r="Q93" s="20"/>
    </row>
    <row r="94" spans="9:17" x14ac:dyDescent="0.2">
      <c r="I94" s="194" t="str">
        <f t="shared" si="2"/>
        <v/>
      </c>
      <c r="J94" s="196"/>
      <c r="K94" s="423" t="str">
        <f>IF(Electricity[[#This Row],[Month]]&lt;&gt;"",VLOOKUP(Electricity[[#This Row],[Month]], dropdown!$S$4:$T$15, 2, FALSE),"")</f>
        <v/>
      </c>
      <c r="L94" s="197"/>
      <c r="M94" s="246"/>
      <c r="N94" s="247"/>
      <c r="O94" s="199"/>
      <c r="P94" s="48"/>
      <c r="Q94" s="20"/>
    </row>
    <row r="95" spans="9:17" x14ac:dyDescent="0.2">
      <c r="I95" s="194" t="str">
        <f t="shared" si="2"/>
        <v/>
      </c>
      <c r="J95" s="196"/>
      <c r="K95" s="423" t="str">
        <f>IF(Electricity[[#This Row],[Month]]&lt;&gt;"",VLOOKUP(Electricity[[#This Row],[Month]], dropdown!$S$4:$T$15, 2, FALSE),"")</f>
        <v/>
      </c>
      <c r="L95" s="197"/>
      <c r="M95" s="246"/>
      <c r="N95" s="247"/>
      <c r="O95" s="199"/>
      <c r="P95" s="48"/>
      <c r="Q95" s="20"/>
    </row>
    <row r="96" spans="9:17" x14ac:dyDescent="0.2">
      <c r="I96" s="194" t="str">
        <f t="shared" si="2"/>
        <v/>
      </c>
      <c r="J96" s="196"/>
      <c r="K96" s="423" t="str">
        <f>IF(Electricity[[#This Row],[Month]]&lt;&gt;"",VLOOKUP(Electricity[[#This Row],[Month]], dropdown!$S$4:$T$15, 2, FALSE),"")</f>
        <v/>
      </c>
      <c r="L96" s="197"/>
      <c r="M96" s="246"/>
      <c r="N96" s="247"/>
      <c r="O96" s="199"/>
      <c r="P96" s="48"/>
      <c r="Q96" s="20"/>
    </row>
    <row r="97" spans="9:17" x14ac:dyDescent="0.2">
      <c r="I97" s="194" t="str">
        <f t="shared" si="2"/>
        <v/>
      </c>
      <c r="J97" s="196"/>
      <c r="K97" s="423" t="str">
        <f>IF(Electricity[[#This Row],[Month]]&lt;&gt;"",VLOOKUP(Electricity[[#This Row],[Month]], dropdown!$S$4:$T$15, 2, FALSE),"")</f>
        <v/>
      </c>
      <c r="L97" s="197"/>
      <c r="M97" s="246"/>
      <c r="N97" s="247"/>
      <c r="O97" s="199"/>
      <c r="P97" s="48"/>
      <c r="Q97" s="20"/>
    </row>
    <row r="98" spans="9:17" x14ac:dyDescent="0.2">
      <c r="I98" s="194" t="str">
        <f t="shared" si="2"/>
        <v/>
      </c>
      <c r="J98" s="196"/>
      <c r="K98" s="423" t="str">
        <f>IF(Electricity[[#This Row],[Month]]&lt;&gt;"",VLOOKUP(Electricity[[#This Row],[Month]], dropdown!$S$4:$T$15, 2, FALSE),"")</f>
        <v/>
      </c>
      <c r="L98" s="197"/>
      <c r="M98" s="246"/>
      <c r="N98" s="247"/>
      <c r="O98" s="199"/>
      <c r="P98" s="48"/>
      <c r="Q98" s="20"/>
    </row>
    <row r="99" spans="9:17" x14ac:dyDescent="0.2">
      <c r="I99" s="194" t="str">
        <f t="shared" si="2"/>
        <v/>
      </c>
      <c r="J99" s="196"/>
      <c r="K99" s="423" t="str">
        <f>IF(Electricity[[#This Row],[Month]]&lt;&gt;"",VLOOKUP(Electricity[[#This Row],[Month]], dropdown!$S$4:$T$15, 2, FALSE),"")</f>
        <v/>
      </c>
      <c r="L99" s="197"/>
      <c r="M99" s="246"/>
      <c r="N99" s="247"/>
      <c r="O99" s="199"/>
      <c r="P99" s="48"/>
      <c r="Q99" s="20"/>
    </row>
    <row r="100" spans="9:17" x14ac:dyDescent="0.2">
      <c r="I100" s="194" t="str">
        <f t="shared" si="2"/>
        <v/>
      </c>
      <c r="J100" s="196"/>
      <c r="K100" s="423" t="str">
        <f>IF(Electricity[[#This Row],[Month]]&lt;&gt;"",VLOOKUP(Electricity[[#This Row],[Month]], dropdown!$S$4:$T$15, 2, FALSE),"")</f>
        <v/>
      </c>
      <c r="L100" s="197"/>
      <c r="M100" s="246"/>
      <c r="N100" s="247"/>
      <c r="O100" s="199"/>
      <c r="P100" s="48"/>
      <c r="Q100" s="20"/>
    </row>
    <row r="101" spans="9:17" x14ac:dyDescent="0.2">
      <c r="I101" s="194" t="str">
        <f t="shared" si="2"/>
        <v/>
      </c>
      <c r="J101" s="196"/>
      <c r="K101" s="423" t="str">
        <f>IF(Electricity[[#This Row],[Month]]&lt;&gt;"",VLOOKUP(Electricity[[#This Row],[Month]], dropdown!$S$4:$T$15, 2, FALSE),"")</f>
        <v/>
      </c>
      <c r="L101" s="197"/>
      <c r="M101" s="246"/>
      <c r="N101" s="247"/>
      <c r="O101" s="199"/>
      <c r="P101" s="48"/>
      <c r="Q101" s="20"/>
    </row>
    <row r="102" spans="9:17" x14ac:dyDescent="0.2">
      <c r="I102" s="194" t="str">
        <f t="shared" si="2"/>
        <v/>
      </c>
      <c r="J102" s="196"/>
      <c r="K102" s="423" t="str">
        <f>IF(Electricity[[#This Row],[Month]]&lt;&gt;"",VLOOKUP(Electricity[[#This Row],[Month]], dropdown!$S$4:$T$15, 2, FALSE),"")</f>
        <v/>
      </c>
      <c r="L102" s="197"/>
      <c r="M102" s="246"/>
      <c r="N102" s="247"/>
      <c r="O102" s="199"/>
      <c r="P102" s="48"/>
      <c r="Q102" s="20"/>
    </row>
    <row r="103" spans="9:17" x14ac:dyDescent="0.2">
      <c r="I103" s="194" t="str">
        <f t="shared" si="2"/>
        <v/>
      </c>
      <c r="J103" s="196"/>
      <c r="K103" s="423" t="str">
        <f>IF(Electricity[[#This Row],[Month]]&lt;&gt;"",VLOOKUP(Electricity[[#This Row],[Month]], dropdown!$S$4:$T$15, 2, FALSE),"")</f>
        <v/>
      </c>
      <c r="L103" s="197"/>
      <c r="M103" s="246"/>
      <c r="N103" s="247"/>
      <c r="O103" s="199"/>
      <c r="P103" s="48"/>
      <c r="Q103" s="20"/>
    </row>
    <row r="104" spans="9:17" x14ac:dyDescent="0.2">
      <c r="I104" s="194" t="str">
        <f t="shared" si="2"/>
        <v/>
      </c>
      <c r="J104" s="196"/>
      <c r="K104" s="423" t="str">
        <f>IF(Electricity[[#This Row],[Month]]&lt;&gt;"",VLOOKUP(Electricity[[#This Row],[Month]], dropdown!$S$4:$T$15, 2, FALSE),"")</f>
        <v/>
      </c>
      <c r="L104" s="197"/>
      <c r="M104" s="246"/>
      <c r="N104" s="247"/>
      <c r="O104" s="199"/>
      <c r="P104" s="48"/>
      <c r="Q104" s="20"/>
    </row>
    <row r="105" spans="9:17" x14ac:dyDescent="0.2">
      <c r="I105" s="194" t="str">
        <f t="shared" si="2"/>
        <v/>
      </c>
      <c r="J105" s="196"/>
      <c r="K105" s="423" t="str">
        <f>IF(Electricity[[#This Row],[Month]]&lt;&gt;"",VLOOKUP(Electricity[[#This Row],[Month]], dropdown!$S$4:$T$15, 2, FALSE),"")</f>
        <v/>
      </c>
      <c r="L105" s="197"/>
      <c r="M105" s="246"/>
      <c r="N105" s="247"/>
      <c r="O105" s="199"/>
      <c r="P105" s="48"/>
      <c r="Q105" s="20"/>
    </row>
    <row r="106" spans="9:17" x14ac:dyDescent="0.2">
      <c r="I106" s="194" t="str">
        <f t="shared" si="2"/>
        <v/>
      </c>
      <c r="J106" s="196"/>
      <c r="K106" s="423" t="str">
        <f>IF(Electricity[[#This Row],[Month]]&lt;&gt;"",VLOOKUP(Electricity[[#This Row],[Month]], dropdown!$S$4:$T$15, 2, FALSE),"")</f>
        <v/>
      </c>
      <c r="L106" s="197"/>
      <c r="M106" s="246"/>
      <c r="N106" s="247"/>
      <c r="O106" s="199"/>
      <c r="P106" s="48"/>
      <c r="Q106" s="20"/>
    </row>
    <row r="107" spans="9:17" x14ac:dyDescent="0.2">
      <c r="I107" s="194" t="str">
        <f t="shared" si="2"/>
        <v/>
      </c>
      <c r="J107" s="196"/>
      <c r="K107" s="423"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5" t="s">
        <v>210</v>
      </c>
      <c r="J3" s="285"/>
      <c r="K3" s="285"/>
      <c r="L3" s="285"/>
      <c r="M3" s="285"/>
      <c r="N3" s="289"/>
    </row>
    <row r="4" spans="2:16" x14ac:dyDescent="0.2">
      <c r="B4" s="161" t="str">
        <f>'1. Data Info and Summary'!$D$2</f>
        <v>Batac Branch</v>
      </c>
      <c r="C4" s="37"/>
      <c r="D4" s="38">
        <f>IF('1. Data Info and Summary'!$D$3=0,"-",'1. Data Info and Summary'!$D$3)</f>
        <v>2025</v>
      </c>
      <c r="E4" s="37"/>
      <c r="F4" s="37" t="s">
        <v>211</v>
      </c>
      <c r="G4" s="39"/>
      <c r="I4" s="426"/>
      <c r="J4" s="293"/>
      <c r="K4" s="293"/>
      <c r="L4" s="293"/>
      <c r="M4" s="293"/>
      <c r="N4" s="297"/>
    </row>
    <row r="5" spans="2:16" x14ac:dyDescent="0.2">
      <c r="B5" s="271"/>
      <c r="D5" s="271"/>
    </row>
    <row r="6" spans="2:16" ht="30" x14ac:dyDescent="0.2">
      <c r="B6" s="278" t="s">
        <v>172</v>
      </c>
      <c r="C6" s="449"/>
      <c r="D6" s="450"/>
      <c r="E6" s="450"/>
      <c r="F6" s="450"/>
      <c r="G6" s="451"/>
      <c r="I6" s="248" t="s">
        <v>173</v>
      </c>
      <c r="J6" s="249" t="s">
        <v>39</v>
      </c>
      <c r="K6" s="249" t="s">
        <v>43</v>
      </c>
      <c r="L6" s="250" t="s">
        <v>115</v>
      </c>
      <c r="M6" s="352" t="s">
        <v>212</v>
      </c>
      <c r="N6" s="253" t="s">
        <v>54</v>
      </c>
      <c r="O6" s="349"/>
    </row>
    <row r="7" spans="2:16" x14ac:dyDescent="0.2">
      <c r="B7" s="278" t="s">
        <v>174</v>
      </c>
      <c r="C7" s="449"/>
      <c r="D7" s="450"/>
      <c r="E7" s="450"/>
      <c r="F7" s="450"/>
      <c r="G7" s="451"/>
      <c r="I7" s="194" t="str">
        <f>IF(Electricity6[[#This Row],[Month]]="","",1)</f>
        <v/>
      </c>
      <c r="J7" s="58"/>
      <c r="K7" s="18" t="str">
        <f>IF(Electricity6[[#This Row],[Month]]&lt;&gt;"",VLOOKUP(Electricity6[[#This Row],[Month]], dropdown!$S$4:$T$15, 2, FALSE),"")</f>
        <v/>
      </c>
      <c r="L7" s="29"/>
      <c r="M7" s="350"/>
      <c r="N7" s="195" t="s">
        <v>1580</v>
      </c>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zoomScaleNormal="100" workbookViewId="0">
      <selection activeCell="L12" sqref="L12"/>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Batac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9" t="s">
        <v>1609</v>
      </c>
      <c r="D6" s="450"/>
      <c r="E6" s="450"/>
      <c r="F6" s="450"/>
      <c r="G6" s="451"/>
      <c r="I6" s="134" t="s">
        <v>120</v>
      </c>
      <c r="J6" s="65"/>
      <c r="K6" s="65"/>
      <c r="L6" s="65"/>
      <c r="M6" s="65"/>
      <c r="N6" s="66"/>
      <c r="P6" s="134" t="s">
        <v>128</v>
      </c>
      <c r="Q6" s="65"/>
      <c r="R6" s="65"/>
      <c r="S6" s="65"/>
      <c r="T6" s="66"/>
      <c r="U6" s="66"/>
      <c r="W6" s="20"/>
    </row>
    <row r="7" spans="2:23" ht="12.75" customHeight="1" x14ac:dyDescent="0.2">
      <c r="B7" s="278" t="s">
        <v>174</v>
      </c>
      <c r="C7" s="453" t="s">
        <v>1459</v>
      </c>
      <c r="D7" s="450"/>
      <c r="E7" s="450"/>
      <c r="F7" s="450"/>
      <c r="G7" s="451"/>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34</v>
      </c>
      <c r="N8" s="195"/>
      <c r="O8" s="44"/>
      <c r="P8" s="194">
        <f>IF($T8="","",1)</f>
        <v>1</v>
      </c>
      <c r="Q8" s="58" t="s">
        <v>338</v>
      </c>
      <c r="R8" s="18" t="str">
        <f>IF(water_out[[#This Row],[Month]]&lt;&gt;"",VLOOKUP(water_out[[#This Row],[Month]], dropdown!$S$4:$T$15, 2, FALSE),"")</f>
        <v>Q1</v>
      </c>
      <c r="S8" s="60" t="s">
        <v>133</v>
      </c>
      <c r="T8" s="29">
        <v>34</v>
      </c>
      <c r="U8" s="195" t="s">
        <v>1573</v>
      </c>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28</v>
      </c>
      <c r="N9" s="195"/>
      <c r="O9" s="44"/>
      <c r="P9" s="194">
        <f>IF($T9="","",$P8+1)</f>
        <v>2</v>
      </c>
      <c r="Q9" s="58" t="s">
        <v>89</v>
      </c>
      <c r="R9" s="18" t="str">
        <f>IF(water_out[[#This Row],[Month]]&lt;&gt;"",VLOOKUP(water_out[[#This Row],[Month]], dropdown!$S$4:$T$15, 2, FALSE),"")</f>
        <v>Q1</v>
      </c>
      <c r="S9" s="60" t="s">
        <v>133</v>
      </c>
      <c r="T9" s="29">
        <v>28</v>
      </c>
      <c r="U9" s="195" t="s">
        <v>1573</v>
      </c>
      <c r="W9" s="20"/>
    </row>
    <row r="10" spans="2:23" ht="14" x14ac:dyDescent="0.2">
      <c r="B10" s="13" t="s">
        <v>157</v>
      </c>
      <c r="C10" s="13" t="s">
        <v>51</v>
      </c>
      <c r="D10" s="40" t="s">
        <v>45</v>
      </c>
      <c r="E10" s="40" t="s">
        <v>149</v>
      </c>
      <c r="F10" s="40" t="s">
        <v>150</v>
      </c>
      <c r="G10" s="40" t="s">
        <v>151</v>
      </c>
      <c r="I10" s="194">
        <f t="shared" ref="I10:I73" si="0">IF($M10="","",$I9+1)</f>
        <v>3</v>
      </c>
      <c r="J10" s="58" t="s">
        <v>362</v>
      </c>
      <c r="K10" s="423" t="str">
        <f>IF(water_in[[#This Row],[Month]]&lt;&gt;"",VLOOKUP(water_in[[#This Row],[Month]], dropdown!$S$4:$T$15, 2, FALSE),"")</f>
        <v>Q1</v>
      </c>
      <c r="L10" s="58" t="s">
        <v>124</v>
      </c>
      <c r="M10" s="29">
        <v>49</v>
      </c>
      <c r="N10" s="195"/>
      <c r="O10" s="44"/>
      <c r="P10" s="194">
        <f t="shared" ref="P10:P73" si="1">IF($T10="","",$P9+1)</f>
        <v>3</v>
      </c>
      <c r="Q10" s="58" t="s">
        <v>362</v>
      </c>
      <c r="R10" s="18" t="str">
        <f>IF(water_out[[#This Row],[Month]]&lt;&gt;"",VLOOKUP(water_out[[#This Row],[Month]], dropdown!$S$4:$T$15, 2, FALSE),"")</f>
        <v>Q1</v>
      </c>
      <c r="S10" s="60" t="s">
        <v>133</v>
      </c>
      <c r="T10" s="29">
        <v>49</v>
      </c>
      <c r="U10" s="195" t="s">
        <v>1573</v>
      </c>
      <c r="W10" s="20"/>
    </row>
    <row r="11" spans="2:23" ht="14" x14ac:dyDescent="0.2">
      <c r="B11" s="17" t="s">
        <v>120</v>
      </c>
      <c r="C11" s="17" t="s">
        <v>220</v>
      </c>
      <c r="D11" s="41">
        <f>SUMIFS(water_in[Volume (m3)],water_in[Quarter],D$10)</f>
        <v>111</v>
      </c>
      <c r="E11" s="41">
        <f>SUMIFS(water_in[Volume (m3)],water_in[Quarter],E$10)</f>
        <v>141</v>
      </c>
      <c r="F11" s="41">
        <f>SUMIFS(water_in[Volume (m3)],water_in[Quarter],F$10)</f>
        <v>0</v>
      </c>
      <c r="G11" s="41">
        <f>SUMIFS(water_in[Volume (m3)],water_in[Quarter],G$10)</f>
        <v>0</v>
      </c>
      <c r="I11" s="194">
        <f t="shared" si="0"/>
        <v>4</v>
      </c>
      <c r="J11" s="58" t="s">
        <v>371</v>
      </c>
      <c r="K11" s="423" t="str">
        <f>IF(water_in[[#This Row],[Month]]&lt;&gt;"",VLOOKUP(water_in[[#This Row],[Month]], dropdown!$S$4:$T$15, 2, FALSE),"")</f>
        <v>Q2</v>
      </c>
      <c r="L11" s="58" t="s">
        <v>124</v>
      </c>
      <c r="M11" s="29">
        <v>17</v>
      </c>
      <c r="N11" s="195"/>
      <c r="O11" s="44"/>
      <c r="P11" s="194">
        <f t="shared" si="1"/>
        <v>4</v>
      </c>
      <c r="Q11" s="58" t="s">
        <v>371</v>
      </c>
      <c r="R11" s="18" t="str">
        <f>IF(water_out[[#This Row],[Month]]&lt;&gt;"",VLOOKUP(water_out[[#This Row],[Month]], dropdown!$S$4:$T$15, 2, FALSE),"")</f>
        <v>Q2</v>
      </c>
      <c r="S11" s="60" t="s">
        <v>133</v>
      </c>
      <c r="T11" s="29">
        <v>17</v>
      </c>
      <c r="U11" s="195" t="s">
        <v>1573</v>
      </c>
      <c r="W11" s="20"/>
    </row>
    <row r="12" spans="2:23" ht="14" x14ac:dyDescent="0.2">
      <c r="B12" s="17" t="s">
        <v>128</v>
      </c>
      <c r="C12" s="17" t="s">
        <v>220</v>
      </c>
      <c r="D12" s="41">
        <f>SUMIFS(water_out[Volume2 (m3)],water_out[Quarter],D$10)</f>
        <v>111</v>
      </c>
      <c r="E12" s="41">
        <f>SUMIFS(water_out[Volume2 (m3)],water_out[Quarter],E$10)</f>
        <v>141</v>
      </c>
      <c r="F12" s="41">
        <f>SUMIFS(water_out[Volume2 (m3)],water_out[Quarter],F$10)</f>
        <v>0</v>
      </c>
      <c r="G12" s="41">
        <f>SUMIFS(water_out[Volume2 (m3)],water_out[Quarter],G$10)</f>
        <v>0</v>
      </c>
      <c r="I12" s="194">
        <f t="shared" si="0"/>
        <v>5</v>
      </c>
      <c r="J12" s="58" t="s">
        <v>379</v>
      </c>
      <c r="K12" s="423" t="str">
        <f>IF(water_in[[#This Row],[Month]]&lt;&gt;"",VLOOKUP(water_in[[#This Row],[Month]], dropdown!$S$4:$T$15, 2, FALSE),"")</f>
        <v>Q2</v>
      </c>
      <c r="L12" s="58" t="s">
        <v>124</v>
      </c>
      <c r="M12" s="29">
        <v>40</v>
      </c>
      <c r="N12" s="195"/>
      <c r="O12" s="44" t="str">
        <f>IF(J12="","",VLOOKUP($J12,dropdown!$S$3:$T$15,2,FALSE))</f>
        <v>Q2</v>
      </c>
      <c r="P12" s="194">
        <f t="shared" si="1"/>
        <v>5</v>
      </c>
      <c r="Q12" s="58" t="s">
        <v>379</v>
      </c>
      <c r="R12" s="18" t="str">
        <f>IF(water_out[[#This Row],[Month]]&lt;&gt;"",VLOOKUP(water_out[[#This Row],[Month]], dropdown!$S$4:$T$15, 2, FALSE),"")</f>
        <v>Q2</v>
      </c>
      <c r="S12" s="60" t="s">
        <v>133</v>
      </c>
      <c r="T12" s="29">
        <v>40</v>
      </c>
      <c r="U12" s="195" t="s">
        <v>1573</v>
      </c>
      <c r="W12" s="20"/>
    </row>
    <row r="13" spans="2:23" ht="14" x14ac:dyDescent="0.2">
      <c r="D13" s="167" t="str">
        <f>IF(SUM(D$11:D$12)&gt;0,"x","")</f>
        <v>x</v>
      </c>
      <c r="E13" s="167" t="str">
        <f>IF(SUM(E$11:E$12)&gt;0,"x","")</f>
        <v>x</v>
      </c>
      <c r="F13" s="167" t="str">
        <f>IF(SUM(F$11:F$12)&gt;0,"x","")</f>
        <v/>
      </c>
      <c r="G13" s="167" t="str">
        <f>IF(SUM(G$11:G$12)&gt;0,"x","")</f>
        <v/>
      </c>
      <c r="I13" s="194">
        <f t="shared" si="0"/>
        <v>6</v>
      </c>
      <c r="J13" s="58" t="s">
        <v>386</v>
      </c>
      <c r="K13" s="423" t="str">
        <f>IF(water_in[[#This Row],[Month]]&lt;&gt;"",VLOOKUP(water_in[[#This Row],[Month]], dropdown!$S$4:$T$15, 2, FALSE),"")</f>
        <v>Q2</v>
      </c>
      <c r="L13" s="58" t="s">
        <v>124</v>
      </c>
      <c r="M13" s="29">
        <v>84</v>
      </c>
      <c r="N13" s="195"/>
      <c r="O13" s="44" t="str">
        <f>IF(J13="","",VLOOKUP($J13,dropdown!$S$3:$T$15,2,FALSE))</f>
        <v>Q2</v>
      </c>
      <c r="P13" s="194">
        <f t="shared" si="1"/>
        <v>6</v>
      </c>
      <c r="Q13" s="58" t="s">
        <v>386</v>
      </c>
      <c r="R13" s="18" t="str">
        <f>IF(water_out[[#This Row],[Month]]&lt;&gt;"",VLOOKUP(water_out[[#This Row],[Month]], dropdown!$S$4:$T$15, 2, FALSE),"")</f>
        <v>Q2</v>
      </c>
      <c r="S13" s="60" t="s">
        <v>133</v>
      </c>
      <c r="T13" s="29">
        <v>84</v>
      </c>
      <c r="U13" s="195" t="s">
        <v>1573</v>
      </c>
      <c r="W13" s="20"/>
    </row>
    <row r="14" spans="2:23" ht="14" x14ac:dyDescent="0.2">
      <c r="B14" s="119" t="s">
        <v>38</v>
      </c>
      <c r="I14" s="194" t="str">
        <f t="shared" si="0"/>
        <v/>
      </c>
      <c r="J14" s="58"/>
      <c r="K14" s="423"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3"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3"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3"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3"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3"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3"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3"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3"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3"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3"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3"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3"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3"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3"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3"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3"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3"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3"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3"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3"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3"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3"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3"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3"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3"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3"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3"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3"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3"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3"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3"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3"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3"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3"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3"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3"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3"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3"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3"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3"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3"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3"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3"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3"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3"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3"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3"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3"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3"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3"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3"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3"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3"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3"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3"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3"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3"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3"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3"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3"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3"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3"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3"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3"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3"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3"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3"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3"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3"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3"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3"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3"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3"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3"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3"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3"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3"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3"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3"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3"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3"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3"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3"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3"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3"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3"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3"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3"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3"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3"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3"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3"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3"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Batac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zoomScaleNormal="100" workbookViewId="0">
      <selection activeCell="J19" sqref="J19"/>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Batac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9" t="s">
        <v>1609</v>
      </c>
      <c r="D6" s="450"/>
      <c r="E6" s="450"/>
      <c r="F6" s="450"/>
      <c r="G6" s="451"/>
      <c r="I6" s="407" t="s">
        <v>282</v>
      </c>
      <c r="J6" s="405"/>
      <c r="K6" s="405"/>
      <c r="L6" s="405"/>
      <c r="M6" s="406"/>
      <c r="N6" s="405"/>
      <c r="O6" s="405"/>
      <c r="Q6" s="44"/>
    </row>
    <row r="7" spans="2:17" ht="25.5" customHeight="1" x14ac:dyDescent="0.2">
      <c r="B7" s="278" t="s">
        <v>174</v>
      </c>
      <c r="C7" s="453" t="s">
        <v>1610</v>
      </c>
      <c r="D7" s="450"/>
      <c r="E7" s="450"/>
      <c r="F7" s="450"/>
      <c r="G7" s="451"/>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2000</v>
      </c>
      <c r="N8" s="57" t="s">
        <v>313</v>
      </c>
      <c r="O8" s="195" t="s">
        <v>1612</v>
      </c>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2200</v>
      </c>
      <c r="N9" s="57" t="s">
        <v>313</v>
      </c>
      <c r="O9" s="195" t="s">
        <v>1612</v>
      </c>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139</v>
      </c>
      <c r="M10" s="29">
        <v>2100</v>
      </c>
      <c r="N10" s="57" t="s">
        <v>313</v>
      </c>
      <c r="O10" s="195" t="s">
        <v>1612</v>
      </c>
      <c r="Q10" s="44"/>
    </row>
    <row r="11" spans="2:17" x14ac:dyDescent="0.2">
      <c r="B11" s="17" t="str">
        <f>dropdown!$B4</f>
        <v>Compostable</v>
      </c>
      <c r="C11" s="17" t="s">
        <v>283</v>
      </c>
      <c r="D11" s="41">
        <f>SUMIFS(Waste[Weight (kg)],Waste[Quarter],D$10,Waste[Waste Composition],$B$11)</f>
        <v>6300</v>
      </c>
      <c r="E11" s="41">
        <f>SUMIFS(Waste[Weight (kg)],Waste[Quarter],E$10,Waste[Waste Composition],$B11)</f>
        <v>6300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139</v>
      </c>
      <c r="M11" s="29">
        <v>2100</v>
      </c>
      <c r="N11" s="57" t="s">
        <v>313</v>
      </c>
      <c r="O11" s="195" t="s">
        <v>1612</v>
      </c>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139</v>
      </c>
      <c r="M12" s="29">
        <v>2100</v>
      </c>
      <c r="N12" s="57" t="s">
        <v>313</v>
      </c>
      <c r="O12" s="195" t="s">
        <v>1612</v>
      </c>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139</v>
      </c>
      <c r="M13" s="29">
        <v>2100</v>
      </c>
      <c r="N13" s="57" t="s">
        <v>313</v>
      </c>
      <c r="O13" s="195" t="s">
        <v>1612</v>
      </c>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t="str">
        <f t="shared" si="0"/>
        <v/>
      </c>
      <c r="J14" s="58"/>
      <c r="K14" s="194" t="str">
        <f>IF(Waste[[#This Row],[Month]]&lt;&gt;"",VLOOKUP(Waste[[#This Row],[Month]], dropdown!$S$4:$T$15, 2, FALSE),"")</f>
        <v/>
      </c>
      <c r="L14" s="57"/>
      <c r="M14" s="29"/>
      <c r="N14" s="57"/>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t="str">
        <f t="shared" si="0"/>
        <v/>
      </c>
      <c r="J15" s="58"/>
      <c r="K15" s="194" t="str">
        <f>IF(Waste[[#This Row],[Month]]&lt;&gt;"",VLOOKUP(Waste[[#This Row],[Month]], dropdown!$S$4:$T$15, 2, FALSE),"")</f>
        <v/>
      </c>
      <c r="L15" s="57"/>
      <c r="M15" s="29"/>
      <c r="N15" s="57"/>
      <c r="O15" s="195"/>
    </row>
    <row r="16" spans="2:17" x14ac:dyDescent="0.2">
      <c r="B16" s="17" t="str">
        <f>dropdown!$B9</f>
        <v>Residual/Landfill</v>
      </c>
      <c r="C16" s="17" t="s">
        <v>283</v>
      </c>
      <c r="D16" s="41">
        <f>SUMIFS(Waste[Weight (kg)],Waste[Quarter],D$10,Waste[Waste Composition],$B16)</f>
        <v>0</v>
      </c>
      <c r="E16" s="41">
        <f>SUMIFS(Waste[Weight (kg)],Waste[Quarter],E$10,Waste[Waste Composition],$B16)</f>
        <v>0</v>
      </c>
      <c r="F16" s="41">
        <f>SUMIFS(Waste[Weight (kg)],Waste[Quarter],F$10,Waste[Waste Composition],$B16)</f>
        <v>0</v>
      </c>
      <c r="G16" s="41">
        <f>SUMIFS(Waste[Weight (kg)],Waste[Quarter],G$10,Waste[Waste Composition],$B16)</f>
        <v>0</v>
      </c>
      <c r="I16" s="194" t="str">
        <f t="shared" si="0"/>
        <v/>
      </c>
      <c r="J16" s="58"/>
      <c r="K16" s="194" t="str">
        <f>IF(Waste[[#This Row],[Month]]&lt;&gt;"",VLOOKUP(Waste[[#This Row],[Month]], dropdown!$S$4:$T$15, 2, FALSE),"")</f>
        <v/>
      </c>
      <c r="L16" s="57"/>
      <c r="M16" s="29"/>
      <c r="N16" s="57"/>
      <c r="O16" s="195"/>
    </row>
    <row r="17" spans="2:15" x14ac:dyDescent="0.2">
      <c r="I17" s="194" t="str">
        <f t="shared" si="0"/>
        <v/>
      </c>
      <c r="J17" s="58"/>
      <c r="K17" s="194" t="str">
        <f>IF(Waste[[#This Row],[Month]]&lt;&gt;"",VLOOKUP(Waste[[#This Row],[Month]], dropdown!$S$4:$T$15, 2, FALSE),"")</f>
        <v/>
      </c>
      <c r="L17" s="57"/>
      <c r="M17" s="29"/>
      <c r="N17" s="57"/>
      <c r="O17" s="195"/>
    </row>
    <row r="18" spans="2:15" x14ac:dyDescent="0.2">
      <c r="B18" s="267" t="s">
        <v>38</v>
      </c>
      <c r="I18" s="194" t="str">
        <f t="shared" si="0"/>
        <v/>
      </c>
      <c r="J18" s="58"/>
      <c r="K18" s="194" t="str">
        <f>IF(Waste[[#This Row],[Month]]&lt;&gt;"",VLOOKUP(Waste[[#This Row],[Month]], dropdown!$S$4:$T$15, 2, FALSE),"")</f>
        <v/>
      </c>
      <c r="L18" s="57"/>
      <c r="M18" s="29"/>
      <c r="N18" s="57"/>
      <c r="O18" s="195"/>
    </row>
    <row r="19" spans="2:15" x14ac:dyDescent="0.2">
      <c r="B19" s="268" t="s">
        <v>175</v>
      </c>
      <c r="I19" s="194" t="str">
        <f t="shared" ref="I19" si="1">IF($J19="","",$I18+1)</f>
        <v/>
      </c>
      <c r="J19" s="58"/>
      <c r="K19" s="194" t="str">
        <f>IF(Waste[[#This Row],[Month]]&lt;&gt;"",VLOOKUP(Waste[[#This Row],[Month]], dropdown!$S$4:$T$15, 2, FALSE),"")</f>
        <v/>
      </c>
      <c r="L19" s="57"/>
      <c r="M19" s="29"/>
      <c r="N19" s="57"/>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28"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Batac Branch</v>
      </c>
      <c r="E6" s="466" t="s">
        <v>284</v>
      </c>
      <c r="F6" s="466"/>
      <c r="G6" s="466"/>
      <c r="H6" s="466"/>
      <c r="I6" s="466"/>
      <c r="J6" s="466"/>
      <c r="K6" s="466"/>
      <c r="L6" s="466"/>
      <c r="M6" s="466"/>
      <c r="N6" s="466"/>
      <c r="O6" s="466"/>
      <c r="P6" s="466"/>
      <c r="Q6" s="466"/>
    </row>
    <row r="7" spans="2:17" ht="20" customHeight="1" x14ac:dyDescent="0.2">
      <c r="B7" s="70" t="s">
        <v>12</v>
      </c>
      <c r="C7" s="59">
        <f>'1. Data Info and Summary'!$D$3</f>
        <v>2025</v>
      </c>
      <c r="E7" s="466"/>
      <c r="F7" s="466"/>
      <c r="G7" s="466"/>
      <c r="H7" s="466"/>
      <c r="I7" s="466"/>
      <c r="J7" s="466"/>
      <c r="K7" s="466"/>
      <c r="L7" s="466"/>
      <c r="M7" s="466"/>
      <c r="N7" s="466"/>
      <c r="O7" s="466"/>
      <c r="P7" s="466"/>
      <c r="Q7" s="466"/>
    </row>
    <row r="8" spans="2:17" ht="20" customHeight="1" x14ac:dyDescent="0.2">
      <c r="B8" s="71"/>
    </row>
    <row r="9" spans="2:17" x14ac:dyDescent="0.2">
      <c r="C9" s="53"/>
      <c r="E9" s="468" t="s">
        <v>285</v>
      </c>
      <c r="F9" s="468"/>
      <c r="G9" s="468"/>
      <c r="H9" s="468"/>
      <c r="I9" s="468"/>
      <c r="J9" s="468"/>
      <c r="L9" s="468" t="s">
        <v>286</v>
      </c>
      <c r="M9" s="468"/>
      <c r="N9" s="468"/>
      <c r="O9" s="468"/>
      <c r="P9" s="468"/>
      <c r="Q9" s="468"/>
    </row>
    <row r="10" spans="2:17" ht="8" customHeight="1" x14ac:dyDescent="0.2">
      <c r="B10" s="71"/>
    </row>
    <row r="11" spans="2:17" x14ac:dyDescent="0.2">
      <c r="E11" s="467" t="s">
        <v>287</v>
      </c>
      <c r="F11" s="467"/>
      <c r="G11" s="467"/>
      <c r="H11" s="467"/>
      <c r="I11" s="467"/>
      <c r="J11" s="467"/>
      <c r="L11" s="467" t="s">
        <v>288</v>
      </c>
      <c r="M11" s="467"/>
      <c r="N11" s="467"/>
      <c r="O11" s="467"/>
      <c r="P11" s="467"/>
      <c r="Q11" s="467"/>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178.08</v>
      </c>
      <c r="G13" s="73" t="str">
        <f>'1. Data Info and Summary'!$D18</f>
        <v>Liters</v>
      </c>
      <c r="I13" s="76">
        <f>VLOOKUP($E13,Emission_Factors!$A$1:$G$20,5,FALSE)</f>
        <v>2.68</v>
      </c>
      <c r="J13" s="141">
        <f>F13*I13</f>
        <v>477.25440000000009</v>
      </c>
      <c r="L13" s="73" t="s">
        <v>155</v>
      </c>
      <c r="M13" s="78">
        <f>SUM('2.3a Electricity'!$D$12:$G$12)</f>
        <v>103000</v>
      </c>
      <c r="N13" s="73" t="str">
        <f>'2.3a Electricity'!$C$12</f>
        <v>Kilowatt-hour</v>
      </c>
      <c r="P13" s="76">
        <f>VLOOKUP($L13,Emission_Factors!$A$1:$G$20,5,FALSE)</f>
        <v>0.56000000000000005</v>
      </c>
      <c r="Q13" s="141">
        <f>M13*P13</f>
        <v>57680.000000000007</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477.25440000000009</v>
      </c>
    </row>
    <row r="20" spans="5:10" x14ac:dyDescent="0.2">
      <c r="E20" s="467" t="s">
        <v>293</v>
      </c>
      <c r="F20" s="467"/>
      <c r="G20" s="467"/>
      <c r="H20" s="467"/>
      <c r="I20" s="467"/>
      <c r="J20" s="467"/>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1178.92</v>
      </c>
      <c r="G22" s="73" t="str">
        <f>'1. Data Info and Summary'!$D26</f>
        <v>Liters</v>
      </c>
      <c r="I22" s="76">
        <f>VLOOKUP($E22,Emission_Factors!$A$1:$G$20,5,FALSE)</f>
        <v>2.68</v>
      </c>
      <c r="J22" s="141">
        <f>F22*I22</f>
        <v>3159.5056000000004</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3159.5056000000004</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7.5" bestFit="1" customWidth="1"/>
    <col min="7"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75.239999999999995</v>
      </c>
      <c r="D33" s="337">
        <v>47.15</v>
      </c>
      <c r="E33" s="337">
        <v>122.38999999999999</v>
      </c>
      <c r="I33" s="20"/>
      <c r="J33" s="20"/>
      <c r="K33" s="21"/>
      <c r="L33" s="21"/>
      <c r="M33" s="22"/>
      <c r="N33" s="22"/>
      <c r="O33" s="11"/>
      <c r="P33" s="22"/>
      <c r="Q33" s="20"/>
      <c r="R33" s="20"/>
      <c r="S33" s="44"/>
    </row>
    <row r="34" spans="1:19" outlineLevel="1" x14ac:dyDescent="0.2">
      <c r="A34" s="203" t="s">
        <v>63</v>
      </c>
      <c r="B34" s="337"/>
      <c r="C34" s="337">
        <v>75.239999999999995</v>
      </c>
      <c r="D34" s="337">
        <v>47.15</v>
      </c>
      <c r="E34" s="337">
        <v>122.38999999999999</v>
      </c>
      <c r="I34" s="20"/>
      <c r="J34" s="20"/>
      <c r="K34" s="21"/>
      <c r="L34" s="21"/>
      <c r="M34" s="22"/>
      <c r="N34" s="22"/>
      <c r="O34" s="11"/>
      <c r="P34" s="22"/>
      <c r="Q34" s="20"/>
      <c r="R34" s="20"/>
      <c r="S34" s="44"/>
    </row>
    <row r="35" spans="1:19" outlineLevel="1" x14ac:dyDescent="0.2">
      <c r="A35" s="19" t="s">
        <v>365</v>
      </c>
      <c r="B35" s="337"/>
      <c r="C35" s="337">
        <v>405.88</v>
      </c>
      <c r="D35" s="337">
        <v>174.16</v>
      </c>
      <c r="E35" s="337">
        <v>580.04</v>
      </c>
      <c r="I35" s="20"/>
      <c r="J35" s="20"/>
      <c r="K35" s="21"/>
      <c r="L35" s="21"/>
      <c r="M35" s="22"/>
      <c r="N35" s="22"/>
      <c r="O35" s="11"/>
      <c r="P35" s="22"/>
      <c r="Q35" s="20"/>
      <c r="R35" s="20"/>
      <c r="S35" s="44"/>
    </row>
    <row r="36" spans="1:19" outlineLevel="1" x14ac:dyDescent="0.2">
      <c r="A36" s="203" t="s">
        <v>63</v>
      </c>
      <c r="B36" s="337"/>
      <c r="C36" s="337">
        <v>405.88</v>
      </c>
      <c r="D36" s="337">
        <v>174.16</v>
      </c>
      <c r="E36" s="337">
        <v>580.04</v>
      </c>
      <c r="H36" s="12"/>
      <c r="I36" s="20"/>
      <c r="J36" s="20"/>
      <c r="K36" s="21"/>
      <c r="L36" s="21"/>
      <c r="M36" s="22"/>
      <c r="N36" s="22"/>
      <c r="O36" s="11"/>
      <c r="P36" s="22"/>
      <c r="Q36" s="20"/>
      <c r="R36" s="20"/>
      <c r="S36" s="44"/>
    </row>
    <row r="37" spans="1:19" outlineLevel="1" x14ac:dyDescent="0.2">
      <c r="A37" s="19" t="s">
        <v>381</v>
      </c>
      <c r="B37" s="337"/>
      <c r="C37" s="337">
        <v>290.03000000000003</v>
      </c>
      <c r="D37" s="337">
        <v>186.46</v>
      </c>
      <c r="E37" s="337">
        <v>476.49</v>
      </c>
      <c r="H37" s="12"/>
      <c r="I37" s="20"/>
      <c r="J37" s="20"/>
      <c r="K37" s="21"/>
      <c r="L37" s="21"/>
      <c r="M37" s="22"/>
      <c r="N37" s="22"/>
      <c r="O37" s="11"/>
      <c r="P37" s="22"/>
      <c r="Q37" s="20"/>
      <c r="R37" s="20"/>
      <c r="S37" s="44"/>
    </row>
    <row r="38" spans="1:19" outlineLevel="1" x14ac:dyDescent="0.2">
      <c r="A38" s="203" t="s">
        <v>63</v>
      </c>
      <c r="B38" s="337"/>
      <c r="C38" s="337">
        <v>290.03000000000003</v>
      </c>
      <c r="D38" s="337">
        <v>186.46</v>
      </c>
      <c r="E38" s="337">
        <v>476.49</v>
      </c>
      <c r="H38" s="12"/>
      <c r="I38" s="20"/>
      <c r="J38" s="20"/>
      <c r="K38" s="21"/>
      <c r="L38" s="21"/>
      <c r="M38" s="22"/>
      <c r="N38" s="22"/>
      <c r="O38" s="11"/>
      <c r="P38" s="22"/>
      <c r="Q38" s="20"/>
      <c r="R38" s="20"/>
      <c r="S38" s="44"/>
    </row>
    <row r="39" spans="1:19" outlineLevel="1" x14ac:dyDescent="0.2">
      <c r="A39" s="19" t="s">
        <v>297</v>
      </c>
      <c r="B39" s="337"/>
      <c r="C39" s="337">
        <v>771.15000000000009</v>
      </c>
      <c r="D39" s="337">
        <v>407.77</v>
      </c>
      <c r="E39" s="337">
        <v>1178.92</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330"/>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45909.649699074071</v>
      </c>
      <c r="B927" t="s">
        <v>1431</v>
      </c>
      <c r="C927" t="s">
        <v>2</v>
      </c>
      <c r="D927" t="s">
        <v>1432</v>
      </c>
      <c r="E927" t="s">
        <v>349</v>
      </c>
    </row>
    <row r="928" spans="1:5" x14ac:dyDescent="0.2">
      <c r="A928" s="269">
        <v>45909.649756944447</v>
      </c>
      <c r="B928" t="s">
        <v>1431</v>
      </c>
      <c r="C928" t="s">
        <v>2</v>
      </c>
      <c r="D928" t="s">
        <v>1433</v>
      </c>
      <c r="E928">
        <v>2024</v>
      </c>
    </row>
    <row r="929" spans="1:5" x14ac:dyDescent="0.2">
      <c r="A929" s="269">
        <v>45909.652233796296</v>
      </c>
      <c r="B929" t="s">
        <v>1431</v>
      </c>
      <c r="C929" t="s">
        <v>27</v>
      </c>
      <c r="D929" t="s">
        <v>946</v>
      </c>
      <c r="E929" t="s">
        <v>37</v>
      </c>
    </row>
    <row r="930" spans="1:5" x14ac:dyDescent="0.2">
      <c r="A930" s="269">
        <v>45909.652870370373</v>
      </c>
      <c r="B930" t="s">
        <v>1431</v>
      </c>
      <c r="C930" t="s">
        <v>27</v>
      </c>
      <c r="D930" t="s">
        <v>950</v>
      </c>
      <c r="E930" t="s">
        <v>338</v>
      </c>
    </row>
    <row r="931" spans="1:5" x14ac:dyDescent="0.2">
      <c r="A931" s="269">
        <v>45909.653680555559</v>
      </c>
      <c r="B931" t="s">
        <v>1431</v>
      </c>
      <c r="C931" t="s">
        <v>103</v>
      </c>
      <c r="D931" t="s">
        <v>1435</v>
      </c>
      <c r="E931" t="s">
        <v>1434</v>
      </c>
    </row>
    <row r="932" spans="1:5" x14ac:dyDescent="0.2">
      <c r="A932" s="269">
        <v>45909.653773148151</v>
      </c>
      <c r="B932" t="s">
        <v>1431</v>
      </c>
      <c r="C932" t="s">
        <v>103</v>
      </c>
      <c r="D932" t="s">
        <v>1436</v>
      </c>
      <c r="E932" t="s">
        <v>338</v>
      </c>
    </row>
    <row r="933" spans="1:5" x14ac:dyDescent="0.2">
      <c r="A933" s="269">
        <v>45909.653796296298</v>
      </c>
      <c r="B933" t="s">
        <v>1431</v>
      </c>
      <c r="C933" t="s">
        <v>103</v>
      </c>
      <c r="D933" t="s">
        <v>1191</v>
      </c>
      <c r="E933" t="s">
        <v>89</v>
      </c>
    </row>
    <row r="934" spans="1:5" x14ac:dyDescent="0.2">
      <c r="A934" s="269">
        <v>45909.653819444444</v>
      </c>
      <c r="B934" t="s">
        <v>1431</v>
      </c>
      <c r="C934" t="s">
        <v>103</v>
      </c>
      <c r="D934" t="s">
        <v>795</v>
      </c>
      <c r="E934" t="s">
        <v>362</v>
      </c>
    </row>
    <row r="935" spans="1:5" x14ac:dyDescent="0.2">
      <c r="A935" s="269">
        <v>45909.654398148145</v>
      </c>
      <c r="B935" t="s">
        <v>1431</v>
      </c>
      <c r="C935" t="s">
        <v>103</v>
      </c>
      <c r="D935" t="s">
        <v>1013</v>
      </c>
      <c r="E935" t="s">
        <v>371</v>
      </c>
    </row>
    <row r="936" spans="1:5" x14ac:dyDescent="0.2">
      <c r="A936" s="269">
        <v>45909.654421296298</v>
      </c>
      <c r="B936" t="s">
        <v>1431</v>
      </c>
      <c r="C936" t="s">
        <v>103</v>
      </c>
      <c r="D936" t="s">
        <v>747</v>
      </c>
      <c r="E936" t="s">
        <v>379</v>
      </c>
    </row>
    <row r="937" spans="1:5" x14ac:dyDescent="0.2">
      <c r="A937" s="269">
        <v>45909.654456018521</v>
      </c>
      <c r="B937" t="s">
        <v>1431</v>
      </c>
      <c r="C937" t="s">
        <v>103</v>
      </c>
      <c r="D937" t="s">
        <v>1437</v>
      </c>
      <c r="E937" t="s">
        <v>386</v>
      </c>
    </row>
    <row r="938" spans="1:5" x14ac:dyDescent="0.2">
      <c r="A938" s="269">
        <v>45909.654479166667</v>
      </c>
      <c r="B938" t="s">
        <v>1431</v>
      </c>
      <c r="C938" t="s">
        <v>103</v>
      </c>
      <c r="D938" t="s">
        <v>1438</v>
      </c>
      <c r="E938" t="s">
        <v>390</v>
      </c>
    </row>
    <row r="939" spans="1:5" x14ac:dyDescent="0.2">
      <c r="A939" s="269">
        <v>45909.654513888891</v>
      </c>
      <c r="B939" t="s">
        <v>1431</v>
      </c>
      <c r="C939" t="s">
        <v>103</v>
      </c>
      <c r="D939" t="s">
        <v>1439</v>
      </c>
      <c r="E939" t="s">
        <v>41</v>
      </c>
    </row>
    <row r="940" spans="1:5" x14ac:dyDescent="0.2">
      <c r="A940" s="269">
        <v>45909.65452546296</v>
      </c>
      <c r="B940" t="s">
        <v>1431</v>
      </c>
      <c r="C940" t="s">
        <v>103</v>
      </c>
      <c r="D940" t="s">
        <v>672</v>
      </c>
      <c r="E940" t="s">
        <v>397</v>
      </c>
    </row>
    <row r="941" spans="1:5" x14ac:dyDescent="0.2">
      <c r="A941" s="269">
        <v>45909.654560185183</v>
      </c>
      <c r="B941" t="s">
        <v>1431</v>
      </c>
      <c r="C941" t="s">
        <v>103</v>
      </c>
      <c r="D941" t="s">
        <v>674</v>
      </c>
      <c r="E941" t="s">
        <v>400</v>
      </c>
    </row>
    <row r="942" spans="1:5" x14ac:dyDescent="0.2">
      <c r="A942" s="269">
        <v>45909.654606481483</v>
      </c>
      <c r="B942" t="s">
        <v>1431</v>
      </c>
      <c r="C942" t="s">
        <v>103</v>
      </c>
      <c r="D942" t="s">
        <v>675</v>
      </c>
      <c r="E942" t="s">
        <v>404</v>
      </c>
    </row>
    <row r="943" spans="1:5" x14ac:dyDescent="0.2">
      <c r="A943" s="269">
        <v>45909.654629629629</v>
      </c>
      <c r="B943" t="s">
        <v>1431</v>
      </c>
      <c r="C943" t="s">
        <v>103</v>
      </c>
      <c r="D943" t="s">
        <v>676</v>
      </c>
      <c r="E943" t="s">
        <v>407</v>
      </c>
    </row>
    <row r="944" spans="1:5" x14ac:dyDescent="0.2">
      <c r="A944" s="269">
        <v>45909.655034722222</v>
      </c>
      <c r="B944" t="s">
        <v>1431</v>
      </c>
      <c r="C944" t="s">
        <v>103</v>
      </c>
      <c r="D944" t="s">
        <v>1440</v>
      </c>
      <c r="E944">
        <v>15280</v>
      </c>
    </row>
    <row r="945" spans="1:5" x14ac:dyDescent="0.2">
      <c r="A945" s="269">
        <v>45909.655243055553</v>
      </c>
      <c r="B945" t="s">
        <v>1431</v>
      </c>
      <c r="C945" t="s">
        <v>103</v>
      </c>
      <c r="D945" t="s">
        <v>1441</v>
      </c>
      <c r="E945" s="438">
        <v>125021.02</v>
      </c>
    </row>
    <row r="946" spans="1:5" x14ac:dyDescent="0.2">
      <c r="A946" s="269">
        <v>45909.655393518522</v>
      </c>
      <c r="B946" t="s">
        <v>1431</v>
      </c>
      <c r="C946" t="s">
        <v>103</v>
      </c>
      <c r="D946" t="s">
        <v>937</v>
      </c>
      <c r="E946" t="s">
        <v>479</v>
      </c>
    </row>
    <row r="947" spans="1:5" x14ac:dyDescent="0.2">
      <c r="A947" s="269">
        <v>45909.655462962961</v>
      </c>
      <c r="B947" t="s">
        <v>1431</v>
      </c>
      <c r="C947" t="s">
        <v>103</v>
      </c>
      <c r="D947" t="s">
        <v>1442</v>
      </c>
      <c r="E947" t="s">
        <v>479</v>
      </c>
    </row>
    <row r="948" spans="1:5" x14ac:dyDescent="0.2">
      <c r="A948" s="269">
        <v>45909.655833333331</v>
      </c>
      <c r="B948" t="s">
        <v>1431</v>
      </c>
      <c r="C948" t="s">
        <v>103</v>
      </c>
      <c r="D948" t="s">
        <v>1443</v>
      </c>
      <c r="E948" s="439">
        <v>45909</v>
      </c>
    </row>
    <row r="949" spans="1:5" x14ac:dyDescent="0.2">
      <c r="A949" s="269">
        <v>45909.656122685185</v>
      </c>
      <c r="B949" t="s">
        <v>1431</v>
      </c>
      <c r="C949" t="s">
        <v>25</v>
      </c>
      <c r="D949" t="s">
        <v>1444</v>
      </c>
      <c r="E949" t="s">
        <v>338</v>
      </c>
    </row>
    <row r="950" spans="1:5" x14ac:dyDescent="0.2">
      <c r="A950" s="269">
        <v>45909.656168981484</v>
      </c>
      <c r="B950" t="s">
        <v>1431</v>
      </c>
      <c r="C950" t="s">
        <v>25</v>
      </c>
      <c r="D950" t="s">
        <v>951</v>
      </c>
      <c r="E950">
        <v>0</v>
      </c>
    </row>
    <row r="951" spans="1:5" x14ac:dyDescent="0.2">
      <c r="A951" s="269">
        <v>45909.656180555554</v>
      </c>
      <c r="B951" t="s">
        <v>1431</v>
      </c>
      <c r="C951" t="s">
        <v>25</v>
      </c>
      <c r="D951" t="s">
        <v>983</v>
      </c>
      <c r="E951">
        <v>0</v>
      </c>
    </row>
    <row r="952" spans="1:5" x14ac:dyDescent="0.2">
      <c r="A952" s="269">
        <v>45909.656192129631</v>
      </c>
      <c r="B952" t="s">
        <v>1431</v>
      </c>
      <c r="C952" t="s">
        <v>25</v>
      </c>
      <c r="D952" t="s">
        <v>1066</v>
      </c>
      <c r="E952">
        <v>0</v>
      </c>
    </row>
    <row r="953" spans="1:5" x14ac:dyDescent="0.2">
      <c r="A953" s="269">
        <v>45909.6562037037</v>
      </c>
      <c r="B953" t="s">
        <v>1431</v>
      </c>
      <c r="C953" t="s">
        <v>25</v>
      </c>
      <c r="D953" t="s">
        <v>994</v>
      </c>
      <c r="E953">
        <v>0</v>
      </c>
    </row>
    <row r="954" spans="1:5" x14ac:dyDescent="0.2">
      <c r="A954" s="269">
        <v>45909.6562037037</v>
      </c>
      <c r="B954" t="s">
        <v>1431</v>
      </c>
      <c r="C954" t="s">
        <v>25</v>
      </c>
      <c r="D954" t="s">
        <v>1015</v>
      </c>
      <c r="E954">
        <v>0</v>
      </c>
    </row>
    <row r="955" spans="1:5" x14ac:dyDescent="0.2">
      <c r="A955" s="269">
        <v>45909.656226851854</v>
      </c>
      <c r="B955" t="s">
        <v>1431</v>
      </c>
      <c r="C955" t="s">
        <v>25</v>
      </c>
      <c r="D955" t="s">
        <v>1018</v>
      </c>
      <c r="E955">
        <v>0</v>
      </c>
    </row>
    <row r="956" spans="1:5" x14ac:dyDescent="0.2">
      <c r="A956" s="269">
        <v>45909.656226851854</v>
      </c>
      <c r="B956" t="s">
        <v>1431</v>
      </c>
      <c r="C956" t="s">
        <v>25</v>
      </c>
      <c r="D956" t="s">
        <v>1068</v>
      </c>
      <c r="E956">
        <v>0</v>
      </c>
    </row>
    <row r="957" spans="1:5" x14ac:dyDescent="0.2">
      <c r="A957" s="269">
        <v>45909.656238425923</v>
      </c>
      <c r="B957" t="s">
        <v>1431</v>
      </c>
      <c r="C957" t="s">
        <v>25</v>
      </c>
      <c r="D957" t="s">
        <v>1069</v>
      </c>
      <c r="E957">
        <v>0</v>
      </c>
    </row>
    <row r="958" spans="1:5" x14ac:dyDescent="0.2">
      <c r="A958" s="269">
        <v>45909.656284722223</v>
      </c>
      <c r="B958" t="s">
        <v>1431</v>
      </c>
      <c r="C958" t="s">
        <v>25</v>
      </c>
      <c r="D958" t="s">
        <v>1445</v>
      </c>
      <c r="E958">
        <v>0</v>
      </c>
    </row>
    <row r="959" spans="1:5" x14ac:dyDescent="0.2">
      <c r="A959" s="269">
        <v>45909.656284722223</v>
      </c>
      <c r="B959" t="s">
        <v>1431</v>
      </c>
      <c r="C959" t="s">
        <v>25</v>
      </c>
      <c r="D959" t="s">
        <v>1446</v>
      </c>
      <c r="E959">
        <v>0</v>
      </c>
    </row>
    <row r="960" spans="1:5" x14ac:dyDescent="0.2">
      <c r="A960" s="269">
        <v>45909.6562962963</v>
      </c>
      <c r="B960" t="s">
        <v>1431</v>
      </c>
      <c r="C960" t="s">
        <v>25</v>
      </c>
      <c r="D960" t="s">
        <v>1447</v>
      </c>
      <c r="E960">
        <v>0</v>
      </c>
    </row>
    <row r="961" spans="1:5" x14ac:dyDescent="0.2">
      <c r="A961" s="269">
        <v>45909.6562962963</v>
      </c>
      <c r="B961" t="s">
        <v>1431</v>
      </c>
      <c r="C961" t="s">
        <v>25</v>
      </c>
      <c r="D961" t="s">
        <v>1448</v>
      </c>
      <c r="E961">
        <v>0</v>
      </c>
    </row>
    <row r="962" spans="1:5" x14ac:dyDescent="0.2">
      <c r="A962" s="269">
        <v>45909.656354166669</v>
      </c>
      <c r="B962" t="s">
        <v>1431</v>
      </c>
      <c r="C962" t="s">
        <v>25</v>
      </c>
      <c r="D962" t="s">
        <v>777</v>
      </c>
      <c r="E962">
        <v>0</v>
      </c>
    </row>
    <row r="963" spans="1:5" x14ac:dyDescent="0.2">
      <c r="A963" s="269">
        <v>45909.656354166669</v>
      </c>
      <c r="B963" t="s">
        <v>1431</v>
      </c>
      <c r="C963" t="s">
        <v>25</v>
      </c>
      <c r="D963" t="s">
        <v>1449</v>
      </c>
      <c r="E963">
        <v>0</v>
      </c>
    </row>
    <row r="964" spans="1:5" x14ac:dyDescent="0.2">
      <c r="A964" s="269">
        <v>45909.656365740739</v>
      </c>
      <c r="B964" t="s">
        <v>1431</v>
      </c>
      <c r="C964" t="s">
        <v>25</v>
      </c>
      <c r="D964" t="s">
        <v>973</v>
      </c>
      <c r="E964">
        <v>0</v>
      </c>
    </row>
    <row r="965" spans="1:5" x14ac:dyDescent="0.2">
      <c r="A965" s="269">
        <v>45909.656365740739</v>
      </c>
      <c r="B965" t="s">
        <v>1431</v>
      </c>
      <c r="C965" t="s">
        <v>25</v>
      </c>
      <c r="D965" t="s">
        <v>976</v>
      </c>
      <c r="E965">
        <v>0</v>
      </c>
    </row>
    <row r="966" spans="1:5" x14ac:dyDescent="0.2">
      <c r="A966" s="269">
        <v>45909.656377314815</v>
      </c>
      <c r="B966" t="s">
        <v>1431</v>
      </c>
      <c r="C966" t="s">
        <v>25</v>
      </c>
      <c r="D966" t="s">
        <v>977</v>
      </c>
      <c r="E966">
        <v>0</v>
      </c>
    </row>
    <row r="967" spans="1:5" x14ac:dyDescent="0.2">
      <c r="A967" s="269">
        <v>45909.656377314815</v>
      </c>
      <c r="B967" t="s">
        <v>1431</v>
      </c>
      <c r="C967" t="s">
        <v>25</v>
      </c>
      <c r="D967" t="s">
        <v>923</v>
      </c>
      <c r="E967">
        <v>0</v>
      </c>
    </row>
    <row r="968" spans="1:5" x14ac:dyDescent="0.2">
      <c r="A968" s="269">
        <v>45909.656388888892</v>
      </c>
      <c r="B968" t="s">
        <v>1431</v>
      </c>
      <c r="C968" t="s">
        <v>25</v>
      </c>
      <c r="D968" t="s">
        <v>918</v>
      </c>
      <c r="E968">
        <v>0</v>
      </c>
    </row>
    <row r="969" spans="1:5" x14ac:dyDescent="0.2">
      <c r="A969" s="269">
        <v>45909.656400462962</v>
      </c>
      <c r="B969" t="s">
        <v>1431</v>
      </c>
      <c r="C969" t="s">
        <v>25</v>
      </c>
      <c r="D969" t="s">
        <v>924</v>
      </c>
      <c r="E969">
        <v>0</v>
      </c>
    </row>
    <row r="970" spans="1:5" x14ac:dyDescent="0.2">
      <c r="A970" s="269">
        <v>45909.656423611108</v>
      </c>
      <c r="B970" t="s">
        <v>1431</v>
      </c>
      <c r="C970" t="s">
        <v>25</v>
      </c>
      <c r="D970" t="s">
        <v>1450</v>
      </c>
      <c r="E970">
        <v>0</v>
      </c>
    </row>
    <row r="971" spans="1:5" x14ac:dyDescent="0.2">
      <c r="A971" s="269">
        <v>45909.656435185185</v>
      </c>
      <c r="B971" t="s">
        <v>1431</v>
      </c>
      <c r="C971" t="s">
        <v>25</v>
      </c>
      <c r="D971" t="s">
        <v>981</v>
      </c>
      <c r="E971">
        <v>0</v>
      </c>
    </row>
    <row r="972" spans="1:5" x14ac:dyDescent="0.2">
      <c r="A972" s="269">
        <v>45909.656446759262</v>
      </c>
      <c r="B972" t="s">
        <v>1431</v>
      </c>
      <c r="C972" t="s">
        <v>25</v>
      </c>
      <c r="D972" t="s">
        <v>1451</v>
      </c>
      <c r="E972">
        <v>0</v>
      </c>
    </row>
    <row r="973" spans="1:5" x14ac:dyDescent="0.2">
      <c r="A973" s="269">
        <v>45909.656458333331</v>
      </c>
      <c r="B973" t="s">
        <v>1431</v>
      </c>
      <c r="C973" t="s">
        <v>25</v>
      </c>
      <c r="D973" t="s">
        <v>1452</v>
      </c>
      <c r="E973">
        <v>0</v>
      </c>
    </row>
    <row r="974" spans="1:5" x14ac:dyDescent="0.2">
      <c r="A974" s="269">
        <v>45909.656678240739</v>
      </c>
      <c r="B974" t="s">
        <v>1431</v>
      </c>
      <c r="C974" t="s">
        <v>103</v>
      </c>
      <c r="D974" t="s">
        <v>1453</v>
      </c>
      <c r="E974" t="s">
        <v>338</v>
      </c>
    </row>
    <row r="975" spans="1:5" x14ac:dyDescent="0.2">
      <c r="A975" s="269">
        <v>45909.656689814816</v>
      </c>
      <c r="B975" t="s">
        <v>1431</v>
      </c>
      <c r="C975" t="s">
        <v>103</v>
      </c>
      <c r="D975" t="s">
        <v>1453</v>
      </c>
      <c r="E975" t="s">
        <v>338</v>
      </c>
    </row>
    <row r="976" spans="1:5" x14ac:dyDescent="0.2">
      <c r="A976" s="269">
        <v>45909.656828703701</v>
      </c>
      <c r="B976" t="s">
        <v>1431</v>
      </c>
      <c r="C976" t="s">
        <v>103</v>
      </c>
      <c r="D976" t="s">
        <v>1453</v>
      </c>
    </row>
    <row r="977" spans="1:5" x14ac:dyDescent="0.2">
      <c r="A977" s="269">
        <v>45909.656875000001</v>
      </c>
      <c r="B977" t="s">
        <v>1431</v>
      </c>
      <c r="C977" t="s">
        <v>25</v>
      </c>
      <c r="D977" t="s">
        <v>1444</v>
      </c>
    </row>
    <row r="978" spans="1:5" x14ac:dyDescent="0.2">
      <c r="A978" s="269">
        <v>45909.65693287037</v>
      </c>
      <c r="B978" t="s">
        <v>1431</v>
      </c>
      <c r="C978" t="s">
        <v>25</v>
      </c>
      <c r="D978" t="s">
        <v>1454</v>
      </c>
    </row>
    <row r="979" spans="1:5" x14ac:dyDescent="0.2">
      <c r="A979" s="269">
        <v>45909.657060185185</v>
      </c>
      <c r="B979" t="s">
        <v>1431</v>
      </c>
      <c r="C979" t="s">
        <v>25</v>
      </c>
      <c r="D979" t="s">
        <v>1456</v>
      </c>
      <c r="E979" t="s">
        <v>1455</v>
      </c>
    </row>
    <row r="980" spans="1:5" x14ac:dyDescent="0.2">
      <c r="A980" s="269">
        <v>45909.657141203701</v>
      </c>
      <c r="B980" t="s">
        <v>1431</v>
      </c>
      <c r="C980" t="s">
        <v>103</v>
      </c>
      <c r="D980" t="s">
        <v>1436</v>
      </c>
      <c r="E980" t="s">
        <v>338</v>
      </c>
    </row>
    <row r="981" spans="1:5" x14ac:dyDescent="0.2">
      <c r="A981" s="269">
        <v>45909.657164351855</v>
      </c>
      <c r="B981" t="s">
        <v>1431</v>
      </c>
      <c r="C981" t="s">
        <v>103</v>
      </c>
      <c r="D981" t="s">
        <v>1191</v>
      </c>
      <c r="E981" t="s">
        <v>89</v>
      </c>
    </row>
    <row r="982" spans="1:5" x14ac:dyDescent="0.2">
      <c r="A982" s="269">
        <v>45909.657199074078</v>
      </c>
      <c r="B982" t="s">
        <v>1431</v>
      </c>
      <c r="C982" t="s">
        <v>103</v>
      </c>
      <c r="D982" t="s">
        <v>795</v>
      </c>
      <c r="E982" t="s">
        <v>362</v>
      </c>
    </row>
    <row r="983" spans="1:5" x14ac:dyDescent="0.2">
      <c r="A983" s="269">
        <v>45909.657222222224</v>
      </c>
      <c r="B983" t="s">
        <v>1431</v>
      </c>
      <c r="C983" t="s">
        <v>103</v>
      </c>
      <c r="D983" t="s">
        <v>1013</v>
      </c>
      <c r="E983" t="s">
        <v>371</v>
      </c>
    </row>
    <row r="984" spans="1:5" x14ac:dyDescent="0.2">
      <c r="A984" s="269">
        <v>45909.657256944447</v>
      </c>
      <c r="B984" t="s">
        <v>1431</v>
      </c>
      <c r="C984" t="s">
        <v>103</v>
      </c>
      <c r="D984" t="s">
        <v>747</v>
      </c>
      <c r="E984" t="s">
        <v>379</v>
      </c>
    </row>
    <row r="985" spans="1:5" x14ac:dyDescent="0.2">
      <c r="A985" s="269">
        <v>45909.65730324074</v>
      </c>
      <c r="B985" t="s">
        <v>1431</v>
      </c>
      <c r="C985" t="s">
        <v>103</v>
      </c>
      <c r="D985" t="s">
        <v>1437</v>
      </c>
      <c r="E985" t="s">
        <v>386</v>
      </c>
    </row>
    <row r="986" spans="1:5" x14ac:dyDescent="0.2">
      <c r="A986" s="269">
        <v>45909.657337962963</v>
      </c>
      <c r="B986" t="s">
        <v>1431</v>
      </c>
      <c r="C986" t="s">
        <v>103</v>
      </c>
      <c r="D986" t="s">
        <v>1438</v>
      </c>
      <c r="E986" t="s">
        <v>390</v>
      </c>
    </row>
    <row r="987" spans="1:5" x14ac:dyDescent="0.2">
      <c r="A987" s="269">
        <v>45909.657372685186</v>
      </c>
      <c r="B987" t="s">
        <v>1431</v>
      </c>
      <c r="C987" t="s">
        <v>103</v>
      </c>
      <c r="D987" t="s">
        <v>1439</v>
      </c>
      <c r="E987" t="s">
        <v>41</v>
      </c>
    </row>
    <row r="988" spans="1:5" x14ac:dyDescent="0.2">
      <c r="A988" s="269">
        <v>45909.657465277778</v>
      </c>
      <c r="B988" t="s">
        <v>1431</v>
      </c>
      <c r="C988" t="s">
        <v>103</v>
      </c>
      <c r="D988" t="s">
        <v>672</v>
      </c>
      <c r="E988" t="s">
        <v>397</v>
      </c>
    </row>
    <row r="989" spans="1:5" x14ac:dyDescent="0.2">
      <c r="A989" s="269">
        <v>45909.657534722224</v>
      </c>
      <c r="B989" t="s">
        <v>1431</v>
      </c>
      <c r="C989" t="s">
        <v>103</v>
      </c>
      <c r="D989" t="s">
        <v>674</v>
      </c>
      <c r="E989" t="s">
        <v>400</v>
      </c>
    </row>
    <row r="990" spans="1:5" x14ac:dyDescent="0.2">
      <c r="A990" s="269">
        <v>45909.657592592594</v>
      </c>
      <c r="B990" t="s">
        <v>1431</v>
      </c>
      <c r="C990" t="s">
        <v>103</v>
      </c>
      <c r="D990" t="s">
        <v>675</v>
      </c>
      <c r="E990" t="s">
        <v>404</v>
      </c>
    </row>
    <row r="991" spans="1:5" x14ac:dyDescent="0.2">
      <c r="A991" s="269">
        <v>45909.657627314817</v>
      </c>
      <c r="B991" t="s">
        <v>1431</v>
      </c>
      <c r="C991" t="s">
        <v>103</v>
      </c>
      <c r="D991" t="s">
        <v>676</v>
      </c>
      <c r="E991" t="s">
        <v>407</v>
      </c>
    </row>
    <row r="992" spans="1:5" x14ac:dyDescent="0.2">
      <c r="A992" s="269">
        <v>45909.658032407409</v>
      </c>
      <c r="B992" t="s">
        <v>1431</v>
      </c>
      <c r="C992" t="s">
        <v>26</v>
      </c>
      <c r="D992" t="s">
        <v>1436</v>
      </c>
      <c r="E992" t="s">
        <v>338</v>
      </c>
    </row>
    <row r="993" spans="1:5" x14ac:dyDescent="0.2">
      <c r="A993" s="269">
        <v>45909.658067129632</v>
      </c>
      <c r="B993" t="s">
        <v>1431</v>
      </c>
      <c r="C993" t="s">
        <v>26</v>
      </c>
      <c r="D993" t="s">
        <v>1191</v>
      </c>
      <c r="E993" t="s">
        <v>89</v>
      </c>
    </row>
    <row r="994" spans="1:5" x14ac:dyDescent="0.2">
      <c r="A994" s="269">
        <v>45909.658090277779</v>
      </c>
      <c r="B994" t="s">
        <v>1431</v>
      </c>
      <c r="C994" t="s">
        <v>26</v>
      </c>
      <c r="D994" t="s">
        <v>795</v>
      </c>
      <c r="E994" t="s">
        <v>362</v>
      </c>
    </row>
    <row r="995" spans="1:5" x14ac:dyDescent="0.2">
      <c r="A995" s="269">
        <v>45909.658125000002</v>
      </c>
      <c r="B995" t="s">
        <v>1431</v>
      </c>
      <c r="C995" t="s">
        <v>26</v>
      </c>
      <c r="D995" t="s">
        <v>1013</v>
      </c>
      <c r="E995" t="s">
        <v>371</v>
      </c>
    </row>
    <row r="996" spans="1:5" x14ac:dyDescent="0.2">
      <c r="A996" s="269">
        <v>45909.658159722225</v>
      </c>
      <c r="B996" t="s">
        <v>1431</v>
      </c>
      <c r="C996" t="s">
        <v>26</v>
      </c>
      <c r="D996" t="s">
        <v>747</v>
      </c>
      <c r="E996" t="s">
        <v>379</v>
      </c>
    </row>
    <row r="997" spans="1:5" x14ac:dyDescent="0.2">
      <c r="A997" s="269">
        <v>45909.658182870371</v>
      </c>
      <c r="B997" t="s">
        <v>1431</v>
      </c>
      <c r="C997" t="s">
        <v>26</v>
      </c>
      <c r="D997" t="s">
        <v>1437</v>
      </c>
      <c r="E997" t="s">
        <v>386</v>
      </c>
    </row>
    <row r="998" spans="1:5" x14ac:dyDescent="0.2">
      <c r="A998" s="269">
        <v>45909.658229166664</v>
      </c>
      <c r="B998" t="s">
        <v>1431</v>
      </c>
      <c r="C998" t="s">
        <v>26</v>
      </c>
      <c r="D998" t="s">
        <v>1438</v>
      </c>
      <c r="E998" t="s">
        <v>390</v>
      </c>
    </row>
    <row r="999" spans="1:5" x14ac:dyDescent="0.2">
      <c r="A999" s="269">
        <v>45909.65829861111</v>
      </c>
      <c r="B999" t="s">
        <v>1431</v>
      </c>
      <c r="C999" t="s">
        <v>26</v>
      </c>
      <c r="D999" t="s">
        <v>1439</v>
      </c>
      <c r="E999" t="s">
        <v>41</v>
      </c>
    </row>
    <row r="1000" spans="1:5" x14ac:dyDescent="0.2">
      <c r="A1000" s="269">
        <v>45909.65834490741</v>
      </c>
      <c r="B1000" t="s">
        <v>1431</v>
      </c>
      <c r="C1000" t="s">
        <v>26</v>
      </c>
      <c r="D1000" t="s">
        <v>672</v>
      </c>
      <c r="E1000" t="s">
        <v>397</v>
      </c>
    </row>
    <row r="1001" spans="1:5" x14ac:dyDescent="0.2">
      <c r="A1001" s="269">
        <v>45909.658391203702</v>
      </c>
      <c r="B1001" t="s">
        <v>1431</v>
      </c>
      <c r="C1001" t="s">
        <v>26</v>
      </c>
      <c r="D1001" t="s">
        <v>674</v>
      </c>
      <c r="E1001" t="s">
        <v>400</v>
      </c>
    </row>
    <row r="1002" spans="1:5" x14ac:dyDescent="0.2">
      <c r="A1002" s="269">
        <v>45909.658437500002</v>
      </c>
      <c r="B1002" t="s">
        <v>1431</v>
      </c>
      <c r="C1002" t="s">
        <v>26</v>
      </c>
      <c r="D1002" t="s">
        <v>675</v>
      </c>
      <c r="E1002" t="s">
        <v>404</v>
      </c>
    </row>
    <row r="1003" spans="1:5" x14ac:dyDescent="0.2">
      <c r="A1003" s="269">
        <v>45909.658460648148</v>
      </c>
      <c r="B1003" t="s">
        <v>1431</v>
      </c>
      <c r="C1003" t="s">
        <v>26</v>
      </c>
      <c r="D1003" t="s">
        <v>676</v>
      </c>
      <c r="E1003" t="s">
        <v>407</v>
      </c>
    </row>
    <row r="1004" spans="1:5" x14ac:dyDescent="0.2">
      <c r="A1004" s="269">
        <v>45909.658680555556</v>
      </c>
      <c r="B1004" t="s">
        <v>1431</v>
      </c>
      <c r="C1004" t="s">
        <v>26</v>
      </c>
      <c r="D1004" t="s">
        <v>983</v>
      </c>
      <c r="E1004" t="s">
        <v>124</v>
      </c>
    </row>
    <row r="1005" spans="1:5" x14ac:dyDescent="0.2">
      <c r="A1005" s="269">
        <v>45909.658750000002</v>
      </c>
      <c r="B1005" t="s">
        <v>1431</v>
      </c>
      <c r="C1005" t="s">
        <v>26</v>
      </c>
      <c r="D1005" t="s">
        <v>1457</v>
      </c>
      <c r="E1005" t="s">
        <v>124</v>
      </c>
    </row>
    <row r="1006" spans="1:5" x14ac:dyDescent="0.2">
      <c r="A1006" s="269">
        <v>45909.659004629626</v>
      </c>
      <c r="B1006" t="s">
        <v>1431</v>
      </c>
      <c r="C1006" t="s">
        <v>26</v>
      </c>
      <c r="D1006" t="s">
        <v>1441</v>
      </c>
      <c r="E1006">
        <v>54</v>
      </c>
    </row>
    <row r="1007" spans="1:5" x14ac:dyDescent="0.2">
      <c r="A1007" s="269">
        <v>45909.661168981482</v>
      </c>
      <c r="B1007" t="s">
        <v>1431</v>
      </c>
      <c r="C1007" t="s">
        <v>27</v>
      </c>
      <c r="D1007" t="s">
        <v>950</v>
      </c>
      <c r="E1007" t="s">
        <v>390</v>
      </c>
    </row>
    <row r="1008" spans="1:5" x14ac:dyDescent="0.2">
      <c r="A1008" s="269">
        <v>45909.667141203703</v>
      </c>
      <c r="B1008" t="s">
        <v>1431</v>
      </c>
      <c r="C1008" t="s">
        <v>27</v>
      </c>
      <c r="D1008" t="s">
        <v>777</v>
      </c>
      <c r="E1008">
        <v>301.52</v>
      </c>
    </row>
    <row r="1009" spans="1:5" x14ac:dyDescent="0.2">
      <c r="A1009" s="269">
        <v>45909.667210648149</v>
      </c>
      <c r="B1009" t="s">
        <v>1431</v>
      </c>
      <c r="C1009" t="s">
        <v>27</v>
      </c>
      <c r="D1009" t="s">
        <v>1436</v>
      </c>
      <c r="E1009" t="s">
        <v>37</v>
      </c>
    </row>
    <row r="1010" spans="1:5" x14ac:dyDescent="0.2">
      <c r="A1010" s="269">
        <v>45909.667256944442</v>
      </c>
      <c r="B1010" t="s">
        <v>1431</v>
      </c>
      <c r="C1010" t="s">
        <v>27</v>
      </c>
      <c r="D1010" t="s">
        <v>1458</v>
      </c>
      <c r="E1010" t="s">
        <v>41</v>
      </c>
    </row>
    <row r="1011" spans="1:5" x14ac:dyDescent="0.2">
      <c r="A1011" s="269">
        <v>45909.667349537034</v>
      </c>
      <c r="B1011" t="s">
        <v>1431</v>
      </c>
      <c r="C1011" t="s">
        <v>27</v>
      </c>
      <c r="D1011" t="s">
        <v>1449</v>
      </c>
      <c r="E1011">
        <v>152.03</v>
      </c>
    </row>
    <row r="1012" spans="1:5" x14ac:dyDescent="0.2">
      <c r="A1012" s="269">
        <v>45909.667442129627</v>
      </c>
      <c r="B1012" t="s">
        <v>1431</v>
      </c>
      <c r="C1012" t="s">
        <v>27</v>
      </c>
      <c r="D1012" t="s">
        <v>1191</v>
      </c>
      <c r="E1012" t="s">
        <v>37</v>
      </c>
    </row>
    <row r="1013" spans="1:5" x14ac:dyDescent="0.2">
      <c r="A1013" s="269">
        <v>45909.667511574073</v>
      </c>
      <c r="B1013" t="s">
        <v>1431</v>
      </c>
      <c r="C1013" t="s">
        <v>27</v>
      </c>
      <c r="D1013" t="s">
        <v>1010</v>
      </c>
      <c r="E1013" t="s">
        <v>404</v>
      </c>
    </row>
    <row r="1014" spans="1:5" x14ac:dyDescent="0.2">
      <c r="A1014" s="269">
        <v>45909.667569444442</v>
      </c>
      <c r="B1014" t="s">
        <v>1431</v>
      </c>
      <c r="C1014" t="s">
        <v>27</v>
      </c>
      <c r="D1014" t="s">
        <v>1449</v>
      </c>
      <c r="E1014">
        <v>152.03</v>
      </c>
    </row>
    <row r="1015" spans="1:5" x14ac:dyDescent="0.2">
      <c r="A1015" s="269">
        <v>45909.667685185188</v>
      </c>
      <c r="B1015" t="s">
        <v>1431</v>
      </c>
      <c r="C1015" t="s">
        <v>27</v>
      </c>
      <c r="D1015" t="s">
        <v>973</v>
      </c>
      <c r="E1015">
        <v>90.44</v>
      </c>
    </row>
    <row r="1016" spans="1:5" x14ac:dyDescent="0.2">
      <c r="A1016" s="269">
        <v>45909.66777777778</v>
      </c>
      <c r="B1016" t="s">
        <v>1431</v>
      </c>
      <c r="C1016" t="s">
        <v>27</v>
      </c>
      <c r="D1016" t="s">
        <v>976</v>
      </c>
      <c r="E1016">
        <v>22</v>
      </c>
    </row>
    <row r="1017" spans="1:5" x14ac:dyDescent="0.2">
      <c r="A1017" s="269">
        <v>45909.667812500003</v>
      </c>
      <c r="B1017" t="s">
        <v>1431</v>
      </c>
      <c r="C1017" t="s">
        <v>27</v>
      </c>
      <c r="D1017" t="s">
        <v>995</v>
      </c>
      <c r="E1017" t="s">
        <v>407</v>
      </c>
    </row>
    <row r="1018" spans="1:5" x14ac:dyDescent="0.2">
      <c r="A1018" s="269">
        <v>45909.667870370373</v>
      </c>
      <c r="B1018" t="s">
        <v>1431</v>
      </c>
      <c r="C1018" t="s">
        <v>27</v>
      </c>
      <c r="D1018" t="s">
        <v>795</v>
      </c>
      <c r="E1018" t="s">
        <v>37</v>
      </c>
    </row>
    <row r="1019" spans="1:5" x14ac:dyDescent="0.2">
      <c r="A1019" s="269">
        <v>45909.667974537035</v>
      </c>
      <c r="B1019" t="s">
        <v>1431</v>
      </c>
      <c r="C1019" t="s">
        <v>27</v>
      </c>
      <c r="D1019" t="s">
        <v>1449</v>
      </c>
      <c r="E1019">
        <v>152</v>
      </c>
    </row>
    <row r="1020" spans="1:5" x14ac:dyDescent="0.2">
      <c r="A1020" s="269">
        <v>45909.668009259258</v>
      </c>
      <c r="B1020" t="s">
        <v>1431</v>
      </c>
      <c r="C1020" t="s">
        <v>27</v>
      </c>
      <c r="D1020" t="s">
        <v>1449</v>
      </c>
      <c r="E1020">
        <v>152.03</v>
      </c>
    </row>
    <row r="1021" spans="1:5" x14ac:dyDescent="0.2">
      <c r="A1021" s="269">
        <v>45909.668240740742</v>
      </c>
      <c r="B1021" t="s">
        <v>1431</v>
      </c>
      <c r="C1021" t="s">
        <v>27</v>
      </c>
      <c r="D1021" t="s">
        <v>1435</v>
      </c>
      <c r="E1021" t="s">
        <v>1434</v>
      </c>
    </row>
    <row r="1022" spans="1:5" x14ac:dyDescent="0.2">
      <c r="A1022" s="269">
        <v>45909.668263888889</v>
      </c>
      <c r="B1022" t="s">
        <v>1431</v>
      </c>
      <c r="C1022" t="s">
        <v>27</v>
      </c>
      <c r="D1022" t="s">
        <v>1443</v>
      </c>
      <c r="E1022" s="439">
        <v>45909</v>
      </c>
    </row>
    <row r="1023" spans="1:5" x14ac:dyDescent="0.2">
      <c r="A1023" s="269">
        <v>45909.668298611112</v>
      </c>
      <c r="B1023" t="s">
        <v>1431</v>
      </c>
      <c r="C1023" t="s">
        <v>27</v>
      </c>
      <c r="D1023" t="s">
        <v>1443</v>
      </c>
      <c r="E1023" s="439">
        <v>45909</v>
      </c>
    </row>
    <row r="1024" spans="1:5" x14ac:dyDescent="0.2">
      <c r="A1024" s="269">
        <v>45909.668402777781</v>
      </c>
      <c r="B1024" t="s">
        <v>1431</v>
      </c>
      <c r="C1024" t="s">
        <v>27</v>
      </c>
      <c r="D1024" t="s">
        <v>1443</v>
      </c>
      <c r="E1024" s="440">
        <v>45909</v>
      </c>
    </row>
    <row r="1025" spans="1:5" x14ac:dyDescent="0.2">
      <c r="A1025" s="269">
        <v>45909.668622685182</v>
      </c>
      <c r="B1025" t="s">
        <v>1431</v>
      </c>
      <c r="C1025" t="s">
        <v>58</v>
      </c>
      <c r="D1025" t="s">
        <v>946</v>
      </c>
      <c r="E1025" t="s">
        <v>343</v>
      </c>
    </row>
    <row r="1026" spans="1:5" x14ac:dyDescent="0.2">
      <c r="A1026" s="269">
        <v>45909.66883101852</v>
      </c>
      <c r="B1026" t="s">
        <v>1431</v>
      </c>
      <c r="C1026" t="s">
        <v>58</v>
      </c>
      <c r="D1026" t="s">
        <v>1436</v>
      </c>
      <c r="E1026" t="s">
        <v>365</v>
      </c>
    </row>
    <row r="1027" spans="1:5" x14ac:dyDescent="0.2">
      <c r="A1027" s="269">
        <v>45909.668900462966</v>
      </c>
      <c r="B1027" t="s">
        <v>1431</v>
      </c>
      <c r="C1027" t="s">
        <v>58</v>
      </c>
      <c r="D1027" t="s">
        <v>1191</v>
      </c>
      <c r="E1027" t="s">
        <v>381</v>
      </c>
    </row>
    <row r="1028" spans="1:5" x14ac:dyDescent="0.2">
      <c r="A1028" s="269">
        <v>45909.668946759259</v>
      </c>
      <c r="B1028" t="s">
        <v>1431</v>
      </c>
      <c r="C1028" t="s">
        <v>58</v>
      </c>
      <c r="D1028" t="s">
        <v>950</v>
      </c>
      <c r="E1028" t="s">
        <v>63</v>
      </c>
    </row>
    <row r="1029" spans="1:5" x14ac:dyDescent="0.2">
      <c r="A1029" s="269">
        <v>45909.668981481482</v>
      </c>
      <c r="B1029" t="s">
        <v>1431</v>
      </c>
      <c r="C1029" t="s">
        <v>58</v>
      </c>
      <c r="D1029" t="s">
        <v>1458</v>
      </c>
      <c r="E1029" t="s">
        <v>63</v>
      </c>
    </row>
    <row r="1030" spans="1:5" x14ac:dyDescent="0.2">
      <c r="A1030" s="269">
        <v>45909.669004629628</v>
      </c>
      <c r="B1030" t="s">
        <v>1431</v>
      </c>
      <c r="C1030" t="s">
        <v>58</v>
      </c>
      <c r="D1030" t="s">
        <v>1010</v>
      </c>
      <c r="E1030" t="s">
        <v>63</v>
      </c>
    </row>
    <row r="1031" spans="1:5" x14ac:dyDescent="0.2">
      <c r="A1031" s="269">
        <v>45909.66909722222</v>
      </c>
      <c r="B1031" t="s">
        <v>1431</v>
      </c>
      <c r="C1031" t="s">
        <v>58</v>
      </c>
      <c r="D1031" t="s">
        <v>1460</v>
      </c>
      <c r="E1031" t="s">
        <v>343</v>
      </c>
    </row>
    <row r="1032" spans="1:5" x14ac:dyDescent="0.2">
      <c r="A1032" s="269">
        <v>45909.669120370374</v>
      </c>
      <c r="B1032" t="s">
        <v>1431</v>
      </c>
      <c r="C1032" t="s">
        <v>58</v>
      </c>
      <c r="D1032" t="s">
        <v>1461</v>
      </c>
      <c r="E1032" t="s">
        <v>343</v>
      </c>
    </row>
    <row r="1033" spans="1:5" x14ac:dyDescent="0.2">
      <c r="A1033" s="269">
        <v>45909.66914351852</v>
      </c>
      <c r="B1033" t="s">
        <v>1431</v>
      </c>
      <c r="C1033" t="s">
        <v>58</v>
      </c>
      <c r="D1033" t="s">
        <v>1462</v>
      </c>
      <c r="E1033" t="s">
        <v>343</v>
      </c>
    </row>
    <row r="1034" spans="1:5" x14ac:dyDescent="0.2">
      <c r="A1034" s="269">
        <v>45909.669189814813</v>
      </c>
      <c r="B1034" t="s">
        <v>1431</v>
      </c>
      <c r="C1034" t="s">
        <v>58</v>
      </c>
      <c r="D1034" t="s">
        <v>1463</v>
      </c>
      <c r="E1034" t="s">
        <v>343</v>
      </c>
    </row>
    <row r="1035" spans="1:5" x14ac:dyDescent="0.2">
      <c r="A1035" s="269">
        <v>45909.669212962966</v>
      </c>
      <c r="B1035" t="s">
        <v>1431</v>
      </c>
      <c r="C1035" t="s">
        <v>58</v>
      </c>
      <c r="D1035" t="s">
        <v>1464</v>
      </c>
      <c r="E1035" t="s">
        <v>343</v>
      </c>
    </row>
    <row r="1036" spans="1:5" x14ac:dyDescent="0.2">
      <c r="A1036" s="269">
        <v>45909.669236111113</v>
      </c>
      <c r="B1036" t="s">
        <v>1431</v>
      </c>
      <c r="C1036" t="s">
        <v>58</v>
      </c>
      <c r="D1036" t="s">
        <v>1465</v>
      </c>
      <c r="E1036" t="s">
        <v>343</v>
      </c>
    </row>
    <row r="1037" spans="1:5" x14ac:dyDescent="0.2">
      <c r="A1037" s="269">
        <v>45909.669270833336</v>
      </c>
      <c r="B1037" t="s">
        <v>1431</v>
      </c>
      <c r="C1037" t="s">
        <v>58</v>
      </c>
      <c r="D1037" t="s">
        <v>1466</v>
      </c>
      <c r="E1037" t="s">
        <v>343</v>
      </c>
    </row>
    <row r="1038" spans="1:5" x14ac:dyDescent="0.2">
      <c r="A1038" s="269">
        <v>45909.669293981482</v>
      </c>
      <c r="B1038" t="s">
        <v>1431</v>
      </c>
      <c r="C1038" t="s">
        <v>58</v>
      </c>
      <c r="D1038" t="s">
        <v>1467</v>
      </c>
      <c r="E1038" t="s">
        <v>343</v>
      </c>
    </row>
    <row r="1039" spans="1:5" x14ac:dyDescent="0.2">
      <c r="A1039" s="269">
        <v>45909.669317129628</v>
      </c>
      <c r="B1039" t="s">
        <v>1431</v>
      </c>
      <c r="C1039" t="s">
        <v>58</v>
      </c>
      <c r="D1039" t="s">
        <v>1468</v>
      </c>
      <c r="E1039" t="s">
        <v>343</v>
      </c>
    </row>
    <row r="1040" spans="1:5" x14ac:dyDescent="0.2">
      <c r="A1040" s="269">
        <v>45909.669340277775</v>
      </c>
      <c r="B1040" t="s">
        <v>1431</v>
      </c>
      <c r="C1040" t="s">
        <v>58</v>
      </c>
      <c r="D1040" t="s">
        <v>1469</v>
      </c>
      <c r="E1040" t="s">
        <v>343</v>
      </c>
    </row>
    <row r="1041" spans="1:5" x14ac:dyDescent="0.2">
      <c r="A1041" s="269">
        <v>45909.669421296298</v>
      </c>
      <c r="B1041" t="s">
        <v>1431</v>
      </c>
      <c r="C1041" t="s">
        <v>58</v>
      </c>
      <c r="D1041" t="s">
        <v>1470</v>
      </c>
      <c r="E1041" t="s">
        <v>343</v>
      </c>
    </row>
    <row r="1042" spans="1:5" x14ac:dyDescent="0.2">
      <c r="A1042" s="269">
        <v>45909.669490740744</v>
      </c>
      <c r="B1042" t="s">
        <v>1431</v>
      </c>
      <c r="C1042" t="s">
        <v>58</v>
      </c>
      <c r="D1042" t="s">
        <v>951</v>
      </c>
      <c r="E1042" t="s">
        <v>338</v>
      </c>
    </row>
    <row r="1043" spans="1:5" x14ac:dyDescent="0.2">
      <c r="A1043" s="269">
        <v>45909.66951388889</v>
      </c>
      <c r="B1043" t="s">
        <v>1431</v>
      </c>
      <c r="C1043" t="s">
        <v>58</v>
      </c>
      <c r="D1043" t="s">
        <v>983</v>
      </c>
      <c r="E1043" t="s">
        <v>338</v>
      </c>
    </row>
    <row r="1044" spans="1:5" x14ac:dyDescent="0.2">
      <c r="A1044" s="269">
        <v>45909.669548611113</v>
      </c>
      <c r="B1044" t="s">
        <v>1431</v>
      </c>
      <c r="C1044" t="s">
        <v>58</v>
      </c>
      <c r="D1044" t="s">
        <v>1066</v>
      </c>
      <c r="E1044" t="s">
        <v>338</v>
      </c>
    </row>
    <row r="1045" spans="1:5" x14ac:dyDescent="0.2">
      <c r="A1045" s="269">
        <v>45909.669583333336</v>
      </c>
      <c r="B1045" t="s">
        <v>1431</v>
      </c>
      <c r="C1045" t="s">
        <v>58</v>
      </c>
      <c r="D1045" t="s">
        <v>994</v>
      </c>
      <c r="E1045" t="s">
        <v>89</v>
      </c>
    </row>
    <row r="1046" spans="1:5" x14ac:dyDescent="0.2">
      <c r="A1046" s="269">
        <v>45909.669583333336</v>
      </c>
      <c r="B1046" t="s">
        <v>1431</v>
      </c>
      <c r="C1046" t="s">
        <v>58</v>
      </c>
      <c r="D1046" t="s">
        <v>1015</v>
      </c>
      <c r="E1046" t="s">
        <v>89</v>
      </c>
    </row>
    <row r="1047" spans="1:5" x14ac:dyDescent="0.2">
      <c r="A1047" s="269">
        <v>45909.669594907406</v>
      </c>
      <c r="B1047" t="s">
        <v>1431</v>
      </c>
      <c r="C1047" t="s">
        <v>58</v>
      </c>
      <c r="D1047" t="s">
        <v>1018</v>
      </c>
      <c r="E1047" t="s">
        <v>89</v>
      </c>
    </row>
    <row r="1048" spans="1:5" x14ac:dyDescent="0.2">
      <c r="A1048" s="269">
        <v>45909.669629629629</v>
      </c>
      <c r="B1048" t="s">
        <v>1431</v>
      </c>
      <c r="C1048" t="s">
        <v>58</v>
      </c>
      <c r="D1048" t="s">
        <v>1068</v>
      </c>
      <c r="E1048" t="s">
        <v>362</v>
      </c>
    </row>
    <row r="1049" spans="1:5" x14ac:dyDescent="0.2">
      <c r="A1049" s="269">
        <v>45909.669641203705</v>
      </c>
      <c r="B1049" t="s">
        <v>1431</v>
      </c>
      <c r="C1049" t="s">
        <v>58</v>
      </c>
      <c r="D1049" t="s">
        <v>1069</v>
      </c>
      <c r="E1049" t="s">
        <v>362</v>
      </c>
    </row>
    <row r="1050" spans="1:5" x14ac:dyDescent="0.2">
      <c r="A1050" s="269">
        <v>45909.669664351852</v>
      </c>
      <c r="B1050" t="s">
        <v>1431</v>
      </c>
      <c r="C1050" t="s">
        <v>58</v>
      </c>
      <c r="D1050" t="s">
        <v>1445</v>
      </c>
      <c r="E1050" t="s">
        <v>362</v>
      </c>
    </row>
    <row r="1051" spans="1:5" x14ac:dyDescent="0.2">
      <c r="A1051" s="269">
        <v>45909.669699074075</v>
      </c>
      <c r="B1051" t="s">
        <v>1431</v>
      </c>
      <c r="C1051" t="s">
        <v>58</v>
      </c>
      <c r="D1051" t="s">
        <v>1446</v>
      </c>
      <c r="E1051" t="s">
        <v>371</v>
      </c>
    </row>
    <row r="1052" spans="1:5" x14ac:dyDescent="0.2">
      <c r="A1052" s="269">
        <v>45909.669710648152</v>
      </c>
      <c r="B1052" t="s">
        <v>1431</v>
      </c>
      <c r="C1052" t="s">
        <v>58</v>
      </c>
      <c r="D1052" t="s">
        <v>1447</v>
      </c>
      <c r="E1052" t="s">
        <v>371</v>
      </c>
    </row>
    <row r="1053" spans="1:5" x14ac:dyDescent="0.2">
      <c r="A1053" s="269">
        <v>45909.669722222221</v>
      </c>
      <c r="B1053" t="s">
        <v>1431</v>
      </c>
      <c r="C1053" t="s">
        <v>58</v>
      </c>
      <c r="D1053" t="s">
        <v>1448</v>
      </c>
      <c r="E1053" t="s">
        <v>371</v>
      </c>
    </row>
    <row r="1054" spans="1:5" x14ac:dyDescent="0.2">
      <c r="A1054" s="269">
        <v>45909.669768518521</v>
      </c>
      <c r="B1054" t="s">
        <v>1431</v>
      </c>
      <c r="C1054" t="s">
        <v>58</v>
      </c>
      <c r="D1054" t="s">
        <v>1471</v>
      </c>
      <c r="E1054" t="s">
        <v>379</v>
      </c>
    </row>
    <row r="1055" spans="1:5" x14ac:dyDescent="0.2">
      <c r="A1055" s="269">
        <v>45909.669814814813</v>
      </c>
      <c r="B1055" t="s">
        <v>1431</v>
      </c>
      <c r="C1055" t="s">
        <v>58</v>
      </c>
      <c r="D1055" t="s">
        <v>1472</v>
      </c>
      <c r="E1055" t="s">
        <v>379</v>
      </c>
    </row>
    <row r="1056" spans="1:5" x14ac:dyDescent="0.2">
      <c r="A1056" s="269">
        <v>45909.669872685183</v>
      </c>
      <c r="B1056" t="s">
        <v>1431</v>
      </c>
      <c r="C1056" t="s">
        <v>58</v>
      </c>
      <c r="D1056" t="s">
        <v>1473</v>
      </c>
      <c r="E1056" t="s">
        <v>379</v>
      </c>
    </row>
    <row r="1057" spans="1:5" x14ac:dyDescent="0.2">
      <c r="A1057" s="269">
        <v>45909.669918981483</v>
      </c>
      <c r="B1057" t="s">
        <v>1431</v>
      </c>
      <c r="C1057" t="s">
        <v>58</v>
      </c>
      <c r="D1057" t="s">
        <v>1474</v>
      </c>
      <c r="E1057" t="s">
        <v>386</v>
      </c>
    </row>
    <row r="1058" spans="1:5" x14ac:dyDescent="0.2">
      <c r="A1058" s="269">
        <v>45909.669942129629</v>
      </c>
      <c r="B1058" t="s">
        <v>1431</v>
      </c>
      <c r="C1058" t="s">
        <v>58</v>
      </c>
      <c r="D1058" t="s">
        <v>1475</v>
      </c>
      <c r="E1058" t="s">
        <v>386</v>
      </c>
    </row>
    <row r="1059" spans="1:5" x14ac:dyDescent="0.2">
      <c r="A1059" s="269">
        <v>45909.669965277775</v>
      </c>
      <c r="B1059" t="s">
        <v>1431</v>
      </c>
      <c r="C1059" t="s">
        <v>58</v>
      </c>
      <c r="D1059" t="s">
        <v>1476</v>
      </c>
      <c r="E1059" t="s">
        <v>386</v>
      </c>
    </row>
    <row r="1060" spans="1:5" x14ac:dyDescent="0.2">
      <c r="A1060" s="269">
        <v>45909.669988425929</v>
      </c>
      <c r="B1060" t="s">
        <v>1431</v>
      </c>
      <c r="C1060" t="s">
        <v>58</v>
      </c>
      <c r="D1060" t="s">
        <v>1477</v>
      </c>
      <c r="E1060" t="s">
        <v>390</v>
      </c>
    </row>
    <row r="1061" spans="1:5" x14ac:dyDescent="0.2">
      <c r="A1061" s="269">
        <v>45909.67</v>
      </c>
      <c r="B1061" t="s">
        <v>1431</v>
      </c>
      <c r="C1061" t="s">
        <v>58</v>
      </c>
      <c r="D1061" t="s">
        <v>1478</v>
      </c>
      <c r="E1061" t="s">
        <v>390</v>
      </c>
    </row>
    <row r="1062" spans="1:5" x14ac:dyDescent="0.2">
      <c r="A1062" s="269">
        <v>45909.670046296298</v>
      </c>
      <c r="B1062" t="s">
        <v>1431</v>
      </c>
      <c r="C1062" t="s">
        <v>58</v>
      </c>
      <c r="D1062" t="s">
        <v>1479</v>
      </c>
      <c r="E1062" t="s">
        <v>390</v>
      </c>
    </row>
    <row r="1063" spans="1:5" x14ac:dyDescent="0.2">
      <c r="A1063" s="269">
        <v>45909.670092592591</v>
      </c>
      <c r="B1063" t="s">
        <v>1431</v>
      </c>
      <c r="C1063" t="s">
        <v>58</v>
      </c>
      <c r="D1063" t="s">
        <v>1480</v>
      </c>
      <c r="E1063" t="s">
        <v>41</v>
      </c>
    </row>
    <row r="1064" spans="1:5" x14ac:dyDescent="0.2">
      <c r="A1064" s="269">
        <v>45909.670127314814</v>
      </c>
      <c r="B1064" t="s">
        <v>1431</v>
      </c>
      <c r="C1064" t="s">
        <v>58</v>
      </c>
      <c r="D1064" t="s">
        <v>1481</v>
      </c>
      <c r="E1064" t="s">
        <v>41</v>
      </c>
    </row>
    <row r="1065" spans="1:5" x14ac:dyDescent="0.2">
      <c r="A1065" s="269">
        <v>45909.670185185183</v>
      </c>
      <c r="B1065" t="s">
        <v>1431</v>
      </c>
      <c r="C1065" t="s">
        <v>58</v>
      </c>
      <c r="D1065" t="s">
        <v>1482</v>
      </c>
      <c r="E1065" t="s">
        <v>41</v>
      </c>
    </row>
    <row r="1066" spans="1:5" x14ac:dyDescent="0.2">
      <c r="A1066" s="269">
        <v>45909.670231481483</v>
      </c>
      <c r="B1066" t="s">
        <v>1431</v>
      </c>
      <c r="C1066" t="s">
        <v>58</v>
      </c>
      <c r="D1066" t="s">
        <v>1483</v>
      </c>
      <c r="E1066" t="s">
        <v>397</v>
      </c>
    </row>
    <row r="1067" spans="1:5" x14ac:dyDescent="0.2">
      <c r="A1067" s="269">
        <v>45909.670243055552</v>
      </c>
      <c r="B1067" t="s">
        <v>1431</v>
      </c>
      <c r="C1067" t="s">
        <v>58</v>
      </c>
      <c r="D1067" t="s">
        <v>1484</v>
      </c>
      <c r="E1067" t="s">
        <v>397</v>
      </c>
    </row>
    <row r="1068" spans="1:5" x14ac:dyDescent="0.2">
      <c r="A1068" s="269">
        <v>45909.670243055552</v>
      </c>
      <c r="B1068" t="s">
        <v>1431</v>
      </c>
      <c r="C1068" t="s">
        <v>58</v>
      </c>
      <c r="D1068" t="s">
        <v>1485</v>
      </c>
      <c r="E1068" t="s">
        <v>397</v>
      </c>
    </row>
    <row r="1069" spans="1:5" x14ac:dyDescent="0.2">
      <c r="A1069" s="269">
        <v>45909.670277777775</v>
      </c>
      <c r="B1069" t="s">
        <v>1431</v>
      </c>
      <c r="C1069" t="s">
        <v>58</v>
      </c>
      <c r="D1069" t="s">
        <v>1486</v>
      </c>
      <c r="E1069" t="s">
        <v>400</v>
      </c>
    </row>
    <row r="1070" spans="1:5" x14ac:dyDescent="0.2">
      <c r="A1070" s="269">
        <v>45909.670289351852</v>
      </c>
      <c r="B1070" t="s">
        <v>1431</v>
      </c>
      <c r="C1070" t="s">
        <v>58</v>
      </c>
      <c r="D1070" t="s">
        <v>1487</v>
      </c>
      <c r="E1070" t="s">
        <v>400</v>
      </c>
    </row>
    <row r="1071" spans="1:5" x14ac:dyDescent="0.2">
      <c r="A1071" s="269">
        <v>45909.670300925929</v>
      </c>
      <c r="B1071" t="s">
        <v>1431</v>
      </c>
      <c r="C1071" t="s">
        <v>58</v>
      </c>
      <c r="D1071" t="s">
        <v>1488</v>
      </c>
      <c r="E1071" t="s">
        <v>400</v>
      </c>
    </row>
    <row r="1072" spans="1:5" x14ac:dyDescent="0.2">
      <c r="A1072" s="269">
        <v>45909.670324074075</v>
      </c>
      <c r="B1072" t="s">
        <v>1431</v>
      </c>
      <c r="C1072" t="s">
        <v>58</v>
      </c>
      <c r="D1072" t="s">
        <v>1489</v>
      </c>
      <c r="E1072" t="s">
        <v>404</v>
      </c>
    </row>
    <row r="1073" spans="1:5" x14ac:dyDescent="0.2">
      <c r="A1073" s="269">
        <v>45909.670324074075</v>
      </c>
      <c r="B1073" t="s">
        <v>1431</v>
      </c>
      <c r="C1073" t="s">
        <v>58</v>
      </c>
      <c r="D1073" t="s">
        <v>1490</v>
      </c>
      <c r="E1073" t="s">
        <v>404</v>
      </c>
    </row>
    <row r="1074" spans="1:5" x14ac:dyDescent="0.2">
      <c r="A1074" s="269">
        <v>45909.670335648145</v>
      </c>
      <c r="B1074" t="s">
        <v>1431</v>
      </c>
      <c r="C1074" t="s">
        <v>58</v>
      </c>
      <c r="D1074" t="s">
        <v>1491</v>
      </c>
      <c r="E1074" t="s">
        <v>404</v>
      </c>
    </row>
    <row r="1075" spans="1:5" x14ac:dyDescent="0.2">
      <c r="A1075" s="269">
        <v>45909.670358796298</v>
      </c>
      <c r="B1075" t="s">
        <v>1431</v>
      </c>
      <c r="C1075" t="s">
        <v>58</v>
      </c>
      <c r="D1075" t="s">
        <v>1492</v>
      </c>
      <c r="E1075" t="s">
        <v>407</v>
      </c>
    </row>
    <row r="1076" spans="1:5" x14ac:dyDescent="0.2">
      <c r="A1076" s="269">
        <v>45909.670358796298</v>
      </c>
      <c r="B1076" t="s">
        <v>1431</v>
      </c>
      <c r="C1076" t="s">
        <v>58</v>
      </c>
      <c r="D1076" t="s">
        <v>1493</v>
      </c>
      <c r="E1076" t="s">
        <v>407</v>
      </c>
    </row>
    <row r="1077" spans="1:5" x14ac:dyDescent="0.2">
      <c r="A1077" s="269">
        <v>45909.670381944445</v>
      </c>
      <c r="B1077" t="s">
        <v>1431</v>
      </c>
      <c r="C1077" t="s">
        <v>58</v>
      </c>
      <c r="D1077" t="s">
        <v>1494</v>
      </c>
      <c r="E1077" t="s">
        <v>407</v>
      </c>
    </row>
    <row r="1078" spans="1:5" x14ac:dyDescent="0.2">
      <c r="A1078" s="269">
        <v>45909.670983796299</v>
      </c>
      <c r="B1078" t="s">
        <v>1431</v>
      </c>
      <c r="C1078" t="s">
        <v>58</v>
      </c>
      <c r="D1078" t="s">
        <v>1495</v>
      </c>
      <c r="E1078">
        <v>433.36</v>
      </c>
    </row>
    <row r="1079" spans="1:5" x14ac:dyDescent="0.2">
      <c r="A1079" s="269">
        <v>45909.671018518522</v>
      </c>
      <c r="B1079" t="s">
        <v>1431</v>
      </c>
      <c r="C1079" t="s">
        <v>58</v>
      </c>
      <c r="D1079" t="s">
        <v>1495</v>
      </c>
    </row>
    <row r="1080" spans="1:5" x14ac:dyDescent="0.2">
      <c r="A1080" s="269">
        <v>45909.671122685184</v>
      </c>
      <c r="B1080" t="s">
        <v>1431</v>
      </c>
      <c r="C1080" t="s">
        <v>58</v>
      </c>
      <c r="D1080" t="s">
        <v>1495</v>
      </c>
      <c r="E1080">
        <v>433.36</v>
      </c>
    </row>
    <row r="1081" spans="1:5" x14ac:dyDescent="0.2">
      <c r="A1081" s="269">
        <v>45909.671203703707</v>
      </c>
      <c r="B1081" t="s">
        <v>1431</v>
      </c>
      <c r="C1081" t="s">
        <v>58</v>
      </c>
      <c r="D1081" t="s">
        <v>1495</v>
      </c>
    </row>
    <row r="1082" spans="1:5" x14ac:dyDescent="0.2">
      <c r="A1082" s="269">
        <v>45909.671365740738</v>
      </c>
      <c r="B1082" t="s">
        <v>1431</v>
      </c>
      <c r="C1082" t="s">
        <v>58</v>
      </c>
      <c r="D1082" t="s">
        <v>1456</v>
      </c>
      <c r="E1082">
        <v>433.36</v>
      </c>
    </row>
    <row r="1083" spans="1:5" x14ac:dyDescent="0.2">
      <c r="A1083" s="269">
        <v>45909.671574074076</v>
      </c>
      <c r="B1083" t="s">
        <v>1431</v>
      </c>
      <c r="C1083" t="s">
        <v>58</v>
      </c>
      <c r="D1083" t="s">
        <v>874</v>
      </c>
      <c r="E1083">
        <v>346.56</v>
      </c>
    </row>
    <row r="1084" spans="1:5" x14ac:dyDescent="0.2">
      <c r="A1084" s="269">
        <v>45909.671736111108</v>
      </c>
      <c r="B1084" t="s">
        <v>1431</v>
      </c>
      <c r="C1084" t="s">
        <v>58</v>
      </c>
      <c r="D1084" t="s">
        <v>1496</v>
      </c>
      <c r="E1084">
        <v>174.03</v>
      </c>
    </row>
    <row r="1085" spans="1:5" x14ac:dyDescent="0.2">
      <c r="A1085" s="269">
        <v>45909.671863425923</v>
      </c>
      <c r="B1085" t="s">
        <v>1431</v>
      </c>
      <c r="C1085" t="s">
        <v>58</v>
      </c>
      <c r="D1085" t="s">
        <v>1497</v>
      </c>
      <c r="E1085">
        <v>151.22</v>
      </c>
    </row>
    <row r="1086" spans="1:5" x14ac:dyDescent="0.2">
      <c r="A1086" s="269">
        <v>45909.671956018516</v>
      </c>
      <c r="B1086" t="s">
        <v>1431</v>
      </c>
      <c r="C1086" t="s">
        <v>58</v>
      </c>
      <c r="D1086" t="s">
        <v>1498</v>
      </c>
      <c r="E1086">
        <v>271.37</v>
      </c>
    </row>
    <row r="1087" spans="1:5" x14ac:dyDescent="0.2">
      <c r="A1087" s="269">
        <v>45909.672060185185</v>
      </c>
      <c r="B1087" t="s">
        <v>1431</v>
      </c>
      <c r="C1087" t="s">
        <v>58</v>
      </c>
      <c r="D1087" t="s">
        <v>1499</v>
      </c>
      <c r="E1087">
        <v>393.43</v>
      </c>
    </row>
    <row r="1088" spans="1:5" x14ac:dyDescent="0.2">
      <c r="A1088" s="269">
        <v>45909.672152777777</v>
      </c>
      <c r="B1088" t="s">
        <v>1431</v>
      </c>
      <c r="C1088" t="s">
        <v>58</v>
      </c>
      <c r="D1088" t="s">
        <v>1500</v>
      </c>
      <c r="E1088">
        <v>341.71</v>
      </c>
    </row>
    <row r="1089" spans="1:5" x14ac:dyDescent="0.2">
      <c r="A1089" s="269">
        <v>45909.672280092593</v>
      </c>
      <c r="B1089" t="s">
        <v>1431</v>
      </c>
      <c r="C1089" t="s">
        <v>58</v>
      </c>
      <c r="D1089" t="s">
        <v>1501</v>
      </c>
      <c r="E1089">
        <v>407.49</v>
      </c>
    </row>
    <row r="1090" spans="1:5" x14ac:dyDescent="0.2">
      <c r="A1090" s="269">
        <v>45909.672476851854</v>
      </c>
      <c r="B1090" t="s">
        <v>1431</v>
      </c>
      <c r="C1090" t="s">
        <v>58</v>
      </c>
      <c r="D1090" t="s">
        <v>1502</v>
      </c>
      <c r="E1090">
        <v>195.63</v>
      </c>
    </row>
    <row r="1091" spans="1:5" x14ac:dyDescent="0.2">
      <c r="A1091" s="269">
        <v>45909.672581018516</v>
      </c>
      <c r="B1091" t="s">
        <v>1431</v>
      </c>
      <c r="C1091" t="s">
        <v>58</v>
      </c>
      <c r="D1091" t="s">
        <v>1503</v>
      </c>
      <c r="E1091">
        <v>355.88</v>
      </c>
    </row>
    <row r="1092" spans="1:5" x14ac:dyDescent="0.2">
      <c r="A1092" s="269">
        <v>45909.672708333332</v>
      </c>
      <c r="B1092" t="s">
        <v>1431</v>
      </c>
      <c r="C1092" t="s">
        <v>58</v>
      </c>
      <c r="D1092" t="s">
        <v>1504</v>
      </c>
      <c r="E1092">
        <v>40.9</v>
      </c>
    </row>
    <row r="1093" spans="1:5" x14ac:dyDescent="0.2">
      <c r="A1093" s="269">
        <v>45909.672858796293</v>
      </c>
      <c r="B1093" t="s">
        <v>1431</v>
      </c>
      <c r="C1093" t="s">
        <v>58</v>
      </c>
      <c r="D1093" t="s">
        <v>1505</v>
      </c>
      <c r="E1093">
        <v>132.33000000000001</v>
      </c>
    </row>
    <row r="1094" spans="1:5" x14ac:dyDescent="0.2">
      <c r="A1094" s="269">
        <v>45909.674027777779</v>
      </c>
      <c r="B1094" t="s">
        <v>1431</v>
      </c>
      <c r="C1094" t="s">
        <v>58</v>
      </c>
      <c r="D1094" t="s">
        <v>937</v>
      </c>
      <c r="E1094">
        <v>54.91</v>
      </c>
    </row>
    <row r="1095" spans="1:5" x14ac:dyDescent="0.2">
      <c r="A1095" s="269">
        <v>45909.674861111111</v>
      </c>
      <c r="B1095" t="s">
        <v>1431</v>
      </c>
      <c r="C1095" t="s">
        <v>58</v>
      </c>
      <c r="D1095" t="s">
        <v>1506</v>
      </c>
      <c r="E1095">
        <v>36.230000000000004</v>
      </c>
    </row>
    <row r="1096" spans="1:5" x14ac:dyDescent="0.2">
      <c r="A1096" s="269">
        <v>45909.675219907411</v>
      </c>
      <c r="B1096" t="s">
        <v>1431</v>
      </c>
      <c r="C1096" t="s">
        <v>58</v>
      </c>
      <c r="D1096" t="s">
        <v>1024</v>
      </c>
      <c r="E1096" t="s">
        <v>1507</v>
      </c>
    </row>
    <row r="1097" spans="1:5" x14ac:dyDescent="0.2">
      <c r="A1097" s="269">
        <v>45909.67528935185</v>
      </c>
      <c r="B1097" t="s">
        <v>1431</v>
      </c>
      <c r="C1097" t="s">
        <v>58</v>
      </c>
      <c r="D1097" t="s">
        <v>972</v>
      </c>
      <c r="E1097" t="s">
        <v>1507</v>
      </c>
    </row>
    <row r="1098" spans="1:5" x14ac:dyDescent="0.2">
      <c r="A1098" s="269">
        <v>45909.675381944442</v>
      </c>
      <c r="B1098" t="s">
        <v>1431</v>
      </c>
      <c r="C1098" t="s">
        <v>58</v>
      </c>
      <c r="D1098" t="s">
        <v>972</v>
      </c>
      <c r="E1098" t="s">
        <v>1508</v>
      </c>
    </row>
    <row r="1099" spans="1:5" x14ac:dyDescent="0.2">
      <c r="A1099" s="269">
        <v>45909.675486111111</v>
      </c>
      <c r="B1099" t="s">
        <v>1431</v>
      </c>
      <c r="C1099" t="s">
        <v>58</v>
      </c>
      <c r="D1099" t="s">
        <v>1509</v>
      </c>
    </row>
    <row r="1100" spans="1:5" x14ac:dyDescent="0.2">
      <c r="A1100" s="269">
        <v>45909.67564814815</v>
      </c>
      <c r="B1100" t="s">
        <v>1431</v>
      </c>
      <c r="C1100" t="s">
        <v>58</v>
      </c>
      <c r="D1100" t="s">
        <v>926</v>
      </c>
      <c r="E1100">
        <v>0</v>
      </c>
    </row>
    <row r="1101" spans="1:5" x14ac:dyDescent="0.2">
      <c r="A1101" s="269">
        <v>45909.676053240742</v>
      </c>
      <c r="B1101" t="s">
        <v>1431</v>
      </c>
      <c r="C1101" t="s">
        <v>58</v>
      </c>
      <c r="D1101" t="s">
        <v>1510</v>
      </c>
      <c r="E1101">
        <v>75.45</v>
      </c>
    </row>
    <row r="1102" spans="1:5" x14ac:dyDescent="0.2">
      <c r="A1102" s="269">
        <v>45909.677210648151</v>
      </c>
      <c r="B1102" t="s">
        <v>1431</v>
      </c>
      <c r="C1102" t="s">
        <v>58</v>
      </c>
      <c r="D1102" t="s">
        <v>1511</v>
      </c>
      <c r="E1102">
        <v>51.72</v>
      </c>
    </row>
    <row r="1103" spans="1:5" x14ac:dyDescent="0.2">
      <c r="A1103" s="269">
        <v>45909.677291666667</v>
      </c>
      <c r="B1103" t="s">
        <v>1431</v>
      </c>
      <c r="C1103" t="s">
        <v>58</v>
      </c>
      <c r="D1103" t="s">
        <v>1512</v>
      </c>
      <c r="E1103">
        <v>72.86</v>
      </c>
    </row>
    <row r="1104" spans="1:5" x14ac:dyDescent="0.2">
      <c r="A1104" s="269">
        <v>45909.678946759261</v>
      </c>
      <c r="B1104" t="s">
        <v>1431</v>
      </c>
      <c r="C1104" t="s">
        <v>58</v>
      </c>
      <c r="D1104" t="s">
        <v>1513</v>
      </c>
      <c r="E1104">
        <v>178.5</v>
      </c>
    </row>
    <row r="1105" spans="1:5" x14ac:dyDescent="0.2">
      <c r="A1105" s="269">
        <v>45909.679108796299</v>
      </c>
      <c r="B1105" t="s">
        <v>1431</v>
      </c>
      <c r="C1105" t="s">
        <v>58</v>
      </c>
      <c r="D1105" t="s">
        <v>1514</v>
      </c>
      <c r="E1105">
        <v>13.94</v>
      </c>
    </row>
    <row r="1106" spans="1:5" x14ac:dyDescent="0.2">
      <c r="A1106" s="269">
        <v>45909.679166666669</v>
      </c>
      <c r="B1106" t="s">
        <v>1431</v>
      </c>
      <c r="C1106" t="s">
        <v>58</v>
      </c>
      <c r="D1106" t="s">
        <v>1514</v>
      </c>
      <c r="E1106">
        <v>183.94</v>
      </c>
    </row>
    <row r="1107" spans="1:5" x14ac:dyDescent="0.2">
      <c r="A1107" s="269">
        <v>45909.690983796296</v>
      </c>
      <c r="B1107" t="s">
        <v>1431</v>
      </c>
      <c r="C1107" t="s">
        <v>58</v>
      </c>
      <c r="D1107" t="s">
        <v>1515</v>
      </c>
      <c r="E1107">
        <v>44.58</v>
      </c>
    </row>
    <row r="1108" spans="1:5" x14ac:dyDescent="0.2">
      <c r="A1108" s="269">
        <v>45909.691099537034</v>
      </c>
      <c r="B1108" t="s">
        <v>1431</v>
      </c>
      <c r="C1108" t="s">
        <v>58</v>
      </c>
      <c r="D1108" t="s">
        <v>1516</v>
      </c>
      <c r="E1108">
        <v>68.48</v>
      </c>
    </row>
    <row r="1109" spans="1:5" x14ac:dyDescent="0.2">
      <c r="A1109" s="269">
        <v>45909.691666666666</v>
      </c>
      <c r="B1109" t="s">
        <v>1431</v>
      </c>
      <c r="C1109" t="s">
        <v>58</v>
      </c>
      <c r="D1109" t="s">
        <v>1517</v>
      </c>
      <c r="E1109">
        <v>38.68</v>
      </c>
    </row>
    <row r="1110" spans="1:5" x14ac:dyDescent="0.2">
      <c r="A1110" s="269">
        <v>45909.691747685189</v>
      </c>
      <c r="B1110" t="s">
        <v>1431</v>
      </c>
      <c r="C1110" t="s">
        <v>58</v>
      </c>
      <c r="D1110" t="s">
        <v>1518</v>
      </c>
      <c r="E1110">
        <v>83.69</v>
      </c>
    </row>
    <row r="1111" spans="1:5" x14ac:dyDescent="0.2">
      <c r="A1111" s="269">
        <v>45909.69222222222</v>
      </c>
      <c r="B1111" t="s">
        <v>1431</v>
      </c>
      <c r="C1111" t="s">
        <v>58</v>
      </c>
      <c r="D1111" t="s">
        <v>1519</v>
      </c>
      <c r="E1111">
        <v>28.56</v>
      </c>
    </row>
    <row r="1112" spans="1:5" x14ac:dyDescent="0.2">
      <c r="A1112" s="269">
        <v>45909.692488425928</v>
      </c>
      <c r="B1112" t="s">
        <v>1431</v>
      </c>
      <c r="C1112" t="s">
        <v>58</v>
      </c>
      <c r="D1112" t="s">
        <v>1520</v>
      </c>
      <c r="E1112">
        <v>157.61000000000001</v>
      </c>
    </row>
    <row r="1113" spans="1:5" x14ac:dyDescent="0.2">
      <c r="A1113" s="269">
        <v>45909.692766203705</v>
      </c>
      <c r="B1113" t="s">
        <v>1431</v>
      </c>
      <c r="C1113" t="s">
        <v>58</v>
      </c>
      <c r="D1113" t="s">
        <v>1521</v>
      </c>
      <c r="E1113">
        <v>83.99</v>
      </c>
    </row>
    <row r="1114" spans="1:5" x14ac:dyDescent="0.2">
      <c r="A1114" s="269">
        <v>45909.692870370367</v>
      </c>
      <c r="B1114" t="s">
        <v>1431</v>
      </c>
      <c r="C1114" t="s">
        <v>58</v>
      </c>
      <c r="D1114" t="s">
        <v>1522</v>
      </c>
      <c r="E1114">
        <v>81.72</v>
      </c>
    </row>
    <row r="1115" spans="1:5" x14ac:dyDescent="0.2">
      <c r="A1115" s="269">
        <v>45909.693310185183</v>
      </c>
      <c r="B1115" t="s">
        <v>1431</v>
      </c>
      <c r="C1115" t="s">
        <v>58</v>
      </c>
      <c r="D1115" t="s">
        <v>1523</v>
      </c>
      <c r="E1115">
        <v>41.13</v>
      </c>
    </row>
    <row r="1116" spans="1:5" x14ac:dyDescent="0.2">
      <c r="A1116" s="269">
        <v>45909.693391203706</v>
      </c>
      <c r="B1116" t="s">
        <v>1431</v>
      </c>
      <c r="C1116" t="s">
        <v>58</v>
      </c>
      <c r="D1116" t="s">
        <v>1524</v>
      </c>
      <c r="E1116">
        <v>14.84</v>
      </c>
    </row>
    <row r="1117" spans="1:5" x14ac:dyDescent="0.2">
      <c r="A1117" s="269">
        <v>45909.693564814814</v>
      </c>
      <c r="B1117" t="s">
        <v>1431</v>
      </c>
      <c r="C1117" t="s">
        <v>58</v>
      </c>
      <c r="D1117" t="s">
        <v>1525</v>
      </c>
      <c r="E1117">
        <v>89.14</v>
      </c>
    </row>
    <row r="1118" spans="1:5" x14ac:dyDescent="0.2">
      <c r="A1118" s="269">
        <v>45909.693657407406</v>
      </c>
      <c r="B1118" t="s">
        <v>1431</v>
      </c>
      <c r="C1118" t="s">
        <v>58</v>
      </c>
      <c r="D1118" t="s">
        <v>1526</v>
      </c>
      <c r="E1118">
        <v>128.06</v>
      </c>
    </row>
    <row r="1119" spans="1:5" x14ac:dyDescent="0.2">
      <c r="A1119" s="269">
        <v>45909.693796296298</v>
      </c>
      <c r="B1119" t="s">
        <v>1431</v>
      </c>
      <c r="C1119" t="s">
        <v>58</v>
      </c>
      <c r="D1119" t="s">
        <v>1527</v>
      </c>
      <c r="E1119">
        <v>85.56</v>
      </c>
    </row>
    <row r="1120" spans="1:5" x14ac:dyDescent="0.2">
      <c r="A1120" s="269">
        <v>45909.693888888891</v>
      </c>
      <c r="B1120" t="s">
        <v>1431</v>
      </c>
      <c r="C1120" t="s">
        <v>58</v>
      </c>
      <c r="D1120" t="s">
        <v>1528</v>
      </c>
      <c r="E1120">
        <v>50.28</v>
      </c>
    </row>
    <row r="1121" spans="1:5" x14ac:dyDescent="0.2">
      <c r="A1121" s="269">
        <v>45909.694027777776</v>
      </c>
      <c r="B1121" t="s">
        <v>1431</v>
      </c>
      <c r="C1121" t="s">
        <v>58</v>
      </c>
      <c r="D1121" t="s">
        <v>1529</v>
      </c>
      <c r="E1121">
        <v>9.68</v>
      </c>
    </row>
    <row r="1122" spans="1:5" x14ac:dyDescent="0.2">
      <c r="A1122" s="269">
        <v>45909.694143518522</v>
      </c>
      <c r="B1122" t="s">
        <v>1431</v>
      </c>
      <c r="C1122" t="s">
        <v>58</v>
      </c>
      <c r="D1122" t="s">
        <v>1530</v>
      </c>
      <c r="E1122">
        <v>61.95</v>
      </c>
    </row>
    <row r="1123" spans="1:5" x14ac:dyDescent="0.2">
      <c r="A1123" s="269">
        <v>45909.696111111109</v>
      </c>
      <c r="B1123" t="s">
        <v>1431</v>
      </c>
      <c r="C1123" t="s">
        <v>58</v>
      </c>
      <c r="D1123" t="s">
        <v>958</v>
      </c>
      <c r="E1123">
        <v>8637.5999999999985</v>
      </c>
    </row>
    <row r="1124" spans="1:5" x14ac:dyDescent="0.2">
      <c r="A1124" s="269">
        <v>45909.696296296293</v>
      </c>
      <c r="B1124" t="s">
        <v>1431</v>
      </c>
      <c r="C1124" t="s">
        <v>58</v>
      </c>
      <c r="D1124" t="s">
        <v>1531</v>
      </c>
      <c r="E1124">
        <v>796</v>
      </c>
    </row>
    <row r="1125" spans="1:5" x14ac:dyDescent="0.2">
      <c r="A1125" s="269">
        <v>45909.696412037039</v>
      </c>
      <c r="B1125" t="s">
        <v>1431</v>
      </c>
      <c r="C1125" t="s">
        <v>58</v>
      </c>
      <c r="D1125" t="s">
        <v>975</v>
      </c>
      <c r="E1125">
        <v>323</v>
      </c>
    </row>
    <row r="1126" spans="1:5" x14ac:dyDescent="0.2">
      <c r="A1126" s="269">
        <v>45909.701493055552</v>
      </c>
      <c r="B1126" t="s">
        <v>1431</v>
      </c>
      <c r="C1126" t="s">
        <v>58</v>
      </c>
      <c r="D1126" t="s">
        <v>958</v>
      </c>
      <c r="E1126">
        <v>1950.6</v>
      </c>
    </row>
    <row r="1127" spans="1:5" x14ac:dyDescent="0.2">
      <c r="A1127" s="269">
        <v>45909.701539351852</v>
      </c>
      <c r="B1127" t="s">
        <v>1431</v>
      </c>
      <c r="C1127" t="s">
        <v>58</v>
      </c>
      <c r="D1127" t="s">
        <v>958</v>
      </c>
      <c r="E1127">
        <v>1950.63</v>
      </c>
    </row>
    <row r="1128" spans="1:5" x14ac:dyDescent="0.2">
      <c r="A1128" s="269">
        <v>45909.701655092591</v>
      </c>
      <c r="B1128" t="s">
        <v>1431</v>
      </c>
      <c r="C1128" t="s">
        <v>58</v>
      </c>
      <c r="D1128" t="s">
        <v>958</v>
      </c>
      <c r="E1128">
        <v>1950.6</v>
      </c>
    </row>
    <row r="1129" spans="1:5" x14ac:dyDescent="0.2">
      <c r="A1129" s="269">
        <v>45909.701655092591</v>
      </c>
      <c r="B1129" t="s">
        <v>1431</v>
      </c>
      <c r="C1129" t="s">
        <v>58</v>
      </c>
      <c r="D1129" t="s">
        <v>958</v>
      </c>
      <c r="E1129">
        <v>8637.5999999999985</v>
      </c>
    </row>
    <row r="1130" spans="1:5" x14ac:dyDescent="0.2">
      <c r="A1130" s="269">
        <v>45909.701909722222</v>
      </c>
      <c r="B1130" t="s">
        <v>1431</v>
      </c>
      <c r="C1130" t="s">
        <v>58</v>
      </c>
      <c r="D1130" t="s">
        <v>1456</v>
      </c>
      <c r="E1130">
        <v>1950.63</v>
      </c>
    </row>
    <row r="1131" spans="1:5" x14ac:dyDescent="0.2">
      <c r="A1131" s="269">
        <v>45909.703379629631</v>
      </c>
      <c r="B1131" t="s">
        <v>1431</v>
      </c>
      <c r="C1131" t="s">
        <v>58</v>
      </c>
      <c r="D1131" t="s">
        <v>1456</v>
      </c>
      <c r="E1131">
        <v>1935.98</v>
      </c>
    </row>
    <row r="1132" spans="1:5" x14ac:dyDescent="0.2">
      <c r="A1132" s="269">
        <v>45909.703703703701</v>
      </c>
      <c r="B1132" t="s">
        <v>1431</v>
      </c>
      <c r="C1132" t="s">
        <v>58</v>
      </c>
      <c r="D1132" t="s">
        <v>926</v>
      </c>
      <c r="E1132">
        <v>27.92</v>
      </c>
    </row>
    <row r="1133" spans="1:5" x14ac:dyDescent="0.2">
      <c r="A1133" s="269">
        <v>45909.704085648147</v>
      </c>
      <c r="B1133" t="s">
        <v>1431</v>
      </c>
      <c r="C1133" t="s">
        <v>58</v>
      </c>
      <c r="D1133" t="s">
        <v>937</v>
      </c>
      <c r="E1133">
        <v>54.93</v>
      </c>
    </row>
    <row r="1134" spans="1:5" x14ac:dyDescent="0.2">
      <c r="A1134" s="269">
        <v>45909.70417824074</v>
      </c>
      <c r="B1134" t="s">
        <v>1431</v>
      </c>
      <c r="C1134" t="s">
        <v>58</v>
      </c>
      <c r="D1134" t="s">
        <v>926</v>
      </c>
      <c r="E1134">
        <v>27.93</v>
      </c>
    </row>
    <row r="1135" spans="1:5" x14ac:dyDescent="0.2">
      <c r="A1135" s="269">
        <v>45909.704340277778</v>
      </c>
      <c r="B1135" t="s">
        <v>1431</v>
      </c>
      <c r="C1135" t="s">
        <v>58</v>
      </c>
      <c r="D1135" t="s">
        <v>937</v>
      </c>
      <c r="E1135">
        <v>80.11</v>
      </c>
    </row>
    <row r="1136" spans="1:5" x14ac:dyDescent="0.2">
      <c r="A1136" s="269">
        <v>45909.705243055556</v>
      </c>
      <c r="B1136" t="s">
        <v>1431</v>
      </c>
      <c r="C1136" t="s">
        <v>58</v>
      </c>
      <c r="D1136" t="s">
        <v>874</v>
      </c>
      <c r="E1136">
        <v>1342.3</v>
      </c>
    </row>
    <row r="1137" spans="1:5" x14ac:dyDescent="0.2">
      <c r="A1137" s="269">
        <v>45909.705324074072</v>
      </c>
      <c r="B1137" t="s">
        <v>1431</v>
      </c>
      <c r="C1137" t="s">
        <v>58</v>
      </c>
      <c r="D1137" t="s">
        <v>874</v>
      </c>
      <c r="E1137">
        <v>346.56</v>
      </c>
    </row>
    <row r="1138" spans="1:5" x14ac:dyDescent="0.2">
      <c r="A1138" s="269">
        <v>45909.705497685187</v>
      </c>
      <c r="B1138" t="s">
        <v>1431</v>
      </c>
      <c r="C1138" t="s">
        <v>58</v>
      </c>
      <c r="D1138" t="s">
        <v>974</v>
      </c>
      <c r="E1138">
        <v>1342.3</v>
      </c>
    </row>
    <row r="1139" spans="1:5" x14ac:dyDescent="0.2">
      <c r="A1139" s="269">
        <v>45909.705625000002</v>
      </c>
      <c r="B1139" t="s">
        <v>1431</v>
      </c>
      <c r="C1139" t="s">
        <v>58</v>
      </c>
      <c r="D1139" t="s">
        <v>874</v>
      </c>
      <c r="E1139">
        <v>407.74</v>
      </c>
    </row>
    <row r="1140" spans="1:5" x14ac:dyDescent="0.2">
      <c r="A1140" s="269">
        <v>45909.705821759257</v>
      </c>
      <c r="B1140" t="s">
        <v>1431</v>
      </c>
      <c r="C1140" t="s">
        <v>58</v>
      </c>
      <c r="D1140" t="s">
        <v>1532</v>
      </c>
      <c r="E1140">
        <v>808</v>
      </c>
    </row>
    <row r="1141" spans="1:5" x14ac:dyDescent="0.2">
      <c r="A1141" s="269">
        <v>45909.706342592595</v>
      </c>
      <c r="B1141" t="s">
        <v>1431</v>
      </c>
      <c r="C1141" t="s">
        <v>58</v>
      </c>
      <c r="D1141" t="s">
        <v>1533</v>
      </c>
      <c r="E1141">
        <v>682</v>
      </c>
    </row>
    <row r="1142" spans="1:5" x14ac:dyDescent="0.2">
      <c r="A1142" s="269">
        <v>45909.706469907411</v>
      </c>
      <c r="B1142" t="s">
        <v>1431</v>
      </c>
      <c r="C1142" t="s">
        <v>58</v>
      </c>
      <c r="D1142" t="s">
        <v>1506</v>
      </c>
      <c r="E1142">
        <v>80.39</v>
      </c>
    </row>
    <row r="1143" spans="1:5" x14ac:dyDescent="0.2">
      <c r="A1143" s="269">
        <v>45909.707766203705</v>
      </c>
      <c r="B1143" t="s">
        <v>1431</v>
      </c>
      <c r="C1143" t="s">
        <v>58</v>
      </c>
      <c r="D1143" t="s">
        <v>925</v>
      </c>
      <c r="E1143">
        <v>1013.4</v>
      </c>
    </row>
    <row r="1144" spans="1:5" x14ac:dyDescent="0.2">
      <c r="A1144" s="269">
        <v>45909.707986111112</v>
      </c>
      <c r="B1144" t="s">
        <v>1431</v>
      </c>
      <c r="C1144" t="s">
        <v>58</v>
      </c>
      <c r="D1144" t="s">
        <v>1496</v>
      </c>
      <c r="E1144">
        <v>264.77</v>
      </c>
    </row>
    <row r="1145" spans="1:5" x14ac:dyDescent="0.2">
      <c r="A1145" s="269">
        <v>45909.70820601852</v>
      </c>
      <c r="B1145" t="s">
        <v>1431</v>
      </c>
      <c r="C1145" t="s">
        <v>58</v>
      </c>
      <c r="D1145" t="s">
        <v>1534</v>
      </c>
      <c r="E1145">
        <v>1395</v>
      </c>
    </row>
    <row r="1146" spans="1:5" x14ac:dyDescent="0.2">
      <c r="A1146" s="269">
        <v>45909.708356481482</v>
      </c>
      <c r="B1146" t="s">
        <v>1431</v>
      </c>
      <c r="C1146" t="s">
        <v>58</v>
      </c>
      <c r="D1146" t="s">
        <v>1512</v>
      </c>
      <c r="E1146">
        <v>118.01</v>
      </c>
    </row>
    <row r="1147" spans="1:5" x14ac:dyDescent="0.2">
      <c r="A1147" s="269">
        <v>45909.708460648151</v>
      </c>
      <c r="B1147" t="s">
        <v>1431</v>
      </c>
      <c r="C1147" t="s">
        <v>58</v>
      </c>
      <c r="D1147" t="s">
        <v>1511</v>
      </c>
      <c r="E1147">
        <v>80.77</v>
      </c>
    </row>
    <row r="1148" spans="1:5" x14ac:dyDescent="0.2">
      <c r="A1148" s="269">
        <v>45909.708564814813</v>
      </c>
      <c r="B1148" t="s">
        <v>1431</v>
      </c>
      <c r="C1148" t="s">
        <v>58</v>
      </c>
      <c r="D1148" t="s">
        <v>1535</v>
      </c>
      <c r="E1148">
        <v>846</v>
      </c>
    </row>
    <row r="1149" spans="1:5" x14ac:dyDescent="0.2">
      <c r="A1149" s="269">
        <v>45909.713275462964</v>
      </c>
      <c r="B1149" t="s">
        <v>1431</v>
      </c>
      <c r="C1149" t="s">
        <v>26</v>
      </c>
      <c r="D1149" t="s">
        <v>1536</v>
      </c>
    </row>
    <row r="1150" spans="1:5" x14ac:dyDescent="0.2">
      <c r="A1150" s="269">
        <v>45909.713368055556</v>
      </c>
      <c r="B1150" t="s">
        <v>1431</v>
      </c>
      <c r="C1150" t="s">
        <v>26</v>
      </c>
      <c r="D1150" t="s">
        <v>1134</v>
      </c>
      <c r="E1150" t="s">
        <v>133</v>
      </c>
    </row>
    <row r="1151" spans="1:5" x14ac:dyDescent="0.2">
      <c r="A1151" s="269">
        <v>45909.713460648149</v>
      </c>
      <c r="B1151" t="s">
        <v>1431</v>
      </c>
      <c r="C1151" t="s">
        <v>26</v>
      </c>
      <c r="D1151" t="s">
        <v>1537</v>
      </c>
      <c r="E1151" t="s">
        <v>133</v>
      </c>
    </row>
    <row r="1152" spans="1:5" x14ac:dyDescent="0.2">
      <c r="A1152" s="269">
        <v>45909.713564814818</v>
      </c>
      <c r="B1152" t="s">
        <v>1431</v>
      </c>
      <c r="C1152" t="s">
        <v>26</v>
      </c>
      <c r="D1152" t="s">
        <v>1538</v>
      </c>
      <c r="E1152" t="s">
        <v>338</v>
      </c>
    </row>
    <row r="1153" spans="1:5" x14ac:dyDescent="0.2">
      <c r="A1153" s="269">
        <v>45909.71365740741</v>
      </c>
      <c r="B1153" t="s">
        <v>1431</v>
      </c>
      <c r="C1153" t="s">
        <v>26</v>
      </c>
      <c r="D1153" t="s">
        <v>1539</v>
      </c>
      <c r="E1153">
        <v>54</v>
      </c>
    </row>
    <row r="1154" spans="1:5" x14ac:dyDescent="0.2">
      <c r="A1154" s="269">
        <v>45909.713831018518</v>
      </c>
      <c r="B1154" t="s">
        <v>1431</v>
      </c>
      <c r="C1154" t="s">
        <v>26</v>
      </c>
      <c r="D1154" t="s">
        <v>1541</v>
      </c>
      <c r="E1154" t="s">
        <v>1540</v>
      </c>
    </row>
    <row r="1155" spans="1:5" x14ac:dyDescent="0.2">
      <c r="A1155" s="269">
        <v>45909.714039351849</v>
      </c>
      <c r="B1155" t="s">
        <v>1431</v>
      </c>
      <c r="C1155" t="s">
        <v>26</v>
      </c>
      <c r="D1155" t="s">
        <v>1541</v>
      </c>
      <c r="E1155" t="s">
        <v>1542</v>
      </c>
    </row>
    <row r="1156" spans="1:5" x14ac:dyDescent="0.2">
      <c r="A1156" s="269">
        <v>45909.714108796295</v>
      </c>
      <c r="B1156" t="s">
        <v>1431</v>
      </c>
      <c r="C1156" t="s">
        <v>26</v>
      </c>
      <c r="D1156" t="s">
        <v>1541</v>
      </c>
      <c r="E1156" t="s">
        <v>1543</v>
      </c>
    </row>
    <row r="1157" spans="1:5" x14ac:dyDescent="0.2">
      <c r="A1157" s="269">
        <v>45909.71435185185</v>
      </c>
      <c r="B1157" t="s">
        <v>1431</v>
      </c>
      <c r="C1157" t="s">
        <v>26</v>
      </c>
      <c r="D1157" t="s">
        <v>979</v>
      </c>
      <c r="E1157" t="s">
        <v>1544</v>
      </c>
    </row>
    <row r="1158" spans="1:5" x14ac:dyDescent="0.2">
      <c r="A1158" s="269">
        <v>45909.714409722219</v>
      </c>
      <c r="B1158" t="s">
        <v>1431</v>
      </c>
      <c r="C1158" t="s">
        <v>26</v>
      </c>
      <c r="D1158" t="s">
        <v>1545</v>
      </c>
      <c r="E1158" t="s">
        <v>1543</v>
      </c>
    </row>
    <row r="1159" spans="1:5" x14ac:dyDescent="0.2">
      <c r="A1159" s="269">
        <v>45909.716585648152</v>
      </c>
      <c r="B1159" t="s">
        <v>1431</v>
      </c>
      <c r="C1159" t="s">
        <v>58</v>
      </c>
      <c r="D1159" t="s">
        <v>668</v>
      </c>
      <c r="E1159">
        <v>214.6</v>
      </c>
    </row>
    <row r="1160" spans="1:5" x14ac:dyDescent="0.2">
      <c r="A1160" s="269">
        <v>45909.722175925926</v>
      </c>
      <c r="B1160" t="s">
        <v>1431</v>
      </c>
      <c r="C1160" t="s">
        <v>58</v>
      </c>
      <c r="D1160" t="s">
        <v>974</v>
      </c>
      <c r="E1160">
        <v>1750.6</v>
      </c>
    </row>
    <row r="1161" spans="1:5" x14ac:dyDescent="0.2">
      <c r="A1161" s="269">
        <v>45909.722314814811</v>
      </c>
      <c r="B1161" t="s">
        <v>1431</v>
      </c>
      <c r="C1161" t="s">
        <v>58</v>
      </c>
      <c r="D1161" t="s">
        <v>874</v>
      </c>
      <c r="E1161">
        <v>563</v>
      </c>
    </row>
    <row r="1162" spans="1:5" x14ac:dyDescent="0.2">
      <c r="A1162" s="269">
        <v>45909.722418981481</v>
      </c>
      <c r="B1162" t="s">
        <v>1431</v>
      </c>
      <c r="C1162" t="s">
        <v>58</v>
      </c>
      <c r="D1162" t="s">
        <v>874</v>
      </c>
      <c r="E1162">
        <v>563.99</v>
      </c>
    </row>
    <row r="1163" spans="1:5" x14ac:dyDescent="0.2">
      <c r="A1163" s="269">
        <v>45909.723379629628</v>
      </c>
      <c r="B1163" t="s">
        <v>1431</v>
      </c>
      <c r="C1163" t="s">
        <v>58</v>
      </c>
      <c r="D1163" t="s">
        <v>1496</v>
      </c>
      <c r="E1163">
        <v>279.48</v>
      </c>
    </row>
    <row r="1164" spans="1:5" x14ac:dyDescent="0.2">
      <c r="A1164" s="269">
        <v>45909.723541666666</v>
      </c>
      <c r="B1164" t="s">
        <v>1431</v>
      </c>
      <c r="C1164" t="s">
        <v>58</v>
      </c>
      <c r="D1164" t="s">
        <v>925</v>
      </c>
      <c r="E1164">
        <v>1057.7</v>
      </c>
    </row>
    <row r="1165" spans="1:5" x14ac:dyDescent="0.2">
      <c r="A1165" s="269">
        <v>45909.723715277774</v>
      </c>
      <c r="B1165" t="s">
        <v>1431</v>
      </c>
      <c r="C1165" t="s">
        <v>58</v>
      </c>
      <c r="D1165" t="s">
        <v>925</v>
      </c>
      <c r="E1165">
        <v>1054.7</v>
      </c>
    </row>
    <row r="1166" spans="1:5" x14ac:dyDescent="0.2">
      <c r="A1166" s="269">
        <v>45909.724803240744</v>
      </c>
      <c r="B1166" t="s">
        <v>1431</v>
      </c>
      <c r="C1166" t="s">
        <v>58</v>
      </c>
      <c r="D1166" t="s">
        <v>1546</v>
      </c>
      <c r="E1166">
        <v>1390</v>
      </c>
    </row>
    <row r="1167" spans="1:5" x14ac:dyDescent="0.2">
      <c r="A1167" s="269">
        <v>45909.724942129629</v>
      </c>
      <c r="B1167" t="s">
        <v>1431</v>
      </c>
      <c r="C1167" t="s">
        <v>58</v>
      </c>
      <c r="D1167" t="s">
        <v>1547</v>
      </c>
      <c r="E1167">
        <v>1959</v>
      </c>
    </row>
    <row r="1168" spans="1:5" x14ac:dyDescent="0.2">
      <c r="A1168" s="269">
        <v>45909.725092592591</v>
      </c>
      <c r="B1168" t="s">
        <v>1431</v>
      </c>
      <c r="C1168" t="s">
        <v>58</v>
      </c>
      <c r="D1168" t="s">
        <v>668</v>
      </c>
      <c r="E1168">
        <v>426.1</v>
      </c>
    </row>
    <row r="1169" spans="1:5" x14ac:dyDescent="0.2">
      <c r="A1169" s="269">
        <v>45909.725347222222</v>
      </c>
      <c r="B1169" t="s">
        <v>1431</v>
      </c>
      <c r="C1169" t="s">
        <v>58</v>
      </c>
      <c r="D1169" t="s">
        <v>1514</v>
      </c>
      <c r="E1169">
        <v>174.1</v>
      </c>
    </row>
    <row r="1170" spans="1:5" x14ac:dyDescent="0.2">
      <c r="A1170" s="269">
        <v>45909.725613425922</v>
      </c>
      <c r="B1170" t="s">
        <v>1431</v>
      </c>
      <c r="C1170" t="s">
        <v>58</v>
      </c>
      <c r="D1170" t="s">
        <v>1513</v>
      </c>
      <c r="E1170">
        <v>142.49</v>
      </c>
    </row>
    <row r="1171" spans="1:5" x14ac:dyDescent="0.2">
      <c r="A1171" s="269">
        <v>45909.726030092592</v>
      </c>
      <c r="B1171" t="s">
        <v>1431</v>
      </c>
      <c r="C1171" t="s">
        <v>58</v>
      </c>
      <c r="D1171" t="s">
        <v>1498</v>
      </c>
      <c r="E1171">
        <v>1051.4000000000001</v>
      </c>
    </row>
    <row r="1172" spans="1:5" x14ac:dyDescent="0.2">
      <c r="A1172" s="269">
        <v>45909.726134259261</v>
      </c>
      <c r="B1172" t="s">
        <v>1431</v>
      </c>
      <c r="C1172" t="s">
        <v>58</v>
      </c>
      <c r="D1172" t="s">
        <v>1498</v>
      </c>
      <c r="E1172">
        <v>271.37</v>
      </c>
    </row>
    <row r="1173" spans="1:5" x14ac:dyDescent="0.2">
      <c r="A1173" s="269">
        <v>45909.726180555554</v>
      </c>
      <c r="B1173" t="s">
        <v>1431</v>
      </c>
      <c r="C1173" t="s">
        <v>58</v>
      </c>
      <c r="D1173" t="s">
        <v>1548</v>
      </c>
      <c r="E1173">
        <v>1051.0999999999999</v>
      </c>
    </row>
    <row r="1174" spans="1:5" x14ac:dyDescent="0.2">
      <c r="A1174" s="269">
        <v>45909.726284722223</v>
      </c>
      <c r="B1174" t="s">
        <v>1431</v>
      </c>
      <c r="C1174" t="s">
        <v>58</v>
      </c>
      <c r="D1174" t="s">
        <v>1498</v>
      </c>
      <c r="E1174">
        <v>369.08</v>
      </c>
    </row>
    <row r="1175" spans="1:5" x14ac:dyDescent="0.2">
      <c r="A1175" s="269">
        <v>45909.726458333331</v>
      </c>
      <c r="B1175" t="s">
        <v>1431</v>
      </c>
      <c r="C1175" t="s">
        <v>58</v>
      </c>
      <c r="D1175" t="s">
        <v>1549</v>
      </c>
      <c r="E1175">
        <v>2419.3000000000002</v>
      </c>
    </row>
    <row r="1176" spans="1:5" x14ac:dyDescent="0.2">
      <c r="A1176" s="269">
        <v>45909.726620370369</v>
      </c>
      <c r="B1176" t="s">
        <v>1431</v>
      </c>
      <c r="C1176" t="s">
        <v>58</v>
      </c>
      <c r="D1176" t="s">
        <v>1499</v>
      </c>
      <c r="E1176">
        <v>704.12</v>
      </c>
    </row>
    <row r="1177" spans="1:5" x14ac:dyDescent="0.2">
      <c r="A1177" s="269">
        <v>45909.726863425924</v>
      </c>
      <c r="B1177" t="s">
        <v>1431</v>
      </c>
      <c r="C1177" t="s">
        <v>58</v>
      </c>
      <c r="D1177" t="s">
        <v>1550</v>
      </c>
      <c r="E1177">
        <v>1736</v>
      </c>
    </row>
    <row r="1178" spans="1:5" x14ac:dyDescent="0.2">
      <c r="A1178" s="269">
        <v>45909.727013888885</v>
      </c>
      <c r="B1178" t="s">
        <v>1431</v>
      </c>
      <c r="C1178" t="s">
        <v>58</v>
      </c>
      <c r="D1178" t="s">
        <v>1500</v>
      </c>
      <c r="E1178">
        <v>1990</v>
      </c>
    </row>
    <row r="1179" spans="1:5" x14ac:dyDescent="0.2">
      <c r="A1179" s="269">
        <v>45909.727083333331</v>
      </c>
      <c r="B1179" t="s">
        <v>1431</v>
      </c>
      <c r="C1179" t="s">
        <v>58</v>
      </c>
      <c r="D1179" t="s">
        <v>1500</v>
      </c>
      <c r="E1179">
        <v>1990.1</v>
      </c>
    </row>
    <row r="1180" spans="1:5" x14ac:dyDescent="0.2">
      <c r="A1180" s="269">
        <v>45909.727314814816</v>
      </c>
      <c r="B1180" t="s">
        <v>1431</v>
      </c>
      <c r="C1180" t="s">
        <v>58</v>
      </c>
      <c r="D1180" t="s">
        <v>1500</v>
      </c>
      <c r="E1180">
        <v>528.29999999999995</v>
      </c>
    </row>
    <row r="1181" spans="1:5" x14ac:dyDescent="0.2">
      <c r="A1181" s="269">
        <v>45909.727395833332</v>
      </c>
      <c r="B1181" t="s">
        <v>1431</v>
      </c>
      <c r="C1181" t="s">
        <v>58</v>
      </c>
      <c r="D1181" t="s">
        <v>1500</v>
      </c>
      <c r="E1181">
        <v>528.13</v>
      </c>
    </row>
    <row r="1182" spans="1:5" x14ac:dyDescent="0.2">
      <c r="A1182" s="269">
        <v>45909.72755787037</v>
      </c>
      <c r="B1182" t="s">
        <v>1431</v>
      </c>
      <c r="C1182" t="s">
        <v>58</v>
      </c>
      <c r="D1182" t="s">
        <v>1501</v>
      </c>
      <c r="E1182">
        <v>602.16</v>
      </c>
    </row>
    <row r="1183" spans="1:5" x14ac:dyDescent="0.2">
      <c r="A1183" s="269">
        <v>45909.727662037039</v>
      </c>
      <c r="B1183" t="s">
        <v>1431</v>
      </c>
      <c r="C1183" t="s">
        <v>58</v>
      </c>
      <c r="D1183" t="s">
        <v>1551</v>
      </c>
      <c r="E1183">
        <v>1990.1</v>
      </c>
    </row>
    <row r="1184" spans="1:5" x14ac:dyDescent="0.2">
      <c r="A1184" s="269">
        <v>45909.727824074071</v>
      </c>
      <c r="B1184" t="s">
        <v>1431</v>
      </c>
      <c r="C1184" t="s">
        <v>58</v>
      </c>
      <c r="D1184" t="s">
        <v>1552</v>
      </c>
      <c r="E1184">
        <v>1701.3</v>
      </c>
    </row>
    <row r="1185" spans="1:5" x14ac:dyDescent="0.2">
      <c r="A1185" s="269">
        <v>45909.727951388886</v>
      </c>
      <c r="B1185" t="s">
        <v>1431</v>
      </c>
      <c r="C1185" t="s">
        <v>58</v>
      </c>
      <c r="D1185" t="s">
        <v>1502</v>
      </c>
      <c r="E1185">
        <v>488.43</v>
      </c>
    </row>
    <row r="1186" spans="1:5" x14ac:dyDescent="0.2">
      <c r="A1186" s="269">
        <v>45909.728125000001</v>
      </c>
      <c r="B1186" t="s">
        <v>1431</v>
      </c>
      <c r="C1186" t="s">
        <v>58</v>
      </c>
      <c r="D1186" t="s">
        <v>1553</v>
      </c>
      <c r="E1186">
        <v>2592.9</v>
      </c>
    </row>
    <row r="1187" spans="1:5" x14ac:dyDescent="0.2">
      <c r="A1187" s="269">
        <v>45909.728298611109</v>
      </c>
      <c r="B1187" t="s">
        <v>1431</v>
      </c>
      <c r="C1187" t="s">
        <v>58</v>
      </c>
      <c r="D1187" t="s">
        <v>1503</v>
      </c>
      <c r="E1187">
        <v>686</v>
      </c>
    </row>
    <row r="1188" spans="1:5" x14ac:dyDescent="0.2">
      <c r="A1188" s="269">
        <v>45909.728564814817</v>
      </c>
      <c r="B1188" t="s">
        <v>1431</v>
      </c>
      <c r="C1188" t="s">
        <v>58</v>
      </c>
      <c r="D1188" t="s">
        <v>1554</v>
      </c>
      <c r="E1188">
        <v>82</v>
      </c>
    </row>
    <row r="1189" spans="1:5" x14ac:dyDescent="0.2">
      <c r="A1189" s="269">
        <v>45909.728715277779</v>
      </c>
      <c r="B1189" t="s">
        <v>1431</v>
      </c>
      <c r="C1189" t="s">
        <v>58</v>
      </c>
      <c r="D1189" t="s">
        <v>1555</v>
      </c>
      <c r="E1189">
        <v>772.4</v>
      </c>
    </row>
    <row r="1190" spans="1:5" x14ac:dyDescent="0.2">
      <c r="A1190" s="269">
        <v>45909.728807870371</v>
      </c>
      <c r="B1190" t="s">
        <v>1431</v>
      </c>
      <c r="C1190" t="s">
        <v>58</v>
      </c>
      <c r="D1190" t="s">
        <v>1505</v>
      </c>
      <c r="E1190">
        <v>230.81</v>
      </c>
    </row>
    <row r="1191" spans="1:5" x14ac:dyDescent="0.2">
      <c r="A1191" s="269">
        <v>45909.729039351849</v>
      </c>
      <c r="B1191" t="s">
        <v>1431</v>
      </c>
      <c r="C1191" t="s">
        <v>58</v>
      </c>
      <c r="D1191" t="s">
        <v>1529</v>
      </c>
      <c r="E1191">
        <v>123.2</v>
      </c>
    </row>
    <row r="1192" spans="1:5" x14ac:dyDescent="0.2">
      <c r="A1192" s="269">
        <v>45909.72923611111</v>
      </c>
      <c r="B1192" t="s">
        <v>1431</v>
      </c>
      <c r="C1192" t="s">
        <v>58</v>
      </c>
      <c r="D1192" t="s">
        <v>1556</v>
      </c>
      <c r="E1192">
        <v>385</v>
      </c>
    </row>
    <row r="1193" spans="1:5" x14ac:dyDescent="0.2">
      <c r="A1193" s="269">
        <v>45909.729768518519</v>
      </c>
      <c r="B1193" t="s">
        <v>1431</v>
      </c>
      <c r="C1193" t="s">
        <v>58</v>
      </c>
      <c r="D1193" t="s">
        <v>1556</v>
      </c>
      <c r="E1193">
        <v>88</v>
      </c>
    </row>
    <row r="1194" spans="1:5" x14ac:dyDescent="0.2">
      <c r="A1194" s="269">
        <v>45909.729861111111</v>
      </c>
      <c r="B1194" t="s">
        <v>1431</v>
      </c>
      <c r="C1194" t="s">
        <v>58</v>
      </c>
      <c r="D1194" t="s">
        <v>1556</v>
      </c>
      <c r="E1194">
        <v>385</v>
      </c>
    </row>
    <row r="1195" spans="1:5" x14ac:dyDescent="0.2">
      <c r="A1195" s="269">
        <v>45909.729872685188</v>
      </c>
      <c r="B1195" t="s">
        <v>1431</v>
      </c>
      <c r="C1195" t="s">
        <v>58</v>
      </c>
      <c r="D1195" t="s">
        <v>1556</v>
      </c>
    </row>
    <row r="1196" spans="1:5" x14ac:dyDescent="0.2">
      <c r="A1196" s="269">
        <v>45909.729884259257</v>
      </c>
      <c r="B1196" t="s">
        <v>1431</v>
      </c>
      <c r="C1196" t="s">
        <v>58</v>
      </c>
      <c r="D1196" t="s">
        <v>1529</v>
      </c>
      <c r="E1196">
        <v>9.68</v>
      </c>
    </row>
    <row r="1197" spans="1:5" x14ac:dyDescent="0.2">
      <c r="A1197" s="269">
        <v>45909.72996527778</v>
      </c>
      <c r="B1197" t="s">
        <v>1431</v>
      </c>
      <c r="C1197" t="s">
        <v>58</v>
      </c>
      <c r="D1197" t="s">
        <v>1556</v>
      </c>
      <c r="E1197">
        <v>88</v>
      </c>
    </row>
    <row r="1198" spans="1:5" x14ac:dyDescent="0.2">
      <c r="A1198" s="269">
        <v>45909.730150462965</v>
      </c>
      <c r="B1198" t="s">
        <v>1431</v>
      </c>
      <c r="C1198" t="s">
        <v>58</v>
      </c>
      <c r="D1198" t="s">
        <v>1557</v>
      </c>
      <c r="E1198">
        <v>838</v>
      </c>
    </row>
    <row r="1199" spans="1:5" x14ac:dyDescent="0.2">
      <c r="A1199" s="269">
        <v>45909.730300925927</v>
      </c>
      <c r="B1199" t="s">
        <v>1431</v>
      </c>
      <c r="C1199" t="s">
        <v>58</v>
      </c>
      <c r="D1199" t="s">
        <v>1558</v>
      </c>
      <c r="E1199">
        <v>1021</v>
      </c>
    </row>
    <row r="1200" spans="1:5" x14ac:dyDescent="0.2">
      <c r="A1200" s="269">
        <v>45909.731215277781</v>
      </c>
      <c r="B1200" t="s">
        <v>1431</v>
      </c>
      <c r="C1200" t="s">
        <v>58</v>
      </c>
      <c r="D1200" t="s">
        <v>1523</v>
      </c>
      <c r="E1200">
        <v>69.709999999999994</v>
      </c>
    </row>
    <row r="1201" spans="1:5" x14ac:dyDescent="0.2">
      <c r="A1201" s="269">
        <v>45909.731296296297</v>
      </c>
      <c r="B1201" t="s">
        <v>1431</v>
      </c>
      <c r="C1201" t="s">
        <v>58</v>
      </c>
      <c r="D1201" t="s">
        <v>1559</v>
      </c>
      <c r="E1201">
        <v>707</v>
      </c>
    </row>
    <row r="1202" spans="1:5" x14ac:dyDescent="0.2">
      <c r="A1202" s="269">
        <v>45909.731458333335</v>
      </c>
      <c r="B1202" t="s">
        <v>1431</v>
      </c>
      <c r="C1202" t="s">
        <v>58</v>
      </c>
      <c r="D1202" t="s">
        <v>1560</v>
      </c>
      <c r="E1202">
        <v>1616</v>
      </c>
    </row>
    <row r="1203" spans="1:5" x14ac:dyDescent="0.2">
      <c r="A1203" s="269">
        <v>45909.731585648151</v>
      </c>
      <c r="B1203" t="s">
        <v>1431</v>
      </c>
      <c r="C1203" t="s">
        <v>58</v>
      </c>
      <c r="D1203" t="s">
        <v>1522</v>
      </c>
      <c r="E1203">
        <v>140.37</v>
      </c>
    </row>
    <row r="1204" spans="1:5" x14ac:dyDescent="0.2">
      <c r="A1204" s="269">
        <v>45909.731863425928</v>
      </c>
      <c r="B1204" t="s">
        <v>1431</v>
      </c>
      <c r="C1204" t="s">
        <v>58</v>
      </c>
      <c r="D1204" t="s">
        <v>1561</v>
      </c>
      <c r="E1204">
        <v>356</v>
      </c>
    </row>
    <row r="1205" spans="1:5" x14ac:dyDescent="0.2">
      <c r="A1205" s="269">
        <v>45909.73201388889</v>
      </c>
      <c r="B1205" t="s">
        <v>1431</v>
      </c>
      <c r="C1205" t="s">
        <v>58</v>
      </c>
      <c r="D1205" t="s">
        <v>1562</v>
      </c>
      <c r="E1205">
        <v>1749</v>
      </c>
    </row>
    <row r="1206" spans="1:5" x14ac:dyDescent="0.2">
      <c r="A1206" s="269">
        <v>45909.732129629629</v>
      </c>
      <c r="B1206" t="s">
        <v>1431</v>
      </c>
      <c r="C1206" t="s">
        <v>58</v>
      </c>
      <c r="D1206" t="s">
        <v>1518</v>
      </c>
      <c r="E1206">
        <v>152.31</v>
      </c>
    </row>
    <row r="1207" spans="1:5" x14ac:dyDescent="0.2">
      <c r="A1207" s="269">
        <v>45909.732314814813</v>
      </c>
      <c r="B1207" t="s">
        <v>1431</v>
      </c>
      <c r="C1207" t="s">
        <v>58</v>
      </c>
      <c r="D1207" t="s">
        <v>1563</v>
      </c>
      <c r="E1207">
        <v>713</v>
      </c>
    </row>
    <row r="1208" spans="1:5" x14ac:dyDescent="0.2">
      <c r="A1208" s="269">
        <v>45909.732858796298</v>
      </c>
      <c r="B1208" t="s">
        <v>1431</v>
      </c>
      <c r="C1208" t="s">
        <v>58</v>
      </c>
      <c r="D1208" t="s">
        <v>1533</v>
      </c>
      <c r="E1208">
        <v>628</v>
      </c>
    </row>
    <row r="1209" spans="1:5" x14ac:dyDescent="0.2">
      <c r="A1209" s="269">
        <v>45909.733703703707</v>
      </c>
      <c r="B1209" t="s">
        <v>1431</v>
      </c>
      <c r="C1209" t="s">
        <v>58</v>
      </c>
      <c r="D1209" t="s">
        <v>1564</v>
      </c>
      <c r="E1209">
        <v>839</v>
      </c>
    </row>
    <row r="1210" spans="1:5" x14ac:dyDescent="0.2">
      <c r="A1210" s="269">
        <v>45909.733831018515</v>
      </c>
      <c r="B1210" t="s">
        <v>1431</v>
      </c>
      <c r="C1210" t="s">
        <v>58</v>
      </c>
      <c r="D1210" t="s">
        <v>1515</v>
      </c>
      <c r="E1210">
        <v>65.95</v>
      </c>
    </row>
    <row r="1211" spans="1:5" x14ac:dyDescent="0.2">
      <c r="A1211" s="269">
        <v>45909.7340625</v>
      </c>
      <c r="B1211" t="s">
        <v>1431</v>
      </c>
      <c r="C1211" t="s">
        <v>58</v>
      </c>
      <c r="D1211" t="s">
        <v>1517</v>
      </c>
      <c r="E1211">
        <v>69.52</v>
      </c>
    </row>
    <row r="1212" spans="1:5" x14ac:dyDescent="0.2">
      <c r="A1212" s="269">
        <v>45910.334780092591</v>
      </c>
      <c r="B1212" t="s">
        <v>1431</v>
      </c>
      <c r="C1212" t="s">
        <v>58</v>
      </c>
      <c r="D1212" t="s">
        <v>1565</v>
      </c>
      <c r="E1212">
        <v>638</v>
      </c>
    </row>
    <row r="1213" spans="1:5" x14ac:dyDescent="0.2">
      <c r="A1213" s="269">
        <v>45910.335115740738</v>
      </c>
      <c r="B1213" t="s">
        <v>1431</v>
      </c>
      <c r="C1213" t="s">
        <v>58</v>
      </c>
      <c r="D1213" t="s">
        <v>1566</v>
      </c>
      <c r="E1213">
        <v>1820</v>
      </c>
    </row>
    <row r="1214" spans="1:5" x14ac:dyDescent="0.2">
      <c r="A1214" s="269">
        <v>45910.335289351853</v>
      </c>
      <c r="B1214" t="s">
        <v>1431</v>
      </c>
      <c r="C1214" t="s">
        <v>58</v>
      </c>
      <c r="D1214" t="s">
        <v>1520</v>
      </c>
      <c r="E1214">
        <v>233.7</v>
      </c>
    </row>
    <row r="1215" spans="1:5" x14ac:dyDescent="0.2">
      <c r="A1215" s="269">
        <v>45910.336412037039</v>
      </c>
      <c r="B1215" t="s">
        <v>1431</v>
      </c>
      <c r="C1215" t="s">
        <v>58</v>
      </c>
      <c r="D1215" t="s">
        <v>1567</v>
      </c>
      <c r="E1215">
        <v>948</v>
      </c>
    </row>
    <row r="1216" spans="1:5" x14ac:dyDescent="0.2">
      <c r="A1216" s="269">
        <v>45910.336747685185</v>
      </c>
      <c r="B1216" t="s">
        <v>1431</v>
      </c>
      <c r="C1216" t="s">
        <v>58</v>
      </c>
      <c r="D1216" t="s">
        <v>1568</v>
      </c>
      <c r="E1216">
        <v>813</v>
      </c>
    </row>
    <row r="1217" spans="1:5" x14ac:dyDescent="0.2">
      <c r="A1217" s="269">
        <v>45910.336921296293</v>
      </c>
      <c r="B1217" t="s">
        <v>1431</v>
      </c>
      <c r="C1217" t="s">
        <v>58</v>
      </c>
      <c r="D1217" t="s">
        <v>1524</v>
      </c>
      <c r="E1217">
        <v>60.13</v>
      </c>
    </row>
    <row r="1218" spans="1:5" x14ac:dyDescent="0.2">
      <c r="A1218" s="269">
        <v>45910.337372685186</v>
      </c>
      <c r="B1218" t="s">
        <v>1431</v>
      </c>
      <c r="C1218" t="s">
        <v>58</v>
      </c>
      <c r="D1218" t="s">
        <v>1525</v>
      </c>
      <c r="E1218">
        <v>102.22</v>
      </c>
    </row>
    <row r="1219" spans="1:5" x14ac:dyDescent="0.2">
      <c r="A1219" s="269">
        <v>45910.337592592594</v>
      </c>
      <c r="B1219" t="s">
        <v>1431</v>
      </c>
      <c r="C1219" t="s">
        <v>58</v>
      </c>
      <c r="D1219" t="s">
        <v>1569</v>
      </c>
      <c r="E1219">
        <v>890</v>
      </c>
    </row>
    <row r="1220" spans="1:5" x14ac:dyDescent="0.2">
      <c r="A1220" s="269">
        <v>45910.338680555556</v>
      </c>
      <c r="B1220" t="s">
        <v>1431</v>
      </c>
      <c r="C1220" t="s">
        <v>58</v>
      </c>
      <c r="D1220" t="s">
        <v>1570</v>
      </c>
      <c r="E1220">
        <v>1208</v>
      </c>
    </row>
    <row r="1221" spans="1:5" x14ac:dyDescent="0.2">
      <c r="A1221" s="269">
        <v>45910.338784722226</v>
      </c>
      <c r="B1221" t="s">
        <v>1431</v>
      </c>
      <c r="C1221" t="s">
        <v>58</v>
      </c>
      <c r="D1221" t="s">
        <v>1528</v>
      </c>
      <c r="E1221">
        <v>106.92</v>
      </c>
    </row>
    <row r="1222" spans="1:5" x14ac:dyDescent="0.2">
      <c r="A1222" s="269">
        <v>45910.339166666665</v>
      </c>
      <c r="B1222" t="s">
        <v>1431</v>
      </c>
      <c r="C1222" t="s">
        <v>58</v>
      </c>
      <c r="D1222" t="s">
        <v>1530</v>
      </c>
      <c r="E1222">
        <v>27.76</v>
      </c>
    </row>
    <row r="1223" spans="1:5" x14ac:dyDescent="0.2">
      <c r="A1223" s="269">
        <v>45910.339247685188</v>
      </c>
      <c r="B1223" t="s">
        <v>1431</v>
      </c>
      <c r="C1223" t="s">
        <v>58</v>
      </c>
      <c r="D1223" t="s">
        <v>1571</v>
      </c>
      <c r="E1223">
        <v>689</v>
      </c>
    </row>
    <row r="1224" spans="1:5" x14ac:dyDescent="0.2">
      <c r="A1224" s="269">
        <v>45910.3434375</v>
      </c>
      <c r="B1224" t="s">
        <v>1431</v>
      </c>
      <c r="C1224" t="s">
        <v>58</v>
      </c>
      <c r="D1224" t="s">
        <v>1530</v>
      </c>
      <c r="E1224">
        <v>61.95</v>
      </c>
    </row>
    <row r="1225" spans="1:5" x14ac:dyDescent="0.2">
      <c r="A1225" s="269">
        <v>45910.343564814815</v>
      </c>
      <c r="B1225" t="s">
        <v>1431</v>
      </c>
      <c r="C1225" t="s">
        <v>58</v>
      </c>
      <c r="D1225" t="s">
        <v>1572</v>
      </c>
      <c r="E1225">
        <v>11.121872477804681</v>
      </c>
    </row>
    <row r="1226" spans="1:5" x14ac:dyDescent="0.2">
      <c r="A1226" s="269">
        <v>45910.343576388892</v>
      </c>
      <c r="B1226" t="s">
        <v>1431</v>
      </c>
      <c r="C1226" t="s">
        <v>58</v>
      </c>
      <c r="D1226" t="s">
        <v>1572</v>
      </c>
    </row>
    <row r="1227" spans="1:5" x14ac:dyDescent="0.2">
      <c r="A1227" s="269">
        <v>45910.350173611114</v>
      </c>
      <c r="B1227" t="s">
        <v>1431</v>
      </c>
      <c r="C1227" t="s">
        <v>103</v>
      </c>
      <c r="D1227" t="s">
        <v>1472</v>
      </c>
      <c r="E1227">
        <v>205480</v>
      </c>
    </row>
    <row r="1228" spans="1:5" x14ac:dyDescent="0.2">
      <c r="A1228" s="269">
        <v>45910.350219907406</v>
      </c>
      <c r="B1228" t="s">
        <v>1431</v>
      </c>
      <c r="C1228" t="s">
        <v>103</v>
      </c>
      <c r="D1228" t="s">
        <v>1472</v>
      </c>
    </row>
    <row r="1229" spans="1:5" x14ac:dyDescent="0.2">
      <c r="A1229" s="269">
        <v>45910.350937499999</v>
      </c>
      <c r="B1229" t="s">
        <v>1431</v>
      </c>
      <c r="C1229" t="s">
        <v>26</v>
      </c>
      <c r="D1229" t="s">
        <v>1541</v>
      </c>
      <c r="E1229" t="s">
        <v>1573</v>
      </c>
    </row>
    <row r="1230" spans="1:5" x14ac:dyDescent="0.2">
      <c r="A1230" s="269">
        <v>45910.350983796299</v>
      </c>
      <c r="B1230" t="s">
        <v>1431</v>
      </c>
      <c r="C1230" t="s">
        <v>26</v>
      </c>
      <c r="D1230" t="s">
        <v>1545</v>
      </c>
      <c r="E1230" t="s">
        <v>1573</v>
      </c>
    </row>
    <row r="1231" spans="1:5" x14ac:dyDescent="0.2">
      <c r="A1231" s="269">
        <v>45910.354166666664</v>
      </c>
      <c r="B1231" t="s">
        <v>1431</v>
      </c>
      <c r="C1231" t="s">
        <v>26</v>
      </c>
      <c r="D1231" t="s">
        <v>1574</v>
      </c>
    </row>
    <row r="1232" spans="1:5" x14ac:dyDescent="0.2">
      <c r="A1232" s="269">
        <v>45910.354212962964</v>
      </c>
      <c r="B1232" t="s">
        <v>1431</v>
      </c>
      <c r="C1232" t="s">
        <v>26</v>
      </c>
      <c r="D1232" t="s">
        <v>1575</v>
      </c>
    </row>
    <row r="1233" spans="1:5" x14ac:dyDescent="0.2">
      <c r="A1233" s="269">
        <v>45910.35429398148</v>
      </c>
      <c r="B1233" t="s">
        <v>1431</v>
      </c>
      <c r="C1233" t="s">
        <v>26</v>
      </c>
      <c r="D1233" t="s">
        <v>1576</v>
      </c>
    </row>
    <row r="1234" spans="1:5" x14ac:dyDescent="0.2">
      <c r="A1234" s="269">
        <v>45910.354398148149</v>
      </c>
      <c r="B1234" t="s">
        <v>1431</v>
      </c>
      <c r="C1234" t="s">
        <v>26</v>
      </c>
      <c r="D1234" t="s">
        <v>1577</v>
      </c>
    </row>
    <row r="1235" spans="1:5" x14ac:dyDescent="0.2">
      <c r="A1235" s="269">
        <v>45910.354444444441</v>
      </c>
      <c r="B1235" t="s">
        <v>1431</v>
      </c>
      <c r="C1235" t="s">
        <v>26</v>
      </c>
      <c r="D1235" t="s">
        <v>1578</v>
      </c>
    </row>
    <row r="1236" spans="1:5" x14ac:dyDescent="0.2">
      <c r="A1236" s="269">
        <v>45910.354502314818</v>
      </c>
      <c r="B1236" t="s">
        <v>1431</v>
      </c>
      <c r="C1236" t="s">
        <v>26</v>
      </c>
      <c r="D1236" t="s">
        <v>1539</v>
      </c>
    </row>
    <row r="1237" spans="1:5" x14ac:dyDescent="0.2">
      <c r="A1237" s="269">
        <v>45910.354548611111</v>
      </c>
      <c r="B1237" t="s">
        <v>1431</v>
      </c>
      <c r="C1237" t="s">
        <v>26</v>
      </c>
      <c r="D1237" t="s">
        <v>1579</v>
      </c>
    </row>
    <row r="1238" spans="1:5" x14ac:dyDescent="0.2">
      <c r="A1238" s="269">
        <v>45910.354733796295</v>
      </c>
      <c r="B1238" t="s">
        <v>1431</v>
      </c>
      <c r="C1238" t="s">
        <v>25</v>
      </c>
      <c r="D1238" t="s">
        <v>1456</v>
      </c>
      <c r="E1238" t="s">
        <v>1580</v>
      </c>
    </row>
    <row r="1239" spans="1:5" x14ac:dyDescent="0.2">
      <c r="A1239" s="269">
        <v>45910.354826388888</v>
      </c>
      <c r="B1239" t="s">
        <v>1431</v>
      </c>
      <c r="C1239" t="s">
        <v>103</v>
      </c>
      <c r="D1239" t="s">
        <v>1574</v>
      </c>
    </row>
    <row r="1240" spans="1:5" x14ac:dyDescent="0.2">
      <c r="A1240" s="269">
        <v>45910.354895833334</v>
      </c>
      <c r="B1240" t="s">
        <v>1431</v>
      </c>
      <c r="C1240" t="s">
        <v>103</v>
      </c>
      <c r="D1240" t="s">
        <v>1440</v>
      </c>
    </row>
    <row r="1241" spans="1:5" x14ac:dyDescent="0.2">
      <c r="A1241" s="269">
        <v>45910.35491898148</v>
      </c>
      <c r="B1241" t="s">
        <v>1431</v>
      </c>
      <c r="C1241" t="s">
        <v>103</v>
      </c>
      <c r="D1241" t="s">
        <v>1441</v>
      </c>
    </row>
    <row r="1242" spans="1:5" x14ac:dyDescent="0.2">
      <c r="A1242" s="269">
        <v>45910.354953703703</v>
      </c>
      <c r="B1242" t="s">
        <v>1431</v>
      </c>
      <c r="C1242" t="s">
        <v>103</v>
      </c>
      <c r="D1242" t="s">
        <v>1581</v>
      </c>
    </row>
    <row r="1243" spans="1:5" x14ac:dyDescent="0.2">
      <c r="A1243" s="269">
        <v>45910.35533564815</v>
      </c>
      <c r="B1243" t="s">
        <v>1431</v>
      </c>
      <c r="C1243" t="s">
        <v>58</v>
      </c>
      <c r="D1243" t="s">
        <v>1582</v>
      </c>
    </row>
    <row r="1244" spans="1:5" x14ac:dyDescent="0.2">
      <c r="A1244" s="269">
        <v>45910.355509259258</v>
      </c>
      <c r="B1244" t="s">
        <v>1431</v>
      </c>
      <c r="C1244" t="s">
        <v>58</v>
      </c>
      <c r="D1244" t="s">
        <v>1583</v>
      </c>
    </row>
    <row r="1245" spans="1:5" x14ac:dyDescent="0.2">
      <c r="A1245" s="269">
        <v>45910.355567129627</v>
      </c>
      <c r="B1245" t="s">
        <v>1431</v>
      </c>
      <c r="C1245" t="s">
        <v>58</v>
      </c>
      <c r="D1245" t="s">
        <v>1584</v>
      </c>
    </row>
    <row r="1246" spans="1:5" x14ac:dyDescent="0.2">
      <c r="A1246" s="269">
        <v>45910.35564814815</v>
      </c>
      <c r="B1246" t="s">
        <v>1431</v>
      </c>
      <c r="C1246" t="s">
        <v>58</v>
      </c>
      <c r="D1246" t="s">
        <v>1585</v>
      </c>
    </row>
    <row r="1247" spans="1:5" x14ac:dyDescent="0.2">
      <c r="A1247" s="269">
        <v>45910.355902777781</v>
      </c>
      <c r="B1247" t="s">
        <v>1431</v>
      </c>
      <c r="C1247" t="s">
        <v>27</v>
      </c>
      <c r="D1247" t="s">
        <v>1586</v>
      </c>
    </row>
    <row r="1248" spans="1:5" x14ac:dyDescent="0.2">
      <c r="A1248" s="269">
        <v>45910.355925925927</v>
      </c>
      <c r="B1248" t="s">
        <v>1431</v>
      </c>
      <c r="C1248" t="s">
        <v>27</v>
      </c>
      <c r="D1248" t="s">
        <v>1587</v>
      </c>
    </row>
    <row r="1249" spans="1:5" x14ac:dyDescent="0.2">
      <c r="A1249" s="269">
        <v>45910.360474537039</v>
      </c>
      <c r="B1249" t="s">
        <v>1431</v>
      </c>
      <c r="C1249" t="s">
        <v>27</v>
      </c>
      <c r="D1249" t="s">
        <v>950</v>
      </c>
      <c r="E1249" t="s">
        <v>338</v>
      </c>
    </row>
    <row r="1250" spans="1:5" x14ac:dyDescent="0.2">
      <c r="A1250" s="269">
        <v>45910.360717592594</v>
      </c>
      <c r="B1250" t="s">
        <v>1431</v>
      </c>
      <c r="C1250" t="s">
        <v>27</v>
      </c>
      <c r="D1250" t="s">
        <v>777</v>
      </c>
      <c r="E1250">
        <v>178.08</v>
      </c>
    </row>
    <row r="1251" spans="1:5" x14ac:dyDescent="0.2">
      <c r="A1251" s="269">
        <v>45910.361689814818</v>
      </c>
      <c r="B1251" t="s">
        <v>1431</v>
      </c>
      <c r="C1251" t="s">
        <v>27</v>
      </c>
      <c r="D1251" t="s">
        <v>1588</v>
      </c>
    </row>
    <row r="1252" spans="1:5" x14ac:dyDescent="0.2">
      <c r="A1252" s="269">
        <v>45910.361898148149</v>
      </c>
      <c r="B1252" t="s">
        <v>1431</v>
      </c>
      <c r="C1252" t="s">
        <v>2</v>
      </c>
      <c r="D1252" t="s">
        <v>1433</v>
      </c>
      <c r="E1252">
        <v>2025</v>
      </c>
    </row>
    <row r="1253" spans="1:5" x14ac:dyDescent="0.2">
      <c r="A1253" s="269">
        <v>45910.362523148149</v>
      </c>
      <c r="B1253" t="s">
        <v>1431</v>
      </c>
      <c r="C1253" t="s">
        <v>26</v>
      </c>
      <c r="D1253" t="s">
        <v>1576</v>
      </c>
      <c r="E1253">
        <v>34</v>
      </c>
    </row>
    <row r="1254" spans="1:5" x14ac:dyDescent="0.2">
      <c r="A1254" s="269">
        <v>45910.362592592595</v>
      </c>
      <c r="B1254" t="s">
        <v>1431</v>
      </c>
      <c r="C1254" t="s">
        <v>26</v>
      </c>
      <c r="D1254" t="s">
        <v>1589</v>
      </c>
      <c r="E1254">
        <v>34</v>
      </c>
    </row>
    <row r="1255" spans="1:5" x14ac:dyDescent="0.2">
      <c r="A1255" s="269">
        <v>45910.363032407404</v>
      </c>
      <c r="B1255" t="s">
        <v>1431</v>
      </c>
      <c r="C1255" t="s">
        <v>103</v>
      </c>
      <c r="D1255" t="s">
        <v>1590</v>
      </c>
      <c r="E1255">
        <v>15400</v>
      </c>
    </row>
    <row r="1256" spans="1:5" x14ac:dyDescent="0.2">
      <c r="A1256" s="269">
        <v>45910.363252314812</v>
      </c>
      <c r="B1256" t="s">
        <v>1431</v>
      </c>
      <c r="C1256" t="s">
        <v>103</v>
      </c>
      <c r="D1256" t="s">
        <v>1576</v>
      </c>
      <c r="E1256" s="438">
        <v>131747.17000000001</v>
      </c>
    </row>
    <row r="1257" spans="1:5" x14ac:dyDescent="0.2">
      <c r="A1257" s="269">
        <v>45910.363344907404</v>
      </c>
      <c r="B1257" t="s">
        <v>1431</v>
      </c>
      <c r="C1257" t="s">
        <v>103</v>
      </c>
      <c r="D1257" t="s">
        <v>937</v>
      </c>
      <c r="E1257" t="s">
        <v>479</v>
      </c>
    </row>
    <row r="1258" spans="1:5" x14ac:dyDescent="0.2">
      <c r="A1258" s="269">
        <v>45910.363391203704</v>
      </c>
      <c r="B1258" t="s">
        <v>1431</v>
      </c>
      <c r="C1258" t="s">
        <v>103</v>
      </c>
      <c r="D1258" t="s">
        <v>1591</v>
      </c>
      <c r="E1258" t="s">
        <v>479</v>
      </c>
    </row>
    <row r="1259" spans="1:5" x14ac:dyDescent="0.2">
      <c r="A1259" s="269">
        <v>45910.366574074076</v>
      </c>
      <c r="B1259" t="s">
        <v>1431</v>
      </c>
      <c r="C1259" t="s">
        <v>58</v>
      </c>
      <c r="D1259" t="s">
        <v>1456</v>
      </c>
      <c r="E1259">
        <v>97.9</v>
      </c>
    </row>
    <row r="1260" spans="1:5" x14ac:dyDescent="0.2">
      <c r="A1260" s="269">
        <v>45910.366747685184</v>
      </c>
      <c r="B1260" t="s">
        <v>1431</v>
      </c>
      <c r="C1260" t="s">
        <v>58</v>
      </c>
      <c r="D1260" t="s">
        <v>958</v>
      </c>
      <c r="E1260">
        <v>97.9</v>
      </c>
    </row>
    <row r="1261" spans="1:5" x14ac:dyDescent="0.2">
      <c r="A1261" s="269">
        <v>45910.366875</v>
      </c>
      <c r="B1261" t="s">
        <v>1431</v>
      </c>
      <c r="C1261" t="s">
        <v>58</v>
      </c>
      <c r="D1261" t="s">
        <v>1456</v>
      </c>
      <c r="E1261">
        <v>48.65</v>
      </c>
    </row>
    <row r="1262" spans="1:5" x14ac:dyDescent="0.2">
      <c r="A1262" s="269">
        <v>45910.367152777777</v>
      </c>
      <c r="B1262" t="s">
        <v>1431</v>
      </c>
      <c r="C1262" t="s">
        <v>58</v>
      </c>
      <c r="D1262" t="s">
        <v>795</v>
      </c>
    </row>
    <row r="1263" spans="1:5" x14ac:dyDescent="0.2">
      <c r="A1263" s="269">
        <v>45910.367245370369</v>
      </c>
      <c r="B1263" t="s">
        <v>1431</v>
      </c>
      <c r="C1263" t="s">
        <v>58</v>
      </c>
      <c r="D1263" t="s">
        <v>1592</v>
      </c>
      <c r="E1263" t="s">
        <v>365</v>
      </c>
    </row>
    <row r="1264" spans="1:5" x14ac:dyDescent="0.2">
      <c r="A1264" s="269">
        <v>45910.367268518516</v>
      </c>
      <c r="B1264" t="s">
        <v>1431</v>
      </c>
      <c r="C1264" t="s">
        <v>58</v>
      </c>
      <c r="D1264" t="s">
        <v>1593</v>
      </c>
    </row>
    <row r="1265" spans="1:5" x14ac:dyDescent="0.2">
      <c r="A1265" s="269">
        <v>45910.367291666669</v>
      </c>
      <c r="B1265" t="s">
        <v>1431</v>
      </c>
      <c r="C1265" t="s">
        <v>58</v>
      </c>
      <c r="D1265" t="s">
        <v>1594</v>
      </c>
    </row>
    <row r="1266" spans="1:5" x14ac:dyDescent="0.2">
      <c r="A1266" s="269">
        <v>45910.367430555554</v>
      </c>
      <c r="B1266" t="s">
        <v>1431</v>
      </c>
      <c r="C1266" t="s">
        <v>58</v>
      </c>
      <c r="D1266" t="s">
        <v>1595</v>
      </c>
      <c r="E1266" t="s">
        <v>89</v>
      </c>
    </row>
    <row r="1267" spans="1:5" x14ac:dyDescent="0.2">
      <c r="A1267" s="269">
        <v>45910.367986111109</v>
      </c>
      <c r="B1267" t="s">
        <v>1431</v>
      </c>
      <c r="C1267" t="s">
        <v>58</v>
      </c>
      <c r="D1267" t="s">
        <v>1533</v>
      </c>
      <c r="E1267">
        <v>49</v>
      </c>
    </row>
    <row r="1268" spans="1:5" x14ac:dyDescent="0.2">
      <c r="A1268" s="269">
        <v>45910.368101851855</v>
      </c>
      <c r="B1268" t="s">
        <v>1431</v>
      </c>
      <c r="C1268" t="s">
        <v>58</v>
      </c>
      <c r="D1268" t="s">
        <v>1506</v>
      </c>
      <c r="E1268">
        <v>26.59</v>
      </c>
    </row>
    <row r="1269" spans="1:5" x14ac:dyDescent="0.2">
      <c r="A1269" s="269">
        <v>45910.368287037039</v>
      </c>
      <c r="B1269" t="s">
        <v>1431</v>
      </c>
      <c r="C1269" t="s">
        <v>58</v>
      </c>
      <c r="D1269" t="s">
        <v>1439</v>
      </c>
    </row>
    <row r="1270" spans="1:5" x14ac:dyDescent="0.2">
      <c r="A1270" s="269">
        <v>45910.368321759262</v>
      </c>
      <c r="B1270" t="s">
        <v>1431</v>
      </c>
      <c r="C1270" t="s">
        <v>58</v>
      </c>
      <c r="D1270" t="s">
        <v>1596</v>
      </c>
    </row>
    <row r="1271" spans="1:5" x14ac:dyDescent="0.2">
      <c r="A1271" s="269">
        <v>45910.368333333332</v>
      </c>
      <c r="B1271" t="s">
        <v>1431</v>
      </c>
      <c r="C1271" t="s">
        <v>58</v>
      </c>
      <c r="D1271" t="s">
        <v>1445</v>
      </c>
    </row>
    <row r="1272" spans="1:5" x14ac:dyDescent="0.2">
      <c r="A1272" s="269">
        <v>45910.368402777778</v>
      </c>
      <c r="B1272" t="s">
        <v>1431</v>
      </c>
      <c r="C1272" t="s">
        <v>58</v>
      </c>
      <c r="D1272" t="s">
        <v>1513</v>
      </c>
    </row>
    <row r="1273" spans="1:5" x14ac:dyDescent="0.2">
      <c r="A1273" s="269">
        <v>45910.368472222224</v>
      </c>
      <c r="B1273" t="s">
        <v>1431</v>
      </c>
      <c r="C1273" t="s">
        <v>58</v>
      </c>
      <c r="D1273" t="s">
        <v>1448</v>
      </c>
    </row>
    <row r="1274" spans="1:5" x14ac:dyDescent="0.2">
      <c r="A1274" s="269">
        <v>45910.368483796294</v>
      </c>
      <c r="B1274" t="s">
        <v>1431</v>
      </c>
      <c r="C1274" t="s">
        <v>58</v>
      </c>
      <c r="D1274" t="s">
        <v>1597</v>
      </c>
    </row>
    <row r="1275" spans="1:5" x14ac:dyDescent="0.2">
      <c r="A1275" s="269">
        <v>45910.368495370371</v>
      </c>
      <c r="B1275" t="s">
        <v>1431</v>
      </c>
      <c r="C1275" t="s">
        <v>58</v>
      </c>
      <c r="D1275" t="s">
        <v>675</v>
      </c>
    </row>
    <row r="1276" spans="1:5" x14ac:dyDescent="0.2">
      <c r="A1276" s="269">
        <v>45910.368703703702</v>
      </c>
      <c r="B1276" t="s">
        <v>1431</v>
      </c>
      <c r="C1276" t="s">
        <v>58</v>
      </c>
      <c r="D1276" t="s">
        <v>1598</v>
      </c>
      <c r="E1276" t="s">
        <v>365</v>
      </c>
    </row>
    <row r="1277" spans="1:5" x14ac:dyDescent="0.2">
      <c r="A1277" s="269">
        <v>45910.368819444448</v>
      </c>
      <c r="B1277" t="s">
        <v>1431</v>
      </c>
      <c r="C1277" t="s">
        <v>58</v>
      </c>
      <c r="D1277" t="s">
        <v>1599</v>
      </c>
      <c r="E1277" t="s">
        <v>365</v>
      </c>
    </row>
    <row r="1278" spans="1:5" x14ac:dyDescent="0.2">
      <c r="A1278" s="269">
        <v>45910.369155092594</v>
      </c>
      <c r="B1278" t="s">
        <v>1431</v>
      </c>
      <c r="C1278" t="s">
        <v>58</v>
      </c>
      <c r="D1278" t="s">
        <v>1600</v>
      </c>
      <c r="E1278" t="s">
        <v>1507</v>
      </c>
    </row>
    <row r="1279" spans="1:5" x14ac:dyDescent="0.2">
      <c r="A1279" s="269">
        <v>45910.369328703702</v>
      </c>
      <c r="B1279" t="s">
        <v>1431</v>
      </c>
      <c r="C1279" t="s">
        <v>58</v>
      </c>
      <c r="D1279" t="s">
        <v>1601</v>
      </c>
      <c r="E1279" t="s">
        <v>1507</v>
      </c>
    </row>
    <row r="1280" spans="1:5" x14ac:dyDescent="0.2">
      <c r="A1280" s="269">
        <v>45910.369467592594</v>
      </c>
      <c r="B1280" t="s">
        <v>1431</v>
      </c>
      <c r="C1280" t="s">
        <v>58</v>
      </c>
      <c r="D1280" t="s">
        <v>1602</v>
      </c>
      <c r="E1280" t="s">
        <v>1507</v>
      </c>
    </row>
    <row r="1281" spans="1:5" x14ac:dyDescent="0.2">
      <c r="A1281" s="269">
        <v>45910.369988425926</v>
      </c>
      <c r="B1281" t="s">
        <v>1431</v>
      </c>
      <c r="C1281" t="s">
        <v>58</v>
      </c>
      <c r="D1281" t="s">
        <v>1548</v>
      </c>
      <c r="E1281">
        <v>142.4</v>
      </c>
    </row>
    <row r="1282" spans="1:5" x14ac:dyDescent="0.2">
      <c r="A1282" s="269">
        <v>45910.370069444441</v>
      </c>
      <c r="B1282" t="s">
        <v>1431</v>
      </c>
      <c r="C1282" t="s">
        <v>58</v>
      </c>
      <c r="D1282" t="s">
        <v>1498</v>
      </c>
      <c r="E1282">
        <v>47.15</v>
      </c>
    </row>
    <row r="1283" spans="1:5" x14ac:dyDescent="0.2">
      <c r="A1283" s="269">
        <v>45910.370787037034</v>
      </c>
      <c r="B1283" t="s">
        <v>1431</v>
      </c>
      <c r="C1283" t="s">
        <v>58</v>
      </c>
      <c r="D1283" t="s">
        <v>1531</v>
      </c>
      <c r="E1283">
        <v>1799</v>
      </c>
    </row>
    <row r="1284" spans="1:5" x14ac:dyDescent="0.2">
      <c r="A1284" s="269">
        <v>45910.370972222219</v>
      </c>
      <c r="B1284" t="s">
        <v>1431</v>
      </c>
      <c r="C1284" t="s">
        <v>58</v>
      </c>
      <c r="D1284" t="s">
        <v>937</v>
      </c>
      <c r="E1284">
        <v>155.5</v>
      </c>
    </row>
    <row r="1285" spans="1:5" x14ac:dyDescent="0.2">
      <c r="A1285" s="269">
        <v>45910.371192129627</v>
      </c>
      <c r="B1285" t="s">
        <v>1431</v>
      </c>
      <c r="C1285" t="s">
        <v>58</v>
      </c>
      <c r="D1285" t="s">
        <v>874</v>
      </c>
      <c r="E1285">
        <v>134.46</v>
      </c>
    </row>
    <row r="1286" spans="1:5" x14ac:dyDescent="0.2">
      <c r="A1286" s="269">
        <v>45910.371296296296</v>
      </c>
      <c r="B1286" t="s">
        <v>1431</v>
      </c>
      <c r="C1286" t="s">
        <v>58</v>
      </c>
      <c r="D1286" t="s">
        <v>974</v>
      </c>
      <c r="E1286">
        <v>1521</v>
      </c>
    </row>
    <row r="1287" spans="1:5" x14ac:dyDescent="0.2">
      <c r="A1287" s="269">
        <v>45910.371365740742</v>
      </c>
      <c r="B1287" t="s">
        <v>1431</v>
      </c>
      <c r="C1287" t="s">
        <v>58</v>
      </c>
      <c r="D1287" t="s">
        <v>974</v>
      </c>
      <c r="E1287">
        <v>1523</v>
      </c>
    </row>
    <row r="1288" spans="1:5" x14ac:dyDescent="0.2">
      <c r="A1288" s="269">
        <v>45910.371724537035</v>
      </c>
      <c r="B1288" t="s">
        <v>1431</v>
      </c>
      <c r="C1288" t="s">
        <v>58</v>
      </c>
      <c r="D1288" t="s">
        <v>974</v>
      </c>
      <c r="E1288">
        <v>1145</v>
      </c>
    </row>
    <row r="1289" spans="1:5" x14ac:dyDescent="0.2">
      <c r="A1289" s="269">
        <v>45910.371770833335</v>
      </c>
      <c r="B1289" t="s">
        <v>1431</v>
      </c>
      <c r="C1289" t="s">
        <v>58</v>
      </c>
      <c r="D1289" t="s">
        <v>925</v>
      </c>
      <c r="E1289">
        <v>1523</v>
      </c>
    </row>
    <row r="1290" spans="1:5" x14ac:dyDescent="0.2">
      <c r="A1290" s="269">
        <v>45910.371921296297</v>
      </c>
      <c r="B1290" t="s">
        <v>1431</v>
      </c>
      <c r="C1290" t="s">
        <v>58</v>
      </c>
      <c r="D1290" t="s">
        <v>1496</v>
      </c>
      <c r="E1290">
        <v>134.46</v>
      </c>
    </row>
    <row r="1291" spans="1:5" x14ac:dyDescent="0.2">
      <c r="A1291" s="269">
        <v>45910.372106481482</v>
      </c>
      <c r="B1291" t="s">
        <v>1431</v>
      </c>
      <c r="C1291" t="s">
        <v>58</v>
      </c>
      <c r="D1291" t="s">
        <v>874</v>
      </c>
      <c r="E1291">
        <v>115.92</v>
      </c>
    </row>
    <row r="1292" spans="1:5" x14ac:dyDescent="0.2">
      <c r="A1292" s="269">
        <v>45910.37232638889</v>
      </c>
      <c r="B1292" t="s">
        <v>1431</v>
      </c>
      <c r="C1292" t="s">
        <v>58</v>
      </c>
      <c r="D1292" t="s">
        <v>1511</v>
      </c>
      <c r="E1292">
        <v>66.02</v>
      </c>
    </row>
    <row r="1293" spans="1:5" x14ac:dyDescent="0.2">
      <c r="A1293" s="269">
        <v>45910.372395833336</v>
      </c>
      <c r="B1293" t="s">
        <v>1431</v>
      </c>
      <c r="C1293" t="s">
        <v>58</v>
      </c>
      <c r="D1293" t="s">
        <v>1535</v>
      </c>
      <c r="E1293">
        <v>690</v>
      </c>
    </row>
    <row r="1294" spans="1:5" x14ac:dyDescent="0.2">
      <c r="A1294" s="269">
        <v>45910.37259259259</v>
      </c>
      <c r="B1294" t="s">
        <v>1431</v>
      </c>
      <c r="C1294" t="s">
        <v>58</v>
      </c>
      <c r="D1294" t="s">
        <v>1547</v>
      </c>
      <c r="E1294">
        <v>487</v>
      </c>
    </row>
    <row r="1295" spans="1:5" x14ac:dyDescent="0.2">
      <c r="A1295" s="269">
        <v>45910.372615740744</v>
      </c>
      <c r="B1295" t="s">
        <v>1431</v>
      </c>
      <c r="C1295" t="s">
        <v>58</v>
      </c>
      <c r="D1295" t="s">
        <v>1514</v>
      </c>
      <c r="E1295">
        <v>50</v>
      </c>
    </row>
    <row r="1296" spans="1:5" x14ac:dyDescent="0.2">
      <c r="A1296" s="269">
        <v>45910.37296296296</v>
      </c>
      <c r="B1296" t="s">
        <v>1431</v>
      </c>
      <c r="C1296" t="s">
        <v>58</v>
      </c>
      <c r="D1296" t="s">
        <v>1564</v>
      </c>
      <c r="E1296">
        <v>679</v>
      </c>
    </row>
    <row r="1297" spans="1:5" x14ac:dyDescent="0.2">
      <c r="A1297" s="269">
        <v>45910.373078703706</v>
      </c>
      <c r="B1297" t="s">
        <v>1431</v>
      </c>
      <c r="C1297" t="s">
        <v>58</v>
      </c>
      <c r="D1297" t="s">
        <v>1515</v>
      </c>
      <c r="E1297">
        <v>58.14</v>
      </c>
    </row>
    <row r="1298" spans="1:5" x14ac:dyDescent="0.2">
      <c r="A1298" s="269">
        <v>45910.373449074075</v>
      </c>
      <c r="B1298" t="s">
        <v>1431</v>
      </c>
      <c r="C1298" t="s">
        <v>58</v>
      </c>
      <c r="D1298" t="s">
        <v>1563</v>
      </c>
      <c r="E1298">
        <v>1042</v>
      </c>
    </row>
    <row r="1299" spans="1:5" x14ac:dyDescent="0.2">
      <c r="A1299" s="269">
        <v>45910.373622685183</v>
      </c>
      <c r="B1299" t="s">
        <v>1431</v>
      </c>
      <c r="C1299" t="s">
        <v>58</v>
      </c>
      <c r="D1299" t="s">
        <v>1516</v>
      </c>
      <c r="E1299">
        <v>73.5</v>
      </c>
    </row>
    <row r="1300" spans="1:5" x14ac:dyDescent="0.2">
      <c r="A1300" s="269">
        <v>45910.373807870368</v>
      </c>
      <c r="B1300" t="s">
        <v>1431</v>
      </c>
      <c r="C1300" t="s">
        <v>58</v>
      </c>
      <c r="D1300" t="s">
        <v>1513</v>
      </c>
      <c r="E1300">
        <v>57.52</v>
      </c>
    </row>
    <row r="1301" spans="1:5" x14ac:dyDescent="0.2">
      <c r="A1301" s="269">
        <v>45910.373865740738</v>
      </c>
      <c r="B1301" t="s">
        <v>1431</v>
      </c>
      <c r="C1301" t="s">
        <v>58</v>
      </c>
      <c r="D1301" t="s">
        <v>1546</v>
      </c>
      <c r="E1301">
        <v>588</v>
      </c>
    </row>
    <row r="1302" spans="1:5" x14ac:dyDescent="0.2">
      <c r="A1302" s="269">
        <v>45910.374097222222</v>
      </c>
      <c r="B1302" t="s">
        <v>1431</v>
      </c>
      <c r="C1302" t="s">
        <v>58</v>
      </c>
      <c r="D1302" t="s">
        <v>668</v>
      </c>
      <c r="E1302">
        <v>588</v>
      </c>
    </row>
    <row r="1303" spans="1:5" x14ac:dyDescent="0.2">
      <c r="A1303" s="269">
        <v>45910.374120370368</v>
      </c>
      <c r="B1303" t="s">
        <v>1431</v>
      </c>
      <c r="C1303" t="s">
        <v>58</v>
      </c>
      <c r="D1303" t="s">
        <v>1546</v>
      </c>
      <c r="E1303">
        <v>601</v>
      </c>
    </row>
    <row r="1304" spans="1:5" x14ac:dyDescent="0.2">
      <c r="A1304" s="269">
        <v>45910.374259259261</v>
      </c>
      <c r="B1304" t="s">
        <v>1431</v>
      </c>
      <c r="C1304" t="s">
        <v>58</v>
      </c>
      <c r="D1304" t="s">
        <v>1497</v>
      </c>
      <c r="E1304">
        <v>55.44</v>
      </c>
    </row>
    <row r="1305" spans="1:5" x14ac:dyDescent="0.2">
      <c r="A1305" s="269">
        <v>45910.374386574076</v>
      </c>
      <c r="B1305" t="s">
        <v>1431</v>
      </c>
      <c r="C1305" t="s">
        <v>58</v>
      </c>
      <c r="D1305" t="s">
        <v>1512</v>
      </c>
      <c r="E1305">
        <v>138.36000000000001</v>
      </c>
    </row>
    <row r="1306" spans="1:5" x14ac:dyDescent="0.2">
      <c r="A1306" s="269">
        <v>45910.374444444446</v>
      </c>
      <c r="B1306" t="s">
        <v>1431</v>
      </c>
      <c r="C1306" t="s">
        <v>58</v>
      </c>
      <c r="D1306" t="s">
        <v>1534</v>
      </c>
      <c r="E1306">
        <v>1370</v>
      </c>
    </row>
    <row r="1307" spans="1:5" x14ac:dyDescent="0.2">
      <c r="A1307" s="269">
        <v>45910.374560185184</v>
      </c>
      <c r="B1307" t="s">
        <v>1431</v>
      </c>
      <c r="C1307" t="s">
        <v>58</v>
      </c>
      <c r="D1307" t="s">
        <v>1532</v>
      </c>
      <c r="E1307">
        <v>1242</v>
      </c>
    </row>
    <row r="1308" spans="1:5" x14ac:dyDescent="0.2">
      <c r="A1308" s="269">
        <v>45910.374699074076</v>
      </c>
      <c r="B1308" t="s">
        <v>1431</v>
      </c>
      <c r="C1308" t="s">
        <v>58</v>
      </c>
      <c r="D1308" t="s">
        <v>1510</v>
      </c>
      <c r="E1308">
        <v>97.72</v>
      </c>
    </row>
    <row r="1309" spans="1:5" x14ac:dyDescent="0.2">
      <c r="A1309" s="269">
        <v>45910.374791666669</v>
      </c>
      <c r="B1309" t="s">
        <v>1431</v>
      </c>
      <c r="C1309" t="s">
        <v>58</v>
      </c>
      <c r="D1309" t="s">
        <v>926</v>
      </c>
      <c r="E1309">
        <v>53.95</v>
      </c>
    </row>
    <row r="1310" spans="1:5" x14ac:dyDescent="0.2">
      <c r="A1310" s="269">
        <v>45910.374884259261</v>
      </c>
      <c r="B1310" t="s">
        <v>1431</v>
      </c>
      <c r="C1310" t="s">
        <v>58</v>
      </c>
      <c r="D1310" t="s">
        <v>975</v>
      </c>
      <c r="E1310">
        <v>602</v>
      </c>
    </row>
    <row r="1311" spans="1:5" x14ac:dyDescent="0.2">
      <c r="A1311" s="269">
        <v>45910.379826388889</v>
      </c>
      <c r="B1311" t="s">
        <v>1431</v>
      </c>
      <c r="C1311" t="s">
        <v>15</v>
      </c>
      <c r="D1311" t="s">
        <v>1608</v>
      </c>
      <c r="E1311" t="s">
        <v>1603</v>
      </c>
    </row>
    <row r="1312" spans="1:5" x14ac:dyDescent="0.2">
      <c r="A1312" s="269">
        <v>45910.380439814813</v>
      </c>
      <c r="B1312" t="s">
        <v>1431</v>
      </c>
      <c r="C1312" t="s">
        <v>15</v>
      </c>
      <c r="D1312" t="s">
        <v>1435</v>
      </c>
      <c r="E1312" t="s">
        <v>1609</v>
      </c>
    </row>
    <row r="1313" spans="1:5" x14ac:dyDescent="0.2">
      <c r="A1313" s="269">
        <v>45910.380520833336</v>
      </c>
      <c r="B1313" t="s">
        <v>1431</v>
      </c>
      <c r="C1313" t="s">
        <v>15</v>
      </c>
      <c r="D1313" t="s">
        <v>1443</v>
      </c>
      <c r="E1313" s="440">
        <v>45909</v>
      </c>
    </row>
    <row r="1314" spans="1:5" x14ac:dyDescent="0.2">
      <c r="A1314" s="269">
        <v>45910.487118055556</v>
      </c>
      <c r="B1314" t="s">
        <v>1431</v>
      </c>
      <c r="C1314" t="s">
        <v>28</v>
      </c>
      <c r="D1314" t="s">
        <v>1435</v>
      </c>
      <c r="E1314" t="s">
        <v>1609</v>
      </c>
    </row>
    <row r="1315" spans="1:5" x14ac:dyDescent="0.2">
      <c r="A1315" s="269">
        <v>45910.487222222226</v>
      </c>
      <c r="B1315" t="s">
        <v>1431</v>
      </c>
      <c r="C1315" t="s">
        <v>28</v>
      </c>
      <c r="D1315" t="s">
        <v>1443</v>
      </c>
      <c r="E1315" s="440">
        <v>45910</v>
      </c>
    </row>
    <row r="1316" spans="1:5" x14ac:dyDescent="0.2">
      <c r="A1316" s="269">
        <v>45910.487604166665</v>
      </c>
      <c r="B1316" t="s">
        <v>1431</v>
      </c>
      <c r="C1316" t="s">
        <v>28</v>
      </c>
      <c r="D1316" t="s">
        <v>1611</v>
      </c>
      <c r="E1316" t="s">
        <v>338</v>
      </c>
    </row>
    <row r="1317" spans="1:5" x14ac:dyDescent="0.2">
      <c r="A1317" s="269">
        <v>45910.487962962965</v>
      </c>
      <c r="B1317" t="s">
        <v>1431</v>
      </c>
      <c r="C1317" t="s">
        <v>28</v>
      </c>
      <c r="D1317" t="s">
        <v>1613</v>
      </c>
      <c r="E1317" t="s">
        <v>139</v>
      </c>
    </row>
    <row r="1318" spans="1:5" x14ac:dyDescent="0.2">
      <c r="A1318" s="269">
        <v>45910.488078703704</v>
      </c>
      <c r="B1318" t="s">
        <v>1431</v>
      </c>
      <c r="C1318" t="s">
        <v>28</v>
      </c>
      <c r="D1318" t="s">
        <v>1069</v>
      </c>
      <c r="E1318" t="s">
        <v>317</v>
      </c>
    </row>
    <row r="1319" spans="1:5" x14ac:dyDescent="0.2">
      <c r="A1319" s="269">
        <v>45910.48847222222</v>
      </c>
      <c r="B1319" t="s">
        <v>1431</v>
      </c>
      <c r="C1319" t="s">
        <v>28</v>
      </c>
      <c r="D1319" t="s">
        <v>1614</v>
      </c>
    </row>
    <row r="1320" spans="1:5" x14ac:dyDescent="0.2">
      <c r="A1320" s="269">
        <v>45910.488495370373</v>
      </c>
      <c r="B1320" t="s">
        <v>1431</v>
      </c>
      <c r="C1320" t="s">
        <v>28</v>
      </c>
      <c r="D1320" t="s">
        <v>1615</v>
      </c>
    </row>
    <row r="1321" spans="1:5" x14ac:dyDescent="0.2">
      <c r="A1321" s="269">
        <v>45910.488530092596</v>
      </c>
      <c r="B1321" t="s">
        <v>1431</v>
      </c>
      <c r="C1321" t="s">
        <v>28</v>
      </c>
      <c r="D1321" t="s">
        <v>1616</v>
      </c>
    </row>
    <row r="1322" spans="1:5" x14ac:dyDescent="0.2">
      <c r="A1322" s="269">
        <v>45910.488553240742</v>
      </c>
      <c r="B1322" t="s">
        <v>1431</v>
      </c>
      <c r="C1322" t="s">
        <v>28</v>
      </c>
      <c r="D1322" t="s">
        <v>1617</v>
      </c>
    </row>
    <row r="1323" spans="1:5" x14ac:dyDescent="0.2">
      <c r="A1323" s="269">
        <v>45910.488576388889</v>
      </c>
      <c r="B1323" t="s">
        <v>1431</v>
      </c>
      <c r="C1323" t="s">
        <v>28</v>
      </c>
      <c r="D1323" t="s">
        <v>1618</v>
      </c>
    </row>
    <row r="1324" spans="1:5" x14ac:dyDescent="0.2">
      <c r="A1324" s="269">
        <v>45910.488634259258</v>
      </c>
      <c r="B1324" t="s">
        <v>1431</v>
      </c>
      <c r="C1324" t="s">
        <v>28</v>
      </c>
      <c r="D1324" t="s">
        <v>658</v>
      </c>
      <c r="E1324" t="s">
        <v>1612</v>
      </c>
    </row>
    <row r="1325" spans="1:5" x14ac:dyDescent="0.2">
      <c r="A1325" s="269">
        <v>45910.489027777781</v>
      </c>
      <c r="B1325" t="s">
        <v>1431</v>
      </c>
      <c r="C1325" t="s">
        <v>28</v>
      </c>
      <c r="D1325" t="s">
        <v>1619</v>
      </c>
      <c r="E1325">
        <v>2000</v>
      </c>
    </row>
    <row r="1326" spans="1:5" x14ac:dyDescent="0.2">
      <c r="A1326" s="269">
        <v>45910.606574074074</v>
      </c>
      <c r="B1326" t="s">
        <v>1431</v>
      </c>
      <c r="C1326" t="s">
        <v>597</v>
      </c>
      <c r="D1326" t="s">
        <v>1620</v>
      </c>
      <c r="E1326" t="s">
        <v>39</v>
      </c>
    </row>
    <row r="1327" spans="1:5" x14ac:dyDescent="0.2">
      <c r="A1327" s="269">
        <v>45910.607442129629</v>
      </c>
      <c r="B1327" t="s">
        <v>1431</v>
      </c>
      <c r="C1327" t="s">
        <v>15</v>
      </c>
      <c r="D1327" t="s">
        <v>1622</v>
      </c>
      <c r="E1327" t="s">
        <v>1621</v>
      </c>
    </row>
    <row r="1328" spans="1:5" x14ac:dyDescent="0.2">
      <c r="A1328" s="269">
        <v>45910.609444444446</v>
      </c>
      <c r="B1328" t="s">
        <v>1431</v>
      </c>
      <c r="C1328" t="s">
        <v>597</v>
      </c>
      <c r="D1328" t="s">
        <v>1620</v>
      </c>
      <c r="E1328" t="s">
        <v>39</v>
      </c>
    </row>
    <row r="1329" spans="1:5" x14ac:dyDescent="0.2">
      <c r="A1329" s="269">
        <v>45916.872025462966</v>
      </c>
      <c r="B1329" t="s">
        <v>596</v>
      </c>
      <c r="C1329" t="s">
        <v>597</v>
      </c>
      <c r="D1329" t="s">
        <v>1620</v>
      </c>
      <c r="E1329" t="s">
        <v>39</v>
      </c>
    </row>
    <row r="1330" spans="1:5" x14ac:dyDescent="0.2">
      <c r="A1330" s="269">
        <v>45916.872291666667</v>
      </c>
      <c r="B1330" t="s">
        <v>596</v>
      </c>
      <c r="C1330" t="s">
        <v>27</v>
      </c>
      <c r="D1330" t="s">
        <v>1623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2025-09-16T12:56:09Z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y fmtid="{D5CDD505-2E9C-101B-9397-08002B2CF9AE}" pid="18" name="SV_QUERY_LIST_4F35BF76-6C0D-4D9B-82B2-816C12CF3733">
    <vt:lpwstr>empty_477D106A-C0D6-4607-AEBD-E2C9D60EA279</vt:lpwstr>
  </property>
  <property fmtid="{D5CDD505-2E9C-101B-9397-08002B2CF9AE}" pid="19" name="SV_HIDDEN_GRID_QUERY_LIST_4F35BF76-6C0D-4D9B-82B2-816C12CF3733">
    <vt:lpwstr>empty_477D106A-C0D6-4607-AEBD-E2C9D60EA279</vt:lpwstr>
  </property>
</Properties>
</file>