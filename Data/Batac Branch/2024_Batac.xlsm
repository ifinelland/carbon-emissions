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Batac Branch/"/>
    </mc:Choice>
  </mc:AlternateContent>
  <xr:revisionPtr revIDLastSave="0" documentId="13_ncr:1_{08CF4FAB-BF52-5145-A544-ECF85AEF6901}"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390" r:id="rId19"/>
    <pivotCache cacheId="391" r:id="rId20"/>
    <pivotCache cacheId="392" r:id="rId21"/>
    <pivotCache cacheId="393" r:id="rId22"/>
    <pivotCache cacheId="394" r:id="rId23"/>
    <pivotCache cacheId="402"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I10" i="41"/>
  <c r="I11" i="4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9" i="50" s="1"/>
  <c r="I10" i="50" s="1"/>
  <c r="I11" i="50" s="1"/>
  <c r="I12" i="50" s="1"/>
  <c r="I13" i="50" s="1"/>
  <c r="I14" i="50" s="1"/>
  <c r="I15" i="50" s="1"/>
  <c r="I16" i="50" s="1"/>
  <c r="I17" i="50" s="1"/>
  <c r="I18" i="50" s="1"/>
  <c r="I19" i="40"/>
  <c r="I20"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1" i="38" l="1"/>
  <c r="D11" i="38"/>
  <c r="E11" i="38"/>
  <c r="F11" i="38"/>
  <c r="F13" i="38"/>
  <c r="E12" i="38"/>
  <c r="F12" i="38"/>
  <c r="G12" i="38"/>
  <c r="D12" i="38"/>
  <c r="G13" i="38"/>
  <c r="D13" i="38"/>
  <c r="E13"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G13" i="37" l="1"/>
  <c r="D13" i="37"/>
  <c r="E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2" i="34" l="1"/>
  <c r="E12" i="34"/>
  <c r="F12" i="34"/>
  <c r="D12" i="34"/>
  <c r="E11" i="34"/>
  <c r="G11" i="34"/>
  <c r="F11" i="34"/>
  <c r="D11" i="34"/>
  <c r="E14" i="34"/>
  <c r="F14" i="34"/>
  <c r="D14" i="34"/>
  <c r="G14" i="34"/>
  <c r="E13" i="34"/>
  <c r="F13" i="34"/>
  <c r="D13" i="34"/>
  <c r="G13" i="34"/>
  <c r="D15" i="34"/>
  <c r="F15" i="34"/>
  <c r="G15" i="34"/>
  <c r="E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<sst xmlns="http://schemas.openxmlformats.org/spreadsheetml/2006/main" count="7472" uniqueCount="1629">
  <si>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</si>
  <si>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</si>
  <si>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</si>
  <si>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</si>
  <si>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</si>
  <si>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</si>
  <si>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</si>
  <si>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</si>
  <si>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</si>
  <si>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</si>
  <si>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</si>
  <si>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</si>
  <si>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</si>
  <si>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</si>
  <si>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</si>
  <si>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</si>
  <si>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</si>
  <si>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</si>
  <si>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</si>
  <si>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</si>
  <si>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</si>
  <si>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</si>
  <si>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</si>
  <si>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</si>
  <si>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</si>
  <si>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</si>
  <si>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</si>
  <si>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</si>
  <si>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</si>
  <si>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</si>
  <si>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</si>
  <si>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</si>
  <si>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</si>
  <si>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</si>
  <si>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</si>
  <si>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</si>
  <si>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</si>
  <si>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</si>
  <si>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</si>
  <si>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</si>
  <si>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</si>
  <si>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</si>
  <si>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</si>
  <si>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</si>
  <si>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</si>
  <si>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</si>
  <si>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</si>
  <si>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</si>
  <si>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</si>
  <si>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</si>
  <si>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</si>
  <si>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</si>
  <si>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</si>
  <si>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</si>
  <si>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</si>
  <si>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</si>
  <si>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</si>
  <si>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</si>
  <si>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</si>
  <si>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</si>
  <si>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</si>
  <si>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</si>
  <si>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</si>
  <si>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</si>
  <si>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</si>
  <si>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</si>
  <si>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</si>
  <si>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</si>
  <si>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</si>
  <si>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</si>
  <si>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</si>
  <si>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</si>
  <si>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</si>
  <si>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</si>
  <si>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</si>
  <si>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</si>
  <si>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</si>
  <si>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</si>
  <si>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</si>
  <si>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</si>
  <si>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</si>
  <si>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</si>
  <si>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</si>
  <si>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</si>
  <si>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</si>
  <si>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</si>
  <si>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</si>
  <si>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</si>
  <si>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</si>
  <si>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</si>
  <si>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</si>
  <si>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</si>
  <si>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</si>
  <si>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</si>
  <si>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</si>
  <si>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</si>
  <si>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</si>
  <si>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</si>
  <si>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</si>
  <si>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</si>
  <si>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</si>
  <si>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</si>
  <si>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</si>
  <si>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</si>
  <si>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</si>
  <si>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</si>
  <si>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</si>
  <si>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</si>
  <si>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</si>
  <si>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</si>
  <si>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</si>
  <si>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</si>
  <si>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</si>
  <si>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</si>
  <si>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</si>
  <si>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</si>
  <si>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</si>
  <si>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</si>
  <si>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</si>
  <si>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</si>
  <si>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</si>
  <si>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</si>
  <si>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</si>
  <si>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</si>
  <si>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</si>
  <si>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</si>
  <si>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</si>
  <si>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</si>
  <si>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</si>
  <si>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</si>
  <si>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</si>
  <si>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</si>
  <si>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</si>
  <si>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</si>
  <si>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</si>
  <si>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</si>
  <si>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</si>
  <si>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</si>
  <si>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</si>
  <si>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</si>
  <si>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</si>
  <si>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</si>
  <si>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</si>
  <si>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</si>
  <si>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</si>
  <si>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</si>
  <si>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</si>
  <si>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</si>
  <si>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</si>
  <si>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</si>
  <si>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</si>
  <si>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</si>
  <si>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</si>
  <si>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</si>
  <si>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</si>
  <si>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</si>
  <si>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</si>
  <si>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</si>
  <si>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</si>
  <si>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</si>
  <si>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</si>
  <si>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</si>
  <si>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</si>
  <si>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</si>
  <si>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</si>
  <si>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</si>
  <si>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</si>
  <si>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</si>
  <si>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</si>
  <si>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</si>
  <si>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</si>
  <si>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</si>
  <si>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</si>
  <si>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</si>
  <si>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</si>
  <si>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</si>
  <si>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</si>
  <si>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</si>
  <si>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</si>
  <si>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</si>
  <si>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</si>
  <si>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</si>
  <si>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</si>
  <si>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</si>
  <si>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</si>
  <si>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</si>
  <si>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</si>
  <si>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</si>
  <si>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</si>
  <si>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</si>
  <si>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</si>
  <si>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</si>
  <si>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</si>
  <si>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</si>
  <si>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</si>
  <si>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</si>
  <si>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</si>
  <si>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</si>
  <si>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</si>
  <si>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</si>
  <si>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</si>
  <si>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</si>
  <si>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</si>
  <si>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</si>
  <si>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</si>
  <si>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</si>
  <si>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</si>
  <si>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</si>
  <si>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</si>
  <si>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</si>
  <si>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</si>
  <si>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</si>
  <si>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</si>
  <si>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</si>
  <si>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</si>
  <si>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</si>
  <si>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</si>
  <si>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</si>
  <si>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</si>
  <si>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</si>
  <si>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</si>
  <si>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</si>
  <si>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</si>
  <si>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</si>
  <si>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</si>
  <si>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</si>
  <si>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</si>
  <si>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</si>
  <si>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</si>
  <si>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</si>
  <si>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</si>
  <si>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</si>
  <si>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</si>
  <si>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</si>
  <si>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</si>
  <si>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</si>
  <si>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</si>
  <si>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</si>
  <si>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</si>
  <si>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</si>
  <si>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</si>
  <si>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</si>
  <si>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</si>
  <si>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</si>
  <si>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</si>
  <si>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</si>
  <si>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</si>
  <si>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</si>
  <si>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</si>
  <si>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</si>
  <si>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</si>
  <si>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</si>
  <si>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</si>
  <si>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</si>
  <si>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</si>
  <si>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</si>
  <si>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</si>
  <si>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</si>
  <si>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</si>
  <si>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</si>
  <si>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</si>
  <si>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</si>
  <si>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</si>
  <si>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</si>
  <si>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</si>
  <si>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</si>
  <si>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</si>
  <si>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</si>
  <si>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</si>
  <si>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</si>
  <si>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</si>
  <si>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</si>
  <si>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</si>
  <si>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</si>
  <si>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</si>
  <si>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</si>
  <si>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</si>
  <si>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</si>
  <si>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</si>
  <si>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</si>
  <si>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</si>
  <si>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</si>
  <si>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</si>
  <si>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</si>
  <si>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</si>
  <si>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</si>
  <si>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</si>
  <si>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</si>
  <si>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</si>
  <si>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</si>
  <si>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</si>
  <si>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</si>
  <si>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</si>
  <si>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</si>
  <si>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</si>
  <si>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</si>
  <si>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</si>
  <si>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</si>
  <si>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</si>
  <si>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</si>
  <si>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</si>
  <si>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</si>
  <si>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</si>
  <si>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</si>
  <si>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</si>
  <si>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</si>
  <si>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</si>
  <si>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</si>
  <si>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</si>
  <si>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</si>
  <si>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</si>
  <si>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</si>
  <si>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</si>
  <si>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</si>
  <si>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</si>
  <si>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</si>
  <si>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</si>
  <si>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</si>
  <si>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</si>
  <si>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</si>
  <si>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</si>
  <si>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</si>
  <si>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</si>
  <si>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</si>
  <si>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</si>
  <si>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</si>
  <si>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</si>
  <si>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</si>
  <si>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</si>
  <si>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</si>
  <si>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</si>
  <si>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</si>
  <si>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</si>
  <si>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</si>
  <si>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</si>
  <si>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</si>
  <si>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</si>
  <si>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</si>
  <si>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</si>
  <si>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</si>
  <si>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</si>
  <si>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</si>
  <si>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</si>
  <si>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</si>
  <si>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</si>
  <si>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</si>
  <si>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</si>
  <si>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</si>
  <si>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</si>
  <si>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</si>
  <si>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</si>
  <si>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</si>
  <si>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</si>
  <si>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</si>
  <si>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</si>
  <si>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</si>
  <si>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</si>
  <si>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</si>
  <si>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</si>
  <si>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</si>
  <si>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</si>
  <si>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</si>
  <si>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</si>
  <si>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</si>
  <si>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</si>
  <si>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</si>
  <si>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</si>
  <si>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</si>
  <si>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</si>
  <si>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</si>
  <si>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</si>
  <si>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</si>
  <si>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</si>
  <si>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</si>
  <si>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</si>
  <si>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</si>
  <si>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</si>
  <si>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</si>
  <si>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</si>
  <si>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</si>
  <si>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</si>
  <si>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</si>
  <si>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</si>
  <si>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</si>
  <si>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</si>
  <si>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</si>
  <si>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</si>
  <si>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</si>
  <si>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</si>
  <si>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</si>
  <si>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</si>
  <si>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</si>
  <si>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</si>
  <si>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</si>
  <si>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</si>
  <si>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</si>
  <si>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</si>
  <si>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</si>
  <si>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</si>
  <si>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</si>
  <si>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</si>
  <si>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</si>
  <si>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</si>
  <si>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</si>
  <si>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</si>
  <si>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</si>
  <si>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</si>
  <si>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</si>
  <si>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</si>
  <si>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</si>
  <si>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</si>
  <si>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</si>
  <si>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</si>
  <si>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</si>
  <si>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</si>
  <si>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</si>
  <si>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</si>
  <si>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</si>
  <si>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</si>
  <si>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</si>
  <si>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</si>
  <si>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</si>
  <si>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</si>
  <si>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</si>
  <si>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</si>
  <si>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</si>
  <si>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</si>
  <si>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</si>
  <si>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</si>
  <si>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</si>
  <si>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</si>
  <si>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</si>
  <si>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</si>
  <si>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</si>
  <si>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</si>
  <si>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</si>
  <si>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</si>
  <si>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</si>
  <si>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</si>
  <si>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</si>
  <si>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</si>
  <si>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</si>
  <si>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</si>
  <si>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</si>
  <si>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</si>
  <si>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</si>
  <si>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</si>
  <si>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</si>
  <si>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</si>
  <si>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</si>
  <si>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</si>
  <si>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</si>
  <si>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</si>
  <si>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</si>
  <si>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</si>
  <si>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</si>
  <si>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</si>
  <si>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</si>
  <si>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</si>
  <si>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</si>
  <si>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</si>
  <si>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</si>
  <si>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</si>
  <si>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</si>
  <si>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</si>
  <si>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</si>
  <si>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</si>
  <si>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</si>
  <si>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</si>
  <si>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</si>
  <si>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</si>
  <si>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</si>
  <si>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</si>
  <si>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</si>
  <si>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</si>
  <si>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</si>
  <si>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</si>
  <si>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</si>
  <si>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</si>
  <si>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</si>
  <si>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</si>
  <si>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</si>
  <si>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</si>
  <si>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</si>
  <si>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</si>
  <si>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</si>
  <si>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</si>
  <si>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</si>
  <si>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</si>
  <si>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</si>
  <si>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</si>
  <si>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</si>
  <si>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</si>
  <si>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</si>
  <si>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</si>
  <si>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</si>
  <si>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</si>
  <si>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</si>
  <si>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</si>
  <si>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</si>
  <si>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</si>
  <si>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</si>
  <si>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</si>
  <si>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</si>
  <si>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</si>
  <si>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</si>
  <si>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</si>
  <si>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</si>
  <si>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</si>
  <si>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</si>
  <si>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</si>
  <si>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</si>
  <si>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</si>
  <si>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</si>
  <si>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</si>
  <si>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</si>
  <si>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</si>
  <si>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</si>
  <si>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</si>
  <si>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</si>
  <si>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</si>
  <si>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</si>
  <si>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</si>
  <si>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</si>
  <si>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</si>
  <si>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</si>
  <si>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</si>
  <si>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</si>
  <si>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</si>
  <si>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</si>
  <si>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</si>
  <si>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</si>
  <si>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</si>
  <si>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</si>
  <si>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</si>
  <si>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</si>
  <si>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</si>
  <si>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</si>
  <si>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</si>
  <si>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</si>
  <si>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</si>
  <si>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</si>
  <si>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</si>
  <si>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</si>
  <si>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</si>
  <si>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</si>
  <si>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</si>
  <si>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</si>
  <si>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</si>
  <si>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</si>
  <si>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</si>
  <si>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</si>
  <si>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</si>
  <si>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</si>
  <si>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</si>
  <si>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</si>
  <si>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</si>
  <si>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</si>
  <si>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</si>
  <si>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</si>
  <si>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</si>
  <si>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</si>
  <si>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</si>
  <si>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</si>
  <si>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</si>
  <si>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</si>
  <si>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</si>
  <si>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</si>
  <si>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</si>
  <si>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</si>
  <si>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</si>
  <si>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</si>
  <si>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</si>
  <si>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</si>
  <si>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</si>
  <si>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</si>
  <si>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</si>
  <si>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</si>
  <si>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</si>
  <si>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</si>
  <si>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</si>
  <si>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</si>
  <si>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</si>
  <si>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</si>
  <si>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</si>
  <si>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</si>
  <si>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</si>
  <si>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</si>
  <si>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</si>
  <si>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</si>
  <si>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</si>
  <si>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</si>
  <si>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</si>
  <si>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</si>
  <si>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</si>
  <si>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</si>
  <si>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</si>
  <si>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</si>
  <si>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</si>
  <si>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</si>
  <si>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</si>
  <si>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</si>
  <si>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</si>
  <si>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</si>
  <si>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</si>
  <si>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</si>
  <si>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</si>
  <si>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</si>
  <si>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</si>
  <si>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</si>
  <si>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</si>
  <si>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</si>
  <si>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</si>
  <si>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</si>
  <si>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</si>
  <si>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</si>
  <si>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</si>
  <si>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</si>
  <si>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</si>
  <si>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</si>
  <si>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</si>
  <si>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</si>
  <si>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</si>
  <si>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</si>
  <si>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</si>
  <si>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</si>
  <si>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</si>
  <si>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</si>
  <si>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</si>
  <si>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</si>
  <si>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</si>
  <si>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</si>
  <si>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</si>
  <si>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</si>
  <si>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</si>
  <si>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</si>
  <si>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</si>
  <si>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</si>
  <si>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</si>
  <si>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</si>
  <si>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</si>
  <si>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</si>
  <si>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</si>
  <si>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</si>
  <si>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</si>
  <si>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</si>
  <si>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</si>
  <si>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</si>
  <si>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</si>
  <si>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</si>
  <si>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</si>
  <si>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</si>
  <si>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</si>
  <si>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</si>
  <si>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</si>
  <si>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</si>
  <si>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</si>
  <si>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</si>
  <si>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</si>
  <si>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</si>
  <si>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</si>
  <si>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</si>
  <si>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</si>
  <si>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</si>
  <si>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</si>
  <si>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</si>
  <si>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</si>
  <si>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</si>
  <si>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</si>
  <si>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</si>
  <si>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</si>
  <si>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</si>
  <si>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</si>
  <si>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</si>
  <si>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</si>
  <si>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</si>
  <si>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</si>
  <si>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</si>
  <si>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</si>
  <si>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</si>
  <si>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</si>
  <si>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</si>
  <si>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</si>
  <si>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</si>
  <si>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</si>
  <si>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</si>
  <si>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</si>
  <si>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</si>
  <si>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</si>
  <si>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</si>
  <si>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</si>
  <si>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</si>
  <si>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</si>
  <si>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</si>
  <si>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</si>
  <si>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</si>
  <si>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</si>
  <si>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</si>
  <si>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</si>
  <si>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</si>
  <si>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</si>
  <si>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</si>
  <si>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</si>
  <si>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</si>
  <si>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</si>
  <si>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</si>
  <si>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</si>
  <si>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</si>
  <si>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</si>
  <si>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</si>
  <si>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</si>
  <si>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</si>
  <si>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</si>
  <si>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</si>
  <si>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</si>
  <si>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</si>
  <si>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</si>
  <si>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</si>
  <si>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</si>
  <si>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</si>
  <si>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</si>
  <si>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</si>
  <si>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</si>
  <si>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</si>
  <si>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</si>
  <si>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</si>
  <si>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</si>
  <si>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</si>
  <si>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</si>
  <si>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</si>
  <si>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</si>
  <si>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</si>
  <si>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</si>
  <si>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</si>
  <si>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</si>
  <si>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</si>
  <si>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</si>
  <si>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</si>
  <si>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</si>
  <si>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</si>
  <si>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</si>
  <si>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</si>
  <si>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</si>
  <si>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</si>
  <si>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</si>
  <si>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</si>
  <si>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</si>
  <si>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</si>
  <si>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</si>
  <si>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</si>
  <si>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</si>
  <si>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</si>
  <si>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</si>
  <si>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</si>
  <si>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</si>
  <si>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</si>
  <si>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</si>
  <si>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</si>
  <si>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</si>
  <si>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</si>
  <si>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</si>
  <si>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</si>
  <si>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</si>
  <si>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</si>
  <si>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</si>
  <si>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</si>
  <si>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</si>
  <si>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</si>
  <si>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</si>
  <si>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</si>
  <si>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</si>
  <si>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</si>
  <si>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</si>
  <si>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</si>
  <si>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</si>
  <si>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</si>
  <si>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</si>
  <si>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</si>
  <si>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</si>
  <si>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</si>
  <si>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</si>
  <si>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</si>
  <si>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</si>
  <si>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</si>
  <si>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</si>
  <si>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</si>
  <si>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</si>
  <si>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</si>
  <si>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</si>
  <si>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</si>
  <si>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</si>
  <si>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</si>
  <si>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</si>
  <si>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</si>
  <si>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</si>
  <si>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</si>
  <si>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</si>
  <si>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</si>
  <si>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</si>
  <si>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</si>
  <si>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</si>
  <si>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</si>
  <si>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</si>
  <si>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</si>
  <si>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</si>
  <si>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</si>
  <si>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</si>
  <si>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</si>
  <si>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</si>
  <si>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</si>
  <si>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</si>
  <si>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</si>
  <si>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</si>
  <si>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</si>
  <si>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</si>
  <si>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</si>
  <si>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</si>
  <si>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</si>
  <si>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</si>
  <si>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</si>
  <si>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</si>
  <si>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</si>
  <si>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</si>
  <si>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</si>
  <si>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</si>
  <si>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</si>
  <si>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</si>
  <si>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</si>
  <si>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</si>
  <si>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</si>
  <si>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</si>
  <si>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</si>
  <si>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</si>
  <si>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</si>
  <si>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</si>
  <si>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</si>
  <si>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</si>
  <si>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</si>
  <si>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</si>
  <si>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</si>
  <si>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</si>
  <si>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</si>
  <si>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</si>
  <si>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</si>
  <si>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</si>
  <si>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</si>
  <si>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</si>
  <si>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</si>
  <si>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</si>
  <si>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</si>
  <si>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</si>
  <si>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</si>
  <si>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</si>
  <si>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</si>
  <si>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</si>
  <si>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</si>
  <si>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</si>
  <si>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</si>
  <si>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</si>
  <si>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</si>
  <si>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</si>
  <si>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</si>
  <si>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</si>
  <si>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</si>
  <si>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</si>
  <si>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</si>
  <si>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</si>
  <si>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</si>
  <si>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</si>
  <si>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</si>
  <si>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</si>
  <si>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</si>
  <si>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</si>
  <si>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</si>
  <si>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</si>
  <si>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</si>
  <si>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</si>
  <si>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</si>
  <si>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</si>
  <si>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</si>
  <si>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</si>
  <si>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</si>
  <si>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</si>
  <si>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</si>
  <si>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</si>
  <si>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</si>
  <si>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</si>
  <si>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</si>
  <si>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</si>
  <si>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</si>
  <si>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</si>
  <si>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</si>
  <si>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</si>
  <si>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</si>
  <si>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</si>
  <si>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</si>
  <si>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</si>
  <si>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</si>
  <si>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</si>
  <si>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</si>
  <si>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</si>
  <si>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</si>
  <si>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</si>
  <si>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</si>
  <si>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</si>
  <si>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</si>
  <si>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</si>
  <si>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</si>
  <si>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</si>
  <si>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</si>
  <si>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</si>
  <si>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</si>
  <si>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</si>
  <si>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</si>
  <si>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</si>
  <si>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</si>
  <si>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</si>
  <si>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</si>
  <si>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</si>
  <si>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</si>
  <si>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</si>
  <si>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</si>
  <si>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</si>
  <si>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</si>
  <si>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</si>
  <si>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</si>
  <si>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</si>
  <si>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</si>
  <si>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</si>
  <si>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</si>
  <si>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</si>
  <si>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</si>
  <si>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</si>
  <si>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</si>
  <si>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</si>
  <si>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</si>
  <si>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</si>
  <si>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</si>
  <si>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</si>
  <si>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</si>
  <si>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</si>
  <si>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</si>
  <si>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</si>
  <si>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</si>
  <si>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</si>
  <si>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</si>
  <si>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</si>
  <si>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</si>
  <si>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</si>
  <si>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</si>
  <si>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</si>
  <si>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</si>
  <si>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</si>
  <si>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</si>
  <si>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</si>
  <si>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</si>
  <si>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</si>
  <si>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</si>
  <si>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</si>
  <si>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</si>
  <si>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</si>
  <si>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</si>
  <si>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</si>
  <si>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</si>
  <si>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</si>
  <si>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</si>
  <si>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</si>
  <si>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</si>
  <si>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</si>
  <si>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</si>
  <si>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</si>
  <si>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</si>
  <si>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</si>
  <si>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</si>
  <si>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</si>
  <si>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</si>
  <si>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</si>
  <si>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</si>
  <si>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</si>
  <si>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</si>
  <si>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</si>
  <si>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</si>
  <si>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</si>
  <si>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</si>
  <si>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</si>
  <si>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</si>
  <si>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</si>
  <si>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</si>
  <si>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</si>
  <si>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</si>
  <si>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</si>
  <si>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</si>
  <si>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</si>
  <si>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</si>
  <si>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</si>
  <si>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</si>
  <si>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</si>
  <si>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</si>
  <si>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</si>
  <si>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</si>
  <si>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</si>
  <si>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</si>
  <si>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</si>
  <si>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</si>
  <si>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</si>
  <si>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</si>
  <si>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</si>
  <si>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</si>
  <si>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</si>
  <si>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</si>
  <si>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</si>
  <si>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</si>
  <si>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</si>
  <si>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</si>
  <si>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</si>
  <si>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</si>
  <si>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</si>
  <si>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</si>
  <si>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</si>
  <si>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</si>
  <si>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</si>
  <si>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</si>
  <si>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</si>
  <si>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</si>
  <si>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</si>
  <si>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</si>
  <si>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</si>
  <si>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</si>
  <si>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</si>
  <si>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</si>
  <si>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</si>
  <si>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</si>
  <si>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</si>
  <si>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</si>
  <si>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</si>
  <si>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</si>
  <si>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</si>
  <si>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</si>
  <si>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</si>
  <si>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</si>
  <si>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</si>
  <si>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</si>
  <si>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</si>
  <si>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</si>
  <si>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</si>
  <si>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</si>
  <si>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</si>
  <si>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</si>
  <si>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</si>
  <si>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</si>
  <si>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</si>
  <si>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</si>
  <si>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</si>
  <si>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</si>
  <si>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</si>
  <si>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</si>
  <si>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</si>
  <si>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</si>
  <si>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</si>
  <si>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</si>
  <si>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</si>
  <si>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</si>
  <si>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</si>
  <si>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</si>
  <si>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</si>
  <si>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</si>
  <si>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</si>
  <si>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</si>
  <si>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</si>
  <si>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</si>
  <si>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</si>
  <si>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</si>
  <si>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</si>
  <si>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</si>
  <si>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</si>
  <si>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</si>
  <si>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</si>
  <si>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</si>
  <si>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</si>
  <si>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</si>
  <si>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</si>
  <si>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</si>
  <si>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</si>
  <si>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</si>
  <si>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</si>
  <si>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</si>
  <si>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</si>
  <si>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</si>
  <si>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</si>
  <si>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</si>
  <si>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</si>
  <si>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</si>
  <si>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</si>
  <si>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</si>
  <si>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</si>
  <si>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</si>
  <si>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</si>
  <si>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</si>
  <si>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</si>
  <si>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</si>
  <si>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</si>
  <si>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</si>
  <si>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</si>
  <si>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</si>
  <si>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</si>
  <si>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</si>
  <si>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</si>
  <si>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</si>
  <si>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</si>
  <si>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</si>
  <si>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</si>
  <si>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</si>
  <si>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</si>
  <si>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</si>
  <si>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</si>
  <si>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</si>
  <si>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</si>
  <si>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</si>
  <si>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</si>
  <si>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</si>
  <si>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</si>
  <si>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</si>
  <si>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</si>
  <si>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</si>
  <si>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</si>
  <si>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</si>
  <si>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</si>
  <si>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</si>
  <si>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</si>
  <si>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</si>
  <si>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</si>
  <si>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</si>
  <si>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</si>
  <si>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</si>
  <si>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</si>
  <si>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</si>
  <si>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</si>
  <si>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</si>
  <si>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</si>
  <si>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</si>
  <si>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</si>
  <si>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</si>
  <si>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</si>
  <si>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</si>
  <si>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</si>
  <si>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</si>
  <si>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</si>
  <si>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</si>
  <si>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</si>
  <si>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</si>
  <si>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</si>
  <si>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</si>
  <si>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</si>
  <si>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</si>
  <si>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</si>
  <si>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</si>
  <si>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</si>
  <si>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</si>
  <si>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</si>
  <si>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</si>
  <si>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</si>
  <si>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</si>
  <si>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</si>
  <si>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</si>
  <si>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</si>
  <si>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</si>
  <si>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</si>
  <si>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</si>
  <si>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</si>
  <si>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</si>
  <si>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</si>
  <si>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</si>
  <si>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</si>
  <si>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</si>
  <si>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</si>
  <si>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</si>
  <si>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</si>
  <si>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</si>
  <si>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</si>
  <si>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</si>
  <si>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</si>
  <si>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</si>
  <si>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</si>
  <si>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</si>
  <si>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</si>
  <si>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</si>
  <si>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</si>
  <si>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</si>
  <si>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</si>
  <si>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</si>
  <si>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</si>
  <si>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</si>
  <si>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</si>
  <si>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</si>
  <si>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</si>
  <si>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</si>
  <si>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</si>
  <si>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</si>
  <si>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</si>
  <si>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</si>
  <si>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</si>
  <si>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</si>
  <si>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</si>
  <si>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</si>
  <si>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</si>
  <si>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</si>
  <si>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</si>
  <si>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</si>
  <si>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</si>
  <si>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</si>
  <si>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</si>
  <si>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</si>
  <si>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</si>
  <si>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</si>
  <si>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</si>
  <si>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</si>
  <si>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</si>
  <si>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</si>
  <si>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</si>
  <si>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</si>
  <si>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</si>
  <si>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</si>
  <si>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</si>
  <si>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</si>
  <si>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</si>
  <si>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</si>
  <si>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</si>
  <si>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</si>
  <si>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</si>
  <si>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</si>
  <si>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</si>
  <si>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</si>
  <si>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</si>
  <si>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</si>
  <si>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</si>
  <si>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</si>
  <si>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</si>
  <si>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</si>
  <si>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</si>
  <si>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</si>
  <si>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</si>
  <si>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</si>
  <si>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</si>
  <si>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</si>
  <si>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</si>
  <si>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</si>
  <si>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</si>
  <si>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</si>
  <si>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</si>
  <si>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</si>
  <si>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</si>
  <si>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</si>
  <si>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</si>
  <si>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</si>
  <si>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</si>
  <si>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</si>
  <si>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</si>
  <si>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</si>
  <si>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</si>
  <si>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</si>
  <si>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</si>
  <si>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</si>
  <si>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</si>
  <si>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</si>
  <si>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</si>
  <si>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</si>
  <si>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</si>
  <si>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</si>
  <si>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</si>
  <si>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</si>
  <si>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</si>
  <si>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</si>
  <si>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</si>
  <si>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</si>
  <si>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</si>
  <si>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</si>
  <si>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</si>
  <si>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</si>
  <si>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</si>
  <si>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</si>
  <si>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</si>
  <si>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</si>
  <si>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</si>
  <si>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</si>
  <si>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</si>
  <si>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</si>
  <si>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</si>
  <si>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</si>
  <si>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</si>
  <si>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</si>
  <si>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</si>
  <si>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</si>
  <si>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</si>
  <si>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</si>
  <si>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</si>
  <si>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</si>
  <si>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</si>
  <si>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</si>
  <si>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</si>
  <si>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</si>
  <si>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</si>
  <si>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</si>
  <si>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</si>
  <si>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</si>
  <si>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</si>
  <si>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</si>
  <si>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</si>
  <si>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</si>
  <si>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</si>
  <si>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</si>
  <si>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</si>
  <si>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</si>
  <si>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</si>
  <si>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</si>
  <si>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</si>
  <si>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</si>
  <si>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</si>
  <si>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</si>
  <si>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</si>
  <si>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</si>
  <si>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</si>
  <si>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</si>
  <si>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</si>
  <si>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</si>
  <si>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</si>
  <si>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</si>
  <si>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</si>
  <si>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</si>
  <si>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</si>
  <si>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</si>
  <si>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</si>
  <si>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</si>
  <si>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</si>
  <si>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</si>
  <si>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</si>
  <si>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</si>
  <si>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</si>
  <si>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</si>
  <si>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</si>
  <si>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</si>
  <si>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</si>
  <si>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</si>
  <si>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</si>
  <si>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</si>
  <si>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</si>
  <si>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</si>
  <si>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</si>
  <si>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</si>
  <si>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</si>
  <si>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</si>
  <si>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</si>
  <si>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</si>
  <si>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</si>
  <si>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</si>
  <si>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</si>
  <si>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</si>
  <si>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</si>
  <si>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</si>
  <si>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</si>
  <si>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</si>
  <si>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</si>
  <si>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</si>
  <si>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</si>
  <si>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</si>
  <si>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</si>
  <si>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</si>
  <si>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</si>
  <si>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</si>
  <si>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</si>
  <si>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</si>
  <si>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</si>
  <si>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</si>
  <si>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</si>
  <si>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</si>
  <si>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</si>
  <si>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</si>
  <si>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</si>
  <si>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</si>
  <si>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</si>
  <si>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</si>
  <si>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</si>
  <si>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</si>
  <si>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</si>
  <si>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</si>
  <si>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</si>
  <si>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</si>
  <si>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</si>
  <si>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</si>
  <si>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</si>
  <si>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</si>
  <si>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</si>
  <si>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</si>
  <si>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</si>
  <si>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</si>
  <si>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</si>
  <si>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</si>
  <si>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</si>
  <si>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</si>
  <si>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</si>
  <si>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</si>
  <si>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</si>
  <si>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</si>
  <si>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</si>
  <si>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</si>
  <si>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</si>
  <si>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</si>
  <si>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</si>
  <si>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</si>
  <si>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</si>
  <si>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</si>
  <si>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</si>
  <si>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</si>
  <si>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</si>
  <si>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</si>
  <si>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</si>
  <si>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</si>
  <si>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</si>
  <si>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</si>
  <si>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</si>
  <si>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</si>
  <si>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</si>
  <si>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</si>
  <si>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</si>
  <si>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</si>
  <si>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</si>
  <si>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</si>
  <si>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</si>
  <si>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</si>
  <si>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</si>
  <si>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</si>
  <si>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</si>
  <si>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Frank J. Madrid</t>
  </si>
  <si>
    <t>$D$2</t>
  </si>
  <si>
    <t>$D$3</t>
  </si>
  <si>
    <t>FRANK J. MADRID</t>
  </si>
  <si>
    <t>$C$6</t>
  </si>
  <si>
    <t>$J$8</t>
  </si>
  <si>
    <t>$J$13</t>
  </si>
  <si>
    <t>$J$14</t>
  </si>
  <si>
    <t>$J$15</t>
  </si>
  <si>
    <t>$L$8:$L$19</t>
  </si>
  <si>
    <t>$M$8:$M$19</t>
  </si>
  <si>
    <t>$N$9:$N$19</t>
  </si>
  <si>
    <t>$C$7</t>
  </si>
  <si>
    <t>$J$7:$J$18</t>
  </si>
  <si>
    <t>$L$15</t>
  </si>
  <si>
    <t>$L$16</t>
  </si>
  <si>
    <t>$L$17</t>
  </si>
  <si>
    <t>$L$18</t>
  </si>
  <si>
    <t>$M$8</t>
  </si>
  <si>
    <t>$M$15</t>
  </si>
  <si>
    <t>$M$17</t>
  </si>
  <si>
    <t>$M$18</t>
  </si>
  <si>
    <t>$J$8:$J$19</t>
  </si>
  <si>
    <t>$L$7:$M$18</t>
  </si>
  <si>
    <t>no salar facility for the Branch</t>
  </si>
  <si>
    <t>$N$7</t>
  </si>
  <si>
    <t>$L$9:$L$19</t>
  </si>
  <si>
    <t>$K$8</t>
  </si>
  <si>
    <t>09 September 2025</t>
  </si>
  <si>
    <t>$J$10:$K$12</t>
  </si>
  <si>
    <t>$J$13:$K$15</t>
  </si>
  <si>
    <t>$J$16:$K$18</t>
  </si>
  <si>
    <t>$J$19:$K$21</t>
  </si>
  <si>
    <t>$J$22:$K$24</t>
  </si>
  <si>
    <t>$J$25:$K$27</t>
  </si>
  <si>
    <t>$J$28:$K$30</t>
  </si>
  <si>
    <t>$J$31:$K$33</t>
  </si>
  <si>
    <t>$J$34:$K$36</t>
  </si>
  <si>
    <t>$J$37:$K$39</t>
  </si>
  <si>
    <t>$J$40:$K$42</t>
  </si>
  <si>
    <t>$L$19</t>
  </si>
  <si>
    <t>$L$20</t>
  </si>
  <si>
    <t>$L$21</t>
  </si>
  <si>
    <t>$L$22</t>
  </si>
  <si>
    <t>$L$23</t>
  </si>
  <si>
    <t>$L$24</t>
  </si>
  <si>
    <t>$L$25</t>
  </si>
  <si>
    <t>$L$26</t>
  </si>
  <si>
    <t>$L$27</t>
  </si>
  <si>
    <t>$L$28</t>
  </si>
  <si>
    <t>$L$29</t>
  </si>
  <si>
    <t>$L$30</t>
  </si>
  <si>
    <t>$L$31</t>
  </si>
  <si>
    <t>$L$32</t>
  </si>
  <si>
    <t>$L$33</t>
  </si>
  <si>
    <t>$L$34</t>
  </si>
  <si>
    <t>$L$35</t>
  </si>
  <si>
    <t>$L$36</t>
  </si>
  <si>
    <t>$L$37</t>
  </si>
  <si>
    <t>$L$38</t>
  </si>
  <si>
    <t>$L$39</t>
  </si>
  <si>
    <t>$L$40</t>
  </si>
  <si>
    <t>$L$41</t>
  </si>
  <si>
    <t>$L$42</t>
  </si>
  <si>
    <t>$N$7:$N$18</t>
  </si>
  <si>
    <t>$N$13</t>
  </si>
  <si>
    <t>$N$16</t>
  </si>
  <si>
    <t>$N$19</t>
  </si>
  <si>
    <t>$N$22</t>
  </si>
  <si>
    <t>$N$25</t>
  </si>
  <si>
    <t>$N$28</t>
  </si>
  <si>
    <t>$N$31</t>
  </si>
  <si>
    <t>$N$34</t>
  </si>
  <si>
    <t>$N$37</t>
  </si>
  <si>
    <t>$N$40</t>
  </si>
  <si>
    <t>$N$12</t>
  </si>
  <si>
    <t>Toyota Innova</t>
  </si>
  <si>
    <t>Toyota Grandia</t>
  </si>
  <si>
    <t>$R$10:$R$42</t>
  </si>
  <si>
    <t>$N$11</t>
  </si>
  <si>
    <t>$N$15</t>
  </si>
  <si>
    <t>$N$14</t>
  </si>
  <si>
    <t>$N$18</t>
  </si>
  <si>
    <t>$N$17</t>
  </si>
  <si>
    <t>$N$20</t>
  </si>
  <si>
    <t>$N$21</t>
  </si>
  <si>
    <t>$N$23</t>
  </si>
  <si>
    <t>$N$24</t>
  </si>
  <si>
    <t>$N$27</t>
  </si>
  <si>
    <t>$N$26</t>
  </si>
  <si>
    <t>$N$29</t>
  </si>
  <si>
    <t>$N$30</t>
  </si>
  <si>
    <t>$N$33</t>
  </si>
  <si>
    <t>$N$32</t>
  </si>
  <si>
    <t>$N$35</t>
  </si>
  <si>
    <t>$N$36</t>
  </si>
  <si>
    <t>$N$39</t>
  </si>
  <si>
    <t>$N$38</t>
  </si>
  <si>
    <t>$N$42</t>
  </si>
  <si>
    <t>$N$41</t>
  </si>
  <si>
    <t>$P$8</t>
  </si>
  <si>
    <t>$P$11</t>
  </si>
  <si>
    <t>$P$12</t>
  </si>
  <si>
    <t>$P$14</t>
  </si>
  <si>
    <t>$P$15</t>
  </si>
  <si>
    <t>$X$20</t>
  </si>
  <si>
    <t>$S$9:$S$19</t>
  </si>
  <si>
    <t>$Q$8:$Q$19</t>
  </si>
  <si>
    <t>$T$8:$T$19</t>
  </si>
  <si>
    <t>storage in septic vault</t>
  </si>
  <si>
    <t>$U$8</t>
  </si>
  <si>
    <t>storage in septic vault &amp; hauled bu external party</t>
  </si>
  <si>
    <t>storage in septic vault &amp; hauled by external party</t>
  </si>
  <si>
    <t>\</t>
  </si>
  <si>
    <t>$U$9:$U$19</t>
  </si>
  <si>
    <t>$P$18</t>
  </si>
  <si>
    <t>$P$17</t>
  </si>
  <si>
    <t>$P$19</t>
  </si>
  <si>
    <t>$P$22</t>
  </si>
  <si>
    <t>$P$25</t>
  </si>
  <si>
    <t>$P$28</t>
  </si>
  <si>
    <t>$P$31</t>
  </si>
  <si>
    <t>$P$34</t>
  </si>
  <si>
    <t>$P$37</t>
  </si>
  <si>
    <t>$P$40</t>
  </si>
  <si>
    <t>$P$42</t>
  </si>
  <si>
    <t>$P$39</t>
  </si>
  <si>
    <t>$P$36</t>
  </si>
  <si>
    <t>$P$33</t>
  </si>
  <si>
    <t>$P$30</t>
  </si>
  <si>
    <t>$P$27</t>
  </si>
  <si>
    <t>$P$24</t>
  </si>
  <si>
    <t>$P$21</t>
  </si>
  <si>
    <t>$P$20</t>
  </si>
  <si>
    <t>$P$23</t>
  </si>
  <si>
    <t>$P$26</t>
  </si>
  <si>
    <t>$P$29</t>
  </si>
  <si>
    <t>$P$32</t>
  </si>
  <si>
    <t>$P$35</t>
  </si>
  <si>
    <t>$P$38</t>
  </si>
  <si>
    <t>$P$41</t>
  </si>
  <si>
    <t>$N$43</t>
  </si>
  <si>
    <t>storage in septic vault &amp; hauled by external party, watering of plants</t>
  </si>
  <si>
    <t>$A$27:$G$39</t>
  </si>
  <si>
    <t>Ground floor Area</t>
  </si>
  <si>
    <t>Second Floor Area</t>
  </si>
  <si>
    <t>3rd floor area</t>
  </si>
  <si>
    <t>Guardhouse</t>
  </si>
  <si>
    <t>Genset area</t>
  </si>
  <si>
    <t>$J$9:$N$13</t>
  </si>
  <si>
    <t>DAVINCI D. SAGSAGAT</t>
  </si>
  <si>
    <t>$R$10</t>
  </si>
  <si>
    <t>09 Aeptember 2025</t>
  </si>
  <si>
    <t>10 September 2025</t>
  </si>
  <si>
    <t>$J$8:$J$20</t>
  </si>
  <si>
    <t>Regular waste and Shredded notes</t>
  </si>
  <si>
    <t>Hazardous waste</t>
  </si>
  <si>
    <t>$L$8:$O$20</t>
  </si>
  <si>
    <t>CCTV Area</t>
  </si>
  <si>
    <t>$K$14</t>
  </si>
  <si>
    <t>$O$14</t>
  </si>
  <si>
    <t>$J$15:$M$15</t>
  </si>
  <si>
    <t>$S$15</t>
  </si>
  <si>
    <t>$T$15</t>
  </si>
  <si>
    <t>$U$15</t>
  </si>
  <si>
    <t>2.1</t>
  </si>
  <si>
    <t>Transferred w/o cost to other government agencies</t>
  </si>
  <si>
    <t>$W$15</t>
  </si>
  <si>
    <t>$K$16</t>
  </si>
  <si>
    <t>$K$17</t>
  </si>
  <si>
    <t>Parking area</t>
  </si>
  <si>
    <t>$K$18</t>
  </si>
  <si>
    <t>$Q$18</t>
  </si>
  <si>
    <t>$R$18</t>
  </si>
  <si>
    <t>Replacement of compressor for Armored truck SFW 697</t>
  </si>
  <si>
    <t>$W$18</t>
  </si>
  <si>
    <t>$M$17:$M$18</t>
  </si>
  <si>
    <t>$J$19:$P$20</t>
  </si>
  <si>
    <t>$S$20:$U$20</t>
  </si>
  <si>
    <t>$W$20</t>
  </si>
  <si>
    <t>$S$15:$U$15</t>
  </si>
  <si>
    <t>$O$14:$P$14</t>
  </si>
  <si>
    <t>$J$14:$N$15</t>
  </si>
  <si>
    <t>$J$14:$N$20</t>
  </si>
  <si>
    <t>$O$17:$P$17</t>
  </si>
  <si>
    <t>$O$19:$P$19</t>
  </si>
  <si>
    <t>$Q$16:$R$16</t>
  </si>
  <si>
    <t>$Q$18:$R$18</t>
  </si>
  <si>
    <t>$S$18:$U$18</t>
  </si>
  <si>
    <t>$W$16</t>
  </si>
  <si>
    <t>$Q$14:$R$14</t>
  </si>
  <si>
    <t>$W$14</t>
  </si>
  <si>
    <t>$J$16:$N$16</t>
  </si>
  <si>
    <t>$J$16:$U$18</t>
  </si>
  <si>
    <t>$W$17</t>
  </si>
  <si>
    <t>$I$7:$I$10</t>
  </si>
  <si>
    <t>$N$7:$N$10</t>
  </si>
  <si>
    <t>$I$11:$O$106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</si>
</sst>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00;\-&quot;₱&quot;#,##0.00"/>
    <numFmt numFmtId="165" formatCode="_-* #,##0.00_-;\-* #,##0.00_-;_-* &quot;-&quot;??_-;_-@_-"/>
    <numFmt numFmtId="166" formatCode="_-* #,##0.00\ _€_-;\-* #,##0.00\ _€_-;_-* &quot;-&quot;??\ _€_-;_-@_-"/>
    <numFmt numFmtId="167" formatCode="&quot;₱&quot;#,##0.00"/>
    <numFmt numFmtId="168" formatCode="0.0000"/>
    <numFmt numFmtId="169" formatCode="#,##0.0000"/>
    <numFmt numFmtId="170" formatCode="0.00;[Red]0.00"/>
    <numFmt numFmtId="171" formatCode="_(* #,##0.00_);_(* \(#,##0.00\);_(* \-??_);_(@_)"/>
  </numFmts>
  <fonts count="48"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
      <sz val="11"/>
      <color rgb="FF000000"/>
      <name val="Calibri"/>
      <family val="2"/>
      <charset val="1"/>
    </font>
    <font>
      <sz val="10"/>
      <name val="Arial"/>
      <family val="2"/>
      <charset val="1"/>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15">
    <xf numFmtId="0" fontId="0" fillId="0" borderId="0"/>
    <xf numFmtId="0" fontId="6" fillId="0" borderId="0"/>
    <xf numFmtId="0" fontId="7" fillId="0" borderId="0" applyNumberFormat="0" applyFill="0" applyBorder="0" applyAlignment="0" applyProtection="0"/>
    <xf numFmtId="166"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xf numFmtId="0" fontId="46" fillId="0" borderId="0"/>
    <xf numFmtId="171" fontId="46" fillId="0" borderId="0" applyBorder="0" applyProtection="0"/>
    <xf numFmtId="171" fontId="46" fillId="0" borderId="0" applyBorder="0" applyProtection="0"/>
    <xf numFmtId="171" fontId="46" fillId="0" borderId="0" applyBorder="0" applyProtection="0"/>
    <xf numFmtId="0" fontId="47" fillId="0" borderId="0"/>
    <xf numFmtId="0" fontId="33" fillId="0" borderId="0"/>
    <xf numFmtId="165" fontId="33" fillId="0" borderId="0" applyFont="0" applyFill="0" applyBorder="0" applyAlignment="0" applyProtection="0"/>
    <xf numFmtId="0" fontId="33" fillId="0" borderId="0"/>
  </cellStyleXfs>
  <cellXfs count="470">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7" fontId="8" fillId="3" borderId="0" xfId="0" applyNumberFormat="1" applyFont="1" applyFill="1" applyProtection="1">
      <protection locked="0"/>
    </xf>
    <xf numFmtId="167"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7" fontId="8" fillId="3" borderId="0" xfId="0" applyNumberFormat="1" applyFont="1" applyFill="1" applyAlignment="1" applyProtection="1">
      <alignment horizontal="center" vertical="center"/>
      <protection locked="0"/>
    </xf>
    <xf numFmtId="167"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7" fontId="12" fillId="25" borderId="6" xfId="0" applyNumberFormat="1" applyFont="1" applyFill="1" applyBorder="1" applyAlignment="1" applyProtection="1">
      <alignment horizontal="center" vertical="center"/>
      <protection locked="0"/>
    </xf>
    <xf numFmtId="167"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8" fontId="8" fillId="9" borderId="4" xfId="0" applyNumberFormat="1" applyFont="1" applyFill="1" applyBorder="1" applyProtection="1">
      <protection locked="0"/>
    </xf>
    <xf numFmtId="167"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9"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7"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7" fontId="8" fillId="3" borderId="7" xfId="0" applyNumberFormat="1" applyFont="1" applyFill="1" applyBorder="1" applyProtection="1">
      <protection locked="0"/>
    </xf>
    <xf numFmtId="167"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7" fontId="12" fillId="28" borderId="6" xfId="0" applyNumberFormat="1" applyFont="1" applyFill="1" applyBorder="1" applyAlignment="1" applyProtection="1">
      <alignment horizontal="center" vertical="center"/>
      <protection locked="0"/>
    </xf>
    <xf numFmtId="167"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7" fontId="8" fillId="13" borderId="26" xfId="0" applyNumberFormat="1" applyFont="1" applyFill="1" applyBorder="1" applyProtection="1">
      <protection locked="0"/>
    </xf>
    <xf numFmtId="167"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7" fontId="8" fillId="3" borderId="40" xfId="0" applyNumberFormat="1" applyFont="1" applyFill="1" applyBorder="1" applyProtection="1">
      <protection locked="0"/>
    </xf>
    <xf numFmtId="167"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7" fontId="8" fillId="3" borderId="45" xfId="0" applyNumberFormat="1" applyFont="1" applyFill="1" applyBorder="1" applyProtection="1">
      <protection locked="0"/>
    </xf>
    <xf numFmtId="167"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70"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7" fontId="8" fillId="13" borderId="50" xfId="0" applyNumberFormat="1" applyFont="1" applyFill="1" applyBorder="1" applyProtection="1">
      <protection locked="0"/>
    </xf>
    <xf numFmtId="167"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14" fontId="0" fillId="0" borderId="0" xfId="0" applyNumberFormat="1"/>
    <xf numFmtId="15" fontId="0" fillId="0" borderId="0" xfId="0" applyNumberFormat="1"/>
    <xf numFmtId="3" fontId="8" fillId="17" borderId="0" xfId="0" quotePrefix="1" applyNumberFormat="1" applyFont="1" applyFill="1" applyAlignment="1" applyProtection="1">
      <alignment horizontal="center"/>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6" fontId="8" fillId="3" borderId="4" xfId="0" quotePrefix="1" applyNumberFormat="1" applyFont="1" applyFill="1" applyBorder="1" applyAlignment="1" applyProtection="1">
      <alignment horizontal="center" vertical="center"/>
      <protection locked="0"/>
    </xf>
    <xf numFmtId="0" fontId="8" fillId="3" borderId="4" xfId="0" quotePrefix="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14" fontId="8" fillId="3" borderId="4" xfId="0" quotePrefix="1" applyNumberFormat="1" applyFont="1" applyFill="1" applyBorder="1" applyAlignment="1" applyProtection="1">
      <alignment horizontal="center" vertical="center"/>
      <protection locked="0"/>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15">
    <cellStyle name="Comma 2" xfId="3" xr:uid="{92BF5794-1AF9-44DE-8A45-97E2D247EB03}"/>
    <cellStyle name="Comma 2 2" xfId="9" xr:uid="{085DA396-DE17-40D8-B569-9E4598FA786E}"/>
    <cellStyle name="Comma 3" xfId="10" xr:uid="{2341B9F5-B90E-4D43-8C79-E63A9968C05D}"/>
    <cellStyle name="Comma 4" xfId="13" xr:uid="{C30F162D-9D15-410F-917F-5C5D4D54401D}"/>
    <cellStyle name="Comma 5" xfId="8" xr:uid="{15A6FD6C-139A-45B0-993A-3C7655456AB8}"/>
    <cellStyle name="Hyperlink" xfId="5" builtinId="8"/>
    <cellStyle name="Hyperlink 2" xfId="2" xr:uid="{985B9059-43AF-4B97-8D13-1508641BC7DB}"/>
    <cellStyle name="Normal" xfId="0" builtinId="0"/>
    <cellStyle name="Normal 2" xfId="1" xr:uid="{886A7E3E-2C28-48E7-AC10-101161A453A2}"/>
    <cellStyle name="Normal 2 2" xfId="11" xr:uid="{F0A2F1E4-FAD4-4F75-A8B2-A201693D2D32}"/>
    <cellStyle name="Normal 3" xfId="12" xr:uid="{860270E3-751B-4BE7-BD69-7CC8196BA45F}"/>
    <cellStyle name="Normal 4" xfId="14" xr:uid="{6F9E52DA-DB9C-41B2-9ED7-DD10FEBEAB68}"/>
    <cellStyle name="Normal 5" xfId="7" xr:uid="{8ECD3F24-F510-4BB5-B7A1-2E7711DE3F56}"/>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7"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7"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7"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7">
      <sharedItems containsString="0" containsBlank="1" containsNumber="1" containsInteger="1" minValue="100" maxValue="8000"/>
    </cacheField>
    <cacheField name="Utility Provider" numFmtId="167">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7088344907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Armored Vehicle"/>
        <s v="Multi-Purpose Vehicle"/>
        <s v="Van  "/>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9.68" maxValue="1935.98"/>
    </cacheField>
    <cacheField name="Unit" numFmtId="0">
      <sharedItems containsBlank="1"/>
    </cacheField>
    <cacheField name="Total kilometers travelled (all vehicles)" numFmtId="4">
      <sharedItems containsString="0" containsBlank="1" containsNumber="1" minValue="82" maxValue="8637.5999999999985"/>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935.98"/>
    <s v="Liters"/>
    <n v="8637.5999999999985"/>
    <s v="Kilometers"/>
    <m/>
  </r>
  <r>
    <n v="2"/>
    <x v="1"/>
    <x v="0"/>
    <x v="0"/>
    <x v="0"/>
    <n v="80.11"/>
    <m/>
    <n v="796"/>
    <s v="Kilometers"/>
    <s v="Toyota Innova"/>
  </r>
  <r>
    <n v="3"/>
    <x v="2"/>
    <x v="0"/>
    <x v="0"/>
    <x v="0"/>
    <n v="27.93"/>
    <s v="Liters"/>
    <n v="323"/>
    <s v="Kilometers"/>
    <s v="Toyota Grandia"/>
  </r>
  <r>
    <n v="4"/>
    <x v="0"/>
    <x v="0"/>
    <x v="1"/>
    <x v="0"/>
    <n v="563.99"/>
    <s v="Liters"/>
    <n v="1750.6"/>
    <s v="Kilometers"/>
    <m/>
  </r>
  <r>
    <n v="5"/>
    <x v="1"/>
    <x v="0"/>
    <x v="1"/>
    <x v="0"/>
    <n v="75.45"/>
    <s v="Liters"/>
    <n v="808"/>
    <s v="Kilometers"/>
    <s v="Toyota Innova"/>
  </r>
  <r>
    <n v="6"/>
    <x v="2"/>
    <x v="0"/>
    <x v="1"/>
    <x v="0"/>
    <n v="80.39"/>
    <s v="Liters"/>
    <n v="628"/>
    <s v="Kilometers"/>
    <s v="Toyota Grandia"/>
  </r>
  <r>
    <n v="7"/>
    <x v="0"/>
    <x v="0"/>
    <x v="2"/>
    <x v="0"/>
    <n v="279.48"/>
    <s v="Liters"/>
    <n v="1054.7"/>
    <s v="Kilometers"/>
    <m/>
  </r>
  <r>
    <n v="8"/>
    <x v="1"/>
    <x v="0"/>
    <x v="2"/>
    <x v="0"/>
    <n v="118.01"/>
    <s v="Liters"/>
    <n v="1395"/>
    <s v="Kilometers"/>
    <s v="Toyota Innova"/>
  </r>
  <r>
    <n v="9"/>
    <x v="2"/>
    <x v="0"/>
    <x v="2"/>
    <x v="0"/>
    <n v="80.77"/>
    <s v="Liters"/>
    <n v="846"/>
    <s v="Kilometers"/>
    <s v="Toyota Grandia"/>
  </r>
  <r>
    <n v="10"/>
    <x v="0"/>
    <x v="0"/>
    <x v="3"/>
    <x v="1"/>
    <n v="151.22"/>
    <s v="Liters"/>
    <n v="426.1"/>
    <s v="Kilometers"/>
    <m/>
  </r>
  <r>
    <n v="11"/>
    <x v="1"/>
    <x v="0"/>
    <x v="3"/>
    <x v="1"/>
    <n v="174.1"/>
    <s v="Liters"/>
    <n v="1959"/>
    <s v="Kilometers"/>
    <s v="Toyota Innova"/>
  </r>
  <r>
    <n v="12"/>
    <x v="2"/>
    <x v="0"/>
    <x v="3"/>
    <x v="1"/>
    <n v="142.49"/>
    <s v="Liters"/>
    <n v="1390"/>
    <s v="Kilometers"/>
    <s v="Toyota Grandia"/>
  </r>
  <r>
    <n v="13"/>
    <x v="0"/>
    <x v="0"/>
    <x v="4"/>
    <x v="1"/>
    <n v="369.08"/>
    <s v="Liters"/>
    <n v="1051.0999999999999"/>
    <s v="Kilometers"/>
    <m/>
  </r>
  <r>
    <n v="14"/>
    <x v="1"/>
    <x v="0"/>
    <x v="4"/>
    <x v="1"/>
    <n v="65.95"/>
    <s v="Liters"/>
    <n v="839"/>
    <s v="Kilometers"/>
    <s v="Toyota Innova"/>
  </r>
  <r>
    <n v="15"/>
    <x v="2"/>
    <x v="0"/>
    <x v="4"/>
    <x v="1"/>
    <n v="68.48"/>
    <s v="Liters"/>
    <n v="713"/>
    <s v="Kilometers"/>
    <s v="Toyota Grandia"/>
  </r>
  <r>
    <n v="16"/>
    <x v="0"/>
    <x v="0"/>
    <x v="5"/>
    <x v="1"/>
    <n v="704.12"/>
    <s v="Liters"/>
    <n v="2419.3000000000002"/>
    <s v="Kilometers"/>
    <m/>
  </r>
  <r>
    <n v="17"/>
    <x v="1"/>
    <x v="0"/>
    <x v="5"/>
    <x v="1"/>
    <n v="69.52"/>
    <s v="Liters"/>
    <n v="638"/>
    <s v="Kilometers"/>
    <s v="Toyota Innova"/>
  </r>
  <r>
    <n v="18"/>
    <x v="2"/>
    <x v="0"/>
    <x v="5"/>
    <x v="1"/>
    <n v="152.31"/>
    <s v="Liters"/>
    <n v="1749"/>
    <s v="Kilometers"/>
    <s v="Toyota Grandia"/>
  </r>
  <r>
    <n v="19"/>
    <x v="0"/>
    <x v="0"/>
    <x v="6"/>
    <x v="2"/>
    <n v="528.13"/>
    <s v="Liters"/>
    <n v="1736"/>
    <s v="Kilometers"/>
    <m/>
  </r>
  <r>
    <n v="20"/>
    <x v="1"/>
    <x v="0"/>
    <x v="6"/>
    <x v="2"/>
    <n v="233.7"/>
    <s v="Liters"/>
    <n v="1820"/>
    <s v="Kilometers"/>
    <s v="Toyota Innova"/>
  </r>
  <r>
    <n v="21"/>
    <x v="2"/>
    <x v="0"/>
    <x v="6"/>
    <x v="2"/>
    <n v="28.56"/>
    <s v="Liters"/>
    <n v="356"/>
    <s v="Kilometers"/>
    <s v="Toyota Grandia"/>
  </r>
  <r>
    <n v="22"/>
    <x v="0"/>
    <x v="0"/>
    <x v="7"/>
    <x v="2"/>
    <n v="602.16"/>
    <s v="Liters"/>
    <n v="1990.1"/>
    <s v="Kilometers"/>
    <m/>
  </r>
  <r>
    <n v="23"/>
    <x v="1"/>
    <x v="0"/>
    <x v="7"/>
    <x v="2"/>
    <n v="83.99"/>
    <s v="Liters"/>
    <n v="948"/>
    <s v="Kilometers"/>
    <s v="Toyota Innova"/>
  </r>
  <r>
    <n v="24"/>
    <x v="2"/>
    <x v="0"/>
    <x v="7"/>
    <x v="2"/>
    <n v="140.37"/>
    <s v="Liters"/>
    <n v="1616"/>
    <s v="Kilometers"/>
    <s v="Toyota Grandia"/>
  </r>
  <r>
    <n v="25"/>
    <x v="0"/>
    <x v="0"/>
    <x v="8"/>
    <x v="2"/>
    <n v="488.43"/>
    <s v="Liters"/>
    <n v="1701.3"/>
    <s v="Kilometers"/>
    <m/>
  </r>
  <r>
    <n v="26"/>
    <x v="1"/>
    <x v="0"/>
    <x v="8"/>
    <x v="2"/>
    <n v="60.13"/>
    <s v="Liters"/>
    <n v="813"/>
    <s v="Kilometers"/>
    <s v="Toyota Innova"/>
  </r>
  <r>
    <n v="27"/>
    <x v="2"/>
    <x v="0"/>
    <x v="8"/>
    <x v="2"/>
    <n v="69.709999999999994"/>
    <s v="Liters"/>
    <n v="707"/>
    <s v="Kilometers"/>
    <s v="Toyota Grandia"/>
  </r>
  <r>
    <n v="28"/>
    <x v="0"/>
    <x v="0"/>
    <x v="9"/>
    <x v="3"/>
    <n v="686"/>
    <s v="Liters"/>
    <n v="2592.9"/>
    <s v="Kilometers"/>
    <m/>
  </r>
  <r>
    <n v="29"/>
    <x v="1"/>
    <x v="0"/>
    <x v="9"/>
    <x v="3"/>
    <n v="102.22"/>
    <s v="Liters"/>
    <n v="890"/>
    <s v="Kilometers"/>
    <s v="Toyota Innova"/>
  </r>
  <r>
    <n v="30"/>
    <x v="2"/>
    <x v="0"/>
    <x v="9"/>
    <x v="3"/>
    <n v="128.06"/>
    <s v="Liters"/>
    <n v="1021"/>
    <s v="Kilometers"/>
    <s v="Toyota Grandia"/>
  </r>
  <r>
    <n v="31"/>
    <x v="0"/>
    <x v="0"/>
    <x v="10"/>
    <x v="3"/>
    <n v="40.9"/>
    <s v="Liters"/>
    <n v="82"/>
    <s v="Kilometers"/>
    <m/>
  </r>
  <r>
    <n v="32"/>
    <x v="1"/>
    <x v="0"/>
    <x v="10"/>
    <x v="3"/>
    <n v="106.92"/>
    <s v="Liters"/>
    <n v="1208"/>
    <s v="Kilometers"/>
    <s v="Toyota Innova"/>
  </r>
  <r>
    <n v="33"/>
    <x v="2"/>
    <x v="0"/>
    <x v="10"/>
    <x v="3"/>
    <n v="85.56"/>
    <s v="Liters"/>
    <n v="838"/>
    <s v="Kilometers"/>
    <s v="Toyota Grandia"/>
  </r>
  <r>
    <n v="34"/>
    <x v="0"/>
    <x v="0"/>
    <x v="11"/>
    <x v="3"/>
    <n v="230.81"/>
    <s v="Liters"/>
    <n v="772.4"/>
    <s v="Kilometers"/>
    <m/>
  </r>
  <r>
    <n v="35"/>
    <x v="1"/>
    <x v="0"/>
    <x v="11"/>
    <x v="3"/>
    <n v="61.95"/>
    <s v="Liters"/>
    <n v="689"/>
    <s v="Kilometers"/>
    <s v="Toyota Innova"/>
  </r>
  <r>
    <n v="36"/>
    <x v="2"/>
    <x v="0"/>
    <x v="11"/>
    <x v="3"/>
    <n v="9.68"/>
    <s v="Liters"/>
    <n v="88"/>
    <s v="Kilometers"/>
    <s v="Toyota Grandia"/>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3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70"/>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4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70"/>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3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70"/>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39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3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3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1" s="1"/>
        <i x="2"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0" totalsRowShown="0" headerRowDxfId="109" dataDxfId="107" headerRowBorderDxfId="108" tableBorderDxfId="106">
  <autoFilter ref="I6:O10"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325" totalsRowShown="0" headerRowDxfId="8">
  <autoFilter ref="A1:E1325"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49" zoomScaleNormal="130" workbookViewId="0">
      <selection activeCell="G16" sqref="G16"/>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5" zoomScale="88" zoomScaleNormal="60" workbookViewId="0">
      <selection activeCell="E40" sqref="E4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7" t="s">
        <v>349</v>
      </c>
      <c r="E2" s="448"/>
      <c r="F2" s="448"/>
      <c r="G2" s="449"/>
    </row>
    <row r="3" spans="3:7" x14ac:dyDescent="0.2">
      <c r="C3" s="117" t="s">
        <v>12</v>
      </c>
      <c r="D3" s="447">
        <v>2024</v>
      </c>
      <c r="E3" s="448"/>
      <c r="F3" s="448"/>
      <c r="G3" s="449"/>
    </row>
    <row r="5" spans="3:7" ht="19" customHeight="1" x14ac:dyDescent="0.2">
      <c r="C5" s="446" t="s">
        <v>148</v>
      </c>
      <c r="D5" s="446"/>
      <c r="E5" s="446"/>
      <c r="F5" s="446"/>
      <c r="G5" s="446"/>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
      </c>
      <c r="E8" s="181" t="str" cm="1">
        <f t="array" ref="E8">IF(SUMPRODUCT(--('2.1a Fuel - Buildings'!E11:E15&gt;0))&gt;0, "x", "")</f>
        <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x</v>
      </c>
      <c r="G10" s="183" t="str" cm="1">
        <f t="array" ref="G10">IF(SUMPRODUCT(--('2.2 Refrigerants'!G11:G13&gt;0))&gt;0, "x", "")</f>
        <v>x</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565.99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8826.66</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205480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507</v>
      </c>
    </row>
    <row r="40" spans="3:5" x14ac:dyDescent="0.2">
      <c r="C40" s="189" t="str">
        <f>'2.4 Water'!B12</f>
        <v>Water Discharge</v>
      </c>
      <c r="D40" s="189" t="str">
        <f>'2.4 Water'!C12</f>
        <v>Cubic meters</v>
      </c>
      <c r="E40" s="190">
        <f>SUM('2.4 Water'!$D$12:$G$12)</f>
        <v>507</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25200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L13" sqref="L13"/>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Batac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50" t="s">
        <v>1434</v>
      </c>
      <c r="D6" s="451"/>
      <c r="E6" s="451"/>
      <c r="F6" s="451"/>
      <c r="G6" s="452"/>
      <c r="I6" s="209" t="s">
        <v>173</v>
      </c>
      <c r="J6" s="209" t="s">
        <v>35</v>
      </c>
      <c r="K6" s="209" t="s">
        <v>39</v>
      </c>
      <c r="L6" s="209" t="s">
        <v>43</v>
      </c>
      <c r="M6" s="209" t="s">
        <v>47</v>
      </c>
      <c r="N6" s="209" t="s">
        <v>51</v>
      </c>
      <c r="O6" s="209" t="s">
        <v>54</v>
      </c>
      <c r="P6" s="20"/>
    </row>
    <row r="7" spans="2:16" x14ac:dyDescent="0.2">
      <c r="B7" s="278" t="s">
        <v>174</v>
      </c>
      <c r="C7" s="453" t="s">
        <v>1459</v>
      </c>
      <c r="D7" s="451"/>
      <c r="E7" s="451"/>
      <c r="F7" s="451"/>
      <c r="G7" s="452"/>
      <c r="I7" s="194">
        <f>IF($M7="","",1)</f>
        <v>1</v>
      </c>
      <c r="J7" s="57" t="s">
        <v>37</v>
      </c>
      <c r="K7" s="58" t="s">
        <v>390</v>
      </c>
      <c r="L7" s="18" t="str">
        <f>IF(Fuel_Blg[[#This Row],[Month]]&lt;&gt;"",VLOOKUP(Fuel_Blg[[#This Row],[Month]], dropdown!$S$4:$T$15, 2, FALSE),"")</f>
        <v>Q3</v>
      </c>
      <c r="M7" s="29">
        <v>301.52</v>
      </c>
      <c r="N7" s="17" t="str">
        <f>IF($J7="","",VLOOKUP($J7,dropdown!$P$3:$Q$8,2,FALSE))</f>
        <v>Liters</v>
      </c>
      <c r="O7" s="195"/>
      <c r="P7" s="20"/>
    </row>
    <row r="8" spans="2:16" x14ac:dyDescent="0.2">
      <c r="I8" s="194">
        <v>2</v>
      </c>
      <c r="J8" s="57" t="s">
        <v>37</v>
      </c>
      <c r="K8" s="58" t="s">
        <v>41</v>
      </c>
      <c r="L8" s="18" t="str">
        <f>IF(Fuel_Blg[[#This Row],[Month]]&lt;&gt;"",VLOOKUP(Fuel_Blg[[#This Row],[Month]], dropdown!$S$4:$T$15, 2, FALSE),"")</f>
        <v>Q3</v>
      </c>
      <c r="M8" s="29">
        <v>152.03</v>
      </c>
      <c r="N8" s="17" t="str">
        <f>IF($J8="","",VLOOKUP($J8,dropdown!$P$3:$Q$8,2,FALSE))</f>
        <v>Liters</v>
      </c>
      <c r="O8" s="195"/>
      <c r="P8" s="20"/>
    </row>
    <row r="9" spans="2:16" x14ac:dyDescent="0.2">
      <c r="B9" s="14" t="s">
        <v>33</v>
      </c>
      <c r="C9" s="14"/>
      <c r="D9" s="14"/>
      <c r="E9" s="14"/>
      <c r="F9" s="14"/>
      <c r="G9" s="14"/>
      <c r="I9" s="194">
        <v>3</v>
      </c>
      <c r="J9" s="57" t="s">
        <v>37</v>
      </c>
      <c r="K9" s="58" t="s">
        <v>404</v>
      </c>
      <c r="L9" s="18" t="str">
        <f>IF(Fuel_Blg[[#This Row],[Month]]&lt;&gt;"",VLOOKUP(Fuel_Blg[[#This Row],[Month]], dropdown!$S$4:$T$15, 2, FALSE),"")</f>
        <v>Q4</v>
      </c>
      <c r="M9" s="29">
        <v>90.44</v>
      </c>
      <c r="N9" s="17" t="str">
        <f>IF($J9="","",VLOOKUP($J9,dropdown!$P$3:$Q$8,2,FALSE))</f>
        <v>Liters</v>
      </c>
      <c r="O9" s="195"/>
      <c r="P9" s="20"/>
    </row>
    <row r="10" spans="2:16" x14ac:dyDescent="0.2">
      <c r="B10" s="13" t="s">
        <v>35</v>
      </c>
      <c r="C10" s="13" t="s">
        <v>51</v>
      </c>
      <c r="D10" s="40" t="s">
        <v>45</v>
      </c>
      <c r="E10" s="40" t="s">
        <v>149</v>
      </c>
      <c r="F10" s="40" t="s">
        <v>150</v>
      </c>
      <c r="G10" s="40" t="s">
        <v>151</v>
      </c>
      <c r="I10" s="194">
        <v>4</v>
      </c>
      <c r="J10" s="57" t="s">
        <v>37</v>
      </c>
      <c r="K10" s="58" t="s">
        <v>407</v>
      </c>
      <c r="L10" s="18" t="str">
        <f>IF(Fuel_Blg[[#This Row],[Month]]&lt;&gt;"",VLOOKUP(Fuel_Blg[[#This Row],[Month]], dropdown!$S$4:$T$15, 2, FALSE),"")</f>
        <v>Q4</v>
      </c>
      <c r="M10" s="29">
        <v>22</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0</v>
      </c>
      <c r="E11" s="41">
        <f>SUMIFS(Fuel_Blg[Consumption],Fuel_Blg[Quarter],E$10,Fuel_Blg[Fuel Type],$B$11)</f>
        <v>0</v>
      </c>
      <c r="F11" s="41">
        <f>SUMIFS(Fuel_Blg[Consumption],Fuel_Blg[Quarter],F$10,Fuel_Blg[Fuel Type],$B$11)</f>
        <v>453.54999999999995</v>
      </c>
      <c r="G11" s="41">
        <f>SUMIFS(Fuel_Blg[Consumption],Fuel_Blg[Quarter],G$10,Fuel_Blg[Fuel Type],$B$11)</f>
        <v>112.44</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322" t="s">
        <v>178</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0 O6:O10 J6:K10"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J7:J10</xm:sqref>
        </x14:dataValidation>
        <x14:dataValidation type="list" allowBlank="1" showInputMessage="1" showErrorMessage="1" xr:uid="{3A41C1D1-FB7A-9447-9EAB-0BFDEC48FE4C}">
          <x14:formula1>
            <xm:f>dropdown!$S$4:$S$15</xm:f>
          </x14:formula1>
          <xm:sqref>K7:K10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2" zoomScaleNormal="100" workbookViewId="0">
      <selection activeCell="H2" sqref="H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Batac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50" t="s">
        <v>1434</v>
      </c>
      <c r="D6" s="451"/>
      <c r="E6" s="451"/>
      <c r="F6" s="451"/>
      <c r="G6" s="452"/>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4" t="s">
        <v>1459</v>
      </c>
      <c r="D7" s="451"/>
      <c r="E7" s="451"/>
      <c r="F7" s="451"/>
      <c r="G7" s="452"/>
      <c r="I7" s="194">
        <f>IF($J7="","",1)</f>
        <v>1</v>
      </c>
      <c r="J7" s="57" t="s">
        <v>343</v>
      </c>
      <c r="K7" s="57" t="s">
        <v>63</v>
      </c>
      <c r="L7" s="58" t="s">
        <v>338</v>
      </c>
      <c r="M7" s="18" t="str">
        <f>IF(Fuel_Veh[[#This Row],[Month]]&lt;&gt;"",VLOOKUP(Fuel_Veh[[#This Row],[Month]], dropdown!$S$4:$T$15, 2, FALSE),"")</f>
        <v>Q1</v>
      </c>
      <c r="N7" s="29">
        <v>1935.98</v>
      </c>
      <c r="O7" s="17" t="str">
        <f>IF($K7="","",VLOOKUP($K7,dropdown!$P$14:$Q$18,2,FALSE))</f>
        <v>Liters</v>
      </c>
      <c r="P7" s="29">
        <v>8637.5999999999985</v>
      </c>
      <c r="Q7" s="17" t="str">
        <f t="shared" ref="Q7:Q70" si="0">IF($P7="","","Kilometers")</f>
        <v>Kilometers</v>
      </c>
      <c r="R7" s="195"/>
    </row>
    <row r="8" spans="2:18" x14ac:dyDescent="0.2">
      <c r="I8" s="194">
        <f>IF($J8="","",$I7+1)</f>
        <v>2</v>
      </c>
      <c r="J8" s="57" t="s">
        <v>365</v>
      </c>
      <c r="K8" s="57" t="s">
        <v>63</v>
      </c>
      <c r="L8" s="58" t="s">
        <v>338</v>
      </c>
      <c r="M8" s="18" t="str">
        <f>IF(Fuel_Veh[[#This Row],[Month]]&lt;&gt;"",VLOOKUP(Fuel_Veh[[#This Row],[Month]], dropdown!$S$4:$T$15, 2, FALSE),"")</f>
        <v>Q1</v>
      </c>
      <c r="N8" s="29">
        <v>80.11</v>
      </c>
      <c r="O8" s="17"/>
      <c r="P8" s="29">
        <v>796</v>
      </c>
      <c r="Q8" s="17" t="str">
        <f t="shared" si="0"/>
        <v>Kilometers</v>
      </c>
      <c r="R8" s="195" t="s">
        <v>1507</v>
      </c>
    </row>
    <row r="9" spans="2:18" x14ac:dyDescent="0.2">
      <c r="B9" s="14" t="s">
        <v>33</v>
      </c>
      <c r="C9" s="14"/>
      <c r="D9" s="14"/>
      <c r="E9" s="14"/>
      <c r="F9" s="14"/>
      <c r="G9" s="14"/>
      <c r="I9" s="194">
        <f>IF($J9="","",$I8+1)</f>
        <v>3</v>
      </c>
      <c r="J9" s="57" t="s">
        <v>381</v>
      </c>
      <c r="K9" s="57" t="s">
        <v>63</v>
      </c>
      <c r="L9" s="58" t="s">
        <v>338</v>
      </c>
      <c r="M9" s="18" t="str">
        <f>IF(Fuel_Veh[[#This Row],[Month]]&lt;&gt;"",VLOOKUP(Fuel_Veh[[#This Row],[Month]], dropdown!$S$4:$T$15, 2, FALSE),"")</f>
        <v>Q1</v>
      </c>
      <c r="N9" s="29">
        <v>27.93</v>
      </c>
      <c r="O9" s="17" t="str">
        <f>IF($K9="","",VLOOKUP($K9,dropdown!$P$14:$Q$18,2,FALSE))</f>
        <v>Liters</v>
      </c>
      <c r="P9" s="29">
        <v>323</v>
      </c>
      <c r="Q9" s="17" t="str">
        <f t="shared" si="0"/>
        <v>Kilometers</v>
      </c>
      <c r="R9" s="195" t="s">
        <v>1508</v>
      </c>
    </row>
    <row r="10" spans="2:18" x14ac:dyDescent="0.2">
      <c r="B10" s="13" t="s">
        <v>35</v>
      </c>
      <c r="C10" s="13" t="s">
        <v>51</v>
      </c>
      <c r="D10" s="40" t="s">
        <v>45</v>
      </c>
      <c r="E10" s="40" t="s">
        <v>149</v>
      </c>
      <c r="F10" s="40" t="s">
        <v>150</v>
      </c>
      <c r="G10" s="40" t="s">
        <v>151</v>
      </c>
      <c r="I10" s="194">
        <f>IF($J10="","",$I9+1)</f>
        <v>4</v>
      </c>
      <c r="J10" s="57" t="s">
        <v>343</v>
      </c>
      <c r="K10" s="57" t="s">
        <v>63</v>
      </c>
      <c r="L10" s="58" t="s">
        <v>89</v>
      </c>
      <c r="M10" s="18" t="str">
        <f>IF(Fuel_Veh[[#This Row],[Month]]&lt;&gt;"",VLOOKUP(Fuel_Veh[[#This Row],[Month]], dropdown!$S$4:$T$15, 2, FALSE),"")</f>
        <v>Q1</v>
      </c>
      <c r="N10" s="29">
        <v>563.99</v>
      </c>
      <c r="O10" s="17" t="str">
        <f>IF($K10="","",VLOOKUP($K10,dropdown!$P$14:$Q$18,2,FALSE))</f>
        <v>Liters</v>
      </c>
      <c r="P10" s="29">
        <v>1750.6</v>
      </c>
      <c r="Q10" s="17" t="str">
        <f t="shared" si="0"/>
        <v>Kilometers</v>
      </c>
      <c r="R10" s="195"/>
    </row>
    <row r="11" spans="2:18" x14ac:dyDescent="0.2">
      <c r="B11" s="17" t="str">
        <f>dropdown!$P15</f>
        <v>Diesel - Transport vehicles</v>
      </c>
      <c r="C11" s="17" t="str">
        <f>dropdown!$Q15</f>
        <v>Liters</v>
      </c>
      <c r="D11" s="41">
        <f>SUMIFS(Fuel_Veh[Consumption],Fuel_Veh[Quarter],D$10,Fuel_Veh[Fuel Type],$B$11)</f>
        <v>3242.11</v>
      </c>
      <c r="E11" s="41">
        <f>SUMIFS(Fuel_Veh[Consumption],Fuel_Veh[Quarter],E$10,Fuel_Veh[Fuel Type],$B$11)</f>
        <v>1897.27</v>
      </c>
      <c r="F11" s="41">
        <f>SUMIFS(Fuel_Veh[Consumption],Fuel_Veh[Quarter],F$10,Fuel_Veh[Fuel Type],$B$11)</f>
        <v>2235.1799999999998</v>
      </c>
      <c r="G11" s="41">
        <f>SUMIFS(Fuel_Veh[Consumption],Fuel_Veh[Quarter],G$10,Fuel_Veh[Fuel Type],$B$11)</f>
        <v>1452.1</v>
      </c>
      <c r="I11" s="194">
        <f>IF($J11="","",$I10+1)</f>
        <v>5</v>
      </c>
      <c r="J11" s="57" t="s">
        <v>365</v>
      </c>
      <c r="K11" s="57" t="s">
        <v>63</v>
      </c>
      <c r="L11" s="58" t="s">
        <v>89</v>
      </c>
      <c r="M11" s="18" t="str">
        <f>IF(Fuel_Veh[[#This Row],[Month]]&lt;&gt;"",VLOOKUP(Fuel_Veh[[#This Row],[Month]], dropdown!$S$4:$T$15, 2, FALSE),"")</f>
        <v>Q1</v>
      </c>
      <c r="N11" s="29">
        <v>75.45</v>
      </c>
      <c r="O11" s="17" t="str">
        <f>IF($K11="","",VLOOKUP($K11,dropdown!$P$14:$Q$18,2,FALSE))</f>
        <v>Liters</v>
      </c>
      <c r="P11" s="29">
        <v>808</v>
      </c>
      <c r="Q11" s="17" t="str">
        <f t="shared" si="0"/>
        <v>Kilometers</v>
      </c>
      <c r="R11" s="195" t="s">
        <v>1507</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89</v>
      </c>
      <c r="M12" s="18" t="str">
        <f>IF(Fuel_Veh[[#This Row],[Month]]&lt;&gt;"",VLOOKUP(Fuel_Veh[[#This Row],[Month]], dropdown!$S$4:$T$15, 2, FALSE),"")</f>
        <v>Q1</v>
      </c>
      <c r="N12" s="29">
        <v>80.39</v>
      </c>
      <c r="O12" s="17" t="str">
        <f>IF($K12="","",VLOOKUP($K12,dropdown!$P$14:$Q$18,2,FALSE))</f>
        <v>Liters</v>
      </c>
      <c r="P12" s="29">
        <v>628</v>
      </c>
      <c r="Q12" s="17" t="str">
        <f t="shared" si="0"/>
        <v>Kilometers</v>
      </c>
      <c r="R12" s="195" t="s">
        <v>1508</v>
      </c>
    </row>
    <row r="13" spans="2:18" ht="14" customHeight="1" x14ac:dyDescent="0.2">
      <c r="I13" s="194">
        <f t="shared" si="1"/>
        <v>7</v>
      </c>
      <c r="J13" s="57" t="s">
        <v>343</v>
      </c>
      <c r="K13" s="57" t="s">
        <v>63</v>
      </c>
      <c r="L13" s="58" t="s">
        <v>362</v>
      </c>
      <c r="M13" s="18" t="str">
        <f>IF(Fuel_Veh[[#This Row],[Month]]&lt;&gt;"",VLOOKUP(Fuel_Veh[[#This Row],[Month]], dropdown!$S$4:$T$15, 2, FALSE),"")</f>
        <v>Q1</v>
      </c>
      <c r="N13" s="29">
        <v>279.48</v>
      </c>
      <c r="O13" s="17" t="str">
        <f>IF($K13="","",VLOOKUP($K13,dropdown!$P$14:$Q$18,2,FALSE))</f>
        <v>Liters</v>
      </c>
      <c r="P13" s="29">
        <v>1054.7</v>
      </c>
      <c r="Q13" s="17" t="str">
        <f t="shared" si="0"/>
        <v>Kilometers</v>
      </c>
      <c r="R13" s="195"/>
    </row>
    <row r="14" spans="2:18" x14ac:dyDescent="0.2">
      <c r="B14" s="267" t="s">
        <v>38</v>
      </c>
      <c r="I14" s="194">
        <f t="shared" si="1"/>
        <v>8</v>
      </c>
      <c r="J14" s="57" t="s">
        <v>365</v>
      </c>
      <c r="K14" s="57" t="s">
        <v>63</v>
      </c>
      <c r="L14" s="58" t="s">
        <v>362</v>
      </c>
      <c r="M14" s="18" t="str">
        <f>IF(Fuel_Veh[[#This Row],[Month]]&lt;&gt;"",VLOOKUP(Fuel_Veh[[#This Row],[Month]], dropdown!$S$4:$T$15, 2, FALSE),"")</f>
        <v>Q1</v>
      </c>
      <c r="N14" s="29">
        <v>118.01</v>
      </c>
      <c r="O14" s="17" t="str">
        <f>IF($K14="","",VLOOKUP($K14,dropdown!$P$14:$Q$18,2,FALSE))</f>
        <v>Liters</v>
      </c>
      <c r="P14" s="29">
        <v>1395</v>
      </c>
      <c r="Q14" s="17" t="str">
        <f t="shared" si="0"/>
        <v>Kilometers</v>
      </c>
      <c r="R14" s="195" t="s">
        <v>1507</v>
      </c>
    </row>
    <row r="15" spans="2:18" x14ac:dyDescent="0.2">
      <c r="B15" s="268" t="s">
        <v>175</v>
      </c>
      <c r="I15" s="194">
        <f t="shared" si="1"/>
        <v>9</v>
      </c>
      <c r="J15" s="57" t="s">
        <v>381</v>
      </c>
      <c r="K15" s="57" t="s">
        <v>63</v>
      </c>
      <c r="L15" s="58" t="s">
        <v>362</v>
      </c>
      <c r="M15" s="18" t="str">
        <f>IF(Fuel_Veh[[#This Row],[Month]]&lt;&gt;"",VLOOKUP(Fuel_Veh[[#This Row],[Month]], dropdown!$S$4:$T$15, 2, FALSE),"")</f>
        <v>Q1</v>
      </c>
      <c r="N15" s="29">
        <v>80.77</v>
      </c>
      <c r="O15" s="17" t="str">
        <f>IF($K15="","",VLOOKUP($K15,dropdown!$P$14:$Q$18,2,FALSE))</f>
        <v>Liters</v>
      </c>
      <c r="P15" s="29">
        <v>846</v>
      </c>
      <c r="Q15" s="17" t="str">
        <f t="shared" si="0"/>
        <v>Kilometers</v>
      </c>
      <c r="R15" s="195" t="s">
        <v>1508</v>
      </c>
    </row>
    <row r="16" spans="2:18" x14ac:dyDescent="0.2">
      <c r="B16" s="266" t="s">
        <v>176</v>
      </c>
      <c r="I16" s="194">
        <f t="shared" si="1"/>
        <v>10</v>
      </c>
      <c r="J16" s="57" t="s">
        <v>343</v>
      </c>
      <c r="K16" s="57" t="s">
        <v>63</v>
      </c>
      <c r="L16" s="58" t="s">
        <v>371</v>
      </c>
      <c r="M16" s="18" t="str">
        <f>IF(Fuel_Veh[[#This Row],[Month]]&lt;&gt;"",VLOOKUP(Fuel_Veh[[#This Row],[Month]], dropdown!$S$4:$T$15, 2, FALSE),"")</f>
        <v>Q2</v>
      </c>
      <c r="N16" s="29">
        <v>151.22</v>
      </c>
      <c r="O16" s="17" t="str">
        <f>IF($K16="","",VLOOKUP($K16,dropdown!$P$14:$Q$18,2,FALSE))</f>
        <v>Liters</v>
      </c>
      <c r="P16" s="29">
        <v>426.1</v>
      </c>
      <c r="Q16" s="17" t="str">
        <f t="shared" si="0"/>
        <v>Kilometers</v>
      </c>
      <c r="R16" s="195"/>
    </row>
    <row r="17" spans="2:18" x14ac:dyDescent="0.2">
      <c r="B17" s="17" t="s">
        <v>177</v>
      </c>
      <c r="I17" s="194">
        <f t="shared" si="1"/>
        <v>11</v>
      </c>
      <c r="J17" s="57" t="s">
        <v>365</v>
      </c>
      <c r="K17" s="57" t="s">
        <v>63</v>
      </c>
      <c r="L17" s="58" t="s">
        <v>371</v>
      </c>
      <c r="M17" s="18" t="str">
        <f>IF(Fuel_Veh[[#This Row],[Month]]&lt;&gt;"",VLOOKUP(Fuel_Veh[[#This Row],[Month]], dropdown!$S$4:$T$15, 2, FALSE),"")</f>
        <v>Q2</v>
      </c>
      <c r="N17" s="29">
        <v>174.1</v>
      </c>
      <c r="O17" s="17" t="str">
        <f>IF($K17="","",VLOOKUP($K17,dropdown!$P$14:$Q$18,2,FALSE))</f>
        <v>Liters</v>
      </c>
      <c r="P17" s="29">
        <v>1959</v>
      </c>
      <c r="Q17" s="17" t="str">
        <f t="shared" si="0"/>
        <v>Kilometers</v>
      </c>
      <c r="R17" s="195" t="s">
        <v>1507</v>
      </c>
    </row>
    <row r="18" spans="2:18" x14ac:dyDescent="0.2">
      <c r="I18" s="194">
        <f t="shared" si="1"/>
        <v>12</v>
      </c>
      <c r="J18" s="57" t="s">
        <v>381</v>
      </c>
      <c r="K18" s="57" t="s">
        <v>63</v>
      </c>
      <c r="L18" s="58" t="s">
        <v>371</v>
      </c>
      <c r="M18" s="18" t="str">
        <f>IF(Fuel_Veh[[#This Row],[Month]]&lt;&gt;"",VLOOKUP(Fuel_Veh[[#This Row],[Month]], dropdown!$S$4:$T$15, 2, FALSE),"")</f>
        <v>Q2</v>
      </c>
      <c r="N18" s="29">
        <v>142.49</v>
      </c>
      <c r="O18" s="17" t="str">
        <f>IF($K18="","",VLOOKUP($K18,dropdown!$P$14:$Q$18,2,FALSE))</f>
        <v>Liters</v>
      </c>
      <c r="P18" s="29">
        <v>1390</v>
      </c>
      <c r="Q18" s="17" t="str">
        <f t="shared" si="0"/>
        <v>Kilometers</v>
      </c>
      <c r="R18" s="195" t="s">
        <v>1508</v>
      </c>
    </row>
    <row r="19" spans="2:18" x14ac:dyDescent="0.2">
      <c r="I19" s="194">
        <f t="shared" si="1"/>
        <v>13</v>
      </c>
      <c r="J19" s="57" t="s">
        <v>343</v>
      </c>
      <c r="K19" s="57" t="s">
        <v>63</v>
      </c>
      <c r="L19" s="58" t="s">
        <v>379</v>
      </c>
      <c r="M19" s="18" t="str">
        <f>IF(Fuel_Veh[[#This Row],[Month]]&lt;&gt;"",VLOOKUP(Fuel_Veh[[#This Row],[Month]], dropdown!$S$4:$T$15, 2, FALSE),"")</f>
        <v>Q2</v>
      </c>
      <c r="N19" s="29">
        <v>369.08</v>
      </c>
      <c r="O19" s="17" t="str">
        <f>IF($K19="","",VLOOKUP($K19,dropdown!$P$14:$Q$18,2,FALSE))</f>
        <v>Liters</v>
      </c>
      <c r="P19" s="29">
        <v>1051.0999999999999</v>
      </c>
      <c r="Q19" s="17" t="str">
        <f t="shared" si="0"/>
        <v>Kilometers</v>
      </c>
      <c r="R19" s="195"/>
    </row>
    <row r="20" spans="2:18" x14ac:dyDescent="0.2">
      <c r="I20" s="194">
        <f t="shared" si="1"/>
        <v>14</v>
      </c>
      <c r="J20" s="57" t="s">
        <v>365</v>
      </c>
      <c r="K20" s="57" t="s">
        <v>63</v>
      </c>
      <c r="L20" s="58" t="s">
        <v>379</v>
      </c>
      <c r="M20" s="18" t="str">
        <f>IF(Fuel_Veh[[#This Row],[Month]]&lt;&gt;"",VLOOKUP(Fuel_Veh[[#This Row],[Month]], dropdown!$S$4:$T$15, 2, FALSE),"")</f>
        <v>Q2</v>
      </c>
      <c r="N20" s="29">
        <v>65.95</v>
      </c>
      <c r="O20" s="17" t="str">
        <f>IF($K20="","",VLOOKUP($K20,dropdown!$P$14:$Q$18,2,FALSE))</f>
        <v>Liters</v>
      </c>
      <c r="P20" s="29">
        <v>839</v>
      </c>
      <c r="Q20" s="17" t="str">
        <f t="shared" si="0"/>
        <v>Kilometers</v>
      </c>
      <c r="R20" s="195" t="s">
        <v>1507</v>
      </c>
    </row>
    <row r="21" spans="2:18" x14ac:dyDescent="0.2">
      <c r="I21" s="194">
        <f t="shared" si="1"/>
        <v>15</v>
      </c>
      <c r="J21" s="57" t="s">
        <v>381</v>
      </c>
      <c r="K21" s="57" t="s">
        <v>63</v>
      </c>
      <c r="L21" s="58" t="s">
        <v>379</v>
      </c>
      <c r="M21" s="18" t="str">
        <f>IF(Fuel_Veh[[#This Row],[Month]]&lt;&gt;"",VLOOKUP(Fuel_Veh[[#This Row],[Month]], dropdown!$S$4:$T$15, 2, FALSE),"")</f>
        <v>Q2</v>
      </c>
      <c r="N21" s="29">
        <v>68.48</v>
      </c>
      <c r="O21" s="17" t="str">
        <f>IF($K21="","",VLOOKUP($K21,dropdown!$P$14:$Q$18,2,FALSE))</f>
        <v>Liters</v>
      </c>
      <c r="P21" s="29">
        <v>713</v>
      </c>
      <c r="Q21" s="17" t="str">
        <f t="shared" si="0"/>
        <v>Kilometers</v>
      </c>
      <c r="R21" s="195" t="s">
        <v>1508</v>
      </c>
    </row>
    <row r="22" spans="2:18" x14ac:dyDescent="0.2">
      <c r="I22" s="194">
        <f t="shared" si="1"/>
        <v>16</v>
      </c>
      <c r="J22" s="57" t="s">
        <v>343</v>
      </c>
      <c r="K22" s="57" t="s">
        <v>63</v>
      </c>
      <c r="L22" s="58" t="s">
        <v>386</v>
      </c>
      <c r="M22" s="18" t="str">
        <f>IF(Fuel_Veh[[#This Row],[Month]]&lt;&gt;"",VLOOKUP(Fuel_Veh[[#This Row],[Month]], dropdown!$S$4:$T$15, 2, FALSE),"")</f>
        <v>Q2</v>
      </c>
      <c r="N22" s="29">
        <v>704.12</v>
      </c>
      <c r="O22" s="17" t="str">
        <f>IF($K22="","",VLOOKUP($K22,dropdown!$P$14:$Q$18,2,FALSE))</f>
        <v>Liters</v>
      </c>
      <c r="P22" s="29">
        <v>2419.3000000000002</v>
      </c>
      <c r="Q22" s="17" t="str">
        <f t="shared" si="0"/>
        <v>Kilometers</v>
      </c>
      <c r="R22" s="195"/>
    </row>
    <row r="23" spans="2:18" x14ac:dyDescent="0.2">
      <c r="I23" s="194">
        <f t="shared" si="1"/>
        <v>17</v>
      </c>
      <c r="J23" s="57" t="s">
        <v>365</v>
      </c>
      <c r="K23" s="57" t="s">
        <v>63</v>
      </c>
      <c r="L23" s="58" t="s">
        <v>386</v>
      </c>
      <c r="M23" s="18" t="str">
        <f>IF(Fuel_Veh[[#This Row],[Month]]&lt;&gt;"",VLOOKUP(Fuel_Veh[[#This Row],[Month]], dropdown!$S$4:$T$15, 2, FALSE),"")</f>
        <v>Q2</v>
      </c>
      <c r="N23" s="29">
        <v>69.52</v>
      </c>
      <c r="O23" s="17" t="str">
        <f>IF($K23="","",VLOOKUP($K23,dropdown!$P$14:$Q$18,2,FALSE))</f>
        <v>Liters</v>
      </c>
      <c r="P23" s="29">
        <v>638</v>
      </c>
      <c r="Q23" s="17" t="str">
        <f t="shared" si="0"/>
        <v>Kilometers</v>
      </c>
      <c r="R23" s="195" t="s">
        <v>1507</v>
      </c>
    </row>
    <row r="24" spans="2:18" x14ac:dyDescent="0.2">
      <c r="I24" s="194">
        <f t="shared" si="1"/>
        <v>18</v>
      </c>
      <c r="J24" s="57" t="s">
        <v>381</v>
      </c>
      <c r="K24" s="57" t="s">
        <v>63</v>
      </c>
      <c r="L24" s="58" t="s">
        <v>386</v>
      </c>
      <c r="M24" s="18" t="str">
        <f>IF(Fuel_Veh[[#This Row],[Month]]&lt;&gt;"",VLOOKUP(Fuel_Veh[[#This Row],[Month]], dropdown!$S$4:$T$15, 2, FALSE),"")</f>
        <v>Q2</v>
      </c>
      <c r="N24" s="29">
        <v>152.31</v>
      </c>
      <c r="O24" s="17" t="str">
        <f>IF($K24="","",VLOOKUP($K24,dropdown!$P$14:$Q$18,2,FALSE))</f>
        <v>Liters</v>
      </c>
      <c r="P24" s="29">
        <v>1749</v>
      </c>
      <c r="Q24" s="17" t="str">
        <f t="shared" si="0"/>
        <v>Kilometers</v>
      </c>
      <c r="R24" s="195" t="s">
        <v>1508</v>
      </c>
    </row>
    <row r="25" spans="2:18" x14ac:dyDescent="0.2">
      <c r="I25" s="194">
        <f t="shared" si="1"/>
        <v>19</v>
      </c>
      <c r="J25" s="57" t="s">
        <v>343</v>
      </c>
      <c r="K25" s="57" t="s">
        <v>63</v>
      </c>
      <c r="L25" s="58" t="s">
        <v>390</v>
      </c>
      <c r="M25" s="18" t="str">
        <f>IF(Fuel_Veh[[#This Row],[Month]]&lt;&gt;"",VLOOKUP(Fuel_Veh[[#This Row],[Month]], dropdown!$S$4:$T$15, 2, FALSE),"")</f>
        <v>Q3</v>
      </c>
      <c r="N25" s="29">
        <v>528.13</v>
      </c>
      <c r="O25" s="17" t="str">
        <f>IF($K25="","",VLOOKUP($K25,dropdown!$P$14:$Q$18,2,FALSE))</f>
        <v>Liters</v>
      </c>
      <c r="P25" s="29">
        <v>1736</v>
      </c>
      <c r="Q25" s="17" t="str">
        <f t="shared" si="0"/>
        <v>Kilometers</v>
      </c>
      <c r="R25" s="195"/>
    </row>
    <row r="26" spans="2:18" x14ac:dyDescent="0.2">
      <c r="I26" s="194">
        <f t="shared" si="1"/>
        <v>20</v>
      </c>
      <c r="J26" s="57" t="s">
        <v>365</v>
      </c>
      <c r="K26" s="57" t="s">
        <v>63</v>
      </c>
      <c r="L26" s="196" t="s">
        <v>390</v>
      </c>
      <c r="M26" s="18" t="str">
        <f>IF(Fuel_Veh[[#This Row],[Month]]&lt;&gt;"",VLOOKUP(Fuel_Veh[[#This Row],[Month]], dropdown!$S$4:$T$15, 2, FALSE),"")</f>
        <v>Q3</v>
      </c>
      <c r="N26" s="197">
        <v>233.7</v>
      </c>
      <c r="O26" s="198" t="str">
        <f>IF($K26="","",VLOOKUP($K26,dropdown!$P$14:$Q$18,2,FALSE))</f>
        <v>Liters</v>
      </c>
      <c r="P26" s="197">
        <v>1820</v>
      </c>
      <c r="Q26" s="17" t="str">
        <f t="shared" si="0"/>
        <v>Kilometers</v>
      </c>
      <c r="R26" s="199" t="s">
        <v>1507</v>
      </c>
    </row>
    <row r="27" spans="2:18" x14ac:dyDescent="0.2">
      <c r="I27" s="194">
        <f t="shared" si="1"/>
        <v>21</v>
      </c>
      <c r="J27" s="57" t="s">
        <v>381</v>
      </c>
      <c r="K27" s="57" t="s">
        <v>63</v>
      </c>
      <c r="L27" s="58" t="s">
        <v>390</v>
      </c>
      <c r="M27" s="18" t="str">
        <f>IF(Fuel_Veh[[#This Row],[Month]]&lt;&gt;"",VLOOKUP(Fuel_Veh[[#This Row],[Month]], dropdown!$S$4:$T$15, 2, FALSE),"")</f>
        <v>Q3</v>
      </c>
      <c r="N27" s="29">
        <v>28.56</v>
      </c>
      <c r="O27" s="17" t="str">
        <f>IF($K27="","",VLOOKUP($K27,dropdown!$P$14:$Q$18,2,FALSE))</f>
        <v>Liters</v>
      </c>
      <c r="P27" s="29">
        <v>356</v>
      </c>
      <c r="Q27" s="17" t="str">
        <f t="shared" si="0"/>
        <v>Kilometers</v>
      </c>
      <c r="R27" s="195" t="s">
        <v>1508</v>
      </c>
    </row>
    <row r="28" spans="2:18" x14ac:dyDescent="0.2">
      <c r="I28" s="194">
        <f t="shared" si="1"/>
        <v>22</v>
      </c>
      <c r="J28" s="57" t="s">
        <v>343</v>
      </c>
      <c r="K28" s="57" t="s">
        <v>63</v>
      </c>
      <c r="L28" s="58" t="s">
        <v>41</v>
      </c>
      <c r="M28" s="18" t="str">
        <f>IF(Fuel_Veh[[#This Row],[Month]]&lt;&gt;"",VLOOKUP(Fuel_Veh[[#This Row],[Month]], dropdown!$S$4:$T$15, 2, FALSE),"")</f>
        <v>Q3</v>
      </c>
      <c r="N28" s="29">
        <v>602.16</v>
      </c>
      <c r="O28" s="17" t="str">
        <f>IF($K28="","",VLOOKUP($K28,dropdown!$P$14:$Q$18,2,FALSE))</f>
        <v>Liters</v>
      </c>
      <c r="P28" s="29">
        <v>1990.1</v>
      </c>
      <c r="Q28" s="17" t="str">
        <f t="shared" si="0"/>
        <v>Kilometers</v>
      </c>
      <c r="R28" s="195"/>
    </row>
    <row r="29" spans="2:18" x14ac:dyDescent="0.2">
      <c r="I29" s="194">
        <f t="shared" si="1"/>
        <v>23</v>
      </c>
      <c r="J29" s="57" t="s">
        <v>365</v>
      </c>
      <c r="K29" s="57" t="s">
        <v>63</v>
      </c>
      <c r="L29" s="58" t="s">
        <v>41</v>
      </c>
      <c r="M29" s="18" t="str">
        <f>IF(Fuel_Veh[[#This Row],[Month]]&lt;&gt;"",VLOOKUP(Fuel_Veh[[#This Row],[Month]], dropdown!$S$4:$T$15, 2, FALSE),"")</f>
        <v>Q3</v>
      </c>
      <c r="N29" s="29">
        <v>83.99</v>
      </c>
      <c r="O29" s="17" t="str">
        <f>IF($K29="","",VLOOKUP($K29,dropdown!$P$14:$Q$18,2,FALSE))</f>
        <v>Liters</v>
      </c>
      <c r="P29" s="29">
        <v>948</v>
      </c>
      <c r="Q29" s="17" t="str">
        <f t="shared" si="0"/>
        <v>Kilometers</v>
      </c>
      <c r="R29" s="195" t="s">
        <v>1507</v>
      </c>
    </row>
    <row r="30" spans="2:18" x14ac:dyDescent="0.2">
      <c r="I30" s="194">
        <f t="shared" si="1"/>
        <v>24</v>
      </c>
      <c r="J30" s="57" t="s">
        <v>381</v>
      </c>
      <c r="K30" s="345" t="s">
        <v>63</v>
      </c>
      <c r="L30" s="196" t="s">
        <v>41</v>
      </c>
      <c r="M30" s="18" t="str">
        <f>IF(Fuel_Veh[[#This Row],[Month]]&lt;&gt;"",VLOOKUP(Fuel_Veh[[#This Row],[Month]], dropdown!$S$4:$T$15, 2, FALSE),"")</f>
        <v>Q3</v>
      </c>
      <c r="N30" s="197">
        <v>140.37</v>
      </c>
      <c r="O30" s="198" t="str">
        <f>IF($K30="","",VLOOKUP($K30,dropdown!$P$14:$Q$18,2,FALSE))</f>
        <v>Liters</v>
      </c>
      <c r="P30" s="197">
        <v>1616</v>
      </c>
      <c r="Q30" s="17" t="str">
        <f t="shared" si="0"/>
        <v>Kilometers</v>
      </c>
      <c r="R30" s="199" t="s">
        <v>1508</v>
      </c>
    </row>
    <row r="31" spans="2:18" x14ac:dyDescent="0.2">
      <c r="I31" s="194">
        <f t="shared" si="1"/>
        <v>25</v>
      </c>
      <c r="J31" s="57" t="s">
        <v>343</v>
      </c>
      <c r="K31" s="57" t="s">
        <v>63</v>
      </c>
      <c r="L31" s="58" t="s">
        <v>397</v>
      </c>
      <c r="M31" s="18" t="str">
        <f>IF(Fuel_Veh[[#This Row],[Month]]&lt;&gt;"",VLOOKUP(Fuel_Veh[[#This Row],[Month]], dropdown!$S$4:$T$15, 2, FALSE),"")</f>
        <v>Q3</v>
      </c>
      <c r="N31" s="29">
        <v>488.43</v>
      </c>
      <c r="O31" s="17" t="str">
        <f>IF($K31="","",VLOOKUP($K31,dropdown!$P$14:$Q$18,2,FALSE))</f>
        <v>Liters</v>
      </c>
      <c r="P31" s="29">
        <v>1701.3</v>
      </c>
      <c r="Q31" s="17" t="str">
        <f t="shared" si="0"/>
        <v>Kilometers</v>
      </c>
      <c r="R31" s="199"/>
    </row>
    <row r="32" spans="2:18" x14ac:dyDescent="0.2">
      <c r="I32" s="194">
        <f t="shared" si="1"/>
        <v>26</v>
      </c>
      <c r="J32" s="57" t="s">
        <v>365</v>
      </c>
      <c r="K32" s="57" t="s">
        <v>63</v>
      </c>
      <c r="L32" s="58" t="s">
        <v>397</v>
      </c>
      <c r="M32" s="18" t="str">
        <f>IF(Fuel_Veh[[#This Row],[Month]]&lt;&gt;"",VLOOKUP(Fuel_Veh[[#This Row],[Month]], dropdown!$S$4:$T$15, 2, FALSE),"")</f>
        <v>Q3</v>
      </c>
      <c r="N32" s="29">
        <v>60.13</v>
      </c>
      <c r="O32" s="17" t="str">
        <f>IF($K32="","",VLOOKUP($K32,dropdown!$P$14:$Q$18,2,FALSE))</f>
        <v>Liters</v>
      </c>
      <c r="P32" s="29">
        <v>813</v>
      </c>
      <c r="Q32" s="17" t="str">
        <f t="shared" si="0"/>
        <v>Kilometers</v>
      </c>
      <c r="R32" s="199" t="s">
        <v>1507</v>
      </c>
    </row>
    <row r="33" spans="9:18" x14ac:dyDescent="0.2">
      <c r="I33" s="194">
        <f t="shared" si="1"/>
        <v>27</v>
      </c>
      <c r="J33" s="57" t="s">
        <v>381</v>
      </c>
      <c r="K33" s="57" t="s">
        <v>63</v>
      </c>
      <c r="L33" s="58" t="s">
        <v>397</v>
      </c>
      <c r="M33" s="18" t="str">
        <f>IF(Fuel_Veh[[#This Row],[Month]]&lt;&gt;"",VLOOKUP(Fuel_Veh[[#This Row],[Month]], dropdown!$S$4:$T$15, 2, FALSE),"")</f>
        <v>Q3</v>
      </c>
      <c r="N33" s="29">
        <v>69.709999999999994</v>
      </c>
      <c r="O33" s="17" t="str">
        <f>IF($K33="","",VLOOKUP($K33,dropdown!$P$14:$Q$18,2,FALSE))</f>
        <v>Liters</v>
      </c>
      <c r="P33" s="29">
        <v>707</v>
      </c>
      <c r="Q33" s="17" t="str">
        <f t="shared" si="0"/>
        <v>Kilometers</v>
      </c>
      <c r="R33" s="199" t="s">
        <v>1508</v>
      </c>
    </row>
    <row r="34" spans="9:18" x14ac:dyDescent="0.2">
      <c r="I34" s="194">
        <f t="shared" si="1"/>
        <v>28</v>
      </c>
      <c r="J34" s="57" t="s">
        <v>343</v>
      </c>
      <c r="K34" s="57" t="s">
        <v>63</v>
      </c>
      <c r="L34" s="58" t="s">
        <v>400</v>
      </c>
      <c r="M34" s="18" t="str">
        <f>IF(Fuel_Veh[[#This Row],[Month]]&lt;&gt;"",VLOOKUP(Fuel_Veh[[#This Row],[Month]], dropdown!$S$4:$T$15, 2, FALSE),"")</f>
        <v>Q4</v>
      </c>
      <c r="N34" s="29">
        <v>686</v>
      </c>
      <c r="O34" s="17" t="str">
        <f>IF($K34="","",VLOOKUP($K34,dropdown!$P$14:$Q$18,2,FALSE))</f>
        <v>Liters</v>
      </c>
      <c r="P34" s="29">
        <v>2592.9</v>
      </c>
      <c r="Q34" s="17" t="str">
        <f t="shared" si="0"/>
        <v>Kilometers</v>
      </c>
      <c r="R34" s="199"/>
    </row>
    <row r="35" spans="9:18" x14ac:dyDescent="0.2">
      <c r="I35" s="194">
        <f t="shared" si="1"/>
        <v>29</v>
      </c>
      <c r="J35" s="57" t="s">
        <v>365</v>
      </c>
      <c r="K35" s="57" t="s">
        <v>63</v>
      </c>
      <c r="L35" s="58" t="s">
        <v>400</v>
      </c>
      <c r="M35" s="18" t="str">
        <f>IF(Fuel_Veh[[#This Row],[Month]]&lt;&gt;"",VLOOKUP(Fuel_Veh[[#This Row],[Month]], dropdown!$S$4:$T$15, 2, FALSE),"")</f>
        <v>Q4</v>
      </c>
      <c r="N35" s="29">
        <v>102.22</v>
      </c>
      <c r="O35" s="17" t="str">
        <f>IF($K35="","",VLOOKUP($K35,dropdown!$P$14:$Q$18,2,FALSE))</f>
        <v>Liters</v>
      </c>
      <c r="P35" s="29">
        <v>890</v>
      </c>
      <c r="Q35" s="17" t="str">
        <f t="shared" si="0"/>
        <v>Kilometers</v>
      </c>
      <c r="R35" s="199" t="s">
        <v>1507</v>
      </c>
    </row>
    <row r="36" spans="9:18" x14ac:dyDescent="0.2">
      <c r="I36" s="194">
        <f t="shared" si="1"/>
        <v>30</v>
      </c>
      <c r="J36" s="57" t="s">
        <v>381</v>
      </c>
      <c r="K36" s="57" t="s">
        <v>63</v>
      </c>
      <c r="L36" s="58" t="s">
        <v>400</v>
      </c>
      <c r="M36" s="18" t="str">
        <f>IF(Fuel_Veh[[#This Row],[Month]]&lt;&gt;"",VLOOKUP(Fuel_Veh[[#This Row],[Month]], dropdown!$S$4:$T$15, 2, FALSE),"")</f>
        <v>Q4</v>
      </c>
      <c r="N36" s="29">
        <v>128.06</v>
      </c>
      <c r="O36" s="17" t="str">
        <f>IF($K36="","",VLOOKUP($K36,dropdown!$P$14:$Q$18,2,FALSE))</f>
        <v>Liters</v>
      </c>
      <c r="P36" s="29">
        <v>1021</v>
      </c>
      <c r="Q36" s="17" t="str">
        <f t="shared" si="0"/>
        <v>Kilometers</v>
      </c>
      <c r="R36" s="199" t="s">
        <v>1508</v>
      </c>
    </row>
    <row r="37" spans="9:18" x14ac:dyDescent="0.2">
      <c r="I37" s="194">
        <f t="shared" si="1"/>
        <v>31</v>
      </c>
      <c r="J37" s="57" t="s">
        <v>343</v>
      </c>
      <c r="K37" s="57" t="s">
        <v>63</v>
      </c>
      <c r="L37" s="58" t="s">
        <v>404</v>
      </c>
      <c r="M37" s="18" t="str">
        <f>IF(Fuel_Veh[[#This Row],[Month]]&lt;&gt;"",VLOOKUP(Fuel_Veh[[#This Row],[Month]], dropdown!$S$4:$T$15, 2, FALSE),"")</f>
        <v>Q4</v>
      </c>
      <c r="N37" s="29">
        <v>40.9</v>
      </c>
      <c r="O37" s="17" t="str">
        <f>IF($K37="","",VLOOKUP($K37,dropdown!$P$14:$Q$18,2,FALSE))</f>
        <v>Liters</v>
      </c>
      <c r="P37" s="29">
        <v>82</v>
      </c>
      <c r="Q37" s="17" t="str">
        <f t="shared" si="0"/>
        <v>Kilometers</v>
      </c>
      <c r="R37" s="199"/>
    </row>
    <row r="38" spans="9:18" x14ac:dyDescent="0.2">
      <c r="I38" s="194">
        <f t="shared" si="1"/>
        <v>32</v>
      </c>
      <c r="J38" s="57" t="s">
        <v>365</v>
      </c>
      <c r="K38" s="57" t="s">
        <v>63</v>
      </c>
      <c r="L38" s="58" t="s">
        <v>404</v>
      </c>
      <c r="M38" s="18" t="str">
        <f>IF(Fuel_Veh[[#This Row],[Month]]&lt;&gt;"",VLOOKUP(Fuel_Veh[[#This Row],[Month]], dropdown!$S$4:$T$15, 2, FALSE),"")</f>
        <v>Q4</v>
      </c>
      <c r="N38" s="29">
        <v>106.92</v>
      </c>
      <c r="O38" s="17" t="str">
        <f>IF($K38="","",VLOOKUP($K38,dropdown!$P$14:$Q$18,2,FALSE))</f>
        <v>Liters</v>
      </c>
      <c r="P38" s="29">
        <v>1208</v>
      </c>
      <c r="Q38" s="17" t="str">
        <f t="shared" si="0"/>
        <v>Kilometers</v>
      </c>
      <c r="R38" s="199" t="s">
        <v>1507</v>
      </c>
    </row>
    <row r="39" spans="9:18" x14ac:dyDescent="0.2">
      <c r="I39" s="194">
        <f t="shared" si="1"/>
        <v>33</v>
      </c>
      <c r="J39" s="57" t="s">
        <v>381</v>
      </c>
      <c r="K39" s="57" t="s">
        <v>63</v>
      </c>
      <c r="L39" s="58" t="s">
        <v>404</v>
      </c>
      <c r="M39" s="18" t="str">
        <f>IF(Fuel_Veh[[#This Row],[Month]]&lt;&gt;"",VLOOKUP(Fuel_Veh[[#This Row],[Month]], dropdown!$S$4:$T$15, 2, FALSE),"")</f>
        <v>Q4</v>
      </c>
      <c r="N39" s="29">
        <v>85.56</v>
      </c>
      <c r="O39" s="17" t="str">
        <f>IF($K39="","",VLOOKUP($K39,dropdown!$P$14:$Q$18,2,FALSE))</f>
        <v>Liters</v>
      </c>
      <c r="P39" s="29">
        <v>838</v>
      </c>
      <c r="Q39" s="17" t="str">
        <f t="shared" si="0"/>
        <v>Kilometers</v>
      </c>
      <c r="R39" s="199" t="s">
        <v>1508</v>
      </c>
    </row>
    <row r="40" spans="9:18" x14ac:dyDescent="0.2">
      <c r="I40" s="194">
        <f t="shared" si="1"/>
        <v>34</v>
      </c>
      <c r="J40" s="57" t="s">
        <v>343</v>
      </c>
      <c r="K40" s="57" t="s">
        <v>63</v>
      </c>
      <c r="L40" s="58" t="s">
        <v>407</v>
      </c>
      <c r="M40" s="18" t="str">
        <f>IF(Fuel_Veh[[#This Row],[Month]]&lt;&gt;"",VLOOKUP(Fuel_Veh[[#This Row],[Month]], dropdown!$S$4:$T$15, 2, FALSE),"")</f>
        <v>Q4</v>
      </c>
      <c r="N40" s="29">
        <v>230.81</v>
      </c>
      <c r="O40" s="17" t="str">
        <f>IF($K40="","",VLOOKUP($K40,dropdown!$P$14:$Q$18,2,FALSE))</f>
        <v>Liters</v>
      </c>
      <c r="P40" s="29">
        <v>772.4</v>
      </c>
      <c r="Q40" s="17" t="str">
        <f t="shared" si="0"/>
        <v>Kilometers</v>
      </c>
      <c r="R40" s="199"/>
    </row>
    <row r="41" spans="9:18" x14ac:dyDescent="0.2">
      <c r="I41" s="194">
        <f t="shared" si="1"/>
        <v>35</v>
      </c>
      <c r="J41" s="57" t="s">
        <v>365</v>
      </c>
      <c r="K41" s="57" t="s">
        <v>63</v>
      </c>
      <c r="L41" s="58" t="s">
        <v>407</v>
      </c>
      <c r="M41" s="18" t="str">
        <f>IF(Fuel_Veh[[#This Row],[Month]]&lt;&gt;"",VLOOKUP(Fuel_Veh[[#This Row],[Month]], dropdown!$S$4:$T$15, 2, FALSE),"")</f>
        <v>Q4</v>
      </c>
      <c r="N41" s="29">
        <v>61.95</v>
      </c>
      <c r="O41" s="17" t="str">
        <f>IF($K41="","",VLOOKUP($K41,dropdown!$P$14:$Q$18,2,FALSE))</f>
        <v>Liters</v>
      </c>
      <c r="P41" s="29">
        <v>689</v>
      </c>
      <c r="Q41" s="17" t="str">
        <f t="shared" si="0"/>
        <v>Kilometers</v>
      </c>
      <c r="R41" s="199" t="s">
        <v>1507</v>
      </c>
    </row>
    <row r="42" spans="9:18" x14ac:dyDescent="0.2">
      <c r="I42" s="194">
        <f t="shared" si="1"/>
        <v>36</v>
      </c>
      <c r="J42" s="57" t="s">
        <v>381</v>
      </c>
      <c r="K42" s="57" t="s">
        <v>63</v>
      </c>
      <c r="L42" s="58" t="s">
        <v>407</v>
      </c>
      <c r="M42" s="18" t="str">
        <f>IF(Fuel_Veh[[#This Row],[Month]]&lt;&gt;"",VLOOKUP(Fuel_Veh[[#This Row],[Month]], dropdown!$S$4:$T$15, 2, FALSE),"")</f>
        <v>Q4</v>
      </c>
      <c r="N42" s="29">
        <v>9.68</v>
      </c>
      <c r="O42" s="17" t="str">
        <f>IF($K42="","",VLOOKUP($K42,dropdown!$P$14:$Q$18,2,FALSE))</f>
        <v>Liters</v>
      </c>
      <c r="P42" s="29">
        <v>88</v>
      </c>
      <c r="Q42" s="17" t="str">
        <f t="shared" si="0"/>
        <v>Kilometers</v>
      </c>
      <c r="R42" s="199" t="s">
        <v>1508</v>
      </c>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A3" zoomScale="94" zoomScaleNormal="120" workbookViewId="0">
      <selection activeCell="K26" sqref="K26"/>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Batac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50" t="s">
        <v>1581</v>
      </c>
      <c r="D6" s="451"/>
      <c r="E6" s="451"/>
      <c r="F6" s="451"/>
      <c r="G6" s="452"/>
      <c r="I6" s="298"/>
      <c r="J6" s="298"/>
      <c r="K6" s="298"/>
      <c r="L6" s="298"/>
      <c r="M6" s="298"/>
      <c r="N6" s="298"/>
      <c r="O6" s="298"/>
      <c r="P6" s="298"/>
      <c r="Q6" s="298"/>
      <c r="R6" s="298"/>
      <c r="S6" s="298"/>
      <c r="T6" s="298"/>
      <c r="U6" s="298"/>
      <c r="V6" s="298"/>
    </row>
    <row r="7" spans="2:31" ht="15" customHeight="1" x14ac:dyDescent="0.2">
      <c r="B7" s="278" t="s">
        <v>174</v>
      </c>
      <c r="C7" s="454" t="s">
        <v>1459</v>
      </c>
      <c r="D7" s="451"/>
      <c r="E7" s="451"/>
      <c r="F7" s="451"/>
      <c r="G7" s="452"/>
      <c r="I7" s="418" t="s">
        <v>154</v>
      </c>
      <c r="J7" s="417"/>
      <c r="K7" s="415"/>
      <c r="L7" s="415"/>
      <c r="M7" s="415"/>
      <c r="N7" s="415"/>
      <c r="O7" s="455" t="s">
        <v>183</v>
      </c>
      <c r="P7" s="455"/>
      <c r="Q7" s="456" t="s">
        <v>184</v>
      </c>
      <c r="R7" s="457"/>
      <c r="S7" s="458" t="s">
        <v>86</v>
      </c>
      <c r="T7" s="459"/>
      <c r="U7" s="459"/>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1575</v>
      </c>
      <c r="K9" s="391" t="s">
        <v>200</v>
      </c>
      <c r="L9" s="392">
        <v>8</v>
      </c>
      <c r="M9" s="393" t="s">
        <v>380</v>
      </c>
      <c r="N9" s="419" t="s">
        <v>352</v>
      </c>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1576</v>
      </c>
      <c r="K10" s="57" t="s">
        <v>200</v>
      </c>
      <c r="L10" s="28">
        <v>14</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2</v>
      </c>
      <c r="G11" s="176">
        <f>SUMIFS($L$9:$L$107,$N$9:$N$107,$B11,$V$9:$V$107,$G$10)</f>
        <v>0</v>
      </c>
      <c r="I11" s="18">
        <f t="shared" si="0"/>
        <v>3</v>
      </c>
      <c r="J11" s="435" t="s">
        <v>1577</v>
      </c>
      <c r="K11" s="57" t="s">
        <v>200</v>
      </c>
      <c r="L11" s="28">
        <v>2</v>
      </c>
      <c r="M11" s="264" t="s">
        <v>380</v>
      </c>
      <c r="N11" s="401" t="s">
        <v>352</v>
      </c>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4</v>
      </c>
      <c r="G12" s="176">
        <f>SUMIFS($L$9:$L$107,$N$9:$N$107,$B12,$V$9:$V$107,$G$10)</f>
        <v>0</v>
      </c>
      <c r="I12" s="18">
        <f t="shared" si="0"/>
        <v>4</v>
      </c>
      <c r="J12" s="435" t="s">
        <v>1578</v>
      </c>
      <c r="K12" s="57" t="s">
        <v>200</v>
      </c>
      <c r="L12" s="28">
        <v>1</v>
      </c>
      <c r="M12" s="264" t="s">
        <v>380</v>
      </c>
      <c r="N12" s="401" t="s">
        <v>352</v>
      </c>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2</v>
      </c>
      <c r="I13" s="18">
        <f t="shared" si="0"/>
        <v>5</v>
      </c>
      <c r="J13" s="435" t="s">
        <v>1579</v>
      </c>
      <c r="K13" s="57" t="s">
        <v>200</v>
      </c>
      <c r="L13" s="28">
        <v>3</v>
      </c>
      <c r="M13" s="264" t="s">
        <v>380</v>
      </c>
      <c r="N13" s="401" t="s">
        <v>352</v>
      </c>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x</v>
      </c>
      <c r="G14" s="177" t="str">
        <f t="shared" si="1"/>
        <v>x</v>
      </c>
      <c r="I14" s="18">
        <f t="shared" si="0"/>
        <v>6</v>
      </c>
      <c r="J14" s="435" t="s">
        <v>1601</v>
      </c>
      <c r="K14" s="57" t="s">
        <v>203</v>
      </c>
      <c r="L14" s="28">
        <v>4</v>
      </c>
      <c r="M14" s="264" t="s">
        <v>339</v>
      </c>
      <c r="N14" s="401" t="s">
        <v>352</v>
      </c>
      <c r="O14" s="397"/>
      <c r="P14" s="445"/>
      <c r="Q14" s="397" t="s">
        <v>41</v>
      </c>
      <c r="R14" s="399">
        <v>2</v>
      </c>
      <c r="S14" s="397"/>
      <c r="T14" s="399"/>
      <c r="U14" s="399"/>
      <c r="V14" s="430" t="str">
        <f>IFERROR(VLOOKUP($O14, dropdown!$S$4:$T$15, 2, FALSE),
 IFERROR(VLOOKUP($Q14, dropdown!$S$4:$T$15, 2, FALSE),
 IFERROR(VLOOKUP($S14, dropdown!$S$4:$T$15, 2, FALSE),
 "")))</f>
        <v>Q3</v>
      </c>
      <c r="W14" s="28" t="s">
        <v>1605</v>
      </c>
      <c r="AB14" s="11"/>
      <c r="AE14" s="11"/>
    </row>
    <row r="15" spans="2:31" ht="17" customHeight="1" x14ac:dyDescent="0.2">
      <c r="B15" s="119" t="s">
        <v>38</v>
      </c>
      <c r="I15" s="18">
        <f t="shared" si="0"/>
        <v>7</v>
      </c>
      <c r="J15" s="435" t="s">
        <v>1601</v>
      </c>
      <c r="K15" s="57" t="s">
        <v>203</v>
      </c>
      <c r="L15" s="28">
        <v>2</v>
      </c>
      <c r="M15" s="264" t="s">
        <v>339</v>
      </c>
      <c r="N15" s="401" t="s">
        <v>352</v>
      </c>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f t="shared" si="0"/>
        <v>8</v>
      </c>
      <c r="J16" s="435" t="s">
        <v>1589</v>
      </c>
      <c r="K16" s="57" t="s">
        <v>200</v>
      </c>
      <c r="L16" s="28">
        <v>2</v>
      </c>
      <c r="M16" s="264" t="s">
        <v>380</v>
      </c>
      <c r="N16" s="401" t="s">
        <v>188</v>
      </c>
      <c r="O16" s="397" t="s">
        <v>41</v>
      </c>
      <c r="P16" s="398" t="s">
        <v>1596</v>
      </c>
      <c r="Q16" s="397"/>
      <c r="R16" s="399"/>
      <c r="S16" s="397"/>
      <c r="T16" s="399"/>
      <c r="U16" s="399"/>
      <c r="V16" s="430" t="str">
        <f>IFERROR(VLOOKUP($O16, dropdown!$S$4:$T$15, 2, FALSE),
 IFERROR(VLOOKUP($Q16, dropdown!$S$4:$T$15, 2, FALSE),
 IFERROR(VLOOKUP($S16, dropdown!$S$4:$T$15, 2, FALSE),
 "")))</f>
        <v>Q3</v>
      </c>
      <c r="W16" s="28"/>
      <c r="AB16" s="11"/>
      <c r="AE16" s="11"/>
    </row>
    <row r="17" spans="2:31" ht="15" customHeight="1" x14ac:dyDescent="0.2">
      <c r="B17" s="121" t="s">
        <v>176</v>
      </c>
      <c r="I17" s="18">
        <f t="shared" si="0"/>
        <v>9</v>
      </c>
      <c r="J17" s="435" t="s">
        <v>1589</v>
      </c>
      <c r="K17" s="57" t="s">
        <v>200</v>
      </c>
      <c r="L17" s="28">
        <v>2</v>
      </c>
      <c r="M17" s="264" t="s">
        <v>380</v>
      </c>
      <c r="N17" s="401" t="s">
        <v>86</v>
      </c>
      <c r="O17" s="397"/>
      <c r="P17" s="398"/>
      <c r="Q17" s="397"/>
      <c r="R17" s="399"/>
      <c r="S17" s="397" t="s">
        <v>400</v>
      </c>
      <c r="T17" s="399">
        <v>1.4</v>
      </c>
      <c r="U17" s="399">
        <v>1.4</v>
      </c>
      <c r="V17" s="430" t="str">
        <f>IFERROR(VLOOKUP($O17, dropdown!$S$4:$T$15, 2, FALSE),
 IFERROR(VLOOKUP($Q17, dropdown!$S$4:$T$15, 2, FALSE),
 IFERROR(VLOOKUP($S17, dropdown!$S$4:$T$15, 2, FALSE),
 "")))</f>
        <v>Q4</v>
      </c>
      <c r="W17" s="28" t="s">
        <v>1597</v>
      </c>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1" t="s">
        <v>192</v>
      </c>
      <c r="C22" s="463" t="s">
        <v>5</v>
      </c>
      <c r="D22" s="464"/>
      <c r="E22" s="463" t="s">
        <v>193</v>
      </c>
      <c r="F22" s="465"/>
      <c r="G22" s="465"/>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2"/>
      <c r="C23" s="463"/>
      <c r="D23" s="464"/>
      <c r="E23" s="463"/>
      <c r="F23" s="465"/>
      <c r="G23" s="465"/>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60" t="s">
        <v>194</v>
      </c>
      <c r="C24" s="460" t="s">
        <v>195</v>
      </c>
      <c r="D24" s="460"/>
      <c r="E24" s="460" t="s">
        <v>196</v>
      </c>
      <c r="F24" s="460"/>
      <c r="G24" s="460"/>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60"/>
      <c r="C25" s="460"/>
      <c r="D25" s="460"/>
      <c r="E25" s="460"/>
      <c r="F25" s="460"/>
      <c r="G25" s="460"/>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60" t="s">
        <v>197</v>
      </c>
      <c r="C26" s="460" t="s">
        <v>198</v>
      </c>
      <c r="D26" s="460"/>
      <c r="E26" s="460" t="s">
        <v>199</v>
      </c>
      <c r="F26" s="460"/>
      <c r="G26" s="460"/>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60"/>
      <c r="C27" s="460"/>
      <c r="D27" s="460"/>
      <c r="E27" s="460"/>
      <c r="F27" s="460"/>
      <c r="G27" s="460"/>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60" t="s">
        <v>200</v>
      </c>
      <c r="C28" s="460" t="s">
        <v>201</v>
      </c>
      <c r="D28" s="460"/>
      <c r="E28" s="460" t="s">
        <v>202</v>
      </c>
      <c r="F28" s="460"/>
      <c r="G28" s="460"/>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60"/>
      <c r="C29" s="460"/>
      <c r="D29" s="460"/>
      <c r="E29" s="460"/>
      <c r="F29" s="460"/>
      <c r="G29" s="460"/>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60" t="s">
        <v>203</v>
      </c>
      <c r="C30" s="460" t="s">
        <v>204</v>
      </c>
      <c r="D30" s="460"/>
      <c r="E30" s="460" t="s">
        <v>205</v>
      </c>
      <c r="F30" s="460"/>
      <c r="G30" s="460"/>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60"/>
      <c r="C31" s="460"/>
      <c r="D31" s="460"/>
      <c r="E31" s="460"/>
      <c r="F31" s="460"/>
      <c r="G31" s="460"/>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C6" sqref="C6:G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Batac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50" t="s">
        <v>1434</v>
      </c>
      <c r="D6" s="451"/>
      <c r="E6" s="451"/>
      <c r="F6" s="451"/>
      <c r="G6" s="452"/>
    </row>
    <row r="7" spans="2:17" ht="12.75" customHeight="1" x14ac:dyDescent="0.2">
      <c r="B7" s="278" t="s">
        <v>174</v>
      </c>
      <c r="C7" s="466" t="s">
        <v>1459</v>
      </c>
      <c r="D7" s="451"/>
      <c r="E7" s="451"/>
      <c r="F7" s="451"/>
      <c r="G7" s="452"/>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15280</v>
      </c>
      <c r="M8" s="47">
        <v>125021.02</v>
      </c>
      <c r="N8" s="165" t="s">
        <v>479</v>
      </c>
      <c r="O8" s="195"/>
      <c r="P8" s="48"/>
      <c r="Q8" s="20"/>
    </row>
    <row r="9" spans="2:17" x14ac:dyDescent="0.2">
      <c r="I9" s="194"/>
      <c r="J9" s="58" t="s">
        <v>89</v>
      </c>
      <c r="K9" s="426" t="str">
        <f>IF(Electricity[[#This Row],[Month]]&lt;&gt;"",VLOOKUP(Electricity[[#This Row],[Month]], dropdown!$S$4:$T$15, 2, FALSE),"")</f>
        <v>Q1</v>
      </c>
      <c r="L9" s="29">
        <v>13760</v>
      </c>
      <c r="M9" s="47">
        <v>137278.82</v>
      </c>
      <c r="N9" s="165" t="s">
        <v>479</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14840</v>
      </c>
      <c r="M10" s="47">
        <v>154516.62</v>
      </c>
      <c r="N10" s="165" t="s">
        <v>479</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15840</v>
      </c>
      <c r="M11" s="47">
        <v>153844.07</v>
      </c>
      <c r="N11" s="165" t="s">
        <v>479</v>
      </c>
      <c r="O11" s="195"/>
      <c r="P11" s="48"/>
      <c r="Q11" s="20"/>
    </row>
    <row r="12" spans="2:17" x14ac:dyDescent="0.2">
      <c r="B12" s="17" t="s">
        <v>207</v>
      </c>
      <c r="C12" s="17" t="s">
        <v>208</v>
      </c>
      <c r="D12" s="41">
        <f>SUMIFS(Electricity[Consumption (kWh)],Electricity[Quarter],D$11)</f>
        <v>43880</v>
      </c>
      <c r="E12" s="41">
        <f>SUMIFS(Electricity[Consumption (kWh)],Electricity[Quarter],E$11)</f>
        <v>54560</v>
      </c>
      <c r="F12" s="41">
        <f>SUMIFS(Electricity[Consumption (kWh)],Electricity[Quarter],F$11)</f>
        <v>55200</v>
      </c>
      <c r="G12" s="41">
        <f>SUMIFS(Electricity[Consumption (kWh)],Electricity[Quarter],G$11)</f>
        <v>51840</v>
      </c>
      <c r="I12" s="194"/>
      <c r="J12" s="58" t="s">
        <v>379</v>
      </c>
      <c r="K12" s="426" t="str">
        <f>IF(Electricity[[#This Row],[Month]]&lt;&gt;"",VLOOKUP(Electricity[[#This Row],[Month]], dropdown!$S$4:$T$15, 2, FALSE),"")</f>
        <v>Q2</v>
      </c>
      <c r="L12" s="29">
        <v>19320</v>
      </c>
      <c r="M12" s="47">
        <v>169740.95</v>
      </c>
      <c r="N12" s="165" t="s">
        <v>479</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19400</v>
      </c>
      <c r="M13" s="47">
        <v>175495.57</v>
      </c>
      <c r="N13" s="165" t="s">
        <v>479</v>
      </c>
      <c r="O13" s="195"/>
      <c r="P13" s="48"/>
      <c r="Q13" s="20"/>
    </row>
    <row r="14" spans="2:17" x14ac:dyDescent="0.2">
      <c r="B14" s="119" t="s">
        <v>38</v>
      </c>
      <c r="D14" s="168"/>
      <c r="I14" s="194"/>
      <c r="J14" s="58" t="s">
        <v>390</v>
      </c>
      <c r="K14" s="426" t="str">
        <f>IF(Electricity[[#This Row],[Month]]&lt;&gt;"",VLOOKUP(Electricity[[#This Row],[Month]], dropdown!$S$4:$T$15, 2, FALSE),"")</f>
        <v>Q3</v>
      </c>
      <c r="L14" s="29">
        <v>18680</v>
      </c>
      <c r="M14" s="47">
        <v>167881.06</v>
      </c>
      <c r="N14" s="165" t="s">
        <v>479</v>
      </c>
      <c r="O14" s="195"/>
      <c r="P14" s="48"/>
      <c r="Q14" s="20"/>
    </row>
    <row r="15" spans="2:17" x14ac:dyDescent="0.2">
      <c r="B15" s="120" t="s">
        <v>175</v>
      </c>
      <c r="D15" s="168"/>
      <c r="I15" s="194"/>
      <c r="J15" s="58" t="s">
        <v>41</v>
      </c>
      <c r="K15" s="426" t="str">
        <f>IF(Electricity[[#This Row],[Month]]&lt;&gt;"",VLOOKUP(Electricity[[#This Row],[Month]], dropdown!$S$4:$T$15, 2, FALSE),"")</f>
        <v>Q3</v>
      </c>
      <c r="L15" s="29">
        <v>18440</v>
      </c>
      <c r="M15" s="47">
        <v>164822.9</v>
      </c>
      <c r="N15" s="165" t="s">
        <v>479</v>
      </c>
      <c r="O15" s="195"/>
      <c r="P15" s="48"/>
      <c r="Q15" s="20"/>
    </row>
    <row r="16" spans="2:17" x14ac:dyDescent="0.2">
      <c r="B16" s="121" t="s">
        <v>176</v>
      </c>
      <c r="I16" s="194"/>
      <c r="J16" s="58" t="s">
        <v>397</v>
      </c>
      <c r="K16" s="426" t="str">
        <f>IF(Electricity[[#This Row],[Month]]&lt;&gt;"",VLOOKUP(Electricity[[#This Row],[Month]], dropdown!$S$4:$T$15, 2, FALSE),"")</f>
        <v>Q3</v>
      </c>
      <c r="L16" s="29">
        <v>18080</v>
      </c>
      <c r="M16" s="47">
        <v>172567.28</v>
      </c>
      <c r="N16" s="165" t="s">
        <v>479</v>
      </c>
      <c r="O16" s="195"/>
      <c r="P16" s="48"/>
      <c r="Q16" s="20"/>
    </row>
    <row r="17" spans="2:17" x14ac:dyDescent="0.2">
      <c r="B17" s="122" t="s">
        <v>177</v>
      </c>
      <c r="I17" s="194"/>
      <c r="J17" s="58" t="s">
        <v>400</v>
      </c>
      <c r="K17" s="426" t="str">
        <f>IF(Electricity[[#This Row],[Month]]&lt;&gt;"",VLOOKUP(Electricity[[#This Row],[Month]], dropdown!$S$4:$T$15, 2, FALSE),"")</f>
        <v>Q4</v>
      </c>
      <c r="L17" s="29">
        <v>16840</v>
      </c>
      <c r="M17" s="47">
        <v>154203.73000000001</v>
      </c>
      <c r="N17" s="165" t="s">
        <v>479</v>
      </c>
      <c r="O17" s="195"/>
      <c r="P17" s="48"/>
      <c r="Q17" s="20"/>
    </row>
    <row r="18" spans="2:17" x14ac:dyDescent="0.2">
      <c r="I18" s="194">
        <f t="shared" ref="I18:I49" si="0">IF($L18="","",$I17+1)</f>
        <v>1</v>
      </c>
      <c r="J18" s="58" t="s">
        <v>404</v>
      </c>
      <c r="K18" s="426" t="str">
        <f>IF(Electricity[[#This Row],[Month]]&lt;&gt;"",VLOOKUP(Electricity[[#This Row],[Month]], dropdown!$S$4:$T$15, 2, FALSE),"")</f>
        <v>Q4</v>
      </c>
      <c r="L18" s="29">
        <v>17040</v>
      </c>
      <c r="M18" s="47">
        <v>155461.85999999999</v>
      </c>
      <c r="N18" s="165" t="s">
        <v>479</v>
      </c>
      <c r="O18" s="195"/>
      <c r="P18" s="48"/>
      <c r="Q18" s="20"/>
    </row>
    <row r="19" spans="2:17" x14ac:dyDescent="0.2">
      <c r="I19" s="194">
        <f t="shared" si="0"/>
        <v>2</v>
      </c>
      <c r="J19" s="58" t="s">
        <v>407</v>
      </c>
      <c r="K19" s="426" t="str">
        <f>IF(Electricity[[#This Row],[Month]]&lt;&gt;"",VLOOKUP(Electricity[[#This Row],[Month]], dropdown!$S$4:$T$15, 2, FALSE),"")</f>
        <v>Q4</v>
      </c>
      <c r="L19" s="29">
        <v>17960</v>
      </c>
      <c r="M19" s="47">
        <v>140935.03</v>
      </c>
      <c r="N19" s="165" t="s">
        <v>479</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Batac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50"/>
      <c r="D6" s="451"/>
      <c r="E6" s="451"/>
      <c r="F6" s="451"/>
      <c r="G6" s="452"/>
      <c r="I6" s="248" t="s">
        <v>173</v>
      </c>
      <c r="J6" s="249" t="s">
        <v>39</v>
      </c>
      <c r="K6" s="249" t="s">
        <v>43</v>
      </c>
      <c r="L6" s="250" t="s">
        <v>115</v>
      </c>
      <c r="M6" s="352" t="s">
        <v>212</v>
      </c>
      <c r="N6" s="253" t="s">
        <v>54</v>
      </c>
      <c r="O6" s="349"/>
    </row>
    <row r="7" spans="2:16" x14ac:dyDescent="0.2">
      <c r="B7" s="278" t="s">
        <v>174</v>
      </c>
      <c r="C7" s="450"/>
      <c r="D7" s="451"/>
      <c r="E7" s="451"/>
      <c r="F7" s="451"/>
      <c r="G7" s="452"/>
      <c r="I7" s="194" t="str">
        <f>IF(Electricity6[[#This Row],[Month]]="","",1)</f>
        <v/>
      </c>
      <c r="J7" s="58"/>
      <c r="K7" s="18" t="str">
        <f>IF(Electricity6[[#This Row],[Month]]&lt;&gt;"",VLOOKUP(Electricity6[[#This Row],[Month]], dropdown!$S$4:$T$15, 2, FALSE),"")</f>
        <v/>
      </c>
      <c r="L7" s="29"/>
      <c r="M7" s="350"/>
      <c r="N7" s="195" t="s">
        <v>1455</v>
      </c>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H2" sqref="H2"/>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Batac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50" t="s">
        <v>1581</v>
      </c>
      <c r="D6" s="451"/>
      <c r="E6" s="451"/>
      <c r="F6" s="451"/>
      <c r="G6" s="452"/>
      <c r="I6" s="134" t="s">
        <v>120</v>
      </c>
      <c r="J6" s="65"/>
      <c r="K6" s="65"/>
      <c r="L6" s="65"/>
      <c r="M6" s="65"/>
      <c r="N6" s="66"/>
      <c r="P6" s="134" t="s">
        <v>128</v>
      </c>
      <c r="Q6" s="65"/>
      <c r="R6" s="65"/>
      <c r="S6" s="65"/>
      <c r="T6" s="66"/>
      <c r="U6" s="66"/>
      <c r="W6" s="20"/>
    </row>
    <row r="7" spans="2:23" ht="12.75" customHeight="1" x14ac:dyDescent="0.2">
      <c r="B7" s="278" t="s">
        <v>174</v>
      </c>
      <c r="C7" s="454" t="s">
        <v>1459</v>
      </c>
      <c r="D7" s="451"/>
      <c r="E7" s="451"/>
      <c r="F7" s="451"/>
      <c r="G7" s="452"/>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54</v>
      </c>
      <c r="N8" s="195"/>
      <c r="O8" s="44"/>
      <c r="P8" s="194">
        <f>IF($T8="","",1)</f>
        <v>1</v>
      </c>
      <c r="Q8" s="58" t="s">
        <v>338</v>
      </c>
      <c r="R8" s="18" t="str">
        <f>IF(water_out[[#This Row],[Month]]&lt;&gt;"",VLOOKUP(water_out[[#This Row],[Month]], dropdown!$S$4:$T$15, 2, FALSE),"")</f>
        <v>Q1</v>
      </c>
      <c r="S8" s="60" t="s">
        <v>133</v>
      </c>
      <c r="T8" s="29">
        <v>54</v>
      </c>
      <c r="U8" s="195" t="s">
        <v>1573</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49</v>
      </c>
      <c r="N9" s="195"/>
      <c r="O9" s="44"/>
      <c r="P9" s="194">
        <f>IF($T9="","",$P8+1)</f>
        <v>2</v>
      </c>
      <c r="Q9" s="58" t="s">
        <v>89</v>
      </c>
      <c r="R9" s="18" t="str">
        <f>IF(water_out[[#This Row],[Month]]&lt;&gt;"",VLOOKUP(water_out[[#This Row],[Month]], dropdown!$S$4:$T$15, 2, FALSE),"")</f>
        <v>Q1</v>
      </c>
      <c r="S9" s="60" t="s">
        <v>133</v>
      </c>
      <c r="T9" s="29">
        <v>49</v>
      </c>
      <c r="U9" s="195" t="s">
        <v>1573</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61</v>
      </c>
      <c r="N10" s="195"/>
      <c r="O10" s="44"/>
      <c r="P10" s="194">
        <f t="shared" ref="P10:P73" si="1">IF($T10="","",$P9+1)</f>
        <v>3</v>
      </c>
      <c r="Q10" s="58" t="s">
        <v>362</v>
      </c>
      <c r="R10" s="18" t="str">
        <f>IF(water_out[[#This Row],[Month]]&lt;&gt;"",VLOOKUP(water_out[[#This Row],[Month]], dropdown!$S$4:$T$15, 2, FALSE),"")</f>
        <v>Q1</v>
      </c>
      <c r="S10" s="60" t="s">
        <v>133</v>
      </c>
      <c r="T10" s="29">
        <v>61</v>
      </c>
      <c r="U10" s="195" t="s">
        <v>1573</v>
      </c>
      <c r="W10" s="20"/>
    </row>
    <row r="11" spans="2:23" ht="14" x14ac:dyDescent="0.2">
      <c r="B11" s="17" t="s">
        <v>120</v>
      </c>
      <c r="C11" s="17" t="s">
        <v>220</v>
      </c>
      <c r="D11" s="41">
        <f>SUMIFS(water_in[Volume (m3)],water_in[Quarter],D$10)</f>
        <v>164</v>
      </c>
      <c r="E11" s="41">
        <f>SUMIFS(water_in[Volume (m3)],water_in[Quarter],E$10)</f>
        <v>121</v>
      </c>
      <c r="F11" s="41">
        <f>SUMIFS(water_in[Volume (m3)],water_in[Quarter],F$10)</f>
        <v>116</v>
      </c>
      <c r="G11" s="41">
        <f>SUMIFS(water_in[Volume (m3)],water_in[Quarter],G$10)</f>
        <v>106</v>
      </c>
      <c r="I11" s="194">
        <f t="shared" si="0"/>
        <v>4</v>
      </c>
      <c r="J11" s="58" t="s">
        <v>371</v>
      </c>
      <c r="K11" s="426" t="str">
        <f>IF(water_in[[#This Row],[Month]]&lt;&gt;"",VLOOKUP(water_in[[#This Row],[Month]], dropdown!$S$4:$T$15, 2, FALSE),"")</f>
        <v>Q2</v>
      </c>
      <c r="L11" s="58" t="s">
        <v>124</v>
      </c>
      <c r="M11" s="29">
        <v>87</v>
      </c>
      <c r="N11" s="195"/>
      <c r="O11" s="44"/>
      <c r="P11" s="194">
        <f t="shared" si="1"/>
        <v>4</v>
      </c>
      <c r="Q11" s="58" t="s">
        <v>371</v>
      </c>
      <c r="R11" s="18" t="str">
        <f>IF(water_out[[#This Row],[Month]]&lt;&gt;"",VLOOKUP(water_out[[#This Row],[Month]], dropdown!$S$4:$T$15, 2, FALSE),"")</f>
        <v>Q2</v>
      </c>
      <c r="S11" s="60" t="s">
        <v>133</v>
      </c>
      <c r="T11" s="29">
        <v>87</v>
      </c>
      <c r="U11" s="195" t="s">
        <v>1573</v>
      </c>
      <c r="W11" s="20"/>
    </row>
    <row r="12" spans="2:23" ht="14" x14ac:dyDescent="0.2">
      <c r="B12" s="17" t="s">
        <v>128</v>
      </c>
      <c r="C12" s="17" t="s">
        <v>220</v>
      </c>
      <c r="D12" s="41">
        <f>SUMIFS(water_out[Volume2 (m3)],water_out[Quarter],D$10)</f>
        <v>164</v>
      </c>
      <c r="E12" s="41">
        <f>SUMIFS(water_out[Volume2 (m3)],water_out[Quarter],E$10)</f>
        <v>121</v>
      </c>
      <c r="F12" s="41">
        <f>SUMIFS(water_out[Volume2 (m3)],water_out[Quarter],F$10)</f>
        <v>116</v>
      </c>
      <c r="G12" s="41">
        <f>SUMIFS(water_out[Volume2 (m3)],water_out[Quarter],G$10)</f>
        <v>106</v>
      </c>
      <c r="I12" s="194">
        <f t="shared" si="0"/>
        <v>5</v>
      </c>
      <c r="J12" s="58" t="s">
        <v>379</v>
      </c>
      <c r="K12" s="426" t="str">
        <f>IF(water_in[[#This Row],[Month]]&lt;&gt;"",VLOOKUP(water_in[[#This Row],[Month]], dropdown!$S$4:$T$15, 2, FALSE),"")</f>
        <v>Q2</v>
      </c>
      <c r="L12" s="58" t="s">
        <v>124</v>
      </c>
      <c r="M12" s="29">
        <v>23</v>
      </c>
      <c r="N12" s="195"/>
      <c r="O12" s="44" t="str">
        <f>IF(J12="","",VLOOKUP($J12,dropdown!$S$3:$T$15,2,FALSE))</f>
        <v>Q2</v>
      </c>
      <c r="P12" s="194">
        <f t="shared" si="1"/>
        <v>5</v>
      </c>
      <c r="Q12" s="58" t="s">
        <v>379</v>
      </c>
      <c r="R12" s="18" t="str">
        <f>IF(water_out[[#This Row],[Month]]&lt;&gt;"",VLOOKUP(water_out[[#This Row],[Month]], dropdown!$S$4:$T$15, 2, FALSE),"")</f>
        <v>Q2</v>
      </c>
      <c r="S12" s="60" t="s">
        <v>133</v>
      </c>
      <c r="T12" s="29">
        <v>23</v>
      </c>
      <c r="U12" s="195" t="s">
        <v>1573</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11</v>
      </c>
      <c r="N13" s="195"/>
      <c r="O13" s="44" t="str">
        <f>IF(J13="","",VLOOKUP($J13,dropdown!$S$3:$T$15,2,FALSE))</f>
        <v>Q2</v>
      </c>
      <c r="P13" s="194">
        <f t="shared" si="1"/>
        <v>6</v>
      </c>
      <c r="Q13" s="58" t="s">
        <v>386</v>
      </c>
      <c r="R13" s="18" t="str">
        <f>IF(water_out[[#This Row],[Month]]&lt;&gt;"",VLOOKUP(water_out[[#This Row],[Month]], dropdown!$S$4:$T$15, 2, FALSE),"")</f>
        <v>Q2</v>
      </c>
      <c r="S13" s="60" t="s">
        <v>133</v>
      </c>
      <c r="T13" s="29">
        <v>11</v>
      </c>
      <c r="U13" s="195" t="s">
        <v>1573</v>
      </c>
      <c r="W13" s="20"/>
    </row>
    <row r="14" spans="2:23" ht="14" x14ac:dyDescent="0.2">
      <c r="B14" s="119" t="s">
        <v>38</v>
      </c>
      <c r="I14" s="194">
        <f t="shared" si="0"/>
        <v>7</v>
      </c>
      <c r="J14" s="58" t="s">
        <v>390</v>
      </c>
      <c r="K14" s="426" t="str">
        <f>IF(water_in[[#This Row],[Month]]&lt;&gt;"",VLOOKUP(water_in[[#This Row],[Month]], dropdown!$S$4:$T$15, 2, FALSE),"")</f>
        <v>Q3</v>
      </c>
      <c r="L14" s="58" t="s">
        <v>124</v>
      </c>
      <c r="M14" s="29">
        <v>42</v>
      </c>
      <c r="N14" s="195"/>
      <c r="O14" s="44" t="str">
        <f>IF(J14="","",VLOOKUP($J14,dropdown!$S$3:$T$15,2,FALSE))</f>
        <v>Q3</v>
      </c>
      <c r="P14" s="194">
        <f t="shared" si="1"/>
        <v>7</v>
      </c>
      <c r="Q14" s="58" t="s">
        <v>390</v>
      </c>
      <c r="R14" s="18" t="str">
        <f>IF(water_out[[#This Row],[Month]]&lt;&gt;"",VLOOKUP(water_out[[#This Row],[Month]], dropdown!$S$4:$T$15, 2, FALSE),"")</f>
        <v>Q3</v>
      </c>
      <c r="S14" s="60" t="s">
        <v>133</v>
      </c>
      <c r="T14" s="29">
        <v>42</v>
      </c>
      <c r="U14" s="195" t="s">
        <v>1573</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43</v>
      </c>
      <c r="N15" s="195"/>
      <c r="O15" s="44" t="str">
        <f>IF(J15="","",VLOOKUP($J15,dropdown!$S$3:$T$15,2,FALSE))</f>
        <v>Q3</v>
      </c>
      <c r="P15" s="194">
        <f t="shared" si="1"/>
        <v>8</v>
      </c>
      <c r="Q15" s="58" t="s">
        <v>41</v>
      </c>
      <c r="R15" s="18" t="str">
        <f>IF(water_out[[#This Row],[Month]]&lt;&gt;"",VLOOKUP(water_out[[#This Row],[Month]], dropdown!$S$4:$T$15, 2, FALSE),"")</f>
        <v>Q3</v>
      </c>
      <c r="S15" s="60" t="s">
        <v>133</v>
      </c>
      <c r="T15" s="29">
        <v>43</v>
      </c>
      <c r="U15" s="195" t="s">
        <v>1573</v>
      </c>
      <c r="W15" s="20"/>
    </row>
    <row r="16" spans="2:23" ht="14" x14ac:dyDescent="0.2">
      <c r="B16" s="121" t="s">
        <v>176</v>
      </c>
      <c r="I16" s="194">
        <f t="shared" si="0"/>
        <v>9</v>
      </c>
      <c r="J16" s="58" t="s">
        <v>397</v>
      </c>
      <c r="K16" s="426" t="str">
        <f>IF(water_in[[#This Row],[Month]]&lt;&gt;"",VLOOKUP(water_in[[#This Row],[Month]], dropdown!$S$4:$T$15, 2, FALSE),"")</f>
        <v>Q3</v>
      </c>
      <c r="L16" s="58" t="s">
        <v>124</v>
      </c>
      <c r="M16" s="29">
        <v>31</v>
      </c>
      <c r="N16" s="195"/>
      <c r="O16" s="44" t="str">
        <f>IF(J16="","",VLOOKUP($J16,dropdown!$S$3:$T$15,2,FALSE))</f>
        <v>Q3</v>
      </c>
      <c r="P16" s="194">
        <f t="shared" si="1"/>
        <v>9</v>
      </c>
      <c r="Q16" s="58" t="s">
        <v>397</v>
      </c>
      <c r="R16" s="18" t="str">
        <f>IF(water_out[[#This Row],[Month]]&lt;&gt;"",VLOOKUP(water_out[[#This Row],[Month]], dropdown!$S$4:$T$15, 2, FALSE),"")</f>
        <v>Q3</v>
      </c>
      <c r="S16" s="60" t="s">
        <v>133</v>
      </c>
      <c r="T16" s="29">
        <v>31</v>
      </c>
      <c r="U16" s="195" t="s">
        <v>1573</v>
      </c>
      <c r="W16" s="20"/>
    </row>
    <row r="17" spans="2:23" ht="14" x14ac:dyDescent="0.2">
      <c r="B17" s="122" t="s">
        <v>177</v>
      </c>
      <c r="I17" s="194">
        <f t="shared" si="0"/>
        <v>10</v>
      </c>
      <c r="J17" s="58" t="s">
        <v>400</v>
      </c>
      <c r="K17" s="426" t="str">
        <f>IF(water_in[[#This Row],[Month]]&lt;&gt;"",VLOOKUP(water_in[[#This Row],[Month]], dropdown!$S$4:$T$15, 2, FALSE),"")</f>
        <v>Q4</v>
      </c>
      <c r="L17" s="58" t="s">
        <v>124</v>
      </c>
      <c r="M17" s="29">
        <v>33</v>
      </c>
      <c r="N17" s="195"/>
      <c r="O17" s="44" t="str">
        <f>IF(J17="","",VLOOKUP($J17,dropdown!$S$3:$T$15,2,FALSE))</f>
        <v>Q4</v>
      </c>
      <c r="P17" s="194">
        <f t="shared" si="1"/>
        <v>10</v>
      </c>
      <c r="Q17" s="58" t="s">
        <v>400</v>
      </c>
      <c r="R17" s="18" t="str">
        <f>IF(water_out[[#This Row],[Month]]&lt;&gt;"",VLOOKUP(water_out[[#This Row],[Month]], dropdown!$S$4:$T$15, 2, FALSE),"")</f>
        <v>Q4</v>
      </c>
      <c r="S17" s="60" t="s">
        <v>133</v>
      </c>
      <c r="T17" s="29">
        <v>33</v>
      </c>
      <c r="U17" s="195" t="s">
        <v>1573</v>
      </c>
      <c r="V17" s="44" t="s">
        <v>43</v>
      </c>
      <c r="W17" s="20"/>
    </row>
    <row r="18" spans="2:23" ht="14" x14ac:dyDescent="0.2">
      <c r="I18" s="194">
        <f t="shared" si="0"/>
        <v>11</v>
      </c>
      <c r="J18" s="58" t="s">
        <v>404</v>
      </c>
      <c r="K18" s="426" t="str">
        <f>IF(water_in[[#This Row],[Month]]&lt;&gt;"",VLOOKUP(water_in[[#This Row],[Month]], dropdown!$S$4:$T$15, 2, FALSE),"")</f>
        <v>Q4</v>
      </c>
      <c r="L18" s="58" t="s">
        <v>124</v>
      </c>
      <c r="M18" s="29">
        <v>31</v>
      </c>
      <c r="N18" s="195"/>
      <c r="O18" s="44" t="str">
        <f>IF(J18="","",VLOOKUP($J18,dropdown!$S$3:$T$15,2,FALSE))</f>
        <v>Q4</v>
      </c>
      <c r="P18" s="194">
        <f t="shared" si="1"/>
        <v>11</v>
      </c>
      <c r="Q18" s="58" t="s">
        <v>404</v>
      </c>
      <c r="R18" s="18" t="str">
        <f>IF(water_out[[#This Row],[Month]]&lt;&gt;"",VLOOKUP(water_out[[#This Row],[Month]], dropdown!$S$4:$T$15, 2, FALSE),"")</f>
        <v>Q4</v>
      </c>
      <c r="S18" s="60" t="s">
        <v>133</v>
      </c>
      <c r="T18" s="29">
        <v>31</v>
      </c>
      <c r="U18" s="195" t="s">
        <v>1573</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42</v>
      </c>
      <c r="N19" s="195"/>
      <c r="O19" s="44" t="str">
        <f>IF(J19="","",VLOOKUP($J19,dropdown!$S$3:$T$15,2,FALSE))</f>
        <v>Q4</v>
      </c>
      <c r="P19" s="194">
        <f t="shared" si="1"/>
        <v>12</v>
      </c>
      <c r="Q19" s="58" t="s">
        <v>407</v>
      </c>
      <c r="R19" s="18" t="str">
        <f>IF(water_out[[#This Row],[Month]]&lt;&gt;"",VLOOKUP(water_out[[#This Row],[Month]], dropdown!$S$4:$T$15, 2, FALSE),"")</f>
        <v>Q4</v>
      </c>
      <c r="S19" s="60" t="s">
        <v>133</v>
      </c>
      <c r="T19" s="29">
        <v>42</v>
      </c>
      <c r="U19" s="195" t="s">
        <v>1573</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Batac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3" zoomScaleNormal="100" workbookViewId="0">
      <selection activeCell="J14" sqref="J14"/>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Batac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50" t="s">
        <v>1581</v>
      </c>
      <c r="D6" s="451"/>
      <c r="E6" s="451"/>
      <c r="F6" s="451"/>
      <c r="G6" s="452"/>
      <c r="I6" s="409" t="s">
        <v>282</v>
      </c>
      <c r="J6" s="407"/>
      <c r="K6" s="407"/>
      <c r="L6" s="407"/>
      <c r="M6" s="408"/>
      <c r="N6" s="407"/>
      <c r="O6" s="407"/>
      <c r="Q6" s="44"/>
    </row>
    <row r="7" spans="2:17" ht="25.5" customHeight="1" x14ac:dyDescent="0.2">
      <c r="B7" s="278" t="s">
        <v>174</v>
      </c>
      <c r="C7" s="454" t="s">
        <v>1584</v>
      </c>
      <c r="D7" s="451"/>
      <c r="E7" s="451"/>
      <c r="F7" s="451"/>
      <c r="G7" s="452"/>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2000</v>
      </c>
      <c r="N8" s="57" t="s">
        <v>313</v>
      </c>
      <c r="O8" s="195" t="s">
        <v>1586</v>
      </c>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2200</v>
      </c>
      <c r="N9" s="57" t="s">
        <v>313</v>
      </c>
      <c r="O9" s="195" t="s">
        <v>1586</v>
      </c>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2100</v>
      </c>
      <c r="N10" s="57" t="s">
        <v>313</v>
      </c>
      <c r="O10" s="195" t="s">
        <v>1586</v>
      </c>
      <c r="Q10" s="44"/>
    </row>
    <row r="11" spans="2:17" x14ac:dyDescent="0.2">
      <c r="B11" s="17" t="str">
        <f>dropdown!$B4</f>
        <v>Compostable</v>
      </c>
      <c r="C11" s="17" t="s">
        <v>283</v>
      </c>
      <c r="D11" s="41">
        <f>SUMIFS(Waste[Weight (kg)],Waste[Quarter],D$10,Waste[Waste Composition],$B$11)</f>
        <v>6300</v>
      </c>
      <c r="E11" s="41">
        <f>SUMIFS(Waste[Weight (kg)],Waste[Quarter],E$10,Waste[Waste Composition],$B11)</f>
        <v>6300</v>
      </c>
      <c r="F11" s="41">
        <f>SUMIFS(Waste[Weight (kg)],Waste[Quarter],F$10,Waste[Waste Composition],$B11)</f>
        <v>6300</v>
      </c>
      <c r="G11" s="41">
        <f>SUMIFS(Waste[Weight (kg)],Waste[Quarter],G$10,Waste[Waste Composition],$B11)</f>
        <v>6300</v>
      </c>
      <c r="I11" s="194">
        <f t="shared" si="0"/>
        <v>4</v>
      </c>
      <c r="J11" s="58" t="s">
        <v>371</v>
      </c>
      <c r="K11" s="194" t="str">
        <f>IF(Waste[[#This Row],[Month]]&lt;&gt;"",VLOOKUP(Waste[[#This Row],[Month]], dropdown!$S$4:$T$15, 2, FALSE),"")</f>
        <v>Q2</v>
      </c>
      <c r="L11" s="57" t="s">
        <v>139</v>
      </c>
      <c r="M11" s="29">
        <v>2100</v>
      </c>
      <c r="N11" s="57" t="s">
        <v>313</v>
      </c>
      <c r="O11" s="195" t="s">
        <v>1586</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139</v>
      </c>
      <c r="M12" s="29">
        <v>2100</v>
      </c>
      <c r="N12" s="57" t="s">
        <v>313</v>
      </c>
      <c r="O12" s="195" t="s">
        <v>1586</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139</v>
      </c>
      <c r="M13" s="29">
        <v>2100</v>
      </c>
      <c r="N13" s="57" t="s">
        <v>313</v>
      </c>
      <c r="O13" s="195" t="s">
        <v>1586</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390</v>
      </c>
      <c r="K14" s="194" t="str">
        <f>IF(Waste[[#This Row],[Month]]&lt;&gt;"",VLOOKUP(Waste[[#This Row],[Month]], dropdown!$S$4:$T$15, 2, FALSE),"")</f>
        <v>Q3</v>
      </c>
      <c r="L14" s="57" t="s">
        <v>317</v>
      </c>
      <c r="M14" s="29">
        <v>1384.47</v>
      </c>
      <c r="N14" s="57" t="s">
        <v>345</v>
      </c>
      <c r="O14" s="195" t="s">
        <v>1587</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1384.47</v>
      </c>
      <c r="G15" s="41">
        <f>SUMIFS(Waste[Weight (kg)],Waste[Quarter],G$10,Waste[Waste Composition],$B15)</f>
        <v>0</v>
      </c>
      <c r="I15" s="194">
        <f t="shared" si="0"/>
        <v>8</v>
      </c>
      <c r="J15" s="58" t="s">
        <v>390</v>
      </c>
      <c r="K15" s="194" t="str">
        <f>IF(Waste[[#This Row],[Month]]&lt;&gt;"",VLOOKUP(Waste[[#This Row],[Month]], dropdown!$S$4:$T$15, 2, FALSE),"")</f>
        <v>Q3</v>
      </c>
      <c r="L15" s="57" t="s">
        <v>139</v>
      </c>
      <c r="M15" s="29">
        <v>2000</v>
      </c>
      <c r="N15" s="57" t="s">
        <v>313</v>
      </c>
      <c r="O15" s="195" t="s">
        <v>1586</v>
      </c>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f t="shared" si="0"/>
        <v>9</v>
      </c>
      <c r="J16" s="58" t="s">
        <v>41</v>
      </c>
      <c r="K16" s="194" t="str">
        <f>IF(Waste[[#This Row],[Month]]&lt;&gt;"",VLOOKUP(Waste[[#This Row],[Month]], dropdown!$S$4:$T$15, 2, FALSE),"")</f>
        <v>Q3</v>
      </c>
      <c r="L16" s="57" t="s">
        <v>139</v>
      </c>
      <c r="M16" s="29">
        <v>2200</v>
      </c>
      <c r="N16" s="57" t="s">
        <v>313</v>
      </c>
      <c r="O16" s="195" t="s">
        <v>1586</v>
      </c>
    </row>
    <row r="17" spans="2:15" x14ac:dyDescent="0.2">
      <c r="I17" s="194">
        <f t="shared" si="0"/>
        <v>10</v>
      </c>
      <c r="J17" s="58" t="s">
        <v>397</v>
      </c>
      <c r="K17" s="194" t="str">
        <f>IF(Waste[[#This Row],[Month]]&lt;&gt;"",VLOOKUP(Waste[[#This Row],[Month]], dropdown!$S$4:$T$15, 2, FALSE),"")</f>
        <v>Q3</v>
      </c>
      <c r="L17" s="57" t="s">
        <v>139</v>
      </c>
      <c r="M17" s="29">
        <v>2100</v>
      </c>
      <c r="N17" s="57" t="s">
        <v>313</v>
      </c>
      <c r="O17" s="195" t="s">
        <v>1586</v>
      </c>
    </row>
    <row r="18" spans="2:15" x14ac:dyDescent="0.2">
      <c r="B18" s="267" t="s">
        <v>38</v>
      </c>
      <c r="I18" s="194">
        <f t="shared" si="0"/>
        <v>11</v>
      </c>
      <c r="J18" s="58" t="s">
        <v>400</v>
      </c>
      <c r="K18" s="194" t="str">
        <f>IF(Waste[[#This Row],[Month]]&lt;&gt;"",VLOOKUP(Waste[[#This Row],[Month]], dropdown!$S$4:$T$15, 2, FALSE),"")</f>
        <v>Q4</v>
      </c>
      <c r="L18" s="57" t="s">
        <v>139</v>
      </c>
      <c r="M18" s="29">
        <v>2100</v>
      </c>
      <c r="N18" s="57" t="s">
        <v>313</v>
      </c>
      <c r="O18" s="195" t="s">
        <v>1586</v>
      </c>
    </row>
    <row r="19" spans="2:15" x14ac:dyDescent="0.2">
      <c r="B19" s="268" t="s">
        <v>175</v>
      </c>
      <c r="I19" s="194">
        <f t="shared" ref="I19" si="1">IF($J19="","",$I18+1)</f>
        <v>12</v>
      </c>
      <c r="J19" s="58" t="s">
        <v>404</v>
      </c>
      <c r="K19" s="194" t="str">
        <f>IF(Waste[[#This Row],[Month]]&lt;&gt;"",VLOOKUP(Waste[[#This Row],[Month]], dropdown!$S$4:$T$15, 2, FALSE),"")</f>
        <v>Q4</v>
      </c>
      <c r="L19" s="57" t="s">
        <v>139</v>
      </c>
      <c r="M19" s="29">
        <v>2100</v>
      </c>
      <c r="N19" s="57" t="s">
        <v>313</v>
      </c>
      <c r="O19" s="195" t="s">
        <v>1586</v>
      </c>
    </row>
    <row r="20" spans="2:15" x14ac:dyDescent="0.2">
      <c r="B20" s="266" t="s">
        <v>176</v>
      </c>
      <c r="I20" s="194">
        <f t="shared" si="0"/>
        <v>13</v>
      </c>
      <c r="J20" s="58" t="s">
        <v>407</v>
      </c>
      <c r="K20" s="194" t="str">
        <f>IF(Waste[[#This Row],[Month]]&lt;&gt;"",VLOOKUP(Waste[[#This Row],[Month]], dropdown!$S$4:$T$15, 2, FALSE),"")</f>
        <v>Q4</v>
      </c>
      <c r="L20" s="57" t="s">
        <v>139</v>
      </c>
      <c r="M20" s="29">
        <v>2100</v>
      </c>
      <c r="N20" s="57" t="s">
        <v>313</v>
      </c>
      <c r="O20" s="195" t="s">
        <v>1586</v>
      </c>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Batac Branch</v>
      </c>
      <c r="E6" s="467" t="s">
        <v>284</v>
      </c>
      <c r="F6" s="467"/>
      <c r="G6" s="467"/>
      <c r="H6" s="467"/>
      <c r="I6" s="467"/>
      <c r="J6" s="467"/>
      <c r="K6" s="467"/>
      <c r="L6" s="467"/>
      <c r="M6" s="467"/>
      <c r="N6" s="467"/>
      <c r="O6" s="467"/>
      <c r="P6" s="467"/>
      <c r="Q6" s="467"/>
    </row>
    <row r="7" spans="2:17" ht="20" customHeight="1" x14ac:dyDescent="0.2">
      <c r="B7" s="70" t="s">
        <v>12</v>
      </c>
      <c r="C7" s="59">
        <f>'1. Data Info and Summary'!$D$3</f>
        <v>2024</v>
      </c>
      <c r="E7" s="467"/>
      <c r="F7" s="467"/>
      <c r="G7" s="467"/>
      <c r="H7" s="467"/>
      <c r="I7" s="467"/>
      <c r="J7" s="467"/>
      <c r="K7" s="467"/>
      <c r="L7" s="467"/>
      <c r="M7" s="467"/>
      <c r="N7" s="467"/>
      <c r="O7" s="467"/>
      <c r="P7" s="467"/>
      <c r="Q7" s="467"/>
    </row>
    <row r="8" spans="2:17" ht="20" customHeight="1" x14ac:dyDescent="0.2">
      <c r="B8" s="71"/>
    </row>
    <row r="9" spans="2:17" x14ac:dyDescent="0.2">
      <c r="C9" s="53"/>
      <c r="E9" s="469" t="s">
        <v>285</v>
      </c>
      <c r="F9" s="469"/>
      <c r="G9" s="469"/>
      <c r="H9" s="469"/>
      <c r="I9" s="469"/>
      <c r="J9" s="469"/>
      <c r="L9" s="469" t="s">
        <v>286</v>
      </c>
      <c r="M9" s="469"/>
      <c r="N9" s="469"/>
      <c r="O9" s="469"/>
      <c r="P9" s="469"/>
      <c r="Q9" s="469"/>
    </row>
    <row r="10" spans="2:17" ht="8" customHeight="1" x14ac:dyDescent="0.2">
      <c r="B10" s="71"/>
    </row>
    <row r="11" spans="2:17" x14ac:dyDescent="0.2">
      <c r="E11" s="468" t="s">
        <v>287</v>
      </c>
      <c r="F11" s="468"/>
      <c r="G11" s="468"/>
      <c r="H11" s="468"/>
      <c r="I11" s="468"/>
      <c r="J11" s="468"/>
      <c r="L11" s="468" t="s">
        <v>288</v>
      </c>
      <c r="M11" s="468"/>
      <c r="N11" s="468"/>
      <c r="O11" s="468"/>
      <c r="P11" s="468"/>
      <c r="Q11" s="468"/>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565.99</v>
      </c>
      <c r="G13" s="73" t="str">
        <f>'1. Data Info and Summary'!$D18</f>
        <v>Liters</v>
      </c>
      <c r="I13" s="76">
        <f>VLOOKUP($E13,Emission_Factors!$A$1:$G$20,5,FALSE)</f>
        <v>2.68</v>
      </c>
      <c r="J13" s="141">
        <f>F13*I13</f>
        <v>1516.8532</v>
      </c>
      <c r="L13" s="73" t="s">
        <v>155</v>
      </c>
      <c r="M13" s="78">
        <f>SUM('2.3a Electricity'!$D$12:$G$12)</f>
        <v>205480</v>
      </c>
      <c r="N13" s="73" t="str">
        <f>'2.3a Electricity'!$C$12</f>
        <v>Kilowatt-hour</v>
      </c>
      <c r="P13" s="76">
        <f>VLOOKUP($L13,Emission_Factors!$A$1:$G$20,5,FALSE)</f>
        <v>0.56000000000000005</v>
      </c>
      <c r="Q13" s="141">
        <f>M13*P13</f>
        <v>115068.80000000002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1516.8532</v>
      </c>
    </row>
    <row r="20" spans="5:10" x14ac:dyDescent="0.2">
      <c r="E20" s="468" t="s">
        <v>293</v>
      </c>
      <c r="F20" s="468"/>
      <c r="G20" s="468"/>
      <c r="H20" s="468"/>
      <c r="I20" s="468"/>
      <c r="J20" s="468"/>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8826.66</v>
      </c>
      <c r="G22" s="73" t="str">
        <f>'1. Data Info and Summary'!$D26</f>
        <v>Liters</v>
      </c>
      <c r="I22" s="76">
        <f>VLOOKUP($E22,Emission_Factors!$A$1:$G$20,5,FALSE)</f>
        <v>2.68</v>
      </c>
      <c r="J22" s="141">
        <f>F22*I22</f>
        <v>23655.448800000002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23655.448800000002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2779.4500000000003</v>
      </c>
      <c r="D33" s="337">
        <v>957.71</v>
      </c>
      <c r="E33" s="337">
        <v>1224.42</v>
      </c>
      <c r="F33" s="337">
        <v>1618.72</v>
      </c>
      <c r="G33" s="337">
        <v>6580.3</v>
      </c>
      <c r="I33" s="20"/>
      <c r="J33" s="20"/>
      <c r="K33" s="21"/>
      <c r="L33" s="21"/>
      <c r="M33" s="22"/>
      <c r="N33" s="22"/>
      <c r="O33" s="11"/>
      <c r="P33" s="22"/>
      <c r="Q33" s="20"/>
      <c r="R33" s="20"/>
      <c r="S33" s="44"/>
    </row>
    <row r="34" spans="1:19" outlineLevel="1" x14ac:dyDescent="0.2">
      <c r="A34" s="203" t="s">
        <v>63</v>
      </c>
      <c r="B34" s="337"/>
      <c r="C34" s="337">
        <v>2779.4500000000003</v>
      </c>
      <c r="D34" s="337">
        <v>957.71</v>
      </c>
      <c r="E34" s="337">
        <v>1224.42</v>
      </c>
      <c r="F34" s="337">
        <v>1618.72</v>
      </c>
      <c r="G34" s="337">
        <v>6580.3</v>
      </c>
      <c r="I34" s="20"/>
      <c r="J34" s="20"/>
      <c r="K34" s="21"/>
      <c r="L34" s="21"/>
      <c r="M34" s="22"/>
      <c r="N34" s="22"/>
      <c r="O34" s="11"/>
      <c r="P34" s="22"/>
      <c r="Q34" s="20"/>
      <c r="R34" s="20"/>
      <c r="S34" s="44"/>
    </row>
    <row r="35" spans="1:19" outlineLevel="1" x14ac:dyDescent="0.2">
      <c r="A35" s="19" t="s">
        <v>365</v>
      </c>
      <c r="B35" s="337"/>
      <c r="C35" s="337">
        <v>273.57</v>
      </c>
      <c r="D35" s="337">
        <v>271.08999999999997</v>
      </c>
      <c r="E35" s="337">
        <v>309.57</v>
      </c>
      <c r="F35" s="337">
        <v>377.82</v>
      </c>
      <c r="G35" s="337">
        <v>1232.05</v>
      </c>
      <c r="I35" s="20"/>
      <c r="J35" s="20"/>
      <c r="K35" s="21"/>
      <c r="L35" s="21"/>
      <c r="M35" s="22"/>
      <c r="N35" s="22"/>
      <c r="O35" s="11"/>
      <c r="P35" s="22"/>
      <c r="Q35" s="20"/>
      <c r="R35" s="20"/>
      <c r="S35" s="44"/>
    </row>
    <row r="36" spans="1:19" outlineLevel="1" x14ac:dyDescent="0.2">
      <c r="A36" s="203" t="s">
        <v>63</v>
      </c>
      <c r="B36" s="337"/>
      <c r="C36" s="337">
        <v>273.57</v>
      </c>
      <c r="D36" s="337">
        <v>271.08999999999997</v>
      </c>
      <c r="E36" s="337">
        <v>309.57</v>
      </c>
      <c r="F36" s="337">
        <v>377.82</v>
      </c>
      <c r="G36" s="337">
        <v>1232.05</v>
      </c>
      <c r="H36" s="12"/>
      <c r="I36" s="20"/>
      <c r="J36" s="20"/>
      <c r="K36" s="21"/>
      <c r="L36" s="21"/>
      <c r="M36" s="22"/>
      <c r="N36" s="22"/>
      <c r="O36" s="11"/>
      <c r="P36" s="22"/>
      <c r="Q36" s="20"/>
      <c r="R36" s="20"/>
      <c r="S36" s="44"/>
    </row>
    <row r="37" spans="1:19" outlineLevel="1" x14ac:dyDescent="0.2">
      <c r="A37" s="19" t="s">
        <v>381</v>
      </c>
      <c r="B37" s="337"/>
      <c r="C37" s="337">
        <v>189.08999999999997</v>
      </c>
      <c r="D37" s="337">
        <v>223.3</v>
      </c>
      <c r="E37" s="337">
        <v>363.28000000000003</v>
      </c>
      <c r="F37" s="337">
        <v>238.64</v>
      </c>
      <c r="G37" s="337">
        <v>1014.3100000000001</v>
      </c>
      <c r="H37" s="12"/>
      <c r="I37" s="20"/>
      <c r="J37" s="20"/>
      <c r="K37" s="21"/>
      <c r="L37" s="21"/>
      <c r="M37" s="22"/>
      <c r="N37" s="22"/>
      <c r="O37" s="11"/>
      <c r="P37" s="22"/>
      <c r="Q37" s="20"/>
      <c r="R37" s="20"/>
      <c r="S37" s="44"/>
    </row>
    <row r="38" spans="1:19" outlineLevel="1" x14ac:dyDescent="0.2">
      <c r="A38" s="203" t="s">
        <v>63</v>
      </c>
      <c r="B38" s="337"/>
      <c r="C38" s="337">
        <v>189.08999999999997</v>
      </c>
      <c r="D38" s="337">
        <v>223.3</v>
      </c>
      <c r="E38" s="337">
        <v>363.28000000000003</v>
      </c>
      <c r="F38" s="337">
        <v>238.64</v>
      </c>
      <c r="G38" s="337">
        <v>1014.3100000000001</v>
      </c>
      <c r="H38" s="12"/>
      <c r="I38" s="20"/>
      <c r="J38" s="20"/>
      <c r="K38" s="21"/>
      <c r="L38" s="21"/>
      <c r="M38" s="22"/>
      <c r="N38" s="22"/>
      <c r="O38" s="11"/>
      <c r="P38" s="22"/>
      <c r="Q38" s="20"/>
      <c r="R38" s="20"/>
      <c r="S38" s="44"/>
    </row>
    <row r="39" spans="1:19" outlineLevel="1" x14ac:dyDescent="0.2">
      <c r="A39" s="19" t="s">
        <v>297</v>
      </c>
      <c r="B39" s="337"/>
      <c r="C39" s="337">
        <v>3242.1100000000006</v>
      </c>
      <c r="D39" s="337">
        <v>1452.1</v>
      </c>
      <c r="E39" s="337">
        <v>1897.27</v>
      </c>
      <c r="F39" s="337">
        <v>2235.1799999999998</v>
      </c>
      <c r="G39" s="337">
        <v>8826.66</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325"/>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45909.649699074071</v>
      </c>
      <c r="B927" t="s">
        <v>1431</v>
      </c>
      <c r="C927" t="s">
        <v>2</v>
      </c>
      <c r="D927" t="s">
        <v>1432</v>
      </c>
      <c r="E927" t="s">
        <v>349</v>
      </c>
    </row>
    <row r="928" spans="1:5" x14ac:dyDescent="0.2">
      <c r="A928" s="269">
        <v>45909.649756944447</v>
      </c>
      <c r="B928" t="s">
        <v>1431</v>
      </c>
      <c r="C928" t="s">
        <v>2</v>
      </c>
      <c r="D928" t="s">
        <v>1433</v>
      </c>
      <c r="E928">
        <v>2024</v>
      </c>
    </row>
    <row r="929" spans="1:5" x14ac:dyDescent="0.2">
      <c r="A929" s="269">
        <v>45909.652233796296</v>
      </c>
      <c r="B929" t="s">
        <v>1431</v>
      </c>
      <c r="C929" t="s">
        <v>27</v>
      </c>
      <c r="D929" t="s">
        <v>946</v>
      </c>
      <c r="E929" t="s">
        <v>37</v>
      </c>
    </row>
    <row r="930" spans="1:5" x14ac:dyDescent="0.2">
      <c r="A930" s="269">
        <v>45909.652870370373</v>
      </c>
      <c r="B930" t="s">
        <v>1431</v>
      </c>
      <c r="C930" t="s">
        <v>27</v>
      </c>
      <c r="D930" t="s">
        <v>950</v>
      </c>
      <c r="E930" t="s">
        <v>338</v>
      </c>
    </row>
    <row r="931" spans="1:5" x14ac:dyDescent="0.2">
      <c r="A931" s="269">
        <v>45909.653680555559</v>
      </c>
      <c r="B931" t="s">
        <v>1431</v>
      </c>
      <c r="C931" t="s">
        <v>103</v>
      </c>
      <c r="D931" t="s">
        <v>1435</v>
      </c>
      <c r="E931" t="s">
        <v>1434</v>
      </c>
    </row>
    <row r="932" spans="1:5" x14ac:dyDescent="0.2">
      <c r="A932" s="269">
        <v>45909.653773148151</v>
      </c>
      <c r="B932" t="s">
        <v>1431</v>
      </c>
      <c r="C932" t="s">
        <v>103</v>
      </c>
      <c r="D932" t="s">
        <v>1436</v>
      </c>
      <c r="E932" t="s">
        <v>338</v>
      </c>
    </row>
    <row r="933" spans="1:5" x14ac:dyDescent="0.2">
      <c r="A933" s="269">
        <v>45909.653796296298</v>
      </c>
      <c r="B933" t="s">
        <v>1431</v>
      </c>
      <c r="C933" t="s">
        <v>103</v>
      </c>
      <c r="D933" t="s">
        <v>1191</v>
      </c>
      <c r="E933" t="s">
        <v>89</v>
      </c>
    </row>
    <row r="934" spans="1:5" x14ac:dyDescent="0.2">
      <c r="A934" s="269">
        <v>45909.653819444444</v>
      </c>
      <c r="B934" t="s">
        <v>1431</v>
      </c>
      <c r="C934" t="s">
        <v>103</v>
      </c>
      <c r="D934" t="s">
        <v>795</v>
      </c>
      <c r="E934" t="s">
        <v>362</v>
      </c>
    </row>
    <row r="935" spans="1:5" x14ac:dyDescent="0.2">
      <c r="A935" s="269">
        <v>45909.654398148145</v>
      </c>
      <c r="B935" t="s">
        <v>1431</v>
      </c>
      <c r="C935" t="s">
        <v>103</v>
      </c>
      <c r="D935" t="s">
        <v>1013</v>
      </c>
      <c r="E935" t="s">
        <v>371</v>
      </c>
    </row>
    <row r="936" spans="1:5" x14ac:dyDescent="0.2">
      <c r="A936" s="269">
        <v>45909.654421296298</v>
      </c>
      <c r="B936" t="s">
        <v>1431</v>
      </c>
      <c r="C936" t="s">
        <v>103</v>
      </c>
      <c r="D936" t="s">
        <v>747</v>
      </c>
      <c r="E936" t="s">
        <v>379</v>
      </c>
    </row>
    <row r="937" spans="1:5" x14ac:dyDescent="0.2">
      <c r="A937" s="269">
        <v>45909.654456018521</v>
      </c>
      <c r="B937" t="s">
        <v>1431</v>
      </c>
      <c r="C937" t="s">
        <v>103</v>
      </c>
      <c r="D937" t="s">
        <v>1437</v>
      </c>
      <c r="E937" t="s">
        <v>386</v>
      </c>
    </row>
    <row r="938" spans="1:5" x14ac:dyDescent="0.2">
      <c r="A938" s="269">
        <v>45909.654479166667</v>
      </c>
      <c r="B938" t="s">
        <v>1431</v>
      </c>
      <c r="C938" t="s">
        <v>103</v>
      </c>
      <c r="D938" t="s">
        <v>1438</v>
      </c>
      <c r="E938" t="s">
        <v>390</v>
      </c>
    </row>
    <row r="939" spans="1:5" x14ac:dyDescent="0.2">
      <c r="A939" s="269">
        <v>45909.654513888891</v>
      </c>
      <c r="B939" t="s">
        <v>1431</v>
      </c>
      <c r="C939" t="s">
        <v>103</v>
      </c>
      <c r="D939" t="s">
        <v>1439</v>
      </c>
      <c r="E939" t="s">
        <v>41</v>
      </c>
    </row>
    <row r="940" spans="1:5" x14ac:dyDescent="0.2">
      <c r="A940" s="269">
        <v>45909.65452546296</v>
      </c>
      <c r="B940" t="s">
        <v>1431</v>
      </c>
      <c r="C940" t="s">
        <v>103</v>
      </c>
      <c r="D940" t="s">
        <v>672</v>
      </c>
      <c r="E940" t="s">
        <v>397</v>
      </c>
    </row>
    <row r="941" spans="1:5" x14ac:dyDescent="0.2">
      <c r="A941" s="269">
        <v>45909.654560185183</v>
      </c>
      <c r="B941" t="s">
        <v>1431</v>
      </c>
      <c r="C941" t="s">
        <v>103</v>
      </c>
      <c r="D941" t="s">
        <v>674</v>
      </c>
      <c r="E941" t="s">
        <v>400</v>
      </c>
    </row>
    <row r="942" spans="1:5" x14ac:dyDescent="0.2">
      <c r="A942" s="269">
        <v>45909.654606481483</v>
      </c>
      <c r="B942" t="s">
        <v>1431</v>
      </c>
      <c r="C942" t="s">
        <v>103</v>
      </c>
      <c r="D942" t="s">
        <v>675</v>
      </c>
      <c r="E942" t="s">
        <v>404</v>
      </c>
    </row>
    <row r="943" spans="1:5" x14ac:dyDescent="0.2">
      <c r="A943" s="269">
        <v>45909.654629629629</v>
      </c>
      <c r="B943" t="s">
        <v>1431</v>
      </c>
      <c r="C943" t="s">
        <v>103</v>
      </c>
      <c r="D943" t="s">
        <v>676</v>
      </c>
      <c r="E943" t="s">
        <v>407</v>
      </c>
    </row>
    <row r="944" spans="1:5" x14ac:dyDescent="0.2">
      <c r="A944" s="269">
        <v>45909.655034722222</v>
      </c>
      <c r="B944" t="s">
        <v>1431</v>
      </c>
      <c r="C944" t="s">
        <v>103</v>
      </c>
      <c r="D944" t="s">
        <v>1440</v>
      </c>
      <c r="E944">
        <v>15280</v>
      </c>
    </row>
    <row r="945" spans="1:5" x14ac:dyDescent="0.2">
      <c r="A945" s="269">
        <v>45909.655243055553</v>
      </c>
      <c r="B945" t="s">
        <v>1431</v>
      </c>
      <c r="C945" t="s">
        <v>103</v>
      </c>
      <c r="D945" t="s">
        <v>1441</v>
      </c>
      <c r="E945" s="442">
        <v>125021.02</v>
      </c>
    </row>
    <row r="946" spans="1:5" x14ac:dyDescent="0.2">
      <c r="A946" s="269">
        <v>45909.655393518522</v>
      </c>
      <c r="B946" t="s">
        <v>1431</v>
      </c>
      <c r="C946" t="s">
        <v>103</v>
      </c>
      <c r="D946" t="s">
        <v>937</v>
      </c>
      <c r="E946" t="s">
        <v>479</v>
      </c>
    </row>
    <row r="947" spans="1:5" x14ac:dyDescent="0.2">
      <c r="A947" s="269">
        <v>45909.655462962961</v>
      </c>
      <c r="B947" t="s">
        <v>1431</v>
      </c>
      <c r="C947" t="s">
        <v>103</v>
      </c>
      <c r="D947" t="s">
        <v>1442</v>
      </c>
      <c r="E947" t="s">
        <v>479</v>
      </c>
    </row>
    <row r="948" spans="1:5" x14ac:dyDescent="0.2">
      <c r="A948" s="269">
        <v>45909.655833333331</v>
      </c>
      <c r="B948" t="s">
        <v>1431</v>
      </c>
      <c r="C948" t="s">
        <v>103</v>
      </c>
      <c r="D948" t="s">
        <v>1443</v>
      </c>
      <c r="E948" s="443">
        <v>45909</v>
      </c>
    </row>
    <row r="949" spans="1:5" x14ac:dyDescent="0.2">
      <c r="A949" s="269">
        <v>45909.656122685185</v>
      </c>
      <c r="B949" t="s">
        <v>1431</v>
      </c>
      <c r="C949" t="s">
        <v>25</v>
      </c>
      <c r="D949" t="s">
        <v>1444</v>
      </c>
      <c r="E949" t="s">
        <v>338</v>
      </c>
    </row>
    <row r="950" spans="1:5" x14ac:dyDescent="0.2">
      <c r="A950" s="269">
        <v>45909.656168981484</v>
      </c>
      <c r="B950" t="s">
        <v>1431</v>
      </c>
      <c r="C950" t="s">
        <v>25</v>
      </c>
      <c r="D950" t="s">
        <v>951</v>
      </c>
      <c r="E950">
        <v>0</v>
      </c>
    </row>
    <row r="951" spans="1:5" x14ac:dyDescent="0.2">
      <c r="A951" s="269">
        <v>45909.656180555554</v>
      </c>
      <c r="B951" t="s">
        <v>1431</v>
      </c>
      <c r="C951" t="s">
        <v>25</v>
      </c>
      <c r="D951" t="s">
        <v>983</v>
      </c>
      <c r="E951">
        <v>0</v>
      </c>
    </row>
    <row r="952" spans="1:5" x14ac:dyDescent="0.2">
      <c r="A952" s="269">
        <v>45909.656192129631</v>
      </c>
      <c r="B952" t="s">
        <v>1431</v>
      </c>
      <c r="C952" t="s">
        <v>25</v>
      </c>
      <c r="D952" t="s">
        <v>1066</v>
      </c>
      <c r="E952">
        <v>0</v>
      </c>
    </row>
    <row r="953" spans="1:5" x14ac:dyDescent="0.2">
      <c r="A953" s="269">
        <v>45909.6562037037</v>
      </c>
      <c r="B953" t="s">
        <v>1431</v>
      </c>
      <c r="C953" t="s">
        <v>25</v>
      </c>
      <c r="D953" t="s">
        <v>994</v>
      </c>
      <c r="E953">
        <v>0</v>
      </c>
    </row>
    <row r="954" spans="1:5" x14ac:dyDescent="0.2">
      <c r="A954" s="269">
        <v>45909.6562037037</v>
      </c>
      <c r="B954" t="s">
        <v>1431</v>
      </c>
      <c r="C954" t="s">
        <v>25</v>
      </c>
      <c r="D954" t="s">
        <v>1015</v>
      </c>
      <c r="E954">
        <v>0</v>
      </c>
    </row>
    <row r="955" spans="1:5" x14ac:dyDescent="0.2">
      <c r="A955" s="269">
        <v>45909.656226851854</v>
      </c>
      <c r="B955" t="s">
        <v>1431</v>
      </c>
      <c r="C955" t="s">
        <v>25</v>
      </c>
      <c r="D955" t="s">
        <v>1018</v>
      </c>
      <c r="E955">
        <v>0</v>
      </c>
    </row>
    <row r="956" spans="1:5" x14ac:dyDescent="0.2">
      <c r="A956" s="269">
        <v>45909.656226851854</v>
      </c>
      <c r="B956" t="s">
        <v>1431</v>
      </c>
      <c r="C956" t="s">
        <v>25</v>
      </c>
      <c r="D956" t="s">
        <v>1068</v>
      </c>
      <c r="E956">
        <v>0</v>
      </c>
    </row>
    <row r="957" spans="1:5" x14ac:dyDescent="0.2">
      <c r="A957" s="269">
        <v>45909.656238425923</v>
      </c>
      <c r="B957" t="s">
        <v>1431</v>
      </c>
      <c r="C957" t="s">
        <v>25</v>
      </c>
      <c r="D957" t="s">
        <v>1069</v>
      </c>
      <c r="E957">
        <v>0</v>
      </c>
    </row>
    <row r="958" spans="1:5" x14ac:dyDescent="0.2">
      <c r="A958" s="269">
        <v>45909.656284722223</v>
      </c>
      <c r="B958" t="s">
        <v>1431</v>
      </c>
      <c r="C958" t="s">
        <v>25</v>
      </c>
      <c r="D958" t="s">
        <v>1445</v>
      </c>
      <c r="E958">
        <v>0</v>
      </c>
    </row>
    <row r="959" spans="1:5" x14ac:dyDescent="0.2">
      <c r="A959" s="269">
        <v>45909.656284722223</v>
      </c>
      <c r="B959" t="s">
        <v>1431</v>
      </c>
      <c r="C959" t="s">
        <v>25</v>
      </c>
      <c r="D959" t="s">
        <v>1446</v>
      </c>
      <c r="E959">
        <v>0</v>
      </c>
    </row>
    <row r="960" spans="1:5" x14ac:dyDescent="0.2">
      <c r="A960" s="269">
        <v>45909.6562962963</v>
      </c>
      <c r="B960" t="s">
        <v>1431</v>
      </c>
      <c r="C960" t="s">
        <v>25</v>
      </c>
      <c r="D960" t="s">
        <v>1447</v>
      </c>
      <c r="E960">
        <v>0</v>
      </c>
    </row>
    <row r="961" spans="1:5" x14ac:dyDescent="0.2">
      <c r="A961" s="269">
        <v>45909.6562962963</v>
      </c>
      <c r="B961" t="s">
        <v>1431</v>
      </c>
      <c r="C961" t="s">
        <v>25</v>
      </c>
      <c r="D961" t="s">
        <v>1448</v>
      </c>
      <c r="E961">
        <v>0</v>
      </c>
    </row>
    <row r="962" spans="1:5" x14ac:dyDescent="0.2">
      <c r="A962" s="269">
        <v>45909.656354166669</v>
      </c>
      <c r="B962" t="s">
        <v>1431</v>
      </c>
      <c r="C962" t="s">
        <v>25</v>
      </c>
      <c r="D962" t="s">
        <v>777</v>
      </c>
      <c r="E962">
        <v>0</v>
      </c>
    </row>
    <row r="963" spans="1:5" x14ac:dyDescent="0.2">
      <c r="A963" s="269">
        <v>45909.656354166669</v>
      </c>
      <c r="B963" t="s">
        <v>1431</v>
      </c>
      <c r="C963" t="s">
        <v>25</v>
      </c>
      <c r="D963" t="s">
        <v>1449</v>
      </c>
      <c r="E963">
        <v>0</v>
      </c>
    </row>
    <row r="964" spans="1:5" x14ac:dyDescent="0.2">
      <c r="A964" s="269">
        <v>45909.656365740739</v>
      </c>
      <c r="B964" t="s">
        <v>1431</v>
      </c>
      <c r="C964" t="s">
        <v>25</v>
      </c>
      <c r="D964" t="s">
        <v>973</v>
      </c>
      <c r="E964">
        <v>0</v>
      </c>
    </row>
    <row r="965" spans="1:5" x14ac:dyDescent="0.2">
      <c r="A965" s="269">
        <v>45909.656365740739</v>
      </c>
      <c r="B965" t="s">
        <v>1431</v>
      </c>
      <c r="C965" t="s">
        <v>25</v>
      </c>
      <c r="D965" t="s">
        <v>976</v>
      </c>
      <c r="E965">
        <v>0</v>
      </c>
    </row>
    <row r="966" spans="1:5" x14ac:dyDescent="0.2">
      <c r="A966" s="269">
        <v>45909.656377314815</v>
      </c>
      <c r="B966" t="s">
        <v>1431</v>
      </c>
      <c r="C966" t="s">
        <v>25</v>
      </c>
      <c r="D966" t="s">
        <v>977</v>
      </c>
      <c r="E966">
        <v>0</v>
      </c>
    </row>
    <row r="967" spans="1:5" x14ac:dyDescent="0.2">
      <c r="A967" s="269">
        <v>45909.656377314815</v>
      </c>
      <c r="B967" t="s">
        <v>1431</v>
      </c>
      <c r="C967" t="s">
        <v>25</v>
      </c>
      <c r="D967" t="s">
        <v>923</v>
      </c>
      <c r="E967">
        <v>0</v>
      </c>
    </row>
    <row r="968" spans="1:5" x14ac:dyDescent="0.2">
      <c r="A968" s="269">
        <v>45909.656388888892</v>
      </c>
      <c r="B968" t="s">
        <v>1431</v>
      </c>
      <c r="C968" t="s">
        <v>25</v>
      </c>
      <c r="D968" t="s">
        <v>918</v>
      </c>
      <c r="E968">
        <v>0</v>
      </c>
    </row>
    <row r="969" spans="1:5" x14ac:dyDescent="0.2">
      <c r="A969" s="269">
        <v>45909.656400462962</v>
      </c>
      <c r="B969" t="s">
        <v>1431</v>
      </c>
      <c r="C969" t="s">
        <v>25</v>
      </c>
      <c r="D969" t="s">
        <v>924</v>
      </c>
      <c r="E969">
        <v>0</v>
      </c>
    </row>
    <row r="970" spans="1:5" x14ac:dyDescent="0.2">
      <c r="A970" s="269">
        <v>45909.656423611108</v>
      </c>
      <c r="B970" t="s">
        <v>1431</v>
      </c>
      <c r="C970" t="s">
        <v>25</v>
      </c>
      <c r="D970" t="s">
        <v>1450</v>
      </c>
      <c r="E970">
        <v>0</v>
      </c>
    </row>
    <row r="971" spans="1:5" x14ac:dyDescent="0.2">
      <c r="A971" s="269">
        <v>45909.656435185185</v>
      </c>
      <c r="B971" t="s">
        <v>1431</v>
      </c>
      <c r="C971" t="s">
        <v>25</v>
      </c>
      <c r="D971" t="s">
        <v>981</v>
      </c>
      <c r="E971">
        <v>0</v>
      </c>
    </row>
    <row r="972" spans="1:5" x14ac:dyDescent="0.2">
      <c r="A972" s="269">
        <v>45909.656446759262</v>
      </c>
      <c r="B972" t="s">
        <v>1431</v>
      </c>
      <c r="C972" t="s">
        <v>25</v>
      </c>
      <c r="D972" t="s">
        <v>1451</v>
      </c>
      <c r="E972">
        <v>0</v>
      </c>
    </row>
    <row r="973" spans="1:5" x14ac:dyDescent="0.2">
      <c r="A973" s="269">
        <v>45909.656458333331</v>
      </c>
      <c r="B973" t="s">
        <v>1431</v>
      </c>
      <c r="C973" t="s">
        <v>25</v>
      </c>
      <c r="D973" t="s">
        <v>1452</v>
      </c>
      <c r="E973">
        <v>0</v>
      </c>
    </row>
    <row r="974" spans="1:5" x14ac:dyDescent="0.2">
      <c r="A974" s="269">
        <v>45909.656678240739</v>
      </c>
      <c r="B974" t="s">
        <v>1431</v>
      </c>
      <c r="C974" t="s">
        <v>103</v>
      </c>
      <c r="D974" t="s">
        <v>1453</v>
      </c>
      <c r="E974" t="s">
        <v>338</v>
      </c>
    </row>
    <row r="975" spans="1:5" x14ac:dyDescent="0.2">
      <c r="A975" s="269">
        <v>45909.656689814816</v>
      </c>
      <c r="B975" t="s">
        <v>1431</v>
      </c>
      <c r="C975" t="s">
        <v>103</v>
      </c>
      <c r="D975" t="s">
        <v>1453</v>
      </c>
      <c r="E975" t="s">
        <v>338</v>
      </c>
    </row>
    <row r="976" spans="1:5" x14ac:dyDescent="0.2">
      <c r="A976" s="269">
        <v>45909.656828703701</v>
      </c>
      <c r="B976" t="s">
        <v>1431</v>
      </c>
      <c r="C976" t="s">
        <v>103</v>
      </c>
      <c r="D976" t="s">
        <v>1453</v>
      </c>
    </row>
    <row r="977" spans="1:5" x14ac:dyDescent="0.2">
      <c r="A977" s="269">
        <v>45909.656875000001</v>
      </c>
      <c r="B977" t="s">
        <v>1431</v>
      </c>
      <c r="C977" t="s">
        <v>25</v>
      </c>
      <c r="D977" t="s">
        <v>1444</v>
      </c>
    </row>
    <row r="978" spans="1:5" x14ac:dyDescent="0.2">
      <c r="A978" s="269">
        <v>45909.65693287037</v>
      </c>
      <c r="B978" t="s">
        <v>1431</v>
      </c>
      <c r="C978" t="s">
        <v>25</v>
      </c>
      <c r="D978" t="s">
        <v>1454</v>
      </c>
    </row>
    <row r="979" spans="1:5" x14ac:dyDescent="0.2">
      <c r="A979" s="269">
        <v>45909.657060185185</v>
      </c>
      <c r="B979" t="s">
        <v>1431</v>
      </c>
      <c r="C979" t="s">
        <v>25</v>
      </c>
      <c r="D979" t="s">
        <v>1456</v>
      </c>
      <c r="E979" t="s">
        <v>1455</v>
      </c>
    </row>
    <row r="980" spans="1:5" x14ac:dyDescent="0.2">
      <c r="A980" s="269">
        <v>45909.657141203701</v>
      </c>
      <c r="B980" t="s">
        <v>1431</v>
      </c>
      <c r="C980" t="s">
        <v>103</v>
      </c>
      <c r="D980" t="s">
        <v>1436</v>
      </c>
      <c r="E980" t="s">
        <v>338</v>
      </c>
    </row>
    <row r="981" spans="1:5" x14ac:dyDescent="0.2">
      <c r="A981" s="269">
        <v>45909.657164351855</v>
      </c>
      <c r="B981" t="s">
        <v>1431</v>
      </c>
      <c r="C981" t="s">
        <v>103</v>
      </c>
      <c r="D981" t="s">
        <v>1191</v>
      </c>
      <c r="E981" t="s">
        <v>89</v>
      </c>
    </row>
    <row r="982" spans="1:5" x14ac:dyDescent="0.2">
      <c r="A982" s="269">
        <v>45909.657199074078</v>
      </c>
      <c r="B982" t="s">
        <v>1431</v>
      </c>
      <c r="C982" t="s">
        <v>103</v>
      </c>
      <c r="D982" t="s">
        <v>795</v>
      </c>
      <c r="E982" t="s">
        <v>362</v>
      </c>
    </row>
    <row r="983" spans="1:5" x14ac:dyDescent="0.2">
      <c r="A983" s="269">
        <v>45909.657222222224</v>
      </c>
      <c r="B983" t="s">
        <v>1431</v>
      </c>
      <c r="C983" t="s">
        <v>103</v>
      </c>
      <c r="D983" t="s">
        <v>1013</v>
      </c>
      <c r="E983" t="s">
        <v>371</v>
      </c>
    </row>
    <row r="984" spans="1:5" x14ac:dyDescent="0.2">
      <c r="A984" s="269">
        <v>45909.657256944447</v>
      </c>
      <c r="B984" t="s">
        <v>1431</v>
      </c>
      <c r="C984" t="s">
        <v>103</v>
      </c>
      <c r="D984" t="s">
        <v>747</v>
      </c>
      <c r="E984" t="s">
        <v>379</v>
      </c>
    </row>
    <row r="985" spans="1:5" x14ac:dyDescent="0.2">
      <c r="A985" s="269">
        <v>45909.65730324074</v>
      </c>
      <c r="B985" t="s">
        <v>1431</v>
      </c>
      <c r="C985" t="s">
        <v>103</v>
      </c>
      <c r="D985" t="s">
        <v>1437</v>
      </c>
      <c r="E985" t="s">
        <v>386</v>
      </c>
    </row>
    <row r="986" spans="1:5" x14ac:dyDescent="0.2">
      <c r="A986" s="269">
        <v>45909.657337962963</v>
      </c>
      <c r="B986" t="s">
        <v>1431</v>
      </c>
      <c r="C986" t="s">
        <v>103</v>
      </c>
      <c r="D986" t="s">
        <v>1438</v>
      </c>
      <c r="E986" t="s">
        <v>390</v>
      </c>
    </row>
    <row r="987" spans="1:5" x14ac:dyDescent="0.2">
      <c r="A987" s="269">
        <v>45909.657372685186</v>
      </c>
      <c r="B987" t="s">
        <v>1431</v>
      </c>
      <c r="C987" t="s">
        <v>103</v>
      </c>
      <c r="D987" t="s">
        <v>1439</v>
      </c>
      <c r="E987" t="s">
        <v>41</v>
      </c>
    </row>
    <row r="988" spans="1:5" x14ac:dyDescent="0.2">
      <c r="A988" s="269">
        <v>45909.657465277778</v>
      </c>
      <c r="B988" t="s">
        <v>1431</v>
      </c>
      <c r="C988" t="s">
        <v>103</v>
      </c>
      <c r="D988" t="s">
        <v>672</v>
      </c>
      <c r="E988" t="s">
        <v>397</v>
      </c>
    </row>
    <row r="989" spans="1:5" x14ac:dyDescent="0.2">
      <c r="A989" s="269">
        <v>45909.657534722224</v>
      </c>
      <c r="B989" t="s">
        <v>1431</v>
      </c>
      <c r="C989" t="s">
        <v>103</v>
      </c>
      <c r="D989" t="s">
        <v>674</v>
      </c>
      <c r="E989" t="s">
        <v>400</v>
      </c>
    </row>
    <row r="990" spans="1:5" x14ac:dyDescent="0.2">
      <c r="A990" s="269">
        <v>45909.657592592594</v>
      </c>
      <c r="B990" t="s">
        <v>1431</v>
      </c>
      <c r="C990" t="s">
        <v>103</v>
      </c>
      <c r="D990" t="s">
        <v>675</v>
      </c>
      <c r="E990" t="s">
        <v>404</v>
      </c>
    </row>
    <row r="991" spans="1:5" x14ac:dyDescent="0.2">
      <c r="A991" s="269">
        <v>45909.657627314817</v>
      </c>
      <c r="B991" t="s">
        <v>1431</v>
      </c>
      <c r="C991" t="s">
        <v>103</v>
      </c>
      <c r="D991" t="s">
        <v>676</v>
      </c>
      <c r="E991" t="s">
        <v>407</v>
      </c>
    </row>
    <row r="992" spans="1:5" x14ac:dyDescent="0.2">
      <c r="A992" s="269">
        <v>45909.658032407409</v>
      </c>
      <c r="B992" t="s">
        <v>1431</v>
      </c>
      <c r="C992" t="s">
        <v>26</v>
      </c>
      <c r="D992" t="s">
        <v>1436</v>
      </c>
      <c r="E992" t="s">
        <v>338</v>
      </c>
    </row>
    <row r="993" spans="1:5" x14ac:dyDescent="0.2">
      <c r="A993" s="269">
        <v>45909.658067129632</v>
      </c>
      <c r="B993" t="s">
        <v>1431</v>
      </c>
      <c r="C993" t="s">
        <v>26</v>
      </c>
      <c r="D993" t="s">
        <v>1191</v>
      </c>
      <c r="E993" t="s">
        <v>89</v>
      </c>
    </row>
    <row r="994" spans="1:5" x14ac:dyDescent="0.2">
      <c r="A994" s="269">
        <v>45909.658090277779</v>
      </c>
      <c r="B994" t="s">
        <v>1431</v>
      </c>
      <c r="C994" t="s">
        <v>26</v>
      </c>
      <c r="D994" t="s">
        <v>795</v>
      </c>
      <c r="E994" t="s">
        <v>362</v>
      </c>
    </row>
    <row r="995" spans="1:5" x14ac:dyDescent="0.2">
      <c r="A995" s="269">
        <v>45909.658125000002</v>
      </c>
      <c r="B995" t="s">
        <v>1431</v>
      </c>
      <c r="C995" t="s">
        <v>26</v>
      </c>
      <c r="D995" t="s">
        <v>1013</v>
      </c>
      <c r="E995" t="s">
        <v>371</v>
      </c>
    </row>
    <row r="996" spans="1:5" x14ac:dyDescent="0.2">
      <c r="A996" s="269">
        <v>45909.658159722225</v>
      </c>
      <c r="B996" t="s">
        <v>1431</v>
      </c>
      <c r="C996" t="s">
        <v>26</v>
      </c>
      <c r="D996" t="s">
        <v>747</v>
      </c>
      <c r="E996" t="s">
        <v>379</v>
      </c>
    </row>
    <row r="997" spans="1:5" x14ac:dyDescent="0.2">
      <c r="A997" s="269">
        <v>45909.658182870371</v>
      </c>
      <c r="B997" t="s">
        <v>1431</v>
      </c>
      <c r="C997" t="s">
        <v>26</v>
      </c>
      <c r="D997" t="s">
        <v>1437</v>
      </c>
      <c r="E997" t="s">
        <v>386</v>
      </c>
    </row>
    <row r="998" spans="1:5" x14ac:dyDescent="0.2">
      <c r="A998" s="269">
        <v>45909.658229166664</v>
      </c>
      <c r="B998" t="s">
        <v>1431</v>
      </c>
      <c r="C998" t="s">
        <v>26</v>
      </c>
      <c r="D998" t="s">
        <v>1438</v>
      </c>
      <c r="E998" t="s">
        <v>390</v>
      </c>
    </row>
    <row r="999" spans="1:5" x14ac:dyDescent="0.2">
      <c r="A999" s="269">
        <v>45909.65829861111</v>
      </c>
      <c r="B999" t="s">
        <v>1431</v>
      </c>
      <c r="C999" t="s">
        <v>26</v>
      </c>
      <c r="D999" t="s">
        <v>1439</v>
      </c>
      <c r="E999" t="s">
        <v>41</v>
      </c>
    </row>
    <row r="1000" spans="1:5" x14ac:dyDescent="0.2">
      <c r="A1000" s="269">
        <v>45909.65834490741</v>
      </c>
      <c r="B1000" t="s">
        <v>1431</v>
      </c>
      <c r="C1000" t="s">
        <v>26</v>
      </c>
      <c r="D1000" t="s">
        <v>672</v>
      </c>
      <c r="E1000" t="s">
        <v>397</v>
      </c>
    </row>
    <row r="1001" spans="1:5" x14ac:dyDescent="0.2">
      <c r="A1001" s="269">
        <v>45909.658391203702</v>
      </c>
      <c r="B1001" t="s">
        <v>1431</v>
      </c>
      <c r="C1001" t="s">
        <v>26</v>
      </c>
      <c r="D1001" t="s">
        <v>674</v>
      </c>
      <c r="E1001" t="s">
        <v>400</v>
      </c>
    </row>
    <row r="1002" spans="1:5" x14ac:dyDescent="0.2">
      <c r="A1002" s="269">
        <v>45909.658437500002</v>
      </c>
      <c r="B1002" t="s">
        <v>1431</v>
      </c>
      <c r="C1002" t="s">
        <v>26</v>
      </c>
      <c r="D1002" t="s">
        <v>675</v>
      </c>
      <c r="E1002" t="s">
        <v>404</v>
      </c>
    </row>
    <row r="1003" spans="1:5" x14ac:dyDescent="0.2">
      <c r="A1003" s="269">
        <v>45909.658460648148</v>
      </c>
      <c r="B1003" t="s">
        <v>1431</v>
      </c>
      <c r="C1003" t="s">
        <v>26</v>
      </c>
      <c r="D1003" t="s">
        <v>676</v>
      </c>
      <c r="E1003" t="s">
        <v>407</v>
      </c>
    </row>
    <row r="1004" spans="1:5" x14ac:dyDescent="0.2">
      <c r="A1004" s="269">
        <v>45909.658680555556</v>
      </c>
      <c r="B1004" t="s">
        <v>1431</v>
      </c>
      <c r="C1004" t="s">
        <v>26</v>
      </c>
      <c r="D1004" t="s">
        <v>983</v>
      </c>
      <c r="E1004" t="s">
        <v>124</v>
      </c>
    </row>
    <row r="1005" spans="1:5" x14ac:dyDescent="0.2">
      <c r="A1005" s="269">
        <v>45909.658750000002</v>
      </c>
      <c r="B1005" t="s">
        <v>1431</v>
      </c>
      <c r="C1005" t="s">
        <v>26</v>
      </c>
      <c r="D1005" t="s">
        <v>1457</v>
      </c>
      <c r="E1005" t="s">
        <v>124</v>
      </c>
    </row>
    <row r="1006" spans="1:5" x14ac:dyDescent="0.2">
      <c r="A1006" s="269">
        <v>45909.659004629626</v>
      </c>
      <c r="B1006" t="s">
        <v>1431</v>
      </c>
      <c r="C1006" t="s">
        <v>26</v>
      </c>
      <c r="D1006" t="s">
        <v>1441</v>
      </c>
      <c r="E1006">
        <v>54</v>
      </c>
    </row>
    <row r="1007" spans="1:5" x14ac:dyDescent="0.2">
      <c r="A1007" s="269">
        <v>45909.661168981482</v>
      </c>
      <c r="B1007" t="s">
        <v>1431</v>
      </c>
      <c r="C1007" t="s">
        <v>27</v>
      </c>
      <c r="D1007" t="s">
        <v>950</v>
      </c>
      <c r="E1007" t="s">
        <v>390</v>
      </c>
    </row>
    <row r="1008" spans="1:5" x14ac:dyDescent="0.2">
      <c r="A1008" s="269">
        <v>45909.667141203703</v>
      </c>
      <c r="B1008" t="s">
        <v>1431</v>
      </c>
      <c r="C1008" t="s">
        <v>27</v>
      </c>
      <c r="D1008" t="s">
        <v>777</v>
      </c>
      <c r="E1008">
        <v>301.52</v>
      </c>
    </row>
    <row r="1009" spans="1:5" x14ac:dyDescent="0.2">
      <c r="A1009" s="269">
        <v>45909.667210648149</v>
      </c>
      <c r="B1009" t="s">
        <v>1431</v>
      </c>
      <c r="C1009" t="s">
        <v>27</v>
      </c>
      <c r="D1009" t="s">
        <v>1436</v>
      </c>
      <c r="E1009" t="s">
        <v>37</v>
      </c>
    </row>
    <row r="1010" spans="1:5" x14ac:dyDescent="0.2">
      <c r="A1010" s="269">
        <v>45909.667256944442</v>
      </c>
      <c r="B1010" t="s">
        <v>1431</v>
      </c>
      <c r="C1010" t="s">
        <v>27</v>
      </c>
      <c r="D1010" t="s">
        <v>1458</v>
      </c>
      <c r="E1010" t="s">
        <v>41</v>
      </c>
    </row>
    <row r="1011" spans="1:5" x14ac:dyDescent="0.2">
      <c r="A1011" s="269">
        <v>45909.667349537034</v>
      </c>
      <c r="B1011" t="s">
        <v>1431</v>
      </c>
      <c r="C1011" t="s">
        <v>27</v>
      </c>
      <c r="D1011" t="s">
        <v>1449</v>
      </c>
      <c r="E1011">
        <v>152.03</v>
      </c>
    </row>
    <row r="1012" spans="1:5" x14ac:dyDescent="0.2">
      <c r="A1012" s="269">
        <v>45909.667442129627</v>
      </c>
      <c r="B1012" t="s">
        <v>1431</v>
      </c>
      <c r="C1012" t="s">
        <v>27</v>
      </c>
      <c r="D1012" t="s">
        <v>1191</v>
      </c>
      <c r="E1012" t="s">
        <v>37</v>
      </c>
    </row>
    <row r="1013" spans="1:5" x14ac:dyDescent="0.2">
      <c r="A1013" s="269">
        <v>45909.667511574073</v>
      </c>
      <c r="B1013" t="s">
        <v>1431</v>
      </c>
      <c r="C1013" t="s">
        <v>27</v>
      </c>
      <c r="D1013" t="s">
        <v>1010</v>
      </c>
      <c r="E1013" t="s">
        <v>404</v>
      </c>
    </row>
    <row r="1014" spans="1:5" x14ac:dyDescent="0.2">
      <c r="A1014" s="269">
        <v>45909.667569444442</v>
      </c>
      <c r="B1014" t="s">
        <v>1431</v>
      </c>
      <c r="C1014" t="s">
        <v>27</v>
      </c>
      <c r="D1014" t="s">
        <v>1449</v>
      </c>
      <c r="E1014">
        <v>152.03</v>
      </c>
    </row>
    <row r="1015" spans="1:5" x14ac:dyDescent="0.2">
      <c r="A1015" s="269">
        <v>45909.667685185188</v>
      </c>
      <c r="B1015" t="s">
        <v>1431</v>
      </c>
      <c r="C1015" t="s">
        <v>27</v>
      </c>
      <c r="D1015" t="s">
        <v>973</v>
      </c>
      <c r="E1015">
        <v>90.44</v>
      </c>
    </row>
    <row r="1016" spans="1:5" x14ac:dyDescent="0.2">
      <c r="A1016" s="269">
        <v>45909.66777777778</v>
      </c>
      <c r="B1016" t="s">
        <v>1431</v>
      </c>
      <c r="C1016" t="s">
        <v>27</v>
      </c>
      <c r="D1016" t="s">
        <v>976</v>
      </c>
      <c r="E1016">
        <v>22</v>
      </c>
    </row>
    <row r="1017" spans="1:5" x14ac:dyDescent="0.2">
      <c r="A1017" s="269">
        <v>45909.667812500003</v>
      </c>
      <c r="B1017" t="s">
        <v>1431</v>
      </c>
      <c r="C1017" t="s">
        <v>27</v>
      </c>
      <c r="D1017" t="s">
        <v>995</v>
      </c>
      <c r="E1017" t="s">
        <v>407</v>
      </c>
    </row>
    <row r="1018" spans="1:5" x14ac:dyDescent="0.2">
      <c r="A1018" s="269">
        <v>45909.667870370373</v>
      </c>
      <c r="B1018" t="s">
        <v>1431</v>
      </c>
      <c r="C1018" t="s">
        <v>27</v>
      </c>
      <c r="D1018" t="s">
        <v>795</v>
      </c>
      <c r="E1018" t="s">
        <v>37</v>
      </c>
    </row>
    <row r="1019" spans="1:5" x14ac:dyDescent="0.2">
      <c r="A1019" s="269">
        <v>45909.667974537035</v>
      </c>
      <c r="B1019" t="s">
        <v>1431</v>
      </c>
      <c r="C1019" t="s">
        <v>27</v>
      </c>
      <c r="D1019" t="s">
        <v>1449</v>
      </c>
      <c r="E1019">
        <v>152</v>
      </c>
    </row>
    <row r="1020" spans="1:5" x14ac:dyDescent="0.2">
      <c r="A1020" s="269">
        <v>45909.668009259258</v>
      </c>
      <c r="B1020" t="s">
        <v>1431</v>
      </c>
      <c r="C1020" t="s">
        <v>27</v>
      </c>
      <c r="D1020" t="s">
        <v>1449</v>
      </c>
      <c r="E1020">
        <v>152.03</v>
      </c>
    </row>
    <row r="1021" spans="1:5" x14ac:dyDescent="0.2">
      <c r="A1021" s="269">
        <v>45909.668240740742</v>
      </c>
      <c r="B1021" t="s">
        <v>1431</v>
      </c>
      <c r="C1021" t="s">
        <v>27</v>
      </c>
      <c r="D1021" t="s">
        <v>1435</v>
      </c>
      <c r="E1021" t="s">
        <v>1434</v>
      </c>
    </row>
    <row r="1022" spans="1:5" x14ac:dyDescent="0.2">
      <c r="A1022" s="269">
        <v>45909.668263888889</v>
      </c>
      <c r="B1022" t="s">
        <v>1431</v>
      </c>
      <c r="C1022" t="s">
        <v>27</v>
      </c>
      <c r="D1022" t="s">
        <v>1443</v>
      </c>
      <c r="E1022" s="443">
        <v>45909</v>
      </c>
    </row>
    <row r="1023" spans="1:5" x14ac:dyDescent="0.2">
      <c r="A1023" s="269">
        <v>45909.668298611112</v>
      </c>
      <c r="B1023" t="s">
        <v>1431</v>
      </c>
      <c r="C1023" t="s">
        <v>27</v>
      </c>
      <c r="D1023" t="s">
        <v>1443</v>
      </c>
      <c r="E1023" s="443">
        <v>45909</v>
      </c>
    </row>
    <row r="1024" spans="1:5" x14ac:dyDescent="0.2">
      <c r="A1024" s="269">
        <v>45909.668402777781</v>
      </c>
      <c r="B1024" t="s">
        <v>1431</v>
      </c>
      <c r="C1024" t="s">
        <v>27</v>
      </c>
      <c r="D1024" t="s">
        <v>1443</v>
      </c>
      <c r="E1024" s="444">
        <v>45909</v>
      </c>
    </row>
    <row r="1025" spans="1:5" x14ac:dyDescent="0.2">
      <c r="A1025" s="269">
        <v>45909.668622685182</v>
      </c>
      <c r="B1025" t="s">
        <v>1431</v>
      </c>
      <c r="C1025" t="s">
        <v>58</v>
      </c>
      <c r="D1025" t="s">
        <v>946</v>
      </c>
      <c r="E1025" t="s">
        <v>343</v>
      </c>
    </row>
    <row r="1026" spans="1:5" x14ac:dyDescent="0.2">
      <c r="A1026" s="269">
        <v>45909.66883101852</v>
      </c>
      <c r="B1026" t="s">
        <v>1431</v>
      </c>
      <c r="C1026" t="s">
        <v>58</v>
      </c>
      <c r="D1026" t="s">
        <v>1436</v>
      </c>
      <c r="E1026" t="s">
        <v>365</v>
      </c>
    </row>
    <row r="1027" spans="1:5" x14ac:dyDescent="0.2">
      <c r="A1027" s="269">
        <v>45909.668900462966</v>
      </c>
      <c r="B1027" t="s">
        <v>1431</v>
      </c>
      <c r="C1027" t="s">
        <v>58</v>
      </c>
      <c r="D1027" t="s">
        <v>1191</v>
      </c>
      <c r="E1027" t="s">
        <v>381</v>
      </c>
    </row>
    <row r="1028" spans="1:5" x14ac:dyDescent="0.2">
      <c r="A1028" s="269">
        <v>45909.668946759259</v>
      </c>
      <c r="B1028" t="s">
        <v>1431</v>
      </c>
      <c r="C1028" t="s">
        <v>58</v>
      </c>
      <c r="D1028" t="s">
        <v>950</v>
      </c>
      <c r="E1028" t="s">
        <v>63</v>
      </c>
    </row>
    <row r="1029" spans="1:5" x14ac:dyDescent="0.2">
      <c r="A1029" s="269">
        <v>45909.668981481482</v>
      </c>
      <c r="B1029" t="s">
        <v>1431</v>
      </c>
      <c r="C1029" t="s">
        <v>58</v>
      </c>
      <c r="D1029" t="s">
        <v>1458</v>
      </c>
      <c r="E1029" t="s">
        <v>63</v>
      </c>
    </row>
    <row r="1030" spans="1:5" x14ac:dyDescent="0.2">
      <c r="A1030" s="269">
        <v>45909.669004629628</v>
      </c>
      <c r="B1030" t="s">
        <v>1431</v>
      </c>
      <c r="C1030" t="s">
        <v>58</v>
      </c>
      <c r="D1030" t="s">
        <v>1010</v>
      </c>
      <c r="E1030" t="s">
        <v>63</v>
      </c>
    </row>
    <row r="1031" spans="1:5" x14ac:dyDescent="0.2">
      <c r="A1031" s="269">
        <v>45909.66909722222</v>
      </c>
      <c r="B1031" t="s">
        <v>1431</v>
      </c>
      <c r="C1031" t="s">
        <v>58</v>
      </c>
      <c r="D1031" t="s">
        <v>1460</v>
      </c>
      <c r="E1031" t="s">
        <v>343</v>
      </c>
    </row>
    <row r="1032" spans="1:5" x14ac:dyDescent="0.2">
      <c r="A1032" s="269">
        <v>45909.669120370374</v>
      </c>
      <c r="B1032" t="s">
        <v>1431</v>
      </c>
      <c r="C1032" t="s">
        <v>58</v>
      </c>
      <c r="D1032" t="s">
        <v>1461</v>
      </c>
      <c r="E1032" t="s">
        <v>343</v>
      </c>
    </row>
    <row r="1033" spans="1:5" x14ac:dyDescent="0.2">
      <c r="A1033" s="269">
        <v>45909.66914351852</v>
      </c>
      <c r="B1033" t="s">
        <v>1431</v>
      </c>
      <c r="C1033" t="s">
        <v>58</v>
      </c>
      <c r="D1033" t="s">
        <v>1462</v>
      </c>
      <c r="E1033" t="s">
        <v>343</v>
      </c>
    </row>
    <row r="1034" spans="1:5" x14ac:dyDescent="0.2">
      <c r="A1034" s="269">
        <v>45909.669189814813</v>
      </c>
      <c r="B1034" t="s">
        <v>1431</v>
      </c>
      <c r="C1034" t="s">
        <v>58</v>
      </c>
      <c r="D1034" t="s">
        <v>1463</v>
      </c>
      <c r="E1034" t="s">
        <v>343</v>
      </c>
    </row>
    <row r="1035" spans="1:5" x14ac:dyDescent="0.2">
      <c r="A1035" s="269">
        <v>45909.669212962966</v>
      </c>
      <c r="B1035" t="s">
        <v>1431</v>
      </c>
      <c r="C1035" t="s">
        <v>58</v>
      </c>
      <c r="D1035" t="s">
        <v>1464</v>
      </c>
      <c r="E1035" t="s">
        <v>343</v>
      </c>
    </row>
    <row r="1036" spans="1:5" x14ac:dyDescent="0.2">
      <c r="A1036" s="269">
        <v>45909.669236111113</v>
      </c>
      <c r="B1036" t="s">
        <v>1431</v>
      </c>
      <c r="C1036" t="s">
        <v>58</v>
      </c>
      <c r="D1036" t="s">
        <v>1465</v>
      </c>
      <c r="E1036" t="s">
        <v>343</v>
      </c>
    </row>
    <row r="1037" spans="1:5" x14ac:dyDescent="0.2">
      <c r="A1037" s="269">
        <v>45909.669270833336</v>
      </c>
      <c r="B1037" t="s">
        <v>1431</v>
      </c>
      <c r="C1037" t="s">
        <v>58</v>
      </c>
      <c r="D1037" t="s">
        <v>1466</v>
      </c>
      <c r="E1037" t="s">
        <v>343</v>
      </c>
    </row>
    <row r="1038" spans="1:5" x14ac:dyDescent="0.2">
      <c r="A1038" s="269">
        <v>45909.669293981482</v>
      </c>
      <c r="B1038" t="s">
        <v>1431</v>
      </c>
      <c r="C1038" t="s">
        <v>58</v>
      </c>
      <c r="D1038" t="s">
        <v>1467</v>
      </c>
      <c r="E1038" t="s">
        <v>343</v>
      </c>
    </row>
    <row r="1039" spans="1:5" x14ac:dyDescent="0.2">
      <c r="A1039" s="269">
        <v>45909.669317129628</v>
      </c>
      <c r="B1039" t="s">
        <v>1431</v>
      </c>
      <c r="C1039" t="s">
        <v>58</v>
      </c>
      <c r="D1039" t="s">
        <v>1468</v>
      </c>
      <c r="E1039" t="s">
        <v>343</v>
      </c>
    </row>
    <row r="1040" spans="1:5" x14ac:dyDescent="0.2">
      <c r="A1040" s="269">
        <v>45909.669340277775</v>
      </c>
      <c r="B1040" t="s">
        <v>1431</v>
      </c>
      <c r="C1040" t="s">
        <v>58</v>
      </c>
      <c r="D1040" t="s">
        <v>1469</v>
      </c>
      <c r="E1040" t="s">
        <v>343</v>
      </c>
    </row>
    <row r="1041" spans="1:5" x14ac:dyDescent="0.2">
      <c r="A1041" s="269">
        <v>45909.669421296298</v>
      </c>
      <c r="B1041" t="s">
        <v>1431</v>
      </c>
      <c r="C1041" t="s">
        <v>58</v>
      </c>
      <c r="D1041" t="s">
        <v>1470</v>
      </c>
      <c r="E1041" t="s">
        <v>343</v>
      </c>
    </row>
    <row r="1042" spans="1:5" x14ac:dyDescent="0.2">
      <c r="A1042" s="269">
        <v>45909.669490740744</v>
      </c>
      <c r="B1042" t="s">
        <v>1431</v>
      </c>
      <c r="C1042" t="s">
        <v>58</v>
      </c>
      <c r="D1042" t="s">
        <v>951</v>
      </c>
      <c r="E1042" t="s">
        <v>338</v>
      </c>
    </row>
    <row r="1043" spans="1:5" x14ac:dyDescent="0.2">
      <c r="A1043" s="269">
        <v>45909.66951388889</v>
      </c>
      <c r="B1043" t="s">
        <v>1431</v>
      </c>
      <c r="C1043" t="s">
        <v>58</v>
      </c>
      <c r="D1043" t="s">
        <v>983</v>
      </c>
      <c r="E1043" t="s">
        <v>338</v>
      </c>
    </row>
    <row r="1044" spans="1:5" x14ac:dyDescent="0.2">
      <c r="A1044" s="269">
        <v>45909.669548611113</v>
      </c>
      <c r="B1044" t="s">
        <v>1431</v>
      </c>
      <c r="C1044" t="s">
        <v>58</v>
      </c>
      <c r="D1044" t="s">
        <v>1066</v>
      </c>
      <c r="E1044" t="s">
        <v>338</v>
      </c>
    </row>
    <row r="1045" spans="1:5" x14ac:dyDescent="0.2">
      <c r="A1045" s="269">
        <v>45909.669583333336</v>
      </c>
      <c r="B1045" t="s">
        <v>1431</v>
      </c>
      <c r="C1045" t="s">
        <v>58</v>
      </c>
      <c r="D1045" t="s">
        <v>994</v>
      </c>
      <c r="E1045" t="s">
        <v>89</v>
      </c>
    </row>
    <row r="1046" spans="1:5" x14ac:dyDescent="0.2">
      <c r="A1046" s="269">
        <v>45909.669583333336</v>
      </c>
      <c r="B1046" t="s">
        <v>1431</v>
      </c>
      <c r="C1046" t="s">
        <v>58</v>
      </c>
      <c r="D1046" t="s">
        <v>1015</v>
      </c>
      <c r="E1046" t="s">
        <v>89</v>
      </c>
    </row>
    <row r="1047" spans="1:5" x14ac:dyDescent="0.2">
      <c r="A1047" s="269">
        <v>45909.669594907406</v>
      </c>
      <c r="B1047" t="s">
        <v>1431</v>
      </c>
      <c r="C1047" t="s">
        <v>58</v>
      </c>
      <c r="D1047" t="s">
        <v>1018</v>
      </c>
      <c r="E1047" t="s">
        <v>89</v>
      </c>
    </row>
    <row r="1048" spans="1:5" x14ac:dyDescent="0.2">
      <c r="A1048" s="269">
        <v>45909.669629629629</v>
      </c>
      <c r="B1048" t="s">
        <v>1431</v>
      </c>
      <c r="C1048" t="s">
        <v>58</v>
      </c>
      <c r="D1048" t="s">
        <v>1068</v>
      </c>
      <c r="E1048" t="s">
        <v>362</v>
      </c>
    </row>
    <row r="1049" spans="1:5" x14ac:dyDescent="0.2">
      <c r="A1049" s="269">
        <v>45909.669641203705</v>
      </c>
      <c r="B1049" t="s">
        <v>1431</v>
      </c>
      <c r="C1049" t="s">
        <v>58</v>
      </c>
      <c r="D1049" t="s">
        <v>1069</v>
      </c>
      <c r="E1049" t="s">
        <v>362</v>
      </c>
    </row>
    <row r="1050" spans="1:5" x14ac:dyDescent="0.2">
      <c r="A1050" s="269">
        <v>45909.669664351852</v>
      </c>
      <c r="B1050" t="s">
        <v>1431</v>
      </c>
      <c r="C1050" t="s">
        <v>58</v>
      </c>
      <c r="D1050" t="s">
        <v>1445</v>
      </c>
      <c r="E1050" t="s">
        <v>362</v>
      </c>
    </row>
    <row r="1051" spans="1:5" x14ac:dyDescent="0.2">
      <c r="A1051" s="269">
        <v>45909.669699074075</v>
      </c>
      <c r="B1051" t="s">
        <v>1431</v>
      </c>
      <c r="C1051" t="s">
        <v>58</v>
      </c>
      <c r="D1051" t="s">
        <v>1446</v>
      </c>
      <c r="E1051" t="s">
        <v>371</v>
      </c>
    </row>
    <row r="1052" spans="1:5" x14ac:dyDescent="0.2">
      <c r="A1052" s="269">
        <v>45909.669710648152</v>
      </c>
      <c r="B1052" t="s">
        <v>1431</v>
      </c>
      <c r="C1052" t="s">
        <v>58</v>
      </c>
      <c r="D1052" t="s">
        <v>1447</v>
      </c>
      <c r="E1052" t="s">
        <v>371</v>
      </c>
    </row>
    <row r="1053" spans="1:5" x14ac:dyDescent="0.2">
      <c r="A1053" s="269">
        <v>45909.669722222221</v>
      </c>
      <c r="B1053" t="s">
        <v>1431</v>
      </c>
      <c r="C1053" t="s">
        <v>58</v>
      </c>
      <c r="D1053" t="s">
        <v>1448</v>
      </c>
      <c r="E1053" t="s">
        <v>371</v>
      </c>
    </row>
    <row r="1054" spans="1:5" x14ac:dyDescent="0.2">
      <c r="A1054" s="269">
        <v>45909.669768518521</v>
      </c>
      <c r="B1054" t="s">
        <v>1431</v>
      </c>
      <c r="C1054" t="s">
        <v>58</v>
      </c>
      <c r="D1054" t="s">
        <v>1471</v>
      </c>
      <c r="E1054" t="s">
        <v>379</v>
      </c>
    </row>
    <row r="1055" spans="1:5" x14ac:dyDescent="0.2">
      <c r="A1055" s="269">
        <v>45909.669814814813</v>
      </c>
      <c r="B1055" t="s">
        <v>1431</v>
      </c>
      <c r="C1055" t="s">
        <v>58</v>
      </c>
      <c r="D1055" t="s">
        <v>1472</v>
      </c>
      <c r="E1055" t="s">
        <v>379</v>
      </c>
    </row>
    <row r="1056" spans="1:5" x14ac:dyDescent="0.2">
      <c r="A1056" s="269">
        <v>45909.669872685183</v>
      </c>
      <c r="B1056" t="s">
        <v>1431</v>
      </c>
      <c r="C1056" t="s">
        <v>58</v>
      </c>
      <c r="D1056" t="s">
        <v>1473</v>
      </c>
      <c r="E1056" t="s">
        <v>379</v>
      </c>
    </row>
    <row r="1057" spans="1:5" x14ac:dyDescent="0.2">
      <c r="A1057" s="269">
        <v>45909.669918981483</v>
      </c>
      <c r="B1057" t="s">
        <v>1431</v>
      </c>
      <c r="C1057" t="s">
        <v>58</v>
      </c>
      <c r="D1057" t="s">
        <v>1474</v>
      </c>
      <c r="E1057" t="s">
        <v>386</v>
      </c>
    </row>
    <row r="1058" spans="1:5" x14ac:dyDescent="0.2">
      <c r="A1058" s="269">
        <v>45909.669942129629</v>
      </c>
      <c r="B1058" t="s">
        <v>1431</v>
      </c>
      <c r="C1058" t="s">
        <v>58</v>
      </c>
      <c r="D1058" t="s">
        <v>1475</v>
      </c>
      <c r="E1058" t="s">
        <v>386</v>
      </c>
    </row>
    <row r="1059" spans="1:5" x14ac:dyDescent="0.2">
      <c r="A1059" s="269">
        <v>45909.669965277775</v>
      </c>
      <c r="B1059" t="s">
        <v>1431</v>
      </c>
      <c r="C1059" t="s">
        <v>58</v>
      </c>
      <c r="D1059" t="s">
        <v>1476</v>
      </c>
      <c r="E1059" t="s">
        <v>386</v>
      </c>
    </row>
    <row r="1060" spans="1:5" x14ac:dyDescent="0.2">
      <c r="A1060" s="269">
        <v>45909.669988425929</v>
      </c>
      <c r="B1060" t="s">
        <v>1431</v>
      </c>
      <c r="C1060" t="s">
        <v>58</v>
      </c>
      <c r="D1060" t="s">
        <v>1477</v>
      </c>
      <c r="E1060" t="s">
        <v>390</v>
      </c>
    </row>
    <row r="1061" spans="1:5" x14ac:dyDescent="0.2">
      <c r="A1061" s="269">
        <v>45909.67</v>
      </c>
      <c r="B1061" t="s">
        <v>1431</v>
      </c>
      <c r="C1061" t="s">
        <v>58</v>
      </c>
      <c r="D1061" t="s">
        <v>1478</v>
      </c>
      <c r="E1061" t="s">
        <v>390</v>
      </c>
    </row>
    <row r="1062" spans="1:5" x14ac:dyDescent="0.2">
      <c r="A1062" s="269">
        <v>45909.670046296298</v>
      </c>
      <c r="B1062" t="s">
        <v>1431</v>
      </c>
      <c r="C1062" t="s">
        <v>58</v>
      </c>
      <c r="D1062" t="s">
        <v>1479</v>
      </c>
      <c r="E1062" t="s">
        <v>390</v>
      </c>
    </row>
    <row r="1063" spans="1:5" x14ac:dyDescent="0.2">
      <c r="A1063" s="269">
        <v>45909.670092592591</v>
      </c>
      <c r="B1063" t="s">
        <v>1431</v>
      </c>
      <c r="C1063" t="s">
        <v>58</v>
      </c>
      <c r="D1063" t="s">
        <v>1480</v>
      </c>
      <c r="E1063" t="s">
        <v>41</v>
      </c>
    </row>
    <row r="1064" spans="1:5" x14ac:dyDescent="0.2">
      <c r="A1064" s="269">
        <v>45909.670127314814</v>
      </c>
      <c r="B1064" t="s">
        <v>1431</v>
      </c>
      <c r="C1064" t="s">
        <v>58</v>
      </c>
      <c r="D1064" t="s">
        <v>1481</v>
      </c>
      <c r="E1064" t="s">
        <v>41</v>
      </c>
    </row>
    <row r="1065" spans="1:5" x14ac:dyDescent="0.2">
      <c r="A1065" s="269">
        <v>45909.670185185183</v>
      </c>
      <c r="B1065" t="s">
        <v>1431</v>
      </c>
      <c r="C1065" t="s">
        <v>58</v>
      </c>
      <c r="D1065" t="s">
        <v>1482</v>
      </c>
      <c r="E1065" t="s">
        <v>41</v>
      </c>
    </row>
    <row r="1066" spans="1:5" x14ac:dyDescent="0.2">
      <c r="A1066" s="269">
        <v>45909.670231481483</v>
      </c>
      <c r="B1066" t="s">
        <v>1431</v>
      </c>
      <c r="C1066" t="s">
        <v>58</v>
      </c>
      <c r="D1066" t="s">
        <v>1483</v>
      </c>
      <c r="E1066" t="s">
        <v>397</v>
      </c>
    </row>
    <row r="1067" spans="1:5" x14ac:dyDescent="0.2">
      <c r="A1067" s="269">
        <v>45909.670243055552</v>
      </c>
      <c r="B1067" t="s">
        <v>1431</v>
      </c>
      <c r="C1067" t="s">
        <v>58</v>
      </c>
      <c r="D1067" t="s">
        <v>1484</v>
      </c>
      <c r="E1067" t="s">
        <v>397</v>
      </c>
    </row>
    <row r="1068" spans="1:5" x14ac:dyDescent="0.2">
      <c r="A1068" s="269">
        <v>45909.670243055552</v>
      </c>
      <c r="B1068" t="s">
        <v>1431</v>
      </c>
      <c r="C1068" t="s">
        <v>58</v>
      </c>
      <c r="D1068" t="s">
        <v>1485</v>
      </c>
      <c r="E1068" t="s">
        <v>397</v>
      </c>
    </row>
    <row r="1069" spans="1:5" x14ac:dyDescent="0.2">
      <c r="A1069" s="269">
        <v>45909.670277777775</v>
      </c>
      <c r="B1069" t="s">
        <v>1431</v>
      </c>
      <c r="C1069" t="s">
        <v>58</v>
      </c>
      <c r="D1069" t="s">
        <v>1486</v>
      </c>
      <c r="E1069" t="s">
        <v>400</v>
      </c>
    </row>
    <row r="1070" spans="1:5" x14ac:dyDescent="0.2">
      <c r="A1070" s="269">
        <v>45909.670289351852</v>
      </c>
      <c r="B1070" t="s">
        <v>1431</v>
      </c>
      <c r="C1070" t="s">
        <v>58</v>
      </c>
      <c r="D1070" t="s">
        <v>1487</v>
      </c>
      <c r="E1070" t="s">
        <v>400</v>
      </c>
    </row>
    <row r="1071" spans="1:5" x14ac:dyDescent="0.2">
      <c r="A1071" s="269">
        <v>45909.670300925929</v>
      </c>
      <c r="B1071" t="s">
        <v>1431</v>
      </c>
      <c r="C1071" t="s">
        <v>58</v>
      </c>
      <c r="D1071" t="s">
        <v>1488</v>
      </c>
      <c r="E1071" t="s">
        <v>400</v>
      </c>
    </row>
    <row r="1072" spans="1:5" x14ac:dyDescent="0.2">
      <c r="A1072" s="269">
        <v>45909.670324074075</v>
      </c>
      <c r="B1072" t="s">
        <v>1431</v>
      </c>
      <c r="C1072" t="s">
        <v>58</v>
      </c>
      <c r="D1072" t="s">
        <v>1489</v>
      </c>
      <c r="E1072" t="s">
        <v>404</v>
      </c>
    </row>
    <row r="1073" spans="1:5" x14ac:dyDescent="0.2">
      <c r="A1073" s="269">
        <v>45909.670324074075</v>
      </c>
      <c r="B1073" t="s">
        <v>1431</v>
      </c>
      <c r="C1073" t="s">
        <v>58</v>
      </c>
      <c r="D1073" t="s">
        <v>1490</v>
      </c>
      <c r="E1073" t="s">
        <v>404</v>
      </c>
    </row>
    <row r="1074" spans="1:5" x14ac:dyDescent="0.2">
      <c r="A1074" s="269">
        <v>45909.670335648145</v>
      </c>
      <c r="B1074" t="s">
        <v>1431</v>
      </c>
      <c r="C1074" t="s">
        <v>58</v>
      </c>
      <c r="D1074" t="s">
        <v>1491</v>
      </c>
      <c r="E1074" t="s">
        <v>404</v>
      </c>
    </row>
    <row r="1075" spans="1:5" x14ac:dyDescent="0.2">
      <c r="A1075" s="269">
        <v>45909.670358796298</v>
      </c>
      <c r="B1075" t="s">
        <v>1431</v>
      </c>
      <c r="C1075" t="s">
        <v>58</v>
      </c>
      <c r="D1075" t="s">
        <v>1492</v>
      </c>
      <c r="E1075" t="s">
        <v>407</v>
      </c>
    </row>
    <row r="1076" spans="1:5" x14ac:dyDescent="0.2">
      <c r="A1076" s="269">
        <v>45909.670358796298</v>
      </c>
      <c r="B1076" t="s">
        <v>1431</v>
      </c>
      <c r="C1076" t="s">
        <v>58</v>
      </c>
      <c r="D1076" t="s">
        <v>1493</v>
      </c>
      <c r="E1076" t="s">
        <v>407</v>
      </c>
    </row>
    <row r="1077" spans="1:5" x14ac:dyDescent="0.2">
      <c r="A1077" s="269">
        <v>45909.670381944445</v>
      </c>
      <c r="B1077" t="s">
        <v>1431</v>
      </c>
      <c r="C1077" t="s">
        <v>58</v>
      </c>
      <c r="D1077" t="s">
        <v>1494</v>
      </c>
      <c r="E1077" t="s">
        <v>407</v>
      </c>
    </row>
    <row r="1078" spans="1:5" x14ac:dyDescent="0.2">
      <c r="A1078" s="269">
        <v>45909.670983796299</v>
      </c>
      <c r="B1078" t="s">
        <v>1431</v>
      </c>
      <c r="C1078" t="s">
        <v>58</v>
      </c>
      <c r="D1078" t="s">
        <v>1495</v>
      </c>
      <c r="E1078">
        <v>433.36</v>
      </c>
    </row>
    <row r="1079" spans="1:5" x14ac:dyDescent="0.2">
      <c r="A1079" s="269">
        <v>45909.671018518522</v>
      </c>
      <c r="B1079" t="s">
        <v>1431</v>
      </c>
      <c r="C1079" t="s">
        <v>58</v>
      </c>
      <c r="D1079" t="s">
        <v>1495</v>
      </c>
    </row>
    <row r="1080" spans="1:5" x14ac:dyDescent="0.2">
      <c r="A1080" s="269">
        <v>45909.671122685184</v>
      </c>
      <c r="B1080" t="s">
        <v>1431</v>
      </c>
      <c r="C1080" t="s">
        <v>58</v>
      </c>
      <c r="D1080" t="s">
        <v>1495</v>
      </c>
      <c r="E1080">
        <v>433.36</v>
      </c>
    </row>
    <row r="1081" spans="1:5" x14ac:dyDescent="0.2">
      <c r="A1081" s="269">
        <v>45909.671203703707</v>
      </c>
      <c r="B1081" t="s">
        <v>1431</v>
      </c>
      <c r="C1081" t="s">
        <v>58</v>
      </c>
      <c r="D1081" t="s">
        <v>1495</v>
      </c>
    </row>
    <row r="1082" spans="1:5" x14ac:dyDescent="0.2">
      <c r="A1082" s="269">
        <v>45909.671365740738</v>
      </c>
      <c r="B1082" t="s">
        <v>1431</v>
      </c>
      <c r="C1082" t="s">
        <v>58</v>
      </c>
      <c r="D1082" t="s">
        <v>1456</v>
      </c>
      <c r="E1082">
        <v>433.36</v>
      </c>
    </row>
    <row r="1083" spans="1:5" x14ac:dyDescent="0.2">
      <c r="A1083" s="269">
        <v>45909.671574074076</v>
      </c>
      <c r="B1083" t="s">
        <v>1431</v>
      </c>
      <c r="C1083" t="s">
        <v>58</v>
      </c>
      <c r="D1083" t="s">
        <v>874</v>
      </c>
      <c r="E1083">
        <v>346.56</v>
      </c>
    </row>
    <row r="1084" spans="1:5" x14ac:dyDescent="0.2">
      <c r="A1084" s="269">
        <v>45909.671736111108</v>
      </c>
      <c r="B1084" t="s">
        <v>1431</v>
      </c>
      <c r="C1084" t="s">
        <v>58</v>
      </c>
      <c r="D1084" t="s">
        <v>1496</v>
      </c>
      <c r="E1084">
        <v>174.03</v>
      </c>
    </row>
    <row r="1085" spans="1:5" x14ac:dyDescent="0.2">
      <c r="A1085" s="269">
        <v>45909.671863425923</v>
      </c>
      <c r="B1085" t="s">
        <v>1431</v>
      </c>
      <c r="C1085" t="s">
        <v>58</v>
      </c>
      <c r="D1085" t="s">
        <v>1497</v>
      </c>
      <c r="E1085">
        <v>151.22</v>
      </c>
    </row>
    <row r="1086" spans="1:5" x14ac:dyDescent="0.2">
      <c r="A1086" s="269">
        <v>45909.671956018516</v>
      </c>
      <c r="B1086" t="s">
        <v>1431</v>
      </c>
      <c r="C1086" t="s">
        <v>58</v>
      </c>
      <c r="D1086" t="s">
        <v>1498</v>
      </c>
      <c r="E1086">
        <v>271.37</v>
      </c>
    </row>
    <row r="1087" spans="1:5" x14ac:dyDescent="0.2">
      <c r="A1087" s="269">
        <v>45909.672060185185</v>
      </c>
      <c r="B1087" t="s">
        <v>1431</v>
      </c>
      <c r="C1087" t="s">
        <v>58</v>
      </c>
      <c r="D1087" t="s">
        <v>1499</v>
      </c>
      <c r="E1087">
        <v>393.43</v>
      </c>
    </row>
    <row r="1088" spans="1:5" x14ac:dyDescent="0.2">
      <c r="A1088" s="269">
        <v>45909.672152777777</v>
      </c>
      <c r="B1088" t="s">
        <v>1431</v>
      </c>
      <c r="C1088" t="s">
        <v>58</v>
      </c>
      <c r="D1088" t="s">
        <v>1500</v>
      </c>
      <c r="E1088">
        <v>341.71</v>
      </c>
    </row>
    <row r="1089" spans="1:5" x14ac:dyDescent="0.2">
      <c r="A1089" s="269">
        <v>45909.672280092593</v>
      </c>
      <c r="B1089" t="s">
        <v>1431</v>
      </c>
      <c r="C1089" t="s">
        <v>58</v>
      </c>
      <c r="D1089" t="s">
        <v>1501</v>
      </c>
      <c r="E1089">
        <v>407.49</v>
      </c>
    </row>
    <row r="1090" spans="1:5" x14ac:dyDescent="0.2">
      <c r="A1090" s="269">
        <v>45909.672476851854</v>
      </c>
      <c r="B1090" t="s">
        <v>1431</v>
      </c>
      <c r="C1090" t="s">
        <v>58</v>
      </c>
      <c r="D1090" t="s">
        <v>1502</v>
      </c>
      <c r="E1090">
        <v>195.63</v>
      </c>
    </row>
    <row r="1091" spans="1:5" x14ac:dyDescent="0.2">
      <c r="A1091" s="269">
        <v>45909.672581018516</v>
      </c>
      <c r="B1091" t="s">
        <v>1431</v>
      </c>
      <c r="C1091" t="s">
        <v>58</v>
      </c>
      <c r="D1091" t="s">
        <v>1503</v>
      </c>
      <c r="E1091">
        <v>355.88</v>
      </c>
    </row>
    <row r="1092" spans="1:5" x14ac:dyDescent="0.2">
      <c r="A1092" s="269">
        <v>45909.672708333332</v>
      </c>
      <c r="B1092" t="s">
        <v>1431</v>
      </c>
      <c r="C1092" t="s">
        <v>58</v>
      </c>
      <c r="D1092" t="s">
        <v>1504</v>
      </c>
      <c r="E1092">
        <v>40.9</v>
      </c>
    </row>
    <row r="1093" spans="1:5" x14ac:dyDescent="0.2">
      <c r="A1093" s="269">
        <v>45909.672858796293</v>
      </c>
      <c r="B1093" t="s">
        <v>1431</v>
      </c>
      <c r="C1093" t="s">
        <v>58</v>
      </c>
      <c r="D1093" t="s">
        <v>1505</v>
      </c>
      <c r="E1093">
        <v>132.33000000000001</v>
      </c>
    </row>
    <row r="1094" spans="1:5" x14ac:dyDescent="0.2">
      <c r="A1094" s="269">
        <v>45909.674027777779</v>
      </c>
      <c r="B1094" t="s">
        <v>1431</v>
      </c>
      <c r="C1094" t="s">
        <v>58</v>
      </c>
      <c r="D1094" t="s">
        <v>937</v>
      </c>
      <c r="E1094">
        <v>54.91</v>
      </c>
    </row>
    <row r="1095" spans="1:5" x14ac:dyDescent="0.2">
      <c r="A1095" s="269">
        <v>45909.674861111111</v>
      </c>
      <c r="B1095" t="s">
        <v>1431</v>
      </c>
      <c r="C1095" t="s">
        <v>58</v>
      </c>
      <c r="D1095" t="s">
        <v>1506</v>
      </c>
      <c r="E1095">
        <v>36.230000000000004</v>
      </c>
    </row>
    <row r="1096" spans="1:5" x14ac:dyDescent="0.2">
      <c r="A1096" s="269">
        <v>45909.675219907411</v>
      </c>
      <c r="B1096" t="s">
        <v>1431</v>
      </c>
      <c r="C1096" t="s">
        <v>58</v>
      </c>
      <c r="D1096" t="s">
        <v>1024</v>
      </c>
      <c r="E1096" t="s">
        <v>1507</v>
      </c>
    </row>
    <row r="1097" spans="1:5" x14ac:dyDescent="0.2">
      <c r="A1097" s="269">
        <v>45909.67528935185</v>
      </c>
      <c r="B1097" t="s">
        <v>1431</v>
      </c>
      <c r="C1097" t="s">
        <v>58</v>
      </c>
      <c r="D1097" t="s">
        <v>972</v>
      </c>
      <c r="E1097" t="s">
        <v>1507</v>
      </c>
    </row>
    <row r="1098" spans="1:5" x14ac:dyDescent="0.2">
      <c r="A1098" s="269">
        <v>45909.675381944442</v>
      </c>
      <c r="B1098" t="s">
        <v>1431</v>
      </c>
      <c r="C1098" t="s">
        <v>58</v>
      </c>
      <c r="D1098" t="s">
        <v>972</v>
      </c>
      <c r="E1098" t="s">
        <v>1508</v>
      </c>
    </row>
    <row r="1099" spans="1:5" x14ac:dyDescent="0.2">
      <c r="A1099" s="269">
        <v>45909.675486111111</v>
      </c>
      <c r="B1099" t="s">
        <v>1431</v>
      </c>
      <c r="C1099" t="s">
        <v>58</v>
      </c>
      <c r="D1099" t="s">
        <v>1509</v>
      </c>
    </row>
    <row r="1100" spans="1:5" x14ac:dyDescent="0.2">
      <c r="A1100" s="269">
        <v>45909.67564814815</v>
      </c>
      <c r="B1100" t="s">
        <v>1431</v>
      </c>
      <c r="C1100" t="s">
        <v>58</v>
      </c>
      <c r="D1100" t="s">
        <v>926</v>
      </c>
      <c r="E1100">
        <v>0</v>
      </c>
    </row>
    <row r="1101" spans="1:5" x14ac:dyDescent="0.2">
      <c r="A1101" s="269">
        <v>45909.676053240742</v>
      </c>
      <c r="B1101" t="s">
        <v>1431</v>
      </c>
      <c r="C1101" t="s">
        <v>58</v>
      </c>
      <c r="D1101" t="s">
        <v>1510</v>
      </c>
      <c r="E1101">
        <v>75.45</v>
      </c>
    </row>
    <row r="1102" spans="1:5" x14ac:dyDescent="0.2">
      <c r="A1102" s="269">
        <v>45909.677210648151</v>
      </c>
      <c r="B1102" t="s">
        <v>1431</v>
      </c>
      <c r="C1102" t="s">
        <v>58</v>
      </c>
      <c r="D1102" t="s">
        <v>1511</v>
      </c>
      <c r="E1102">
        <v>51.72</v>
      </c>
    </row>
    <row r="1103" spans="1:5" x14ac:dyDescent="0.2">
      <c r="A1103" s="269">
        <v>45909.677291666667</v>
      </c>
      <c r="B1103" t="s">
        <v>1431</v>
      </c>
      <c r="C1103" t="s">
        <v>58</v>
      </c>
      <c r="D1103" t="s">
        <v>1512</v>
      </c>
      <c r="E1103">
        <v>72.86</v>
      </c>
    </row>
    <row r="1104" spans="1:5" x14ac:dyDescent="0.2">
      <c r="A1104" s="269">
        <v>45909.678946759261</v>
      </c>
      <c r="B1104" t="s">
        <v>1431</v>
      </c>
      <c r="C1104" t="s">
        <v>58</v>
      </c>
      <c r="D1104" t="s">
        <v>1513</v>
      </c>
      <c r="E1104">
        <v>178.5</v>
      </c>
    </row>
    <row r="1105" spans="1:5" x14ac:dyDescent="0.2">
      <c r="A1105" s="269">
        <v>45909.679108796299</v>
      </c>
      <c r="B1105" t="s">
        <v>1431</v>
      </c>
      <c r="C1105" t="s">
        <v>58</v>
      </c>
      <c r="D1105" t="s">
        <v>1514</v>
      </c>
      <c r="E1105">
        <v>13.94</v>
      </c>
    </row>
    <row r="1106" spans="1:5" x14ac:dyDescent="0.2">
      <c r="A1106" s="269">
        <v>45909.679166666669</v>
      </c>
      <c r="B1106" t="s">
        <v>1431</v>
      </c>
      <c r="C1106" t="s">
        <v>58</v>
      </c>
      <c r="D1106" t="s">
        <v>1514</v>
      </c>
      <c r="E1106">
        <v>183.94</v>
      </c>
    </row>
    <row r="1107" spans="1:5" x14ac:dyDescent="0.2">
      <c r="A1107" s="269">
        <v>45909.690983796296</v>
      </c>
      <c r="B1107" t="s">
        <v>1431</v>
      </c>
      <c r="C1107" t="s">
        <v>58</v>
      </c>
      <c r="D1107" t="s">
        <v>1515</v>
      </c>
      <c r="E1107">
        <v>44.58</v>
      </c>
    </row>
    <row r="1108" spans="1:5" x14ac:dyDescent="0.2">
      <c r="A1108" s="269">
        <v>45909.691099537034</v>
      </c>
      <c r="B1108" t="s">
        <v>1431</v>
      </c>
      <c r="C1108" t="s">
        <v>58</v>
      </c>
      <c r="D1108" t="s">
        <v>1516</v>
      </c>
      <c r="E1108">
        <v>68.48</v>
      </c>
    </row>
    <row r="1109" spans="1:5" x14ac:dyDescent="0.2">
      <c r="A1109" s="269">
        <v>45909.691666666666</v>
      </c>
      <c r="B1109" t="s">
        <v>1431</v>
      </c>
      <c r="C1109" t="s">
        <v>58</v>
      </c>
      <c r="D1109" t="s">
        <v>1517</v>
      </c>
      <c r="E1109">
        <v>38.68</v>
      </c>
    </row>
    <row r="1110" spans="1:5" x14ac:dyDescent="0.2">
      <c r="A1110" s="269">
        <v>45909.691747685189</v>
      </c>
      <c r="B1110" t="s">
        <v>1431</v>
      </c>
      <c r="C1110" t="s">
        <v>58</v>
      </c>
      <c r="D1110" t="s">
        <v>1518</v>
      </c>
      <c r="E1110">
        <v>83.69</v>
      </c>
    </row>
    <row r="1111" spans="1:5" x14ac:dyDescent="0.2">
      <c r="A1111" s="269">
        <v>45909.69222222222</v>
      </c>
      <c r="B1111" t="s">
        <v>1431</v>
      </c>
      <c r="C1111" t="s">
        <v>58</v>
      </c>
      <c r="D1111" t="s">
        <v>1519</v>
      </c>
      <c r="E1111">
        <v>28.56</v>
      </c>
    </row>
    <row r="1112" spans="1:5" x14ac:dyDescent="0.2">
      <c r="A1112" s="269">
        <v>45909.692488425928</v>
      </c>
      <c r="B1112" t="s">
        <v>1431</v>
      </c>
      <c r="C1112" t="s">
        <v>58</v>
      </c>
      <c r="D1112" t="s">
        <v>1520</v>
      </c>
      <c r="E1112">
        <v>157.61000000000001</v>
      </c>
    </row>
    <row r="1113" spans="1:5" x14ac:dyDescent="0.2">
      <c r="A1113" s="269">
        <v>45909.692766203705</v>
      </c>
      <c r="B1113" t="s">
        <v>1431</v>
      </c>
      <c r="C1113" t="s">
        <v>58</v>
      </c>
      <c r="D1113" t="s">
        <v>1521</v>
      </c>
      <c r="E1113">
        <v>83.99</v>
      </c>
    </row>
    <row r="1114" spans="1:5" x14ac:dyDescent="0.2">
      <c r="A1114" s="269">
        <v>45909.692870370367</v>
      </c>
      <c r="B1114" t="s">
        <v>1431</v>
      </c>
      <c r="C1114" t="s">
        <v>58</v>
      </c>
      <c r="D1114" t="s">
        <v>1522</v>
      </c>
      <c r="E1114">
        <v>81.72</v>
      </c>
    </row>
    <row r="1115" spans="1:5" x14ac:dyDescent="0.2">
      <c r="A1115" s="269">
        <v>45909.693310185183</v>
      </c>
      <c r="B1115" t="s">
        <v>1431</v>
      </c>
      <c r="C1115" t="s">
        <v>58</v>
      </c>
      <c r="D1115" t="s">
        <v>1523</v>
      </c>
      <c r="E1115">
        <v>41.13</v>
      </c>
    </row>
    <row r="1116" spans="1:5" x14ac:dyDescent="0.2">
      <c r="A1116" s="269">
        <v>45909.693391203706</v>
      </c>
      <c r="B1116" t="s">
        <v>1431</v>
      </c>
      <c r="C1116" t="s">
        <v>58</v>
      </c>
      <c r="D1116" t="s">
        <v>1524</v>
      </c>
      <c r="E1116">
        <v>14.84</v>
      </c>
    </row>
    <row r="1117" spans="1:5" x14ac:dyDescent="0.2">
      <c r="A1117" s="269">
        <v>45909.693564814814</v>
      </c>
      <c r="B1117" t="s">
        <v>1431</v>
      </c>
      <c r="C1117" t="s">
        <v>58</v>
      </c>
      <c r="D1117" t="s">
        <v>1525</v>
      </c>
      <c r="E1117">
        <v>89.14</v>
      </c>
    </row>
    <row r="1118" spans="1:5" x14ac:dyDescent="0.2">
      <c r="A1118" s="269">
        <v>45909.693657407406</v>
      </c>
      <c r="B1118" t="s">
        <v>1431</v>
      </c>
      <c r="C1118" t="s">
        <v>58</v>
      </c>
      <c r="D1118" t="s">
        <v>1526</v>
      </c>
      <c r="E1118">
        <v>128.06</v>
      </c>
    </row>
    <row r="1119" spans="1:5" x14ac:dyDescent="0.2">
      <c r="A1119" s="269">
        <v>45909.693796296298</v>
      </c>
      <c r="B1119" t="s">
        <v>1431</v>
      </c>
      <c r="C1119" t="s">
        <v>58</v>
      </c>
      <c r="D1119" t="s">
        <v>1527</v>
      </c>
      <c r="E1119">
        <v>85.56</v>
      </c>
    </row>
    <row r="1120" spans="1:5" x14ac:dyDescent="0.2">
      <c r="A1120" s="269">
        <v>45909.693888888891</v>
      </c>
      <c r="B1120" t="s">
        <v>1431</v>
      </c>
      <c r="C1120" t="s">
        <v>58</v>
      </c>
      <c r="D1120" t="s">
        <v>1528</v>
      </c>
      <c r="E1120">
        <v>50.28</v>
      </c>
    </row>
    <row r="1121" spans="1:5" x14ac:dyDescent="0.2">
      <c r="A1121" s="269">
        <v>45909.694027777776</v>
      </c>
      <c r="B1121" t="s">
        <v>1431</v>
      </c>
      <c r="C1121" t="s">
        <v>58</v>
      </c>
      <c r="D1121" t="s">
        <v>1529</v>
      </c>
      <c r="E1121">
        <v>9.68</v>
      </c>
    </row>
    <row r="1122" spans="1:5" x14ac:dyDescent="0.2">
      <c r="A1122" s="269">
        <v>45909.694143518522</v>
      </c>
      <c r="B1122" t="s">
        <v>1431</v>
      </c>
      <c r="C1122" t="s">
        <v>58</v>
      </c>
      <c r="D1122" t="s">
        <v>1530</v>
      </c>
      <c r="E1122">
        <v>61.95</v>
      </c>
    </row>
    <row r="1123" spans="1:5" x14ac:dyDescent="0.2">
      <c r="A1123" s="269">
        <v>45909.696111111109</v>
      </c>
      <c r="B1123" t="s">
        <v>1431</v>
      </c>
      <c r="C1123" t="s">
        <v>58</v>
      </c>
      <c r="D1123" t="s">
        <v>958</v>
      </c>
      <c r="E1123">
        <v>8637.5999999999985</v>
      </c>
    </row>
    <row r="1124" spans="1:5" x14ac:dyDescent="0.2">
      <c r="A1124" s="269">
        <v>45909.696296296293</v>
      </c>
      <c r="B1124" t="s">
        <v>1431</v>
      </c>
      <c r="C1124" t="s">
        <v>58</v>
      </c>
      <c r="D1124" t="s">
        <v>1531</v>
      </c>
      <c r="E1124">
        <v>796</v>
      </c>
    </row>
    <row r="1125" spans="1:5" x14ac:dyDescent="0.2">
      <c r="A1125" s="269">
        <v>45909.696412037039</v>
      </c>
      <c r="B1125" t="s">
        <v>1431</v>
      </c>
      <c r="C1125" t="s">
        <v>58</v>
      </c>
      <c r="D1125" t="s">
        <v>975</v>
      </c>
      <c r="E1125">
        <v>323</v>
      </c>
    </row>
    <row r="1126" spans="1:5" x14ac:dyDescent="0.2">
      <c r="A1126" s="269">
        <v>45909.701493055552</v>
      </c>
      <c r="B1126" t="s">
        <v>1431</v>
      </c>
      <c r="C1126" t="s">
        <v>58</v>
      </c>
      <c r="D1126" t="s">
        <v>958</v>
      </c>
      <c r="E1126">
        <v>1950.6</v>
      </c>
    </row>
    <row r="1127" spans="1:5" x14ac:dyDescent="0.2">
      <c r="A1127" s="269">
        <v>45909.701539351852</v>
      </c>
      <c r="B1127" t="s">
        <v>1431</v>
      </c>
      <c r="C1127" t="s">
        <v>58</v>
      </c>
      <c r="D1127" t="s">
        <v>958</v>
      </c>
      <c r="E1127">
        <v>1950.63</v>
      </c>
    </row>
    <row r="1128" spans="1:5" x14ac:dyDescent="0.2">
      <c r="A1128" s="269">
        <v>45909.701655092591</v>
      </c>
      <c r="B1128" t="s">
        <v>1431</v>
      </c>
      <c r="C1128" t="s">
        <v>58</v>
      </c>
      <c r="D1128" t="s">
        <v>958</v>
      </c>
      <c r="E1128">
        <v>1950.6</v>
      </c>
    </row>
    <row r="1129" spans="1:5" x14ac:dyDescent="0.2">
      <c r="A1129" s="269">
        <v>45909.701655092591</v>
      </c>
      <c r="B1129" t="s">
        <v>1431</v>
      </c>
      <c r="C1129" t="s">
        <v>58</v>
      </c>
      <c r="D1129" t="s">
        <v>958</v>
      </c>
      <c r="E1129">
        <v>8637.5999999999985</v>
      </c>
    </row>
    <row r="1130" spans="1:5" x14ac:dyDescent="0.2">
      <c r="A1130" s="269">
        <v>45909.701909722222</v>
      </c>
      <c r="B1130" t="s">
        <v>1431</v>
      </c>
      <c r="C1130" t="s">
        <v>58</v>
      </c>
      <c r="D1130" t="s">
        <v>1456</v>
      </c>
      <c r="E1130">
        <v>1950.63</v>
      </c>
    </row>
    <row r="1131" spans="1:5" x14ac:dyDescent="0.2">
      <c r="A1131" s="269">
        <v>45909.703379629631</v>
      </c>
      <c r="B1131" t="s">
        <v>1431</v>
      </c>
      <c r="C1131" t="s">
        <v>58</v>
      </c>
      <c r="D1131" t="s">
        <v>1456</v>
      </c>
      <c r="E1131">
        <v>1935.98</v>
      </c>
    </row>
    <row r="1132" spans="1:5" x14ac:dyDescent="0.2">
      <c r="A1132" s="269">
        <v>45909.703703703701</v>
      </c>
      <c r="B1132" t="s">
        <v>1431</v>
      </c>
      <c r="C1132" t="s">
        <v>58</v>
      </c>
      <c r="D1132" t="s">
        <v>926</v>
      </c>
      <c r="E1132">
        <v>27.92</v>
      </c>
    </row>
    <row r="1133" spans="1:5" x14ac:dyDescent="0.2">
      <c r="A1133" s="269">
        <v>45909.704085648147</v>
      </c>
      <c r="B1133" t="s">
        <v>1431</v>
      </c>
      <c r="C1133" t="s">
        <v>58</v>
      </c>
      <c r="D1133" t="s">
        <v>937</v>
      </c>
      <c r="E1133">
        <v>54.93</v>
      </c>
    </row>
    <row r="1134" spans="1:5" x14ac:dyDescent="0.2">
      <c r="A1134" s="269">
        <v>45909.70417824074</v>
      </c>
      <c r="B1134" t="s">
        <v>1431</v>
      </c>
      <c r="C1134" t="s">
        <v>58</v>
      </c>
      <c r="D1134" t="s">
        <v>926</v>
      </c>
      <c r="E1134">
        <v>27.93</v>
      </c>
    </row>
    <row r="1135" spans="1:5" x14ac:dyDescent="0.2">
      <c r="A1135" s="269">
        <v>45909.704340277778</v>
      </c>
      <c r="B1135" t="s">
        <v>1431</v>
      </c>
      <c r="C1135" t="s">
        <v>58</v>
      </c>
      <c r="D1135" t="s">
        <v>937</v>
      </c>
      <c r="E1135">
        <v>80.11</v>
      </c>
    </row>
    <row r="1136" spans="1:5" x14ac:dyDescent="0.2">
      <c r="A1136" s="269">
        <v>45909.705243055556</v>
      </c>
      <c r="B1136" t="s">
        <v>1431</v>
      </c>
      <c r="C1136" t="s">
        <v>58</v>
      </c>
      <c r="D1136" t="s">
        <v>874</v>
      </c>
      <c r="E1136">
        <v>1342.3</v>
      </c>
    </row>
    <row r="1137" spans="1:5" x14ac:dyDescent="0.2">
      <c r="A1137" s="269">
        <v>45909.705324074072</v>
      </c>
      <c r="B1137" t="s">
        <v>1431</v>
      </c>
      <c r="C1137" t="s">
        <v>58</v>
      </c>
      <c r="D1137" t="s">
        <v>874</v>
      </c>
      <c r="E1137">
        <v>346.56</v>
      </c>
    </row>
    <row r="1138" spans="1:5" x14ac:dyDescent="0.2">
      <c r="A1138" s="269">
        <v>45909.705497685187</v>
      </c>
      <c r="B1138" t="s">
        <v>1431</v>
      </c>
      <c r="C1138" t="s">
        <v>58</v>
      </c>
      <c r="D1138" t="s">
        <v>974</v>
      </c>
      <c r="E1138">
        <v>1342.3</v>
      </c>
    </row>
    <row r="1139" spans="1:5" x14ac:dyDescent="0.2">
      <c r="A1139" s="269">
        <v>45909.705625000002</v>
      </c>
      <c r="B1139" t="s">
        <v>1431</v>
      </c>
      <c r="C1139" t="s">
        <v>58</v>
      </c>
      <c r="D1139" t="s">
        <v>874</v>
      </c>
      <c r="E1139">
        <v>407.74</v>
      </c>
    </row>
    <row r="1140" spans="1:5" x14ac:dyDescent="0.2">
      <c r="A1140" s="269">
        <v>45909.705821759257</v>
      </c>
      <c r="B1140" t="s">
        <v>1431</v>
      </c>
      <c r="C1140" t="s">
        <v>58</v>
      </c>
      <c r="D1140" t="s">
        <v>1532</v>
      </c>
      <c r="E1140">
        <v>808</v>
      </c>
    </row>
    <row r="1141" spans="1:5" x14ac:dyDescent="0.2">
      <c r="A1141" s="269">
        <v>45909.706342592595</v>
      </c>
      <c r="B1141" t="s">
        <v>1431</v>
      </c>
      <c r="C1141" t="s">
        <v>58</v>
      </c>
      <c r="D1141" t="s">
        <v>1533</v>
      </c>
      <c r="E1141">
        <v>682</v>
      </c>
    </row>
    <row r="1142" spans="1:5" x14ac:dyDescent="0.2">
      <c r="A1142" s="269">
        <v>45909.706469907411</v>
      </c>
      <c r="B1142" t="s">
        <v>1431</v>
      </c>
      <c r="C1142" t="s">
        <v>58</v>
      </c>
      <c r="D1142" t="s">
        <v>1506</v>
      </c>
      <c r="E1142">
        <v>80.39</v>
      </c>
    </row>
    <row r="1143" spans="1:5" x14ac:dyDescent="0.2">
      <c r="A1143" s="269">
        <v>45909.707766203705</v>
      </c>
      <c r="B1143" t="s">
        <v>1431</v>
      </c>
      <c r="C1143" t="s">
        <v>58</v>
      </c>
      <c r="D1143" t="s">
        <v>925</v>
      </c>
      <c r="E1143">
        <v>1013.4</v>
      </c>
    </row>
    <row r="1144" spans="1:5" x14ac:dyDescent="0.2">
      <c r="A1144" s="269">
        <v>45909.707986111112</v>
      </c>
      <c r="B1144" t="s">
        <v>1431</v>
      </c>
      <c r="C1144" t="s">
        <v>58</v>
      </c>
      <c r="D1144" t="s">
        <v>1496</v>
      </c>
      <c r="E1144">
        <v>264.77</v>
      </c>
    </row>
    <row r="1145" spans="1:5" x14ac:dyDescent="0.2">
      <c r="A1145" s="269">
        <v>45909.70820601852</v>
      </c>
      <c r="B1145" t="s">
        <v>1431</v>
      </c>
      <c r="C1145" t="s">
        <v>58</v>
      </c>
      <c r="D1145" t="s">
        <v>1534</v>
      </c>
      <c r="E1145">
        <v>1395</v>
      </c>
    </row>
    <row r="1146" spans="1:5" x14ac:dyDescent="0.2">
      <c r="A1146" s="269">
        <v>45909.708356481482</v>
      </c>
      <c r="B1146" t="s">
        <v>1431</v>
      </c>
      <c r="C1146" t="s">
        <v>58</v>
      </c>
      <c r="D1146" t="s">
        <v>1512</v>
      </c>
      <c r="E1146">
        <v>118.01</v>
      </c>
    </row>
    <row r="1147" spans="1:5" x14ac:dyDescent="0.2">
      <c r="A1147" s="269">
        <v>45909.708460648151</v>
      </c>
      <c r="B1147" t="s">
        <v>1431</v>
      </c>
      <c r="C1147" t="s">
        <v>58</v>
      </c>
      <c r="D1147" t="s">
        <v>1511</v>
      </c>
      <c r="E1147">
        <v>80.77</v>
      </c>
    </row>
    <row r="1148" spans="1:5" x14ac:dyDescent="0.2">
      <c r="A1148" s="269">
        <v>45909.708564814813</v>
      </c>
      <c r="B1148" t="s">
        <v>1431</v>
      </c>
      <c r="C1148" t="s">
        <v>58</v>
      </c>
      <c r="D1148" t="s">
        <v>1535</v>
      </c>
      <c r="E1148">
        <v>846</v>
      </c>
    </row>
    <row r="1149" spans="1:5" x14ac:dyDescent="0.2">
      <c r="A1149" s="269">
        <v>45909.713275462964</v>
      </c>
      <c r="B1149" t="s">
        <v>1431</v>
      </c>
      <c r="C1149" t="s">
        <v>26</v>
      </c>
      <c r="D1149" t="s">
        <v>1536</v>
      </c>
    </row>
    <row r="1150" spans="1:5" x14ac:dyDescent="0.2">
      <c r="A1150" s="269">
        <v>45909.713368055556</v>
      </c>
      <c r="B1150" t="s">
        <v>1431</v>
      </c>
      <c r="C1150" t="s">
        <v>26</v>
      </c>
      <c r="D1150" t="s">
        <v>1134</v>
      </c>
      <c r="E1150" t="s">
        <v>133</v>
      </c>
    </row>
    <row r="1151" spans="1:5" x14ac:dyDescent="0.2">
      <c r="A1151" s="269">
        <v>45909.713460648149</v>
      </c>
      <c r="B1151" t="s">
        <v>1431</v>
      </c>
      <c r="C1151" t="s">
        <v>26</v>
      </c>
      <c r="D1151" t="s">
        <v>1537</v>
      </c>
      <c r="E1151" t="s">
        <v>133</v>
      </c>
    </row>
    <row r="1152" spans="1:5" x14ac:dyDescent="0.2">
      <c r="A1152" s="269">
        <v>45909.713564814818</v>
      </c>
      <c r="B1152" t="s">
        <v>1431</v>
      </c>
      <c r="C1152" t="s">
        <v>26</v>
      </c>
      <c r="D1152" t="s">
        <v>1538</v>
      </c>
      <c r="E1152" t="s">
        <v>338</v>
      </c>
    </row>
    <row r="1153" spans="1:5" x14ac:dyDescent="0.2">
      <c r="A1153" s="269">
        <v>45909.71365740741</v>
      </c>
      <c r="B1153" t="s">
        <v>1431</v>
      </c>
      <c r="C1153" t="s">
        <v>26</v>
      </c>
      <c r="D1153" t="s">
        <v>1539</v>
      </c>
      <c r="E1153">
        <v>54</v>
      </c>
    </row>
    <row r="1154" spans="1:5" x14ac:dyDescent="0.2">
      <c r="A1154" s="269">
        <v>45909.713831018518</v>
      </c>
      <c r="B1154" t="s">
        <v>1431</v>
      </c>
      <c r="C1154" t="s">
        <v>26</v>
      </c>
      <c r="D1154" t="s">
        <v>1541</v>
      </c>
      <c r="E1154" t="s">
        <v>1540</v>
      </c>
    </row>
    <row r="1155" spans="1:5" x14ac:dyDescent="0.2">
      <c r="A1155" s="269">
        <v>45909.714039351849</v>
      </c>
      <c r="B1155" t="s">
        <v>1431</v>
      </c>
      <c r="C1155" t="s">
        <v>26</v>
      </c>
      <c r="D1155" t="s">
        <v>1541</v>
      </c>
      <c r="E1155" t="s">
        <v>1542</v>
      </c>
    </row>
    <row r="1156" spans="1:5" x14ac:dyDescent="0.2">
      <c r="A1156" s="269">
        <v>45909.714108796295</v>
      </c>
      <c r="B1156" t="s">
        <v>1431</v>
      </c>
      <c r="C1156" t="s">
        <v>26</v>
      </c>
      <c r="D1156" t="s">
        <v>1541</v>
      </c>
      <c r="E1156" t="s">
        <v>1543</v>
      </c>
    </row>
    <row r="1157" spans="1:5" x14ac:dyDescent="0.2">
      <c r="A1157" s="269">
        <v>45909.71435185185</v>
      </c>
      <c r="B1157" t="s">
        <v>1431</v>
      </c>
      <c r="C1157" t="s">
        <v>26</v>
      </c>
      <c r="D1157" t="s">
        <v>979</v>
      </c>
      <c r="E1157" t="s">
        <v>1544</v>
      </c>
    </row>
    <row r="1158" spans="1:5" x14ac:dyDescent="0.2">
      <c r="A1158" s="269">
        <v>45909.714409722219</v>
      </c>
      <c r="B1158" t="s">
        <v>1431</v>
      </c>
      <c r="C1158" t="s">
        <v>26</v>
      </c>
      <c r="D1158" t="s">
        <v>1545</v>
      </c>
      <c r="E1158" t="s">
        <v>1543</v>
      </c>
    </row>
    <row r="1159" spans="1:5" x14ac:dyDescent="0.2">
      <c r="A1159" s="269">
        <v>45909.716585648152</v>
      </c>
      <c r="B1159" t="s">
        <v>1431</v>
      </c>
      <c r="C1159" t="s">
        <v>58</v>
      </c>
      <c r="D1159" t="s">
        <v>668</v>
      </c>
      <c r="E1159">
        <v>214.6</v>
      </c>
    </row>
    <row r="1160" spans="1:5" x14ac:dyDescent="0.2">
      <c r="A1160" s="269">
        <v>45909.722175925926</v>
      </c>
      <c r="B1160" t="s">
        <v>1431</v>
      </c>
      <c r="C1160" t="s">
        <v>58</v>
      </c>
      <c r="D1160" t="s">
        <v>974</v>
      </c>
      <c r="E1160">
        <v>1750.6</v>
      </c>
    </row>
    <row r="1161" spans="1:5" x14ac:dyDescent="0.2">
      <c r="A1161" s="269">
        <v>45909.722314814811</v>
      </c>
      <c r="B1161" t="s">
        <v>1431</v>
      </c>
      <c r="C1161" t="s">
        <v>58</v>
      </c>
      <c r="D1161" t="s">
        <v>874</v>
      </c>
      <c r="E1161">
        <v>563</v>
      </c>
    </row>
    <row r="1162" spans="1:5" x14ac:dyDescent="0.2">
      <c r="A1162" s="269">
        <v>45909.722418981481</v>
      </c>
      <c r="B1162" t="s">
        <v>1431</v>
      </c>
      <c r="C1162" t="s">
        <v>58</v>
      </c>
      <c r="D1162" t="s">
        <v>874</v>
      </c>
      <c r="E1162">
        <v>563.99</v>
      </c>
    </row>
    <row r="1163" spans="1:5" x14ac:dyDescent="0.2">
      <c r="A1163" s="269">
        <v>45909.723379629628</v>
      </c>
      <c r="B1163" t="s">
        <v>1431</v>
      </c>
      <c r="C1163" t="s">
        <v>58</v>
      </c>
      <c r="D1163" t="s">
        <v>1496</v>
      </c>
      <c r="E1163">
        <v>279.48</v>
      </c>
    </row>
    <row r="1164" spans="1:5" x14ac:dyDescent="0.2">
      <c r="A1164" s="269">
        <v>45909.723541666666</v>
      </c>
      <c r="B1164" t="s">
        <v>1431</v>
      </c>
      <c r="C1164" t="s">
        <v>58</v>
      </c>
      <c r="D1164" t="s">
        <v>925</v>
      </c>
      <c r="E1164">
        <v>1057.7</v>
      </c>
    </row>
    <row r="1165" spans="1:5" x14ac:dyDescent="0.2">
      <c r="A1165" s="269">
        <v>45909.723715277774</v>
      </c>
      <c r="B1165" t="s">
        <v>1431</v>
      </c>
      <c r="C1165" t="s">
        <v>58</v>
      </c>
      <c r="D1165" t="s">
        <v>925</v>
      </c>
      <c r="E1165">
        <v>1054.7</v>
      </c>
    </row>
    <row r="1166" spans="1:5" x14ac:dyDescent="0.2">
      <c r="A1166" s="269">
        <v>45909.724803240744</v>
      </c>
      <c r="B1166" t="s">
        <v>1431</v>
      </c>
      <c r="C1166" t="s">
        <v>58</v>
      </c>
      <c r="D1166" t="s">
        <v>1546</v>
      </c>
      <c r="E1166">
        <v>1390</v>
      </c>
    </row>
    <row r="1167" spans="1:5" x14ac:dyDescent="0.2">
      <c r="A1167" s="269">
        <v>45909.724942129629</v>
      </c>
      <c r="B1167" t="s">
        <v>1431</v>
      </c>
      <c r="C1167" t="s">
        <v>58</v>
      </c>
      <c r="D1167" t="s">
        <v>1547</v>
      </c>
      <c r="E1167">
        <v>1959</v>
      </c>
    </row>
    <row r="1168" spans="1:5" x14ac:dyDescent="0.2">
      <c r="A1168" s="269">
        <v>45909.725092592591</v>
      </c>
      <c r="B1168" t="s">
        <v>1431</v>
      </c>
      <c r="C1168" t="s">
        <v>58</v>
      </c>
      <c r="D1168" t="s">
        <v>668</v>
      </c>
      <c r="E1168">
        <v>426.1</v>
      </c>
    </row>
    <row r="1169" spans="1:5" x14ac:dyDescent="0.2">
      <c r="A1169" s="269">
        <v>45909.725347222222</v>
      </c>
      <c r="B1169" t="s">
        <v>1431</v>
      </c>
      <c r="C1169" t="s">
        <v>58</v>
      </c>
      <c r="D1169" t="s">
        <v>1514</v>
      </c>
      <c r="E1169">
        <v>174.1</v>
      </c>
    </row>
    <row r="1170" spans="1:5" x14ac:dyDescent="0.2">
      <c r="A1170" s="269">
        <v>45909.725613425922</v>
      </c>
      <c r="B1170" t="s">
        <v>1431</v>
      </c>
      <c r="C1170" t="s">
        <v>58</v>
      </c>
      <c r="D1170" t="s">
        <v>1513</v>
      </c>
      <c r="E1170">
        <v>142.49</v>
      </c>
    </row>
    <row r="1171" spans="1:5" x14ac:dyDescent="0.2">
      <c r="A1171" s="269">
        <v>45909.726030092592</v>
      </c>
      <c r="B1171" t="s">
        <v>1431</v>
      </c>
      <c r="C1171" t="s">
        <v>58</v>
      </c>
      <c r="D1171" t="s">
        <v>1498</v>
      </c>
      <c r="E1171">
        <v>1051.4000000000001</v>
      </c>
    </row>
    <row r="1172" spans="1:5" x14ac:dyDescent="0.2">
      <c r="A1172" s="269">
        <v>45909.726134259261</v>
      </c>
      <c r="B1172" t="s">
        <v>1431</v>
      </c>
      <c r="C1172" t="s">
        <v>58</v>
      </c>
      <c r="D1172" t="s">
        <v>1498</v>
      </c>
      <c r="E1172">
        <v>271.37</v>
      </c>
    </row>
    <row r="1173" spans="1:5" x14ac:dyDescent="0.2">
      <c r="A1173" s="269">
        <v>45909.726180555554</v>
      </c>
      <c r="B1173" t="s">
        <v>1431</v>
      </c>
      <c r="C1173" t="s">
        <v>58</v>
      </c>
      <c r="D1173" t="s">
        <v>1548</v>
      </c>
      <c r="E1173">
        <v>1051.0999999999999</v>
      </c>
    </row>
    <row r="1174" spans="1:5" x14ac:dyDescent="0.2">
      <c r="A1174" s="269">
        <v>45909.726284722223</v>
      </c>
      <c r="B1174" t="s">
        <v>1431</v>
      </c>
      <c r="C1174" t="s">
        <v>58</v>
      </c>
      <c r="D1174" t="s">
        <v>1498</v>
      </c>
      <c r="E1174">
        <v>369.08</v>
      </c>
    </row>
    <row r="1175" spans="1:5" x14ac:dyDescent="0.2">
      <c r="A1175" s="269">
        <v>45909.726458333331</v>
      </c>
      <c r="B1175" t="s">
        <v>1431</v>
      </c>
      <c r="C1175" t="s">
        <v>58</v>
      </c>
      <c r="D1175" t="s">
        <v>1549</v>
      </c>
      <c r="E1175">
        <v>2419.3000000000002</v>
      </c>
    </row>
    <row r="1176" spans="1:5" x14ac:dyDescent="0.2">
      <c r="A1176" s="269">
        <v>45909.726620370369</v>
      </c>
      <c r="B1176" t="s">
        <v>1431</v>
      </c>
      <c r="C1176" t="s">
        <v>58</v>
      </c>
      <c r="D1176" t="s">
        <v>1499</v>
      </c>
      <c r="E1176">
        <v>704.12</v>
      </c>
    </row>
    <row r="1177" spans="1:5" x14ac:dyDescent="0.2">
      <c r="A1177" s="269">
        <v>45909.726863425924</v>
      </c>
      <c r="B1177" t="s">
        <v>1431</v>
      </c>
      <c r="C1177" t="s">
        <v>58</v>
      </c>
      <c r="D1177" t="s">
        <v>1550</v>
      </c>
      <c r="E1177">
        <v>1736</v>
      </c>
    </row>
    <row r="1178" spans="1:5" x14ac:dyDescent="0.2">
      <c r="A1178" s="269">
        <v>45909.727013888885</v>
      </c>
      <c r="B1178" t="s">
        <v>1431</v>
      </c>
      <c r="C1178" t="s">
        <v>58</v>
      </c>
      <c r="D1178" t="s">
        <v>1500</v>
      </c>
      <c r="E1178">
        <v>1990</v>
      </c>
    </row>
    <row r="1179" spans="1:5" x14ac:dyDescent="0.2">
      <c r="A1179" s="269">
        <v>45909.727083333331</v>
      </c>
      <c r="B1179" t="s">
        <v>1431</v>
      </c>
      <c r="C1179" t="s">
        <v>58</v>
      </c>
      <c r="D1179" t="s">
        <v>1500</v>
      </c>
      <c r="E1179">
        <v>1990.1</v>
      </c>
    </row>
    <row r="1180" spans="1:5" x14ac:dyDescent="0.2">
      <c r="A1180" s="269">
        <v>45909.727314814816</v>
      </c>
      <c r="B1180" t="s">
        <v>1431</v>
      </c>
      <c r="C1180" t="s">
        <v>58</v>
      </c>
      <c r="D1180" t="s">
        <v>1500</v>
      </c>
      <c r="E1180">
        <v>528.29999999999995</v>
      </c>
    </row>
    <row r="1181" spans="1:5" x14ac:dyDescent="0.2">
      <c r="A1181" s="269">
        <v>45909.727395833332</v>
      </c>
      <c r="B1181" t="s">
        <v>1431</v>
      </c>
      <c r="C1181" t="s">
        <v>58</v>
      </c>
      <c r="D1181" t="s">
        <v>1500</v>
      </c>
      <c r="E1181">
        <v>528.13</v>
      </c>
    </row>
    <row r="1182" spans="1:5" x14ac:dyDescent="0.2">
      <c r="A1182" s="269">
        <v>45909.72755787037</v>
      </c>
      <c r="B1182" t="s">
        <v>1431</v>
      </c>
      <c r="C1182" t="s">
        <v>58</v>
      </c>
      <c r="D1182" t="s">
        <v>1501</v>
      </c>
      <c r="E1182">
        <v>602.16</v>
      </c>
    </row>
    <row r="1183" spans="1:5" x14ac:dyDescent="0.2">
      <c r="A1183" s="269">
        <v>45909.727662037039</v>
      </c>
      <c r="B1183" t="s">
        <v>1431</v>
      </c>
      <c r="C1183" t="s">
        <v>58</v>
      </c>
      <c r="D1183" t="s">
        <v>1551</v>
      </c>
      <c r="E1183">
        <v>1990.1</v>
      </c>
    </row>
    <row r="1184" spans="1:5" x14ac:dyDescent="0.2">
      <c r="A1184" s="269">
        <v>45909.727824074071</v>
      </c>
      <c r="B1184" t="s">
        <v>1431</v>
      </c>
      <c r="C1184" t="s">
        <v>58</v>
      </c>
      <c r="D1184" t="s">
        <v>1552</v>
      </c>
      <c r="E1184">
        <v>1701.3</v>
      </c>
    </row>
    <row r="1185" spans="1:5" x14ac:dyDescent="0.2">
      <c r="A1185" s="269">
        <v>45909.727951388886</v>
      </c>
      <c r="B1185" t="s">
        <v>1431</v>
      </c>
      <c r="C1185" t="s">
        <v>58</v>
      </c>
      <c r="D1185" t="s">
        <v>1502</v>
      </c>
      <c r="E1185">
        <v>488.43</v>
      </c>
    </row>
    <row r="1186" spans="1:5" x14ac:dyDescent="0.2">
      <c r="A1186" s="269">
        <v>45909.728125000001</v>
      </c>
      <c r="B1186" t="s">
        <v>1431</v>
      </c>
      <c r="C1186" t="s">
        <v>58</v>
      </c>
      <c r="D1186" t="s">
        <v>1553</v>
      </c>
      <c r="E1186">
        <v>2592.9</v>
      </c>
    </row>
    <row r="1187" spans="1:5" x14ac:dyDescent="0.2">
      <c r="A1187" s="269">
        <v>45909.728298611109</v>
      </c>
      <c r="B1187" t="s">
        <v>1431</v>
      </c>
      <c r="C1187" t="s">
        <v>58</v>
      </c>
      <c r="D1187" t="s">
        <v>1503</v>
      </c>
      <c r="E1187">
        <v>686</v>
      </c>
    </row>
    <row r="1188" spans="1:5" x14ac:dyDescent="0.2">
      <c r="A1188" s="269">
        <v>45909.728564814817</v>
      </c>
      <c r="B1188" t="s">
        <v>1431</v>
      </c>
      <c r="C1188" t="s">
        <v>58</v>
      </c>
      <c r="D1188" t="s">
        <v>1554</v>
      </c>
      <c r="E1188">
        <v>82</v>
      </c>
    </row>
    <row r="1189" spans="1:5" x14ac:dyDescent="0.2">
      <c r="A1189" s="269">
        <v>45909.728715277779</v>
      </c>
      <c r="B1189" t="s">
        <v>1431</v>
      </c>
      <c r="C1189" t="s">
        <v>58</v>
      </c>
      <c r="D1189" t="s">
        <v>1555</v>
      </c>
      <c r="E1189">
        <v>772.4</v>
      </c>
    </row>
    <row r="1190" spans="1:5" x14ac:dyDescent="0.2">
      <c r="A1190" s="269">
        <v>45909.728807870371</v>
      </c>
      <c r="B1190" t="s">
        <v>1431</v>
      </c>
      <c r="C1190" t="s">
        <v>58</v>
      </c>
      <c r="D1190" t="s">
        <v>1505</v>
      </c>
      <c r="E1190">
        <v>230.81</v>
      </c>
    </row>
    <row r="1191" spans="1:5" x14ac:dyDescent="0.2">
      <c r="A1191" s="269">
        <v>45909.729039351849</v>
      </c>
      <c r="B1191" t="s">
        <v>1431</v>
      </c>
      <c r="C1191" t="s">
        <v>58</v>
      </c>
      <c r="D1191" t="s">
        <v>1529</v>
      </c>
      <c r="E1191">
        <v>123.2</v>
      </c>
    </row>
    <row r="1192" spans="1:5" x14ac:dyDescent="0.2">
      <c r="A1192" s="269">
        <v>45909.72923611111</v>
      </c>
      <c r="B1192" t="s">
        <v>1431</v>
      </c>
      <c r="C1192" t="s">
        <v>58</v>
      </c>
      <c r="D1192" t="s">
        <v>1556</v>
      </c>
      <c r="E1192">
        <v>385</v>
      </c>
    </row>
    <row r="1193" spans="1:5" x14ac:dyDescent="0.2">
      <c r="A1193" s="269">
        <v>45909.729768518519</v>
      </c>
      <c r="B1193" t="s">
        <v>1431</v>
      </c>
      <c r="C1193" t="s">
        <v>58</v>
      </c>
      <c r="D1193" t="s">
        <v>1556</v>
      </c>
      <c r="E1193">
        <v>88</v>
      </c>
    </row>
    <row r="1194" spans="1:5" x14ac:dyDescent="0.2">
      <c r="A1194" s="269">
        <v>45909.729861111111</v>
      </c>
      <c r="B1194" t="s">
        <v>1431</v>
      </c>
      <c r="C1194" t="s">
        <v>58</v>
      </c>
      <c r="D1194" t="s">
        <v>1556</v>
      </c>
      <c r="E1194">
        <v>385</v>
      </c>
    </row>
    <row r="1195" spans="1:5" x14ac:dyDescent="0.2">
      <c r="A1195" s="269">
        <v>45909.729872685188</v>
      </c>
      <c r="B1195" t="s">
        <v>1431</v>
      </c>
      <c r="C1195" t="s">
        <v>58</v>
      </c>
      <c r="D1195" t="s">
        <v>1556</v>
      </c>
    </row>
    <row r="1196" spans="1:5" x14ac:dyDescent="0.2">
      <c r="A1196" s="269">
        <v>45909.729884259257</v>
      </c>
      <c r="B1196" t="s">
        <v>1431</v>
      </c>
      <c r="C1196" t="s">
        <v>58</v>
      </c>
      <c r="D1196" t="s">
        <v>1529</v>
      </c>
      <c r="E1196">
        <v>9.68</v>
      </c>
    </row>
    <row r="1197" spans="1:5" x14ac:dyDescent="0.2">
      <c r="A1197" s="269">
        <v>45909.72996527778</v>
      </c>
      <c r="B1197" t="s">
        <v>1431</v>
      </c>
      <c r="C1197" t="s">
        <v>58</v>
      </c>
      <c r="D1197" t="s">
        <v>1556</v>
      </c>
      <c r="E1197">
        <v>88</v>
      </c>
    </row>
    <row r="1198" spans="1:5" x14ac:dyDescent="0.2">
      <c r="A1198" s="269">
        <v>45909.730150462965</v>
      </c>
      <c r="B1198" t="s">
        <v>1431</v>
      </c>
      <c r="C1198" t="s">
        <v>58</v>
      </c>
      <c r="D1198" t="s">
        <v>1557</v>
      </c>
      <c r="E1198">
        <v>838</v>
      </c>
    </row>
    <row r="1199" spans="1:5" x14ac:dyDescent="0.2">
      <c r="A1199" s="269">
        <v>45909.730300925927</v>
      </c>
      <c r="B1199" t="s">
        <v>1431</v>
      </c>
      <c r="C1199" t="s">
        <v>58</v>
      </c>
      <c r="D1199" t="s">
        <v>1558</v>
      </c>
      <c r="E1199">
        <v>1021</v>
      </c>
    </row>
    <row r="1200" spans="1:5" x14ac:dyDescent="0.2">
      <c r="A1200" s="269">
        <v>45909.731215277781</v>
      </c>
      <c r="B1200" t="s">
        <v>1431</v>
      </c>
      <c r="C1200" t="s">
        <v>58</v>
      </c>
      <c r="D1200" t="s">
        <v>1523</v>
      </c>
      <c r="E1200">
        <v>69.709999999999994</v>
      </c>
    </row>
    <row r="1201" spans="1:5" x14ac:dyDescent="0.2">
      <c r="A1201" s="269">
        <v>45909.731296296297</v>
      </c>
      <c r="B1201" t="s">
        <v>1431</v>
      </c>
      <c r="C1201" t="s">
        <v>58</v>
      </c>
      <c r="D1201" t="s">
        <v>1559</v>
      </c>
      <c r="E1201">
        <v>707</v>
      </c>
    </row>
    <row r="1202" spans="1:5" x14ac:dyDescent="0.2">
      <c r="A1202" s="269">
        <v>45909.731458333335</v>
      </c>
      <c r="B1202" t="s">
        <v>1431</v>
      </c>
      <c r="C1202" t="s">
        <v>58</v>
      </c>
      <c r="D1202" t="s">
        <v>1560</v>
      </c>
      <c r="E1202">
        <v>1616</v>
      </c>
    </row>
    <row r="1203" spans="1:5" x14ac:dyDescent="0.2">
      <c r="A1203" s="269">
        <v>45909.731585648151</v>
      </c>
      <c r="B1203" t="s">
        <v>1431</v>
      </c>
      <c r="C1203" t="s">
        <v>58</v>
      </c>
      <c r="D1203" t="s">
        <v>1522</v>
      </c>
      <c r="E1203">
        <v>140.37</v>
      </c>
    </row>
    <row r="1204" spans="1:5" x14ac:dyDescent="0.2">
      <c r="A1204" s="269">
        <v>45909.731863425928</v>
      </c>
      <c r="B1204" t="s">
        <v>1431</v>
      </c>
      <c r="C1204" t="s">
        <v>58</v>
      </c>
      <c r="D1204" t="s">
        <v>1561</v>
      </c>
      <c r="E1204">
        <v>356</v>
      </c>
    </row>
    <row r="1205" spans="1:5" x14ac:dyDescent="0.2">
      <c r="A1205" s="269">
        <v>45909.73201388889</v>
      </c>
      <c r="B1205" t="s">
        <v>1431</v>
      </c>
      <c r="C1205" t="s">
        <v>58</v>
      </c>
      <c r="D1205" t="s">
        <v>1562</v>
      </c>
      <c r="E1205">
        <v>1749</v>
      </c>
    </row>
    <row r="1206" spans="1:5" x14ac:dyDescent="0.2">
      <c r="A1206" s="269">
        <v>45909.732129629629</v>
      </c>
      <c r="B1206" t="s">
        <v>1431</v>
      </c>
      <c r="C1206" t="s">
        <v>58</v>
      </c>
      <c r="D1206" t="s">
        <v>1518</v>
      </c>
      <c r="E1206">
        <v>152.31</v>
      </c>
    </row>
    <row r="1207" spans="1:5" x14ac:dyDescent="0.2">
      <c r="A1207" s="269">
        <v>45909.732314814813</v>
      </c>
      <c r="B1207" t="s">
        <v>1431</v>
      </c>
      <c r="C1207" t="s">
        <v>58</v>
      </c>
      <c r="D1207" t="s">
        <v>1563</v>
      </c>
      <c r="E1207">
        <v>713</v>
      </c>
    </row>
    <row r="1208" spans="1:5" x14ac:dyDescent="0.2">
      <c r="A1208" s="269">
        <v>45909.732858796298</v>
      </c>
      <c r="B1208" t="s">
        <v>1431</v>
      </c>
      <c r="C1208" t="s">
        <v>58</v>
      </c>
      <c r="D1208" t="s">
        <v>1533</v>
      </c>
      <c r="E1208">
        <v>628</v>
      </c>
    </row>
    <row r="1209" spans="1:5" x14ac:dyDescent="0.2">
      <c r="A1209" s="269">
        <v>45909.733703703707</v>
      </c>
      <c r="B1209" t="s">
        <v>1431</v>
      </c>
      <c r="C1209" t="s">
        <v>58</v>
      </c>
      <c r="D1209" t="s">
        <v>1564</v>
      </c>
      <c r="E1209">
        <v>839</v>
      </c>
    </row>
    <row r="1210" spans="1:5" x14ac:dyDescent="0.2">
      <c r="A1210" s="269">
        <v>45909.733831018515</v>
      </c>
      <c r="B1210" t="s">
        <v>1431</v>
      </c>
      <c r="C1210" t="s">
        <v>58</v>
      </c>
      <c r="D1210" t="s">
        <v>1515</v>
      </c>
      <c r="E1210">
        <v>65.95</v>
      </c>
    </row>
    <row r="1211" spans="1:5" x14ac:dyDescent="0.2">
      <c r="A1211" s="269">
        <v>45909.7340625</v>
      </c>
      <c r="B1211" t="s">
        <v>1431</v>
      </c>
      <c r="C1211" t="s">
        <v>58</v>
      </c>
      <c r="D1211" t="s">
        <v>1517</v>
      </c>
      <c r="E1211">
        <v>69.52</v>
      </c>
    </row>
    <row r="1212" spans="1:5" x14ac:dyDescent="0.2">
      <c r="A1212" s="269">
        <v>45910.334780092591</v>
      </c>
      <c r="B1212" t="s">
        <v>1431</v>
      </c>
      <c r="C1212" t="s">
        <v>58</v>
      </c>
      <c r="D1212" t="s">
        <v>1565</v>
      </c>
      <c r="E1212">
        <v>638</v>
      </c>
    </row>
    <row r="1213" spans="1:5" x14ac:dyDescent="0.2">
      <c r="A1213" s="269">
        <v>45910.335115740738</v>
      </c>
      <c r="B1213" t="s">
        <v>1431</v>
      </c>
      <c r="C1213" t="s">
        <v>58</v>
      </c>
      <c r="D1213" t="s">
        <v>1566</v>
      </c>
      <c r="E1213">
        <v>1820</v>
      </c>
    </row>
    <row r="1214" spans="1:5" x14ac:dyDescent="0.2">
      <c r="A1214" s="269">
        <v>45910.335289351853</v>
      </c>
      <c r="B1214" t="s">
        <v>1431</v>
      </c>
      <c r="C1214" t="s">
        <v>58</v>
      </c>
      <c r="D1214" t="s">
        <v>1520</v>
      </c>
      <c r="E1214">
        <v>233.7</v>
      </c>
    </row>
    <row r="1215" spans="1:5" x14ac:dyDescent="0.2">
      <c r="A1215" s="269">
        <v>45910.336412037039</v>
      </c>
      <c r="B1215" t="s">
        <v>1431</v>
      </c>
      <c r="C1215" t="s">
        <v>58</v>
      </c>
      <c r="D1215" t="s">
        <v>1567</v>
      </c>
      <c r="E1215">
        <v>948</v>
      </c>
    </row>
    <row r="1216" spans="1:5" x14ac:dyDescent="0.2">
      <c r="A1216" s="269">
        <v>45910.336747685185</v>
      </c>
      <c r="B1216" t="s">
        <v>1431</v>
      </c>
      <c r="C1216" t="s">
        <v>58</v>
      </c>
      <c r="D1216" t="s">
        <v>1568</v>
      </c>
      <c r="E1216">
        <v>813</v>
      </c>
    </row>
    <row r="1217" spans="1:5" x14ac:dyDescent="0.2">
      <c r="A1217" s="269">
        <v>45910.336921296293</v>
      </c>
      <c r="B1217" t="s">
        <v>1431</v>
      </c>
      <c r="C1217" t="s">
        <v>58</v>
      </c>
      <c r="D1217" t="s">
        <v>1524</v>
      </c>
      <c r="E1217">
        <v>60.13</v>
      </c>
    </row>
    <row r="1218" spans="1:5" x14ac:dyDescent="0.2">
      <c r="A1218" s="269">
        <v>45910.337372685186</v>
      </c>
      <c r="B1218" t="s">
        <v>1431</v>
      </c>
      <c r="C1218" t="s">
        <v>58</v>
      </c>
      <c r="D1218" t="s">
        <v>1525</v>
      </c>
      <c r="E1218">
        <v>102.22</v>
      </c>
    </row>
    <row r="1219" spans="1:5" x14ac:dyDescent="0.2">
      <c r="A1219" s="269">
        <v>45910.337592592594</v>
      </c>
      <c r="B1219" t="s">
        <v>1431</v>
      </c>
      <c r="C1219" t="s">
        <v>58</v>
      </c>
      <c r="D1219" t="s">
        <v>1569</v>
      </c>
      <c r="E1219">
        <v>890</v>
      </c>
    </row>
    <row r="1220" spans="1:5" x14ac:dyDescent="0.2">
      <c r="A1220" s="269">
        <v>45910.338680555556</v>
      </c>
      <c r="B1220" t="s">
        <v>1431</v>
      </c>
      <c r="C1220" t="s">
        <v>58</v>
      </c>
      <c r="D1220" t="s">
        <v>1570</v>
      </c>
      <c r="E1220">
        <v>1208</v>
      </c>
    </row>
    <row r="1221" spans="1:5" x14ac:dyDescent="0.2">
      <c r="A1221" s="269">
        <v>45910.338784722226</v>
      </c>
      <c r="B1221" t="s">
        <v>1431</v>
      </c>
      <c r="C1221" t="s">
        <v>58</v>
      </c>
      <c r="D1221" t="s">
        <v>1528</v>
      </c>
      <c r="E1221">
        <v>106.92</v>
      </c>
    </row>
    <row r="1222" spans="1:5" x14ac:dyDescent="0.2">
      <c r="A1222" s="269">
        <v>45910.339166666665</v>
      </c>
      <c r="B1222" t="s">
        <v>1431</v>
      </c>
      <c r="C1222" t="s">
        <v>58</v>
      </c>
      <c r="D1222" t="s">
        <v>1530</v>
      </c>
      <c r="E1222">
        <v>27.76</v>
      </c>
    </row>
    <row r="1223" spans="1:5" x14ac:dyDescent="0.2">
      <c r="A1223" s="269">
        <v>45910.339247685188</v>
      </c>
      <c r="B1223" t="s">
        <v>1431</v>
      </c>
      <c r="C1223" t="s">
        <v>58</v>
      </c>
      <c r="D1223" t="s">
        <v>1571</v>
      </c>
      <c r="E1223">
        <v>689</v>
      </c>
    </row>
    <row r="1224" spans="1:5" x14ac:dyDescent="0.2">
      <c r="A1224" s="269">
        <v>45910.3434375</v>
      </c>
      <c r="B1224" t="s">
        <v>1431</v>
      </c>
      <c r="C1224" t="s">
        <v>58</v>
      </c>
      <c r="D1224" t="s">
        <v>1530</v>
      </c>
      <c r="E1224">
        <v>61.95</v>
      </c>
    </row>
    <row r="1225" spans="1:5" x14ac:dyDescent="0.2">
      <c r="A1225" s="269">
        <v>45910.343564814815</v>
      </c>
      <c r="B1225" t="s">
        <v>1431</v>
      </c>
      <c r="C1225" t="s">
        <v>58</v>
      </c>
      <c r="D1225" t="s">
        <v>1572</v>
      </c>
      <c r="E1225">
        <v>11.121872477804681</v>
      </c>
    </row>
    <row r="1226" spans="1:5" x14ac:dyDescent="0.2">
      <c r="A1226" s="269">
        <v>45910.343576388892</v>
      </c>
      <c r="B1226" t="s">
        <v>1431</v>
      </c>
      <c r="C1226" t="s">
        <v>58</v>
      </c>
      <c r="D1226" t="s">
        <v>1572</v>
      </c>
    </row>
    <row r="1227" spans="1:5" x14ac:dyDescent="0.2">
      <c r="A1227" s="269">
        <v>45910.350173611114</v>
      </c>
      <c r="B1227" t="s">
        <v>1431</v>
      </c>
      <c r="C1227" t="s">
        <v>103</v>
      </c>
      <c r="D1227" t="s">
        <v>1472</v>
      </c>
      <c r="E1227">
        <v>205480</v>
      </c>
    </row>
    <row r="1228" spans="1:5" x14ac:dyDescent="0.2">
      <c r="A1228" s="269">
        <v>45910.350219907406</v>
      </c>
      <c r="B1228" t="s">
        <v>1431</v>
      </c>
      <c r="C1228" t="s">
        <v>103</v>
      </c>
      <c r="D1228" t="s">
        <v>1472</v>
      </c>
    </row>
    <row r="1229" spans="1:5" x14ac:dyDescent="0.2">
      <c r="A1229" s="269">
        <v>45910.350937499999</v>
      </c>
      <c r="B1229" t="s">
        <v>1431</v>
      </c>
      <c r="C1229" t="s">
        <v>26</v>
      </c>
      <c r="D1229" t="s">
        <v>1541</v>
      </c>
      <c r="E1229" t="s">
        <v>1573</v>
      </c>
    </row>
    <row r="1230" spans="1:5" x14ac:dyDescent="0.2">
      <c r="A1230" s="269">
        <v>45910.350983796299</v>
      </c>
      <c r="B1230" t="s">
        <v>1431</v>
      </c>
      <c r="C1230" t="s">
        <v>26</v>
      </c>
      <c r="D1230" t="s">
        <v>1545</v>
      </c>
      <c r="E1230" t="s">
        <v>1573</v>
      </c>
    </row>
    <row r="1231" spans="1:5" x14ac:dyDescent="0.2">
      <c r="A1231" s="269">
        <v>45910.38140046296</v>
      </c>
      <c r="B1231" t="s">
        <v>1431</v>
      </c>
      <c r="C1231" t="s">
        <v>597</v>
      </c>
      <c r="D1231" t="s">
        <v>1574</v>
      </c>
      <c r="E1231" t="s">
        <v>39</v>
      </c>
    </row>
    <row r="1232" spans="1:5" x14ac:dyDescent="0.2">
      <c r="A1232" s="269">
        <v>45910.381562499999</v>
      </c>
      <c r="B1232" t="s">
        <v>1431</v>
      </c>
      <c r="C1232" t="s">
        <v>15</v>
      </c>
      <c r="D1232" t="s">
        <v>1580</v>
      </c>
      <c r="E1232" t="s">
        <v>1575</v>
      </c>
    </row>
    <row r="1233" spans="1:5" x14ac:dyDescent="0.2">
      <c r="A1233" s="269">
        <v>45910.381747685184</v>
      </c>
      <c r="B1233" t="s">
        <v>1431</v>
      </c>
      <c r="C1233" t="s">
        <v>15</v>
      </c>
      <c r="D1233" t="s">
        <v>1435</v>
      </c>
      <c r="E1233" t="s">
        <v>1581</v>
      </c>
    </row>
    <row r="1234" spans="1:5" x14ac:dyDescent="0.2">
      <c r="A1234" s="269">
        <v>45910.381840277776</v>
      </c>
      <c r="B1234" t="s">
        <v>1431</v>
      </c>
      <c r="C1234" t="s">
        <v>15</v>
      </c>
      <c r="D1234" t="s">
        <v>1443</v>
      </c>
      <c r="E1234" s="444">
        <v>45909</v>
      </c>
    </row>
    <row r="1235" spans="1:5" x14ac:dyDescent="0.2">
      <c r="A1235" s="269">
        <v>45910.382164351853</v>
      </c>
      <c r="B1235" t="s">
        <v>1431</v>
      </c>
      <c r="C1235" t="s">
        <v>15</v>
      </c>
      <c r="D1235" t="s">
        <v>972</v>
      </c>
      <c r="E1235">
        <v>0</v>
      </c>
    </row>
    <row r="1236" spans="1:5" x14ac:dyDescent="0.2">
      <c r="A1236" s="269">
        <v>45910.382175925923</v>
      </c>
      <c r="B1236" t="s">
        <v>1431</v>
      </c>
      <c r="C1236" t="s">
        <v>15</v>
      </c>
      <c r="D1236" t="s">
        <v>1582</v>
      </c>
      <c r="E1236">
        <v>0</v>
      </c>
    </row>
    <row r="1237" spans="1:5" x14ac:dyDescent="0.2">
      <c r="A1237" s="269">
        <v>45910.382199074076</v>
      </c>
      <c r="B1237" t="s">
        <v>1431</v>
      </c>
      <c r="C1237" t="s">
        <v>15</v>
      </c>
      <c r="D1237" t="s">
        <v>972</v>
      </c>
    </row>
    <row r="1238" spans="1:5" x14ac:dyDescent="0.2">
      <c r="A1238" s="269">
        <v>45910.382222222222</v>
      </c>
      <c r="B1238" t="s">
        <v>1431</v>
      </c>
      <c r="C1238" t="s">
        <v>15</v>
      </c>
      <c r="D1238" t="s">
        <v>1582</v>
      </c>
    </row>
    <row r="1239" spans="1:5" x14ac:dyDescent="0.2">
      <c r="A1239" s="269">
        <v>45910.382777777777</v>
      </c>
      <c r="B1239" t="s">
        <v>1431</v>
      </c>
      <c r="C1239" t="s">
        <v>58</v>
      </c>
      <c r="D1239" t="s">
        <v>1435</v>
      </c>
      <c r="E1239" t="s">
        <v>1434</v>
      </c>
    </row>
    <row r="1240" spans="1:5" x14ac:dyDescent="0.2">
      <c r="A1240" s="269">
        <v>45910.382905092592</v>
      </c>
      <c r="B1240" t="s">
        <v>1431</v>
      </c>
      <c r="C1240" t="s">
        <v>58</v>
      </c>
      <c r="D1240" t="s">
        <v>1443</v>
      </c>
      <c r="E1240" t="s">
        <v>1583</v>
      </c>
    </row>
    <row r="1241" spans="1:5" x14ac:dyDescent="0.2">
      <c r="A1241" s="269">
        <v>45910.383159722223</v>
      </c>
      <c r="B1241" t="s">
        <v>1431</v>
      </c>
      <c r="C1241" t="s">
        <v>103</v>
      </c>
      <c r="D1241" t="s">
        <v>1443</v>
      </c>
      <c r="E1241" s="444">
        <v>45909</v>
      </c>
    </row>
    <row r="1242" spans="1:5" x14ac:dyDescent="0.2">
      <c r="A1242" s="269">
        <v>45910.383437500001</v>
      </c>
      <c r="B1242" t="s">
        <v>1431</v>
      </c>
      <c r="C1242" t="s">
        <v>26</v>
      </c>
      <c r="D1242" t="s">
        <v>1435</v>
      </c>
      <c r="E1242" t="s">
        <v>1581</v>
      </c>
    </row>
    <row r="1243" spans="1:5" x14ac:dyDescent="0.2">
      <c r="A1243" s="269">
        <v>45910.38354166667</v>
      </c>
      <c r="B1243" t="s">
        <v>1431</v>
      </c>
      <c r="C1243" t="s">
        <v>26</v>
      </c>
      <c r="D1243" t="s">
        <v>1443</v>
      </c>
      <c r="E1243" s="444">
        <v>45909</v>
      </c>
    </row>
    <row r="1244" spans="1:5" x14ac:dyDescent="0.2">
      <c r="A1244" s="269">
        <v>45910.384004629632</v>
      </c>
      <c r="B1244" t="s">
        <v>1431</v>
      </c>
      <c r="C1244" t="s">
        <v>28</v>
      </c>
      <c r="D1244" t="s">
        <v>1435</v>
      </c>
      <c r="E1244" t="s">
        <v>1581</v>
      </c>
    </row>
    <row r="1245" spans="1:5" x14ac:dyDescent="0.2">
      <c r="A1245" s="269">
        <v>45910.384108796294</v>
      </c>
      <c r="B1245" t="s">
        <v>1431</v>
      </c>
      <c r="C1245" t="s">
        <v>28</v>
      </c>
      <c r="D1245" t="s">
        <v>1443</v>
      </c>
      <c r="E1245" s="444">
        <v>45909</v>
      </c>
    </row>
    <row r="1246" spans="1:5" x14ac:dyDescent="0.2">
      <c r="A1246" s="269">
        <v>45910.49015046296</v>
      </c>
      <c r="B1246" t="s">
        <v>1431</v>
      </c>
      <c r="C1246" t="s">
        <v>597</v>
      </c>
      <c r="D1246" t="s">
        <v>1574</v>
      </c>
      <c r="E1246" t="s">
        <v>39</v>
      </c>
    </row>
    <row r="1247" spans="1:5" x14ac:dyDescent="0.2">
      <c r="A1247" s="269">
        <v>45910.494386574072</v>
      </c>
      <c r="B1247" t="s">
        <v>1431</v>
      </c>
      <c r="C1247" t="s">
        <v>28</v>
      </c>
      <c r="D1247" t="s">
        <v>1443</v>
      </c>
      <c r="E1247" s="444">
        <v>45910</v>
      </c>
    </row>
    <row r="1248" spans="1:5" x14ac:dyDescent="0.2">
      <c r="A1248" s="269">
        <v>45910.494618055556</v>
      </c>
      <c r="B1248" t="s">
        <v>1431</v>
      </c>
      <c r="C1248" t="s">
        <v>28</v>
      </c>
      <c r="D1248" t="s">
        <v>1585</v>
      </c>
      <c r="E1248" t="s">
        <v>338</v>
      </c>
    </row>
    <row r="1249" spans="1:5" x14ac:dyDescent="0.2">
      <c r="A1249" s="269">
        <v>45910.495208333334</v>
      </c>
      <c r="B1249" t="s">
        <v>1431</v>
      </c>
      <c r="C1249" t="s">
        <v>28</v>
      </c>
      <c r="D1249" t="s">
        <v>1588</v>
      </c>
      <c r="E1249" t="s">
        <v>139</v>
      </c>
    </row>
    <row r="1250" spans="1:5" x14ac:dyDescent="0.2">
      <c r="A1250" s="269">
        <v>45910.495266203703</v>
      </c>
      <c r="B1250" t="s">
        <v>1431</v>
      </c>
      <c r="C1250" t="s">
        <v>28</v>
      </c>
      <c r="D1250" t="s">
        <v>658</v>
      </c>
      <c r="E1250" t="s">
        <v>1586</v>
      </c>
    </row>
    <row r="1251" spans="1:5" x14ac:dyDescent="0.2">
      <c r="A1251" s="269">
        <v>45910.495347222219</v>
      </c>
      <c r="B1251" t="s">
        <v>1431</v>
      </c>
      <c r="C1251" t="s">
        <v>28</v>
      </c>
      <c r="D1251" t="s">
        <v>1069</v>
      </c>
      <c r="E1251" t="s">
        <v>317</v>
      </c>
    </row>
    <row r="1252" spans="1:5" x14ac:dyDescent="0.2">
      <c r="A1252" s="269">
        <v>45910.560416666667</v>
      </c>
      <c r="B1252" t="s">
        <v>1431</v>
      </c>
      <c r="C1252" t="s">
        <v>597</v>
      </c>
      <c r="D1252" t="s">
        <v>1574</v>
      </c>
      <c r="E1252" t="s">
        <v>39</v>
      </c>
    </row>
    <row r="1253" spans="1:5" x14ac:dyDescent="0.2">
      <c r="A1253" s="269">
        <v>45910.563680555555</v>
      </c>
      <c r="B1253" t="s">
        <v>1431</v>
      </c>
      <c r="C1253" t="s">
        <v>15</v>
      </c>
      <c r="D1253" t="s">
        <v>1438</v>
      </c>
      <c r="E1253" t="s">
        <v>1589</v>
      </c>
    </row>
    <row r="1254" spans="1:5" x14ac:dyDescent="0.2">
      <c r="A1254" s="269">
        <v>45910.563715277778</v>
      </c>
      <c r="B1254" t="s">
        <v>1431</v>
      </c>
      <c r="C1254" t="s">
        <v>15</v>
      </c>
      <c r="D1254" t="s">
        <v>1590</v>
      </c>
      <c r="E1254" t="s">
        <v>200</v>
      </c>
    </row>
    <row r="1255" spans="1:5" x14ac:dyDescent="0.2">
      <c r="A1255" s="269">
        <v>45910.563750000001</v>
      </c>
      <c r="B1255" t="s">
        <v>1431</v>
      </c>
      <c r="C1255" t="s">
        <v>15</v>
      </c>
      <c r="D1255" t="s">
        <v>1069</v>
      </c>
      <c r="E1255">
        <v>2</v>
      </c>
    </row>
    <row r="1256" spans="1:5" x14ac:dyDescent="0.2">
      <c r="A1256" s="269">
        <v>45910.563819444447</v>
      </c>
      <c r="B1256" t="s">
        <v>1431</v>
      </c>
      <c r="C1256" t="s">
        <v>15</v>
      </c>
      <c r="D1256" t="s">
        <v>924</v>
      </c>
      <c r="E1256" t="s">
        <v>380</v>
      </c>
    </row>
    <row r="1257" spans="1:5" x14ac:dyDescent="0.2">
      <c r="A1257" s="269">
        <v>45910.563877314817</v>
      </c>
      <c r="B1257" t="s">
        <v>1431</v>
      </c>
      <c r="C1257" t="s">
        <v>15</v>
      </c>
      <c r="D1257" t="s">
        <v>1591</v>
      </c>
      <c r="E1257" t="s">
        <v>400</v>
      </c>
    </row>
    <row r="1258" spans="1:5" x14ac:dyDescent="0.2">
      <c r="A1258" s="269">
        <v>45910.565937500003</v>
      </c>
      <c r="B1258" t="s">
        <v>1431</v>
      </c>
      <c r="C1258" t="s">
        <v>15</v>
      </c>
      <c r="D1258" t="s">
        <v>1591</v>
      </c>
      <c r="E1258" t="s">
        <v>41</v>
      </c>
    </row>
    <row r="1259" spans="1:5" x14ac:dyDescent="0.2">
      <c r="A1259" s="269">
        <v>45910.566099537034</v>
      </c>
      <c r="B1259" t="s">
        <v>1431</v>
      </c>
      <c r="C1259" t="s">
        <v>15</v>
      </c>
      <c r="D1259" t="s">
        <v>1512</v>
      </c>
      <c r="E1259" t="s">
        <v>188</v>
      </c>
    </row>
    <row r="1260" spans="1:5" x14ac:dyDescent="0.2">
      <c r="A1260" s="269">
        <v>45910.566458333335</v>
      </c>
      <c r="B1260" t="s">
        <v>1431</v>
      </c>
      <c r="C1260" t="s">
        <v>15</v>
      </c>
      <c r="D1260" t="s">
        <v>1592</v>
      </c>
      <c r="E1260" t="s">
        <v>1589</v>
      </c>
    </row>
    <row r="1261" spans="1:5" x14ac:dyDescent="0.2">
      <c r="A1261" s="269">
        <v>45910.56653935185</v>
      </c>
      <c r="B1261" t="s">
        <v>1431</v>
      </c>
      <c r="C1261" t="s">
        <v>15</v>
      </c>
      <c r="D1261" t="s">
        <v>1511</v>
      </c>
      <c r="E1261" t="s">
        <v>86</v>
      </c>
    </row>
    <row r="1262" spans="1:5" x14ac:dyDescent="0.2">
      <c r="A1262" s="269">
        <v>45910.566620370373</v>
      </c>
      <c r="B1262" t="s">
        <v>1431</v>
      </c>
      <c r="C1262" t="s">
        <v>15</v>
      </c>
      <c r="D1262" t="s">
        <v>1593</v>
      </c>
      <c r="E1262" t="s">
        <v>400</v>
      </c>
    </row>
    <row r="1263" spans="1:5" x14ac:dyDescent="0.2">
      <c r="A1263" s="269">
        <v>45910.572395833333</v>
      </c>
      <c r="B1263" t="s">
        <v>1431</v>
      </c>
      <c r="C1263" t="s">
        <v>15</v>
      </c>
      <c r="D1263" t="s">
        <v>1594</v>
      </c>
      <c r="E1263">
        <v>2.1</v>
      </c>
    </row>
    <row r="1264" spans="1:5" x14ac:dyDescent="0.2">
      <c r="A1264" s="269">
        <v>45910.572442129633</v>
      </c>
      <c r="B1264" t="s">
        <v>1431</v>
      </c>
      <c r="C1264" t="s">
        <v>15</v>
      </c>
      <c r="D1264" t="s">
        <v>1594</v>
      </c>
    </row>
    <row r="1265" spans="1:5" x14ac:dyDescent="0.2">
      <c r="A1265" s="269">
        <v>45910.572500000002</v>
      </c>
      <c r="B1265" t="s">
        <v>1431</v>
      </c>
      <c r="C1265" t="s">
        <v>15</v>
      </c>
      <c r="D1265" t="s">
        <v>1534</v>
      </c>
      <c r="E1265">
        <v>2.1</v>
      </c>
    </row>
    <row r="1266" spans="1:5" x14ac:dyDescent="0.2">
      <c r="A1266" s="269">
        <v>45910.572557870371</v>
      </c>
      <c r="B1266" t="s">
        <v>1431</v>
      </c>
      <c r="C1266" t="s">
        <v>15</v>
      </c>
      <c r="D1266" t="s">
        <v>1534</v>
      </c>
      <c r="E1266">
        <v>2.1</v>
      </c>
    </row>
    <row r="1267" spans="1:5" x14ac:dyDescent="0.2">
      <c r="A1267" s="269">
        <v>45910.57271990741</v>
      </c>
      <c r="B1267" t="s">
        <v>1431</v>
      </c>
      <c r="C1267" t="s">
        <v>15</v>
      </c>
      <c r="D1267" t="s">
        <v>1594</v>
      </c>
      <c r="E1267">
        <v>1.4</v>
      </c>
    </row>
    <row r="1268" spans="1:5" x14ac:dyDescent="0.2">
      <c r="A1268" s="269">
        <v>45910.572754629633</v>
      </c>
      <c r="B1268" t="s">
        <v>1431</v>
      </c>
      <c r="C1268" t="s">
        <v>15</v>
      </c>
      <c r="D1268" t="s">
        <v>1595</v>
      </c>
      <c r="E1268">
        <v>1.5</v>
      </c>
    </row>
    <row r="1269" spans="1:5" x14ac:dyDescent="0.2">
      <c r="A1269" s="269">
        <v>45910.572835648149</v>
      </c>
      <c r="B1269" t="s">
        <v>1431</v>
      </c>
      <c r="C1269" t="s">
        <v>15</v>
      </c>
      <c r="D1269" t="s">
        <v>1534</v>
      </c>
      <c r="E1269">
        <v>2.1</v>
      </c>
    </row>
    <row r="1270" spans="1:5" x14ac:dyDescent="0.2">
      <c r="A1270" s="269">
        <v>45910.573368055557</v>
      </c>
      <c r="B1270" t="s">
        <v>1431</v>
      </c>
      <c r="C1270" t="s">
        <v>15</v>
      </c>
      <c r="D1270" t="s">
        <v>1598</v>
      </c>
      <c r="E1270" t="s">
        <v>1597</v>
      </c>
    </row>
    <row r="1271" spans="1:5" x14ac:dyDescent="0.2">
      <c r="A1271" s="269">
        <v>45910.573541666665</v>
      </c>
      <c r="B1271" t="s">
        <v>1431</v>
      </c>
      <c r="C1271" t="s">
        <v>15</v>
      </c>
      <c r="D1271" t="s">
        <v>1595</v>
      </c>
      <c r="E1271">
        <v>1.4</v>
      </c>
    </row>
    <row r="1272" spans="1:5" x14ac:dyDescent="0.2">
      <c r="A1272" s="269">
        <v>45910.579791666663</v>
      </c>
      <c r="B1272" t="s">
        <v>1431</v>
      </c>
      <c r="C1272" t="s">
        <v>597</v>
      </c>
      <c r="D1272" t="s">
        <v>1574</v>
      </c>
      <c r="E1272" t="s">
        <v>39</v>
      </c>
    </row>
    <row r="1273" spans="1:5" x14ac:dyDescent="0.2">
      <c r="A1273" s="269">
        <v>45910.603333333333</v>
      </c>
      <c r="B1273" t="s">
        <v>1431</v>
      </c>
      <c r="C1273" t="s">
        <v>15</v>
      </c>
      <c r="D1273" t="s">
        <v>1599</v>
      </c>
      <c r="E1273" t="s">
        <v>203</v>
      </c>
    </row>
    <row r="1274" spans="1:5" x14ac:dyDescent="0.2">
      <c r="A1274" s="269">
        <v>45910.603379629632</v>
      </c>
      <c r="B1274" t="s">
        <v>1431</v>
      </c>
      <c r="C1274" t="s">
        <v>15</v>
      </c>
      <c r="D1274" t="s">
        <v>1446</v>
      </c>
      <c r="E1274">
        <v>4</v>
      </c>
    </row>
    <row r="1275" spans="1:5" x14ac:dyDescent="0.2">
      <c r="A1275" s="269">
        <v>45910.604039351849</v>
      </c>
      <c r="B1275" t="s">
        <v>1431</v>
      </c>
      <c r="C1275" t="s">
        <v>15</v>
      </c>
      <c r="D1275" t="s">
        <v>1497</v>
      </c>
      <c r="E1275" t="s">
        <v>352</v>
      </c>
    </row>
    <row r="1276" spans="1:5" x14ac:dyDescent="0.2">
      <c r="A1276" s="269">
        <v>45910.604120370372</v>
      </c>
      <c r="B1276" t="s">
        <v>1431</v>
      </c>
      <c r="C1276" t="s">
        <v>15</v>
      </c>
      <c r="D1276" t="s">
        <v>1514</v>
      </c>
      <c r="E1276" t="s">
        <v>352</v>
      </c>
    </row>
    <row r="1277" spans="1:5" x14ac:dyDescent="0.2">
      <c r="A1277" s="269">
        <v>45910.604224537034</v>
      </c>
      <c r="B1277" t="s">
        <v>1431</v>
      </c>
      <c r="C1277" t="s">
        <v>15</v>
      </c>
      <c r="D1277" t="s">
        <v>1447</v>
      </c>
      <c r="E1277">
        <v>2</v>
      </c>
    </row>
    <row r="1278" spans="1:5" x14ac:dyDescent="0.2">
      <c r="A1278" s="269">
        <v>45910.604259259257</v>
      </c>
      <c r="B1278" t="s">
        <v>1431</v>
      </c>
      <c r="C1278" t="s">
        <v>15</v>
      </c>
      <c r="D1278" t="s">
        <v>1600</v>
      </c>
      <c r="E1278" t="s">
        <v>203</v>
      </c>
    </row>
    <row r="1279" spans="1:5" x14ac:dyDescent="0.2">
      <c r="A1279" s="269">
        <v>45910.604814814818</v>
      </c>
      <c r="B1279" t="s">
        <v>1431</v>
      </c>
      <c r="C1279" t="s">
        <v>15</v>
      </c>
      <c r="D1279" t="s">
        <v>672</v>
      </c>
      <c r="E1279" t="s">
        <v>1601</v>
      </c>
    </row>
    <row r="1280" spans="1:5" x14ac:dyDescent="0.2">
      <c r="A1280" s="269">
        <v>45910.604826388888</v>
      </c>
      <c r="B1280" t="s">
        <v>1431</v>
      </c>
      <c r="C1280" t="s">
        <v>15</v>
      </c>
      <c r="D1280" t="s">
        <v>674</v>
      </c>
      <c r="E1280" t="s">
        <v>1601</v>
      </c>
    </row>
    <row r="1281" spans="1:5" x14ac:dyDescent="0.2">
      <c r="A1281" s="269">
        <v>45910.604953703703</v>
      </c>
      <c r="B1281" t="s">
        <v>1431</v>
      </c>
      <c r="C1281" t="s">
        <v>15</v>
      </c>
      <c r="D1281" t="s">
        <v>675</v>
      </c>
      <c r="E1281" t="s">
        <v>1601</v>
      </c>
    </row>
    <row r="1282" spans="1:5" x14ac:dyDescent="0.2">
      <c r="A1282" s="269">
        <v>45910.605000000003</v>
      </c>
      <c r="B1282" t="s">
        <v>1431</v>
      </c>
      <c r="C1282" t="s">
        <v>15</v>
      </c>
      <c r="D1282" t="s">
        <v>1602</v>
      </c>
      <c r="E1282" t="s">
        <v>203</v>
      </c>
    </row>
    <row r="1283" spans="1:5" x14ac:dyDescent="0.2">
      <c r="A1283" s="269">
        <v>45910.605219907404</v>
      </c>
      <c r="B1283" t="s">
        <v>1431</v>
      </c>
      <c r="C1283" t="s">
        <v>15</v>
      </c>
      <c r="D1283" t="s">
        <v>1448</v>
      </c>
      <c r="E1283">
        <v>1</v>
      </c>
    </row>
    <row r="1284" spans="1:5" x14ac:dyDescent="0.2">
      <c r="A1284" s="269">
        <v>45910.60528935185</v>
      </c>
      <c r="B1284" t="s">
        <v>1431</v>
      </c>
      <c r="C1284" t="s">
        <v>15</v>
      </c>
      <c r="D1284" t="s">
        <v>1513</v>
      </c>
      <c r="E1284" t="s">
        <v>352</v>
      </c>
    </row>
    <row r="1285" spans="1:5" x14ac:dyDescent="0.2">
      <c r="A1285" s="269">
        <v>45910.605428240742</v>
      </c>
      <c r="B1285" t="s">
        <v>1431</v>
      </c>
      <c r="C1285" t="s">
        <v>15</v>
      </c>
      <c r="D1285" t="s">
        <v>1603</v>
      </c>
      <c r="E1285" t="s">
        <v>41</v>
      </c>
    </row>
    <row r="1286" spans="1:5" x14ac:dyDescent="0.2">
      <c r="A1286" s="269">
        <v>45910.605462962965</v>
      </c>
      <c r="B1286" t="s">
        <v>1431</v>
      </c>
      <c r="C1286" t="s">
        <v>15</v>
      </c>
      <c r="D1286" t="s">
        <v>1604</v>
      </c>
      <c r="E1286">
        <v>2</v>
      </c>
    </row>
    <row r="1287" spans="1:5" x14ac:dyDescent="0.2">
      <c r="A1287" s="269">
        <v>45910.605844907404</v>
      </c>
      <c r="B1287" t="s">
        <v>1431</v>
      </c>
      <c r="C1287" t="s">
        <v>15</v>
      </c>
      <c r="D1287" t="s">
        <v>1606</v>
      </c>
      <c r="E1287" t="s">
        <v>1605</v>
      </c>
    </row>
    <row r="1288" spans="1:5" x14ac:dyDescent="0.2">
      <c r="A1288" s="269">
        <v>45910.606979166667</v>
      </c>
      <c r="B1288" t="s">
        <v>1431</v>
      </c>
      <c r="C1288" t="s">
        <v>15</v>
      </c>
      <c r="D1288" t="s">
        <v>981</v>
      </c>
    </row>
    <row r="1289" spans="1:5" x14ac:dyDescent="0.2">
      <c r="A1289" s="269">
        <v>45910.606979166667</v>
      </c>
      <c r="B1289" t="s">
        <v>1431</v>
      </c>
      <c r="C1289" t="s">
        <v>15</v>
      </c>
      <c r="D1289" t="s">
        <v>981</v>
      </c>
    </row>
    <row r="1290" spans="1:5" x14ac:dyDescent="0.2">
      <c r="A1290" s="269">
        <v>45910.607037037036</v>
      </c>
      <c r="B1290" t="s">
        <v>1431</v>
      </c>
      <c r="C1290" t="s">
        <v>15</v>
      </c>
      <c r="D1290" t="s">
        <v>981</v>
      </c>
      <c r="E1290" t="s">
        <v>339</v>
      </c>
    </row>
    <row r="1291" spans="1:5" x14ac:dyDescent="0.2">
      <c r="A1291" s="269">
        <v>45910.607083333336</v>
      </c>
      <c r="B1291" t="s">
        <v>1431</v>
      </c>
      <c r="C1291" t="s">
        <v>15</v>
      </c>
      <c r="D1291" t="s">
        <v>1607</v>
      </c>
      <c r="E1291" t="s">
        <v>339</v>
      </c>
    </row>
    <row r="1292" spans="1:5" x14ac:dyDescent="0.2">
      <c r="A1292" s="269">
        <v>45910.609456018516</v>
      </c>
      <c r="B1292" t="s">
        <v>1431</v>
      </c>
      <c r="C1292" t="s">
        <v>597</v>
      </c>
      <c r="D1292" t="s">
        <v>1574</v>
      </c>
      <c r="E1292" t="s">
        <v>39</v>
      </c>
    </row>
    <row r="1293" spans="1:5" x14ac:dyDescent="0.2">
      <c r="A1293" s="269">
        <v>45910.610532407409</v>
      </c>
      <c r="B1293" t="s">
        <v>1431</v>
      </c>
      <c r="C1293" t="s">
        <v>15</v>
      </c>
      <c r="D1293" t="s">
        <v>1608</v>
      </c>
      <c r="E1293" t="s">
        <v>1589</v>
      </c>
    </row>
    <row r="1294" spans="1:5" x14ac:dyDescent="0.2">
      <c r="A1294" s="269">
        <v>45910.610671296294</v>
      </c>
      <c r="B1294" t="s">
        <v>1431</v>
      </c>
      <c r="C1294" t="s">
        <v>15</v>
      </c>
      <c r="D1294" t="s">
        <v>1609</v>
      </c>
      <c r="E1294" t="s">
        <v>400</v>
      </c>
    </row>
    <row r="1295" spans="1:5" x14ac:dyDescent="0.2">
      <c r="A1295" s="269">
        <v>45910.61074074074</v>
      </c>
      <c r="B1295" t="s">
        <v>1431</v>
      </c>
      <c r="C1295" t="s">
        <v>15</v>
      </c>
      <c r="D1295" t="s">
        <v>1610</v>
      </c>
      <c r="E1295" t="s">
        <v>1597</v>
      </c>
    </row>
    <row r="1296" spans="1:5" x14ac:dyDescent="0.2">
      <c r="A1296" s="269">
        <v>45910.610868055555</v>
      </c>
      <c r="B1296" t="s">
        <v>1431</v>
      </c>
      <c r="C1296" t="s">
        <v>15</v>
      </c>
      <c r="D1296" t="s">
        <v>1598</v>
      </c>
    </row>
    <row r="1297" spans="1:5" x14ac:dyDescent="0.2">
      <c r="A1297" s="269">
        <v>45910.610914351855</v>
      </c>
      <c r="B1297" t="s">
        <v>1431</v>
      </c>
      <c r="C1297" t="s">
        <v>15</v>
      </c>
      <c r="D1297" t="s">
        <v>1611</v>
      </c>
    </row>
    <row r="1298" spans="1:5" x14ac:dyDescent="0.2">
      <c r="A1298" s="269">
        <v>45910.610960648148</v>
      </c>
      <c r="B1298" t="s">
        <v>1431</v>
      </c>
      <c r="C1298" t="s">
        <v>15</v>
      </c>
      <c r="D1298" t="s">
        <v>1612</v>
      </c>
    </row>
    <row r="1299" spans="1:5" x14ac:dyDescent="0.2">
      <c r="A1299" s="269">
        <v>45910.611030092594</v>
      </c>
      <c r="B1299" t="s">
        <v>1431</v>
      </c>
      <c r="C1299" t="s">
        <v>15</v>
      </c>
      <c r="D1299" t="s">
        <v>1613</v>
      </c>
    </row>
    <row r="1300" spans="1:5" x14ac:dyDescent="0.2">
      <c r="A1300" s="269">
        <v>45910.611238425925</v>
      </c>
      <c r="B1300" t="s">
        <v>1431</v>
      </c>
      <c r="C1300" t="s">
        <v>15</v>
      </c>
      <c r="D1300" t="s">
        <v>1614</v>
      </c>
      <c r="E1300" t="s">
        <v>1601</v>
      </c>
    </row>
    <row r="1301" spans="1:5" x14ac:dyDescent="0.2">
      <c r="A1301" s="269">
        <v>45910.611550925925</v>
      </c>
      <c r="B1301" t="s">
        <v>1431</v>
      </c>
      <c r="C1301" t="s">
        <v>15</v>
      </c>
      <c r="D1301" t="s">
        <v>1615</v>
      </c>
      <c r="E1301" t="s">
        <v>41</v>
      </c>
    </row>
    <row r="1302" spans="1:5" x14ac:dyDescent="0.2">
      <c r="A1302" s="269">
        <v>45910.611574074072</v>
      </c>
      <c r="B1302" t="s">
        <v>1431</v>
      </c>
      <c r="C1302" t="s">
        <v>15</v>
      </c>
      <c r="D1302" t="s">
        <v>1616</v>
      </c>
    </row>
    <row r="1303" spans="1:5" x14ac:dyDescent="0.2">
      <c r="A1303" s="269">
        <v>45910.611805555556</v>
      </c>
      <c r="B1303" t="s">
        <v>1431</v>
      </c>
      <c r="C1303" t="s">
        <v>15</v>
      </c>
      <c r="D1303" t="s">
        <v>1617</v>
      </c>
      <c r="E1303" t="s">
        <v>41</v>
      </c>
    </row>
    <row r="1304" spans="1:5" x14ac:dyDescent="0.2">
      <c r="A1304" s="269">
        <v>45910.611828703702</v>
      </c>
      <c r="B1304" t="s">
        <v>1431</v>
      </c>
      <c r="C1304" t="s">
        <v>15</v>
      </c>
      <c r="D1304" t="s">
        <v>1618</v>
      </c>
    </row>
    <row r="1305" spans="1:5" x14ac:dyDescent="0.2">
      <c r="A1305" s="269">
        <v>45910.611956018518</v>
      </c>
      <c r="B1305" t="s">
        <v>1431</v>
      </c>
      <c r="C1305" t="s">
        <v>15</v>
      </c>
      <c r="D1305" t="s">
        <v>1619</v>
      </c>
      <c r="E1305" t="s">
        <v>400</v>
      </c>
    </row>
    <row r="1306" spans="1:5" x14ac:dyDescent="0.2">
      <c r="A1306" s="269">
        <v>45910.611979166664</v>
      </c>
      <c r="B1306" t="s">
        <v>1431</v>
      </c>
      <c r="C1306" t="s">
        <v>15</v>
      </c>
      <c r="D1306" t="s">
        <v>1609</v>
      </c>
    </row>
    <row r="1307" spans="1:5" x14ac:dyDescent="0.2">
      <c r="A1307" s="269">
        <v>45910.612118055556</v>
      </c>
      <c r="B1307" t="s">
        <v>1431</v>
      </c>
      <c r="C1307" t="s">
        <v>15</v>
      </c>
      <c r="D1307" t="s">
        <v>1620</v>
      </c>
      <c r="E1307" t="s">
        <v>1605</v>
      </c>
    </row>
    <row r="1308" spans="1:5" x14ac:dyDescent="0.2">
      <c r="A1308" s="269">
        <v>45910.61215277778</v>
      </c>
      <c r="B1308" t="s">
        <v>1431</v>
      </c>
      <c r="C1308" t="s">
        <v>15</v>
      </c>
      <c r="D1308" t="s">
        <v>1606</v>
      </c>
      <c r="E1308" t="s">
        <v>1597</v>
      </c>
    </row>
    <row r="1309" spans="1:5" x14ac:dyDescent="0.2">
      <c r="A1309" s="269">
        <v>45910.612164351849</v>
      </c>
      <c r="B1309" t="s">
        <v>1431</v>
      </c>
      <c r="C1309" t="s">
        <v>15</v>
      </c>
      <c r="D1309" t="s">
        <v>1610</v>
      </c>
    </row>
    <row r="1310" spans="1:5" x14ac:dyDescent="0.2">
      <c r="A1310" s="269">
        <v>45910.613125000003</v>
      </c>
      <c r="B1310" t="s">
        <v>1431</v>
      </c>
      <c r="C1310" t="s">
        <v>597</v>
      </c>
      <c r="D1310" t="s">
        <v>1574</v>
      </c>
      <c r="E1310" t="s">
        <v>39</v>
      </c>
    </row>
    <row r="1311" spans="1:5" x14ac:dyDescent="0.2">
      <c r="A1311" s="269">
        <v>45910.614317129628</v>
      </c>
      <c r="B1311" t="s">
        <v>1431</v>
      </c>
      <c r="C1311" t="s">
        <v>15</v>
      </c>
      <c r="D1311" t="s">
        <v>1621</v>
      </c>
      <c r="E1311" t="s">
        <v>41</v>
      </c>
    </row>
    <row r="1312" spans="1:5" x14ac:dyDescent="0.2">
      <c r="A1312" s="269">
        <v>45910.614340277774</v>
      </c>
      <c r="B1312" t="s">
        <v>1431</v>
      </c>
      <c r="C1312" t="s">
        <v>15</v>
      </c>
      <c r="D1312" t="s">
        <v>1617</v>
      </c>
    </row>
    <row r="1313" spans="1:5" x14ac:dyDescent="0.2">
      <c r="A1313" s="269">
        <v>45910.61440972222</v>
      </c>
      <c r="B1313" t="s">
        <v>1431</v>
      </c>
      <c r="C1313" t="s">
        <v>15</v>
      </c>
      <c r="D1313" t="s">
        <v>1622</v>
      </c>
      <c r="E1313" t="s">
        <v>1605</v>
      </c>
    </row>
    <row r="1314" spans="1:5" x14ac:dyDescent="0.2">
      <c r="A1314" s="269">
        <v>45910.614421296297</v>
      </c>
      <c r="B1314" t="s">
        <v>1431</v>
      </c>
      <c r="C1314" t="s">
        <v>15</v>
      </c>
      <c r="D1314" t="s">
        <v>1620</v>
      </c>
    </row>
    <row r="1315" spans="1:5" x14ac:dyDescent="0.2">
      <c r="A1315" s="269">
        <v>45910.614490740743</v>
      </c>
      <c r="B1315" t="s">
        <v>1431</v>
      </c>
      <c r="C1315" t="s">
        <v>15</v>
      </c>
      <c r="D1315" t="s">
        <v>1623</v>
      </c>
    </row>
    <row r="1316" spans="1:5" x14ac:dyDescent="0.2">
      <c r="A1316" s="269">
        <v>45910.614594907405</v>
      </c>
      <c r="B1316" t="s">
        <v>1431</v>
      </c>
      <c r="C1316" t="s">
        <v>15</v>
      </c>
      <c r="D1316" t="s">
        <v>1624</v>
      </c>
      <c r="E1316" t="s">
        <v>1589</v>
      </c>
    </row>
    <row r="1317" spans="1:5" x14ac:dyDescent="0.2">
      <c r="A1317" s="269">
        <v>45910.614687499998</v>
      </c>
      <c r="B1317" t="s">
        <v>1431</v>
      </c>
      <c r="C1317" t="s">
        <v>15</v>
      </c>
      <c r="D1317" t="s">
        <v>1625</v>
      </c>
      <c r="E1317" t="s">
        <v>1597</v>
      </c>
    </row>
    <row r="1318" spans="1:5" x14ac:dyDescent="0.2">
      <c r="A1318" s="269">
        <v>45910.614687499998</v>
      </c>
      <c r="B1318" t="s">
        <v>1431</v>
      </c>
      <c r="C1318" t="s">
        <v>15</v>
      </c>
      <c r="D1318" t="s">
        <v>1606</v>
      </c>
    </row>
    <row r="1319" spans="1:5" x14ac:dyDescent="0.2">
      <c r="A1319" s="269">
        <v>45916.870879629627</v>
      </c>
      <c r="B1319" t="s">
        <v>596</v>
      </c>
      <c r="C1319" t="s">
        <v>597</v>
      </c>
      <c r="D1319" t="s">
        <v>1574</v>
      </c>
      <c r="E1319" t="s">
        <v>39</v>
      </c>
    </row>
    <row r="1320" spans="1:5" x14ac:dyDescent="0.2">
      <c r="A1320" s="269">
        <v>45916.871423611112</v>
      </c>
      <c r="B1320" t="s">
        <v>596</v>
      </c>
      <c r="C1320" t="s">
        <v>27</v>
      </c>
      <c r="D1320" t="s">
        <v>1626</v>
      </c>
      <c r="E1320">
        <v>1</v>
      </c>
    </row>
    <row r="1321" spans="1:5" x14ac:dyDescent="0.2">
      <c r="A1321" s="269">
        <v>45916.871469907404</v>
      </c>
      <c r="B1321" t="s">
        <v>596</v>
      </c>
      <c r="C1321" t="s">
        <v>27</v>
      </c>
      <c r="D1321" t="s">
        <v>936</v>
      </c>
      <c r="E1321">
        <v>2</v>
      </c>
    </row>
    <row r="1322" spans="1:5" x14ac:dyDescent="0.2">
      <c r="A1322" s="269">
        <v>45916.871469907404</v>
      </c>
      <c r="B1322" t="s">
        <v>596</v>
      </c>
      <c r="C1322" t="s">
        <v>27</v>
      </c>
      <c r="D1322" t="s">
        <v>1220</v>
      </c>
      <c r="E1322">
        <v>3</v>
      </c>
    </row>
    <row r="1323" spans="1:5" x14ac:dyDescent="0.2">
      <c r="A1323" s="269">
        <v>45916.871469907404</v>
      </c>
      <c r="B1323" t="s">
        <v>596</v>
      </c>
      <c r="C1323" t="s">
        <v>27</v>
      </c>
      <c r="D1323" t="s">
        <v>794</v>
      </c>
      <c r="E1323">
        <v>4</v>
      </c>
    </row>
    <row r="1324" spans="1:5" x14ac:dyDescent="0.2">
      <c r="A1324" s="269">
        <v>45916.871504629627</v>
      </c>
      <c r="B1324" t="s">
        <v>596</v>
      </c>
      <c r="C1324" t="s">
        <v>27</v>
      </c>
      <c r="D1324" t="s">
        <v>1627</v>
      </c>
      <c r="E1324" t="s">
        <v>53</v>
      </c>
    </row>
    <row r="1325" spans="1:5" x14ac:dyDescent="0.2">
      <c r="A1325" s="269">
        <v>45916.871620370373</v>
      </c>
      <c r="B1325" t="s">
        <v>596</v>
      </c>
      <c r="C1325" t="s">
        <v>27</v>
      </c>
      <c r="D1325" t="s">
        <v>1628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2025-09-16T12:55:10Z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y fmtid="{D5CDD505-2E9C-101B-9397-08002B2CF9AE}" pid="18" name="SV_QUERY_LIST_4F35BF76-6C0D-4D9B-82B2-816C12CF3733">
    <vt:lpwstr>empty_477D106A-C0D6-4607-AEBD-E2C9D60EA279</vt:lpwstr>
  </property>
  <property fmtid="{D5CDD505-2E9C-101B-9397-08002B2CF9AE}" pid="19" name="SV_HIDDEN_GRID_QUERY_LIST_4F35BF76-6C0D-4D9B-82B2-816C12CF3733">
    <vt:lpwstr>empty_477D106A-C0D6-4607-AEBD-E2C9D60EA279</vt:lpwstr>
  </property>
</Properties>
</file>